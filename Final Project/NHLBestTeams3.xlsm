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705" yWindow="360" windowWidth="13665" windowHeight="10935"/>
  </bookViews>
  <sheets>
    <sheet name="Schedule" sheetId="1" r:id="rId1"/>
    <sheet name="Team Stats" sheetId="3" r:id="rId2"/>
    <sheet name="Player Stats" sheetId="2" r:id="rId3"/>
    <sheet name="Sim" sheetId="4" r:id="rId4"/>
    <sheet name="Playoff Pts" sheetId="7" r:id="rId5"/>
    <sheet name="Playoff Pts 2" sheetId="8" r:id="rId6"/>
  </sheets>
  <functionGroups builtInGroupCount="17"/>
  <definedNames>
    <definedName name="OpenSolver_ChosenSolver" localSheetId="0" hidden="1">CBC</definedName>
    <definedName name="OpenSolver_DualsNewSheet" localSheetId="0" hidden="1">FALSE</definedName>
    <definedName name="OpenSolver_UpdateSensitivity" localSheetId="0" hidden="1">TRUE</definedName>
    <definedName name="solver_adj" localSheetId="0" hidden="1">Schedule!$B$2:$B$31,Schedule!$B$33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Schedule!$R$3</definedName>
    <definedName name="solver_lhs2" localSheetId="0" hidden="1">Schedule!$R$3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Schedule!$P$1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hs1" localSheetId="0" hidden="1">Schedule!$P$3</definedName>
    <definedName name="solver_rhs2" localSheetId="0" hidden="1">Schedule!$P$3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C18" i="4" l="1"/>
  <c r="C19" i="4"/>
  <c r="C20" i="4"/>
  <c r="C21" i="4"/>
  <c r="C22" i="4"/>
  <c r="C23" i="4"/>
  <c r="C24" i="4"/>
  <c r="C17" i="4"/>
  <c r="C5" i="4"/>
  <c r="C6" i="4"/>
  <c r="C7" i="4"/>
  <c r="C8" i="4"/>
  <c r="C9" i="4"/>
  <c r="C10" i="4"/>
  <c r="C11" i="4"/>
  <c r="C4" i="4"/>
  <c r="I4" i="4"/>
  <c r="J9" i="1"/>
  <c r="K3" i="1"/>
  <c r="K5" i="1"/>
  <c r="K7" i="1"/>
  <c r="K9" i="1"/>
  <c r="K11" i="1"/>
  <c r="K13" i="1"/>
  <c r="K15" i="1"/>
  <c r="K17" i="1"/>
  <c r="K19" i="1"/>
  <c r="K21" i="1"/>
  <c r="K23" i="1"/>
  <c r="K25" i="1"/>
  <c r="K27" i="1"/>
  <c r="K29" i="1"/>
  <c r="K31" i="1"/>
  <c r="K33" i="1"/>
  <c r="K35" i="1"/>
  <c r="K37" i="1"/>
  <c r="K39" i="1"/>
  <c r="K41" i="1"/>
  <c r="K43" i="1"/>
  <c r="K45" i="1"/>
  <c r="K47" i="1"/>
  <c r="K49" i="1"/>
  <c r="K51" i="1"/>
  <c r="K53" i="1"/>
  <c r="K55" i="1"/>
  <c r="K57" i="1"/>
  <c r="K59" i="1"/>
  <c r="K61" i="1"/>
  <c r="K63" i="1"/>
  <c r="K65" i="1"/>
  <c r="K67" i="1"/>
  <c r="K69" i="1"/>
  <c r="K71" i="1"/>
  <c r="K73" i="1"/>
  <c r="K75" i="1"/>
  <c r="K77" i="1"/>
  <c r="K79" i="1"/>
  <c r="K81" i="1"/>
  <c r="K83" i="1"/>
  <c r="K85" i="1"/>
  <c r="K87" i="1"/>
  <c r="K89" i="1"/>
  <c r="K91" i="1"/>
  <c r="K93" i="1"/>
  <c r="K95" i="1"/>
  <c r="K97" i="1"/>
  <c r="K99" i="1"/>
  <c r="K101" i="1"/>
  <c r="K103" i="1"/>
  <c r="K105" i="1"/>
  <c r="K107" i="1"/>
  <c r="K109" i="1"/>
  <c r="K111" i="1"/>
  <c r="K113" i="1"/>
  <c r="K115" i="1"/>
  <c r="K117" i="1"/>
  <c r="K119" i="1"/>
  <c r="K121" i="1"/>
  <c r="K123" i="1"/>
  <c r="K125" i="1"/>
  <c r="K127" i="1"/>
  <c r="K129" i="1"/>
  <c r="K131" i="1"/>
  <c r="K133" i="1"/>
  <c r="K135" i="1"/>
  <c r="K137" i="1"/>
  <c r="K139" i="1"/>
  <c r="K141" i="1"/>
  <c r="K143" i="1"/>
  <c r="K145" i="1"/>
  <c r="K147" i="1"/>
  <c r="K149" i="1"/>
  <c r="K151" i="1"/>
  <c r="K153" i="1"/>
  <c r="K155" i="1"/>
  <c r="K157" i="1"/>
  <c r="K159" i="1"/>
  <c r="K161" i="1"/>
  <c r="K163" i="1"/>
  <c r="K165" i="1"/>
  <c r="K167" i="1"/>
  <c r="K169" i="1"/>
  <c r="K171" i="1"/>
  <c r="K173" i="1"/>
  <c r="K175" i="1"/>
  <c r="K177" i="1"/>
  <c r="K179" i="1"/>
  <c r="K181" i="1"/>
  <c r="K183" i="1"/>
  <c r="K185" i="1"/>
  <c r="K187" i="1"/>
  <c r="K189" i="1"/>
  <c r="K191" i="1"/>
  <c r="K193" i="1"/>
  <c r="K195" i="1"/>
  <c r="K197" i="1"/>
  <c r="K199" i="1"/>
  <c r="K201" i="1"/>
  <c r="K203" i="1"/>
  <c r="K205" i="1"/>
  <c r="K207" i="1"/>
  <c r="K209" i="1"/>
  <c r="K211" i="1"/>
  <c r="K213" i="1"/>
  <c r="K215" i="1"/>
  <c r="K217" i="1"/>
  <c r="K219" i="1"/>
  <c r="K221" i="1"/>
  <c r="K223" i="1"/>
  <c r="K225" i="1"/>
  <c r="K227" i="1"/>
  <c r="K229" i="1"/>
  <c r="K231" i="1"/>
  <c r="K233" i="1"/>
  <c r="K235" i="1"/>
  <c r="K237" i="1"/>
  <c r="K239" i="1"/>
  <c r="K241" i="1"/>
  <c r="K243" i="1"/>
  <c r="K245" i="1"/>
  <c r="K247" i="1"/>
  <c r="K249" i="1"/>
  <c r="K251" i="1"/>
  <c r="K253" i="1"/>
  <c r="K255" i="1"/>
  <c r="K257" i="1"/>
  <c r="K259" i="1"/>
  <c r="K261" i="1"/>
  <c r="K263" i="1"/>
  <c r="K265" i="1"/>
  <c r="K267" i="1"/>
  <c r="K269" i="1"/>
  <c r="K271" i="1"/>
  <c r="K273" i="1"/>
  <c r="K275" i="1"/>
  <c r="K277" i="1"/>
  <c r="K279" i="1"/>
  <c r="K281" i="1"/>
  <c r="K283" i="1"/>
  <c r="K285" i="1"/>
  <c r="K287" i="1"/>
  <c r="K289" i="1"/>
  <c r="K291" i="1"/>
  <c r="K293" i="1"/>
  <c r="K295" i="1"/>
  <c r="K297" i="1"/>
  <c r="K299" i="1"/>
  <c r="K301" i="1"/>
  <c r="K303" i="1"/>
  <c r="K305" i="1"/>
  <c r="K307" i="1"/>
  <c r="K309" i="1"/>
  <c r="K311" i="1"/>
  <c r="K313" i="1"/>
  <c r="K315" i="1"/>
  <c r="K317" i="1"/>
  <c r="K319" i="1"/>
  <c r="K321" i="1"/>
  <c r="K323" i="1"/>
  <c r="K325" i="1"/>
  <c r="K327" i="1"/>
  <c r="K329" i="1"/>
  <c r="K331" i="1"/>
  <c r="K333" i="1"/>
  <c r="K335" i="1"/>
  <c r="K337" i="1"/>
  <c r="K339" i="1"/>
  <c r="K341" i="1"/>
  <c r="K343" i="1"/>
  <c r="K345" i="1"/>
  <c r="K347" i="1"/>
  <c r="K349" i="1"/>
  <c r="K351" i="1"/>
  <c r="K353" i="1"/>
  <c r="K355" i="1"/>
  <c r="K357" i="1"/>
  <c r="K359" i="1"/>
  <c r="K361" i="1"/>
  <c r="K363" i="1"/>
  <c r="K365" i="1"/>
  <c r="K367" i="1"/>
  <c r="K369" i="1"/>
  <c r="K371" i="1"/>
  <c r="K373" i="1"/>
  <c r="K375" i="1"/>
  <c r="K377" i="1"/>
  <c r="K379" i="1"/>
  <c r="K381" i="1"/>
  <c r="K383" i="1"/>
  <c r="K385" i="1"/>
  <c r="K387" i="1"/>
  <c r="K389" i="1"/>
  <c r="K391" i="1"/>
  <c r="K393" i="1"/>
  <c r="K395" i="1"/>
  <c r="K397" i="1"/>
  <c r="K399" i="1"/>
  <c r="K401" i="1"/>
  <c r="K403" i="1"/>
  <c r="K405" i="1"/>
  <c r="K407" i="1"/>
  <c r="K409" i="1"/>
  <c r="K411" i="1"/>
  <c r="K413" i="1"/>
  <c r="K415" i="1"/>
  <c r="K417" i="1"/>
  <c r="K419" i="1"/>
  <c r="K421" i="1"/>
  <c r="K423" i="1"/>
  <c r="K425" i="1"/>
  <c r="K427" i="1"/>
  <c r="K429" i="1"/>
  <c r="K431" i="1"/>
  <c r="K433" i="1"/>
  <c r="K435" i="1"/>
  <c r="K437" i="1"/>
  <c r="K439" i="1"/>
  <c r="K441" i="1"/>
  <c r="K443" i="1"/>
  <c r="K445" i="1"/>
  <c r="K447" i="1"/>
  <c r="K449" i="1"/>
  <c r="K451" i="1"/>
  <c r="K453" i="1"/>
  <c r="K455" i="1"/>
  <c r="K457" i="1"/>
  <c r="K459" i="1"/>
  <c r="K461" i="1"/>
  <c r="K463" i="1"/>
  <c r="K465" i="1"/>
  <c r="K467" i="1"/>
  <c r="K469" i="1"/>
  <c r="K471" i="1"/>
  <c r="K473" i="1"/>
  <c r="K475" i="1"/>
  <c r="K477" i="1"/>
  <c r="K479" i="1"/>
  <c r="K481" i="1"/>
  <c r="K483" i="1"/>
  <c r="K485" i="1"/>
  <c r="K487" i="1"/>
  <c r="K489" i="1"/>
  <c r="K491" i="1"/>
  <c r="K493" i="1"/>
  <c r="K495" i="1"/>
  <c r="K497" i="1"/>
  <c r="K499" i="1"/>
  <c r="K501" i="1"/>
  <c r="K503" i="1"/>
  <c r="K505" i="1"/>
  <c r="K507" i="1"/>
  <c r="K509" i="1"/>
  <c r="K511" i="1"/>
  <c r="K513" i="1"/>
  <c r="K515" i="1"/>
  <c r="K517" i="1"/>
  <c r="K519" i="1"/>
  <c r="K521" i="1"/>
  <c r="K523" i="1"/>
  <c r="K525" i="1"/>
  <c r="K527" i="1"/>
  <c r="K529" i="1"/>
  <c r="K531" i="1"/>
  <c r="K533" i="1"/>
  <c r="K535" i="1"/>
  <c r="K537" i="1"/>
  <c r="K539" i="1"/>
  <c r="K541" i="1"/>
  <c r="K543" i="1"/>
  <c r="K545" i="1"/>
  <c r="K547" i="1"/>
  <c r="K549" i="1"/>
  <c r="K551" i="1"/>
  <c r="K553" i="1"/>
  <c r="K555" i="1"/>
  <c r="K557" i="1"/>
  <c r="K559" i="1"/>
  <c r="K561" i="1"/>
  <c r="K563" i="1"/>
  <c r="K565" i="1"/>
  <c r="K567" i="1"/>
  <c r="K569" i="1"/>
  <c r="K571" i="1"/>
  <c r="K573" i="1"/>
  <c r="K575" i="1"/>
  <c r="K577" i="1"/>
  <c r="K579" i="1"/>
  <c r="K581" i="1"/>
  <c r="K583" i="1"/>
  <c r="K585" i="1"/>
  <c r="K587" i="1"/>
  <c r="K589" i="1"/>
  <c r="K591" i="1"/>
  <c r="K593" i="1"/>
  <c r="K595" i="1"/>
  <c r="K597" i="1"/>
  <c r="K599" i="1"/>
  <c r="K601" i="1"/>
  <c r="K603" i="1"/>
  <c r="K605" i="1"/>
  <c r="K607" i="1"/>
  <c r="K609" i="1"/>
  <c r="K611" i="1"/>
  <c r="K613" i="1"/>
  <c r="K615" i="1"/>
  <c r="K617" i="1"/>
  <c r="K619" i="1"/>
  <c r="K621" i="1"/>
  <c r="K623" i="1"/>
  <c r="K625" i="1"/>
  <c r="K627" i="1"/>
  <c r="K629" i="1"/>
  <c r="K631" i="1"/>
  <c r="K633" i="1"/>
  <c r="K635" i="1"/>
  <c r="K637" i="1"/>
  <c r="K639" i="1"/>
  <c r="K641" i="1"/>
  <c r="K643" i="1"/>
  <c r="K645" i="1"/>
  <c r="K647" i="1"/>
  <c r="K649" i="1"/>
  <c r="K651" i="1"/>
  <c r="K653" i="1"/>
  <c r="K655" i="1"/>
  <c r="K657" i="1"/>
  <c r="K659" i="1"/>
  <c r="K661" i="1"/>
  <c r="K663" i="1"/>
  <c r="K665" i="1"/>
  <c r="K667" i="1"/>
  <c r="K669" i="1"/>
  <c r="K671" i="1"/>
  <c r="K673" i="1"/>
  <c r="K675" i="1"/>
  <c r="K677" i="1"/>
  <c r="K679" i="1"/>
  <c r="K681" i="1"/>
  <c r="K683" i="1"/>
  <c r="K685" i="1"/>
  <c r="K687" i="1"/>
  <c r="K689" i="1"/>
  <c r="K691" i="1"/>
  <c r="K693" i="1"/>
  <c r="K695" i="1"/>
  <c r="K697" i="1"/>
  <c r="K699" i="1"/>
  <c r="K701" i="1"/>
  <c r="K703" i="1"/>
  <c r="K705" i="1"/>
  <c r="K707" i="1"/>
  <c r="K709" i="1"/>
  <c r="K711" i="1"/>
  <c r="K713" i="1"/>
  <c r="K715" i="1"/>
  <c r="K717" i="1"/>
  <c r="K719" i="1"/>
  <c r="K721" i="1"/>
  <c r="K723" i="1"/>
  <c r="K725" i="1"/>
  <c r="K727" i="1"/>
  <c r="K729" i="1"/>
  <c r="K731" i="1"/>
  <c r="K733" i="1"/>
  <c r="K735" i="1"/>
  <c r="K737" i="1"/>
  <c r="K739" i="1"/>
  <c r="K741" i="1"/>
  <c r="K743" i="1"/>
  <c r="K745" i="1"/>
  <c r="K747" i="1"/>
  <c r="K749" i="1"/>
  <c r="K751" i="1"/>
  <c r="K753" i="1"/>
  <c r="K755" i="1"/>
  <c r="K757" i="1"/>
  <c r="K759" i="1"/>
  <c r="K761" i="1"/>
  <c r="K763" i="1"/>
  <c r="K765" i="1"/>
  <c r="K767" i="1"/>
  <c r="K769" i="1"/>
  <c r="K771" i="1"/>
  <c r="K773" i="1"/>
  <c r="K775" i="1"/>
  <c r="K777" i="1"/>
  <c r="K779" i="1"/>
  <c r="K781" i="1"/>
  <c r="K783" i="1"/>
  <c r="K785" i="1"/>
  <c r="K787" i="1"/>
  <c r="K789" i="1"/>
  <c r="K791" i="1"/>
  <c r="K793" i="1"/>
  <c r="K795" i="1"/>
  <c r="K797" i="1"/>
  <c r="K799" i="1"/>
  <c r="K801" i="1"/>
  <c r="K803" i="1"/>
  <c r="K805" i="1"/>
  <c r="K807" i="1"/>
  <c r="K809" i="1"/>
  <c r="K811" i="1"/>
  <c r="K813" i="1"/>
  <c r="K815" i="1"/>
  <c r="K817" i="1"/>
  <c r="K819" i="1"/>
  <c r="K821" i="1"/>
  <c r="K823" i="1"/>
  <c r="K825" i="1"/>
  <c r="K827" i="1"/>
  <c r="K829" i="1"/>
  <c r="K831" i="1"/>
  <c r="K833" i="1"/>
  <c r="K835" i="1"/>
  <c r="K837" i="1"/>
  <c r="K839" i="1"/>
  <c r="K841" i="1"/>
  <c r="K843" i="1"/>
  <c r="K845" i="1"/>
  <c r="K847" i="1"/>
  <c r="K849" i="1"/>
  <c r="K851" i="1"/>
  <c r="K853" i="1"/>
  <c r="K855" i="1"/>
  <c r="K857" i="1"/>
  <c r="K859" i="1"/>
  <c r="K861" i="1"/>
  <c r="K863" i="1"/>
  <c r="K865" i="1"/>
  <c r="K867" i="1"/>
  <c r="K869" i="1"/>
  <c r="K871" i="1"/>
  <c r="K873" i="1"/>
  <c r="K875" i="1"/>
  <c r="K877" i="1"/>
  <c r="K879" i="1"/>
  <c r="K881" i="1"/>
  <c r="K883" i="1"/>
  <c r="K885" i="1"/>
  <c r="K887" i="1"/>
  <c r="K889" i="1"/>
  <c r="K891" i="1"/>
  <c r="K893" i="1"/>
  <c r="K895" i="1"/>
  <c r="K897" i="1"/>
  <c r="K899" i="1"/>
  <c r="K901" i="1"/>
  <c r="K903" i="1"/>
  <c r="K905" i="1"/>
  <c r="K907" i="1"/>
  <c r="K909" i="1"/>
  <c r="K911" i="1"/>
  <c r="K913" i="1"/>
  <c r="K915" i="1"/>
  <c r="K917" i="1"/>
  <c r="K919" i="1"/>
  <c r="K921" i="1"/>
  <c r="K923" i="1"/>
  <c r="K925" i="1"/>
  <c r="K927" i="1"/>
  <c r="K929" i="1"/>
  <c r="K931" i="1"/>
  <c r="K933" i="1"/>
  <c r="K935" i="1"/>
  <c r="K937" i="1"/>
  <c r="K939" i="1"/>
  <c r="K941" i="1"/>
  <c r="K943" i="1"/>
  <c r="K945" i="1"/>
  <c r="K947" i="1"/>
  <c r="K949" i="1"/>
  <c r="K951" i="1"/>
  <c r="K953" i="1"/>
  <c r="K955" i="1"/>
  <c r="K957" i="1"/>
  <c r="K959" i="1"/>
  <c r="K961" i="1"/>
  <c r="K963" i="1"/>
  <c r="K965" i="1"/>
  <c r="K967" i="1"/>
  <c r="K969" i="1"/>
  <c r="K971" i="1"/>
  <c r="K973" i="1"/>
  <c r="K975" i="1"/>
  <c r="K977" i="1"/>
  <c r="K979" i="1"/>
  <c r="K981" i="1"/>
  <c r="K983" i="1"/>
  <c r="K985" i="1"/>
  <c r="K987" i="1"/>
  <c r="K989" i="1"/>
  <c r="K991" i="1"/>
  <c r="K993" i="1"/>
  <c r="K995" i="1"/>
  <c r="K997" i="1"/>
  <c r="K999" i="1"/>
  <c r="K1001" i="1"/>
  <c r="K1003" i="1"/>
  <c r="K1005" i="1"/>
  <c r="K1007" i="1"/>
  <c r="K1009" i="1"/>
  <c r="K1011" i="1"/>
  <c r="K1013" i="1"/>
  <c r="K1015" i="1"/>
  <c r="K1017" i="1"/>
  <c r="K1019" i="1"/>
  <c r="K1021" i="1"/>
  <c r="K1023" i="1"/>
  <c r="K1025" i="1"/>
  <c r="K1027" i="1"/>
  <c r="K1029" i="1"/>
  <c r="K1031" i="1"/>
  <c r="K1033" i="1"/>
  <c r="K1035" i="1"/>
  <c r="K1037" i="1"/>
  <c r="K1039" i="1"/>
  <c r="K1041" i="1"/>
  <c r="K1043" i="1"/>
  <c r="K1045" i="1"/>
  <c r="K1047" i="1"/>
  <c r="K1049" i="1"/>
  <c r="K1051" i="1"/>
  <c r="K1053" i="1"/>
  <c r="K1055" i="1"/>
  <c r="K1057" i="1"/>
  <c r="K1059" i="1"/>
  <c r="K1061" i="1"/>
  <c r="K1063" i="1"/>
  <c r="K1065" i="1"/>
  <c r="K1067" i="1"/>
  <c r="K1069" i="1"/>
  <c r="K1071" i="1"/>
  <c r="K1073" i="1"/>
  <c r="K1075" i="1"/>
  <c r="K1077" i="1"/>
  <c r="K1079" i="1"/>
  <c r="K1081" i="1"/>
  <c r="K1083" i="1"/>
  <c r="K1085" i="1"/>
  <c r="K1087" i="1"/>
  <c r="K1089" i="1"/>
  <c r="K1091" i="1"/>
  <c r="K1093" i="1"/>
  <c r="K1095" i="1"/>
  <c r="K1097" i="1"/>
  <c r="K1099" i="1"/>
  <c r="K1101" i="1"/>
  <c r="K1103" i="1"/>
  <c r="K1105" i="1"/>
  <c r="K1107" i="1"/>
  <c r="K1109" i="1"/>
  <c r="K1111" i="1"/>
  <c r="K1113" i="1"/>
  <c r="K1115" i="1"/>
  <c r="K1117" i="1"/>
  <c r="K1119" i="1"/>
  <c r="K1121" i="1"/>
  <c r="K1123" i="1"/>
  <c r="K1125" i="1"/>
  <c r="K1127" i="1"/>
  <c r="K1129" i="1"/>
  <c r="K1131" i="1"/>
  <c r="K1133" i="1"/>
  <c r="K1135" i="1"/>
  <c r="K1137" i="1"/>
  <c r="K1139" i="1"/>
  <c r="K1141" i="1"/>
  <c r="K1143" i="1"/>
  <c r="K1145" i="1"/>
  <c r="K1147" i="1"/>
  <c r="K1149" i="1"/>
  <c r="K1151" i="1"/>
  <c r="K1153" i="1"/>
  <c r="K1155" i="1"/>
  <c r="K1157" i="1"/>
  <c r="K1159" i="1"/>
  <c r="K1161" i="1"/>
  <c r="K1163" i="1"/>
  <c r="K1165" i="1"/>
  <c r="K1167" i="1"/>
  <c r="K1169" i="1"/>
  <c r="K1171" i="1"/>
  <c r="K1173" i="1"/>
  <c r="K1175" i="1"/>
  <c r="K1177" i="1"/>
  <c r="K1179" i="1"/>
  <c r="K1181" i="1"/>
  <c r="K1183" i="1"/>
  <c r="K1185" i="1"/>
  <c r="K1187" i="1"/>
  <c r="K1189" i="1"/>
  <c r="K1191" i="1"/>
  <c r="K1193" i="1"/>
  <c r="K1195" i="1"/>
  <c r="K1197" i="1"/>
  <c r="K1199" i="1"/>
  <c r="K1201" i="1"/>
  <c r="K1203" i="1"/>
  <c r="K1205" i="1"/>
  <c r="K1207" i="1"/>
  <c r="K1209" i="1"/>
  <c r="K1211" i="1"/>
  <c r="K1213" i="1"/>
  <c r="K1215" i="1"/>
  <c r="K1217" i="1"/>
  <c r="K1219" i="1"/>
  <c r="K1221" i="1"/>
  <c r="K1223" i="1"/>
  <c r="K1225" i="1"/>
  <c r="K1227" i="1"/>
  <c r="K1229" i="1"/>
  <c r="K1231" i="1"/>
  <c r="K1233" i="1"/>
  <c r="K1235" i="1"/>
  <c r="K1237" i="1"/>
  <c r="K1239" i="1"/>
  <c r="K1241" i="1"/>
  <c r="K1243" i="1"/>
  <c r="K1245" i="1"/>
  <c r="K1247" i="1"/>
  <c r="K1249" i="1"/>
  <c r="K1251" i="1"/>
  <c r="K1253" i="1"/>
  <c r="K1255" i="1"/>
  <c r="K1257" i="1"/>
  <c r="K1259" i="1"/>
  <c r="K1261" i="1"/>
  <c r="K1263" i="1"/>
  <c r="K1265" i="1"/>
  <c r="K1267" i="1"/>
  <c r="K1269" i="1"/>
  <c r="K1271" i="1"/>
  <c r="K1273" i="1"/>
  <c r="K1275" i="1"/>
  <c r="K1277" i="1"/>
  <c r="K1279" i="1"/>
  <c r="K1281" i="1"/>
  <c r="K1283" i="1"/>
  <c r="K1285" i="1"/>
  <c r="K1287" i="1"/>
  <c r="K1289" i="1"/>
  <c r="K1291" i="1"/>
  <c r="K1293" i="1"/>
  <c r="K1295" i="1"/>
  <c r="K1297" i="1"/>
  <c r="K1299" i="1"/>
  <c r="K1301" i="1"/>
  <c r="K1303" i="1"/>
  <c r="K1305" i="1"/>
  <c r="K1307" i="1"/>
  <c r="K1309" i="1"/>
  <c r="K1311" i="1"/>
  <c r="K1313" i="1"/>
  <c r="K1315" i="1"/>
  <c r="K1317" i="1"/>
  <c r="K1319" i="1"/>
  <c r="K1321" i="1"/>
  <c r="K1323" i="1"/>
  <c r="K1325" i="1"/>
  <c r="K1327" i="1"/>
  <c r="K1329" i="1"/>
  <c r="K1331" i="1"/>
  <c r="K1333" i="1"/>
  <c r="K1335" i="1"/>
  <c r="K1337" i="1"/>
  <c r="K1339" i="1"/>
  <c r="K1341" i="1"/>
  <c r="K1343" i="1"/>
  <c r="K1345" i="1"/>
  <c r="K1347" i="1"/>
  <c r="K1349" i="1"/>
  <c r="K1351" i="1"/>
  <c r="K1353" i="1"/>
  <c r="K1355" i="1"/>
  <c r="K1357" i="1"/>
  <c r="K1359" i="1"/>
  <c r="K1361" i="1"/>
  <c r="K1363" i="1"/>
  <c r="K1365" i="1"/>
  <c r="K1367" i="1"/>
  <c r="K1369" i="1"/>
  <c r="K1371" i="1"/>
  <c r="K1373" i="1"/>
  <c r="K1375" i="1"/>
  <c r="K1377" i="1"/>
  <c r="K1379" i="1"/>
  <c r="K1381" i="1"/>
  <c r="K1383" i="1"/>
  <c r="K1385" i="1"/>
  <c r="K1387" i="1"/>
  <c r="K1389" i="1"/>
  <c r="K1391" i="1"/>
  <c r="K1393" i="1"/>
  <c r="K1395" i="1"/>
  <c r="K1397" i="1"/>
  <c r="K1399" i="1"/>
  <c r="K1401" i="1"/>
  <c r="K1403" i="1"/>
  <c r="K1405" i="1"/>
  <c r="K1407" i="1"/>
  <c r="K1409" i="1"/>
  <c r="K1411" i="1"/>
  <c r="K1413" i="1"/>
  <c r="K1415" i="1"/>
  <c r="K1417" i="1"/>
  <c r="K1419" i="1"/>
  <c r="K1421" i="1"/>
  <c r="K1423" i="1"/>
  <c r="K1425" i="1"/>
  <c r="K1427" i="1"/>
  <c r="K1429" i="1"/>
  <c r="K1431" i="1"/>
  <c r="K1433" i="1"/>
  <c r="K1435" i="1"/>
  <c r="K1437" i="1"/>
  <c r="K1439" i="1"/>
  <c r="K1441" i="1"/>
  <c r="K1443" i="1"/>
  <c r="K1445" i="1"/>
  <c r="K1447" i="1"/>
  <c r="K1449" i="1"/>
  <c r="K1451" i="1"/>
  <c r="K1453" i="1"/>
  <c r="K1455" i="1"/>
  <c r="K1457" i="1"/>
  <c r="K1459" i="1"/>
  <c r="K1461" i="1"/>
  <c r="K1463" i="1"/>
  <c r="K1465" i="1"/>
  <c r="K1467" i="1"/>
  <c r="K1469" i="1"/>
  <c r="K1471" i="1"/>
  <c r="K1473" i="1"/>
  <c r="K1475" i="1"/>
  <c r="K1477" i="1"/>
  <c r="K1479" i="1"/>
  <c r="K1481" i="1"/>
  <c r="K1483" i="1"/>
  <c r="K1485" i="1"/>
  <c r="K1487" i="1"/>
  <c r="K1489" i="1"/>
  <c r="K1491" i="1"/>
  <c r="K1493" i="1"/>
  <c r="K1495" i="1"/>
  <c r="K1497" i="1"/>
  <c r="K1499" i="1"/>
  <c r="K1501" i="1"/>
  <c r="K1503" i="1"/>
  <c r="K1505" i="1"/>
  <c r="K1507" i="1"/>
  <c r="K1509" i="1"/>
  <c r="K1511" i="1"/>
  <c r="K1513" i="1"/>
  <c r="K1515" i="1"/>
  <c r="K1517" i="1"/>
  <c r="K1519" i="1"/>
  <c r="K1521" i="1"/>
  <c r="K1523" i="1"/>
  <c r="K1525" i="1"/>
  <c r="K1527" i="1"/>
  <c r="K1529" i="1"/>
  <c r="K1531" i="1"/>
  <c r="K1533" i="1"/>
  <c r="K1535" i="1"/>
  <c r="K1537" i="1"/>
  <c r="K1539" i="1"/>
  <c r="K1541" i="1"/>
  <c r="K1543" i="1"/>
  <c r="K1545" i="1"/>
  <c r="K1547" i="1"/>
  <c r="K1549" i="1"/>
  <c r="K1551" i="1"/>
  <c r="K1553" i="1"/>
  <c r="K1555" i="1"/>
  <c r="K1557" i="1"/>
  <c r="K1559" i="1"/>
  <c r="K1561" i="1"/>
  <c r="K1563" i="1"/>
  <c r="K1565" i="1"/>
  <c r="K1567" i="1"/>
  <c r="K1569" i="1"/>
  <c r="K1571" i="1"/>
  <c r="K1573" i="1"/>
  <c r="K1575" i="1"/>
  <c r="K1577" i="1"/>
  <c r="K1579" i="1"/>
  <c r="K1581" i="1"/>
  <c r="K1583" i="1"/>
  <c r="K1585" i="1"/>
  <c r="K1587" i="1"/>
  <c r="K1589" i="1"/>
  <c r="K1591" i="1"/>
  <c r="K1593" i="1"/>
  <c r="K1595" i="1"/>
  <c r="K1597" i="1"/>
  <c r="K1599" i="1"/>
  <c r="K1601" i="1"/>
  <c r="K1603" i="1"/>
  <c r="K1605" i="1"/>
  <c r="K1607" i="1"/>
  <c r="K1609" i="1"/>
  <c r="K1611" i="1"/>
  <c r="K1613" i="1"/>
  <c r="K1615" i="1"/>
  <c r="K1617" i="1"/>
  <c r="K1619" i="1"/>
  <c r="K1621" i="1"/>
  <c r="K1623" i="1"/>
  <c r="K1625" i="1"/>
  <c r="K1627" i="1"/>
  <c r="K1629" i="1"/>
  <c r="K1631" i="1"/>
  <c r="K1633" i="1"/>
  <c r="K1635" i="1"/>
  <c r="K1637" i="1"/>
  <c r="K1639" i="1"/>
  <c r="K1641" i="1"/>
  <c r="K1643" i="1"/>
  <c r="K1645" i="1"/>
  <c r="K1647" i="1"/>
  <c r="K1649" i="1"/>
  <c r="K1651" i="1"/>
  <c r="K1653" i="1"/>
  <c r="K1655" i="1"/>
  <c r="K1657" i="1"/>
  <c r="K1659" i="1"/>
  <c r="K1661" i="1"/>
  <c r="K1663" i="1"/>
  <c r="K1665" i="1"/>
  <c r="K1667" i="1"/>
  <c r="K1669" i="1"/>
  <c r="K1671" i="1"/>
  <c r="K1673" i="1"/>
  <c r="K1675" i="1"/>
  <c r="K1677" i="1"/>
  <c r="K1679" i="1"/>
  <c r="K1681" i="1"/>
  <c r="K1683" i="1"/>
  <c r="K1685" i="1"/>
  <c r="K1687" i="1"/>
  <c r="K1689" i="1"/>
  <c r="K1691" i="1"/>
  <c r="K1693" i="1"/>
  <c r="K1695" i="1"/>
  <c r="K1697" i="1"/>
  <c r="K1699" i="1"/>
  <c r="K1701" i="1"/>
  <c r="K1703" i="1"/>
  <c r="K1705" i="1"/>
  <c r="K1707" i="1"/>
  <c r="K1709" i="1"/>
  <c r="K1711" i="1"/>
  <c r="K1713" i="1"/>
  <c r="K1715" i="1"/>
  <c r="K1717" i="1"/>
  <c r="K1719" i="1"/>
  <c r="K1721" i="1"/>
  <c r="K1723" i="1"/>
  <c r="K1725" i="1"/>
  <c r="K1727" i="1"/>
  <c r="K1729" i="1"/>
  <c r="K1731" i="1"/>
  <c r="K1733" i="1"/>
  <c r="K1735" i="1"/>
  <c r="K1737" i="1"/>
  <c r="K1739" i="1"/>
  <c r="K1741" i="1"/>
  <c r="K1743" i="1"/>
  <c r="K1745" i="1"/>
  <c r="K1747" i="1"/>
  <c r="K1749" i="1"/>
  <c r="K1751" i="1"/>
  <c r="K1753" i="1"/>
  <c r="K1755" i="1"/>
  <c r="K1757" i="1"/>
  <c r="K1759" i="1"/>
  <c r="K1761" i="1"/>
  <c r="K1763" i="1"/>
  <c r="K1765" i="1"/>
  <c r="K1767" i="1"/>
  <c r="K1769" i="1"/>
  <c r="K1771" i="1"/>
  <c r="K1773" i="1"/>
  <c r="K1775" i="1"/>
  <c r="K1777" i="1"/>
  <c r="K1779" i="1"/>
  <c r="K1781" i="1"/>
  <c r="K1783" i="1"/>
  <c r="K1785" i="1"/>
  <c r="K1787" i="1"/>
  <c r="K1789" i="1"/>
  <c r="K1791" i="1"/>
  <c r="K1793" i="1"/>
  <c r="K1795" i="1"/>
  <c r="K1797" i="1"/>
  <c r="K1799" i="1"/>
  <c r="K1801" i="1"/>
  <c r="K1803" i="1"/>
  <c r="K1805" i="1"/>
  <c r="K1807" i="1"/>
  <c r="K1809" i="1"/>
  <c r="K1811" i="1"/>
  <c r="K1813" i="1"/>
  <c r="K1815" i="1"/>
  <c r="K1817" i="1"/>
  <c r="K1819" i="1"/>
  <c r="K1821" i="1"/>
  <c r="K1823" i="1"/>
  <c r="K1825" i="1"/>
  <c r="K1827" i="1"/>
  <c r="K1829" i="1"/>
  <c r="K1831" i="1"/>
  <c r="K1833" i="1"/>
  <c r="K1835" i="1"/>
  <c r="K1837" i="1"/>
  <c r="K1839" i="1"/>
  <c r="K1841" i="1"/>
  <c r="K1843" i="1"/>
  <c r="K1845" i="1"/>
  <c r="K1847" i="1"/>
  <c r="K1849" i="1"/>
  <c r="K1851" i="1"/>
  <c r="K1853" i="1"/>
  <c r="K1855" i="1"/>
  <c r="K1857" i="1"/>
  <c r="K1859" i="1"/>
  <c r="K1861" i="1"/>
  <c r="K1863" i="1"/>
  <c r="K1865" i="1"/>
  <c r="K1867" i="1"/>
  <c r="K1869" i="1"/>
  <c r="K1871" i="1"/>
  <c r="K1873" i="1"/>
  <c r="K1875" i="1"/>
  <c r="K1877" i="1"/>
  <c r="K1879" i="1"/>
  <c r="K1881" i="1"/>
  <c r="K1883" i="1"/>
  <c r="K1885" i="1"/>
  <c r="K1887" i="1"/>
  <c r="K1889" i="1"/>
  <c r="K1891" i="1"/>
  <c r="K1893" i="1"/>
  <c r="K1895" i="1"/>
  <c r="K1897" i="1"/>
  <c r="K1899" i="1"/>
  <c r="K1901" i="1"/>
  <c r="K1903" i="1"/>
  <c r="K1905" i="1"/>
  <c r="K1907" i="1"/>
  <c r="K1909" i="1"/>
  <c r="K1911" i="1"/>
  <c r="K1913" i="1"/>
  <c r="K1915" i="1"/>
  <c r="K1917" i="1"/>
  <c r="K1919" i="1"/>
  <c r="K1921" i="1"/>
  <c r="K1923" i="1"/>
  <c r="K1925" i="1"/>
  <c r="K1927" i="1"/>
  <c r="K1929" i="1"/>
  <c r="K1931" i="1"/>
  <c r="K1933" i="1"/>
  <c r="K1935" i="1"/>
  <c r="K1937" i="1"/>
  <c r="K1939" i="1"/>
  <c r="K1941" i="1"/>
  <c r="K1943" i="1"/>
  <c r="K1945" i="1"/>
  <c r="K1947" i="1"/>
  <c r="K1949" i="1"/>
  <c r="K1951" i="1"/>
  <c r="K1953" i="1"/>
  <c r="K1955" i="1"/>
  <c r="K1957" i="1"/>
  <c r="K1959" i="1"/>
  <c r="K1961" i="1"/>
  <c r="K1963" i="1"/>
  <c r="K1965" i="1"/>
  <c r="K1967" i="1"/>
  <c r="K1969" i="1"/>
  <c r="K1971" i="1"/>
  <c r="K1973" i="1"/>
  <c r="K1975" i="1"/>
  <c r="K1977" i="1"/>
  <c r="K1979" i="1"/>
  <c r="K1981" i="1"/>
  <c r="K1983" i="1"/>
  <c r="K1985" i="1"/>
  <c r="K1987" i="1"/>
  <c r="K1989" i="1"/>
  <c r="K1991" i="1"/>
  <c r="K1993" i="1"/>
  <c r="K1995" i="1"/>
  <c r="K1997" i="1"/>
  <c r="K1999" i="1"/>
  <c r="K2001" i="1"/>
  <c r="K2003" i="1"/>
  <c r="K2005" i="1"/>
  <c r="K2007" i="1"/>
  <c r="K2009" i="1"/>
  <c r="K2011" i="1"/>
  <c r="K2013" i="1"/>
  <c r="K2015" i="1"/>
  <c r="K2017" i="1"/>
  <c r="K2019" i="1"/>
  <c r="K2021" i="1"/>
  <c r="K2023" i="1"/>
  <c r="K2025" i="1"/>
  <c r="K2027" i="1"/>
  <c r="K2029" i="1"/>
  <c r="K2031" i="1"/>
  <c r="K2033" i="1"/>
  <c r="K2035" i="1"/>
  <c r="K2037" i="1"/>
  <c r="K2039" i="1"/>
  <c r="K2041" i="1"/>
  <c r="K2043" i="1"/>
  <c r="K2045" i="1"/>
  <c r="K2047" i="1"/>
  <c r="K2049" i="1"/>
  <c r="K2051" i="1"/>
  <c r="K2053" i="1"/>
  <c r="K2055" i="1"/>
  <c r="K2057" i="1"/>
  <c r="K2059" i="1"/>
  <c r="K2061" i="1"/>
  <c r="K2063" i="1"/>
  <c r="K2065" i="1"/>
  <c r="K2067" i="1"/>
  <c r="K2069" i="1"/>
  <c r="K2071" i="1"/>
  <c r="K2073" i="1"/>
  <c r="K2075" i="1"/>
  <c r="K2077" i="1"/>
  <c r="K2079" i="1"/>
  <c r="K2081" i="1"/>
  <c r="K2083" i="1"/>
  <c r="K2085" i="1"/>
  <c r="K2087" i="1"/>
  <c r="K2089" i="1"/>
  <c r="K2091" i="1"/>
  <c r="K2093" i="1"/>
  <c r="K2095" i="1"/>
  <c r="K2097" i="1"/>
  <c r="K2099" i="1"/>
  <c r="K2101" i="1"/>
  <c r="K2103" i="1"/>
  <c r="K2105" i="1"/>
  <c r="K2107" i="1"/>
  <c r="K2109" i="1"/>
  <c r="K2111" i="1"/>
  <c r="K2113" i="1"/>
  <c r="K2115" i="1"/>
  <c r="K2117" i="1"/>
  <c r="K2119" i="1"/>
  <c r="K2121" i="1"/>
  <c r="K2123" i="1"/>
  <c r="K2125" i="1"/>
  <c r="K2127" i="1"/>
  <c r="K2129" i="1"/>
  <c r="K2131" i="1"/>
  <c r="K2133" i="1"/>
  <c r="K2135" i="1"/>
  <c r="K2137" i="1"/>
  <c r="K2139" i="1"/>
  <c r="K2141" i="1"/>
  <c r="K2143" i="1"/>
  <c r="K2145" i="1"/>
  <c r="K2147" i="1"/>
  <c r="K2149" i="1"/>
  <c r="K2151" i="1"/>
  <c r="K2153" i="1"/>
  <c r="K2155" i="1"/>
  <c r="K2157" i="1"/>
  <c r="K2159" i="1"/>
  <c r="K2161" i="1"/>
  <c r="K2163" i="1"/>
  <c r="K2165" i="1"/>
  <c r="K2167" i="1"/>
  <c r="K2169" i="1"/>
  <c r="K2171" i="1"/>
  <c r="K2173" i="1"/>
  <c r="K2175" i="1"/>
  <c r="K2177" i="1"/>
  <c r="K2179" i="1"/>
  <c r="K2181" i="1"/>
  <c r="K2183" i="1"/>
  <c r="K2185" i="1"/>
  <c r="K2187" i="1"/>
  <c r="K2189" i="1"/>
  <c r="K2191" i="1"/>
  <c r="K2193" i="1"/>
  <c r="K2195" i="1"/>
  <c r="K2197" i="1"/>
  <c r="K2199" i="1"/>
  <c r="K2201" i="1"/>
  <c r="K2203" i="1"/>
  <c r="K2205" i="1"/>
  <c r="K2207" i="1"/>
  <c r="K2209" i="1"/>
  <c r="K2211" i="1"/>
  <c r="K2213" i="1"/>
  <c r="K2215" i="1"/>
  <c r="K2217" i="1"/>
  <c r="K2219" i="1"/>
  <c r="K2221" i="1"/>
  <c r="K2223" i="1"/>
  <c r="K2225" i="1"/>
  <c r="K2227" i="1"/>
  <c r="K2229" i="1"/>
  <c r="K2231" i="1"/>
  <c r="K2233" i="1"/>
  <c r="K2235" i="1"/>
  <c r="K2237" i="1"/>
  <c r="K2239" i="1"/>
  <c r="K2241" i="1"/>
  <c r="K2243" i="1"/>
  <c r="K2245" i="1"/>
  <c r="K2247" i="1"/>
  <c r="K2249" i="1"/>
  <c r="K2251" i="1"/>
  <c r="K2253" i="1"/>
  <c r="K2255" i="1"/>
  <c r="K2257" i="1"/>
  <c r="K2259" i="1"/>
  <c r="K2261" i="1"/>
  <c r="K2263" i="1"/>
  <c r="K2265" i="1"/>
  <c r="K2267" i="1"/>
  <c r="K2269" i="1"/>
  <c r="K2271" i="1"/>
  <c r="K2273" i="1"/>
  <c r="K2275" i="1"/>
  <c r="K2277" i="1"/>
  <c r="K2279" i="1"/>
  <c r="K2281" i="1"/>
  <c r="K2283" i="1"/>
  <c r="K2285" i="1"/>
  <c r="K2287" i="1"/>
  <c r="K2289" i="1"/>
  <c r="K2291" i="1"/>
  <c r="K2293" i="1"/>
  <c r="K2295" i="1"/>
  <c r="K2297" i="1"/>
  <c r="K2299" i="1"/>
  <c r="K2301" i="1"/>
  <c r="K2303" i="1"/>
  <c r="K2305" i="1"/>
  <c r="K2307" i="1"/>
  <c r="K2309" i="1"/>
  <c r="K2311" i="1"/>
  <c r="K2313" i="1"/>
  <c r="K2315" i="1"/>
  <c r="K2317" i="1"/>
  <c r="K2319" i="1"/>
  <c r="K2321" i="1"/>
  <c r="K2323" i="1"/>
  <c r="K2325" i="1"/>
  <c r="K2327" i="1"/>
  <c r="K2329" i="1"/>
  <c r="K2331" i="1"/>
  <c r="K2333" i="1"/>
  <c r="K2335" i="1"/>
  <c r="K2337" i="1"/>
  <c r="K2339" i="1"/>
  <c r="K2341" i="1"/>
  <c r="K2343" i="1"/>
  <c r="K2345" i="1"/>
  <c r="K2347" i="1"/>
  <c r="K2349" i="1"/>
  <c r="K2351" i="1"/>
  <c r="K2353" i="1"/>
  <c r="K2355" i="1"/>
  <c r="K2357" i="1"/>
  <c r="K2359" i="1"/>
  <c r="K2361" i="1"/>
  <c r="K2363" i="1"/>
  <c r="K2365" i="1"/>
  <c r="K2367" i="1"/>
  <c r="K2369" i="1"/>
  <c r="K2371" i="1"/>
  <c r="K2373" i="1"/>
  <c r="K2375" i="1"/>
  <c r="K2377" i="1"/>
  <c r="K2379" i="1"/>
  <c r="K2381" i="1"/>
  <c r="K2383" i="1"/>
  <c r="K2385" i="1"/>
  <c r="K2387" i="1"/>
  <c r="K2389" i="1"/>
  <c r="K2391" i="1"/>
  <c r="K2393" i="1"/>
  <c r="K2395" i="1"/>
  <c r="K2397" i="1"/>
  <c r="K2399" i="1"/>
  <c r="K2401" i="1"/>
  <c r="K2403" i="1"/>
  <c r="K2405" i="1"/>
  <c r="K2407" i="1"/>
  <c r="K2409" i="1"/>
  <c r="K2411" i="1"/>
  <c r="K2413" i="1"/>
  <c r="K2415" i="1"/>
  <c r="K2417" i="1"/>
  <c r="K2419" i="1"/>
  <c r="K2421" i="1"/>
  <c r="K2423" i="1"/>
  <c r="K2425" i="1"/>
  <c r="K2427" i="1"/>
  <c r="K2429" i="1"/>
  <c r="K2431" i="1"/>
  <c r="K2433" i="1"/>
  <c r="K2435" i="1"/>
  <c r="K2437" i="1"/>
  <c r="K2439" i="1"/>
  <c r="K2441" i="1"/>
  <c r="K2443" i="1"/>
  <c r="K2445" i="1"/>
  <c r="K2447" i="1"/>
  <c r="K2449" i="1"/>
  <c r="K2451" i="1"/>
  <c r="K2453" i="1"/>
  <c r="K2455" i="1"/>
  <c r="K2457" i="1"/>
  <c r="K2459" i="1"/>
  <c r="K2461" i="1"/>
  <c r="J2300" i="1" l="1"/>
  <c r="K2300" i="1" s="1"/>
  <c r="J2301" i="1"/>
  <c r="J2302" i="1"/>
  <c r="K2302" i="1" s="1"/>
  <c r="J2303" i="1"/>
  <c r="J2304" i="1"/>
  <c r="K2304" i="1" s="1"/>
  <c r="J2305" i="1"/>
  <c r="J2306" i="1"/>
  <c r="K2306" i="1" s="1"/>
  <c r="J2307" i="1"/>
  <c r="J2308" i="1"/>
  <c r="K2308" i="1" s="1"/>
  <c r="J2309" i="1"/>
  <c r="J2310" i="1"/>
  <c r="K2310" i="1" s="1"/>
  <c r="J2311" i="1"/>
  <c r="J2312" i="1"/>
  <c r="K2312" i="1" s="1"/>
  <c r="J2313" i="1"/>
  <c r="J2314" i="1"/>
  <c r="K2314" i="1" s="1"/>
  <c r="J2315" i="1"/>
  <c r="J2316" i="1"/>
  <c r="K2316" i="1" s="1"/>
  <c r="J2317" i="1"/>
  <c r="J2318" i="1"/>
  <c r="K2318" i="1" s="1"/>
  <c r="J2319" i="1"/>
  <c r="J2320" i="1"/>
  <c r="K2320" i="1" s="1"/>
  <c r="J2321" i="1"/>
  <c r="J2322" i="1"/>
  <c r="K2322" i="1" s="1"/>
  <c r="J2323" i="1"/>
  <c r="J2324" i="1"/>
  <c r="K2324" i="1" s="1"/>
  <c r="J2325" i="1"/>
  <c r="J2326" i="1"/>
  <c r="K2326" i="1" s="1"/>
  <c r="J2327" i="1"/>
  <c r="J2328" i="1"/>
  <c r="K2328" i="1" s="1"/>
  <c r="J2329" i="1"/>
  <c r="J2330" i="1"/>
  <c r="K2330" i="1" s="1"/>
  <c r="J2331" i="1"/>
  <c r="J2332" i="1"/>
  <c r="K2332" i="1" s="1"/>
  <c r="J2333" i="1"/>
  <c r="J2334" i="1"/>
  <c r="K2334" i="1" s="1"/>
  <c r="J2335" i="1"/>
  <c r="J2336" i="1"/>
  <c r="K2336" i="1" s="1"/>
  <c r="J2337" i="1"/>
  <c r="J2338" i="1"/>
  <c r="K2338" i="1" s="1"/>
  <c r="J2339" i="1"/>
  <c r="J2340" i="1"/>
  <c r="K2340" i="1" s="1"/>
  <c r="J2341" i="1"/>
  <c r="J2342" i="1"/>
  <c r="K2342" i="1" s="1"/>
  <c r="J2343" i="1"/>
  <c r="J2344" i="1"/>
  <c r="K2344" i="1" s="1"/>
  <c r="J2345" i="1"/>
  <c r="J2346" i="1"/>
  <c r="K2346" i="1" s="1"/>
  <c r="J2347" i="1"/>
  <c r="J2348" i="1"/>
  <c r="K2348" i="1" s="1"/>
  <c r="J2349" i="1"/>
  <c r="J2350" i="1"/>
  <c r="K2350" i="1" s="1"/>
  <c r="J2351" i="1"/>
  <c r="J2352" i="1"/>
  <c r="K2352" i="1" s="1"/>
  <c r="J2353" i="1"/>
  <c r="J2354" i="1"/>
  <c r="K2354" i="1" s="1"/>
  <c r="J2355" i="1"/>
  <c r="J2356" i="1"/>
  <c r="K2356" i="1" s="1"/>
  <c r="J2357" i="1"/>
  <c r="J2358" i="1"/>
  <c r="K2358" i="1" s="1"/>
  <c r="J2359" i="1"/>
  <c r="J2360" i="1"/>
  <c r="K2360" i="1" s="1"/>
  <c r="J2361" i="1"/>
  <c r="J2362" i="1"/>
  <c r="K2362" i="1" s="1"/>
  <c r="J2363" i="1"/>
  <c r="J2364" i="1"/>
  <c r="K2364" i="1" s="1"/>
  <c r="J2365" i="1"/>
  <c r="J2366" i="1"/>
  <c r="K2366" i="1" s="1"/>
  <c r="J2367" i="1"/>
  <c r="J2368" i="1"/>
  <c r="K2368" i="1" s="1"/>
  <c r="J2369" i="1"/>
  <c r="J2370" i="1"/>
  <c r="K2370" i="1" s="1"/>
  <c r="J2371" i="1"/>
  <c r="J2372" i="1"/>
  <c r="K2372" i="1" s="1"/>
  <c r="J2373" i="1"/>
  <c r="J2374" i="1"/>
  <c r="K2374" i="1" s="1"/>
  <c r="J2375" i="1"/>
  <c r="J2376" i="1"/>
  <c r="K2376" i="1" s="1"/>
  <c r="J2377" i="1"/>
  <c r="J2378" i="1"/>
  <c r="K2378" i="1" s="1"/>
  <c r="J2379" i="1"/>
  <c r="J2380" i="1"/>
  <c r="K2380" i="1" s="1"/>
  <c r="J2381" i="1"/>
  <c r="J2382" i="1"/>
  <c r="K2382" i="1" s="1"/>
  <c r="J2383" i="1"/>
  <c r="J2384" i="1"/>
  <c r="K2384" i="1" s="1"/>
  <c r="J2385" i="1"/>
  <c r="J2386" i="1"/>
  <c r="K2386" i="1" s="1"/>
  <c r="J2387" i="1"/>
  <c r="J2388" i="1"/>
  <c r="K2388" i="1" s="1"/>
  <c r="J2389" i="1"/>
  <c r="J2390" i="1"/>
  <c r="K2390" i="1" s="1"/>
  <c r="J2391" i="1"/>
  <c r="J2392" i="1"/>
  <c r="K2392" i="1" s="1"/>
  <c r="J2393" i="1"/>
  <c r="J2394" i="1"/>
  <c r="K2394" i="1" s="1"/>
  <c r="J2395" i="1"/>
  <c r="J2396" i="1"/>
  <c r="K2396" i="1" s="1"/>
  <c r="J2397" i="1"/>
  <c r="J2398" i="1"/>
  <c r="K2398" i="1" s="1"/>
  <c r="J2399" i="1"/>
  <c r="J2400" i="1"/>
  <c r="K2400" i="1" s="1"/>
  <c r="J2401" i="1"/>
  <c r="J2402" i="1"/>
  <c r="K2402" i="1" s="1"/>
  <c r="J2403" i="1"/>
  <c r="J2404" i="1"/>
  <c r="K2404" i="1" s="1"/>
  <c r="J2405" i="1"/>
  <c r="J2406" i="1"/>
  <c r="K2406" i="1" s="1"/>
  <c r="J2407" i="1"/>
  <c r="J2408" i="1"/>
  <c r="K2408" i="1" s="1"/>
  <c r="J2409" i="1"/>
  <c r="J2410" i="1"/>
  <c r="K2410" i="1" s="1"/>
  <c r="J2411" i="1"/>
  <c r="J2412" i="1"/>
  <c r="K2412" i="1" s="1"/>
  <c r="J2413" i="1"/>
  <c r="J2414" i="1"/>
  <c r="K2414" i="1" s="1"/>
  <c r="J2415" i="1"/>
  <c r="J2416" i="1"/>
  <c r="K2416" i="1" s="1"/>
  <c r="J2417" i="1"/>
  <c r="J2418" i="1"/>
  <c r="K2418" i="1" s="1"/>
  <c r="J2419" i="1"/>
  <c r="J2420" i="1"/>
  <c r="K2420" i="1" s="1"/>
  <c r="J2421" i="1"/>
  <c r="J2422" i="1"/>
  <c r="K2422" i="1" s="1"/>
  <c r="J2423" i="1"/>
  <c r="J2424" i="1"/>
  <c r="K2424" i="1" s="1"/>
  <c r="J2425" i="1"/>
  <c r="J2426" i="1"/>
  <c r="K2426" i="1" s="1"/>
  <c r="J2427" i="1"/>
  <c r="J2428" i="1"/>
  <c r="K2428" i="1" s="1"/>
  <c r="J2429" i="1"/>
  <c r="J2430" i="1"/>
  <c r="K2430" i="1" s="1"/>
  <c r="J2431" i="1"/>
  <c r="J2432" i="1"/>
  <c r="K2432" i="1" s="1"/>
  <c r="J2433" i="1"/>
  <c r="J2434" i="1"/>
  <c r="K2434" i="1" s="1"/>
  <c r="J2435" i="1"/>
  <c r="J2436" i="1"/>
  <c r="K2436" i="1" s="1"/>
  <c r="J2437" i="1"/>
  <c r="J2438" i="1"/>
  <c r="K2438" i="1" s="1"/>
  <c r="J2439" i="1"/>
  <c r="J2440" i="1"/>
  <c r="K2440" i="1" s="1"/>
  <c r="J2441" i="1"/>
  <c r="J2442" i="1"/>
  <c r="K2442" i="1" s="1"/>
  <c r="J2443" i="1"/>
  <c r="J2444" i="1"/>
  <c r="K2444" i="1" s="1"/>
  <c r="J2445" i="1"/>
  <c r="J2446" i="1"/>
  <c r="K2446" i="1" s="1"/>
  <c r="J2447" i="1"/>
  <c r="J2448" i="1"/>
  <c r="K2448" i="1" s="1"/>
  <c r="J2449" i="1"/>
  <c r="J2450" i="1"/>
  <c r="K2450" i="1" s="1"/>
  <c r="J2451" i="1"/>
  <c r="J2452" i="1"/>
  <c r="K2452" i="1" s="1"/>
  <c r="J2453" i="1"/>
  <c r="J2454" i="1"/>
  <c r="K2454" i="1" s="1"/>
  <c r="J2455" i="1"/>
  <c r="J2456" i="1"/>
  <c r="K2456" i="1" s="1"/>
  <c r="J2457" i="1"/>
  <c r="J2458" i="1"/>
  <c r="K2458" i="1" s="1"/>
  <c r="J2459" i="1"/>
  <c r="J2460" i="1"/>
  <c r="K2460" i="1" s="1"/>
  <c r="J2461" i="1"/>
  <c r="J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299" i="1"/>
  <c r="U6" i="2" l="1"/>
  <c r="U7" i="2"/>
  <c r="U8" i="2"/>
  <c r="U9" i="2"/>
  <c r="U10" i="2"/>
  <c r="U12" i="2"/>
  <c r="U13" i="2"/>
  <c r="U16" i="2"/>
  <c r="U17" i="2"/>
  <c r="U18" i="2"/>
  <c r="U19" i="2"/>
  <c r="U23" i="2"/>
  <c r="U24" i="2"/>
  <c r="U28" i="2"/>
  <c r="U30" i="2"/>
  <c r="U31" i="2"/>
  <c r="U34" i="2"/>
  <c r="U37" i="2"/>
  <c r="U39" i="2"/>
  <c r="U41" i="2"/>
  <c r="U43" i="2"/>
  <c r="U44" i="2"/>
  <c r="U46" i="2"/>
  <c r="U47" i="2"/>
  <c r="U50" i="2"/>
  <c r="U52" i="2"/>
  <c r="U53" i="2"/>
  <c r="U54" i="2"/>
  <c r="U55" i="2"/>
  <c r="U56" i="2"/>
  <c r="U57" i="2"/>
  <c r="U59" i="2"/>
  <c r="U60" i="2"/>
  <c r="U61" i="2"/>
  <c r="U62" i="2"/>
  <c r="U64" i="2"/>
  <c r="U65" i="2"/>
  <c r="U66" i="2"/>
  <c r="U67" i="2"/>
  <c r="U70" i="2"/>
  <c r="U71" i="2"/>
  <c r="U73" i="2"/>
  <c r="U76" i="2"/>
  <c r="U77" i="2"/>
  <c r="U80" i="2"/>
  <c r="U81" i="2"/>
  <c r="U89" i="2"/>
  <c r="U91" i="2"/>
  <c r="U92" i="2"/>
  <c r="U95" i="2"/>
  <c r="U96" i="2"/>
  <c r="U99" i="2"/>
  <c r="U100" i="2"/>
  <c r="U101" i="2"/>
  <c r="U102" i="2"/>
  <c r="U103" i="2"/>
  <c r="U105" i="2"/>
  <c r="U106" i="2"/>
  <c r="U107" i="2"/>
  <c r="U108" i="2"/>
  <c r="U110" i="2"/>
  <c r="U111" i="2"/>
  <c r="U113" i="2"/>
  <c r="U117" i="2"/>
  <c r="U119" i="2"/>
  <c r="U124" i="2"/>
  <c r="U126" i="2"/>
  <c r="U127" i="2"/>
  <c r="U128" i="2"/>
  <c r="U129" i="2"/>
  <c r="U131" i="2"/>
  <c r="U134" i="2"/>
  <c r="U135" i="2"/>
  <c r="U136" i="2"/>
  <c r="U137" i="2"/>
  <c r="U138" i="2"/>
  <c r="U139" i="2"/>
  <c r="U142" i="2"/>
  <c r="U143" i="2"/>
  <c r="U146" i="2"/>
  <c r="U147" i="2"/>
  <c r="U149" i="2"/>
  <c r="U151" i="2"/>
  <c r="U152" i="2"/>
  <c r="U153" i="2"/>
  <c r="U155" i="2"/>
  <c r="U156" i="2"/>
  <c r="U157" i="2"/>
  <c r="U158" i="2"/>
  <c r="U159" i="2"/>
  <c r="U160" i="2"/>
  <c r="U163" i="2"/>
  <c r="U166" i="2"/>
  <c r="U167" i="2"/>
  <c r="U169" i="2"/>
  <c r="U170" i="2"/>
  <c r="U171" i="2"/>
  <c r="U173" i="2"/>
  <c r="U174" i="2"/>
  <c r="U175" i="2"/>
  <c r="U178" i="2"/>
  <c r="U180" i="2"/>
  <c r="U182" i="2"/>
  <c r="U183" i="2"/>
  <c r="U184" i="2"/>
  <c r="U187" i="2"/>
  <c r="U189" i="2"/>
  <c r="U190" i="2"/>
  <c r="U192" i="2"/>
  <c r="U193" i="2"/>
  <c r="U194" i="2"/>
  <c r="U195" i="2"/>
  <c r="U199" i="2"/>
  <c r="U200" i="2"/>
  <c r="U203" i="2"/>
  <c r="U204" i="2"/>
  <c r="U210" i="2"/>
  <c r="U212" i="2"/>
  <c r="U213" i="2"/>
  <c r="U217" i="2"/>
  <c r="U219" i="2"/>
  <c r="U220" i="2"/>
  <c r="U221" i="2"/>
  <c r="U224" i="2"/>
  <c r="U225" i="2"/>
  <c r="U226" i="2"/>
  <c r="U227" i="2"/>
  <c r="U228" i="2"/>
  <c r="U229" i="2"/>
  <c r="U231" i="2"/>
  <c r="U233" i="2"/>
  <c r="U235" i="2"/>
  <c r="U237" i="2"/>
  <c r="U240" i="2"/>
  <c r="U243" i="2"/>
  <c r="U245" i="2"/>
  <c r="U246" i="2"/>
  <c r="U247" i="2"/>
  <c r="U248" i="2"/>
  <c r="U250" i="2"/>
  <c r="U251" i="2"/>
  <c r="U252" i="2"/>
  <c r="U253" i="2"/>
  <c r="U255" i="2"/>
  <c r="U257" i="2"/>
  <c r="U258" i="2"/>
  <c r="U260" i="2"/>
  <c r="U262" i="2"/>
  <c r="U264" i="2"/>
  <c r="U266" i="2"/>
  <c r="U267" i="2"/>
  <c r="U271" i="2"/>
  <c r="U272" i="2"/>
  <c r="U275" i="2"/>
  <c r="U276" i="2"/>
  <c r="U277" i="2"/>
  <c r="U278" i="2"/>
  <c r="U279" i="2"/>
  <c r="U280" i="2"/>
  <c r="U281" i="2"/>
  <c r="U284" i="2"/>
  <c r="U287" i="2"/>
  <c r="U288" i="2"/>
  <c r="U289" i="2"/>
  <c r="U291" i="2"/>
  <c r="U294" i="2"/>
  <c r="U295" i="2"/>
  <c r="U296" i="2"/>
  <c r="U298" i="2"/>
  <c r="U299" i="2"/>
  <c r="U300" i="2"/>
  <c r="U301" i="2"/>
  <c r="U302" i="2"/>
  <c r="U303" i="2"/>
  <c r="U304" i="2"/>
  <c r="U305" i="2"/>
  <c r="U306" i="2"/>
  <c r="U307" i="2"/>
  <c r="U308" i="2"/>
  <c r="U310" i="2"/>
  <c r="U311" i="2"/>
  <c r="U315" i="2"/>
  <c r="U316" i="2"/>
  <c r="U318" i="2"/>
  <c r="U321" i="2"/>
  <c r="U322" i="2"/>
  <c r="U326" i="2"/>
  <c r="U327" i="2"/>
  <c r="U328" i="2"/>
  <c r="U330" i="2"/>
  <c r="U331" i="2"/>
  <c r="U332" i="2"/>
  <c r="U334" i="2"/>
  <c r="U335" i="2"/>
  <c r="U336" i="2"/>
  <c r="U337" i="2"/>
  <c r="U339" i="2"/>
  <c r="U341" i="2"/>
  <c r="U343" i="2"/>
  <c r="U344" i="2"/>
  <c r="U345" i="2"/>
  <c r="U347" i="2"/>
  <c r="U348" i="2"/>
  <c r="U349" i="2"/>
  <c r="U350" i="2"/>
  <c r="U352" i="2"/>
  <c r="U353" i="2"/>
  <c r="U354" i="2"/>
  <c r="U356" i="2"/>
  <c r="U357" i="2"/>
  <c r="U359" i="2"/>
  <c r="U360" i="2"/>
  <c r="U361" i="2"/>
  <c r="U362" i="2"/>
  <c r="U363" i="2"/>
  <c r="U368" i="2"/>
  <c r="U369" i="2"/>
  <c r="U370" i="2"/>
  <c r="U371" i="2"/>
  <c r="U372" i="2"/>
  <c r="U373" i="2"/>
  <c r="U374" i="2"/>
  <c r="U378" i="2"/>
  <c r="U380" i="2"/>
  <c r="U381" i="2"/>
  <c r="U382" i="2"/>
  <c r="U384" i="2"/>
  <c r="U385" i="2"/>
  <c r="U387" i="2"/>
  <c r="U388" i="2"/>
  <c r="U389" i="2"/>
  <c r="U392" i="2"/>
  <c r="U395" i="2"/>
  <c r="U397" i="2"/>
  <c r="U398" i="2"/>
  <c r="U400" i="2"/>
  <c r="U401" i="2"/>
  <c r="U402" i="2"/>
  <c r="U403" i="2"/>
  <c r="U404" i="2"/>
  <c r="U405" i="2"/>
  <c r="U406" i="2"/>
  <c r="U410" i="2"/>
  <c r="U411" i="2"/>
  <c r="U412" i="2"/>
  <c r="U413" i="2"/>
  <c r="U415" i="2"/>
  <c r="U416" i="2"/>
  <c r="U417" i="2"/>
  <c r="U419" i="2"/>
  <c r="U420" i="2"/>
  <c r="U421" i="2"/>
  <c r="U422" i="2"/>
  <c r="U423" i="2"/>
  <c r="U424" i="2"/>
  <c r="U425" i="2"/>
  <c r="U426" i="2"/>
  <c r="U427" i="2"/>
  <c r="U428" i="2"/>
  <c r="U432" i="2"/>
  <c r="U433" i="2"/>
  <c r="U435" i="2"/>
  <c r="U436" i="2"/>
  <c r="U438" i="2"/>
  <c r="U440" i="2"/>
  <c r="U441" i="2"/>
  <c r="U442" i="2"/>
  <c r="U445" i="2"/>
  <c r="U447" i="2"/>
  <c r="U448" i="2"/>
  <c r="U449" i="2"/>
  <c r="U450" i="2"/>
  <c r="U451" i="2"/>
  <c r="U454" i="2"/>
  <c r="U455" i="2"/>
  <c r="U457" i="2"/>
  <c r="U460" i="2"/>
  <c r="U461" i="2"/>
  <c r="U462" i="2"/>
  <c r="U463" i="2"/>
  <c r="U464" i="2"/>
  <c r="U465" i="2"/>
  <c r="U466" i="2"/>
  <c r="U468" i="2"/>
  <c r="U469" i="2"/>
  <c r="U471" i="2"/>
  <c r="U472" i="2"/>
  <c r="U473" i="2"/>
  <c r="U478" i="2"/>
  <c r="U479" i="2"/>
  <c r="U482" i="2"/>
  <c r="U484" i="2"/>
  <c r="U485" i="2"/>
  <c r="U486" i="2"/>
  <c r="U488" i="2"/>
  <c r="U489" i="2"/>
  <c r="U491" i="2"/>
  <c r="U492" i="2"/>
  <c r="U494" i="2"/>
  <c r="U495" i="2"/>
  <c r="U496" i="2"/>
  <c r="U497" i="2"/>
  <c r="U500" i="2"/>
  <c r="U504" i="2"/>
  <c r="U507" i="2"/>
  <c r="U508" i="2"/>
  <c r="U509" i="2"/>
  <c r="U510" i="2"/>
  <c r="U514" i="2"/>
  <c r="U516" i="2"/>
  <c r="U517" i="2"/>
  <c r="U518" i="2"/>
  <c r="U520" i="2"/>
  <c r="U521" i="2"/>
  <c r="U524" i="2"/>
  <c r="U526" i="2"/>
  <c r="U528" i="2"/>
  <c r="U530" i="2"/>
  <c r="U531" i="2"/>
  <c r="U534" i="2"/>
  <c r="U535" i="2"/>
  <c r="U536" i="2"/>
  <c r="U537" i="2"/>
  <c r="U538" i="2"/>
  <c r="U539" i="2"/>
  <c r="U544" i="2"/>
  <c r="U545" i="2"/>
  <c r="U546" i="2"/>
  <c r="U547" i="2"/>
  <c r="U548" i="2"/>
  <c r="U550" i="2"/>
  <c r="U551" i="2"/>
  <c r="U552" i="2"/>
  <c r="U555" i="2"/>
  <c r="U556" i="2"/>
  <c r="U557" i="2"/>
  <c r="U558" i="2"/>
  <c r="U561" i="2"/>
  <c r="U564" i="2"/>
  <c r="U565" i="2"/>
  <c r="U566" i="2"/>
  <c r="U569" i="2"/>
  <c r="U571" i="2"/>
  <c r="U573" i="2"/>
  <c r="U574" i="2"/>
  <c r="U575" i="2"/>
  <c r="U579" i="2"/>
  <c r="U580" i="2"/>
  <c r="U582" i="2"/>
  <c r="U583" i="2"/>
  <c r="U585" i="2"/>
  <c r="U587" i="2"/>
  <c r="U588" i="2"/>
  <c r="U589" i="2"/>
  <c r="U590" i="2"/>
  <c r="U591" i="2"/>
  <c r="U592" i="2"/>
  <c r="U593" i="2"/>
  <c r="U594" i="2"/>
  <c r="U595" i="2"/>
  <c r="U597" i="2"/>
  <c r="U598" i="2"/>
  <c r="U599" i="2"/>
  <c r="U600" i="2"/>
  <c r="U604" i="2"/>
  <c r="U605" i="2"/>
  <c r="U606" i="2"/>
  <c r="U607" i="2"/>
  <c r="U608" i="2"/>
  <c r="U609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5" i="2"/>
  <c r="U636" i="2"/>
  <c r="U637" i="2"/>
  <c r="U638" i="2"/>
  <c r="U640" i="2"/>
  <c r="U641" i="2"/>
  <c r="U642" i="2"/>
  <c r="U643" i="2"/>
  <c r="U644" i="2"/>
  <c r="U645" i="2"/>
  <c r="U646" i="2"/>
  <c r="U647" i="2"/>
  <c r="U648" i="2"/>
  <c r="U650" i="2"/>
  <c r="U651" i="2"/>
  <c r="U653" i="2"/>
  <c r="U654" i="2"/>
  <c r="U657" i="2"/>
  <c r="U658" i="2"/>
  <c r="U660" i="2"/>
  <c r="U661" i="2"/>
  <c r="U662" i="2"/>
  <c r="U663" i="2"/>
  <c r="U664" i="2"/>
  <c r="U665" i="2"/>
  <c r="U668" i="2"/>
  <c r="U670" i="2"/>
  <c r="U672" i="2"/>
  <c r="U673" i="2"/>
  <c r="U676" i="2"/>
  <c r="U679" i="2"/>
  <c r="U680" i="2"/>
  <c r="U681" i="2"/>
  <c r="U683" i="2"/>
  <c r="U685" i="2"/>
  <c r="U686" i="2"/>
  <c r="U687" i="2"/>
  <c r="U688" i="2"/>
  <c r="U690" i="2"/>
  <c r="U693" i="2"/>
  <c r="U694" i="2"/>
  <c r="U696" i="2"/>
  <c r="U697" i="2"/>
  <c r="U698" i="2"/>
  <c r="U699" i="2"/>
  <c r="U701" i="2"/>
  <c r="U702" i="2"/>
  <c r="U703" i="2"/>
  <c r="U705" i="2"/>
  <c r="U706" i="2"/>
  <c r="U707" i="2"/>
  <c r="U710" i="2"/>
  <c r="U712" i="2"/>
  <c r="U713" i="2"/>
  <c r="U714" i="2"/>
  <c r="U716" i="2"/>
  <c r="U721" i="2"/>
  <c r="U724" i="2"/>
  <c r="U725" i="2"/>
  <c r="U727" i="2"/>
  <c r="U728" i="2"/>
  <c r="U729" i="2"/>
  <c r="U731" i="2"/>
  <c r="U732" i="2"/>
  <c r="U733" i="2"/>
  <c r="U736" i="2"/>
  <c r="U738" i="2"/>
  <c r="U739" i="2"/>
  <c r="U740" i="2"/>
  <c r="U741" i="2"/>
  <c r="U742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60" i="2"/>
  <c r="U761" i="2"/>
  <c r="U762" i="2"/>
  <c r="U763" i="2"/>
  <c r="U764" i="2"/>
  <c r="U767" i="2"/>
  <c r="U769" i="2"/>
  <c r="U773" i="2"/>
  <c r="U774" i="2"/>
  <c r="U777" i="2"/>
  <c r="U778" i="2"/>
  <c r="U781" i="2"/>
  <c r="U783" i="2"/>
  <c r="U784" i="2"/>
  <c r="U785" i="2"/>
  <c r="U786" i="2"/>
  <c r="U787" i="2"/>
  <c r="U788" i="2"/>
  <c r="U789" i="2"/>
  <c r="U790" i="2"/>
  <c r="U791" i="2"/>
  <c r="U792" i="2"/>
  <c r="U794" i="2"/>
  <c r="U795" i="2"/>
  <c r="U796" i="2"/>
  <c r="U798" i="2"/>
  <c r="U799" i="2"/>
  <c r="U800" i="2"/>
  <c r="U802" i="2"/>
  <c r="U803" i="2"/>
  <c r="U806" i="2"/>
  <c r="U807" i="2"/>
  <c r="U809" i="2"/>
  <c r="U811" i="2"/>
  <c r="U812" i="2"/>
  <c r="U813" i="2"/>
  <c r="U814" i="2"/>
  <c r="U815" i="2"/>
  <c r="U816" i="2"/>
  <c r="U817" i="2"/>
  <c r="U818" i="2"/>
  <c r="U820" i="2"/>
  <c r="U824" i="2"/>
  <c r="U825" i="2"/>
  <c r="U826" i="2"/>
  <c r="U829" i="2"/>
  <c r="U831" i="2"/>
  <c r="U832" i="2"/>
  <c r="U833" i="2"/>
  <c r="U835" i="2"/>
  <c r="U836" i="2"/>
  <c r="U837" i="2"/>
  <c r="U838" i="2"/>
  <c r="U840" i="2"/>
  <c r="U841" i="2"/>
  <c r="U842" i="2"/>
  <c r="U843" i="2"/>
  <c r="U845" i="2"/>
  <c r="U847" i="2"/>
  <c r="U848" i="2"/>
  <c r="U850" i="2"/>
  <c r="U852" i="2"/>
  <c r="U853" i="2"/>
  <c r="U854" i="2"/>
  <c r="U856" i="2"/>
  <c r="U857" i="2"/>
  <c r="U859" i="2"/>
  <c r="U860" i="2"/>
  <c r="U861" i="2"/>
  <c r="U862" i="2"/>
  <c r="U864" i="2"/>
  <c r="U865" i="2"/>
  <c r="U866" i="2"/>
  <c r="U868" i="2"/>
  <c r="U869" i="2"/>
  <c r="U870" i="2"/>
  <c r="U871" i="2"/>
  <c r="U872" i="2"/>
  <c r="U873" i="2"/>
  <c r="U874" i="2"/>
  <c r="U875" i="2"/>
  <c r="U877" i="2"/>
  <c r="U878" i="2"/>
  <c r="U879" i="2"/>
  <c r="U881" i="2"/>
  <c r="U882" i="2"/>
  <c r="U883" i="2"/>
  <c r="U884" i="2"/>
  <c r="S6" i="2"/>
  <c r="S7" i="2"/>
  <c r="S8" i="2"/>
  <c r="S9" i="2"/>
  <c r="S10" i="2"/>
  <c r="S12" i="2"/>
  <c r="S13" i="2"/>
  <c r="S16" i="2"/>
  <c r="S17" i="2"/>
  <c r="S18" i="2"/>
  <c r="S19" i="2"/>
  <c r="S23" i="2"/>
  <c r="S24" i="2"/>
  <c r="S28" i="2"/>
  <c r="S30" i="2"/>
  <c r="S31" i="2"/>
  <c r="S34" i="2"/>
  <c r="S37" i="2"/>
  <c r="S39" i="2"/>
  <c r="S41" i="2"/>
  <c r="S43" i="2"/>
  <c r="S44" i="2"/>
  <c r="S46" i="2"/>
  <c r="S47" i="2"/>
  <c r="S50" i="2"/>
  <c r="S52" i="2"/>
  <c r="S53" i="2"/>
  <c r="S54" i="2"/>
  <c r="S55" i="2"/>
  <c r="S56" i="2"/>
  <c r="S57" i="2"/>
  <c r="S59" i="2"/>
  <c r="S60" i="2"/>
  <c r="S61" i="2"/>
  <c r="S62" i="2"/>
  <c r="S64" i="2"/>
  <c r="S65" i="2"/>
  <c r="S66" i="2"/>
  <c r="S67" i="2"/>
  <c r="S70" i="2"/>
  <c r="S71" i="2"/>
  <c r="S73" i="2"/>
  <c r="S76" i="2"/>
  <c r="S77" i="2"/>
  <c r="S80" i="2"/>
  <c r="S81" i="2"/>
  <c r="S89" i="2"/>
  <c r="S91" i="2"/>
  <c r="S92" i="2"/>
  <c r="S95" i="2"/>
  <c r="S96" i="2"/>
  <c r="S99" i="2"/>
  <c r="S100" i="2"/>
  <c r="S101" i="2"/>
  <c r="S102" i="2"/>
  <c r="S103" i="2"/>
  <c r="S105" i="2"/>
  <c r="S106" i="2"/>
  <c r="S107" i="2"/>
  <c r="S108" i="2"/>
  <c r="S110" i="2"/>
  <c r="S111" i="2"/>
  <c r="S113" i="2"/>
  <c r="S117" i="2"/>
  <c r="S119" i="2"/>
  <c r="S124" i="2"/>
  <c r="S126" i="2"/>
  <c r="S127" i="2"/>
  <c r="S128" i="2"/>
  <c r="S129" i="2"/>
  <c r="S131" i="2"/>
  <c r="S134" i="2"/>
  <c r="S135" i="2"/>
  <c r="S136" i="2"/>
  <c r="S137" i="2"/>
  <c r="S138" i="2"/>
  <c r="S139" i="2"/>
  <c r="S142" i="2"/>
  <c r="S143" i="2"/>
  <c r="S146" i="2"/>
  <c r="S147" i="2"/>
  <c r="S149" i="2"/>
  <c r="S151" i="2"/>
  <c r="S152" i="2"/>
  <c r="S153" i="2"/>
  <c r="S155" i="2"/>
  <c r="S156" i="2"/>
  <c r="S157" i="2"/>
  <c r="S158" i="2"/>
  <c r="S159" i="2"/>
  <c r="S160" i="2"/>
  <c r="S163" i="2"/>
  <c r="S166" i="2"/>
  <c r="S167" i="2"/>
  <c r="S169" i="2"/>
  <c r="S170" i="2"/>
  <c r="S171" i="2"/>
  <c r="S173" i="2"/>
  <c r="S174" i="2"/>
  <c r="S175" i="2"/>
  <c r="S178" i="2"/>
  <c r="S180" i="2"/>
  <c r="S182" i="2"/>
  <c r="S183" i="2"/>
  <c r="S184" i="2"/>
  <c r="S187" i="2"/>
  <c r="S189" i="2"/>
  <c r="S190" i="2"/>
  <c r="S192" i="2"/>
  <c r="S193" i="2"/>
  <c r="S194" i="2"/>
  <c r="S195" i="2"/>
  <c r="S199" i="2"/>
  <c r="S200" i="2"/>
  <c r="S203" i="2"/>
  <c r="S204" i="2"/>
  <c r="S210" i="2"/>
  <c r="S212" i="2"/>
  <c r="S213" i="2"/>
  <c r="S217" i="2"/>
  <c r="S219" i="2"/>
  <c r="S220" i="2"/>
  <c r="S221" i="2"/>
  <c r="S224" i="2"/>
  <c r="S225" i="2"/>
  <c r="S226" i="2"/>
  <c r="S227" i="2"/>
  <c r="S228" i="2"/>
  <c r="S229" i="2"/>
  <c r="S231" i="2"/>
  <c r="S233" i="2"/>
  <c r="S235" i="2"/>
  <c r="S237" i="2"/>
  <c r="S240" i="2"/>
  <c r="S243" i="2"/>
  <c r="S245" i="2"/>
  <c r="S246" i="2"/>
  <c r="S247" i="2"/>
  <c r="S248" i="2"/>
  <c r="S250" i="2"/>
  <c r="S251" i="2"/>
  <c r="S252" i="2"/>
  <c r="S253" i="2"/>
  <c r="S255" i="2"/>
  <c r="S257" i="2"/>
  <c r="S258" i="2"/>
  <c r="S260" i="2"/>
  <c r="S262" i="2"/>
  <c r="S264" i="2"/>
  <c r="S266" i="2"/>
  <c r="S267" i="2"/>
  <c r="S271" i="2"/>
  <c r="S272" i="2"/>
  <c r="S275" i="2"/>
  <c r="S276" i="2"/>
  <c r="S277" i="2"/>
  <c r="S278" i="2"/>
  <c r="S279" i="2"/>
  <c r="S280" i="2"/>
  <c r="S281" i="2"/>
  <c r="S284" i="2"/>
  <c r="S287" i="2"/>
  <c r="S288" i="2"/>
  <c r="S289" i="2"/>
  <c r="S291" i="2"/>
  <c r="S294" i="2"/>
  <c r="S295" i="2"/>
  <c r="S296" i="2"/>
  <c r="S298" i="2"/>
  <c r="S299" i="2"/>
  <c r="S300" i="2"/>
  <c r="S301" i="2"/>
  <c r="S302" i="2"/>
  <c r="S303" i="2"/>
  <c r="S304" i="2"/>
  <c r="S305" i="2"/>
  <c r="S306" i="2"/>
  <c r="S307" i="2"/>
  <c r="S308" i="2"/>
  <c r="S310" i="2"/>
  <c r="S311" i="2"/>
  <c r="S315" i="2"/>
  <c r="S316" i="2"/>
  <c r="S318" i="2"/>
  <c r="S321" i="2"/>
  <c r="S322" i="2"/>
  <c r="S326" i="2"/>
  <c r="S327" i="2"/>
  <c r="S328" i="2"/>
  <c r="S330" i="2"/>
  <c r="S331" i="2"/>
  <c r="S332" i="2"/>
  <c r="S334" i="2"/>
  <c r="S335" i="2"/>
  <c r="S336" i="2"/>
  <c r="S337" i="2"/>
  <c r="S339" i="2"/>
  <c r="S341" i="2"/>
  <c r="S343" i="2"/>
  <c r="S344" i="2"/>
  <c r="S345" i="2"/>
  <c r="S347" i="2"/>
  <c r="S348" i="2"/>
  <c r="S349" i="2"/>
  <c r="S350" i="2"/>
  <c r="S352" i="2"/>
  <c r="S353" i="2"/>
  <c r="S354" i="2"/>
  <c r="S356" i="2"/>
  <c r="S357" i="2"/>
  <c r="S359" i="2"/>
  <c r="S360" i="2"/>
  <c r="S361" i="2"/>
  <c r="S362" i="2"/>
  <c r="S363" i="2"/>
  <c r="S368" i="2"/>
  <c r="S369" i="2"/>
  <c r="S370" i="2"/>
  <c r="S371" i="2"/>
  <c r="S372" i="2"/>
  <c r="S373" i="2"/>
  <c r="S374" i="2"/>
  <c r="S378" i="2"/>
  <c r="S380" i="2"/>
  <c r="S381" i="2"/>
  <c r="S382" i="2"/>
  <c r="S384" i="2"/>
  <c r="S385" i="2"/>
  <c r="S387" i="2"/>
  <c r="S388" i="2"/>
  <c r="S389" i="2"/>
  <c r="S392" i="2"/>
  <c r="S395" i="2"/>
  <c r="S397" i="2"/>
  <c r="S398" i="2"/>
  <c r="S400" i="2"/>
  <c r="S401" i="2"/>
  <c r="S402" i="2"/>
  <c r="S403" i="2"/>
  <c r="S404" i="2"/>
  <c r="S405" i="2"/>
  <c r="S406" i="2"/>
  <c r="S410" i="2"/>
  <c r="S411" i="2"/>
  <c r="S412" i="2"/>
  <c r="S413" i="2"/>
  <c r="S415" i="2"/>
  <c r="S416" i="2"/>
  <c r="S417" i="2"/>
  <c r="S419" i="2"/>
  <c r="S420" i="2"/>
  <c r="S421" i="2"/>
  <c r="S422" i="2"/>
  <c r="S423" i="2"/>
  <c r="S424" i="2"/>
  <c r="S425" i="2"/>
  <c r="S426" i="2"/>
  <c r="S427" i="2"/>
  <c r="S428" i="2"/>
  <c r="S432" i="2"/>
  <c r="S433" i="2"/>
  <c r="S435" i="2"/>
  <c r="S436" i="2"/>
  <c r="S438" i="2"/>
  <c r="S440" i="2"/>
  <c r="S441" i="2"/>
  <c r="S442" i="2"/>
  <c r="S445" i="2"/>
  <c r="S447" i="2"/>
  <c r="S448" i="2"/>
  <c r="S449" i="2"/>
  <c r="S450" i="2"/>
  <c r="S451" i="2"/>
  <c r="S454" i="2"/>
  <c r="S455" i="2"/>
  <c r="S457" i="2"/>
  <c r="S460" i="2"/>
  <c r="S461" i="2"/>
  <c r="S462" i="2"/>
  <c r="S463" i="2"/>
  <c r="S464" i="2"/>
  <c r="S465" i="2"/>
  <c r="S466" i="2"/>
  <c r="S468" i="2"/>
  <c r="S469" i="2"/>
  <c r="S471" i="2"/>
  <c r="S472" i="2"/>
  <c r="S473" i="2"/>
  <c r="S478" i="2"/>
  <c r="S479" i="2"/>
  <c r="S482" i="2"/>
  <c r="S484" i="2"/>
  <c r="S485" i="2"/>
  <c r="S486" i="2"/>
  <c r="S488" i="2"/>
  <c r="S489" i="2"/>
  <c r="S491" i="2"/>
  <c r="S492" i="2"/>
  <c r="S494" i="2"/>
  <c r="S495" i="2"/>
  <c r="S496" i="2"/>
  <c r="S497" i="2"/>
  <c r="S500" i="2"/>
  <c r="S504" i="2"/>
  <c r="S507" i="2"/>
  <c r="S508" i="2"/>
  <c r="S509" i="2"/>
  <c r="S510" i="2"/>
  <c r="S514" i="2"/>
  <c r="S516" i="2"/>
  <c r="S517" i="2"/>
  <c r="S518" i="2"/>
  <c r="S520" i="2"/>
  <c r="S521" i="2"/>
  <c r="S524" i="2"/>
  <c r="S526" i="2"/>
  <c r="S528" i="2"/>
  <c r="S530" i="2"/>
  <c r="S531" i="2"/>
  <c r="S534" i="2"/>
  <c r="S535" i="2"/>
  <c r="S536" i="2"/>
  <c r="S537" i="2"/>
  <c r="S538" i="2"/>
  <c r="S539" i="2"/>
  <c r="S544" i="2"/>
  <c r="S545" i="2"/>
  <c r="S546" i="2"/>
  <c r="S547" i="2"/>
  <c r="S548" i="2"/>
  <c r="S550" i="2"/>
  <c r="S551" i="2"/>
  <c r="S552" i="2"/>
  <c r="S555" i="2"/>
  <c r="S556" i="2"/>
  <c r="S557" i="2"/>
  <c r="S558" i="2"/>
  <c r="S561" i="2"/>
  <c r="S564" i="2"/>
  <c r="S565" i="2"/>
  <c r="S566" i="2"/>
  <c r="S569" i="2"/>
  <c r="S571" i="2"/>
  <c r="S573" i="2"/>
  <c r="S574" i="2"/>
  <c r="S575" i="2"/>
  <c r="S579" i="2"/>
  <c r="S580" i="2"/>
  <c r="S582" i="2"/>
  <c r="S583" i="2"/>
  <c r="S585" i="2"/>
  <c r="S587" i="2"/>
  <c r="S588" i="2"/>
  <c r="S589" i="2"/>
  <c r="S590" i="2"/>
  <c r="S591" i="2"/>
  <c r="S592" i="2"/>
  <c r="S593" i="2"/>
  <c r="S594" i="2"/>
  <c r="S595" i="2"/>
  <c r="S597" i="2"/>
  <c r="S598" i="2"/>
  <c r="S599" i="2"/>
  <c r="S600" i="2"/>
  <c r="S604" i="2"/>
  <c r="S605" i="2"/>
  <c r="S606" i="2"/>
  <c r="S607" i="2"/>
  <c r="S608" i="2"/>
  <c r="S609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5" i="2"/>
  <c r="S636" i="2"/>
  <c r="S637" i="2"/>
  <c r="S638" i="2"/>
  <c r="S640" i="2"/>
  <c r="S641" i="2"/>
  <c r="S642" i="2"/>
  <c r="S643" i="2"/>
  <c r="S644" i="2"/>
  <c r="S645" i="2"/>
  <c r="S646" i="2"/>
  <c r="S647" i="2"/>
  <c r="S648" i="2"/>
  <c r="S650" i="2"/>
  <c r="S651" i="2"/>
  <c r="S653" i="2"/>
  <c r="S654" i="2"/>
  <c r="S657" i="2"/>
  <c r="S658" i="2"/>
  <c r="S660" i="2"/>
  <c r="S661" i="2"/>
  <c r="S662" i="2"/>
  <c r="S663" i="2"/>
  <c r="S664" i="2"/>
  <c r="S665" i="2"/>
  <c r="S668" i="2"/>
  <c r="S670" i="2"/>
  <c r="S672" i="2"/>
  <c r="S673" i="2"/>
  <c r="S676" i="2"/>
  <c r="S679" i="2"/>
  <c r="S680" i="2"/>
  <c r="S681" i="2"/>
  <c r="S683" i="2"/>
  <c r="S685" i="2"/>
  <c r="S686" i="2"/>
  <c r="S687" i="2"/>
  <c r="S688" i="2"/>
  <c r="S690" i="2"/>
  <c r="S693" i="2"/>
  <c r="S694" i="2"/>
  <c r="S696" i="2"/>
  <c r="S697" i="2"/>
  <c r="S698" i="2"/>
  <c r="S699" i="2"/>
  <c r="S701" i="2"/>
  <c r="S702" i="2"/>
  <c r="S703" i="2"/>
  <c r="S705" i="2"/>
  <c r="S706" i="2"/>
  <c r="S707" i="2"/>
  <c r="S710" i="2"/>
  <c r="S712" i="2"/>
  <c r="S713" i="2"/>
  <c r="S714" i="2"/>
  <c r="S716" i="2"/>
  <c r="S721" i="2"/>
  <c r="S724" i="2"/>
  <c r="S725" i="2"/>
  <c r="S727" i="2"/>
  <c r="S728" i="2"/>
  <c r="S729" i="2"/>
  <c r="S731" i="2"/>
  <c r="S732" i="2"/>
  <c r="S733" i="2"/>
  <c r="S736" i="2"/>
  <c r="S738" i="2"/>
  <c r="S739" i="2"/>
  <c r="S740" i="2"/>
  <c r="S741" i="2"/>
  <c r="S742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60" i="2"/>
  <c r="S761" i="2"/>
  <c r="S762" i="2"/>
  <c r="S763" i="2"/>
  <c r="S764" i="2"/>
  <c r="S767" i="2"/>
  <c r="S769" i="2"/>
  <c r="S773" i="2"/>
  <c r="S774" i="2"/>
  <c r="S777" i="2"/>
  <c r="S778" i="2"/>
  <c r="S781" i="2"/>
  <c r="S783" i="2"/>
  <c r="S784" i="2"/>
  <c r="S785" i="2"/>
  <c r="S786" i="2"/>
  <c r="S787" i="2"/>
  <c r="S788" i="2"/>
  <c r="S789" i="2"/>
  <c r="S790" i="2"/>
  <c r="S791" i="2"/>
  <c r="S792" i="2"/>
  <c r="S794" i="2"/>
  <c r="S795" i="2"/>
  <c r="S796" i="2"/>
  <c r="S798" i="2"/>
  <c r="S799" i="2"/>
  <c r="S800" i="2"/>
  <c r="S802" i="2"/>
  <c r="S803" i="2"/>
  <c r="S806" i="2"/>
  <c r="S807" i="2"/>
  <c r="S809" i="2"/>
  <c r="S811" i="2"/>
  <c r="S812" i="2"/>
  <c r="S813" i="2"/>
  <c r="S814" i="2"/>
  <c r="S815" i="2"/>
  <c r="S816" i="2"/>
  <c r="S817" i="2"/>
  <c r="S818" i="2"/>
  <c r="S820" i="2"/>
  <c r="S824" i="2"/>
  <c r="S825" i="2"/>
  <c r="S826" i="2"/>
  <c r="S829" i="2"/>
  <c r="S831" i="2"/>
  <c r="S832" i="2"/>
  <c r="S833" i="2"/>
  <c r="S835" i="2"/>
  <c r="S836" i="2"/>
  <c r="S837" i="2"/>
  <c r="S838" i="2"/>
  <c r="S840" i="2"/>
  <c r="S841" i="2"/>
  <c r="S842" i="2"/>
  <c r="S843" i="2"/>
  <c r="S845" i="2"/>
  <c r="S847" i="2"/>
  <c r="S848" i="2"/>
  <c r="S850" i="2"/>
  <c r="S852" i="2"/>
  <c r="S853" i="2"/>
  <c r="S854" i="2"/>
  <c r="S856" i="2"/>
  <c r="S857" i="2"/>
  <c r="S859" i="2"/>
  <c r="S860" i="2"/>
  <c r="S861" i="2"/>
  <c r="S862" i="2"/>
  <c r="S864" i="2"/>
  <c r="S865" i="2"/>
  <c r="S866" i="2"/>
  <c r="S868" i="2"/>
  <c r="S869" i="2"/>
  <c r="S870" i="2"/>
  <c r="S871" i="2"/>
  <c r="S872" i="2"/>
  <c r="S873" i="2"/>
  <c r="S874" i="2"/>
  <c r="S875" i="2"/>
  <c r="S877" i="2"/>
  <c r="S878" i="2"/>
  <c r="S879" i="2"/>
  <c r="S881" i="2"/>
  <c r="S882" i="2"/>
  <c r="S883" i="2"/>
  <c r="S884" i="2"/>
  <c r="T6" i="2"/>
  <c r="T7" i="2"/>
  <c r="T8" i="2"/>
  <c r="T9" i="2"/>
  <c r="T10" i="2"/>
  <c r="T12" i="2"/>
  <c r="T13" i="2"/>
  <c r="T16" i="2"/>
  <c r="T17" i="2"/>
  <c r="T18" i="2"/>
  <c r="T19" i="2"/>
  <c r="T23" i="2"/>
  <c r="T24" i="2"/>
  <c r="T28" i="2"/>
  <c r="T30" i="2"/>
  <c r="T31" i="2"/>
  <c r="T34" i="2"/>
  <c r="T37" i="2"/>
  <c r="T39" i="2"/>
  <c r="T41" i="2"/>
  <c r="T43" i="2"/>
  <c r="T44" i="2"/>
  <c r="T46" i="2"/>
  <c r="T47" i="2"/>
  <c r="T50" i="2"/>
  <c r="T52" i="2"/>
  <c r="T53" i="2"/>
  <c r="T54" i="2"/>
  <c r="T55" i="2"/>
  <c r="T56" i="2"/>
  <c r="T57" i="2"/>
  <c r="T59" i="2"/>
  <c r="T60" i="2"/>
  <c r="T61" i="2"/>
  <c r="T62" i="2"/>
  <c r="T64" i="2"/>
  <c r="T65" i="2"/>
  <c r="T66" i="2"/>
  <c r="T67" i="2"/>
  <c r="T70" i="2"/>
  <c r="T71" i="2"/>
  <c r="T73" i="2"/>
  <c r="T76" i="2"/>
  <c r="T77" i="2"/>
  <c r="T80" i="2"/>
  <c r="T81" i="2"/>
  <c r="T89" i="2"/>
  <c r="T91" i="2"/>
  <c r="T92" i="2"/>
  <c r="T95" i="2"/>
  <c r="T96" i="2"/>
  <c r="T99" i="2"/>
  <c r="T100" i="2"/>
  <c r="T101" i="2"/>
  <c r="T102" i="2"/>
  <c r="T103" i="2"/>
  <c r="T105" i="2"/>
  <c r="T106" i="2"/>
  <c r="T107" i="2"/>
  <c r="T108" i="2"/>
  <c r="T110" i="2"/>
  <c r="T111" i="2"/>
  <c r="T113" i="2"/>
  <c r="T117" i="2"/>
  <c r="T119" i="2"/>
  <c r="T124" i="2"/>
  <c r="T126" i="2"/>
  <c r="T127" i="2"/>
  <c r="T128" i="2"/>
  <c r="T129" i="2"/>
  <c r="T131" i="2"/>
  <c r="T134" i="2"/>
  <c r="T135" i="2"/>
  <c r="T136" i="2"/>
  <c r="T137" i="2"/>
  <c r="T138" i="2"/>
  <c r="T139" i="2"/>
  <c r="T142" i="2"/>
  <c r="T143" i="2"/>
  <c r="T146" i="2"/>
  <c r="T147" i="2"/>
  <c r="T149" i="2"/>
  <c r="T151" i="2"/>
  <c r="T152" i="2"/>
  <c r="T153" i="2"/>
  <c r="T155" i="2"/>
  <c r="T156" i="2"/>
  <c r="T157" i="2"/>
  <c r="T158" i="2"/>
  <c r="T159" i="2"/>
  <c r="T160" i="2"/>
  <c r="T163" i="2"/>
  <c r="T166" i="2"/>
  <c r="T167" i="2"/>
  <c r="T169" i="2"/>
  <c r="T170" i="2"/>
  <c r="T171" i="2"/>
  <c r="T173" i="2"/>
  <c r="T174" i="2"/>
  <c r="T175" i="2"/>
  <c r="T178" i="2"/>
  <c r="T180" i="2"/>
  <c r="T182" i="2"/>
  <c r="T183" i="2"/>
  <c r="T184" i="2"/>
  <c r="T187" i="2"/>
  <c r="T189" i="2"/>
  <c r="T190" i="2"/>
  <c r="T192" i="2"/>
  <c r="T193" i="2"/>
  <c r="T194" i="2"/>
  <c r="T195" i="2"/>
  <c r="T199" i="2"/>
  <c r="T200" i="2"/>
  <c r="T203" i="2"/>
  <c r="T204" i="2"/>
  <c r="T210" i="2"/>
  <c r="T212" i="2"/>
  <c r="T213" i="2"/>
  <c r="T217" i="2"/>
  <c r="T219" i="2"/>
  <c r="T220" i="2"/>
  <c r="T221" i="2"/>
  <c r="T224" i="2"/>
  <c r="T225" i="2"/>
  <c r="T226" i="2"/>
  <c r="T227" i="2"/>
  <c r="T228" i="2"/>
  <c r="T229" i="2"/>
  <c r="T231" i="2"/>
  <c r="T233" i="2"/>
  <c r="T235" i="2"/>
  <c r="T237" i="2"/>
  <c r="T240" i="2"/>
  <c r="T243" i="2"/>
  <c r="T245" i="2"/>
  <c r="T246" i="2"/>
  <c r="T247" i="2"/>
  <c r="T248" i="2"/>
  <c r="T250" i="2"/>
  <c r="T251" i="2"/>
  <c r="T252" i="2"/>
  <c r="T253" i="2"/>
  <c r="T255" i="2"/>
  <c r="T257" i="2"/>
  <c r="T258" i="2"/>
  <c r="T260" i="2"/>
  <c r="T262" i="2"/>
  <c r="T264" i="2"/>
  <c r="T266" i="2"/>
  <c r="T267" i="2"/>
  <c r="T271" i="2"/>
  <c r="T272" i="2"/>
  <c r="T275" i="2"/>
  <c r="T276" i="2"/>
  <c r="T277" i="2"/>
  <c r="T278" i="2"/>
  <c r="T279" i="2"/>
  <c r="T280" i="2"/>
  <c r="T281" i="2"/>
  <c r="T284" i="2"/>
  <c r="T287" i="2"/>
  <c r="T288" i="2"/>
  <c r="T289" i="2"/>
  <c r="T291" i="2"/>
  <c r="T294" i="2"/>
  <c r="T295" i="2"/>
  <c r="T296" i="2"/>
  <c r="T298" i="2"/>
  <c r="T299" i="2"/>
  <c r="T300" i="2"/>
  <c r="T301" i="2"/>
  <c r="T302" i="2"/>
  <c r="T303" i="2"/>
  <c r="T304" i="2"/>
  <c r="T305" i="2"/>
  <c r="T306" i="2"/>
  <c r="T307" i="2"/>
  <c r="T308" i="2"/>
  <c r="T310" i="2"/>
  <c r="T311" i="2"/>
  <c r="T315" i="2"/>
  <c r="T316" i="2"/>
  <c r="T318" i="2"/>
  <c r="T321" i="2"/>
  <c r="T322" i="2"/>
  <c r="T326" i="2"/>
  <c r="T327" i="2"/>
  <c r="T328" i="2"/>
  <c r="T330" i="2"/>
  <c r="T331" i="2"/>
  <c r="T332" i="2"/>
  <c r="T334" i="2"/>
  <c r="T335" i="2"/>
  <c r="T336" i="2"/>
  <c r="T337" i="2"/>
  <c r="T339" i="2"/>
  <c r="T341" i="2"/>
  <c r="T343" i="2"/>
  <c r="T344" i="2"/>
  <c r="T345" i="2"/>
  <c r="T347" i="2"/>
  <c r="T348" i="2"/>
  <c r="T349" i="2"/>
  <c r="T350" i="2"/>
  <c r="T352" i="2"/>
  <c r="T353" i="2"/>
  <c r="T354" i="2"/>
  <c r="T356" i="2"/>
  <c r="T357" i="2"/>
  <c r="T359" i="2"/>
  <c r="T360" i="2"/>
  <c r="T361" i="2"/>
  <c r="T362" i="2"/>
  <c r="T363" i="2"/>
  <c r="T368" i="2"/>
  <c r="T369" i="2"/>
  <c r="T370" i="2"/>
  <c r="T371" i="2"/>
  <c r="T372" i="2"/>
  <c r="T373" i="2"/>
  <c r="T374" i="2"/>
  <c r="T378" i="2"/>
  <c r="T380" i="2"/>
  <c r="T381" i="2"/>
  <c r="T382" i="2"/>
  <c r="T384" i="2"/>
  <c r="T385" i="2"/>
  <c r="T387" i="2"/>
  <c r="T388" i="2"/>
  <c r="T389" i="2"/>
  <c r="T392" i="2"/>
  <c r="T395" i="2"/>
  <c r="T397" i="2"/>
  <c r="T398" i="2"/>
  <c r="T400" i="2"/>
  <c r="T401" i="2"/>
  <c r="T402" i="2"/>
  <c r="T403" i="2"/>
  <c r="T404" i="2"/>
  <c r="T405" i="2"/>
  <c r="T406" i="2"/>
  <c r="T410" i="2"/>
  <c r="T411" i="2"/>
  <c r="T412" i="2"/>
  <c r="T413" i="2"/>
  <c r="T415" i="2"/>
  <c r="T416" i="2"/>
  <c r="T417" i="2"/>
  <c r="T419" i="2"/>
  <c r="T420" i="2"/>
  <c r="T421" i="2"/>
  <c r="T422" i="2"/>
  <c r="T423" i="2"/>
  <c r="T424" i="2"/>
  <c r="T425" i="2"/>
  <c r="T426" i="2"/>
  <c r="T427" i="2"/>
  <c r="T428" i="2"/>
  <c r="T432" i="2"/>
  <c r="T433" i="2"/>
  <c r="T435" i="2"/>
  <c r="T436" i="2"/>
  <c r="T438" i="2"/>
  <c r="T440" i="2"/>
  <c r="T441" i="2"/>
  <c r="T442" i="2"/>
  <c r="T445" i="2"/>
  <c r="T447" i="2"/>
  <c r="T448" i="2"/>
  <c r="T449" i="2"/>
  <c r="T450" i="2"/>
  <c r="T451" i="2"/>
  <c r="T454" i="2"/>
  <c r="T455" i="2"/>
  <c r="T457" i="2"/>
  <c r="T460" i="2"/>
  <c r="T461" i="2"/>
  <c r="T462" i="2"/>
  <c r="T463" i="2"/>
  <c r="T464" i="2"/>
  <c r="T465" i="2"/>
  <c r="T466" i="2"/>
  <c r="T468" i="2"/>
  <c r="T469" i="2"/>
  <c r="T471" i="2"/>
  <c r="T472" i="2"/>
  <c r="T473" i="2"/>
  <c r="T478" i="2"/>
  <c r="T479" i="2"/>
  <c r="T482" i="2"/>
  <c r="T484" i="2"/>
  <c r="T485" i="2"/>
  <c r="T486" i="2"/>
  <c r="T488" i="2"/>
  <c r="T489" i="2"/>
  <c r="T491" i="2"/>
  <c r="T492" i="2"/>
  <c r="T494" i="2"/>
  <c r="T495" i="2"/>
  <c r="T496" i="2"/>
  <c r="T497" i="2"/>
  <c r="T500" i="2"/>
  <c r="T504" i="2"/>
  <c r="T507" i="2"/>
  <c r="T508" i="2"/>
  <c r="T509" i="2"/>
  <c r="T510" i="2"/>
  <c r="T514" i="2"/>
  <c r="T516" i="2"/>
  <c r="T517" i="2"/>
  <c r="T518" i="2"/>
  <c r="T520" i="2"/>
  <c r="T521" i="2"/>
  <c r="T524" i="2"/>
  <c r="T526" i="2"/>
  <c r="T528" i="2"/>
  <c r="T530" i="2"/>
  <c r="T531" i="2"/>
  <c r="T534" i="2"/>
  <c r="T535" i="2"/>
  <c r="T536" i="2"/>
  <c r="T537" i="2"/>
  <c r="T538" i="2"/>
  <c r="T539" i="2"/>
  <c r="T544" i="2"/>
  <c r="T545" i="2"/>
  <c r="T546" i="2"/>
  <c r="T547" i="2"/>
  <c r="T548" i="2"/>
  <c r="T550" i="2"/>
  <c r="T551" i="2"/>
  <c r="T552" i="2"/>
  <c r="T555" i="2"/>
  <c r="T556" i="2"/>
  <c r="T557" i="2"/>
  <c r="T558" i="2"/>
  <c r="T561" i="2"/>
  <c r="T564" i="2"/>
  <c r="T565" i="2"/>
  <c r="T566" i="2"/>
  <c r="T569" i="2"/>
  <c r="T571" i="2"/>
  <c r="T573" i="2"/>
  <c r="T574" i="2"/>
  <c r="T575" i="2"/>
  <c r="T579" i="2"/>
  <c r="T580" i="2"/>
  <c r="T582" i="2"/>
  <c r="T583" i="2"/>
  <c r="T585" i="2"/>
  <c r="T587" i="2"/>
  <c r="T588" i="2"/>
  <c r="T589" i="2"/>
  <c r="T590" i="2"/>
  <c r="T591" i="2"/>
  <c r="T592" i="2"/>
  <c r="T593" i="2"/>
  <c r="T594" i="2"/>
  <c r="T595" i="2"/>
  <c r="T597" i="2"/>
  <c r="T598" i="2"/>
  <c r="T599" i="2"/>
  <c r="T600" i="2"/>
  <c r="T604" i="2"/>
  <c r="T605" i="2"/>
  <c r="T606" i="2"/>
  <c r="T607" i="2"/>
  <c r="T608" i="2"/>
  <c r="T609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5" i="2"/>
  <c r="T636" i="2"/>
  <c r="T637" i="2"/>
  <c r="T638" i="2"/>
  <c r="T640" i="2"/>
  <c r="T641" i="2"/>
  <c r="T642" i="2"/>
  <c r="T643" i="2"/>
  <c r="T644" i="2"/>
  <c r="T645" i="2"/>
  <c r="T646" i="2"/>
  <c r="T647" i="2"/>
  <c r="T648" i="2"/>
  <c r="T650" i="2"/>
  <c r="T651" i="2"/>
  <c r="T653" i="2"/>
  <c r="T654" i="2"/>
  <c r="T657" i="2"/>
  <c r="T658" i="2"/>
  <c r="T660" i="2"/>
  <c r="T661" i="2"/>
  <c r="T662" i="2"/>
  <c r="T663" i="2"/>
  <c r="T664" i="2"/>
  <c r="T665" i="2"/>
  <c r="T668" i="2"/>
  <c r="T670" i="2"/>
  <c r="T672" i="2"/>
  <c r="T673" i="2"/>
  <c r="T676" i="2"/>
  <c r="T679" i="2"/>
  <c r="T680" i="2"/>
  <c r="T681" i="2"/>
  <c r="T683" i="2"/>
  <c r="T685" i="2"/>
  <c r="T686" i="2"/>
  <c r="T687" i="2"/>
  <c r="T688" i="2"/>
  <c r="T690" i="2"/>
  <c r="T693" i="2"/>
  <c r="T694" i="2"/>
  <c r="T696" i="2"/>
  <c r="T697" i="2"/>
  <c r="T698" i="2"/>
  <c r="T699" i="2"/>
  <c r="T701" i="2"/>
  <c r="T702" i="2"/>
  <c r="T703" i="2"/>
  <c r="T705" i="2"/>
  <c r="T706" i="2"/>
  <c r="T707" i="2"/>
  <c r="T710" i="2"/>
  <c r="T712" i="2"/>
  <c r="T713" i="2"/>
  <c r="T714" i="2"/>
  <c r="T716" i="2"/>
  <c r="T721" i="2"/>
  <c r="T724" i="2"/>
  <c r="T725" i="2"/>
  <c r="T727" i="2"/>
  <c r="T728" i="2"/>
  <c r="T729" i="2"/>
  <c r="T731" i="2"/>
  <c r="T732" i="2"/>
  <c r="T733" i="2"/>
  <c r="T736" i="2"/>
  <c r="T738" i="2"/>
  <c r="T739" i="2"/>
  <c r="T740" i="2"/>
  <c r="T741" i="2"/>
  <c r="T742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60" i="2"/>
  <c r="T761" i="2"/>
  <c r="T762" i="2"/>
  <c r="T763" i="2"/>
  <c r="T764" i="2"/>
  <c r="T767" i="2"/>
  <c r="T769" i="2"/>
  <c r="T773" i="2"/>
  <c r="T774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3" i="2"/>
  <c r="R6" i="2"/>
  <c r="R7" i="2"/>
  <c r="R8" i="2"/>
  <c r="R9" i="2"/>
  <c r="R10" i="2"/>
  <c r="R12" i="2"/>
  <c r="R13" i="2"/>
  <c r="R16" i="2"/>
  <c r="R17" i="2"/>
  <c r="R18" i="2"/>
  <c r="R19" i="2"/>
  <c r="R23" i="2"/>
  <c r="R24" i="2"/>
  <c r="R28" i="2"/>
  <c r="R30" i="2"/>
  <c r="R31" i="2"/>
  <c r="R34" i="2"/>
  <c r="R37" i="2"/>
  <c r="R39" i="2"/>
  <c r="R41" i="2"/>
  <c r="R43" i="2"/>
  <c r="R44" i="2"/>
  <c r="R46" i="2"/>
  <c r="R47" i="2"/>
  <c r="R50" i="2"/>
  <c r="R52" i="2"/>
  <c r="R53" i="2"/>
  <c r="R54" i="2"/>
  <c r="R55" i="2"/>
  <c r="R56" i="2"/>
  <c r="R57" i="2"/>
  <c r="R59" i="2"/>
  <c r="R60" i="2"/>
  <c r="R61" i="2"/>
  <c r="R62" i="2"/>
  <c r="R64" i="2"/>
  <c r="R65" i="2"/>
  <c r="R66" i="2"/>
  <c r="R67" i="2"/>
  <c r="R70" i="2"/>
  <c r="R71" i="2"/>
  <c r="R73" i="2"/>
  <c r="R76" i="2"/>
  <c r="R77" i="2"/>
  <c r="R80" i="2"/>
  <c r="R81" i="2"/>
  <c r="R89" i="2"/>
  <c r="R91" i="2"/>
  <c r="R92" i="2"/>
  <c r="R95" i="2"/>
  <c r="R96" i="2"/>
  <c r="R99" i="2"/>
  <c r="R100" i="2"/>
  <c r="R101" i="2"/>
  <c r="R102" i="2"/>
  <c r="R103" i="2"/>
  <c r="R105" i="2"/>
  <c r="R106" i="2"/>
  <c r="R107" i="2"/>
  <c r="R108" i="2"/>
  <c r="R110" i="2"/>
  <c r="R111" i="2"/>
  <c r="R113" i="2"/>
  <c r="R117" i="2"/>
  <c r="R119" i="2"/>
  <c r="R124" i="2"/>
  <c r="R126" i="2"/>
  <c r="R127" i="2"/>
  <c r="R128" i="2"/>
  <c r="R129" i="2"/>
  <c r="R131" i="2"/>
  <c r="R134" i="2"/>
  <c r="R135" i="2"/>
  <c r="R136" i="2"/>
  <c r="R137" i="2"/>
  <c r="R138" i="2"/>
  <c r="R139" i="2"/>
  <c r="R142" i="2"/>
  <c r="R143" i="2"/>
  <c r="R146" i="2"/>
  <c r="R147" i="2"/>
  <c r="R149" i="2"/>
  <c r="R151" i="2"/>
  <c r="R152" i="2"/>
  <c r="R153" i="2"/>
  <c r="R155" i="2"/>
  <c r="R156" i="2"/>
  <c r="R157" i="2"/>
  <c r="R158" i="2"/>
  <c r="R159" i="2"/>
  <c r="R160" i="2"/>
  <c r="R163" i="2"/>
  <c r="R166" i="2"/>
  <c r="R167" i="2"/>
  <c r="R169" i="2"/>
  <c r="R170" i="2"/>
  <c r="R171" i="2"/>
  <c r="R173" i="2"/>
  <c r="R174" i="2"/>
  <c r="R175" i="2"/>
  <c r="R178" i="2"/>
  <c r="R180" i="2"/>
  <c r="R182" i="2"/>
  <c r="R183" i="2"/>
  <c r="R184" i="2"/>
  <c r="R187" i="2"/>
  <c r="R189" i="2"/>
  <c r="R190" i="2"/>
  <c r="R192" i="2"/>
  <c r="R193" i="2"/>
  <c r="R194" i="2"/>
  <c r="R195" i="2"/>
  <c r="R199" i="2"/>
  <c r="R200" i="2"/>
  <c r="R203" i="2"/>
  <c r="R204" i="2"/>
  <c r="R210" i="2"/>
  <c r="R212" i="2"/>
  <c r="R213" i="2"/>
  <c r="R217" i="2"/>
  <c r="R219" i="2"/>
  <c r="R220" i="2"/>
  <c r="R221" i="2"/>
  <c r="R224" i="2"/>
  <c r="R225" i="2"/>
  <c r="R226" i="2"/>
  <c r="R227" i="2"/>
  <c r="R228" i="2"/>
  <c r="R229" i="2"/>
  <c r="R231" i="2"/>
  <c r="R233" i="2"/>
  <c r="R235" i="2"/>
  <c r="R237" i="2"/>
  <c r="R240" i="2"/>
  <c r="R243" i="2"/>
  <c r="R245" i="2"/>
  <c r="R246" i="2"/>
  <c r="R247" i="2"/>
  <c r="R248" i="2"/>
  <c r="R250" i="2"/>
  <c r="R251" i="2"/>
  <c r="R252" i="2"/>
  <c r="R253" i="2"/>
  <c r="R255" i="2"/>
  <c r="R257" i="2"/>
  <c r="R258" i="2"/>
  <c r="R260" i="2"/>
  <c r="R262" i="2"/>
  <c r="R264" i="2"/>
  <c r="R266" i="2"/>
  <c r="R267" i="2"/>
  <c r="R271" i="2"/>
  <c r="R272" i="2"/>
  <c r="R275" i="2"/>
  <c r="R276" i="2"/>
  <c r="R277" i="2"/>
  <c r="R278" i="2"/>
  <c r="R279" i="2"/>
  <c r="R280" i="2"/>
  <c r="R281" i="2"/>
  <c r="R284" i="2"/>
  <c r="R287" i="2"/>
  <c r="R288" i="2"/>
  <c r="R289" i="2"/>
  <c r="R291" i="2"/>
  <c r="R294" i="2"/>
  <c r="R295" i="2"/>
  <c r="R296" i="2"/>
  <c r="R298" i="2"/>
  <c r="R299" i="2"/>
  <c r="R300" i="2"/>
  <c r="R301" i="2"/>
  <c r="R302" i="2"/>
  <c r="R303" i="2"/>
  <c r="R304" i="2"/>
  <c r="R305" i="2"/>
  <c r="R306" i="2"/>
  <c r="R307" i="2"/>
  <c r="R308" i="2"/>
  <c r="R310" i="2"/>
  <c r="R311" i="2"/>
  <c r="R315" i="2"/>
  <c r="R316" i="2"/>
  <c r="R318" i="2"/>
  <c r="R321" i="2"/>
  <c r="R322" i="2"/>
  <c r="R326" i="2"/>
  <c r="R327" i="2"/>
  <c r="R328" i="2"/>
  <c r="R330" i="2"/>
  <c r="R331" i="2"/>
  <c r="R332" i="2"/>
  <c r="R334" i="2"/>
  <c r="R335" i="2"/>
  <c r="R336" i="2"/>
  <c r="R337" i="2"/>
  <c r="R339" i="2"/>
  <c r="R341" i="2"/>
  <c r="R343" i="2"/>
  <c r="R344" i="2"/>
  <c r="R345" i="2"/>
  <c r="R347" i="2"/>
  <c r="R348" i="2"/>
  <c r="R349" i="2"/>
  <c r="R350" i="2"/>
  <c r="R352" i="2"/>
  <c r="R353" i="2"/>
  <c r="R354" i="2"/>
  <c r="R356" i="2"/>
  <c r="R357" i="2"/>
  <c r="R359" i="2"/>
  <c r="R360" i="2"/>
  <c r="R361" i="2"/>
  <c r="R362" i="2"/>
  <c r="R363" i="2"/>
  <c r="R368" i="2"/>
  <c r="R369" i="2"/>
  <c r="R370" i="2"/>
  <c r="R371" i="2"/>
  <c r="R372" i="2"/>
  <c r="R373" i="2"/>
  <c r="R374" i="2"/>
  <c r="R378" i="2"/>
  <c r="R380" i="2"/>
  <c r="R381" i="2"/>
  <c r="R382" i="2"/>
  <c r="R384" i="2"/>
  <c r="R385" i="2"/>
  <c r="R387" i="2"/>
  <c r="R388" i="2"/>
  <c r="R389" i="2"/>
  <c r="R392" i="2"/>
  <c r="R395" i="2"/>
  <c r="R397" i="2"/>
  <c r="R398" i="2"/>
  <c r="R400" i="2"/>
  <c r="R401" i="2"/>
  <c r="R402" i="2"/>
  <c r="R403" i="2"/>
  <c r="R404" i="2"/>
  <c r="R405" i="2"/>
  <c r="R406" i="2"/>
  <c r="R410" i="2"/>
  <c r="R411" i="2"/>
  <c r="R412" i="2"/>
  <c r="R413" i="2"/>
  <c r="R415" i="2"/>
  <c r="R416" i="2"/>
  <c r="R417" i="2"/>
  <c r="R419" i="2"/>
  <c r="R420" i="2"/>
  <c r="R421" i="2"/>
  <c r="R422" i="2"/>
  <c r="R423" i="2"/>
  <c r="R424" i="2"/>
  <c r="R425" i="2"/>
  <c r="R426" i="2"/>
  <c r="R427" i="2"/>
  <c r="R428" i="2"/>
  <c r="R432" i="2"/>
  <c r="R433" i="2"/>
  <c r="R435" i="2"/>
  <c r="R436" i="2"/>
  <c r="R438" i="2"/>
  <c r="R440" i="2"/>
  <c r="R441" i="2"/>
  <c r="R442" i="2"/>
  <c r="R445" i="2"/>
  <c r="R447" i="2"/>
  <c r="R448" i="2"/>
  <c r="R449" i="2"/>
  <c r="R450" i="2"/>
  <c r="R451" i="2"/>
  <c r="R454" i="2"/>
  <c r="R455" i="2"/>
  <c r="R457" i="2"/>
  <c r="R460" i="2"/>
  <c r="R461" i="2"/>
  <c r="R462" i="2"/>
  <c r="R463" i="2"/>
  <c r="R464" i="2"/>
  <c r="R465" i="2"/>
  <c r="R466" i="2"/>
  <c r="R468" i="2"/>
  <c r="R469" i="2"/>
  <c r="R471" i="2"/>
  <c r="R472" i="2"/>
  <c r="R473" i="2"/>
  <c r="R478" i="2"/>
  <c r="R479" i="2"/>
  <c r="R482" i="2"/>
  <c r="R484" i="2"/>
  <c r="R485" i="2"/>
  <c r="R486" i="2"/>
  <c r="R488" i="2"/>
  <c r="R489" i="2"/>
  <c r="R491" i="2"/>
  <c r="R492" i="2"/>
  <c r="R494" i="2"/>
  <c r="R495" i="2"/>
  <c r="R496" i="2"/>
  <c r="R497" i="2"/>
  <c r="R500" i="2"/>
  <c r="R504" i="2"/>
  <c r="R507" i="2"/>
  <c r="R508" i="2"/>
  <c r="R509" i="2"/>
  <c r="R510" i="2"/>
  <c r="R514" i="2"/>
  <c r="R516" i="2"/>
  <c r="R517" i="2"/>
  <c r="R518" i="2"/>
  <c r="R520" i="2"/>
  <c r="R521" i="2"/>
  <c r="R524" i="2"/>
  <c r="R526" i="2"/>
  <c r="R528" i="2"/>
  <c r="R530" i="2"/>
  <c r="R531" i="2"/>
  <c r="R534" i="2"/>
  <c r="R535" i="2"/>
  <c r="R536" i="2"/>
  <c r="R537" i="2"/>
  <c r="R538" i="2"/>
  <c r="R539" i="2"/>
  <c r="R544" i="2"/>
  <c r="R545" i="2"/>
  <c r="R546" i="2"/>
  <c r="R547" i="2"/>
  <c r="R548" i="2"/>
  <c r="R550" i="2"/>
  <c r="R551" i="2"/>
  <c r="R552" i="2"/>
  <c r="R555" i="2"/>
  <c r="R556" i="2"/>
  <c r="R557" i="2"/>
  <c r="R558" i="2"/>
  <c r="R561" i="2"/>
  <c r="R564" i="2"/>
  <c r="R565" i="2"/>
  <c r="R566" i="2"/>
  <c r="R569" i="2"/>
  <c r="R571" i="2"/>
  <c r="R573" i="2"/>
  <c r="R574" i="2"/>
  <c r="R575" i="2"/>
  <c r="R579" i="2"/>
  <c r="R580" i="2"/>
  <c r="R582" i="2"/>
  <c r="R583" i="2"/>
  <c r="R585" i="2"/>
  <c r="R587" i="2"/>
  <c r="R588" i="2"/>
  <c r="R589" i="2"/>
  <c r="R590" i="2"/>
  <c r="R591" i="2"/>
  <c r="R592" i="2"/>
  <c r="R593" i="2"/>
  <c r="R594" i="2"/>
  <c r="R595" i="2"/>
  <c r="R597" i="2"/>
  <c r="R598" i="2"/>
  <c r="R599" i="2"/>
  <c r="R600" i="2"/>
  <c r="R604" i="2"/>
  <c r="R605" i="2"/>
  <c r="R606" i="2"/>
  <c r="R607" i="2"/>
  <c r="R608" i="2"/>
  <c r="R609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5" i="2"/>
  <c r="R636" i="2"/>
  <c r="R637" i="2"/>
  <c r="R638" i="2"/>
  <c r="R640" i="2"/>
  <c r="R641" i="2"/>
  <c r="R642" i="2"/>
  <c r="R643" i="2"/>
  <c r="R644" i="2"/>
  <c r="R645" i="2"/>
  <c r="R646" i="2"/>
  <c r="R647" i="2"/>
  <c r="R648" i="2"/>
  <c r="R650" i="2"/>
  <c r="R651" i="2"/>
  <c r="R653" i="2"/>
  <c r="R654" i="2"/>
  <c r="R657" i="2"/>
  <c r="R658" i="2"/>
  <c r="R660" i="2"/>
  <c r="R661" i="2"/>
  <c r="R662" i="2"/>
  <c r="R663" i="2"/>
  <c r="R664" i="2"/>
  <c r="R665" i="2"/>
  <c r="R668" i="2"/>
  <c r="R670" i="2"/>
  <c r="R672" i="2"/>
  <c r="R673" i="2"/>
  <c r="R676" i="2"/>
  <c r="R679" i="2"/>
  <c r="R680" i="2"/>
  <c r="R681" i="2"/>
  <c r="R683" i="2"/>
  <c r="R685" i="2"/>
  <c r="R686" i="2"/>
  <c r="R687" i="2"/>
  <c r="R688" i="2"/>
  <c r="R690" i="2"/>
  <c r="R693" i="2"/>
  <c r="R694" i="2"/>
  <c r="R696" i="2"/>
  <c r="R697" i="2"/>
  <c r="R698" i="2"/>
  <c r="R699" i="2"/>
  <c r="R701" i="2"/>
  <c r="R702" i="2"/>
  <c r="R703" i="2"/>
  <c r="R705" i="2"/>
  <c r="R706" i="2"/>
  <c r="R707" i="2"/>
  <c r="R710" i="2"/>
  <c r="R712" i="2"/>
  <c r="R713" i="2"/>
  <c r="R714" i="2"/>
  <c r="R716" i="2"/>
  <c r="R721" i="2"/>
  <c r="R724" i="2"/>
  <c r="R725" i="2"/>
  <c r="R727" i="2"/>
  <c r="R728" i="2"/>
  <c r="R729" i="2"/>
  <c r="R731" i="2"/>
  <c r="R732" i="2"/>
  <c r="R733" i="2"/>
  <c r="R736" i="2"/>
  <c r="R738" i="2"/>
  <c r="R739" i="2"/>
  <c r="R740" i="2"/>
  <c r="R741" i="2"/>
  <c r="R742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60" i="2"/>
  <c r="R761" i="2"/>
  <c r="R762" i="2"/>
  <c r="R763" i="2"/>
  <c r="R764" i="2"/>
  <c r="R767" i="2"/>
  <c r="R769" i="2"/>
  <c r="R773" i="2"/>
  <c r="R774" i="2"/>
  <c r="R777" i="2"/>
  <c r="R778" i="2"/>
  <c r="R781" i="2"/>
  <c r="R783" i="2"/>
  <c r="R784" i="2"/>
  <c r="R785" i="2"/>
  <c r="R786" i="2"/>
  <c r="R787" i="2"/>
  <c r="R788" i="2"/>
  <c r="R789" i="2"/>
  <c r="R790" i="2"/>
  <c r="R791" i="2"/>
  <c r="R792" i="2"/>
  <c r="R794" i="2"/>
  <c r="R795" i="2"/>
  <c r="R796" i="2"/>
  <c r="R798" i="2"/>
  <c r="R799" i="2"/>
  <c r="R800" i="2"/>
  <c r="R802" i="2"/>
  <c r="R803" i="2"/>
  <c r="R806" i="2"/>
  <c r="R807" i="2"/>
  <c r="R809" i="2"/>
  <c r="R811" i="2"/>
  <c r="R812" i="2"/>
  <c r="R813" i="2"/>
  <c r="R814" i="2"/>
  <c r="R815" i="2"/>
  <c r="R816" i="2"/>
  <c r="R817" i="2"/>
  <c r="R818" i="2"/>
  <c r="R820" i="2"/>
  <c r="R824" i="2"/>
  <c r="R825" i="2"/>
  <c r="R826" i="2"/>
  <c r="R829" i="2"/>
  <c r="R831" i="2"/>
  <c r="R832" i="2"/>
  <c r="R833" i="2"/>
  <c r="R835" i="2"/>
  <c r="R836" i="2"/>
  <c r="R837" i="2"/>
  <c r="R838" i="2"/>
  <c r="R840" i="2"/>
  <c r="R841" i="2"/>
  <c r="R842" i="2"/>
  <c r="R843" i="2"/>
  <c r="R845" i="2"/>
  <c r="R847" i="2"/>
  <c r="R848" i="2"/>
  <c r="R850" i="2"/>
  <c r="R852" i="2"/>
  <c r="R853" i="2"/>
  <c r="R854" i="2"/>
  <c r="R856" i="2"/>
  <c r="R857" i="2"/>
  <c r="R859" i="2"/>
  <c r="R860" i="2"/>
  <c r="R861" i="2"/>
  <c r="R862" i="2"/>
  <c r="R864" i="2"/>
  <c r="R865" i="2"/>
  <c r="R866" i="2"/>
  <c r="R868" i="2"/>
  <c r="R869" i="2"/>
  <c r="R870" i="2"/>
  <c r="R871" i="2"/>
  <c r="R872" i="2"/>
  <c r="R873" i="2"/>
  <c r="R874" i="2"/>
  <c r="R875" i="2"/>
  <c r="R877" i="2"/>
  <c r="R878" i="2"/>
  <c r="R879" i="2"/>
  <c r="R881" i="2"/>
  <c r="R882" i="2"/>
  <c r="R883" i="2"/>
  <c r="R884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K160" i="2"/>
  <c r="K171" i="2"/>
  <c r="K176" i="2"/>
  <c r="K187" i="2"/>
  <c r="K192" i="2"/>
  <c r="K203" i="2"/>
  <c r="K208" i="2"/>
  <c r="K219" i="2"/>
  <c r="K224" i="2"/>
  <c r="K235" i="2"/>
  <c r="K240" i="2"/>
  <c r="K251" i="2"/>
  <c r="K256" i="2"/>
  <c r="K267" i="2"/>
  <c r="K272" i="2"/>
  <c r="K283" i="2"/>
  <c r="K288" i="2"/>
  <c r="K299" i="2"/>
  <c r="K304" i="2"/>
  <c r="K315" i="2"/>
  <c r="K320" i="2"/>
  <c r="K331" i="2"/>
  <c r="K335" i="2"/>
  <c r="K339" i="2"/>
  <c r="K343" i="2"/>
  <c r="K347" i="2"/>
  <c r="K351" i="2"/>
  <c r="K355" i="2"/>
  <c r="K359" i="2"/>
  <c r="K363" i="2"/>
  <c r="K367" i="2"/>
  <c r="K371" i="2"/>
  <c r="K375" i="2"/>
  <c r="K379" i="2"/>
  <c r="K383" i="2"/>
  <c r="K387" i="2"/>
  <c r="K391" i="2"/>
  <c r="K395" i="2"/>
  <c r="K399" i="2"/>
  <c r="K403" i="2"/>
  <c r="K407" i="2"/>
  <c r="K411" i="2"/>
  <c r="K415" i="2"/>
  <c r="K419" i="2"/>
  <c r="K423" i="2"/>
  <c r="K427" i="2"/>
  <c r="K431" i="2"/>
  <c r="K435" i="2"/>
  <c r="K439" i="2"/>
  <c r="K443" i="2"/>
  <c r="K447" i="2"/>
  <c r="K451" i="2"/>
  <c r="K455" i="2"/>
  <c r="K459" i="2"/>
  <c r="K463" i="2"/>
  <c r="K467" i="2"/>
  <c r="K471" i="2"/>
  <c r="K475" i="2"/>
  <c r="K479" i="2"/>
  <c r="K483" i="2"/>
  <c r="K487" i="2"/>
  <c r="K491" i="2"/>
  <c r="K495" i="2"/>
  <c r="K499" i="2"/>
  <c r="K503" i="2"/>
  <c r="K507" i="2"/>
  <c r="K511" i="2"/>
  <c r="K515" i="2"/>
  <c r="K519" i="2"/>
  <c r="K523" i="2"/>
  <c r="K527" i="2"/>
  <c r="K531" i="2"/>
  <c r="K535" i="2"/>
  <c r="K539" i="2"/>
  <c r="K543" i="2"/>
  <c r="K547" i="2"/>
  <c r="K551" i="2"/>
  <c r="K555" i="2"/>
  <c r="K559" i="2"/>
  <c r="K563" i="2"/>
  <c r="K567" i="2"/>
  <c r="K571" i="2"/>
  <c r="K575" i="2"/>
  <c r="K579" i="2"/>
  <c r="K583" i="2"/>
  <c r="K587" i="2"/>
  <c r="K591" i="2"/>
  <c r="K595" i="2"/>
  <c r="K599" i="2"/>
  <c r="K603" i="2"/>
  <c r="K607" i="2"/>
  <c r="K611" i="2"/>
  <c r="K615" i="2"/>
  <c r="K619" i="2"/>
  <c r="K623" i="2"/>
  <c r="K627" i="2"/>
  <c r="K631" i="2"/>
  <c r="K635" i="2"/>
  <c r="K639" i="2"/>
  <c r="K643" i="2"/>
  <c r="K647" i="2"/>
  <c r="K651" i="2"/>
  <c r="K655" i="2"/>
  <c r="K659" i="2"/>
  <c r="K663" i="2"/>
  <c r="K667" i="2"/>
  <c r="K671" i="2"/>
  <c r="K675" i="2"/>
  <c r="K679" i="2"/>
  <c r="K683" i="2"/>
  <c r="K687" i="2"/>
  <c r="K691" i="2"/>
  <c r="K695" i="2"/>
  <c r="K699" i="2"/>
  <c r="K703" i="2"/>
  <c r="K707" i="2"/>
  <c r="K711" i="2"/>
  <c r="K715" i="2"/>
  <c r="K719" i="2"/>
  <c r="K723" i="2"/>
  <c r="K727" i="2"/>
  <c r="K731" i="2"/>
  <c r="K735" i="2"/>
  <c r="K739" i="2"/>
  <c r="K743" i="2"/>
  <c r="K747" i="2"/>
  <c r="K751" i="2"/>
  <c r="K755" i="2"/>
  <c r="K759" i="2"/>
  <c r="K763" i="2"/>
  <c r="K767" i="2"/>
  <c r="K771" i="2"/>
  <c r="K775" i="2"/>
  <c r="K779" i="2"/>
  <c r="M3" i="2" s="1"/>
  <c r="N3" i="2" s="1"/>
  <c r="K783" i="2"/>
  <c r="K787" i="2"/>
  <c r="K791" i="2"/>
  <c r="K795" i="2"/>
  <c r="K799" i="2"/>
  <c r="K803" i="2"/>
  <c r="K807" i="2"/>
  <c r="K811" i="2"/>
  <c r="K815" i="2"/>
  <c r="K819" i="2"/>
  <c r="K823" i="2"/>
  <c r="K827" i="2"/>
  <c r="K831" i="2"/>
  <c r="K835" i="2"/>
  <c r="K839" i="2"/>
  <c r="K843" i="2"/>
  <c r="K847" i="2"/>
  <c r="K851" i="2"/>
  <c r="K855" i="2"/>
  <c r="K859" i="2"/>
  <c r="K863" i="2"/>
  <c r="K867" i="2"/>
  <c r="K871" i="2"/>
  <c r="K875" i="2"/>
  <c r="K879" i="2"/>
  <c r="K883" i="2"/>
  <c r="J4" i="2"/>
  <c r="K4" i="2" s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J29" i="2"/>
  <c r="K29" i="2" s="1"/>
  <c r="J30" i="2"/>
  <c r="K30" i="2" s="1"/>
  <c r="J31" i="2"/>
  <c r="K31" i="2" s="1"/>
  <c r="J32" i="2"/>
  <c r="K32" i="2" s="1"/>
  <c r="J33" i="2"/>
  <c r="K33" i="2" s="1"/>
  <c r="J34" i="2"/>
  <c r="K34" i="2" s="1"/>
  <c r="J35" i="2"/>
  <c r="K35" i="2" s="1"/>
  <c r="J36" i="2"/>
  <c r="K36" i="2" s="1"/>
  <c r="J37" i="2"/>
  <c r="K37" i="2" s="1"/>
  <c r="J38" i="2"/>
  <c r="K38" i="2" s="1"/>
  <c r="J39" i="2"/>
  <c r="K39" i="2" s="1"/>
  <c r="J40" i="2"/>
  <c r="K40" i="2" s="1"/>
  <c r="J41" i="2"/>
  <c r="K41" i="2" s="1"/>
  <c r="J42" i="2"/>
  <c r="K42" i="2" s="1"/>
  <c r="J43" i="2"/>
  <c r="K43" i="2" s="1"/>
  <c r="J44" i="2"/>
  <c r="K44" i="2" s="1"/>
  <c r="J45" i="2"/>
  <c r="K45" i="2" s="1"/>
  <c r="J46" i="2"/>
  <c r="K46" i="2" s="1"/>
  <c r="J47" i="2"/>
  <c r="K47" i="2" s="1"/>
  <c r="J48" i="2"/>
  <c r="K48" i="2" s="1"/>
  <c r="J49" i="2"/>
  <c r="K49" i="2" s="1"/>
  <c r="J50" i="2"/>
  <c r="K50" i="2" s="1"/>
  <c r="J51" i="2"/>
  <c r="K51" i="2" s="1"/>
  <c r="J52" i="2"/>
  <c r="K52" i="2" s="1"/>
  <c r="J53" i="2"/>
  <c r="K53" i="2" s="1"/>
  <c r="J54" i="2"/>
  <c r="K54" i="2" s="1"/>
  <c r="J55" i="2"/>
  <c r="K55" i="2" s="1"/>
  <c r="J56" i="2"/>
  <c r="K56" i="2" s="1"/>
  <c r="J57" i="2"/>
  <c r="K57" i="2" s="1"/>
  <c r="J58" i="2"/>
  <c r="K58" i="2" s="1"/>
  <c r="J59" i="2"/>
  <c r="K59" i="2" s="1"/>
  <c r="J60" i="2"/>
  <c r="K60" i="2" s="1"/>
  <c r="J61" i="2"/>
  <c r="K61" i="2" s="1"/>
  <c r="J62" i="2"/>
  <c r="K62" i="2" s="1"/>
  <c r="J63" i="2"/>
  <c r="K63" i="2" s="1"/>
  <c r="J64" i="2"/>
  <c r="K64" i="2" s="1"/>
  <c r="J65" i="2"/>
  <c r="K65" i="2" s="1"/>
  <c r="J66" i="2"/>
  <c r="K66" i="2" s="1"/>
  <c r="J67" i="2"/>
  <c r="K67" i="2" s="1"/>
  <c r="J68" i="2"/>
  <c r="K68" i="2" s="1"/>
  <c r="J69" i="2"/>
  <c r="K69" i="2" s="1"/>
  <c r="J70" i="2"/>
  <c r="K70" i="2" s="1"/>
  <c r="J71" i="2"/>
  <c r="K71" i="2" s="1"/>
  <c r="J72" i="2"/>
  <c r="K72" i="2" s="1"/>
  <c r="J73" i="2"/>
  <c r="K73" i="2" s="1"/>
  <c r="J74" i="2"/>
  <c r="K74" i="2" s="1"/>
  <c r="J75" i="2"/>
  <c r="K75" i="2" s="1"/>
  <c r="J76" i="2"/>
  <c r="K76" i="2" s="1"/>
  <c r="J77" i="2"/>
  <c r="K77" i="2" s="1"/>
  <c r="J78" i="2"/>
  <c r="K78" i="2" s="1"/>
  <c r="J79" i="2"/>
  <c r="K79" i="2" s="1"/>
  <c r="J80" i="2"/>
  <c r="K80" i="2" s="1"/>
  <c r="J81" i="2"/>
  <c r="K81" i="2" s="1"/>
  <c r="J82" i="2"/>
  <c r="K82" i="2" s="1"/>
  <c r="J83" i="2"/>
  <c r="K83" i="2" s="1"/>
  <c r="J84" i="2"/>
  <c r="K84" i="2" s="1"/>
  <c r="J85" i="2"/>
  <c r="K85" i="2" s="1"/>
  <c r="J86" i="2"/>
  <c r="K86" i="2" s="1"/>
  <c r="J87" i="2"/>
  <c r="K87" i="2" s="1"/>
  <c r="J88" i="2"/>
  <c r="K88" i="2" s="1"/>
  <c r="J89" i="2"/>
  <c r="K89" i="2" s="1"/>
  <c r="J90" i="2"/>
  <c r="K90" i="2" s="1"/>
  <c r="J91" i="2"/>
  <c r="K91" i="2" s="1"/>
  <c r="J92" i="2"/>
  <c r="K92" i="2" s="1"/>
  <c r="J93" i="2"/>
  <c r="K93" i="2" s="1"/>
  <c r="J94" i="2"/>
  <c r="K94" i="2" s="1"/>
  <c r="J95" i="2"/>
  <c r="K95" i="2" s="1"/>
  <c r="J96" i="2"/>
  <c r="K96" i="2" s="1"/>
  <c r="J97" i="2"/>
  <c r="K97" i="2" s="1"/>
  <c r="J98" i="2"/>
  <c r="K98" i="2" s="1"/>
  <c r="J99" i="2"/>
  <c r="K99" i="2" s="1"/>
  <c r="J100" i="2"/>
  <c r="K100" i="2" s="1"/>
  <c r="J101" i="2"/>
  <c r="K101" i="2" s="1"/>
  <c r="J102" i="2"/>
  <c r="K102" i="2" s="1"/>
  <c r="J103" i="2"/>
  <c r="K103" i="2" s="1"/>
  <c r="J104" i="2"/>
  <c r="K104" i="2" s="1"/>
  <c r="J105" i="2"/>
  <c r="K105" i="2" s="1"/>
  <c r="J106" i="2"/>
  <c r="K106" i="2" s="1"/>
  <c r="J107" i="2"/>
  <c r="K107" i="2" s="1"/>
  <c r="J108" i="2"/>
  <c r="K108" i="2" s="1"/>
  <c r="J109" i="2"/>
  <c r="K109" i="2" s="1"/>
  <c r="J110" i="2"/>
  <c r="K110" i="2" s="1"/>
  <c r="J111" i="2"/>
  <c r="K111" i="2" s="1"/>
  <c r="J112" i="2"/>
  <c r="K112" i="2" s="1"/>
  <c r="J113" i="2"/>
  <c r="K113" i="2" s="1"/>
  <c r="J114" i="2"/>
  <c r="K114" i="2" s="1"/>
  <c r="J115" i="2"/>
  <c r="K115" i="2" s="1"/>
  <c r="J116" i="2"/>
  <c r="K116" i="2" s="1"/>
  <c r="J117" i="2"/>
  <c r="K117" i="2" s="1"/>
  <c r="J118" i="2"/>
  <c r="K118" i="2" s="1"/>
  <c r="J119" i="2"/>
  <c r="K119" i="2" s="1"/>
  <c r="J120" i="2"/>
  <c r="K120" i="2" s="1"/>
  <c r="J121" i="2"/>
  <c r="K121" i="2" s="1"/>
  <c r="J122" i="2"/>
  <c r="K122" i="2" s="1"/>
  <c r="J123" i="2"/>
  <c r="K123" i="2" s="1"/>
  <c r="J124" i="2"/>
  <c r="K124" i="2" s="1"/>
  <c r="J125" i="2"/>
  <c r="K125" i="2" s="1"/>
  <c r="J126" i="2"/>
  <c r="K126" i="2" s="1"/>
  <c r="J127" i="2"/>
  <c r="K127" i="2" s="1"/>
  <c r="J128" i="2"/>
  <c r="K128" i="2" s="1"/>
  <c r="J129" i="2"/>
  <c r="K129" i="2" s="1"/>
  <c r="J130" i="2"/>
  <c r="K130" i="2" s="1"/>
  <c r="J131" i="2"/>
  <c r="K131" i="2" s="1"/>
  <c r="J132" i="2"/>
  <c r="K132" i="2" s="1"/>
  <c r="J133" i="2"/>
  <c r="K133" i="2" s="1"/>
  <c r="J134" i="2"/>
  <c r="K134" i="2" s="1"/>
  <c r="J135" i="2"/>
  <c r="K135" i="2" s="1"/>
  <c r="J136" i="2"/>
  <c r="K136" i="2" s="1"/>
  <c r="J137" i="2"/>
  <c r="K137" i="2" s="1"/>
  <c r="J138" i="2"/>
  <c r="K138" i="2" s="1"/>
  <c r="J139" i="2"/>
  <c r="K139" i="2" s="1"/>
  <c r="J140" i="2"/>
  <c r="K140" i="2" s="1"/>
  <c r="J141" i="2"/>
  <c r="K141" i="2" s="1"/>
  <c r="J142" i="2"/>
  <c r="K142" i="2" s="1"/>
  <c r="J143" i="2"/>
  <c r="K143" i="2" s="1"/>
  <c r="J144" i="2"/>
  <c r="K144" i="2" s="1"/>
  <c r="J145" i="2"/>
  <c r="K145" i="2" s="1"/>
  <c r="J146" i="2"/>
  <c r="K146" i="2" s="1"/>
  <c r="J147" i="2"/>
  <c r="K147" i="2" s="1"/>
  <c r="J148" i="2"/>
  <c r="K148" i="2" s="1"/>
  <c r="J149" i="2"/>
  <c r="K149" i="2" s="1"/>
  <c r="J150" i="2"/>
  <c r="K150" i="2" s="1"/>
  <c r="J151" i="2"/>
  <c r="K151" i="2" s="1"/>
  <c r="J152" i="2"/>
  <c r="K152" i="2" s="1"/>
  <c r="J153" i="2"/>
  <c r="K153" i="2" s="1"/>
  <c r="J154" i="2"/>
  <c r="K154" i="2" s="1"/>
  <c r="J155" i="2"/>
  <c r="K155" i="2" s="1"/>
  <c r="J156" i="2"/>
  <c r="K156" i="2" s="1"/>
  <c r="J157" i="2"/>
  <c r="K157" i="2" s="1"/>
  <c r="J158" i="2"/>
  <c r="K158" i="2" s="1"/>
  <c r="J159" i="2"/>
  <c r="K159" i="2" s="1"/>
  <c r="J160" i="2"/>
  <c r="J161" i="2"/>
  <c r="K161" i="2" s="1"/>
  <c r="J162" i="2"/>
  <c r="K162" i="2" s="1"/>
  <c r="J163" i="2"/>
  <c r="K163" i="2" s="1"/>
  <c r="J164" i="2"/>
  <c r="K164" i="2" s="1"/>
  <c r="J165" i="2"/>
  <c r="K165" i="2" s="1"/>
  <c r="J166" i="2"/>
  <c r="K166" i="2" s="1"/>
  <c r="J167" i="2"/>
  <c r="K167" i="2" s="1"/>
  <c r="J168" i="2"/>
  <c r="K168" i="2" s="1"/>
  <c r="J169" i="2"/>
  <c r="K169" i="2" s="1"/>
  <c r="J170" i="2"/>
  <c r="K170" i="2" s="1"/>
  <c r="J171" i="2"/>
  <c r="J172" i="2"/>
  <c r="K172" i="2" s="1"/>
  <c r="J173" i="2"/>
  <c r="K173" i="2" s="1"/>
  <c r="J174" i="2"/>
  <c r="K174" i="2" s="1"/>
  <c r="J175" i="2"/>
  <c r="K175" i="2" s="1"/>
  <c r="J176" i="2"/>
  <c r="J177" i="2"/>
  <c r="K177" i="2" s="1"/>
  <c r="J178" i="2"/>
  <c r="K178" i="2" s="1"/>
  <c r="J179" i="2"/>
  <c r="K179" i="2" s="1"/>
  <c r="J180" i="2"/>
  <c r="K180" i="2" s="1"/>
  <c r="J181" i="2"/>
  <c r="K181" i="2" s="1"/>
  <c r="J182" i="2"/>
  <c r="K182" i="2" s="1"/>
  <c r="J183" i="2"/>
  <c r="K183" i="2" s="1"/>
  <c r="J184" i="2"/>
  <c r="K184" i="2" s="1"/>
  <c r="J185" i="2"/>
  <c r="K185" i="2" s="1"/>
  <c r="J186" i="2"/>
  <c r="K186" i="2" s="1"/>
  <c r="J187" i="2"/>
  <c r="J188" i="2"/>
  <c r="K188" i="2" s="1"/>
  <c r="J189" i="2"/>
  <c r="K189" i="2" s="1"/>
  <c r="J190" i="2"/>
  <c r="K190" i="2" s="1"/>
  <c r="J191" i="2"/>
  <c r="K191" i="2" s="1"/>
  <c r="J192" i="2"/>
  <c r="J193" i="2"/>
  <c r="K193" i="2" s="1"/>
  <c r="J194" i="2"/>
  <c r="K194" i="2" s="1"/>
  <c r="J195" i="2"/>
  <c r="K195" i="2" s="1"/>
  <c r="J196" i="2"/>
  <c r="K196" i="2" s="1"/>
  <c r="J197" i="2"/>
  <c r="K197" i="2" s="1"/>
  <c r="J198" i="2"/>
  <c r="K198" i="2" s="1"/>
  <c r="J199" i="2"/>
  <c r="K199" i="2" s="1"/>
  <c r="J200" i="2"/>
  <c r="K200" i="2" s="1"/>
  <c r="J201" i="2"/>
  <c r="K201" i="2" s="1"/>
  <c r="J202" i="2"/>
  <c r="K202" i="2" s="1"/>
  <c r="J203" i="2"/>
  <c r="J204" i="2"/>
  <c r="K204" i="2" s="1"/>
  <c r="J205" i="2"/>
  <c r="K205" i="2" s="1"/>
  <c r="J206" i="2"/>
  <c r="K206" i="2" s="1"/>
  <c r="J207" i="2"/>
  <c r="K207" i="2" s="1"/>
  <c r="J208" i="2"/>
  <c r="J209" i="2"/>
  <c r="K209" i="2" s="1"/>
  <c r="J210" i="2"/>
  <c r="K210" i="2" s="1"/>
  <c r="J211" i="2"/>
  <c r="K211" i="2" s="1"/>
  <c r="J212" i="2"/>
  <c r="K212" i="2" s="1"/>
  <c r="J213" i="2"/>
  <c r="K213" i="2" s="1"/>
  <c r="J214" i="2"/>
  <c r="K214" i="2" s="1"/>
  <c r="J215" i="2"/>
  <c r="K215" i="2" s="1"/>
  <c r="J216" i="2"/>
  <c r="K216" i="2" s="1"/>
  <c r="J217" i="2"/>
  <c r="K217" i="2" s="1"/>
  <c r="J218" i="2"/>
  <c r="K218" i="2" s="1"/>
  <c r="J219" i="2"/>
  <c r="J220" i="2"/>
  <c r="K220" i="2" s="1"/>
  <c r="J221" i="2"/>
  <c r="K221" i="2" s="1"/>
  <c r="J222" i="2"/>
  <c r="K222" i="2" s="1"/>
  <c r="J223" i="2"/>
  <c r="K223" i="2" s="1"/>
  <c r="J224" i="2"/>
  <c r="J225" i="2"/>
  <c r="K225" i="2" s="1"/>
  <c r="J226" i="2"/>
  <c r="K226" i="2" s="1"/>
  <c r="J227" i="2"/>
  <c r="K227" i="2" s="1"/>
  <c r="J228" i="2"/>
  <c r="K228" i="2" s="1"/>
  <c r="J229" i="2"/>
  <c r="K229" i="2" s="1"/>
  <c r="J230" i="2"/>
  <c r="K230" i="2" s="1"/>
  <c r="J231" i="2"/>
  <c r="K231" i="2" s="1"/>
  <c r="J232" i="2"/>
  <c r="K232" i="2" s="1"/>
  <c r="J233" i="2"/>
  <c r="K233" i="2" s="1"/>
  <c r="J234" i="2"/>
  <c r="K234" i="2" s="1"/>
  <c r="J235" i="2"/>
  <c r="J236" i="2"/>
  <c r="K236" i="2" s="1"/>
  <c r="J237" i="2"/>
  <c r="K237" i="2" s="1"/>
  <c r="J238" i="2"/>
  <c r="K238" i="2" s="1"/>
  <c r="J239" i="2"/>
  <c r="K239" i="2" s="1"/>
  <c r="J240" i="2"/>
  <c r="J241" i="2"/>
  <c r="K241" i="2" s="1"/>
  <c r="J242" i="2"/>
  <c r="K242" i="2" s="1"/>
  <c r="J243" i="2"/>
  <c r="K243" i="2" s="1"/>
  <c r="J244" i="2"/>
  <c r="K244" i="2" s="1"/>
  <c r="J245" i="2"/>
  <c r="K245" i="2" s="1"/>
  <c r="J246" i="2"/>
  <c r="K246" i="2" s="1"/>
  <c r="J247" i="2"/>
  <c r="K247" i="2" s="1"/>
  <c r="J248" i="2"/>
  <c r="K248" i="2" s="1"/>
  <c r="J249" i="2"/>
  <c r="K249" i="2" s="1"/>
  <c r="J250" i="2"/>
  <c r="K250" i="2" s="1"/>
  <c r="J251" i="2"/>
  <c r="J252" i="2"/>
  <c r="K252" i="2" s="1"/>
  <c r="J253" i="2"/>
  <c r="K253" i="2" s="1"/>
  <c r="J254" i="2"/>
  <c r="K254" i="2" s="1"/>
  <c r="J255" i="2"/>
  <c r="K255" i="2" s="1"/>
  <c r="J256" i="2"/>
  <c r="J257" i="2"/>
  <c r="K257" i="2" s="1"/>
  <c r="J258" i="2"/>
  <c r="K258" i="2" s="1"/>
  <c r="J259" i="2"/>
  <c r="K259" i="2" s="1"/>
  <c r="J260" i="2"/>
  <c r="K260" i="2" s="1"/>
  <c r="J261" i="2"/>
  <c r="K261" i="2" s="1"/>
  <c r="J262" i="2"/>
  <c r="K262" i="2" s="1"/>
  <c r="J263" i="2"/>
  <c r="K263" i="2" s="1"/>
  <c r="J264" i="2"/>
  <c r="K264" i="2" s="1"/>
  <c r="J265" i="2"/>
  <c r="K265" i="2" s="1"/>
  <c r="J266" i="2"/>
  <c r="K266" i="2" s="1"/>
  <c r="J267" i="2"/>
  <c r="J268" i="2"/>
  <c r="K268" i="2" s="1"/>
  <c r="J269" i="2"/>
  <c r="K269" i="2" s="1"/>
  <c r="J270" i="2"/>
  <c r="K270" i="2" s="1"/>
  <c r="J271" i="2"/>
  <c r="K271" i="2" s="1"/>
  <c r="J272" i="2"/>
  <c r="J273" i="2"/>
  <c r="K273" i="2" s="1"/>
  <c r="J274" i="2"/>
  <c r="K274" i="2" s="1"/>
  <c r="J275" i="2"/>
  <c r="K275" i="2" s="1"/>
  <c r="J276" i="2"/>
  <c r="K276" i="2" s="1"/>
  <c r="J277" i="2"/>
  <c r="K277" i="2" s="1"/>
  <c r="J278" i="2"/>
  <c r="K278" i="2" s="1"/>
  <c r="J279" i="2"/>
  <c r="K279" i="2" s="1"/>
  <c r="J280" i="2"/>
  <c r="K280" i="2" s="1"/>
  <c r="J281" i="2"/>
  <c r="K281" i="2" s="1"/>
  <c r="J282" i="2"/>
  <c r="K282" i="2" s="1"/>
  <c r="J283" i="2"/>
  <c r="J284" i="2"/>
  <c r="K284" i="2" s="1"/>
  <c r="J285" i="2"/>
  <c r="K285" i="2" s="1"/>
  <c r="J286" i="2"/>
  <c r="K286" i="2" s="1"/>
  <c r="J287" i="2"/>
  <c r="K287" i="2" s="1"/>
  <c r="J288" i="2"/>
  <c r="J289" i="2"/>
  <c r="K289" i="2" s="1"/>
  <c r="J290" i="2"/>
  <c r="K290" i="2" s="1"/>
  <c r="J291" i="2"/>
  <c r="K291" i="2" s="1"/>
  <c r="J292" i="2"/>
  <c r="K292" i="2" s="1"/>
  <c r="J293" i="2"/>
  <c r="K293" i="2" s="1"/>
  <c r="J294" i="2"/>
  <c r="K294" i="2" s="1"/>
  <c r="J295" i="2"/>
  <c r="K295" i="2" s="1"/>
  <c r="J296" i="2"/>
  <c r="K296" i="2" s="1"/>
  <c r="J297" i="2"/>
  <c r="K297" i="2" s="1"/>
  <c r="J298" i="2"/>
  <c r="K298" i="2" s="1"/>
  <c r="J299" i="2"/>
  <c r="J300" i="2"/>
  <c r="K300" i="2" s="1"/>
  <c r="J301" i="2"/>
  <c r="K301" i="2" s="1"/>
  <c r="J302" i="2"/>
  <c r="K302" i="2" s="1"/>
  <c r="J303" i="2"/>
  <c r="K303" i="2" s="1"/>
  <c r="J304" i="2"/>
  <c r="J305" i="2"/>
  <c r="K305" i="2" s="1"/>
  <c r="J306" i="2"/>
  <c r="K306" i="2" s="1"/>
  <c r="J307" i="2"/>
  <c r="K307" i="2" s="1"/>
  <c r="J308" i="2"/>
  <c r="K308" i="2" s="1"/>
  <c r="J309" i="2"/>
  <c r="K309" i="2" s="1"/>
  <c r="J310" i="2"/>
  <c r="K310" i="2" s="1"/>
  <c r="J311" i="2"/>
  <c r="K311" i="2" s="1"/>
  <c r="J312" i="2"/>
  <c r="K312" i="2" s="1"/>
  <c r="J313" i="2"/>
  <c r="K313" i="2" s="1"/>
  <c r="J314" i="2"/>
  <c r="K314" i="2" s="1"/>
  <c r="J315" i="2"/>
  <c r="J316" i="2"/>
  <c r="K316" i="2" s="1"/>
  <c r="J317" i="2"/>
  <c r="K317" i="2" s="1"/>
  <c r="J318" i="2"/>
  <c r="K318" i="2" s="1"/>
  <c r="J319" i="2"/>
  <c r="K319" i="2" s="1"/>
  <c r="J320" i="2"/>
  <c r="J321" i="2"/>
  <c r="K321" i="2" s="1"/>
  <c r="J322" i="2"/>
  <c r="K322" i="2" s="1"/>
  <c r="J323" i="2"/>
  <c r="K323" i="2" s="1"/>
  <c r="J324" i="2"/>
  <c r="K324" i="2" s="1"/>
  <c r="J325" i="2"/>
  <c r="K325" i="2" s="1"/>
  <c r="J326" i="2"/>
  <c r="K326" i="2" s="1"/>
  <c r="J327" i="2"/>
  <c r="K327" i="2" s="1"/>
  <c r="J328" i="2"/>
  <c r="K328" i="2" s="1"/>
  <c r="J329" i="2"/>
  <c r="K329" i="2" s="1"/>
  <c r="J330" i="2"/>
  <c r="K330" i="2" s="1"/>
  <c r="J331" i="2"/>
  <c r="J332" i="2"/>
  <c r="K332" i="2" s="1"/>
  <c r="J333" i="2"/>
  <c r="K333" i="2" s="1"/>
  <c r="J334" i="2"/>
  <c r="K334" i="2" s="1"/>
  <c r="J335" i="2"/>
  <c r="J336" i="2"/>
  <c r="K336" i="2" s="1"/>
  <c r="J337" i="2"/>
  <c r="K337" i="2" s="1"/>
  <c r="J338" i="2"/>
  <c r="K338" i="2" s="1"/>
  <c r="J339" i="2"/>
  <c r="J340" i="2"/>
  <c r="K340" i="2" s="1"/>
  <c r="J341" i="2"/>
  <c r="K341" i="2" s="1"/>
  <c r="J342" i="2"/>
  <c r="K342" i="2" s="1"/>
  <c r="J343" i="2"/>
  <c r="J344" i="2"/>
  <c r="K344" i="2" s="1"/>
  <c r="J345" i="2"/>
  <c r="K345" i="2" s="1"/>
  <c r="J346" i="2"/>
  <c r="K346" i="2" s="1"/>
  <c r="J347" i="2"/>
  <c r="J348" i="2"/>
  <c r="K348" i="2" s="1"/>
  <c r="J349" i="2"/>
  <c r="K349" i="2" s="1"/>
  <c r="J350" i="2"/>
  <c r="K350" i="2" s="1"/>
  <c r="J351" i="2"/>
  <c r="J352" i="2"/>
  <c r="K352" i="2" s="1"/>
  <c r="J353" i="2"/>
  <c r="K353" i="2" s="1"/>
  <c r="J354" i="2"/>
  <c r="K354" i="2" s="1"/>
  <c r="J355" i="2"/>
  <c r="J356" i="2"/>
  <c r="K356" i="2" s="1"/>
  <c r="J357" i="2"/>
  <c r="K357" i="2" s="1"/>
  <c r="J358" i="2"/>
  <c r="K358" i="2" s="1"/>
  <c r="J359" i="2"/>
  <c r="J360" i="2"/>
  <c r="K360" i="2" s="1"/>
  <c r="J361" i="2"/>
  <c r="K361" i="2" s="1"/>
  <c r="J362" i="2"/>
  <c r="K362" i="2" s="1"/>
  <c r="J363" i="2"/>
  <c r="J364" i="2"/>
  <c r="K364" i="2" s="1"/>
  <c r="J365" i="2"/>
  <c r="K365" i="2" s="1"/>
  <c r="J366" i="2"/>
  <c r="K366" i="2" s="1"/>
  <c r="J367" i="2"/>
  <c r="J368" i="2"/>
  <c r="K368" i="2" s="1"/>
  <c r="J369" i="2"/>
  <c r="K369" i="2" s="1"/>
  <c r="J370" i="2"/>
  <c r="K370" i="2" s="1"/>
  <c r="J371" i="2"/>
  <c r="J372" i="2"/>
  <c r="K372" i="2" s="1"/>
  <c r="J373" i="2"/>
  <c r="K373" i="2" s="1"/>
  <c r="J374" i="2"/>
  <c r="K374" i="2" s="1"/>
  <c r="J375" i="2"/>
  <c r="J376" i="2"/>
  <c r="K376" i="2" s="1"/>
  <c r="J377" i="2"/>
  <c r="K377" i="2" s="1"/>
  <c r="J378" i="2"/>
  <c r="K378" i="2" s="1"/>
  <c r="J379" i="2"/>
  <c r="J380" i="2"/>
  <c r="K380" i="2" s="1"/>
  <c r="J381" i="2"/>
  <c r="K381" i="2" s="1"/>
  <c r="J382" i="2"/>
  <c r="K382" i="2" s="1"/>
  <c r="J383" i="2"/>
  <c r="J384" i="2"/>
  <c r="K384" i="2" s="1"/>
  <c r="J385" i="2"/>
  <c r="K385" i="2" s="1"/>
  <c r="J386" i="2"/>
  <c r="K386" i="2" s="1"/>
  <c r="J387" i="2"/>
  <c r="J388" i="2"/>
  <c r="K388" i="2" s="1"/>
  <c r="J389" i="2"/>
  <c r="K389" i="2" s="1"/>
  <c r="J390" i="2"/>
  <c r="K390" i="2" s="1"/>
  <c r="J391" i="2"/>
  <c r="J392" i="2"/>
  <c r="K392" i="2" s="1"/>
  <c r="J393" i="2"/>
  <c r="K393" i="2" s="1"/>
  <c r="J394" i="2"/>
  <c r="K394" i="2" s="1"/>
  <c r="J395" i="2"/>
  <c r="J396" i="2"/>
  <c r="K396" i="2" s="1"/>
  <c r="J397" i="2"/>
  <c r="K397" i="2" s="1"/>
  <c r="J398" i="2"/>
  <c r="K398" i="2" s="1"/>
  <c r="J399" i="2"/>
  <c r="J400" i="2"/>
  <c r="K400" i="2" s="1"/>
  <c r="J401" i="2"/>
  <c r="K401" i="2" s="1"/>
  <c r="J402" i="2"/>
  <c r="K402" i="2" s="1"/>
  <c r="J403" i="2"/>
  <c r="J404" i="2"/>
  <c r="K404" i="2" s="1"/>
  <c r="J405" i="2"/>
  <c r="K405" i="2" s="1"/>
  <c r="J406" i="2"/>
  <c r="K406" i="2" s="1"/>
  <c r="J407" i="2"/>
  <c r="J408" i="2"/>
  <c r="K408" i="2" s="1"/>
  <c r="J409" i="2"/>
  <c r="K409" i="2" s="1"/>
  <c r="J410" i="2"/>
  <c r="K410" i="2" s="1"/>
  <c r="J411" i="2"/>
  <c r="J412" i="2"/>
  <c r="K412" i="2" s="1"/>
  <c r="J413" i="2"/>
  <c r="K413" i="2" s="1"/>
  <c r="J414" i="2"/>
  <c r="K414" i="2" s="1"/>
  <c r="J415" i="2"/>
  <c r="J416" i="2"/>
  <c r="K416" i="2" s="1"/>
  <c r="J417" i="2"/>
  <c r="K417" i="2" s="1"/>
  <c r="J418" i="2"/>
  <c r="K418" i="2" s="1"/>
  <c r="J419" i="2"/>
  <c r="J420" i="2"/>
  <c r="K420" i="2" s="1"/>
  <c r="J421" i="2"/>
  <c r="K421" i="2" s="1"/>
  <c r="J422" i="2"/>
  <c r="K422" i="2" s="1"/>
  <c r="J423" i="2"/>
  <c r="J424" i="2"/>
  <c r="K424" i="2" s="1"/>
  <c r="J425" i="2"/>
  <c r="K425" i="2" s="1"/>
  <c r="J426" i="2"/>
  <c r="K426" i="2" s="1"/>
  <c r="J427" i="2"/>
  <c r="J428" i="2"/>
  <c r="K428" i="2" s="1"/>
  <c r="J429" i="2"/>
  <c r="K429" i="2" s="1"/>
  <c r="J430" i="2"/>
  <c r="K430" i="2" s="1"/>
  <c r="J431" i="2"/>
  <c r="J432" i="2"/>
  <c r="K432" i="2" s="1"/>
  <c r="J433" i="2"/>
  <c r="K433" i="2" s="1"/>
  <c r="J434" i="2"/>
  <c r="K434" i="2" s="1"/>
  <c r="J435" i="2"/>
  <c r="J436" i="2"/>
  <c r="K436" i="2" s="1"/>
  <c r="J437" i="2"/>
  <c r="K437" i="2" s="1"/>
  <c r="J438" i="2"/>
  <c r="K438" i="2" s="1"/>
  <c r="J439" i="2"/>
  <c r="J440" i="2"/>
  <c r="K440" i="2" s="1"/>
  <c r="J441" i="2"/>
  <c r="K441" i="2" s="1"/>
  <c r="J442" i="2"/>
  <c r="K442" i="2" s="1"/>
  <c r="J443" i="2"/>
  <c r="J444" i="2"/>
  <c r="K444" i="2" s="1"/>
  <c r="J445" i="2"/>
  <c r="K445" i="2" s="1"/>
  <c r="J446" i="2"/>
  <c r="K446" i="2" s="1"/>
  <c r="J447" i="2"/>
  <c r="J448" i="2"/>
  <c r="K448" i="2" s="1"/>
  <c r="J449" i="2"/>
  <c r="K449" i="2" s="1"/>
  <c r="J450" i="2"/>
  <c r="K450" i="2" s="1"/>
  <c r="J451" i="2"/>
  <c r="J452" i="2"/>
  <c r="K452" i="2" s="1"/>
  <c r="J453" i="2"/>
  <c r="K453" i="2" s="1"/>
  <c r="J454" i="2"/>
  <c r="K454" i="2" s="1"/>
  <c r="J455" i="2"/>
  <c r="J456" i="2"/>
  <c r="K456" i="2" s="1"/>
  <c r="J457" i="2"/>
  <c r="K457" i="2" s="1"/>
  <c r="J458" i="2"/>
  <c r="K458" i="2" s="1"/>
  <c r="J459" i="2"/>
  <c r="J460" i="2"/>
  <c r="K460" i="2" s="1"/>
  <c r="J461" i="2"/>
  <c r="K461" i="2" s="1"/>
  <c r="J462" i="2"/>
  <c r="K462" i="2" s="1"/>
  <c r="J463" i="2"/>
  <c r="J464" i="2"/>
  <c r="K464" i="2" s="1"/>
  <c r="J465" i="2"/>
  <c r="K465" i="2" s="1"/>
  <c r="J466" i="2"/>
  <c r="K466" i="2" s="1"/>
  <c r="J467" i="2"/>
  <c r="J468" i="2"/>
  <c r="K468" i="2" s="1"/>
  <c r="J469" i="2"/>
  <c r="K469" i="2" s="1"/>
  <c r="J470" i="2"/>
  <c r="K470" i="2" s="1"/>
  <c r="J471" i="2"/>
  <c r="J472" i="2"/>
  <c r="K472" i="2" s="1"/>
  <c r="J473" i="2"/>
  <c r="K473" i="2" s="1"/>
  <c r="J474" i="2"/>
  <c r="K474" i="2" s="1"/>
  <c r="J475" i="2"/>
  <c r="J476" i="2"/>
  <c r="K476" i="2" s="1"/>
  <c r="J477" i="2"/>
  <c r="K477" i="2" s="1"/>
  <c r="J478" i="2"/>
  <c r="K478" i="2" s="1"/>
  <c r="J479" i="2"/>
  <c r="J480" i="2"/>
  <c r="K480" i="2" s="1"/>
  <c r="J481" i="2"/>
  <c r="K481" i="2" s="1"/>
  <c r="J482" i="2"/>
  <c r="K482" i="2" s="1"/>
  <c r="J483" i="2"/>
  <c r="J484" i="2"/>
  <c r="K484" i="2" s="1"/>
  <c r="J485" i="2"/>
  <c r="K485" i="2" s="1"/>
  <c r="J486" i="2"/>
  <c r="K486" i="2" s="1"/>
  <c r="J487" i="2"/>
  <c r="J488" i="2"/>
  <c r="K488" i="2" s="1"/>
  <c r="J489" i="2"/>
  <c r="K489" i="2" s="1"/>
  <c r="J490" i="2"/>
  <c r="K490" i="2" s="1"/>
  <c r="J491" i="2"/>
  <c r="J492" i="2"/>
  <c r="K492" i="2" s="1"/>
  <c r="J493" i="2"/>
  <c r="K493" i="2" s="1"/>
  <c r="J494" i="2"/>
  <c r="K494" i="2" s="1"/>
  <c r="J495" i="2"/>
  <c r="J496" i="2"/>
  <c r="K496" i="2" s="1"/>
  <c r="J497" i="2"/>
  <c r="K497" i="2" s="1"/>
  <c r="J498" i="2"/>
  <c r="K498" i="2" s="1"/>
  <c r="J499" i="2"/>
  <c r="J500" i="2"/>
  <c r="K500" i="2" s="1"/>
  <c r="J501" i="2"/>
  <c r="K501" i="2" s="1"/>
  <c r="J502" i="2"/>
  <c r="K502" i="2" s="1"/>
  <c r="J503" i="2"/>
  <c r="J504" i="2"/>
  <c r="K504" i="2" s="1"/>
  <c r="J505" i="2"/>
  <c r="K505" i="2" s="1"/>
  <c r="J506" i="2"/>
  <c r="K506" i="2" s="1"/>
  <c r="J507" i="2"/>
  <c r="J508" i="2"/>
  <c r="K508" i="2" s="1"/>
  <c r="J509" i="2"/>
  <c r="K509" i="2" s="1"/>
  <c r="J510" i="2"/>
  <c r="K510" i="2" s="1"/>
  <c r="J511" i="2"/>
  <c r="J512" i="2"/>
  <c r="K512" i="2" s="1"/>
  <c r="J513" i="2"/>
  <c r="K513" i="2" s="1"/>
  <c r="J514" i="2"/>
  <c r="K514" i="2" s="1"/>
  <c r="J515" i="2"/>
  <c r="J516" i="2"/>
  <c r="K516" i="2" s="1"/>
  <c r="J517" i="2"/>
  <c r="K517" i="2" s="1"/>
  <c r="J518" i="2"/>
  <c r="K518" i="2" s="1"/>
  <c r="J519" i="2"/>
  <c r="J520" i="2"/>
  <c r="K520" i="2" s="1"/>
  <c r="J521" i="2"/>
  <c r="K521" i="2" s="1"/>
  <c r="J522" i="2"/>
  <c r="K522" i="2" s="1"/>
  <c r="J523" i="2"/>
  <c r="J524" i="2"/>
  <c r="K524" i="2" s="1"/>
  <c r="J525" i="2"/>
  <c r="K525" i="2" s="1"/>
  <c r="J526" i="2"/>
  <c r="K526" i="2" s="1"/>
  <c r="J527" i="2"/>
  <c r="J528" i="2"/>
  <c r="K528" i="2" s="1"/>
  <c r="J529" i="2"/>
  <c r="K529" i="2" s="1"/>
  <c r="J530" i="2"/>
  <c r="K530" i="2" s="1"/>
  <c r="J531" i="2"/>
  <c r="J532" i="2"/>
  <c r="K532" i="2" s="1"/>
  <c r="J533" i="2"/>
  <c r="K533" i="2" s="1"/>
  <c r="J534" i="2"/>
  <c r="K534" i="2" s="1"/>
  <c r="J535" i="2"/>
  <c r="J536" i="2"/>
  <c r="K536" i="2" s="1"/>
  <c r="J537" i="2"/>
  <c r="K537" i="2" s="1"/>
  <c r="J538" i="2"/>
  <c r="K538" i="2" s="1"/>
  <c r="J539" i="2"/>
  <c r="J540" i="2"/>
  <c r="K540" i="2" s="1"/>
  <c r="J541" i="2"/>
  <c r="K541" i="2" s="1"/>
  <c r="J542" i="2"/>
  <c r="K542" i="2" s="1"/>
  <c r="J543" i="2"/>
  <c r="J544" i="2"/>
  <c r="K544" i="2" s="1"/>
  <c r="J545" i="2"/>
  <c r="K545" i="2" s="1"/>
  <c r="J546" i="2"/>
  <c r="K546" i="2" s="1"/>
  <c r="J547" i="2"/>
  <c r="J548" i="2"/>
  <c r="K548" i="2" s="1"/>
  <c r="J549" i="2"/>
  <c r="K549" i="2" s="1"/>
  <c r="J550" i="2"/>
  <c r="K550" i="2" s="1"/>
  <c r="J551" i="2"/>
  <c r="J552" i="2"/>
  <c r="K552" i="2" s="1"/>
  <c r="J553" i="2"/>
  <c r="K553" i="2" s="1"/>
  <c r="J554" i="2"/>
  <c r="K554" i="2" s="1"/>
  <c r="J555" i="2"/>
  <c r="J556" i="2"/>
  <c r="K556" i="2" s="1"/>
  <c r="J557" i="2"/>
  <c r="K557" i="2" s="1"/>
  <c r="J558" i="2"/>
  <c r="K558" i="2" s="1"/>
  <c r="J559" i="2"/>
  <c r="J560" i="2"/>
  <c r="K560" i="2" s="1"/>
  <c r="J561" i="2"/>
  <c r="K561" i="2" s="1"/>
  <c r="J562" i="2"/>
  <c r="K562" i="2" s="1"/>
  <c r="J563" i="2"/>
  <c r="J564" i="2"/>
  <c r="K564" i="2" s="1"/>
  <c r="J565" i="2"/>
  <c r="K565" i="2" s="1"/>
  <c r="J566" i="2"/>
  <c r="K566" i="2" s="1"/>
  <c r="J567" i="2"/>
  <c r="J568" i="2"/>
  <c r="K568" i="2" s="1"/>
  <c r="J569" i="2"/>
  <c r="K569" i="2" s="1"/>
  <c r="J570" i="2"/>
  <c r="K570" i="2" s="1"/>
  <c r="J571" i="2"/>
  <c r="J572" i="2"/>
  <c r="K572" i="2" s="1"/>
  <c r="J573" i="2"/>
  <c r="K573" i="2" s="1"/>
  <c r="J574" i="2"/>
  <c r="K574" i="2" s="1"/>
  <c r="J575" i="2"/>
  <c r="J576" i="2"/>
  <c r="K576" i="2" s="1"/>
  <c r="J577" i="2"/>
  <c r="K577" i="2" s="1"/>
  <c r="J578" i="2"/>
  <c r="K578" i="2" s="1"/>
  <c r="J579" i="2"/>
  <c r="J580" i="2"/>
  <c r="K580" i="2" s="1"/>
  <c r="J581" i="2"/>
  <c r="K581" i="2" s="1"/>
  <c r="J582" i="2"/>
  <c r="K582" i="2" s="1"/>
  <c r="J583" i="2"/>
  <c r="J584" i="2"/>
  <c r="K584" i="2" s="1"/>
  <c r="J585" i="2"/>
  <c r="K585" i="2" s="1"/>
  <c r="J586" i="2"/>
  <c r="K586" i="2" s="1"/>
  <c r="J587" i="2"/>
  <c r="J588" i="2"/>
  <c r="K588" i="2" s="1"/>
  <c r="J589" i="2"/>
  <c r="K589" i="2" s="1"/>
  <c r="J590" i="2"/>
  <c r="K590" i="2" s="1"/>
  <c r="J591" i="2"/>
  <c r="J592" i="2"/>
  <c r="K592" i="2" s="1"/>
  <c r="J593" i="2"/>
  <c r="K593" i="2" s="1"/>
  <c r="J594" i="2"/>
  <c r="K594" i="2" s="1"/>
  <c r="J595" i="2"/>
  <c r="J596" i="2"/>
  <c r="K596" i="2" s="1"/>
  <c r="J597" i="2"/>
  <c r="K597" i="2" s="1"/>
  <c r="J598" i="2"/>
  <c r="K598" i="2" s="1"/>
  <c r="J599" i="2"/>
  <c r="J600" i="2"/>
  <c r="K600" i="2" s="1"/>
  <c r="J601" i="2"/>
  <c r="K601" i="2" s="1"/>
  <c r="J602" i="2"/>
  <c r="K602" i="2" s="1"/>
  <c r="J603" i="2"/>
  <c r="J604" i="2"/>
  <c r="K604" i="2" s="1"/>
  <c r="J605" i="2"/>
  <c r="K605" i="2" s="1"/>
  <c r="J606" i="2"/>
  <c r="K606" i="2" s="1"/>
  <c r="J607" i="2"/>
  <c r="J608" i="2"/>
  <c r="K608" i="2" s="1"/>
  <c r="J609" i="2"/>
  <c r="K609" i="2" s="1"/>
  <c r="J610" i="2"/>
  <c r="K610" i="2" s="1"/>
  <c r="J611" i="2"/>
  <c r="J612" i="2"/>
  <c r="K612" i="2" s="1"/>
  <c r="J613" i="2"/>
  <c r="K613" i="2" s="1"/>
  <c r="J614" i="2"/>
  <c r="K614" i="2" s="1"/>
  <c r="J615" i="2"/>
  <c r="J616" i="2"/>
  <c r="K616" i="2" s="1"/>
  <c r="J617" i="2"/>
  <c r="K617" i="2" s="1"/>
  <c r="J618" i="2"/>
  <c r="K618" i="2" s="1"/>
  <c r="J619" i="2"/>
  <c r="J620" i="2"/>
  <c r="K620" i="2" s="1"/>
  <c r="J621" i="2"/>
  <c r="K621" i="2" s="1"/>
  <c r="J622" i="2"/>
  <c r="K622" i="2" s="1"/>
  <c r="J623" i="2"/>
  <c r="J624" i="2"/>
  <c r="K624" i="2" s="1"/>
  <c r="J625" i="2"/>
  <c r="K625" i="2" s="1"/>
  <c r="J626" i="2"/>
  <c r="K626" i="2" s="1"/>
  <c r="J627" i="2"/>
  <c r="J628" i="2"/>
  <c r="K628" i="2" s="1"/>
  <c r="J629" i="2"/>
  <c r="K629" i="2" s="1"/>
  <c r="J630" i="2"/>
  <c r="K630" i="2" s="1"/>
  <c r="J631" i="2"/>
  <c r="J632" i="2"/>
  <c r="K632" i="2" s="1"/>
  <c r="J633" i="2"/>
  <c r="K633" i="2" s="1"/>
  <c r="J634" i="2"/>
  <c r="K634" i="2" s="1"/>
  <c r="J635" i="2"/>
  <c r="J636" i="2"/>
  <c r="K636" i="2" s="1"/>
  <c r="J637" i="2"/>
  <c r="K637" i="2" s="1"/>
  <c r="J638" i="2"/>
  <c r="K638" i="2" s="1"/>
  <c r="J639" i="2"/>
  <c r="J640" i="2"/>
  <c r="K640" i="2" s="1"/>
  <c r="J641" i="2"/>
  <c r="K641" i="2" s="1"/>
  <c r="J642" i="2"/>
  <c r="K642" i="2" s="1"/>
  <c r="J643" i="2"/>
  <c r="J644" i="2"/>
  <c r="K644" i="2" s="1"/>
  <c r="J645" i="2"/>
  <c r="K645" i="2" s="1"/>
  <c r="J646" i="2"/>
  <c r="K646" i="2" s="1"/>
  <c r="J647" i="2"/>
  <c r="J648" i="2"/>
  <c r="K648" i="2" s="1"/>
  <c r="J649" i="2"/>
  <c r="K649" i="2" s="1"/>
  <c r="J650" i="2"/>
  <c r="K650" i="2" s="1"/>
  <c r="J651" i="2"/>
  <c r="J652" i="2"/>
  <c r="K652" i="2" s="1"/>
  <c r="J653" i="2"/>
  <c r="K653" i="2" s="1"/>
  <c r="J654" i="2"/>
  <c r="K654" i="2" s="1"/>
  <c r="J655" i="2"/>
  <c r="J656" i="2"/>
  <c r="K656" i="2" s="1"/>
  <c r="J657" i="2"/>
  <c r="K657" i="2" s="1"/>
  <c r="J658" i="2"/>
  <c r="K658" i="2" s="1"/>
  <c r="J659" i="2"/>
  <c r="J660" i="2"/>
  <c r="K660" i="2" s="1"/>
  <c r="J661" i="2"/>
  <c r="K661" i="2" s="1"/>
  <c r="J662" i="2"/>
  <c r="K662" i="2" s="1"/>
  <c r="J663" i="2"/>
  <c r="J664" i="2"/>
  <c r="K664" i="2" s="1"/>
  <c r="J665" i="2"/>
  <c r="K665" i="2" s="1"/>
  <c r="J666" i="2"/>
  <c r="K666" i="2" s="1"/>
  <c r="J667" i="2"/>
  <c r="J668" i="2"/>
  <c r="K668" i="2" s="1"/>
  <c r="J669" i="2"/>
  <c r="K669" i="2" s="1"/>
  <c r="J670" i="2"/>
  <c r="K670" i="2" s="1"/>
  <c r="J671" i="2"/>
  <c r="J672" i="2"/>
  <c r="K672" i="2" s="1"/>
  <c r="J673" i="2"/>
  <c r="K673" i="2" s="1"/>
  <c r="J674" i="2"/>
  <c r="K674" i="2" s="1"/>
  <c r="J675" i="2"/>
  <c r="J676" i="2"/>
  <c r="K676" i="2" s="1"/>
  <c r="J677" i="2"/>
  <c r="K677" i="2" s="1"/>
  <c r="J678" i="2"/>
  <c r="K678" i="2" s="1"/>
  <c r="J679" i="2"/>
  <c r="J680" i="2"/>
  <c r="K680" i="2" s="1"/>
  <c r="J681" i="2"/>
  <c r="K681" i="2" s="1"/>
  <c r="J682" i="2"/>
  <c r="K682" i="2" s="1"/>
  <c r="J683" i="2"/>
  <c r="J684" i="2"/>
  <c r="K684" i="2" s="1"/>
  <c r="J685" i="2"/>
  <c r="K685" i="2" s="1"/>
  <c r="J686" i="2"/>
  <c r="K686" i="2" s="1"/>
  <c r="J687" i="2"/>
  <c r="J688" i="2"/>
  <c r="K688" i="2" s="1"/>
  <c r="J689" i="2"/>
  <c r="K689" i="2" s="1"/>
  <c r="J690" i="2"/>
  <c r="K690" i="2" s="1"/>
  <c r="J691" i="2"/>
  <c r="J692" i="2"/>
  <c r="K692" i="2" s="1"/>
  <c r="J693" i="2"/>
  <c r="K693" i="2" s="1"/>
  <c r="J694" i="2"/>
  <c r="K694" i="2" s="1"/>
  <c r="J695" i="2"/>
  <c r="J696" i="2"/>
  <c r="K696" i="2" s="1"/>
  <c r="J697" i="2"/>
  <c r="K697" i="2" s="1"/>
  <c r="J698" i="2"/>
  <c r="K698" i="2" s="1"/>
  <c r="J699" i="2"/>
  <c r="J700" i="2"/>
  <c r="K700" i="2" s="1"/>
  <c r="J701" i="2"/>
  <c r="K701" i="2" s="1"/>
  <c r="J702" i="2"/>
  <c r="K702" i="2" s="1"/>
  <c r="J703" i="2"/>
  <c r="J704" i="2"/>
  <c r="K704" i="2" s="1"/>
  <c r="J705" i="2"/>
  <c r="K705" i="2" s="1"/>
  <c r="J706" i="2"/>
  <c r="K706" i="2" s="1"/>
  <c r="J707" i="2"/>
  <c r="J708" i="2"/>
  <c r="K708" i="2" s="1"/>
  <c r="J709" i="2"/>
  <c r="K709" i="2" s="1"/>
  <c r="J710" i="2"/>
  <c r="K710" i="2" s="1"/>
  <c r="J711" i="2"/>
  <c r="J712" i="2"/>
  <c r="K712" i="2" s="1"/>
  <c r="J713" i="2"/>
  <c r="K713" i="2" s="1"/>
  <c r="J714" i="2"/>
  <c r="K714" i="2" s="1"/>
  <c r="J715" i="2"/>
  <c r="J716" i="2"/>
  <c r="K716" i="2" s="1"/>
  <c r="J717" i="2"/>
  <c r="K717" i="2" s="1"/>
  <c r="J718" i="2"/>
  <c r="K718" i="2" s="1"/>
  <c r="J719" i="2"/>
  <c r="J720" i="2"/>
  <c r="K720" i="2" s="1"/>
  <c r="J721" i="2"/>
  <c r="K721" i="2" s="1"/>
  <c r="J722" i="2"/>
  <c r="K722" i="2" s="1"/>
  <c r="J723" i="2"/>
  <c r="J724" i="2"/>
  <c r="K724" i="2" s="1"/>
  <c r="J725" i="2"/>
  <c r="K725" i="2" s="1"/>
  <c r="J726" i="2"/>
  <c r="K726" i="2" s="1"/>
  <c r="J727" i="2"/>
  <c r="J728" i="2"/>
  <c r="K728" i="2" s="1"/>
  <c r="J729" i="2"/>
  <c r="K729" i="2" s="1"/>
  <c r="J730" i="2"/>
  <c r="K730" i="2" s="1"/>
  <c r="J731" i="2"/>
  <c r="J732" i="2"/>
  <c r="K732" i="2" s="1"/>
  <c r="J733" i="2"/>
  <c r="K733" i="2" s="1"/>
  <c r="J734" i="2"/>
  <c r="K734" i="2" s="1"/>
  <c r="J735" i="2"/>
  <c r="J736" i="2"/>
  <c r="K736" i="2" s="1"/>
  <c r="J737" i="2"/>
  <c r="K737" i="2" s="1"/>
  <c r="J738" i="2"/>
  <c r="K738" i="2" s="1"/>
  <c r="J739" i="2"/>
  <c r="J740" i="2"/>
  <c r="K740" i="2" s="1"/>
  <c r="J741" i="2"/>
  <c r="K741" i="2" s="1"/>
  <c r="J742" i="2"/>
  <c r="K742" i="2" s="1"/>
  <c r="J743" i="2"/>
  <c r="J744" i="2"/>
  <c r="K744" i="2" s="1"/>
  <c r="J745" i="2"/>
  <c r="K745" i="2" s="1"/>
  <c r="J746" i="2"/>
  <c r="K746" i="2" s="1"/>
  <c r="J747" i="2"/>
  <c r="J748" i="2"/>
  <c r="K748" i="2" s="1"/>
  <c r="J749" i="2"/>
  <c r="K749" i="2" s="1"/>
  <c r="J750" i="2"/>
  <c r="K750" i="2" s="1"/>
  <c r="J751" i="2"/>
  <c r="J752" i="2"/>
  <c r="K752" i="2" s="1"/>
  <c r="J753" i="2"/>
  <c r="K753" i="2" s="1"/>
  <c r="J754" i="2"/>
  <c r="K754" i="2" s="1"/>
  <c r="J755" i="2"/>
  <c r="J756" i="2"/>
  <c r="K756" i="2" s="1"/>
  <c r="J757" i="2"/>
  <c r="K757" i="2" s="1"/>
  <c r="J758" i="2"/>
  <c r="K758" i="2" s="1"/>
  <c r="J759" i="2"/>
  <c r="J760" i="2"/>
  <c r="K760" i="2" s="1"/>
  <c r="J761" i="2"/>
  <c r="K761" i="2" s="1"/>
  <c r="J762" i="2"/>
  <c r="K762" i="2" s="1"/>
  <c r="J763" i="2"/>
  <c r="J764" i="2"/>
  <c r="K764" i="2" s="1"/>
  <c r="J765" i="2"/>
  <c r="K765" i="2" s="1"/>
  <c r="J766" i="2"/>
  <c r="K766" i="2" s="1"/>
  <c r="J767" i="2"/>
  <c r="J768" i="2"/>
  <c r="K768" i="2" s="1"/>
  <c r="J769" i="2"/>
  <c r="K769" i="2" s="1"/>
  <c r="J770" i="2"/>
  <c r="K770" i="2" s="1"/>
  <c r="J771" i="2"/>
  <c r="J772" i="2"/>
  <c r="K772" i="2" s="1"/>
  <c r="J773" i="2"/>
  <c r="K773" i="2" s="1"/>
  <c r="J774" i="2"/>
  <c r="K774" i="2" s="1"/>
  <c r="J775" i="2"/>
  <c r="J776" i="2"/>
  <c r="K776" i="2" s="1"/>
  <c r="J777" i="2"/>
  <c r="K777" i="2" s="1"/>
  <c r="J778" i="2"/>
  <c r="K778" i="2" s="1"/>
  <c r="J779" i="2"/>
  <c r="J780" i="2"/>
  <c r="K780" i="2" s="1"/>
  <c r="J781" i="2"/>
  <c r="K781" i="2" s="1"/>
  <c r="J782" i="2"/>
  <c r="K782" i="2" s="1"/>
  <c r="J783" i="2"/>
  <c r="J784" i="2"/>
  <c r="K784" i="2" s="1"/>
  <c r="J785" i="2"/>
  <c r="K785" i="2" s="1"/>
  <c r="J786" i="2"/>
  <c r="K786" i="2" s="1"/>
  <c r="J787" i="2"/>
  <c r="J788" i="2"/>
  <c r="K788" i="2" s="1"/>
  <c r="J789" i="2"/>
  <c r="K789" i="2" s="1"/>
  <c r="J790" i="2"/>
  <c r="K790" i="2" s="1"/>
  <c r="J791" i="2"/>
  <c r="J792" i="2"/>
  <c r="K792" i="2" s="1"/>
  <c r="J793" i="2"/>
  <c r="K793" i="2" s="1"/>
  <c r="J794" i="2"/>
  <c r="K794" i="2" s="1"/>
  <c r="J795" i="2"/>
  <c r="J796" i="2"/>
  <c r="K796" i="2" s="1"/>
  <c r="J797" i="2"/>
  <c r="K797" i="2" s="1"/>
  <c r="J798" i="2"/>
  <c r="K798" i="2" s="1"/>
  <c r="J799" i="2"/>
  <c r="J800" i="2"/>
  <c r="K800" i="2" s="1"/>
  <c r="J801" i="2"/>
  <c r="K801" i="2" s="1"/>
  <c r="J802" i="2"/>
  <c r="K802" i="2" s="1"/>
  <c r="J803" i="2"/>
  <c r="J804" i="2"/>
  <c r="K804" i="2" s="1"/>
  <c r="J805" i="2"/>
  <c r="K805" i="2" s="1"/>
  <c r="J806" i="2"/>
  <c r="K806" i="2" s="1"/>
  <c r="J807" i="2"/>
  <c r="J808" i="2"/>
  <c r="K808" i="2" s="1"/>
  <c r="J809" i="2"/>
  <c r="K809" i="2" s="1"/>
  <c r="J810" i="2"/>
  <c r="K810" i="2" s="1"/>
  <c r="J811" i="2"/>
  <c r="J812" i="2"/>
  <c r="K812" i="2" s="1"/>
  <c r="J813" i="2"/>
  <c r="K813" i="2" s="1"/>
  <c r="J814" i="2"/>
  <c r="K814" i="2" s="1"/>
  <c r="J815" i="2"/>
  <c r="J816" i="2"/>
  <c r="K816" i="2" s="1"/>
  <c r="J817" i="2"/>
  <c r="K817" i="2" s="1"/>
  <c r="J818" i="2"/>
  <c r="K818" i="2" s="1"/>
  <c r="J819" i="2"/>
  <c r="J820" i="2"/>
  <c r="K820" i="2" s="1"/>
  <c r="J821" i="2"/>
  <c r="K821" i="2" s="1"/>
  <c r="J822" i="2"/>
  <c r="K822" i="2" s="1"/>
  <c r="J823" i="2"/>
  <c r="J824" i="2"/>
  <c r="K824" i="2" s="1"/>
  <c r="J825" i="2"/>
  <c r="K825" i="2" s="1"/>
  <c r="J826" i="2"/>
  <c r="K826" i="2" s="1"/>
  <c r="J827" i="2"/>
  <c r="J828" i="2"/>
  <c r="K828" i="2" s="1"/>
  <c r="J829" i="2"/>
  <c r="K829" i="2" s="1"/>
  <c r="J830" i="2"/>
  <c r="K830" i="2" s="1"/>
  <c r="J831" i="2"/>
  <c r="J832" i="2"/>
  <c r="K832" i="2" s="1"/>
  <c r="J833" i="2"/>
  <c r="K833" i="2" s="1"/>
  <c r="J834" i="2"/>
  <c r="K834" i="2" s="1"/>
  <c r="J835" i="2"/>
  <c r="J836" i="2"/>
  <c r="K836" i="2" s="1"/>
  <c r="J837" i="2"/>
  <c r="K837" i="2" s="1"/>
  <c r="J838" i="2"/>
  <c r="K838" i="2" s="1"/>
  <c r="J839" i="2"/>
  <c r="J840" i="2"/>
  <c r="K840" i="2" s="1"/>
  <c r="J841" i="2"/>
  <c r="K841" i="2" s="1"/>
  <c r="J842" i="2"/>
  <c r="K842" i="2" s="1"/>
  <c r="J843" i="2"/>
  <c r="J844" i="2"/>
  <c r="K844" i="2" s="1"/>
  <c r="J845" i="2"/>
  <c r="K845" i="2" s="1"/>
  <c r="J846" i="2"/>
  <c r="K846" i="2" s="1"/>
  <c r="J847" i="2"/>
  <c r="J848" i="2"/>
  <c r="K848" i="2" s="1"/>
  <c r="J849" i="2"/>
  <c r="K849" i="2" s="1"/>
  <c r="J850" i="2"/>
  <c r="K850" i="2" s="1"/>
  <c r="J851" i="2"/>
  <c r="J852" i="2"/>
  <c r="K852" i="2" s="1"/>
  <c r="J853" i="2"/>
  <c r="K853" i="2" s="1"/>
  <c r="J854" i="2"/>
  <c r="K854" i="2" s="1"/>
  <c r="J855" i="2"/>
  <c r="J856" i="2"/>
  <c r="K856" i="2" s="1"/>
  <c r="J857" i="2"/>
  <c r="K857" i="2" s="1"/>
  <c r="J858" i="2"/>
  <c r="K858" i="2" s="1"/>
  <c r="J859" i="2"/>
  <c r="J860" i="2"/>
  <c r="K860" i="2" s="1"/>
  <c r="J861" i="2"/>
  <c r="K861" i="2" s="1"/>
  <c r="J862" i="2"/>
  <c r="K862" i="2" s="1"/>
  <c r="J863" i="2"/>
  <c r="J864" i="2"/>
  <c r="K864" i="2" s="1"/>
  <c r="J865" i="2"/>
  <c r="K865" i="2" s="1"/>
  <c r="J866" i="2"/>
  <c r="K866" i="2" s="1"/>
  <c r="J867" i="2"/>
  <c r="J868" i="2"/>
  <c r="K868" i="2" s="1"/>
  <c r="J869" i="2"/>
  <c r="K869" i="2" s="1"/>
  <c r="J870" i="2"/>
  <c r="K870" i="2" s="1"/>
  <c r="J871" i="2"/>
  <c r="J872" i="2"/>
  <c r="K872" i="2" s="1"/>
  <c r="J873" i="2"/>
  <c r="K873" i="2" s="1"/>
  <c r="J874" i="2"/>
  <c r="K874" i="2" s="1"/>
  <c r="J875" i="2"/>
  <c r="J876" i="2"/>
  <c r="K876" i="2" s="1"/>
  <c r="J877" i="2"/>
  <c r="K877" i="2" s="1"/>
  <c r="J878" i="2"/>
  <c r="K878" i="2" s="1"/>
  <c r="J879" i="2"/>
  <c r="J880" i="2"/>
  <c r="K880" i="2" s="1"/>
  <c r="J881" i="2"/>
  <c r="K881" i="2" s="1"/>
  <c r="J882" i="2"/>
  <c r="K882" i="2" s="1"/>
  <c r="J883" i="2"/>
  <c r="J884" i="2"/>
  <c r="K884" i="2" s="1"/>
  <c r="J3" i="2"/>
  <c r="K3" i="2" s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3" i="3"/>
  <c r="F16" i="3"/>
  <c r="F17" i="3"/>
  <c r="F18" i="3"/>
  <c r="E5" i="4"/>
  <c r="E6" i="4"/>
  <c r="E7" i="4"/>
  <c r="E8" i="4"/>
  <c r="E9" i="4"/>
  <c r="E10" i="4"/>
  <c r="E11" i="4"/>
  <c r="E4" i="4"/>
  <c r="D5" i="4"/>
  <c r="D6" i="4"/>
  <c r="D7" i="4"/>
  <c r="D8" i="4"/>
  <c r="D9" i="4"/>
  <c r="D10" i="4"/>
  <c r="D11" i="4"/>
  <c r="D4" i="4"/>
  <c r="E18" i="4"/>
  <c r="E19" i="4"/>
  <c r="E20" i="4"/>
  <c r="E21" i="4"/>
  <c r="E22" i="4"/>
  <c r="E23" i="4"/>
  <c r="E24" i="4"/>
  <c r="E17" i="4"/>
  <c r="D18" i="4"/>
  <c r="D19" i="4"/>
  <c r="D20" i="4"/>
  <c r="D21" i="4"/>
  <c r="D22" i="4"/>
  <c r="D23" i="4"/>
  <c r="D24" i="4"/>
  <c r="D17" i="4"/>
  <c r="F4" i="3"/>
  <c r="F5" i="3"/>
  <c r="F6" i="3"/>
  <c r="F7" i="3"/>
  <c r="F8" i="3"/>
  <c r="F9" i="3"/>
  <c r="F10" i="3"/>
  <c r="F11" i="3"/>
  <c r="F12" i="3"/>
  <c r="F13" i="3"/>
  <c r="F14" i="3"/>
  <c r="F3" i="3"/>
  <c r="F15" i="3"/>
  <c r="U3" i="2" l="1"/>
  <c r="O3" i="2"/>
  <c r="P3" i="2"/>
  <c r="J11" i="4"/>
  <c r="EW11" i="4" l="1"/>
  <c r="EN33" i="4" l="1"/>
  <c r="FL11" i="4" s="1"/>
  <c r="EN30" i="4"/>
  <c r="FK11" i="4" s="1"/>
  <c r="EN27" i="4"/>
  <c r="FJ11" i="4" s="1"/>
  <c r="EN24" i="4"/>
  <c r="FI11" i="4" s="1"/>
  <c r="EN21" i="4"/>
  <c r="FH11" i="4" s="1"/>
  <c r="EN18" i="4"/>
  <c r="FG11" i="4" s="1"/>
  <c r="EN15" i="4"/>
  <c r="FF11" i="4" s="1"/>
  <c r="EN12" i="4"/>
  <c r="FE11" i="4" s="1"/>
  <c r="EH33" i="4"/>
  <c r="FD11" i="4" s="1"/>
  <c r="EH30" i="4"/>
  <c r="FC11" i="4" s="1"/>
  <c r="EH27" i="4"/>
  <c r="FB11" i="4" s="1"/>
  <c r="EH24" i="4"/>
  <c r="FA11" i="4" s="1"/>
  <c r="EH21" i="4"/>
  <c r="EZ11" i="4" s="1"/>
  <c r="EH18" i="4"/>
  <c r="EY11" i="4" s="1"/>
  <c r="EH15" i="4"/>
  <c r="EX11" i="4" s="1"/>
  <c r="EH12" i="4"/>
  <c r="J1869" i="1" l="1"/>
  <c r="J1870" i="1"/>
  <c r="K1870" i="1" s="1"/>
  <c r="J1871" i="1"/>
  <c r="J1872" i="1"/>
  <c r="K1872" i="1" s="1"/>
  <c r="J1873" i="1"/>
  <c r="J1874" i="1"/>
  <c r="K1874" i="1" s="1"/>
  <c r="J1875" i="1"/>
  <c r="J1876" i="1"/>
  <c r="K1876" i="1" s="1"/>
  <c r="J1877" i="1"/>
  <c r="J1878" i="1"/>
  <c r="K1878" i="1" s="1"/>
  <c r="J1879" i="1"/>
  <c r="J1880" i="1"/>
  <c r="K1880" i="1" s="1"/>
  <c r="J1881" i="1"/>
  <c r="J1882" i="1"/>
  <c r="K1882" i="1" s="1"/>
  <c r="J1883" i="1"/>
  <c r="J1884" i="1"/>
  <c r="K1884" i="1" s="1"/>
  <c r="J1885" i="1"/>
  <c r="J1886" i="1"/>
  <c r="K1886" i="1" s="1"/>
  <c r="J1887" i="1"/>
  <c r="J1888" i="1"/>
  <c r="K1888" i="1" s="1"/>
  <c r="J1889" i="1"/>
  <c r="J1890" i="1"/>
  <c r="K1890" i="1" s="1"/>
  <c r="J1891" i="1"/>
  <c r="J1892" i="1"/>
  <c r="K1892" i="1" s="1"/>
  <c r="J1893" i="1"/>
  <c r="J1894" i="1"/>
  <c r="K1894" i="1" s="1"/>
  <c r="J1895" i="1"/>
  <c r="J1896" i="1"/>
  <c r="K1896" i="1" s="1"/>
  <c r="J1897" i="1"/>
  <c r="J1898" i="1"/>
  <c r="K1898" i="1" s="1"/>
  <c r="J1899" i="1"/>
  <c r="J1900" i="1"/>
  <c r="K1900" i="1" s="1"/>
  <c r="J1901" i="1"/>
  <c r="J1902" i="1"/>
  <c r="K1902" i="1" s="1"/>
  <c r="J1903" i="1"/>
  <c r="J1904" i="1"/>
  <c r="K1904" i="1" s="1"/>
  <c r="J1905" i="1"/>
  <c r="J1906" i="1"/>
  <c r="K1906" i="1" s="1"/>
  <c r="J1907" i="1"/>
  <c r="J1908" i="1"/>
  <c r="K1908" i="1" s="1"/>
  <c r="J1909" i="1"/>
  <c r="J1910" i="1"/>
  <c r="K1910" i="1" s="1"/>
  <c r="J1911" i="1"/>
  <c r="J1912" i="1"/>
  <c r="K1912" i="1" s="1"/>
  <c r="J1913" i="1"/>
  <c r="J1914" i="1"/>
  <c r="K1914" i="1" s="1"/>
  <c r="J1915" i="1"/>
  <c r="J1916" i="1"/>
  <c r="K1916" i="1" s="1"/>
  <c r="J1917" i="1"/>
  <c r="J1918" i="1"/>
  <c r="K1918" i="1" s="1"/>
  <c r="J1919" i="1"/>
  <c r="J1920" i="1"/>
  <c r="K1920" i="1" s="1"/>
  <c r="J1921" i="1"/>
  <c r="J1922" i="1"/>
  <c r="K1922" i="1" s="1"/>
  <c r="J1923" i="1"/>
  <c r="J1924" i="1"/>
  <c r="K1924" i="1" s="1"/>
  <c r="J1925" i="1"/>
  <c r="J1926" i="1"/>
  <c r="K1926" i="1" s="1"/>
  <c r="J1927" i="1"/>
  <c r="J1928" i="1"/>
  <c r="K1928" i="1" s="1"/>
  <c r="J1929" i="1"/>
  <c r="J1930" i="1"/>
  <c r="K1930" i="1" s="1"/>
  <c r="J1931" i="1"/>
  <c r="J1932" i="1"/>
  <c r="K1932" i="1" s="1"/>
  <c r="J1933" i="1"/>
  <c r="J1934" i="1"/>
  <c r="K1934" i="1" s="1"/>
  <c r="J1935" i="1"/>
  <c r="J1936" i="1"/>
  <c r="K1936" i="1" s="1"/>
  <c r="J1937" i="1"/>
  <c r="J1938" i="1"/>
  <c r="K1938" i="1" s="1"/>
  <c r="J1939" i="1"/>
  <c r="J1940" i="1"/>
  <c r="K1940" i="1" s="1"/>
  <c r="J1941" i="1"/>
  <c r="J1942" i="1"/>
  <c r="K1942" i="1" s="1"/>
  <c r="J1943" i="1"/>
  <c r="J1944" i="1"/>
  <c r="K1944" i="1" s="1"/>
  <c r="J1945" i="1"/>
  <c r="J1946" i="1"/>
  <c r="K1946" i="1" s="1"/>
  <c r="J1947" i="1"/>
  <c r="J1948" i="1"/>
  <c r="K1948" i="1" s="1"/>
  <c r="J1949" i="1"/>
  <c r="J1950" i="1"/>
  <c r="K1950" i="1" s="1"/>
  <c r="J1951" i="1"/>
  <c r="J1952" i="1"/>
  <c r="K1952" i="1" s="1"/>
  <c r="J1953" i="1"/>
  <c r="J1954" i="1"/>
  <c r="K1954" i="1" s="1"/>
  <c r="J1955" i="1"/>
  <c r="J1956" i="1"/>
  <c r="K1956" i="1" s="1"/>
  <c r="J1957" i="1"/>
  <c r="J1958" i="1"/>
  <c r="K1958" i="1" s="1"/>
  <c r="J1959" i="1"/>
  <c r="J1960" i="1"/>
  <c r="K1960" i="1" s="1"/>
  <c r="J1961" i="1"/>
  <c r="J1962" i="1"/>
  <c r="K1962" i="1" s="1"/>
  <c r="J1963" i="1"/>
  <c r="J1964" i="1"/>
  <c r="K1964" i="1" s="1"/>
  <c r="J1965" i="1"/>
  <c r="J1966" i="1"/>
  <c r="K1966" i="1" s="1"/>
  <c r="J1967" i="1"/>
  <c r="J1968" i="1"/>
  <c r="K1968" i="1" s="1"/>
  <c r="J1969" i="1"/>
  <c r="J1970" i="1"/>
  <c r="K1970" i="1" s="1"/>
  <c r="J1971" i="1"/>
  <c r="J1972" i="1"/>
  <c r="K1972" i="1" s="1"/>
  <c r="J1973" i="1"/>
  <c r="J1974" i="1"/>
  <c r="K1974" i="1" s="1"/>
  <c r="J1975" i="1"/>
  <c r="J1976" i="1"/>
  <c r="K1976" i="1" s="1"/>
  <c r="J1977" i="1"/>
  <c r="J1978" i="1"/>
  <c r="K1978" i="1" s="1"/>
  <c r="J1979" i="1"/>
  <c r="J1980" i="1"/>
  <c r="K1980" i="1" s="1"/>
  <c r="J1981" i="1"/>
  <c r="J1982" i="1"/>
  <c r="K1982" i="1" s="1"/>
  <c r="J1983" i="1"/>
  <c r="J1984" i="1"/>
  <c r="K1984" i="1" s="1"/>
  <c r="J1985" i="1"/>
  <c r="J1986" i="1"/>
  <c r="K1986" i="1" s="1"/>
  <c r="J1987" i="1"/>
  <c r="J1988" i="1"/>
  <c r="K1988" i="1" s="1"/>
  <c r="J1989" i="1"/>
  <c r="J1990" i="1"/>
  <c r="K1990" i="1" s="1"/>
  <c r="J1991" i="1"/>
  <c r="J1992" i="1"/>
  <c r="K1992" i="1" s="1"/>
  <c r="J1993" i="1"/>
  <c r="J1994" i="1"/>
  <c r="K1994" i="1" s="1"/>
  <c r="J1995" i="1"/>
  <c r="J1996" i="1"/>
  <c r="K1996" i="1" s="1"/>
  <c r="J1997" i="1"/>
  <c r="J1998" i="1"/>
  <c r="K1998" i="1" s="1"/>
  <c r="J1999" i="1"/>
  <c r="J2000" i="1"/>
  <c r="K2000" i="1" s="1"/>
  <c r="J2001" i="1"/>
  <c r="J2002" i="1"/>
  <c r="K2002" i="1" s="1"/>
  <c r="J2003" i="1"/>
  <c r="J2004" i="1"/>
  <c r="K2004" i="1" s="1"/>
  <c r="J2005" i="1"/>
  <c r="J2006" i="1"/>
  <c r="K2006" i="1" s="1"/>
  <c r="J2007" i="1"/>
  <c r="J2008" i="1"/>
  <c r="K2008" i="1" s="1"/>
  <c r="J2009" i="1"/>
  <c r="J2010" i="1"/>
  <c r="K2010" i="1" s="1"/>
  <c r="J2011" i="1"/>
  <c r="J2012" i="1"/>
  <c r="K2012" i="1" s="1"/>
  <c r="J2013" i="1"/>
  <c r="J2014" i="1"/>
  <c r="K2014" i="1" s="1"/>
  <c r="J2015" i="1"/>
  <c r="J2016" i="1"/>
  <c r="K2016" i="1" s="1"/>
  <c r="J2017" i="1"/>
  <c r="J2018" i="1"/>
  <c r="K2018" i="1" s="1"/>
  <c r="J2019" i="1"/>
  <c r="J2020" i="1"/>
  <c r="K2020" i="1" s="1"/>
  <c r="J2021" i="1"/>
  <c r="J2022" i="1"/>
  <c r="K2022" i="1" s="1"/>
  <c r="J2023" i="1"/>
  <c r="J2024" i="1"/>
  <c r="K2024" i="1" s="1"/>
  <c r="J2025" i="1"/>
  <c r="J2026" i="1"/>
  <c r="K2026" i="1" s="1"/>
  <c r="J2027" i="1"/>
  <c r="J2028" i="1"/>
  <c r="K2028" i="1" s="1"/>
  <c r="J2029" i="1"/>
  <c r="J2030" i="1"/>
  <c r="K2030" i="1" s="1"/>
  <c r="J2031" i="1"/>
  <c r="J2032" i="1"/>
  <c r="K2032" i="1" s="1"/>
  <c r="J2033" i="1"/>
  <c r="J2034" i="1"/>
  <c r="K2034" i="1" s="1"/>
  <c r="J2035" i="1"/>
  <c r="J2036" i="1"/>
  <c r="K2036" i="1" s="1"/>
  <c r="J2037" i="1"/>
  <c r="J2038" i="1"/>
  <c r="K2038" i="1" s="1"/>
  <c r="J2039" i="1"/>
  <c r="J2040" i="1"/>
  <c r="K2040" i="1" s="1"/>
  <c r="J2041" i="1"/>
  <c r="J2042" i="1"/>
  <c r="K2042" i="1" s="1"/>
  <c r="J2043" i="1"/>
  <c r="J2044" i="1"/>
  <c r="K2044" i="1" s="1"/>
  <c r="J2045" i="1"/>
  <c r="J2046" i="1"/>
  <c r="K2046" i="1" s="1"/>
  <c r="J2047" i="1"/>
  <c r="J2048" i="1"/>
  <c r="K2048" i="1" s="1"/>
  <c r="J2049" i="1"/>
  <c r="J2050" i="1"/>
  <c r="K2050" i="1" s="1"/>
  <c r="J2051" i="1"/>
  <c r="J2052" i="1"/>
  <c r="K2052" i="1" s="1"/>
  <c r="J2053" i="1"/>
  <c r="J2054" i="1"/>
  <c r="K2054" i="1" s="1"/>
  <c r="J2055" i="1"/>
  <c r="J2056" i="1"/>
  <c r="K2056" i="1" s="1"/>
  <c r="J2057" i="1"/>
  <c r="J2058" i="1"/>
  <c r="K2058" i="1" s="1"/>
  <c r="J2059" i="1"/>
  <c r="J2060" i="1"/>
  <c r="K2060" i="1" s="1"/>
  <c r="J2061" i="1"/>
  <c r="J2062" i="1"/>
  <c r="K2062" i="1" s="1"/>
  <c r="J2063" i="1"/>
  <c r="J2064" i="1"/>
  <c r="K2064" i="1" s="1"/>
  <c r="J2065" i="1"/>
  <c r="J2066" i="1"/>
  <c r="K2066" i="1" s="1"/>
  <c r="J2067" i="1"/>
  <c r="J2068" i="1"/>
  <c r="K2068" i="1" s="1"/>
  <c r="J2069" i="1"/>
  <c r="J2070" i="1"/>
  <c r="K2070" i="1" s="1"/>
  <c r="J2071" i="1"/>
  <c r="J2072" i="1"/>
  <c r="K2072" i="1" s="1"/>
  <c r="J2073" i="1"/>
  <c r="J2074" i="1"/>
  <c r="K2074" i="1" s="1"/>
  <c r="J2075" i="1"/>
  <c r="J2076" i="1"/>
  <c r="K2076" i="1" s="1"/>
  <c r="J2077" i="1"/>
  <c r="J2078" i="1"/>
  <c r="K2078" i="1" s="1"/>
  <c r="J2079" i="1"/>
  <c r="J2080" i="1"/>
  <c r="K2080" i="1" s="1"/>
  <c r="J2081" i="1"/>
  <c r="J2082" i="1"/>
  <c r="K2082" i="1" s="1"/>
  <c r="J2083" i="1"/>
  <c r="J2084" i="1"/>
  <c r="K2084" i="1" s="1"/>
  <c r="J2085" i="1"/>
  <c r="J2086" i="1"/>
  <c r="K2086" i="1" s="1"/>
  <c r="J2087" i="1"/>
  <c r="J2088" i="1"/>
  <c r="K2088" i="1" s="1"/>
  <c r="J2089" i="1"/>
  <c r="J2090" i="1"/>
  <c r="K2090" i="1" s="1"/>
  <c r="J2091" i="1"/>
  <c r="J2092" i="1"/>
  <c r="K2092" i="1" s="1"/>
  <c r="J2093" i="1"/>
  <c r="J2094" i="1"/>
  <c r="K2094" i="1" s="1"/>
  <c r="J2095" i="1"/>
  <c r="J2096" i="1"/>
  <c r="K2096" i="1" s="1"/>
  <c r="J2097" i="1"/>
  <c r="J2098" i="1"/>
  <c r="K2098" i="1" s="1"/>
  <c r="J2099" i="1"/>
  <c r="J2100" i="1"/>
  <c r="K2100" i="1" s="1"/>
  <c r="J2101" i="1"/>
  <c r="J2102" i="1"/>
  <c r="K2102" i="1" s="1"/>
  <c r="J2103" i="1"/>
  <c r="J2104" i="1"/>
  <c r="K2104" i="1" s="1"/>
  <c r="J2105" i="1"/>
  <c r="J2106" i="1"/>
  <c r="K2106" i="1" s="1"/>
  <c r="J2107" i="1"/>
  <c r="J2108" i="1"/>
  <c r="K2108" i="1" s="1"/>
  <c r="J2109" i="1"/>
  <c r="J2110" i="1"/>
  <c r="K2110" i="1" s="1"/>
  <c r="J2111" i="1"/>
  <c r="J2112" i="1"/>
  <c r="K2112" i="1" s="1"/>
  <c r="J2113" i="1"/>
  <c r="J2114" i="1"/>
  <c r="K2114" i="1" s="1"/>
  <c r="J2115" i="1"/>
  <c r="J2116" i="1"/>
  <c r="K2116" i="1" s="1"/>
  <c r="J2117" i="1"/>
  <c r="J2118" i="1"/>
  <c r="K2118" i="1" s="1"/>
  <c r="J2119" i="1"/>
  <c r="J2120" i="1"/>
  <c r="K2120" i="1" s="1"/>
  <c r="J2121" i="1"/>
  <c r="J2122" i="1"/>
  <c r="K2122" i="1" s="1"/>
  <c r="J2123" i="1"/>
  <c r="J2124" i="1"/>
  <c r="K2124" i="1" s="1"/>
  <c r="J2125" i="1"/>
  <c r="J2126" i="1"/>
  <c r="K2126" i="1" s="1"/>
  <c r="J2127" i="1"/>
  <c r="J2128" i="1"/>
  <c r="K2128" i="1" s="1"/>
  <c r="J2129" i="1"/>
  <c r="J2130" i="1"/>
  <c r="K2130" i="1" s="1"/>
  <c r="J2131" i="1"/>
  <c r="J2132" i="1"/>
  <c r="K2132" i="1" s="1"/>
  <c r="J2133" i="1"/>
  <c r="J2134" i="1"/>
  <c r="K2134" i="1" s="1"/>
  <c r="J2135" i="1"/>
  <c r="J2136" i="1"/>
  <c r="K2136" i="1" s="1"/>
  <c r="J2137" i="1"/>
  <c r="J2138" i="1"/>
  <c r="K2138" i="1" s="1"/>
  <c r="J2139" i="1"/>
  <c r="J2140" i="1"/>
  <c r="K2140" i="1" s="1"/>
  <c r="J2141" i="1"/>
  <c r="J2142" i="1"/>
  <c r="K2142" i="1" s="1"/>
  <c r="J2143" i="1"/>
  <c r="J2144" i="1"/>
  <c r="K2144" i="1" s="1"/>
  <c r="J2145" i="1"/>
  <c r="J2146" i="1"/>
  <c r="K2146" i="1" s="1"/>
  <c r="J2147" i="1"/>
  <c r="J2148" i="1"/>
  <c r="K2148" i="1" s="1"/>
  <c r="J2149" i="1"/>
  <c r="J2150" i="1"/>
  <c r="K2150" i="1" s="1"/>
  <c r="J2151" i="1"/>
  <c r="J2152" i="1"/>
  <c r="K2152" i="1" s="1"/>
  <c r="J2153" i="1"/>
  <c r="J2154" i="1"/>
  <c r="K2154" i="1" s="1"/>
  <c r="J2155" i="1"/>
  <c r="J2156" i="1"/>
  <c r="K2156" i="1" s="1"/>
  <c r="J2157" i="1"/>
  <c r="J2158" i="1"/>
  <c r="K2158" i="1" s="1"/>
  <c r="J2159" i="1"/>
  <c r="J2160" i="1"/>
  <c r="K2160" i="1" s="1"/>
  <c r="J2161" i="1"/>
  <c r="J2162" i="1"/>
  <c r="K2162" i="1" s="1"/>
  <c r="J2163" i="1"/>
  <c r="J2164" i="1"/>
  <c r="K2164" i="1" s="1"/>
  <c r="J2165" i="1"/>
  <c r="J2166" i="1"/>
  <c r="K2166" i="1" s="1"/>
  <c r="J2167" i="1"/>
  <c r="J2168" i="1"/>
  <c r="K2168" i="1" s="1"/>
  <c r="J2169" i="1"/>
  <c r="J2170" i="1"/>
  <c r="K2170" i="1" s="1"/>
  <c r="J2171" i="1"/>
  <c r="J2172" i="1"/>
  <c r="K2172" i="1" s="1"/>
  <c r="J2173" i="1"/>
  <c r="J2174" i="1"/>
  <c r="K2174" i="1" s="1"/>
  <c r="J2175" i="1"/>
  <c r="J2176" i="1"/>
  <c r="K2176" i="1" s="1"/>
  <c r="J2177" i="1"/>
  <c r="J2178" i="1"/>
  <c r="K2178" i="1" s="1"/>
  <c r="J2179" i="1"/>
  <c r="J2180" i="1"/>
  <c r="K2180" i="1" s="1"/>
  <c r="J2181" i="1"/>
  <c r="J2182" i="1"/>
  <c r="K2182" i="1" s="1"/>
  <c r="J2183" i="1"/>
  <c r="J2184" i="1"/>
  <c r="K2184" i="1" s="1"/>
  <c r="J2185" i="1"/>
  <c r="J2186" i="1"/>
  <c r="K2186" i="1" s="1"/>
  <c r="J2187" i="1"/>
  <c r="J2188" i="1"/>
  <c r="K2188" i="1" s="1"/>
  <c r="J2189" i="1"/>
  <c r="J2190" i="1"/>
  <c r="K2190" i="1" s="1"/>
  <c r="J2191" i="1"/>
  <c r="J2192" i="1"/>
  <c r="K2192" i="1" s="1"/>
  <c r="J2193" i="1"/>
  <c r="J2194" i="1"/>
  <c r="K2194" i="1" s="1"/>
  <c r="J2195" i="1"/>
  <c r="J2196" i="1"/>
  <c r="K2196" i="1" s="1"/>
  <c r="J2197" i="1"/>
  <c r="J2198" i="1"/>
  <c r="K2198" i="1" s="1"/>
  <c r="J2199" i="1"/>
  <c r="J2200" i="1"/>
  <c r="K2200" i="1" s="1"/>
  <c r="J2201" i="1"/>
  <c r="J2202" i="1"/>
  <c r="K2202" i="1" s="1"/>
  <c r="J2203" i="1"/>
  <c r="J2204" i="1"/>
  <c r="K2204" i="1" s="1"/>
  <c r="J2205" i="1"/>
  <c r="J2206" i="1"/>
  <c r="K2206" i="1" s="1"/>
  <c r="J2207" i="1"/>
  <c r="J2208" i="1"/>
  <c r="K2208" i="1" s="1"/>
  <c r="J2209" i="1"/>
  <c r="J2210" i="1"/>
  <c r="K2210" i="1" s="1"/>
  <c r="J2211" i="1"/>
  <c r="J2212" i="1"/>
  <c r="K2212" i="1" s="1"/>
  <c r="J2213" i="1"/>
  <c r="J2214" i="1"/>
  <c r="K2214" i="1" s="1"/>
  <c r="J2215" i="1"/>
  <c r="J2216" i="1"/>
  <c r="K2216" i="1" s="1"/>
  <c r="J2217" i="1"/>
  <c r="J2218" i="1"/>
  <c r="K2218" i="1" s="1"/>
  <c r="J2219" i="1"/>
  <c r="J2220" i="1"/>
  <c r="K2220" i="1" s="1"/>
  <c r="J2221" i="1"/>
  <c r="J2222" i="1"/>
  <c r="K2222" i="1" s="1"/>
  <c r="J2223" i="1"/>
  <c r="J2224" i="1"/>
  <c r="K2224" i="1" s="1"/>
  <c r="J2225" i="1"/>
  <c r="J2226" i="1"/>
  <c r="K2226" i="1" s="1"/>
  <c r="J2227" i="1"/>
  <c r="J2228" i="1"/>
  <c r="K2228" i="1" s="1"/>
  <c r="J2229" i="1"/>
  <c r="J2230" i="1"/>
  <c r="K2230" i="1" s="1"/>
  <c r="J2231" i="1"/>
  <c r="J2232" i="1"/>
  <c r="K2232" i="1" s="1"/>
  <c r="J2233" i="1"/>
  <c r="J2234" i="1"/>
  <c r="K2234" i="1" s="1"/>
  <c r="J2235" i="1"/>
  <c r="J2236" i="1"/>
  <c r="K2236" i="1" s="1"/>
  <c r="J2237" i="1"/>
  <c r="J2238" i="1"/>
  <c r="K2238" i="1" s="1"/>
  <c r="J2239" i="1"/>
  <c r="J2240" i="1"/>
  <c r="K2240" i="1" s="1"/>
  <c r="J2241" i="1"/>
  <c r="J2242" i="1"/>
  <c r="K2242" i="1" s="1"/>
  <c r="J2243" i="1"/>
  <c r="J2244" i="1"/>
  <c r="K2244" i="1" s="1"/>
  <c r="J2245" i="1"/>
  <c r="J2246" i="1"/>
  <c r="K2246" i="1" s="1"/>
  <c r="J2247" i="1"/>
  <c r="J2248" i="1"/>
  <c r="K2248" i="1" s="1"/>
  <c r="J2249" i="1"/>
  <c r="J2250" i="1"/>
  <c r="K2250" i="1" s="1"/>
  <c r="J2251" i="1"/>
  <c r="J2252" i="1"/>
  <c r="K2252" i="1" s="1"/>
  <c r="J2253" i="1"/>
  <c r="J2254" i="1"/>
  <c r="K2254" i="1" s="1"/>
  <c r="J2255" i="1"/>
  <c r="J2256" i="1"/>
  <c r="K2256" i="1" s="1"/>
  <c r="J2257" i="1"/>
  <c r="J2258" i="1"/>
  <c r="K2258" i="1" s="1"/>
  <c r="J2259" i="1"/>
  <c r="J2260" i="1"/>
  <c r="K2260" i="1" s="1"/>
  <c r="J2261" i="1"/>
  <c r="J2262" i="1"/>
  <c r="K2262" i="1" s="1"/>
  <c r="J2263" i="1"/>
  <c r="J2264" i="1"/>
  <c r="K2264" i="1" s="1"/>
  <c r="J2265" i="1"/>
  <c r="J2266" i="1"/>
  <c r="K2266" i="1" s="1"/>
  <c r="J2267" i="1"/>
  <c r="J2268" i="1"/>
  <c r="K2268" i="1" s="1"/>
  <c r="J2269" i="1"/>
  <c r="J2270" i="1"/>
  <c r="K2270" i="1" s="1"/>
  <c r="J2271" i="1"/>
  <c r="J2272" i="1"/>
  <c r="K2272" i="1" s="1"/>
  <c r="J2273" i="1"/>
  <c r="J2274" i="1"/>
  <c r="K2274" i="1" s="1"/>
  <c r="J2275" i="1"/>
  <c r="J2276" i="1"/>
  <c r="K2276" i="1" s="1"/>
  <c r="J2277" i="1"/>
  <c r="J2278" i="1"/>
  <c r="K2278" i="1" s="1"/>
  <c r="J2279" i="1"/>
  <c r="J2280" i="1"/>
  <c r="K2280" i="1" s="1"/>
  <c r="J2281" i="1"/>
  <c r="J2282" i="1"/>
  <c r="K2282" i="1" s="1"/>
  <c r="J2283" i="1"/>
  <c r="J2284" i="1"/>
  <c r="K2284" i="1" s="1"/>
  <c r="J2285" i="1"/>
  <c r="J2286" i="1"/>
  <c r="K2286" i="1" s="1"/>
  <c r="J2287" i="1"/>
  <c r="J2288" i="1"/>
  <c r="K2288" i="1" s="1"/>
  <c r="J2289" i="1"/>
  <c r="J2290" i="1"/>
  <c r="K2290" i="1" s="1"/>
  <c r="J2291" i="1"/>
  <c r="J2292" i="1"/>
  <c r="K2292" i="1" s="1"/>
  <c r="J2293" i="1"/>
  <c r="J2294" i="1"/>
  <c r="K2294" i="1" s="1"/>
  <c r="J2295" i="1"/>
  <c r="J2296" i="1"/>
  <c r="K2296" i="1" s="1"/>
  <c r="J2297" i="1"/>
  <c r="J2298" i="1"/>
  <c r="K2298" i="1" s="1"/>
  <c r="J1868" i="1"/>
  <c r="K1868" i="1" s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1868" i="1"/>
  <c r="J2" i="1" l="1"/>
  <c r="K2" i="1" s="1"/>
  <c r="I23" i="4" l="1"/>
  <c r="I22" i="4"/>
  <c r="I20" i="4"/>
  <c r="M20" i="4" s="1"/>
  <c r="I19" i="4"/>
  <c r="M19" i="4" s="1"/>
  <c r="I21" i="4"/>
  <c r="I24" i="4"/>
  <c r="I18" i="4"/>
  <c r="I17" i="4"/>
  <c r="M17" i="4" s="1"/>
  <c r="I10" i="4"/>
  <c r="I9" i="4"/>
  <c r="I7" i="4"/>
  <c r="M7" i="4" s="1"/>
  <c r="I6" i="4"/>
  <c r="M6" i="4" s="1"/>
  <c r="I8" i="4"/>
  <c r="I11" i="4"/>
  <c r="I5" i="4"/>
  <c r="M5" i="4" s="1"/>
  <c r="M4" i="4"/>
  <c r="K23" i="4"/>
  <c r="K22" i="4"/>
  <c r="K20" i="4"/>
  <c r="K19" i="4"/>
  <c r="K21" i="4"/>
  <c r="K24" i="4"/>
  <c r="K18" i="4"/>
  <c r="K17" i="4"/>
  <c r="K10" i="4"/>
  <c r="K9" i="4"/>
  <c r="K7" i="4"/>
  <c r="K6" i="4"/>
  <c r="K8" i="4"/>
  <c r="K11" i="4"/>
  <c r="K5" i="4"/>
  <c r="K4" i="4"/>
  <c r="J23" i="4"/>
  <c r="J22" i="4"/>
  <c r="J20" i="4"/>
  <c r="J19" i="4"/>
  <c r="J21" i="4"/>
  <c r="J24" i="4"/>
  <c r="J18" i="4"/>
  <c r="J17" i="4"/>
  <c r="J10" i="4"/>
  <c r="J9" i="4"/>
  <c r="J7" i="4"/>
  <c r="J5" i="4"/>
  <c r="L11" i="4" l="1"/>
  <c r="L9" i="4"/>
  <c r="L22" i="4"/>
  <c r="L17" i="4"/>
  <c r="L19" i="4"/>
  <c r="L24" i="4"/>
  <c r="L10" i="4"/>
  <c r="L21" i="4"/>
  <c r="L23" i="4"/>
  <c r="L5" i="4"/>
  <c r="L7" i="4"/>
  <c r="L18" i="4"/>
  <c r="L20" i="4"/>
  <c r="M18" i="4"/>
  <c r="AG18" i="4"/>
  <c r="AC18" i="4"/>
  <c r="Y18" i="4"/>
  <c r="AK18" i="4"/>
  <c r="Q24" i="4"/>
  <c r="AG19" i="4"/>
  <c r="CW4" i="4"/>
  <c r="DI8" i="4"/>
  <c r="U23" i="4"/>
  <c r="AK23" i="4"/>
  <c r="AG23" i="4"/>
  <c r="DI4" i="4"/>
  <c r="Q23" i="4"/>
  <c r="AC19" i="4"/>
  <c r="DM4" i="4"/>
  <c r="M22" i="4"/>
  <c r="M11" i="4"/>
  <c r="M9" i="4"/>
  <c r="AG9" i="4"/>
  <c r="Y9" i="4"/>
  <c r="M24" i="4"/>
  <c r="M23" i="4"/>
  <c r="Y23" i="4"/>
  <c r="AC23" i="4"/>
  <c r="M8" i="4"/>
  <c r="DU8" i="4"/>
  <c r="DE8" i="4"/>
  <c r="DQ8" i="4"/>
  <c r="DA8" i="4"/>
  <c r="CW8" i="4"/>
  <c r="M10" i="4"/>
  <c r="M21" i="4"/>
  <c r="AC11" i="4"/>
  <c r="DM8" i="4"/>
  <c r="Q19" i="4"/>
  <c r="Y19" i="4"/>
  <c r="DA4" i="4"/>
  <c r="DQ4" i="4"/>
  <c r="U19" i="4"/>
  <c r="AK19" i="4"/>
  <c r="DE4" i="4"/>
  <c r="DU4" i="4"/>
  <c r="AK5" i="4"/>
  <c r="U24" i="4"/>
  <c r="Y24" i="4"/>
  <c r="AC24" i="4"/>
  <c r="AG20" i="4"/>
  <c r="AK20" i="4"/>
  <c r="AK24" i="4"/>
  <c r="AG11" i="4"/>
  <c r="Y5" i="4"/>
  <c r="AG5" i="4"/>
  <c r="Q17" i="4"/>
  <c r="Q21" i="4"/>
  <c r="U18" i="4"/>
  <c r="U22" i="4"/>
  <c r="Y22" i="4"/>
  <c r="AC22" i="4"/>
  <c r="AG22" i="4"/>
  <c r="AK22" i="4"/>
  <c r="Y11" i="4"/>
  <c r="Q20" i="4"/>
  <c r="AC5" i="4"/>
  <c r="U20" i="4"/>
  <c r="Y20" i="4"/>
  <c r="AC20" i="4"/>
  <c r="AG24" i="4"/>
  <c r="AC9" i="4"/>
  <c r="AK9" i="4"/>
  <c r="Q22" i="4"/>
  <c r="U17" i="4"/>
  <c r="U21" i="4"/>
  <c r="Y17" i="4"/>
  <c r="Y21" i="4"/>
  <c r="AC17" i="4"/>
  <c r="AC21" i="4"/>
  <c r="AG17" i="4"/>
  <c r="AG21" i="4"/>
  <c r="AK17" i="4"/>
  <c r="AK21" i="4"/>
  <c r="U11" i="4"/>
  <c r="AK11" i="4"/>
  <c r="Y6" i="4"/>
  <c r="Y10" i="4"/>
  <c r="AC6" i="4"/>
  <c r="AG6" i="4"/>
  <c r="AG10" i="4"/>
  <c r="AK6" i="4"/>
  <c r="AK10" i="4"/>
  <c r="Y7" i="4"/>
  <c r="AC7" i="4"/>
  <c r="AG7" i="4"/>
  <c r="AK7" i="4"/>
  <c r="AC10" i="4"/>
  <c r="Y4" i="4"/>
  <c r="Y8" i="4"/>
  <c r="AC4" i="4"/>
  <c r="AC8" i="4"/>
  <c r="AG4" i="4"/>
  <c r="AG8" i="4"/>
  <c r="AK4" i="4"/>
  <c r="AK8" i="4"/>
  <c r="Q18" i="4"/>
  <c r="Q8" i="4"/>
  <c r="Q9" i="4"/>
  <c r="U8" i="4"/>
  <c r="U9" i="4"/>
  <c r="Q4" i="4"/>
  <c r="U4" i="4"/>
  <c r="U5" i="4"/>
  <c r="Q6" i="4"/>
  <c r="Q10" i="4"/>
  <c r="U6" i="4"/>
  <c r="U10" i="4"/>
  <c r="Q5" i="4"/>
  <c r="Q7" i="4"/>
  <c r="Q11" i="4"/>
  <c r="U7" i="4"/>
  <c r="J4" i="4"/>
  <c r="L4" i="4" s="1"/>
  <c r="J6" i="4"/>
  <c r="L6" i="4" s="1"/>
  <c r="J8" i="4"/>
  <c r="L8" i="4" s="1"/>
  <c r="V19" i="4"/>
  <c r="Z11" i="4"/>
  <c r="R23" i="4"/>
  <c r="Z5" i="4"/>
  <c r="V18" i="4"/>
  <c r="N7" i="4"/>
  <c r="AH24" i="4"/>
  <c r="N20" i="4"/>
  <c r="AD6" i="4"/>
  <c r="Z17" i="4"/>
  <c r="AD11" i="4"/>
  <c r="V17" i="4"/>
  <c r="AH17" i="4"/>
  <c r="V4" i="4"/>
  <c r="AH19" i="4"/>
  <c r="Z7" i="4"/>
  <c r="V7" i="4"/>
  <c r="AH10" i="4"/>
  <c r="Z4" i="4"/>
  <c r="AH6" i="4"/>
  <c r="AL11" i="4"/>
  <c r="Z23" i="4"/>
  <c r="V6" i="4"/>
  <c r="R19" i="4"/>
  <c r="V11" i="4"/>
  <c r="R11" i="4"/>
  <c r="AH5" i="4"/>
  <c r="N9" i="4"/>
  <c r="R10" i="4"/>
  <c r="N6" i="4"/>
  <c r="AL10" i="4"/>
  <c r="R5" i="4"/>
  <c r="Z20" i="4"/>
  <c r="AL5" i="4"/>
  <c r="AH22" i="4"/>
  <c r="N11" i="4"/>
  <c r="AD17" i="4"/>
  <c r="R24" i="4"/>
  <c r="AH20" i="4"/>
  <c r="N5" i="4"/>
  <c r="N17" i="4"/>
  <c r="AL7" i="4"/>
  <c r="Z18" i="4"/>
  <c r="AD4" i="4"/>
  <c r="AH4" i="4"/>
  <c r="N19" i="4"/>
  <c r="AH23" i="4"/>
  <c r="AH18" i="4"/>
  <c r="R17" i="4"/>
  <c r="V23" i="4"/>
  <c r="Z6" i="4"/>
  <c r="AD22" i="4"/>
  <c r="AL24" i="4"/>
  <c r="AL17" i="4"/>
  <c r="R20" i="4"/>
  <c r="V8" i="4"/>
  <c r="AD5" i="4"/>
  <c r="Z22" i="4"/>
  <c r="R7" i="4"/>
  <c r="N23" i="4"/>
  <c r="AD7" i="4"/>
  <c r="Z24" i="4"/>
  <c r="AL4" i="4"/>
  <c r="N4" i="4"/>
  <c r="Z21" i="4"/>
  <c r="N24" i="4"/>
  <c r="R6" i="4"/>
  <c r="AL6" i="4"/>
  <c r="AD10" i="4"/>
  <c r="R18" i="4"/>
  <c r="N18" i="4"/>
  <c r="AL18" i="4"/>
  <c r="N22" i="4"/>
  <c r="AD23" i="4"/>
  <c r="N21" i="4"/>
  <c r="Z19" i="4"/>
  <c r="AL19" i="4"/>
  <c r="AL20" i="4"/>
  <c r="AL22" i="4"/>
  <c r="V21" i="4"/>
  <c r="AL21" i="4"/>
  <c r="R4" i="4"/>
  <c r="AD18" i="4"/>
  <c r="AL23" i="4"/>
  <c r="AD19" i="4"/>
  <c r="AD24" i="4"/>
  <c r="AH11" i="4"/>
  <c r="R21" i="4"/>
  <c r="AD20" i="4"/>
  <c r="R22" i="4"/>
  <c r="AH21" i="4"/>
  <c r="AL8" i="4"/>
  <c r="V5" i="4"/>
  <c r="V10" i="4"/>
  <c r="V24" i="4"/>
  <c r="V22" i="4"/>
  <c r="V20" i="4"/>
  <c r="AD21" i="4"/>
  <c r="AH7" i="4"/>
  <c r="O7" i="4" l="1"/>
  <c r="O6" i="4"/>
  <c r="O5" i="4"/>
  <c r="O4" i="4"/>
  <c r="O9" i="4"/>
  <c r="O11" i="4"/>
  <c r="AB4" i="4"/>
  <c r="AM20" i="4"/>
  <c r="AI20" i="4"/>
  <c r="AE20" i="4"/>
  <c r="AA20" i="4"/>
  <c r="W20" i="4"/>
  <c r="S20" i="4"/>
  <c r="O20" i="4"/>
  <c r="AM19" i="4"/>
  <c r="AI19" i="4"/>
  <c r="AE19" i="4"/>
  <c r="AA19" i="4"/>
  <c r="W19" i="4"/>
  <c r="S19" i="4"/>
  <c r="O19" i="4"/>
  <c r="AM6" i="4"/>
  <c r="AI6" i="4"/>
  <c r="AE6" i="4"/>
  <c r="AA6" i="4"/>
  <c r="AB6" i="4"/>
  <c r="X6" i="4"/>
  <c r="W6" i="4"/>
  <c r="AM17" i="4"/>
  <c r="AI17" i="4"/>
  <c r="AE17" i="4"/>
  <c r="AA17" i="4"/>
  <c r="W17" i="4"/>
  <c r="S17" i="4"/>
  <c r="O17" i="4"/>
  <c r="AM5" i="4"/>
  <c r="AI5" i="4"/>
  <c r="AE5" i="4"/>
  <c r="AA5" i="4"/>
  <c r="W5" i="4"/>
  <c r="AM4" i="4"/>
  <c r="AI4" i="4"/>
  <c r="AE4" i="4"/>
  <c r="AA4" i="4"/>
  <c r="X4" i="4"/>
  <c r="W4" i="4"/>
  <c r="AM7" i="4"/>
  <c r="AI7" i="4"/>
  <c r="AE7" i="4"/>
  <c r="AA7" i="4"/>
  <c r="W7" i="4"/>
  <c r="AM22" i="4"/>
  <c r="AI24" i="4"/>
  <c r="AI18" i="4"/>
  <c r="AI22" i="4"/>
  <c r="AE24" i="4"/>
  <c r="AA22" i="4"/>
  <c r="AA18" i="4"/>
  <c r="W18" i="4"/>
  <c r="S21" i="4"/>
  <c r="S23" i="4"/>
  <c r="S22" i="4"/>
  <c r="AM8" i="4"/>
  <c r="AM11" i="4"/>
  <c r="X10" i="4"/>
  <c r="W10" i="4"/>
  <c r="W11" i="4"/>
  <c r="W8" i="4"/>
  <c r="T6" i="4"/>
  <c r="S6" i="4"/>
  <c r="S5" i="4"/>
  <c r="S7" i="4"/>
  <c r="S4" i="4"/>
  <c r="T4" i="4"/>
  <c r="AD8" i="4"/>
  <c r="Z8" i="4"/>
  <c r="V9" i="4"/>
  <c r="N10" i="4"/>
  <c r="AL9" i="4"/>
  <c r="AH9" i="4"/>
  <c r="N8" i="4"/>
  <c r="Z9" i="4"/>
  <c r="AH8" i="4"/>
  <c r="R9" i="4"/>
  <c r="AD9" i="4"/>
  <c r="R8" i="4"/>
  <c r="Z10" i="4"/>
  <c r="AI8" i="4" l="1"/>
  <c r="O10" i="4"/>
  <c r="P10" i="4" s="1"/>
  <c r="AM23" i="4"/>
  <c r="AE23" i="4"/>
  <c r="O8" i="4"/>
  <c r="P8" i="4" s="1"/>
  <c r="AM9" i="4"/>
  <c r="S8" i="4"/>
  <c r="AE8" i="4"/>
  <c r="AI11" i="4"/>
  <c r="AA8" i="4"/>
  <c r="AM24" i="4"/>
  <c r="S11" i="4"/>
  <c r="AE22" i="4"/>
  <c r="AE18" i="4"/>
  <c r="O22" i="4"/>
  <c r="O18" i="4"/>
  <c r="P17" i="4" s="1"/>
  <c r="W22" i="4"/>
  <c r="T8" i="4"/>
  <c r="S9" i="4"/>
  <c r="AA23" i="4"/>
  <c r="AI9" i="4"/>
  <c r="O23" i="4"/>
  <c r="W23" i="4"/>
  <c r="AI23" i="4"/>
  <c r="AA9" i="4"/>
  <c r="AB8" i="4"/>
  <c r="AE21" i="4"/>
  <c r="AA21" i="4"/>
  <c r="AB21" i="4" s="1"/>
  <c r="W21" i="4"/>
  <c r="AE9" i="4"/>
  <c r="AM18" i="4"/>
  <c r="AM21" i="4"/>
  <c r="X8" i="4"/>
  <c r="W9" i="4"/>
  <c r="O21" i="4"/>
  <c r="S18" i="4"/>
  <c r="T17" i="4" s="1"/>
  <c r="AI21" i="4"/>
  <c r="AE11" i="4"/>
  <c r="AA11" i="4"/>
  <c r="AM10" i="4"/>
  <c r="AA24" i="4"/>
  <c r="W24" i="4"/>
  <c r="AE10" i="4"/>
  <c r="S24" i="4"/>
  <c r="T23" i="4" s="1"/>
  <c r="AI10" i="4"/>
  <c r="S10" i="4"/>
  <c r="T10" i="4"/>
  <c r="AB10" i="4"/>
  <c r="AA10" i="4"/>
  <c r="O24" i="4"/>
  <c r="P19" i="4"/>
  <c r="X19" i="4"/>
  <c r="AB19" i="4"/>
  <c r="T19" i="4"/>
  <c r="AB17" i="4"/>
  <c r="X17" i="4"/>
  <c r="T21" i="4"/>
  <c r="P6" i="4"/>
  <c r="R3" i="1"/>
  <c r="J3" i="1"/>
  <c r="J4" i="1"/>
  <c r="K4" i="1" s="1"/>
  <c r="J5" i="1"/>
  <c r="J6" i="1"/>
  <c r="K6" i="1" s="1"/>
  <c r="J7" i="1"/>
  <c r="J8" i="1"/>
  <c r="K8" i="1" s="1"/>
  <c r="J10" i="1"/>
  <c r="K10" i="1" s="1"/>
  <c r="J11" i="1"/>
  <c r="J12" i="1"/>
  <c r="K12" i="1" s="1"/>
  <c r="J13" i="1"/>
  <c r="J14" i="1"/>
  <c r="K14" i="1" s="1"/>
  <c r="J15" i="1"/>
  <c r="J16" i="1"/>
  <c r="K16" i="1" s="1"/>
  <c r="J17" i="1"/>
  <c r="J18" i="1"/>
  <c r="K18" i="1" s="1"/>
  <c r="J19" i="1"/>
  <c r="J20" i="1"/>
  <c r="K20" i="1" s="1"/>
  <c r="J21" i="1"/>
  <c r="J22" i="1"/>
  <c r="K22" i="1" s="1"/>
  <c r="J23" i="1"/>
  <c r="J24" i="1"/>
  <c r="K24" i="1" s="1"/>
  <c r="J25" i="1"/>
  <c r="J26" i="1"/>
  <c r="K26" i="1" s="1"/>
  <c r="J27" i="1"/>
  <c r="J28" i="1"/>
  <c r="K28" i="1" s="1"/>
  <c r="J29" i="1"/>
  <c r="J30" i="1"/>
  <c r="K30" i="1" s="1"/>
  <c r="J31" i="1"/>
  <c r="J32" i="1"/>
  <c r="K32" i="1" s="1"/>
  <c r="J33" i="1"/>
  <c r="J34" i="1"/>
  <c r="K34" i="1" s="1"/>
  <c r="J35" i="1"/>
  <c r="J36" i="1"/>
  <c r="K36" i="1" s="1"/>
  <c r="J37" i="1"/>
  <c r="J38" i="1"/>
  <c r="K38" i="1" s="1"/>
  <c r="J39" i="1"/>
  <c r="J40" i="1"/>
  <c r="K40" i="1" s="1"/>
  <c r="J41" i="1"/>
  <c r="J42" i="1"/>
  <c r="K42" i="1" s="1"/>
  <c r="J43" i="1"/>
  <c r="J44" i="1"/>
  <c r="K44" i="1" s="1"/>
  <c r="J45" i="1"/>
  <c r="J46" i="1"/>
  <c r="K46" i="1" s="1"/>
  <c r="J47" i="1"/>
  <c r="J48" i="1"/>
  <c r="K48" i="1" s="1"/>
  <c r="J49" i="1"/>
  <c r="J50" i="1"/>
  <c r="K50" i="1" s="1"/>
  <c r="J51" i="1"/>
  <c r="J52" i="1"/>
  <c r="K52" i="1" s="1"/>
  <c r="J53" i="1"/>
  <c r="J54" i="1"/>
  <c r="K54" i="1" s="1"/>
  <c r="J55" i="1"/>
  <c r="J56" i="1"/>
  <c r="K56" i="1" s="1"/>
  <c r="J57" i="1"/>
  <c r="J58" i="1"/>
  <c r="K58" i="1" s="1"/>
  <c r="J59" i="1"/>
  <c r="J60" i="1"/>
  <c r="K60" i="1" s="1"/>
  <c r="J61" i="1"/>
  <c r="J62" i="1"/>
  <c r="K62" i="1" s="1"/>
  <c r="J63" i="1"/>
  <c r="J64" i="1"/>
  <c r="K64" i="1" s="1"/>
  <c r="J65" i="1"/>
  <c r="J66" i="1"/>
  <c r="K66" i="1" s="1"/>
  <c r="J67" i="1"/>
  <c r="J68" i="1"/>
  <c r="K68" i="1" s="1"/>
  <c r="J69" i="1"/>
  <c r="J70" i="1"/>
  <c r="K70" i="1" s="1"/>
  <c r="J71" i="1"/>
  <c r="J72" i="1"/>
  <c r="K72" i="1" s="1"/>
  <c r="J73" i="1"/>
  <c r="J74" i="1"/>
  <c r="K74" i="1" s="1"/>
  <c r="J75" i="1"/>
  <c r="J76" i="1"/>
  <c r="K76" i="1" s="1"/>
  <c r="J77" i="1"/>
  <c r="J78" i="1"/>
  <c r="K78" i="1" s="1"/>
  <c r="J79" i="1"/>
  <c r="J80" i="1"/>
  <c r="K80" i="1" s="1"/>
  <c r="J81" i="1"/>
  <c r="J82" i="1"/>
  <c r="K82" i="1" s="1"/>
  <c r="J83" i="1"/>
  <c r="J84" i="1"/>
  <c r="K84" i="1" s="1"/>
  <c r="J85" i="1"/>
  <c r="J86" i="1"/>
  <c r="K86" i="1" s="1"/>
  <c r="J87" i="1"/>
  <c r="J88" i="1"/>
  <c r="K88" i="1" s="1"/>
  <c r="J89" i="1"/>
  <c r="J90" i="1"/>
  <c r="K90" i="1" s="1"/>
  <c r="J91" i="1"/>
  <c r="J92" i="1"/>
  <c r="K92" i="1" s="1"/>
  <c r="J93" i="1"/>
  <c r="J94" i="1"/>
  <c r="K94" i="1" s="1"/>
  <c r="J95" i="1"/>
  <c r="J96" i="1"/>
  <c r="K96" i="1" s="1"/>
  <c r="J97" i="1"/>
  <c r="J98" i="1"/>
  <c r="K98" i="1" s="1"/>
  <c r="J99" i="1"/>
  <c r="J100" i="1"/>
  <c r="K100" i="1" s="1"/>
  <c r="J101" i="1"/>
  <c r="J102" i="1"/>
  <c r="K102" i="1" s="1"/>
  <c r="J103" i="1"/>
  <c r="J104" i="1"/>
  <c r="K104" i="1" s="1"/>
  <c r="J105" i="1"/>
  <c r="J106" i="1"/>
  <c r="K106" i="1" s="1"/>
  <c r="J107" i="1"/>
  <c r="J108" i="1"/>
  <c r="K108" i="1" s="1"/>
  <c r="J109" i="1"/>
  <c r="J110" i="1"/>
  <c r="K110" i="1" s="1"/>
  <c r="J111" i="1"/>
  <c r="J112" i="1"/>
  <c r="K112" i="1" s="1"/>
  <c r="J113" i="1"/>
  <c r="J114" i="1"/>
  <c r="K114" i="1" s="1"/>
  <c r="J115" i="1"/>
  <c r="J116" i="1"/>
  <c r="K116" i="1" s="1"/>
  <c r="J117" i="1"/>
  <c r="J118" i="1"/>
  <c r="K118" i="1" s="1"/>
  <c r="J119" i="1"/>
  <c r="J120" i="1"/>
  <c r="K120" i="1" s="1"/>
  <c r="J121" i="1"/>
  <c r="J122" i="1"/>
  <c r="K122" i="1" s="1"/>
  <c r="J123" i="1"/>
  <c r="J124" i="1"/>
  <c r="K124" i="1" s="1"/>
  <c r="J125" i="1"/>
  <c r="J126" i="1"/>
  <c r="K126" i="1" s="1"/>
  <c r="J127" i="1"/>
  <c r="J128" i="1"/>
  <c r="K128" i="1" s="1"/>
  <c r="J129" i="1"/>
  <c r="J130" i="1"/>
  <c r="K130" i="1" s="1"/>
  <c r="J131" i="1"/>
  <c r="J132" i="1"/>
  <c r="K132" i="1" s="1"/>
  <c r="J133" i="1"/>
  <c r="J134" i="1"/>
  <c r="K134" i="1" s="1"/>
  <c r="J135" i="1"/>
  <c r="J136" i="1"/>
  <c r="K136" i="1" s="1"/>
  <c r="J137" i="1"/>
  <c r="J138" i="1"/>
  <c r="K138" i="1" s="1"/>
  <c r="J139" i="1"/>
  <c r="J140" i="1"/>
  <c r="K140" i="1" s="1"/>
  <c r="J141" i="1"/>
  <c r="J142" i="1"/>
  <c r="K142" i="1" s="1"/>
  <c r="J143" i="1"/>
  <c r="J144" i="1"/>
  <c r="K144" i="1" s="1"/>
  <c r="J145" i="1"/>
  <c r="J146" i="1"/>
  <c r="K146" i="1" s="1"/>
  <c r="J147" i="1"/>
  <c r="J148" i="1"/>
  <c r="K148" i="1" s="1"/>
  <c r="J149" i="1"/>
  <c r="J150" i="1"/>
  <c r="K150" i="1" s="1"/>
  <c r="J151" i="1"/>
  <c r="J152" i="1"/>
  <c r="K152" i="1" s="1"/>
  <c r="J153" i="1"/>
  <c r="J154" i="1"/>
  <c r="K154" i="1" s="1"/>
  <c r="J155" i="1"/>
  <c r="J156" i="1"/>
  <c r="K156" i="1" s="1"/>
  <c r="J157" i="1"/>
  <c r="J158" i="1"/>
  <c r="K158" i="1" s="1"/>
  <c r="J159" i="1"/>
  <c r="J160" i="1"/>
  <c r="K160" i="1" s="1"/>
  <c r="J161" i="1"/>
  <c r="J162" i="1"/>
  <c r="K162" i="1" s="1"/>
  <c r="J163" i="1"/>
  <c r="J164" i="1"/>
  <c r="K164" i="1" s="1"/>
  <c r="J165" i="1"/>
  <c r="J166" i="1"/>
  <c r="K166" i="1" s="1"/>
  <c r="J167" i="1"/>
  <c r="J168" i="1"/>
  <c r="K168" i="1" s="1"/>
  <c r="J169" i="1"/>
  <c r="J170" i="1"/>
  <c r="K170" i="1" s="1"/>
  <c r="J171" i="1"/>
  <c r="J172" i="1"/>
  <c r="K172" i="1" s="1"/>
  <c r="J173" i="1"/>
  <c r="J174" i="1"/>
  <c r="K174" i="1" s="1"/>
  <c r="J175" i="1"/>
  <c r="J176" i="1"/>
  <c r="K176" i="1" s="1"/>
  <c r="J177" i="1"/>
  <c r="J178" i="1"/>
  <c r="K178" i="1" s="1"/>
  <c r="J179" i="1"/>
  <c r="J180" i="1"/>
  <c r="K180" i="1" s="1"/>
  <c r="J181" i="1"/>
  <c r="J182" i="1"/>
  <c r="K182" i="1" s="1"/>
  <c r="J183" i="1"/>
  <c r="J184" i="1"/>
  <c r="K184" i="1" s="1"/>
  <c r="J185" i="1"/>
  <c r="J186" i="1"/>
  <c r="K186" i="1" s="1"/>
  <c r="J187" i="1"/>
  <c r="J188" i="1"/>
  <c r="K188" i="1" s="1"/>
  <c r="J189" i="1"/>
  <c r="J190" i="1"/>
  <c r="K190" i="1" s="1"/>
  <c r="J191" i="1"/>
  <c r="J192" i="1"/>
  <c r="K192" i="1" s="1"/>
  <c r="J193" i="1"/>
  <c r="J194" i="1"/>
  <c r="K194" i="1" s="1"/>
  <c r="J195" i="1"/>
  <c r="J196" i="1"/>
  <c r="K196" i="1" s="1"/>
  <c r="J197" i="1"/>
  <c r="J198" i="1"/>
  <c r="K198" i="1" s="1"/>
  <c r="J199" i="1"/>
  <c r="J200" i="1"/>
  <c r="K200" i="1" s="1"/>
  <c r="J201" i="1"/>
  <c r="J202" i="1"/>
  <c r="K202" i="1" s="1"/>
  <c r="J203" i="1"/>
  <c r="J204" i="1"/>
  <c r="K204" i="1" s="1"/>
  <c r="J205" i="1"/>
  <c r="J206" i="1"/>
  <c r="K206" i="1" s="1"/>
  <c r="J207" i="1"/>
  <c r="J208" i="1"/>
  <c r="K208" i="1" s="1"/>
  <c r="J209" i="1"/>
  <c r="J210" i="1"/>
  <c r="K210" i="1" s="1"/>
  <c r="J211" i="1"/>
  <c r="J212" i="1"/>
  <c r="K212" i="1" s="1"/>
  <c r="J213" i="1"/>
  <c r="J214" i="1"/>
  <c r="K214" i="1" s="1"/>
  <c r="J215" i="1"/>
  <c r="J216" i="1"/>
  <c r="K216" i="1" s="1"/>
  <c r="J217" i="1"/>
  <c r="J218" i="1"/>
  <c r="K218" i="1" s="1"/>
  <c r="J219" i="1"/>
  <c r="J220" i="1"/>
  <c r="K220" i="1" s="1"/>
  <c r="J221" i="1"/>
  <c r="J222" i="1"/>
  <c r="K222" i="1" s="1"/>
  <c r="J223" i="1"/>
  <c r="J224" i="1"/>
  <c r="K224" i="1" s="1"/>
  <c r="J225" i="1"/>
  <c r="J226" i="1"/>
  <c r="K226" i="1" s="1"/>
  <c r="J227" i="1"/>
  <c r="J228" i="1"/>
  <c r="K228" i="1" s="1"/>
  <c r="J229" i="1"/>
  <c r="J230" i="1"/>
  <c r="K230" i="1" s="1"/>
  <c r="J231" i="1"/>
  <c r="J232" i="1"/>
  <c r="K232" i="1" s="1"/>
  <c r="J233" i="1"/>
  <c r="J234" i="1"/>
  <c r="K234" i="1" s="1"/>
  <c r="J235" i="1"/>
  <c r="J236" i="1"/>
  <c r="K236" i="1" s="1"/>
  <c r="J237" i="1"/>
  <c r="J238" i="1"/>
  <c r="K238" i="1" s="1"/>
  <c r="J239" i="1"/>
  <c r="J240" i="1"/>
  <c r="K240" i="1" s="1"/>
  <c r="J241" i="1"/>
  <c r="J242" i="1"/>
  <c r="K242" i="1" s="1"/>
  <c r="J243" i="1"/>
  <c r="J244" i="1"/>
  <c r="K244" i="1" s="1"/>
  <c r="J245" i="1"/>
  <c r="J246" i="1"/>
  <c r="K246" i="1" s="1"/>
  <c r="J247" i="1"/>
  <c r="J248" i="1"/>
  <c r="K248" i="1" s="1"/>
  <c r="J249" i="1"/>
  <c r="J250" i="1"/>
  <c r="K250" i="1" s="1"/>
  <c r="J251" i="1"/>
  <c r="J252" i="1"/>
  <c r="K252" i="1" s="1"/>
  <c r="J253" i="1"/>
  <c r="J254" i="1"/>
  <c r="K254" i="1" s="1"/>
  <c r="J255" i="1"/>
  <c r="J256" i="1"/>
  <c r="K256" i="1" s="1"/>
  <c r="J257" i="1"/>
  <c r="J258" i="1"/>
  <c r="K258" i="1" s="1"/>
  <c r="J259" i="1"/>
  <c r="J260" i="1"/>
  <c r="K260" i="1" s="1"/>
  <c r="J261" i="1"/>
  <c r="J262" i="1"/>
  <c r="K262" i="1" s="1"/>
  <c r="J263" i="1"/>
  <c r="J264" i="1"/>
  <c r="K264" i="1" s="1"/>
  <c r="J265" i="1"/>
  <c r="J266" i="1"/>
  <c r="K266" i="1" s="1"/>
  <c r="J267" i="1"/>
  <c r="J268" i="1"/>
  <c r="K268" i="1" s="1"/>
  <c r="J269" i="1"/>
  <c r="J270" i="1"/>
  <c r="K270" i="1" s="1"/>
  <c r="J271" i="1"/>
  <c r="J272" i="1"/>
  <c r="K272" i="1" s="1"/>
  <c r="J273" i="1"/>
  <c r="J274" i="1"/>
  <c r="K274" i="1" s="1"/>
  <c r="J275" i="1"/>
  <c r="J276" i="1"/>
  <c r="K276" i="1" s="1"/>
  <c r="J277" i="1"/>
  <c r="J278" i="1"/>
  <c r="K278" i="1" s="1"/>
  <c r="J279" i="1"/>
  <c r="J280" i="1"/>
  <c r="K280" i="1" s="1"/>
  <c r="J281" i="1"/>
  <c r="J282" i="1"/>
  <c r="K282" i="1" s="1"/>
  <c r="J283" i="1"/>
  <c r="J284" i="1"/>
  <c r="K284" i="1" s="1"/>
  <c r="J285" i="1"/>
  <c r="J286" i="1"/>
  <c r="K286" i="1" s="1"/>
  <c r="J287" i="1"/>
  <c r="J288" i="1"/>
  <c r="K288" i="1" s="1"/>
  <c r="J289" i="1"/>
  <c r="J290" i="1"/>
  <c r="K290" i="1" s="1"/>
  <c r="J291" i="1"/>
  <c r="J292" i="1"/>
  <c r="K292" i="1" s="1"/>
  <c r="J293" i="1"/>
  <c r="J294" i="1"/>
  <c r="K294" i="1" s="1"/>
  <c r="J295" i="1"/>
  <c r="J296" i="1"/>
  <c r="K296" i="1" s="1"/>
  <c r="J297" i="1"/>
  <c r="J298" i="1"/>
  <c r="K298" i="1" s="1"/>
  <c r="J299" i="1"/>
  <c r="J300" i="1"/>
  <c r="K300" i="1" s="1"/>
  <c r="J301" i="1"/>
  <c r="J302" i="1"/>
  <c r="K302" i="1" s="1"/>
  <c r="J303" i="1"/>
  <c r="J304" i="1"/>
  <c r="K304" i="1" s="1"/>
  <c r="J305" i="1"/>
  <c r="J306" i="1"/>
  <c r="K306" i="1" s="1"/>
  <c r="J307" i="1"/>
  <c r="J308" i="1"/>
  <c r="K308" i="1" s="1"/>
  <c r="J309" i="1"/>
  <c r="J310" i="1"/>
  <c r="K310" i="1" s="1"/>
  <c r="J311" i="1"/>
  <c r="J312" i="1"/>
  <c r="K312" i="1" s="1"/>
  <c r="J313" i="1"/>
  <c r="J314" i="1"/>
  <c r="K314" i="1" s="1"/>
  <c r="J315" i="1"/>
  <c r="J316" i="1"/>
  <c r="K316" i="1" s="1"/>
  <c r="J317" i="1"/>
  <c r="J318" i="1"/>
  <c r="K318" i="1" s="1"/>
  <c r="J319" i="1"/>
  <c r="J320" i="1"/>
  <c r="K320" i="1" s="1"/>
  <c r="J321" i="1"/>
  <c r="J322" i="1"/>
  <c r="K322" i="1" s="1"/>
  <c r="J323" i="1"/>
  <c r="J324" i="1"/>
  <c r="K324" i="1" s="1"/>
  <c r="J325" i="1"/>
  <c r="J326" i="1"/>
  <c r="K326" i="1" s="1"/>
  <c r="J327" i="1"/>
  <c r="J328" i="1"/>
  <c r="K328" i="1" s="1"/>
  <c r="J329" i="1"/>
  <c r="J330" i="1"/>
  <c r="K330" i="1" s="1"/>
  <c r="J331" i="1"/>
  <c r="J332" i="1"/>
  <c r="K332" i="1" s="1"/>
  <c r="J333" i="1"/>
  <c r="J334" i="1"/>
  <c r="K334" i="1" s="1"/>
  <c r="J335" i="1"/>
  <c r="J336" i="1"/>
  <c r="K336" i="1" s="1"/>
  <c r="J337" i="1"/>
  <c r="J338" i="1"/>
  <c r="K338" i="1" s="1"/>
  <c r="J339" i="1"/>
  <c r="J340" i="1"/>
  <c r="K340" i="1" s="1"/>
  <c r="J341" i="1"/>
  <c r="J342" i="1"/>
  <c r="K342" i="1" s="1"/>
  <c r="J343" i="1"/>
  <c r="J344" i="1"/>
  <c r="K344" i="1" s="1"/>
  <c r="J345" i="1"/>
  <c r="J346" i="1"/>
  <c r="K346" i="1" s="1"/>
  <c r="J347" i="1"/>
  <c r="J348" i="1"/>
  <c r="K348" i="1" s="1"/>
  <c r="J349" i="1"/>
  <c r="J350" i="1"/>
  <c r="K350" i="1" s="1"/>
  <c r="J351" i="1"/>
  <c r="J352" i="1"/>
  <c r="K352" i="1" s="1"/>
  <c r="J353" i="1"/>
  <c r="J354" i="1"/>
  <c r="K354" i="1" s="1"/>
  <c r="J355" i="1"/>
  <c r="J356" i="1"/>
  <c r="K356" i="1" s="1"/>
  <c r="J357" i="1"/>
  <c r="J358" i="1"/>
  <c r="K358" i="1" s="1"/>
  <c r="J359" i="1"/>
  <c r="J360" i="1"/>
  <c r="K360" i="1" s="1"/>
  <c r="J361" i="1"/>
  <c r="J362" i="1"/>
  <c r="K362" i="1" s="1"/>
  <c r="J363" i="1"/>
  <c r="J364" i="1"/>
  <c r="K364" i="1" s="1"/>
  <c r="J365" i="1"/>
  <c r="J366" i="1"/>
  <c r="K366" i="1" s="1"/>
  <c r="J367" i="1"/>
  <c r="J368" i="1"/>
  <c r="K368" i="1" s="1"/>
  <c r="J369" i="1"/>
  <c r="J370" i="1"/>
  <c r="K370" i="1" s="1"/>
  <c r="J371" i="1"/>
  <c r="J372" i="1"/>
  <c r="K372" i="1" s="1"/>
  <c r="J373" i="1"/>
  <c r="J374" i="1"/>
  <c r="K374" i="1" s="1"/>
  <c r="J375" i="1"/>
  <c r="J376" i="1"/>
  <c r="K376" i="1" s="1"/>
  <c r="J377" i="1"/>
  <c r="J378" i="1"/>
  <c r="K378" i="1" s="1"/>
  <c r="J379" i="1"/>
  <c r="J380" i="1"/>
  <c r="K380" i="1" s="1"/>
  <c r="J381" i="1"/>
  <c r="J382" i="1"/>
  <c r="K382" i="1" s="1"/>
  <c r="J383" i="1"/>
  <c r="J384" i="1"/>
  <c r="K384" i="1" s="1"/>
  <c r="J385" i="1"/>
  <c r="J386" i="1"/>
  <c r="K386" i="1" s="1"/>
  <c r="J387" i="1"/>
  <c r="J388" i="1"/>
  <c r="K388" i="1" s="1"/>
  <c r="J389" i="1"/>
  <c r="J390" i="1"/>
  <c r="K390" i="1" s="1"/>
  <c r="J391" i="1"/>
  <c r="J392" i="1"/>
  <c r="K392" i="1" s="1"/>
  <c r="J393" i="1"/>
  <c r="J394" i="1"/>
  <c r="K394" i="1" s="1"/>
  <c r="J395" i="1"/>
  <c r="J396" i="1"/>
  <c r="K396" i="1" s="1"/>
  <c r="J397" i="1"/>
  <c r="J398" i="1"/>
  <c r="K398" i="1" s="1"/>
  <c r="J399" i="1"/>
  <c r="J400" i="1"/>
  <c r="K400" i="1" s="1"/>
  <c r="J401" i="1"/>
  <c r="J402" i="1"/>
  <c r="K402" i="1" s="1"/>
  <c r="J403" i="1"/>
  <c r="J404" i="1"/>
  <c r="K404" i="1" s="1"/>
  <c r="J405" i="1"/>
  <c r="J406" i="1"/>
  <c r="K406" i="1" s="1"/>
  <c r="J407" i="1"/>
  <c r="J408" i="1"/>
  <c r="K408" i="1" s="1"/>
  <c r="J409" i="1"/>
  <c r="J410" i="1"/>
  <c r="K410" i="1" s="1"/>
  <c r="J411" i="1"/>
  <c r="J412" i="1"/>
  <c r="K412" i="1" s="1"/>
  <c r="J413" i="1"/>
  <c r="J414" i="1"/>
  <c r="K414" i="1" s="1"/>
  <c r="J415" i="1"/>
  <c r="J416" i="1"/>
  <c r="K416" i="1" s="1"/>
  <c r="J417" i="1"/>
  <c r="J418" i="1"/>
  <c r="K418" i="1" s="1"/>
  <c r="J419" i="1"/>
  <c r="J420" i="1"/>
  <c r="K420" i="1" s="1"/>
  <c r="J421" i="1"/>
  <c r="J422" i="1"/>
  <c r="K422" i="1" s="1"/>
  <c r="J423" i="1"/>
  <c r="J424" i="1"/>
  <c r="K424" i="1" s="1"/>
  <c r="J425" i="1"/>
  <c r="J426" i="1"/>
  <c r="K426" i="1" s="1"/>
  <c r="J427" i="1"/>
  <c r="J428" i="1"/>
  <c r="K428" i="1" s="1"/>
  <c r="J429" i="1"/>
  <c r="J430" i="1"/>
  <c r="K430" i="1" s="1"/>
  <c r="J431" i="1"/>
  <c r="J432" i="1"/>
  <c r="K432" i="1" s="1"/>
  <c r="J433" i="1"/>
  <c r="J434" i="1"/>
  <c r="K434" i="1" s="1"/>
  <c r="J435" i="1"/>
  <c r="J436" i="1"/>
  <c r="K436" i="1" s="1"/>
  <c r="J437" i="1"/>
  <c r="J438" i="1"/>
  <c r="K438" i="1" s="1"/>
  <c r="J439" i="1"/>
  <c r="J440" i="1"/>
  <c r="K440" i="1" s="1"/>
  <c r="J441" i="1"/>
  <c r="J442" i="1"/>
  <c r="K442" i="1" s="1"/>
  <c r="J443" i="1"/>
  <c r="J444" i="1"/>
  <c r="K444" i="1" s="1"/>
  <c r="J445" i="1"/>
  <c r="J446" i="1"/>
  <c r="K446" i="1" s="1"/>
  <c r="J447" i="1"/>
  <c r="J448" i="1"/>
  <c r="K448" i="1" s="1"/>
  <c r="J449" i="1"/>
  <c r="J450" i="1"/>
  <c r="K450" i="1" s="1"/>
  <c r="J451" i="1"/>
  <c r="J452" i="1"/>
  <c r="K452" i="1" s="1"/>
  <c r="J453" i="1"/>
  <c r="J454" i="1"/>
  <c r="K454" i="1" s="1"/>
  <c r="J455" i="1"/>
  <c r="J456" i="1"/>
  <c r="K456" i="1" s="1"/>
  <c r="J457" i="1"/>
  <c r="J458" i="1"/>
  <c r="K458" i="1" s="1"/>
  <c r="J459" i="1"/>
  <c r="J460" i="1"/>
  <c r="K460" i="1" s="1"/>
  <c r="J461" i="1"/>
  <c r="J462" i="1"/>
  <c r="K462" i="1" s="1"/>
  <c r="J463" i="1"/>
  <c r="J464" i="1"/>
  <c r="K464" i="1" s="1"/>
  <c r="J465" i="1"/>
  <c r="J466" i="1"/>
  <c r="K466" i="1" s="1"/>
  <c r="J467" i="1"/>
  <c r="J468" i="1"/>
  <c r="K468" i="1" s="1"/>
  <c r="J469" i="1"/>
  <c r="J470" i="1"/>
  <c r="K470" i="1" s="1"/>
  <c r="J471" i="1"/>
  <c r="J472" i="1"/>
  <c r="K472" i="1" s="1"/>
  <c r="J473" i="1"/>
  <c r="J474" i="1"/>
  <c r="K474" i="1" s="1"/>
  <c r="J475" i="1"/>
  <c r="J476" i="1"/>
  <c r="K476" i="1" s="1"/>
  <c r="J477" i="1"/>
  <c r="J478" i="1"/>
  <c r="K478" i="1" s="1"/>
  <c r="J479" i="1"/>
  <c r="J480" i="1"/>
  <c r="K480" i="1" s="1"/>
  <c r="J481" i="1"/>
  <c r="J482" i="1"/>
  <c r="K482" i="1" s="1"/>
  <c r="J483" i="1"/>
  <c r="J484" i="1"/>
  <c r="K484" i="1" s="1"/>
  <c r="J485" i="1"/>
  <c r="J486" i="1"/>
  <c r="K486" i="1" s="1"/>
  <c r="J487" i="1"/>
  <c r="J488" i="1"/>
  <c r="K488" i="1" s="1"/>
  <c r="J489" i="1"/>
  <c r="J490" i="1"/>
  <c r="K490" i="1" s="1"/>
  <c r="J491" i="1"/>
  <c r="J492" i="1"/>
  <c r="K492" i="1" s="1"/>
  <c r="J493" i="1"/>
  <c r="J494" i="1"/>
  <c r="K494" i="1" s="1"/>
  <c r="J495" i="1"/>
  <c r="J496" i="1"/>
  <c r="K496" i="1" s="1"/>
  <c r="J497" i="1"/>
  <c r="J498" i="1"/>
  <c r="K498" i="1" s="1"/>
  <c r="J499" i="1"/>
  <c r="J500" i="1"/>
  <c r="K500" i="1" s="1"/>
  <c r="J501" i="1"/>
  <c r="J502" i="1"/>
  <c r="K502" i="1" s="1"/>
  <c r="J503" i="1"/>
  <c r="J504" i="1"/>
  <c r="K504" i="1" s="1"/>
  <c r="J505" i="1"/>
  <c r="J506" i="1"/>
  <c r="K506" i="1" s="1"/>
  <c r="J507" i="1"/>
  <c r="J508" i="1"/>
  <c r="K508" i="1" s="1"/>
  <c r="J509" i="1"/>
  <c r="J510" i="1"/>
  <c r="K510" i="1" s="1"/>
  <c r="J511" i="1"/>
  <c r="J512" i="1"/>
  <c r="K512" i="1" s="1"/>
  <c r="J513" i="1"/>
  <c r="J514" i="1"/>
  <c r="K514" i="1" s="1"/>
  <c r="J515" i="1"/>
  <c r="J516" i="1"/>
  <c r="K516" i="1" s="1"/>
  <c r="J517" i="1"/>
  <c r="J518" i="1"/>
  <c r="K518" i="1" s="1"/>
  <c r="J519" i="1"/>
  <c r="J520" i="1"/>
  <c r="K520" i="1" s="1"/>
  <c r="J521" i="1"/>
  <c r="J522" i="1"/>
  <c r="K522" i="1" s="1"/>
  <c r="J523" i="1"/>
  <c r="J524" i="1"/>
  <c r="K524" i="1" s="1"/>
  <c r="J525" i="1"/>
  <c r="J526" i="1"/>
  <c r="K526" i="1" s="1"/>
  <c r="J527" i="1"/>
  <c r="J528" i="1"/>
  <c r="K528" i="1" s="1"/>
  <c r="J529" i="1"/>
  <c r="J530" i="1"/>
  <c r="K530" i="1" s="1"/>
  <c r="J531" i="1"/>
  <c r="J532" i="1"/>
  <c r="K532" i="1" s="1"/>
  <c r="J533" i="1"/>
  <c r="J534" i="1"/>
  <c r="K534" i="1" s="1"/>
  <c r="J535" i="1"/>
  <c r="J536" i="1"/>
  <c r="K536" i="1" s="1"/>
  <c r="J537" i="1"/>
  <c r="J538" i="1"/>
  <c r="K538" i="1" s="1"/>
  <c r="J539" i="1"/>
  <c r="J540" i="1"/>
  <c r="K540" i="1" s="1"/>
  <c r="J541" i="1"/>
  <c r="J542" i="1"/>
  <c r="K542" i="1" s="1"/>
  <c r="J543" i="1"/>
  <c r="J544" i="1"/>
  <c r="K544" i="1" s="1"/>
  <c r="J545" i="1"/>
  <c r="J546" i="1"/>
  <c r="K546" i="1" s="1"/>
  <c r="J547" i="1"/>
  <c r="J548" i="1"/>
  <c r="K548" i="1" s="1"/>
  <c r="J549" i="1"/>
  <c r="J550" i="1"/>
  <c r="K550" i="1" s="1"/>
  <c r="J551" i="1"/>
  <c r="J552" i="1"/>
  <c r="K552" i="1" s="1"/>
  <c r="J553" i="1"/>
  <c r="J554" i="1"/>
  <c r="K554" i="1" s="1"/>
  <c r="J555" i="1"/>
  <c r="J556" i="1"/>
  <c r="K556" i="1" s="1"/>
  <c r="J557" i="1"/>
  <c r="J558" i="1"/>
  <c r="K558" i="1" s="1"/>
  <c r="J559" i="1"/>
  <c r="J560" i="1"/>
  <c r="K560" i="1" s="1"/>
  <c r="J561" i="1"/>
  <c r="J562" i="1"/>
  <c r="K562" i="1" s="1"/>
  <c r="J563" i="1"/>
  <c r="J564" i="1"/>
  <c r="K564" i="1" s="1"/>
  <c r="J565" i="1"/>
  <c r="J566" i="1"/>
  <c r="K566" i="1" s="1"/>
  <c r="J567" i="1"/>
  <c r="J568" i="1"/>
  <c r="K568" i="1" s="1"/>
  <c r="J569" i="1"/>
  <c r="J570" i="1"/>
  <c r="K570" i="1" s="1"/>
  <c r="J571" i="1"/>
  <c r="J572" i="1"/>
  <c r="K572" i="1" s="1"/>
  <c r="J573" i="1"/>
  <c r="J574" i="1"/>
  <c r="K574" i="1" s="1"/>
  <c r="J575" i="1"/>
  <c r="J576" i="1"/>
  <c r="K576" i="1" s="1"/>
  <c r="J577" i="1"/>
  <c r="J578" i="1"/>
  <c r="K578" i="1" s="1"/>
  <c r="J579" i="1"/>
  <c r="J580" i="1"/>
  <c r="K580" i="1" s="1"/>
  <c r="J581" i="1"/>
  <c r="J582" i="1"/>
  <c r="K582" i="1" s="1"/>
  <c r="J583" i="1"/>
  <c r="J584" i="1"/>
  <c r="K584" i="1" s="1"/>
  <c r="J585" i="1"/>
  <c r="J586" i="1"/>
  <c r="K586" i="1" s="1"/>
  <c r="J587" i="1"/>
  <c r="J588" i="1"/>
  <c r="K588" i="1" s="1"/>
  <c r="J589" i="1"/>
  <c r="J590" i="1"/>
  <c r="K590" i="1" s="1"/>
  <c r="J591" i="1"/>
  <c r="J592" i="1"/>
  <c r="K592" i="1" s="1"/>
  <c r="J593" i="1"/>
  <c r="J594" i="1"/>
  <c r="K594" i="1" s="1"/>
  <c r="J595" i="1"/>
  <c r="J596" i="1"/>
  <c r="K596" i="1" s="1"/>
  <c r="J597" i="1"/>
  <c r="J598" i="1"/>
  <c r="K598" i="1" s="1"/>
  <c r="J599" i="1"/>
  <c r="J600" i="1"/>
  <c r="K600" i="1" s="1"/>
  <c r="J601" i="1"/>
  <c r="J602" i="1"/>
  <c r="K602" i="1" s="1"/>
  <c r="J603" i="1"/>
  <c r="J604" i="1"/>
  <c r="K604" i="1" s="1"/>
  <c r="J605" i="1"/>
  <c r="J606" i="1"/>
  <c r="K606" i="1" s="1"/>
  <c r="J607" i="1"/>
  <c r="J608" i="1"/>
  <c r="K608" i="1" s="1"/>
  <c r="J609" i="1"/>
  <c r="J610" i="1"/>
  <c r="K610" i="1" s="1"/>
  <c r="J611" i="1"/>
  <c r="J612" i="1"/>
  <c r="K612" i="1" s="1"/>
  <c r="J613" i="1"/>
  <c r="J614" i="1"/>
  <c r="K614" i="1" s="1"/>
  <c r="J615" i="1"/>
  <c r="J616" i="1"/>
  <c r="K616" i="1" s="1"/>
  <c r="J617" i="1"/>
  <c r="J618" i="1"/>
  <c r="K618" i="1" s="1"/>
  <c r="J619" i="1"/>
  <c r="J620" i="1"/>
  <c r="K620" i="1" s="1"/>
  <c r="J621" i="1"/>
  <c r="J622" i="1"/>
  <c r="K622" i="1" s="1"/>
  <c r="J623" i="1"/>
  <c r="J624" i="1"/>
  <c r="K624" i="1" s="1"/>
  <c r="J625" i="1"/>
  <c r="J626" i="1"/>
  <c r="K626" i="1" s="1"/>
  <c r="J627" i="1"/>
  <c r="J628" i="1"/>
  <c r="K628" i="1" s="1"/>
  <c r="J629" i="1"/>
  <c r="J630" i="1"/>
  <c r="K630" i="1" s="1"/>
  <c r="J631" i="1"/>
  <c r="J632" i="1"/>
  <c r="K632" i="1" s="1"/>
  <c r="J633" i="1"/>
  <c r="J634" i="1"/>
  <c r="K634" i="1" s="1"/>
  <c r="J635" i="1"/>
  <c r="J636" i="1"/>
  <c r="K636" i="1" s="1"/>
  <c r="J637" i="1"/>
  <c r="J638" i="1"/>
  <c r="K638" i="1" s="1"/>
  <c r="J639" i="1"/>
  <c r="J640" i="1"/>
  <c r="K640" i="1" s="1"/>
  <c r="J641" i="1"/>
  <c r="J642" i="1"/>
  <c r="K642" i="1" s="1"/>
  <c r="J643" i="1"/>
  <c r="J644" i="1"/>
  <c r="K644" i="1" s="1"/>
  <c r="J645" i="1"/>
  <c r="J646" i="1"/>
  <c r="K646" i="1" s="1"/>
  <c r="J647" i="1"/>
  <c r="J648" i="1"/>
  <c r="K648" i="1" s="1"/>
  <c r="J649" i="1"/>
  <c r="J650" i="1"/>
  <c r="K650" i="1" s="1"/>
  <c r="J651" i="1"/>
  <c r="J652" i="1"/>
  <c r="K652" i="1" s="1"/>
  <c r="J653" i="1"/>
  <c r="J654" i="1"/>
  <c r="K654" i="1" s="1"/>
  <c r="J655" i="1"/>
  <c r="J656" i="1"/>
  <c r="K656" i="1" s="1"/>
  <c r="J657" i="1"/>
  <c r="J658" i="1"/>
  <c r="K658" i="1" s="1"/>
  <c r="J659" i="1"/>
  <c r="J660" i="1"/>
  <c r="K660" i="1" s="1"/>
  <c r="J661" i="1"/>
  <c r="J662" i="1"/>
  <c r="K662" i="1" s="1"/>
  <c r="J663" i="1"/>
  <c r="J664" i="1"/>
  <c r="K664" i="1" s="1"/>
  <c r="J665" i="1"/>
  <c r="J666" i="1"/>
  <c r="K666" i="1" s="1"/>
  <c r="J667" i="1"/>
  <c r="J668" i="1"/>
  <c r="K668" i="1" s="1"/>
  <c r="J669" i="1"/>
  <c r="J670" i="1"/>
  <c r="K670" i="1" s="1"/>
  <c r="J671" i="1"/>
  <c r="J672" i="1"/>
  <c r="K672" i="1" s="1"/>
  <c r="J673" i="1"/>
  <c r="J674" i="1"/>
  <c r="K674" i="1" s="1"/>
  <c r="J675" i="1"/>
  <c r="J676" i="1"/>
  <c r="K676" i="1" s="1"/>
  <c r="J677" i="1"/>
  <c r="J678" i="1"/>
  <c r="K678" i="1" s="1"/>
  <c r="J679" i="1"/>
  <c r="J680" i="1"/>
  <c r="K680" i="1" s="1"/>
  <c r="J681" i="1"/>
  <c r="J682" i="1"/>
  <c r="K682" i="1" s="1"/>
  <c r="J683" i="1"/>
  <c r="J684" i="1"/>
  <c r="K684" i="1" s="1"/>
  <c r="J685" i="1"/>
  <c r="J686" i="1"/>
  <c r="K686" i="1" s="1"/>
  <c r="J687" i="1"/>
  <c r="J688" i="1"/>
  <c r="K688" i="1" s="1"/>
  <c r="J689" i="1"/>
  <c r="J690" i="1"/>
  <c r="K690" i="1" s="1"/>
  <c r="J691" i="1"/>
  <c r="J692" i="1"/>
  <c r="K692" i="1" s="1"/>
  <c r="J693" i="1"/>
  <c r="J694" i="1"/>
  <c r="K694" i="1" s="1"/>
  <c r="J695" i="1"/>
  <c r="J696" i="1"/>
  <c r="K696" i="1" s="1"/>
  <c r="J697" i="1"/>
  <c r="J698" i="1"/>
  <c r="K698" i="1" s="1"/>
  <c r="J699" i="1"/>
  <c r="J700" i="1"/>
  <c r="K700" i="1" s="1"/>
  <c r="J701" i="1"/>
  <c r="J702" i="1"/>
  <c r="K702" i="1" s="1"/>
  <c r="J703" i="1"/>
  <c r="J704" i="1"/>
  <c r="K704" i="1" s="1"/>
  <c r="J705" i="1"/>
  <c r="J706" i="1"/>
  <c r="K706" i="1" s="1"/>
  <c r="J707" i="1"/>
  <c r="J708" i="1"/>
  <c r="K708" i="1" s="1"/>
  <c r="J709" i="1"/>
  <c r="J710" i="1"/>
  <c r="K710" i="1" s="1"/>
  <c r="J711" i="1"/>
  <c r="J712" i="1"/>
  <c r="K712" i="1" s="1"/>
  <c r="J713" i="1"/>
  <c r="J714" i="1"/>
  <c r="K714" i="1" s="1"/>
  <c r="J715" i="1"/>
  <c r="J716" i="1"/>
  <c r="K716" i="1" s="1"/>
  <c r="J717" i="1"/>
  <c r="J718" i="1"/>
  <c r="K718" i="1" s="1"/>
  <c r="J719" i="1"/>
  <c r="J720" i="1"/>
  <c r="K720" i="1" s="1"/>
  <c r="J721" i="1"/>
  <c r="J722" i="1"/>
  <c r="K722" i="1" s="1"/>
  <c r="J723" i="1"/>
  <c r="J724" i="1"/>
  <c r="K724" i="1" s="1"/>
  <c r="J725" i="1"/>
  <c r="J726" i="1"/>
  <c r="K726" i="1" s="1"/>
  <c r="J727" i="1"/>
  <c r="J728" i="1"/>
  <c r="K728" i="1" s="1"/>
  <c r="J729" i="1"/>
  <c r="J730" i="1"/>
  <c r="K730" i="1" s="1"/>
  <c r="J731" i="1"/>
  <c r="J732" i="1"/>
  <c r="K732" i="1" s="1"/>
  <c r="J733" i="1"/>
  <c r="J734" i="1"/>
  <c r="K734" i="1" s="1"/>
  <c r="J735" i="1"/>
  <c r="J736" i="1"/>
  <c r="K736" i="1" s="1"/>
  <c r="J737" i="1"/>
  <c r="J738" i="1"/>
  <c r="K738" i="1" s="1"/>
  <c r="J739" i="1"/>
  <c r="J740" i="1"/>
  <c r="K740" i="1" s="1"/>
  <c r="J741" i="1"/>
  <c r="J742" i="1"/>
  <c r="K742" i="1" s="1"/>
  <c r="J743" i="1"/>
  <c r="J744" i="1"/>
  <c r="K744" i="1" s="1"/>
  <c r="J745" i="1"/>
  <c r="J746" i="1"/>
  <c r="K746" i="1" s="1"/>
  <c r="J747" i="1"/>
  <c r="J748" i="1"/>
  <c r="K748" i="1" s="1"/>
  <c r="J749" i="1"/>
  <c r="J750" i="1"/>
  <c r="K750" i="1" s="1"/>
  <c r="J751" i="1"/>
  <c r="J752" i="1"/>
  <c r="K752" i="1" s="1"/>
  <c r="J753" i="1"/>
  <c r="J754" i="1"/>
  <c r="K754" i="1" s="1"/>
  <c r="J755" i="1"/>
  <c r="J756" i="1"/>
  <c r="K756" i="1" s="1"/>
  <c r="J757" i="1"/>
  <c r="J758" i="1"/>
  <c r="K758" i="1" s="1"/>
  <c r="J759" i="1"/>
  <c r="J760" i="1"/>
  <c r="K760" i="1" s="1"/>
  <c r="J761" i="1"/>
  <c r="J762" i="1"/>
  <c r="K762" i="1" s="1"/>
  <c r="J763" i="1"/>
  <c r="J764" i="1"/>
  <c r="K764" i="1" s="1"/>
  <c r="J765" i="1"/>
  <c r="J766" i="1"/>
  <c r="K766" i="1" s="1"/>
  <c r="J767" i="1"/>
  <c r="J768" i="1"/>
  <c r="K768" i="1" s="1"/>
  <c r="J769" i="1"/>
  <c r="J770" i="1"/>
  <c r="K770" i="1" s="1"/>
  <c r="J771" i="1"/>
  <c r="J772" i="1"/>
  <c r="K772" i="1" s="1"/>
  <c r="J773" i="1"/>
  <c r="J774" i="1"/>
  <c r="K774" i="1" s="1"/>
  <c r="J775" i="1"/>
  <c r="J776" i="1"/>
  <c r="K776" i="1" s="1"/>
  <c r="J777" i="1"/>
  <c r="J778" i="1"/>
  <c r="K778" i="1" s="1"/>
  <c r="J779" i="1"/>
  <c r="J780" i="1"/>
  <c r="K780" i="1" s="1"/>
  <c r="J781" i="1"/>
  <c r="J782" i="1"/>
  <c r="K782" i="1" s="1"/>
  <c r="J783" i="1"/>
  <c r="J784" i="1"/>
  <c r="K784" i="1" s="1"/>
  <c r="J785" i="1"/>
  <c r="J786" i="1"/>
  <c r="K786" i="1" s="1"/>
  <c r="J787" i="1"/>
  <c r="J788" i="1"/>
  <c r="K788" i="1" s="1"/>
  <c r="J789" i="1"/>
  <c r="J790" i="1"/>
  <c r="K790" i="1" s="1"/>
  <c r="J791" i="1"/>
  <c r="J792" i="1"/>
  <c r="K792" i="1" s="1"/>
  <c r="J793" i="1"/>
  <c r="J794" i="1"/>
  <c r="K794" i="1" s="1"/>
  <c r="J795" i="1"/>
  <c r="J796" i="1"/>
  <c r="K796" i="1" s="1"/>
  <c r="J797" i="1"/>
  <c r="J798" i="1"/>
  <c r="K798" i="1" s="1"/>
  <c r="J799" i="1"/>
  <c r="J800" i="1"/>
  <c r="K800" i="1" s="1"/>
  <c r="J801" i="1"/>
  <c r="J802" i="1"/>
  <c r="K802" i="1" s="1"/>
  <c r="J803" i="1"/>
  <c r="J804" i="1"/>
  <c r="K804" i="1" s="1"/>
  <c r="J805" i="1"/>
  <c r="J806" i="1"/>
  <c r="K806" i="1" s="1"/>
  <c r="J807" i="1"/>
  <c r="J808" i="1"/>
  <c r="K808" i="1" s="1"/>
  <c r="J809" i="1"/>
  <c r="J810" i="1"/>
  <c r="K810" i="1" s="1"/>
  <c r="J811" i="1"/>
  <c r="J812" i="1"/>
  <c r="K812" i="1" s="1"/>
  <c r="J813" i="1"/>
  <c r="J814" i="1"/>
  <c r="K814" i="1" s="1"/>
  <c r="J815" i="1"/>
  <c r="J816" i="1"/>
  <c r="K816" i="1" s="1"/>
  <c r="J817" i="1"/>
  <c r="J818" i="1"/>
  <c r="K818" i="1" s="1"/>
  <c r="J819" i="1"/>
  <c r="J820" i="1"/>
  <c r="K820" i="1" s="1"/>
  <c r="J821" i="1"/>
  <c r="J822" i="1"/>
  <c r="K822" i="1" s="1"/>
  <c r="J823" i="1"/>
  <c r="J824" i="1"/>
  <c r="K824" i="1" s="1"/>
  <c r="J825" i="1"/>
  <c r="J826" i="1"/>
  <c r="K826" i="1" s="1"/>
  <c r="J827" i="1"/>
  <c r="J828" i="1"/>
  <c r="K828" i="1" s="1"/>
  <c r="J829" i="1"/>
  <c r="J830" i="1"/>
  <c r="K830" i="1" s="1"/>
  <c r="J831" i="1"/>
  <c r="J832" i="1"/>
  <c r="K832" i="1" s="1"/>
  <c r="J833" i="1"/>
  <c r="J834" i="1"/>
  <c r="K834" i="1" s="1"/>
  <c r="J835" i="1"/>
  <c r="J836" i="1"/>
  <c r="K836" i="1" s="1"/>
  <c r="J837" i="1"/>
  <c r="J838" i="1"/>
  <c r="K838" i="1" s="1"/>
  <c r="J839" i="1"/>
  <c r="J840" i="1"/>
  <c r="K840" i="1" s="1"/>
  <c r="J841" i="1"/>
  <c r="J842" i="1"/>
  <c r="K842" i="1" s="1"/>
  <c r="J843" i="1"/>
  <c r="J844" i="1"/>
  <c r="K844" i="1" s="1"/>
  <c r="J845" i="1"/>
  <c r="J846" i="1"/>
  <c r="K846" i="1" s="1"/>
  <c r="J847" i="1"/>
  <c r="J848" i="1"/>
  <c r="K848" i="1" s="1"/>
  <c r="J849" i="1"/>
  <c r="J850" i="1"/>
  <c r="K850" i="1" s="1"/>
  <c r="J851" i="1"/>
  <c r="J852" i="1"/>
  <c r="K852" i="1" s="1"/>
  <c r="J853" i="1"/>
  <c r="J854" i="1"/>
  <c r="K854" i="1" s="1"/>
  <c r="J855" i="1"/>
  <c r="J856" i="1"/>
  <c r="K856" i="1" s="1"/>
  <c r="J857" i="1"/>
  <c r="J858" i="1"/>
  <c r="K858" i="1" s="1"/>
  <c r="J859" i="1"/>
  <c r="J860" i="1"/>
  <c r="K860" i="1" s="1"/>
  <c r="J861" i="1"/>
  <c r="J862" i="1"/>
  <c r="K862" i="1" s="1"/>
  <c r="J863" i="1"/>
  <c r="J864" i="1"/>
  <c r="K864" i="1" s="1"/>
  <c r="J865" i="1"/>
  <c r="J866" i="1"/>
  <c r="K866" i="1" s="1"/>
  <c r="J867" i="1"/>
  <c r="J868" i="1"/>
  <c r="K868" i="1" s="1"/>
  <c r="J869" i="1"/>
  <c r="J870" i="1"/>
  <c r="K870" i="1" s="1"/>
  <c r="J871" i="1"/>
  <c r="J872" i="1"/>
  <c r="K872" i="1" s="1"/>
  <c r="J873" i="1"/>
  <c r="J874" i="1"/>
  <c r="K874" i="1" s="1"/>
  <c r="J875" i="1"/>
  <c r="J876" i="1"/>
  <c r="K876" i="1" s="1"/>
  <c r="J877" i="1"/>
  <c r="J878" i="1"/>
  <c r="K878" i="1" s="1"/>
  <c r="J879" i="1"/>
  <c r="J880" i="1"/>
  <c r="K880" i="1" s="1"/>
  <c r="J881" i="1"/>
  <c r="J882" i="1"/>
  <c r="K882" i="1" s="1"/>
  <c r="J883" i="1"/>
  <c r="J884" i="1"/>
  <c r="K884" i="1" s="1"/>
  <c r="J885" i="1"/>
  <c r="J886" i="1"/>
  <c r="K886" i="1" s="1"/>
  <c r="J887" i="1"/>
  <c r="J888" i="1"/>
  <c r="K888" i="1" s="1"/>
  <c r="J889" i="1"/>
  <c r="J890" i="1"/>
  <c r="K890" i="1" s="1"/>
  <c r="J891" i="1"/>
  <c r="J892" i="1"/>
  <c r="K892" i="1" s="1"/>
  <c r="J893" i="1"/>
  <c r="J894" i="1"/>
  <c r="K894" i="1" s="1"/>
  <c r="J895" i="1"/>
  <c r="J896" i="1"/>
  <c r="K896" i="1" s="1"/>
  <c r="J897" i="1"/>
  <c r="J898" i="1"/>
  <c r="K898" i="1" s="1"/>
  <c r="J899" i="1"/>
  <c r="J900" i="1"/>
  <c r="K900" i="1" s="1"/>
  <c r="J901" i="1"/>
  <c r="J902" i="1"/>
  <c r="K902" i="1" s="1"/>
  <c r="J903" i="1"/>
  <c r="J904" i="1"/>
  <c r="K904" i="1" s="1"/>
  <c r="J905" i="1"/>
  <c r="J906" i="1"/>
  <c r="K906" i="1" s="1"/>
  <c r="J907" i="1"/>
  <c r="J908" i="1"/>
  <c r="K908" i="1" s="1"/>
  <c r="J909" i="1"/>
  <c r="J910" i="1"/>
  <c r="K910" i="1" s="1"/>
  <c r="J911" i="1"/>
  <c r="J912" i="1"/>
  <c r="K912" i="1" s="1"/>
  <c r="J913" i="1"/>
  <c r="J914" i="1"/>
  <c r="K914" i="1" s="1"/>
  <c r="J915" i="1"/>
  <c r="J916" i="1"/>
  <c r="K916" i="1" s="1"/>
  <c r="J917" i="1"/>
  <c r="J918" i="1"/>
  <c r="K918" i="1" s="1"/>
  <c r="J919" i="1"/>
  <c r="J920" i="1"/>
  <c r="K920" i="1" s="1"/>
  <c r="J921" i="1"/>
  <c r="J922" i="1"/>
  <c r="K922" i="1" s="1"/>
  <c r="J923" i="1"/>
  <c r="J924" i="1"/>
  <c r="K924" i="1" s="1"/>
  <c r="J925" i="1"/>
  <c r="J926" i="1"/>
  <c r="K926" i="1" s="1"/>
  <c r="J927" i="1"/>
  <c r="J928" i="1"/>
  <c r="K928" i="1" s="1"/>
  <c r="J929" i="1"/>
  <c r="J930" i="1"/>
  <c r="K930" i="1" s="1"/>
  <c r="J931" i="1"/>
  <c r="J932" i="1"/>
  <c r="K932" i="1" s="1"/>
  <c r="J933" i="1"/>
  <c r="J934" i="1"/>
  <c r="K934" i="1" s="1"/>
  <c r="J935" i="1"/>
  <c r="J936" i="1"/>
  <c r="K936" i="1" s="1"/>
  <c r="J937" i="1"/>
  <c r="J938" i="1"/>
  <c r="K938" i="1" s="1"/>
  <c r="J939" i="1"/>
  <c r="J940" i="1"/>
  <c r="K940" i="1" s="1"/>
  <c r="J941" i="1"/>
  <c r="J942" i="1"/>
  <c r="K942" i="1" s="1"/>
  <c r="J943" i="1"/>
  <c r="J944" i="1"/>
  <c r="K944" i="1" s="1"/>
  <c r="J945" i="1"/>
  <c r="J946" i="1"/>
  <c r="K946" i="1" s="1"/>
  <c r="J947" i="1"/>
  <c r="J948" i="1"/>
  <c r="K948" i="1" s="1"/>
  <c r="J949" i="1"/>
  <c r="J950" i="1"/>
  <c r="K950" i="1" s="1"/>
  <c r="J951" i="1"/>
  <c r="J952" i="1"/>
  <c r="K952" i="1" s="1"/>
  <c r="J953" i="1"/>
  <c r="J954" i="1"/>
  <c r="K954" i="1" s="1"/>
  <c r="J955" i="1"/>
  <c r="J956" i="1"/>
  <c r="K956" i="1" s="1"/>
  <c r="J957" i="1"/>
  <c r="J958" i="1"/>
  <c r="K958" i="1" s="1"/>
  <c r="J959" i="1"/>
  <c r="J960" i="1"/>
  <c r="K960" i="1" s="1"/>
  <c r="J961" i="1"/>
  <c r="J962" i="1"/>
  <c r="K962" i="1" s="1"/>
  <c r="J963" i="1"/>
  <c r="J964" i="1"/>
  <c r="K964" i="1" s="1"/>
  <c r="J965" i="1"/>
  <c r="J966" i="1"/>
  <c r="K966" i="1" s="1"/>
  <c r="J967" i="1"/>
  <c r="J968" i="1"/>
  <c r="K968" i="1" s="1"/>
  <c r="J969" i="1"/>
  <c r="J970" i="1"/>
  <c r="K970" i="1" s="1"/>
  <c r="J971" i="1"/>
  <c r="J972" i="1"/>
  <c r="K972" i="1" s="1"/>
  <c r="J973" i="1"/>
  <c r="J974" i="1"/>
  <c r="K974" i="1" s="1"/>
  <c r="J975" i="1"/>
  <c r="J976" i="1"/>
  <c r="K976" i="1" s="1"/>
  <c r="J977" i="1"/>
  <c r="J978" i="1"/>
  <c r="K978" i="1" s="1"/>
  <c r="J979" i="1"/>
  <c r="J980" i="1"/>
  <c r="K980" i="1" s="1"/>
  <c r="J981" i="1"/>
  <c r="J982" i="1"/>
  <c r="K982" i="1" s="1"/>
  <c r="J983" i="1"/>
  <c r="J984" i="1"/>
  <c r="K984" i="1" s="1"/>
  <c r="J985" i="1"/>
  <c r="J986" i="1"/>
  <c r="K986" i="1" s="1"/>
  <c r="J987" i="1"/>
  <c r="J988" i="1"/>
  <c r="K988" i="1" s="1"/>
  <c r="J989" i="1"/>
  <c r="J990" i="1"/>
  <c r="K990" i="1" s="1"/>
  <c r="J991" i="1"/>
  <c r="J992" i="1"/>
  <c r="K992" i="1" s="1"/>
  <c r="J993" i="1"/>
  <c r="J994" i="1"/>
  <c r="K994" i="1" s="1"/>
  <c r="J995" i="1"/>
  <c r="J996" i="1"/>
  <c r="K996" i="1" s="1"/>
  <c r="J997" i="1"/>
  <c r="J998" i="1"/>
  <c r="K998" i="1" s="1"/>
  <c r="J999" i="1"/>
  <c r="J1000" i="1"/>
  <c r="K1000" i="1" s="1"/>
  <c r="J1001" i="1"/>
  <c r="J1002" i="1"/>
  <c r="K1002" i="1" s="1"/>
  <c r="J1003" i="1"/>
  <c r="J1004" i="1"/>
  <c r="K1004" i="1" s="1"/>
  <c r="J1005" i="1"/>
  <c r="J1006" i="1"/>
  <c r="K1006" i="1" s="1"/>
  <c r="J1007" i="1"/>
  <c r="J1008" i="1"/>
  <c r="K1008" i="1" s="1"/>
  <c r="J1009" i="1"/>
  <c r="J1010" i="1"/>
  <c r="K1010" i="1" s="1"/>
  <c r="J1011" i="1"/>
  <c r="J1012" i="1"/>
  <c r="K1012" i="1" s="1"/>
  <c r="J1013" i="1"/>
  <c r="J1014" i="1"/>
  <c r="K1014" i="1" s="1"/>
  <c r="J1015" i="1"/>
  <c r="J1016" i="1"/>
  <c r="K1016" i="1" s="1"/>
  <c r="J1017" i="1"/>
  <c r="J1018" i="1"/>
  <c r="K1018" i="1" s="1"/>
  <c r="J1019" i="1"/>
  <c r="J1020" i="1"/>
  <c r="K1020" i="1" s="1"/>
  <c r="J1021" i="1"/>
  <c r="J1022" i="1"/>
  <c r="K1022" i="1" s="1"/>
  <c r="J1023" i="1"/>
  <c r="J1024" i="1"/>
  <c r="K1024" i="1" s="1"/>
  <c r="J1025" i="1"/>
  <c r="J1026" i="1"/>
  <c r="K1026" i="1" s="1"/>
  <c r="J1027" i="1"/>
  <c r="J1028" i="1"/>
  <c r="K1028" i="1" s="1"/>
  <c r="J1029" i="1"/>
  <c r="J1030" i="1"/>
  <c r="K1030" i="1" s="1"/>
  <c r="J1031" i="1"/>
  <c r="J1032" i="1"/>
  <c r="K1032" i="1" s="1"/>
  <c r="J1033" i="1"/>
  <c r="J1034" i="1"/>
  <c r="K1034" i="1" s="1"/>
  <c r="J1035" i="1"/>
  <c r="J1036" i="1"/>
  <c r="K1036" i="1" s="1"/>
  <c r="J1037" i="1"/>
  <c r="J1038" i="1"/>
  <c r="K1038" i="1" s="1"/>
  <c r="J1039" i="1"/>
  <c r="J1040" i="1"/>
  <c r="K1040" i="1" s="1"/>
  <c r="J1041" i="1"/>
  <c r="J1042" i="1"/>
  <c r="K1042" i="1" s="1"/>
  <c r="J1043" i="1"/>
  <c r="J1044" i="1"/>
  <c r="K1044" i="1" s="1"/>
  <c r="J1045" i="1"/>
  <c r="J1046" i="1"/>
  <c r="K1046" i="1" s="1"/>
  <c r="J1047" i="1"/>
  <c r="J1048" i="1"/>
  <c r="K1048" i="1" s="1"/>
  <c r="J1049" i="1"/>
  <c r="J1050" i="1"/>
  <c r="K1050" i="1" s="1"/>
  <c r="J1051" i="1"/>
  <c r="J1052" i="1"/>
  <c r="K1052" i="1" s="1"/>
  <c r="J1053" i="1"/>
  <c r="J1054" i="1"/>
  <c r="K1054" i="1" s="1"/>
  <c r="J1055" i="1"/>
  <c r="J1056" i="1"/>
  <c r="K1056" i="1" s="1"/>
  <c r="J1057" i="1"/>
  <c r="J1058" i="1"/>
  <c r="K1058" i="1" s="1"/>
  <c r="J1059" i="1"/>
  <c r="J1060" i="1"/>
  <c r="K1060" i="1" s="1"/>
  <c r="J1061" i="1"/>
  <c r="J1062" i="1"/>
  <c r="K1062" i="1" s="1"/>
  <c r="J1063" i="1"/>
  <c r="J1064" i="1"/>
  <c r="K1064" i="1" s="1"/>
  <c r="J1065" i="1"/>
  <c r="J1066" i="1"/>
  <c r="K1066" i="1" s="1"/>
  <c r="J1067" i="1"/>
  <c r="J1068" i="1"/>
  <c r="K1068" i="1" s="1"/>
  <c r="J1069" i="1"/>
  <c r="J1070" i="1"/>
  <c r="K1070" i="1" s="1"/>
  <c r="J1071" i="1"/>
  <c r="J1072" i="1"/>
  <c r="K1072" i="1" s="1"/>
  <c r="J1073" i="1"/>
  <c r="J1074" i="1"/>
  <c r="K1074" i="1" s="1"/>
  <c r="J1075" i="1"/>
  <c r="J1076" i="1"/>
  <c r="K1076" i="1" s="1"/>
  <c r="J1077" i="1"/>
  <c r="J1078" i="1"/>
  <c r="K1078" i="1" s="1"/>
  <c r="J1079" i="1"/>
  <c r="J1080" i="1"/>
  <c r="K1080" i="1" s="1"/>
  <c r="J1081" i="1"/>
  <c r="J1082" i="1"/>
  <c r="K1082" i="1" s="1"/>
  <c r="J1083" i="1"/>
  <c r="J1084" i="1"/>
  <c r="K1084" i="1" s="1"/>
  <c r="J1085" i="1"/>
  <c r="J1086" i="1"/>
  <c r="K1086" i="1" s="1"/>
  <c r="J1087" i="1"/>
  <c r="J1088" i="1"/>
  <c r="K1088" i="1" s="1"/>
  <c r="J1089" i="1"/>
  <c r="J1090" i="1"/>
  <c r="K1090" i="1" s="1"/>
  <c r="J1091" i="1"/>
  <c r="J1092" i="1"/>
  <c r="K1092" i="1" s="1"/>
  <c r="J1093" i="1"/>
  <c r="J1094" i="1"/>
  <c r="K1094" i="1" s="1"/>
  <c r="J1095" i="1"/>
  <c r="J1096" i="1"/>
  <c r="K1096" i="1" s="1"/>
  <c r="J1097" i="1"/>
  <c r="J1098" i="1"/>
  <c r="K1098" i="1" s="1"/>
  <c r="J1099" i="1"/>
  <c r="J1100" i="1"/>
  <c r="K1100" i="1" s="1"/>
  <c r="J1101" i="1"/>
  <c r="J1102" i="1"/>
  <c r="K1102" i="1" s="1"/>
  <c r="J1103" i="1"/>
  <c r="J1104" i="1"/>
  <c r="K1104" i="1" s="1"/>
  <c r="J1105" i="1"/>
  <c r="J1106" i="1"/>
  <c r="K1106" i="1" s="1"/>
  <c r="J1107" i="1"/>
  <c r="J1108" i="1"/>
  <c r="K1108" i="1" s="1"/>
  <c r="J1109" i="1"/>
  <c r="J1110" i="1"/>
  <c r="K1110" i="1" s="1"/>
  <c r="J1111" i="1"/>
  <c r="J1112" i="1"/>
  <c r="K1112" i="1" s="1"/>
  <c r="J1113" i="1"/>
  <c r="J1114" i="1"/>
  <c r="K1114" i="1" s="1"/>
  <c r="J1115" i="1"/>
  <c r="J1116" i="1"/>
  <c r="K1116" i="1" s="1"/>
  <c r="J1117" i="1"/>
  <c r="J1118" i="1"/>
  <c r="K1118" i="1" s="1"/>
  <c r="J1119" i="1"/>
  <c r="J1120" i="1"/>
  <c r="K1120" i="1" s="1"/>
  <c r="J1121" i="1"/>
  <c r="J1122" i="1"/>
  <c r="K1122" i="1" s="1"/>
  <c r="J1123" i="1"/>
  <c r="J1124" i="1"/>
  <c r="K1124" i="1" s="1"/>
  <c r="J1125" i="1"/>
  <c r="J1126" i="1"/>
  <c r="K1126" i="1" s="1"/>
  <c r="J1127" i="1"/>
  <c r="J1128" i="1"/>
  <c r="K1128" i="1" s="1"/>
  <c r="J1129" i="1"/>
  <c r="J1130" i="1"/>
  <c r="K1130" i="1" s="1"/>
  <c r="J1131" i="1"/>
  <c r="J1132" i="1"/>
  <c r="K1132" i="1" s="1"/>
  <c r="J1133" i="1"/>
  <c r="J1134" i="1"/>
  <c r="K1134" i="1" s="1"/>
  <c r="J1135" i="1"/>
  <c r="J1136" i="1"/>
  <c r="K1136" i="1" s="1"/>
  <c r="J1137" i="1"/>
  <c r="J1138" i="1"/>
  <c r="K1138" i="1" s="1"/>
  <c r="J1139" i="1"/>
  <c r="J1140" i="1"/>
  <c r="K1140" i="1" s="1"/>
  <c r="J1141" i="1"/>
  <c r="J1142" i="1"/>
  <c r="K1142" i="1" s="1"/>
  <c r="J1143" i="1"/>
  <c r="J1144" i="1"/>
  <c r="K1144" i="1" s="1"/>
  <c r="J1145" i="1"/>
  <c r="J1146" i="1"/>
  <c r="K1146" i="1" s="1"/>
  <c r="J1147" i="1"/>
  <c r="J1148" i="1"/>
  <c r="K1148" i="1" s="1"/>
  <c r="J1149" i="1"/>
  <c r="J1150" i="1"/>
  <c r="K1150" i="1" s="1"/>
  <c r="J1151" i="1"/>
  <c r="J1152" i="1"/>
  <c r="K1152" i="1" s="1"/>
  <c r="J1153" i="1"/>
  <c r="J1154" i="1"/>
  <c r="K1154" i="1" s="1"/>
  <c r="J1155" i="1"/>
  <c r="J1156" i="1"/>
  <c r="K1156" i="1" s="1"/>
  <c r="J1157" i="1"/>
  <c r="J1158" i="1"/>
  <c r="K1158" i="1" s="1"/>
  <c r="J1159" i="1"/>
  <c r="J1160" i="1"/>
  <c r="K1160" i="1" s="1"/>
  <c r="J1161" i="1"/>
  <c r="J1162" i="1"/>
  <c r="K1162" i="1" s="1"/>
  <c r="J1163" i="1"/>
  <c r="J1164" i="1"/>
  <c r="K1164" i="1" s="1"/>
  <c r="J1165" i="1"/>
  <c r="J1166" i="1"/>
  <c r="K1166" i="1" s="1"/>
  <c r="J1167" i="1"/>
  <c r="J1168" i="1"/>
  <c r="K1168" i="1" s="1"/>
  <c r="J1169" i="1"/>
  <c r="J1170" i="1"/>
  <c r="K1170" i="1" s="1"/>
  <c r="J1171" i="1"/>
  <c r="J1172" i="1"/>
  <c r="K1172" i="1" s="1"/>
  <c r="J1173" i="1"/>
  <c r="J1174" i="1"/>
  <c r="K1174" i="1" s="1"/>
  <c r="J1175" i="1"/>
  <c r="J1176" i="1"/>
  <c r="K1176" i="1" s="1"/>
  <c r="J1177" i="1"/>
  <c r="J1178" i="1"/>
  <c r="K1178" i="1" s="1"/>
  <c r="J1179" i="1"/>
  <c r="J1180" i="1"/>
  <c r="K1180" i="1" s="1"/>
  <c r="J1181" i="1"/>
  <c r="J1182" i="1"/>
  <c r="K1182" i="1" s="1"/>
  <c r="J1183" i="1"/>
  <c r="J1184" i="1"/>
  <c r="K1184" i="1" s="1"/>
  <c r="J1185" i="1"/>
  <c r="J1186" i="1"/>
  <c r="K1186" i="1" s="1"/>
  <c r="J1187" i="1"/>
  <c r="J1188" i="1"/>
  <c r="K1188" i="1" s="1"/>
  <c r="J1189" i="1"/>
  <c r="J1190" i="1"/>
  <c r="K1190" i="1" s="1"/>
  <c r="J1191" i="1"/>
  <c r="J1192" i="1"/>
  <c r="K1192" i="1" s="1"/>
  <c r="J1193" i="1"/>
  <c r="J1194" i="1"/>
  <c r="K1194" i="1" s="1"/>
  <c r="J1195" i="1"/>
  <c r="J1196" i="1"/>
  <c r="K1196" i="1" s="1"/>
  <c r="J1197" i="1"/>
  <c r="J1198" i="1"/>
  <c r="K1198" i="1" s="1"/>
  <c r="J1199" i="1"/>
  <c r="J1200" i="1"/>
  <c r="K1200" i="1" s="1"/>
  <c r="J1201" i="1"/>
  <c r="J1202" i="1"/>
  <c r="K1202" i="1" s="1"/>
  <c r="J1203" i="1"/>
  <c r="J1204" i="1"/>
  <c r="K1204" i="1" s="1"/>
  <c r="J1205" i="1"/>
  <c r="J1206" i="1"/>
  <c r="K1206" i="1" s="1"/>
  <c r="J1207" i="1"/>
  <c r="J1208" i="1"/>
  <c r="K1208" i="1" s="1"/>
  <c r="J1209" i="1"/>
  <c r="J1210" i="1"/>
  <c r="K1210" i="1" s="1"/>
  <c r="J1211" i="1"/>
  <c r="J1212" i="1"/>
  <c r="K1212" i="1" s="1"/>
  <c r="J1213" i="1"/>
  <c r="J1214" i="1"/>
  <c r="K1214" i="1" s="1"/>
  <c r="J1215" i="1"/>
  <c r="J1216" i="1"/>
  <c r="K1216" i="1" s="1"/>
  <c r="J1217" i="1"/>
  <c r="J1218" i="1"/>
  <c r="K1218" i="1" s="1"/>
  <c r="J1219" i="1"/>
  <c r="J1220" i="1"/>
  <c r="K1220" i="1" s="1"/>
  <c r="J1221" i="1"/>
  <c r="J1222" i="1"/>
  <c r="K1222" i="1" s="1"/>
  <c r="J1223" i="1"/>
  <c r="J1224" i="1"/>
  <c r="K1224" i="1" s="1"/>
  <c r="J1225" i="1"/>
  <c r="J1226" i="1"/>
  <c r="K1226" i="1" s="1"/>
  <c r="J1227" i="1"/>
  <c r="J1228" i="1"/>
  <c r="K1228" i="1" s="1"/>
  <c r="J1229" i="1"/>
  <c r="J1230" i="1"/>
  <c r="K1230" i="1" s="1"/>
  <c r="J1231" i="1"/>
  <c r="J1232" i="1"/>
  <c r="K1232" i="1" s="1"/>
  <c r="J1233" i="1"/>
  <c r="J1234" i="1"/>
  <c r="K1234" i="1" s="1"/>
  <c r="J1235" i="1"/>
  <c r="J1236" i="1"/>
  <c r="K1236" i="1" s="1"/>
  <c r="J1237" i="1"/>
  <c r="J1238" i="1"/>
  <c r="K1238" i="1" s="1"/>
  <c r="J1239" i="1"/>
  <c r="J1240" i="1"/>
  <c r="K1240" i="1" s="1"/>
  <c r="J1241" i="1"/>
  <c r="J1242" i="1"/>
  <c r="K1242" i="1" s="1"/>
  <c r="J1243" i="1"/>
  <c r="J1244" i="1"/>
  <c r="K1244" i="1" s="1"/>
  <c r="J1245" i="1"/>
  <c r="J1246" i="1"/>
  <c r="K1246" i="1" s="1"/>
  <c r="J1247" i="1"/>
  <c r="J1248" i="1"/>
  <c r="K1248" i="1" s="1"/>
  <c r="J1249" i="1"/>
  <c r="J1250" i="1"/>
  <c r="K1250" i="1" s="1"/>
  <c r="J1251" i="1"/>
  <c r="J1252" i="1"/>
  <c r="K1252" i="1" s="1"/>
  <c r="J1253" i="1"/>
  <c r="J1254" i="1"/>
  <c r="K1254" i="1" s="1"/>
  <c r="J1255" i="1"/>
  <c r="J1256" i="1"/>
  <c r="K1256" i="1" s="1"/>
  <c r="J1257" i="1"/>
  <c r="J1258" i="1"/>
  <c r="K1258" i="1" s="1"/>
  <c r="J1259" i="1"/>
  <c r="J1260" i="1"/>
  <c r="K1260" i="1" s="1"/>
  <c r="J1261" i="1"/>
  <c r="J1262" i="1"/>
  <c r="K1262" i="1" s="1"/>
  <c r="J1263" i="1"/>
  <c r="J1264" i="1"/>
  <c r="K1264" i="1" s="1"/>
  <c r="J1265" i="1"/>
  <c r="J1266" i="1"/>
  <c r="K1266" i="1" s="1"/>
  <c r="J1267" i="1"/>
  <c r="J1268" i="1"/>
  <c r="K1268" i="1" s="1"/>
  <c r="J1269" i="1"/>
  <c r="J1270" i="1"/>
  <c r="K1270" i="1" s="1"/>
  <c r="J1271" i="1"/>
  <c r="J1272" i="1"/>
  <c r="K1272" i="1" s="1"/>
  <c r="J1273" i="1"/>
  <c r="J1274" i="1"/>
  <c r="K1274" i="1" s="1"/>
  <c r="J1275" i="1"/>
  <c r="J1276" i="1"/>
  <c r="K1276" i="1" s="1"/>
  <c r="J1277" i="1"/>
  <c r="J1278" i="1"/>
  <c r="K1278" i="1" s="1"/>
  <c r="J1279" i="1"/>
  <c r="J1280" i="1"/>
  <c r="K1280" i="1" s="1"/>
  <c r="J1281" i="1"/>
  <c r="J1282" i="1"/>
  <c r="K1282" i="1" s="1"/>
  <c r="J1283" i="1"/>
  <c r="J1284" i="1"/>
  <c r="K1284" i="1" s="1"/>
  <c r="J1285" i="1"/>
  <c r="J1286" i="1"/>
  <c r="K1286" i="1" s="1"/>
  <c r="J1287" i="1"/>
  <c r="J1288" i="1"/>
  <c r="K1288" i="1" s="1"/>
  <c r="J1289" i="1"/>
  <c r="J1290" i="1"/>
  <c r="K1290" i="1" s="1"/>
  <c r="J1291" i="1"/>
  <c r="J1292" i="1"/>
  <c r="K1292" i="1" s="1"/>
  <c r="J1293" i="1"/>
  <c r="J1294" i="1"/>
  <c r="K1294" i="1" s="1"/>
  <c r="J1295" i="1"/>
  <c r="J1296" i="1"/>
  <c r="K1296" i="1" s="1"/>
  <c r="J1297" i="1"/>
  <c r="J1298" i="1"/>
  <c r="K1298" i="1" s="1"/>
  <c r="J1299" i="1"/>
  <c r="J1300" i="1"/>
  <c r="K1300" i="1" s="1"/>
  <c r="J1301" i="1"/>
  <c r="J1302" i="1"/>
  <c r="K1302" i="1" s="1"/>
  <c r="J1303" i="1"/>
  <c r="J1304" i="1"/>
  <c r="K1304" i="1" s="1"/>
  <c r="J1305" i="1"/>
  <c r="J1306" i="1"/>
  <c r="K1306" i="1" s="1"/>
  <c r="J1307" i="1"/>
  <c r="J1308" i="1"/>
  <c r="K1308" i="1" s="1"/>
  <c r="J1309" i="1"/>
  <c r="J1310" i="1"/>
  <c r="K1310" i="1" s="1"/>
  <c r="J1311" i="1"/>
  <c r="J1312" i="1"/>
  <c r="K1312" i="1" s="1"/>
  <c r="J1313" i="1"/>
  <c r="J1314" i="1"/>
  <c r="K1314" i="1" s="1"/>
  <c r="J1315" i="1"/>
  <c r="J1316" i="1"/>
  <c r="K1316" i="1" s="1"/>
  <c r="J1317" i="1"/>
  <c r="J1318" i="1"/>
  <c r="K1318" i="1" s="1"/>
  <c r="J1319" i="1"/>
  <c r="J1320" i="1"/>
  <c r="K1320" i="1" s="1"/>
  <c r="J1321" i="1"/>
  <c r="J1322" i="1"/>
  <c r="K1322" i="1" s="1"/>
  <c r="J1323" i="1"/>
  <c r="J1324" i="1"/>
  <c r="K1324" i="1" s="1"/>
  <c r="J1325" i="1"/>
  <c r="J1326" i="1"/>
  <c r="K1326" i="1" s="1"/>
  <c r="J1327" i="1"/>
  <c r="J1328" i="1"/>
  <c r="K1328" i="1" s="1"/>
  <c r="J1329" i="1"/>
  <c r="J1330" i="1"/>
  <c r="K1330" i="1" s="1"/>
  <c r="J1331" i="1"/>
  <c r="J1332" i="1"/>
  <c r="K1332" i="1" s="1"/>
  <c r="J1333" i="1"/>
  <c r="J1334" i="1"/>
  <c r="K1334" i="1" s="1"/>
  <c r="J1335" i="1"/>
  <c r="J1336" i="1"/>
  <c r="K1336" i="1" s="1"/>
  <c r="J1337" i="1"/>
  <c r="J1338" i="1"/>
  <c r="K1338" i="1" s="1"/>
  <c r="J1339" i="1"/>
  <c r="J1340" i="1"/>
  <c r="K1340" i="1" s="1"/>
  <c r="J1341" i="1"/>
  <c r="J1342" i="1"/>
  <c r="K1342" i="1" s="1"/>
  <c r="J1343" i="1"/>
  <c r="J1344" i="1"/>
  <c r="K1344" i="1" s="1"/>
  <c r="J1345" i="1"/>
  <c r="J1346" i="1"/>
  <c r="K1346" i="1" s="1"/>
  <c r="J1347" i="1"/>
  <c r="J1348" i="1"/>
  <c r="K1348" i="1" s="1"/>
  <c r="J1349" i="1"/>
  <c r="J1350" i="1"/>
  <c r="K1350" i="1" s="1"/>
  <c r="J1351" i="1"/>
  <c r="J1352" i="1"/>
  <c r="K1352" i="1" s="1"/>
  <c r="J1353" i="1"/>
  <c r="J1354" i="1"/>
  <c r="K1354" i="1" s="1"/>
  <c r="J1355" i="1"/>
  <c r="J1356" i="1"/>
  <c r="K1356" i="1" s="1"/>
  <c r="J1357" i="1"/>
  <c r="J1358" i="1"/>
  <c r="K1358" i="1" s="1"/>
  <c r="J1359" i="1"/>
  <c r="J1360" i="1"/>
  <c r="K1360" i="1" s="1"/>
  <c r="J1361" i="1"/>
  <c r="J1362" i="1"/>
  <c r="K1362" i="1" s="1"/>
  <c r="J1363" i="1"/>
  <c r="J1364" i="1"/>
  <c r="K1364" i="1" s="1"/>
  <c r="J1365" i="1"/>
  <c r="J1366" i="1"/>
  <c r="K1366" i="1" s="1"/>
  <c r="J1367" i="1"/>
  <c r="J1368" i="1"/>
  <c r="K1368" i="1" s="1"/>
  <c r="J1369" i="1"/>
  <c r="J1370" i="1"/>
  <c r="K1370" i="1" s="1"/>
  <c r="J1371" i="1"/>
  <c r="J1372" i="1"/>
  <c r="K1372" i="1" s="1"/>
  <c r="J1373" i="1"/>
  <c r="J1374" i="1"/>
  <c r="K1374" i="1" s="1"/>
  <c r="J1375" i="1"/>
  <c r="J1376" i="1"/>
  <c r="K1376" i="1" s="1"/>
  <c r="J1377" i="1"/>
  <c r="J1378" i="1"/>
  <c r="K1378" i="1" s="1"/>
  <c r="J1379" i="1"/>
  <c r="J1380" i="1"/>
  <c r="K1380" i="1" s="1"/>
  <c r="J1381" i="1"/>
  <c r="J1382" i="1"/>
  <c r="K1382" i="1" s="1"/>
  <c r="J1383" i="1"/>
  <c r="J1384" i="1"/>
  <c r="K1384" i="1" s="1"/>
  <c r="J1385" i="1"/>
  <c r="J1386" i="1"/>
  <c r="K1386" i="1" s="1"/>
  <c r="J1387" i="1"/>
  <c r="J1388" i="1"/>
  <c r="K1388" i="1" s="1"/>
  <c r="J1389" i="1"/>
  <c r="J1390" i="1"/>
  <c r="K1390" i="1" s="1"/>
  <c r="J1391" i="1"/>
  <c r="J1392" i="1"/>
  <c r="K1392" i="1" s="1"/>
  <c r="J1393" i="1"/>
  <c r="J1394" i="1"/>
  <c r="K1394" i="1" s="1"/>
  <c r="J1395" i="1"/>
  <c r="J1396" i="1"/>
  <c r="K1396" i="1" s="1"/>
  <c r="J1397" i="1"/>
  <c r="J1398" i="1"/>
  <c r="K1398" i="1" s="1"/>
  <c r="J1399" i="1"/>
  <c r="J1400" i="1"/>
  <c r="K1400" i="1" s="1"/>
  <c r="J1401" i="1"/>
  <c r="J1402" i="1"/>
  <c r="K1402" i="1" s="1"/>
  <c r="J1403" i="1"/>
  <c r="J1404" i="1"/>
  <c r="K1404" i="1" s="1"/>
  <c r="J1405" i="1"/>
  <c r="J1406" i="1"/>
  <c r="K1406" i="1" s="1"/>
  <c r="J1407" i="1"/>
  <c r="J1408" i="1"/>
  <c r="K1408" i="1" s="1"/>
  <c r="J1409" i="1"/>
  <c r="J1410" i="1"/>
  <c r="K1410" i="1" s="1"/>
  <c r="J1411" i="1"/>
  <c r="J1412" i="1"/>
  <c r="K1412" i="1" s="1"/>
  <c r="J1413" i="1"/>
  <c r="J1414" i="1"/>
  <c r="K1414" i="1" s="1"/>
  <c r="J1415" i="1"/>
  <c r="J1416" i="1"/>
  <c r="K1416" i="1" s="1"/>
  <c r="J1417" i="1"/>
  <c r="J1418" i="1"/>
  <c r="K1418" i="1" s="1"/>
  <c r="J1419" i="1"/>
  <c r="J1420" i="1"/>
  <c r="K1420" i="1" s="1"/>
  <c r="J1421" i="1"/>
  <c r="J1422" i="1"/>
  <c r="K1422" i="1" s="1"/>
  <c r="J1423" i="1"/>
  <c r="J1424" i="1"/>
  <c r="K1424" i="1" s="1"/>
  <c r="J1425" i="1"/>
  <c r="J1426" i="1"/>
  <c r="K1426" i="1" s="1"/>
  <c r="J1427" i="1"/>
  <c r="J1428" i="1"/>
  <c r="K1428" i="1" s="1"/>
  <c r="J1429" i="1"/>
  <c r="J1430" i="1"/>
  <c r="K1430" i="1" s="1"/>
  <c r="J1431" i="1"/>
  <c r="J1432" i="1"/>
  <c r="K1432" i="1" s="1"/>
  <c r="J1433" i="1"/>
  <c r="J1434" i="1"/>
  <c r="K1434" i="1" s="1"/>
  <c r="J1435" i="1"/>
  <c r="J1436" i="1"/>
  <c r="K1436" i="1" s="1"/>
  <c r="J1437" i="1"/>
  <c r="J1438" i="1"/>
  <c r="K1438" i="1" s="1"/>
  <c r="J1439" i="1"/>
  <c r="J1440" i="1"/>
  <c r="K1440" i="1" s="1"/>
  <c r="J1441" i="1"/>
  <c r="J1442" i="1"/>
  <c r="K1442" i="1" s="1"/>
  <c r="J1443" i="1"/>
  <c r="J1444" i="1"/>
  <c r="K1444" i="1" s="1"/>
  <c r="J1445" i="1"/>
  <c r="J1446" i="1"/>
  <c r="K1446" i="1" s="1"/>
  <c r="J1447" i="1"/>
  <c r="J1448" i="1"/>
  <c r="K1448" i="1" s="1"/>
  <c r="J1449" i="1"/>
  <c r="J1450" i="1"/>
  <c r="K1450" i="1" s="1"/>
  <c r="J1451" i="1"/>
  <c r="J1452" i="1"/>
  <c r="K1452" i="1" s="1"/>
  <c r="J1453" i="1"/>
  <c r="J1454" i="1"/>
  <c r="K1454" i="1" s="1"/>
  <c r="J1455" i="1"/>
  <c r="J1456" i="1"/>
  <c r="K1456" i="1" s="1"/>
  <c r="J1457" i="1"/>
  <c r="J1458" i="1"/>
  <c r="K1458" i="1" s="1"/>
  <c r="J1459" i="1"/>
  <c r="J1460" i="1"/>
  <c r="K1460" i="1" s="1"/>
  <c r="J1461" i="1"/>
  <c r="J1462" i="1"/>
  <c r="K1462" i="1" s="1"/>
  <c r="J1463" i="1"/>
  <c r="J1464" i="1"/>
  <c r="K1464" i="1" s="1"/>
  <c r="J1465" i="1"/>
  <c r="J1466" i="1"/>
  <c r="K1466" i="1" s="1"/>
  <c r="J1467" i="1"/>
  <c r="J1468" i="1"/>
  <c r="K1468" i="1" s="1"/>
  <c r="J1469" i="1"/>
  <c r="J1470" i="1"/>
  <c r="K1470" i="1" s="1"/>
  <c r="J1471" i="1"/>
  <c r="J1472" i="1"/>
  <c r="K1472" i="1" s="1"/>
  <c r="J1473" i="1"/>
  <c r="J1474" i="1"/>
  <c r="K1474" i="1" s="1"/>
  <c r="J1475" i="1"/>
  <c r="J1476" i="1"/>
  <c r="K1476" i="1" s="1"/>
  <c r="J1477" i="1"/>
  <c r="J1478" i="1"/>
  <c r="K1478" i="1" s="1"/>
  <c r="J1479" i="1"/>
  <c r="J1480" i="1"/>
  <c r="K1480" i="1" s="1"/>
  <c r="J1481" i="1"/>
  <c r="J1482" i="1"/>
  <c r="K1482" i="1" s="1"/>
  <c r="J1483" i="1"/>
  <c r="J1484" i="1"/>
  <c r="K1484" i="1" s="1"/>
  <c r="J1485" i="1"/>
  <c r="J1486" i="1"/>
  <c r="K1486" i="1" s="1"/>
  <c r="J1487" i="1"/>
  <c r="J1488" i="1"/>
  <c r="K1488" i="1" s="1"/>
  <c r="J1489" i="1"/>
  <c r="J1490" i="1"/>
  <c r="K1490" i="1" s="1"/>
  <c r="J1491" i="1"/>
  <c r="J1492" i="1"/>
  <c r="K1492" i="1" s="1"/>
  <c r="J1493" i="1"/>
  <c r="J1494" i="1"/>
  <c r="K1494" i="1" s="1"/>
  <c r="J1495" i="1"/>
  <c r="J1496" i="1"/>
  <c r="K1496" i="1" s="1"/>
  <c r="J1497" i="1"/>
  <c r="J1498" i="1"/>
  <c r="K1498" i="1" s="1"/>
  <c r="J1499" i="1"/>
  <c r="J1500" i="1"/>
  <c r="K1500" i="1" s="1"/>
  <c r="J1501" i="1"/>
  <c r="J1502" i="1"/>
  <c r="K1502" i="1" s="1"/>
  <c r="J1503" i="1"/>
  <c r="J1504" i="1"/>
  <c r="K1504" i="1" s="1"/>
  <c r="J1505" i="1"/>
  <c r="J1506" i="1"/>
  <c r="K1506" i="1" s="1"/>
  <c r="J1507" i="1"/>
  <c r="J1508" i="1"/>
  <c r="K1508" i="1" s="1"/>
  <c r="J1509" i="1"/>
  <c r="J1510" i="1"/>
  <c r="K1510" i="1" s="1"/>
  <c r="J1511" i="1"/>
  <c r="J1512" i="1"/>
  <c r="K1512" i="1" s="1"/>
  <c r="J1513" i="1"/>
  <c r="J1514" i="1"/>
  <c r="K1514" i="1" s="1"/>
  <c r="J1515" i="1"/>
  <c r="J1516" i="1"/>
  <c r="K1516" i="1" s="1"/>
  <c r="J1517" i="1"/>
  <c r="J1518" i="1"/>
  <c r="K1518" i="1" s="1"/>
  <c r="J1519" i="1"/>
  <c r="J1520" i="1"/>
  <c r="K1520" i="1" s="1"/>
  <c r="J1521" i="1"/>
  <c r="J1522" i="1"/>
  <c r="K1522" i="1" s="1"/>
  <c r="J1523" i="1"/>
  <c r="J1524" i="1"/>
  <c r="K1524" i="1" s="1"/>
  <c r="J1525" i="1"/>
  <c r="J1526" i="1"/>
  <c r="K1526" i="1" s="1"/>
  <c r="J1527" i="1"/>
  <c r="J1528" i="1"/>
  <c r="K1528" i="1" s="1"/>
  <c r="J1529" i="1"/>
  <c r="J1530" i="1"/>
  <c r="K1530" i="1" s="1"/>
  <c r="J1531" i="1"/>
  <c r="J1532" i="1"/>
  <c r="K1532" i="1" s="1"/>
  <c r="J1533" i="1"/>
  <c r="J1534" i="1"/>
  <c r="K1534" i="1" s="1"/>
  <c r="J1535" i="1"/>
  <c r="J1536" i="1"/>
  <c r="K1536" i="1" s="1"/>
  <c r="J1537" i="1"/>
  <c r="J1538" i="1"/>
  <c r="K1538" i="1" s="1"/>
  <c r="J1539" i="1"/>
  <c r="J1540" i="1"/>
  <c r="K1540" i="1" s="1"/>
  <c r="J1541" i="1"/>
  <c r="J1542" i="1"/>
  <c r="K1542" i="1" s="1"/>
  <c r="J1543" i="1"/>
  <c r="J1544" i="1"/>
  <c r="K1544" i="1" s="1"/>
  <c r="J1545" i="1"/>
  <c r="J1546" i="1"/>
  <c r="K1546" i="1" s="1"/>
  <c r="J1547" i="1"/>
  <c r="J1548" i="1"/>
  <c r="K1548" i="1" s="1"/>
  <c r="J1549" i="1"/>
  <c r="J1550" i="1"/>
  <c r="K1550" i="1" s="1"/>
  <c r="J1551" i="1"/>
  <c r="J1552" i="1"/>
  <c r="K1552" i="1" s="1"/>
  <c r="J1553" i="1"/>
  <c r="J1554" i="1"/>
  <c r="K1554" i="1" s="1"/>
  <c r="J1555" i="1"/>
  <c r="J1556" i="1"/>
  <c r="K1556" i="1" s="1"/>
  <c r="J1557" i="1"/>
  <c r="J1558" i="1"/>
  <c r="K1558" i="1" s="1"/>
  <c r="J1559" i="1"/>
  <c r="J1560" i="1"/>
  <c r="K1560" i="1" s="1"/>
  <c r="J1561" i="1"/>
  <c r="J1562" i="1"/>
  <c r="K1562" i="1" s="1"/>
  <c r="J1563" i="1"/>
  <c r="J1564" i="1"/>
  <c r="K1564" i="1" s="1"/>
  <c r="J1565" i="1"/>
  <c r="J1566" i="1"/>
  <c r="K1566" i="1" s="1"/>
  <c r="J1567" i="1"/>
  <c r="J1568" i="1"/>
  <c r="K1568" i="1" s="1"/>
  <c r="J1569" i="1"/>
  <c r="J1570" i="1"/>
  <c r="K1570" i="1" s="1"/>
  <c r="J1571" i="1"/>
  <c r="J1572" i="1"/>
  <c r="K1572" i="1" s="1"/>
  <c r="J1573" i="1"/>
  <c r="J1574" i="1"/>
  <c r="K1574" i="1" s="1"/>
  <c r="J1575" i="1"/>
  <c r="J1576" i="1"/>
  <c r="K1576" i="1" s="1"/>
  <c r="J1577" i="1"/>
  <c r="J1578" i="1"/>
  <c r="K1578" i="1" s="1"/>
  <c r="J1579" i="1"/>
  <c r="J1580" i="1"/>
  <c r="K1580" i="1" s="1"/>
  <c r="J1581" i="1"/>
  <c r="J1582" i="1"/>
  <c r="K1582" i="1" s="1"/>
  <c r="J1583" i="1"/>
  <c r="J1584" i="1"/>
  <c r="K1584" i="1" s="1"/>
  <c r="J1585" i="1"/>
  <c r="J1586" i="1"/>
  <c r="K1586" i="1" s="1"/>
  <c r="J1587" i="1"/>
  <c r="J1588" i="1"/>
  <c r="K1588" i="1" s="1"/>
  <c r="J1589" i="1"/>
  <c r="J1590" i="1"/>
  <c r="K1590" i="1" s="1"/>
  <c r="J1591" i="1"/>
  <c r="J1592" i="1"/>
  <c r="K1592" i="1" s="1"/>
  <c r="J1593" i="1"/>
  <c r="J1594" i="1"/>
  <c r="K1594" i="1" s="1"/>
  <c r="J1595" i="1"/>
  <c r="J1596" i="1"/>
  <c r="K1596" i="1" s="1"/>
  <c r="J1597" i="1"/>
  <c r="J1598" i="1"/>
  <c r="K1598" i="1" s="1"/>
  <c r="J1599" i="1"/>
  <c r="J1600" i="1"/>
  <c r="K1600" i="1" s="1"/>
  <c r="J1601" i="1"/>
  <c r="J1602" i="1"/>
  <c r="K1602" i="1" s="1"/>
  <c r="J1603" i="1"/>
  <c r="J1604" i="1"/>
  <c r="K1604" i="1" s="1"/>
  <c r="J1605" i="1"/>
  <c r="J1606" i="1"/>
  <c r="K1606" i="1" s="1"/>
  <c r="J1607" i="1"/>
  <c r="J1608" i="1"/>
  <c r="K1608" i="1" s="1"/>
  <c r="J1609" i="1"/>
  <c r="J1610" i="1"/>
  <c r="K1610" i="1" s="1"/>
  <c r="J1611" i="1"/>
  <c r="J1612" i="1"/>
  <c r="K1612" i="1" s="1"/>
  <c r="J1613" i="1"/>
  <c r="J1614" i="1"/>
  <c r="K1614" i="1" s="1"/>
  <c r="J1615" i="1"/>
  <c r="J1616" i="1"/>
  <c r="K1616" i="1" s="1"/>
  <c r="J1617" i="1"/>
  <c r="J1618" i="1"/>
  <c r="K1618" i="1" s="1"/>
  <c r="J1619" i="1"/>
  <c r="J1620" i="1"/>
  <c r="K1620" i="1" s="1"/>
  <c r="J1621" i="1"/>
  <c r="J1622" i="1"/>
  <c r="K1622" i="1" s="1"/>
  <c r="J1623" i="1"/>
  <c r="J1624" i="1"/>
  <c r="K1624" i="1" s="1"/>
  <c r="J1625" i="1"/>
  <c r="J1626" i="1"/>
  <c r="K1626" i="1" s="1"/>
  <c r="J1627" i="1"/>
  <c r="J1628" i="1"/>
  <c r="K1628" i="1" s="1"/>
  <c r="J1629" i="1"/>
  <c r="J1630" i="1"/>
  <c r="K1630" i="1" s="1"/>
  <c r="J1631" i="1"/>
  <c r="J1632" i="1"/>
  <c r="K1632" i="1" s="1"/>
  <c r="J1633" i="1"/>
  <c r="J1634" i="1"/>
  <c r="K1634" i="1" s="1"/>
  <c r="J1635" i="1"/>
  <c r="J1636" i="1"/>
  <c r="K1636" i="1" s="1"/>
  <c r="J1637" i="1"/>
  <c r="J1638" i="1"/>
  <c r="K1638" i="1" s="1"/>
  <c r="J1639" i="1"/>
  <c r="J1640" i="1"/>
  <c r="K1640" i="1" s="1"/>
  <c r="J1641" i="1"/>
  <c r="J1642" i="1"/>
  <c r="K1642" i="1" s="1"/>
  <c r="J1643" i="1"/>
  <c r="J1644" i="1"/>
  <c r="K1644" i="1" s="1"/>
  <c r="J1645" i="1"/>
  <c r="J1646" i="1"/>
  <c r="K1646" i="1" s="1"/>
  <c r="J1647" i="1"/>
  <c r="J1648" i="1"/>
  <c r="K1648" i="1" s="1"/>
  <c r="J1649" i="1"/>
  <c r="J1650" i="1"/>
  <c r="K1650" i="1" s="1"/>
  <c r="J1651" i="1"/>
  <c r="J1652" i="1"/>
  <c r="K1652" i="1" s="1"/>
  <c r="J1653" i="1"/>
  <c r="J1654" i="1"/>
  <c r="K1654" i="1" s="1"/>
  <c r="J1655" i="1"/>
  <c r="J1656" i="1"/>
  <c r="K1656" i="1" s="1"/>
  <c r="J1657" i="1"/>
  <c r="J1658" i="1"/>
  <c r="K1658" i="1" s="1"/>
  <c r="J1659" i="1"/>
  <c r="J1660" i="1"/>
  <c r="K1660" i="1" s="1"/>
  <c r="J1661" i="1"/>
  <c r="J1662" i="1"/>
  <c r="K1662" i="1" s="1"/>
  <c r="J1663" i="1"/>
  <c r="J1664" i="1"/>
  <c r="K1664" i="1" s="1"/>
  <c r="J1665" i="1"/>
  <c r="J1666" i="1"/>
  <c r="K1666" i="1" s="1"/>
  <c r="J1667" i="1"/>
  <c r="J1668" i="1"/>
  <c r="K1668" i="1" s="1"/>
  <c r="J1669" i="1"/>
  <c r="J1670" i="1"/>
  <c r="K1670" i="1" s="1"/>
  <c r="J1671" i="1"/>
  <c r="J1672" i="1"/>
  <c r="K1672" i="1" s="1"/>
  <c r="J1673" i="1"/>
  <c r="J1674" i="1"/>
  <c r="K1674" i="1" s="1"/>
  <c r="J1675" i="1"/>
  <c r="J1676" i="1"/>
  <c r="K1676" i="1" s="1"/>
  <c r="J1677" i="1"/>
  <c r="J1678" i="1"/>
  <c r="K1678" i="1" s="1"/>
  <c r="J1679" i="1"/>
  <c r="J1680" i="1"/>
  <c r="K1680" i="1" s="1"/>
  <c r="J1681" i="1"/>
  <c r="J1682" i="1"/>
  <c r="K1682" i="1" s="1"/>
  <c r="J1683" i="1"/>
  <c r="J1684" i="1"/>
  <c r="K1684" i="1" s="1"/>
  <c r="J1685" i="1"/>
  <c r="J1686" i="1"/>
  <c r="K1686" i="1" s="1"/>
  <c r="J1687" i="1"/>
  <c r="J1688" i="1"/>
  <c r="K1688" i="1" s="1"/>
  <c r="J1689" i="1"/>
  <c r="J1690" i="1"/>
  <c r="K1690" i="1" s="1"/>
  <c r="J1691" i="1"/>
  <c r="J1692" i="1"/>
  <c r="K1692" i="1" s="1"/>
  <c r="J1693" i="1"/>
  <c r="J1694" i="1"/>
  <c r="K1694" i="1" s="1"/>
  <c r="J1695" i="1"/>
  <c r="J1696" i="1"/>
  <c r="K1696" i="1" s="1"/>
  <c r="J1697" i="1"/>
  <c r="J1698" i="1"/>
  <c r="K1698" i="1" s="1"/>
  <c r="J1699" i="1"/>
  <c r="J1700" i="1"/>
  <c r="K1700" i="1" s="1"/>
  <c r="J1701" i="1"/>
  <c r="J1702" i="1"/>
  <c r="K1702" i="1" s="1"/>
  <c r="J1703" i="1"/>
  <c r="J1704" i="1"/>
  <c r="K1704" i="1" s="1"/>
  <c r="J1705" i="1"/>
  <c r="J1706" i="1"/>
  <c r="K1706" i="1" s="1"/>
  <c r="J1707" i="1"/>
  <c r="J1708" i="1"/>
  <c r="K1708" i="1" s="1"/>
  <c r="J1709" i="1"/>
  <c r="J1710" i="1"/>
  <c r="K1710" i="1" s="1"/>
  <c r="J1711" i="1"/>
  <c r="J1712" i="1"/>
  <c r="K1712" i="1" s="1"/>
  <c r="J1713" i="1"/>
  <c r="J1714" i="1"/>
  <c r="K1714" i="1" s="1"/>
  <c r="J1715" i="1"/>
  <c r="J1716" i="1"/>
  <c r="K1716" i="1" s="1"/>
  <c r="J1717" i="1"/>
  <c r="J1718" i="1"/>
  <c r="K1718" i="1" s="1"/>
  <c r="J1719" i="1"/>
  <c r="J1720" i="1"/>
  <c r="K1720" i="1" s="1"/>
  <c r="J1721" i="1"/>
  <c r="J1722" i="1"/>
  <c r="K1722" i="1" s="1"/>
  <c r="J1723" i="1"/>
  <c r="J1724" i="1"/>
  <c r="K1724" i="1" s="1"/>
  <c r="J1725" i="1"/>
  <c r="J1726" i="1"/>
  <c r="K1726" i="1" s="1"/>
  <c r="J1727" i="1"/>
  <c r="J1728" i="1"/>
  <c r="K1728" i="1" s="1"/>
  <c r="J1729" i="1"/>
  <c r="J1730" i="1"/>
  <c r="K1730" i="1" s="1"/>
  <c r="J1731" i="1"/>
  <c r="J1732" i="1"/>
  <c r="K1732" i="1" s="1"/>
  <c r="J1733" i="1"/>
  <c r="J1734" i="1"/>
  <c r="K1734" i="1" s="1"/>
  <c r="J1735" i="1"/>
  <c r="J1736" i="1"/>
  <c r="K1736" i="1" s="1"/>
  <c r="J1737" i="1"/>
  <c r="J1738" i="1"/>
  <c r="K1738" i="1" s="1"/>
  <c r="J1739" i="1"/>
  <c r="J1740" i="1"/>
  <c r="K1740" i="1" s="1"/>
  <c r="J1741" i="1"/>
  <c r="J1742" i="1"/>
  <c r="K1742" i="1" s="1"/>
  <c r="J1743" i="1"/>
  <c r="J1744" i="1"/>
  <c r="K1744" i="1" s="1"/>
  <c r="J1745" i="1"/>
  <c r="J1746" i="1"/>
  <c r="K1746" i="1" s="1"/>
  <c r="J1747" i="1"/>
  <c r="J1748" i="1"/>
  <c r="K1748" i="1" s="1"/>
  <c r="J1749" i="1"/>
  <c r="J1750" i="1"/>
  <c r="K1750" i="1" s="1"/>
  <c r="J1751" i="1"/>
  <c r="J1752" i="1"/>
  <c r="K1752" i="1" s="1"/>
  <c r="J1753" i="1"/>
  <c r="J1754" i="1"/>
  <c r="K1754" i="1" s="1"/>
  <c r="J1755" i="1"/>
  <c r="J1756" i="1"/>
  <c r="K1756" i="1" s="1"/>
  <c r="J1757" i="1"/>
  <c r="J1758" i="1"/>
  <c r="K1758" i="1" s="1"/>
  <c r="J1759" i="1"/>
  <c r="J1760" i="1"/>
  <c r="K1760" i="1" s="1"/>
  <c r="J1761" i="1"/>
  <c r="J1762" i="1"/>
  <c r="K1762" i="1" s="1"/>
  <c r="J1763" i="1"/>
  <c r="J1764" i="1"/>
  <c r="K1764" i="1" s="1"/>
  <c r="J1765" i="1"/>
  <c r="J1766" i="1"/>
  <c r="K1766" i="1" s="1"/>
  <c r="J1767" i="1"/>
  <c r="J1768" i="1"/>
  <c r="K1768" i="1" s="1"/>
  <c r="J1769" i="1"/>
  <c r="J1770" i="1"/>
  <c r="K1770" i="1" s="1"/>
  <c r="J1771" i="1"/>
  <c r="J1772" i="1"/>
  <c r="K1772" i="1" s="1"/>
  <c r="J1773" i="1"/>
  <c r="J1774" i="1"/>
  <c r="K1774" i="1" s="1"/>
  <c r="J1775" i="1"/>
  <c r="J1776" i="1"/>
  <c r="K1776" i="1" s="1"/>
  <c r="J1777" i="1"/>
  <c r="J1778" i="1"/>
  <c r="K1778" i="1" s="1"/>
  <c r="J1779" i="1"/>
  <c r="J1780" i="1"/>
  <c r="K1780" i="1" s="1"/>
  <c r="J1781" i="1"/>
  <c r="J1782" i="1"/>
  <c r="K1782" i="1" s="1"/>
  <c r="J1783" i="1"/>
  <c r="J1784" i="1"/>
  <c r="K1784" i="1" s="1"/>
  <c r="J1785" i="1"/>
  <c r="J1786" i="1"/>
  <c r="K1786" i="1" s="1"/>
  <c r="J1787" i="1"/>
  <c r="J1788" i="1"/>
  <c r="K1788" i="1" s="1"/>
  <c r="J1789" i="1"/>
  <c r="J1790" i="1"/>
  <c r="K1790" i="1" s="1"/>
  <c r="J1791" i="1"/>
  <c r="J1792" i="1"/>
  <c r="K1792" i="1" s="1"/>
  <c r="J1793" i="1"/>
  <c r="J1794" i="1"/>
  <c r="K1794" i="1" s="1"/>
  <c r="J1795" i="1"/>
  <c r="J1796" i="1"/>
  <c r="K1796" i="1" s="1"/>
  <c r="J1797" i="1"/>
  <c r="J1798" i="1"/>
  <c r="K1798" i="1" s="1"/>
  <c r="J1799" i="1"/>
  <c r="J1800" i="1"/>
  <c r="K1800" i="1" s="1"/>
  <c r="J1801" i="1"/>
  <c r="J1802" i="1"/>
  <c r="K1802" i="1" s="1"/>
  <c r="J1803" i="1"/>
  <c r="J1804" i="1"/>
  <c r="K1804" i="1" s="1"/>
  <c r="J1805" i="1"/>
  <c r="J1806" i="1"/>
  <c r="K1806" i="1" s="1"/>
  <c r="J1807" i="1"/>
  <c r="J1808" i="1"/>
  <c r="K1808" i="1" s="1"/>
  <c r="J1809" i="1"/>
  <c r="J1810" i="1"/>
  <c r="K1810" i="1" s="1"/>
  <c r="J1811" i="1"/>
  <c r="J1812" i="1"/>
  <c r="K1812" i="1" s="1"/>
  <c r="J1813" i="1"/>
  <c r="J1814" i="1"/>
  <c r="K1814" i="1" s="1"/>
  <c r="J1815" i="1"/>
  <c r="J1816" i="1"/>
  <c r="K1816" i="1" s="1"/>
  <c r="J1817" i="1"/>
  <c r="J1818" i="1"/>
  <c r="K1818" i="1" s="1"/>
  <c r="J1819" i="1"/>
  <c r="J1820" i="1"/>
  <c r="K1820" i="1" s="1"/>
  <c r="J1821" i="1"/>
  <c r="J1822" i="1"/>
  <c r="K1822" i="1" s="1"/>
  <c r="J1823" i="1"/>
  <c r="J1824" i="1"/>
  <c r="K1824" i="1" s="1"/>
  <c r="J1825" i="1"/>
  <c r="J1826" i="1"/>
  <c r="K1826" i="1" s="1"/>
  <c r="J1827" i="1"/>
  <c r="J1828" i="1"/>
  <c r="K1828" i="1" s="1"/>
  <c r="J1829" i="1"/>
  <c r="J1830" i="1"/>
  <c r="K1830" i="1" s="1"/>
  <c r="J1831" i="1"/>
  <c r="J1832" i="1"/>
  <c r="K1832" i="1" s="1"/>
  <c r="J1833" i="1"/>
  <c r="J1834" i="1"/>
  <c r="K1834" i="1" s="1"/>
  <c r="J1835" i="1"/>
  <c r="J1836" i="1"/>
  <c r="K1836" i="1" s="1"/>
  <c r="J1837" i="1"/>
  <c r="J1838" i="1"/>
  <c r="K1838" i="1" s="1"/>
  <c r="J1839" i="1"/>
  <c r="J1840" i="1"/>
  <c r="K1840" i="1" s="1"/>
  <c r="J1841" i="1"/>
  <c r="J1842" i="1"/>
  <c r="K1842" i="1" s="1"/>
  <c r="J1843" i="1"/>
  <c r="J1844" i="1"/>
  <c r="K1844" i="1" s="1"/>
  <c r="J1845" i="1"/>
  <c r="J1846" i="1"/>
  <c r="K1846" i="1" s="1"/>
  <c r="J1847" i="1"/>
  <c r="J1848" i="1"/>
  <c r="K1848" i="1" s="1"/>
  <c r="J1849" i="1"/>
  <c r="J1850" i="1"/>
  <c r="K1850" i="1" s="1"/>
  <c r="J1851" i="1"/>
  <c r="J1852" i="1"/>
  <c r="K1852" i="1" s="1"/>
  <c r="J1853" i="1"/>
  <c r="J1854" i="1"/>
  <c r="K1854" i="1" s="1"/>
  <c r="J1855" i="1"/>
  <c r="J1856" i="1"/>
  <c r="K1856" i="1" s="1"/>
  <c r="J1857" i="1"/>
  <c r="J1858" i="1"/>
  <c r="K1858" i="1" s="1"/>
  <c r="J1859" i="1"/>
  <c r="J1860" i="1"/>
  <c r="K1860" i="1" s="1"/>
  <c r="J1861" i="1"/>
  <c r="J1862" i="1"/>
  <c r="K1862" i="1" s="1"/>
  <c r="J1863" i="1"/>
  <c r="J1864" i="1"/>
  <c r="K1864" i="1" s="1"/>
  <c r="J1865" i="1"/>
  <c r="J1866" i="1"/>
  <c r="K1866" i="1" s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117" i="1"/>
  <c r="I1118" i="1"/>
  <c r="I1115" i="1"/>
  <c r="I1116" i="1"/>
  <c r="P1" i="1" l="1"/>
  <c r="P21" i="4"/>
  <c r="X21" i="4"/>
  <c r="X23" i="4"/>
  <c r="P23" i="4"/>
  <c r="AB23" i="4"/>
  <c r="AF17" i="4"/>
  <c r="AJ17" i="4" s="1"/>
  <c r="AF19" i="4"/>
  <c r="AJ19" i="4" s="1"/>
  <c r="AF10" i="4"/>
  <c r="AJ10" i="4" s="1"/>
  <c r="AF8" i="4"/>
  <c r="AJ8" i="4" s="1"/>
  <c r="AF6" i="4"/>
  <c r="AJ6" i="4" s="1"/>
  <c r="I304" i="1"/>
  <c r="I303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" i="1"/>
  <c r="I2" i="1"/>
  <c r="AF21" i="4" l="1"/>
  <c r="AJ21" i="4" s="1"/>
  <c r="AF23" i="4"/>
  <c r="AJ23" i="4" s="1"/>
  <c r="AN23" i="4" s="1"/>
  <c r="AO23" i="4" s="1"/>
  <c r="AN19" i="4"/>
  <c r="AO19" i="4" s="1"/>
  <c r="AN17" i="4"/>
  <c r="AO17" i="4" s="1"/>
  <c r="AN10" i="4"/>
  <c r="AO10" i="4" s="1"/>
  <c r="AN8" i="4"/>
  <c r="AO8" i="4" s="1"/>
  <c r="AN6" i="4"/>
  <c r="AO6" i="4" s="1"/>
  <c r="AN21" i="4" l="1"/>
  <c r="AO21" i="4" s="1"/>
  <c r="BE21" i="4" s="1"/>
  <c r="AQ17" i="4"/>
  <c r="AQ19" i="4"/>
  <c r="AQ23" i="4"/>
  <c r="AQ6" i="4"/>
  <c r="BC10" i="4"/>
  <c r="CE10" i="4" s="1"/>
  <c r="AQ10" i="4"/>
  <c r="AQ8" i="4"/>
  <c r="BE19" i="4"/>
  <c r="BE23" i="4"/>
  <c r="BE17" i="4"/>
  <c r="BC19" i="4"/>
  <c r="CE19" i="4" s="1"/>
  <c r="BD19" i="4"/>
  <c r="BC23" i="4"/>
  <c r="CE23" i="4" s="1"/>
  <c r="BD23" i="4"/>
  <c r="BC17" i="4"/>
  <c r="CE17" i="4" s="1"/>
  <c r="BD17" i="4"/>
  <c r="AP19" i="4"/>
  <c r="AY4" i="4" s="1"/>
  <c r="AP23" i="4"/>
  <c r="BA4" i="4" s="1"/>
  <c r="AP17" i="4"/>
  <c r="AX4" i="4" s="1"/>
  <c r="BE8" i="4"/>
  <c r="BE6" i="4"/>
  <c r="BD6" i="4"/>
  <c r="BD8" i="4"/>
  <c r="AP6" i="4"/>
  <c r="BC6" i="4"/>
  <c r="CE6" i="4" s="1"/>
  <c r="AP8" i="4"/>
  <c r="BC8" i="4"/>
  <c r="CE8" i="4" s="1"/>
  <c r="P4" i="4"/>
  <c r="AU4" i="4" l="1"/>
  <c r="BB8" i="4"/>
  <c r="AT4" i="4"/>
  <c r="BB6" i="4"/>
  <c r="BD21" i="4"/>
  <c r="BF21" i="4" s="1"/>
  <c r="BC21" i="4"/>
  <c r="CE21" i="4" s="1"/>
  <c r="AP21" i="4"/>
  <c r="AZ4" i="4" s="1"/>
  <c r="EN29" i="4" s="1"/>
  <c r="AQ21" i="4"/>
  <c r="BD10" i="4"/>
  <c r="BF10" i="4" s="1"/>
  <c r="AP10" i="4"/>
  <c r="BE10" i="4"/>
  <c r="BF8" i="4" s="1"/>
  <c r="BW23" i="4"/>
  <c r="CA23" i="4"/>
  <c r="BW19" i="4"/>
  <c r="CA19" i="4"/>
  <c r="BW17" i="4"/>
  <c r="CA17" i="4"/>
  <c r="BO23" i="4"/>
  <c r="BS23" i="4"/>
  <c r="BO19" i="4"/>
  <c r="BS19" i="4"/>
  <c r="BO17" i="4"/>
  <c r="BS17" i="4"/>
  <c r="BG23" i="4"/>
  <c r="BK23" i="4"/>
  <c r="BG19" i="4"/>
  <c r="BK19" i="4"/>
  <c r="BG17" i="4"/>
  <c r="BK17" i="4"/>
  <c r="BW10" i="4"/>
  <c r="CA10" i="4"/>
  <c r="BW6" i="4"/>
  <c r="CA6" i="4"/>
  <c r="BW8" i="4"/>
  <c r="CA8" i="4"/>
  <c r="BO10" i="4"/>
  <c r="BS10" i="4"/>
  <c r="BO6" i="4"/>
  <c r="BS6" i="4"/>
  <c r="BO8" i="4"/>
  <c r="BS8" i="4"/>
  <c r="BG8" i="4"/>
  <c r="BK8" i="4"/>
  <c r="BG10" i="4"/>
  <c r="BK10" i="4"/>
  <c r="BG6" i="4"/>
  <c r="BK6" i="4"/>
  <c r="BF17" i="4"/>
  <c r="BF23" i="4"/>
  <c r="BF19" i="4"/>
  <c r="AF4" i="4"/>
  <c r="AJ4" i="4" s="1"/>
  <c r="CF17" i="4"/>
  <c r="CB17" i="4"/>
  <c r="BH23" i="4"/>
  <c r="BL17" i="4"/>
  <c r="BH17" i="4"/>
  <c r="CF23" i="4"/>
  <c r="BL23" i="4"/>
  <c r="CF10" i="4"/>
  <c r="BT10" i="4"/>
  <c r="CF8" i="4"/>
  <c r="BP19" i="4"/>
  <c r="BS21" i="4" l="1"/>
  <c r="EN35" i="4"/>
  <c r="AV4" i="4"/>
  <c r="BB10" i="4"/>
  <c r="BK21" i="4"/>
  <c r="BG21" i="4"/>
  <c r="CA21" i="4"/>
  <c r="BO21" i="4"/>
  <c r="BW21" i="4"/>
  <c r="EN14" i="4"/>
  <c r="EN26" i="4"/>
  <c r="EN17" i="4"/>
  <c r="EN23" i="4"/>
  <c r="EN32" i="4"/>
  <c r="EN20" i="4"/>
  <c r="BU10" i="4"/>
  <c r="CG23" i="4"/>
  <c r="CG17" i="4"/>
  <c r="CC17" i="4"/>
  <c r="BM17" i="4"/>
  <c r="BI17" i="4"/>
  <c r="BQ19" i="4"/>
  <c r="BM23" i="4"/>
  <c r="BI23" i="4"/>
  <c r="AN4" i="4"/>
  <c r="AO4" i="4" s="1"/>
  <c r="BT21" i="4"/>
  <c r="BX23" i="4"/>
  <c r="BP23" i="4"/>
  <c r="BX21" i="4"/>
  <c r="BX8" i="4"/>
  <c r="BT17" i="4"/>
  <c r="BH19" i="4"/>
  <c r="CF19" i="4"/>
  <c r="BL8" i="4"/>
  <c r="CB10" i="4"/>
  <c r="BT19" i="4"/>
  <c r="CF21" i="4"/>
  <c r="BH21" i="4"/>
  <c r="BP21" i="4"/>
  <c r="BP17" i="4"/>
  <c r="BX19" i="4"/>
  <c r="CB8" i="4"/>
  <c r="BX17" i="4"/>
  <c r="CB19" i="4"/>
  <c r="BX10" i="4"/>
  <c r="CB23" i="4"/>
  <c r="BH8" i="4"/>
  <c r="BT23" i="4"/>
  <c r="BL21" i="4"/>
  <c r="BL10" i="4"/>
  <c r="BP10" i="4"/>
  <c r="BH10" i="4"/>
  <c r="BT8" i="4"/>
  <c r="BP8" i="4"/>
  <c r="BL19" i="4"/>
  <c r="CB21" i="4"/>
  <c r="BY23" i="4" l="1"/>
  <c r="BU17" i="4"/>
  <c r="BU8" i="4"/>
  <c r="BV8" i="4" s="1"/>
  <c r="BI19" i="4"/>
  <c r="BJ17" i="4" s="1"/>
  <c r="CG19" i="4"/>
  <c r="CC23" i="4"/>
  <c r="BU19" i="4"/>
  <c r="CC19" i="4"/>
  <c r="BQ8" i="4"/>
  <c r="BM19" i="4"/>
  <c r="BN17" i="4" s="1"/>
  <c r="BQ23" i="4"/>
  <c r="BU23" i="4"/>
  <c r="BU21" i="4"/>
  <c r="BY19" i="4"/>
  <c r="CG21" i="4"/>
  <c r="BY17" i="4"/>
  <c r="BQ17" i="4"/>
  <c r="BR17" i="4" s="1"/>
  <c r="BY10" i="4"/>
  <c r="BY8" i="4"/>
  <c r="BQ10" i="4"/>
  <c r="BM10" i="4"/>
  <c r="BM8" i="4"/>
  <c r="BI10" i="4"/>
  <c r="BI8" i="4"/>
  <c r="BM21" i="4"/>
  <c r="BN21" i="4" s="1"/>
  <c r="BI21" i="4"/>
  <c r="BJ21" i="4" s="1"/>
  <c r="CC21" i="4"/>
  <c r="BY21" i="4"/>
  <c r="BQ21" i="4"/>
  <c r="AQ4" i="4"/>
  <c r="BE4" i="4"/>
  <c r="BF6" i="4" s="1"/>
  <c r="BD4" i="4"/>
  <c r="BF4" i="4" s="1"/>
  <c r="BC4" i="4"/>
  <c r="CE4" i="4" s="1"/>
  <c r="AP4" i="4"/>
  <c r="BB4" i="4" s="1"/>
  <c r="BL6" i="4"/>
  <c r="BT6" i="4"/>
  <c r="BH6" i="4"/>
  <c r="BV17" i="4" l="1"/>
  <c r="BZ17" i="4" s="1"/>
  <c r="CD17" i="4" s="1"/>
  <c r="BV21" i="4"/>
  <c r="BR8" i="4"/>
  <c r="BR21" i="4"/>
  <c r="BN8" i="4"/>
  <c r="BJ8" i="4"/>
  <c r="BI6" i="4"/>
  <c r="AS4" i="4"/>
  <c r="EH35" i="4" s="1"/>
  <c r="BW4" i="4"/>
  <c r="CA4" i="4"/>
  <c r="BO4" i="4"/>
  <c r="BS4" i="4"/>
  <c r="BG4" i="4"/>
  <c r="BK4" i="4"/>
  <c r="BU6" i="4"/>
  <c r="BM6" i="4"/>
  <c r="CB6" i="4"/>
  <c r="BP6" i="4"/>
  <c r="BH4" i="4"/>
  <c r="BX6" i="4"/>
  <c r="CF4" i="4"/>
  <c r="CB4" i="4"/>
  <c r="BX4" i="4"/>
  <c r="CF6" i="4"/>
  <c r="BP4" i="4"/>
  <c r="BL4" i="4"/>
  <c r="BT4" i="4"/>
  <c r="BQ6" i="4" l="1"/>
  <c r="BY6" i="4"/>
  <c r="BZ21" i="4"/>
  <c r="CD21" i="4" s="1"/>
  <c r="BZ8" i="4"/>
  <c r="EH32" i="4"/>
  <c r="EH29" i="4"/>
  <c r="EH23" i="4"/>
  <c r="EH26" i="4"/>
  <c r="EH17" i="4"/>
  <c r="EH20" i="4"/>
  <c r="EH14" i="4"/>
  <c r="BY4" i="4"/>
  <c r="BU4" i="4"/>
  <c r="BV4" i="4" s="1"/>
  <c r="BQ4" i="4"/>
  <c r="BM4" i="4"/>
  <c r="BN4" i="4" s="1"/>
  <c r="BI4" i="4"/>
  <c r="BJ4" i="4" s="1"/>
  <c r="CH17" i="4"/>
  <c r="CI17" i="4" s="1"/>
  <c r="BR4" i="4" l="1"/>
  <c r="BZ4" i="4" s="1"/>
  <c r="CH21" i="4"/>
  <c r="CI21" i="4" s="1"/>
  <c r="CT21" i="4" s="1"/>
  <c r="CK17" i="4"/>
  <c r="CT17" i="4"/>
  <c r="CU17" i="4"/>
  <c r="CJ17" i="4"/>
  <c r="CS17" i="4"/>
  <c r="DU17" i="4" s="1"/>
  <c r="CC4" i="4"/>
  <c r="CC10" i="4"/>
  <c r="CC8" i="4"/>
  <c r="CC6" i="4"/>
  <c r="CG4" i="4"/>
  <c r="CG8" i="4"/>
  <c r="CG6" i="4"/>
  <c r="CG10" i="4"/>
  <c r="CS21" i="4" l="1"/>
  <c r="DU21" i="4" s="1"/>
  <c r="CU21" i="4"/>
  <c r="CV17" i="4" s="1"/>
  <c r="CJ21" i="4"/>
  <c r="CQ4" i="4" s="1"/>
  <c r="CK21" i="4"/>
  <c r="CP4" i="4"/>
  <c r="DM17" i="4"/>
  <c r="DQ17" i="4"/>
  <c r="DE17" i="4"/>
  <c r="DI17" i="4"/>
  <c r="CW17" i="4"/>
  <c r="DA17" i="4"/>
  <c r="CV21" i="4"/>
  <c r="CD8" i="4"/>
  <c r="CD4" i="4"/>
  <c r="CH4" i="4" s="1"/>
  <c r="DV17" i="4"/>
  <c r="CX17" i="4"/>
  <c r="EO35" i="4" l="1"/>
  <c r="DI21" i="4"/>
  <c r="DA21" i="4"/>
  <c r="CW21" i="4"/>
  <c r="DE21" i="4"/>
  <c r="DQ21" i="4"/>
  <c r="DM21" i="4"/>
  <c r="EO29" i="4"/>
  <c r="EO32" i="4"/>
  <c r="EO14" i="4"/>
  <c r="EO23" i="4"/>
  <c r="EO26" i="4"/>
  <c r="EO17" i="4"/>
  <c r="EO20" i="4"/>
  <c r="CH8" i="4"/>
  <c r="CI8" i="4" s="1"/>
  <c r="CJ8" i="4" s="1"/>
  <c r="CR8" i="4" s="1"/>
  <c r="CK4" i="4"/>
  <c r="DW17" i="4"/>
  <c r="CY17" i="4"/>
  <c r="CI4" i="4"/>
  <c r="DN21" i="4"/>
  <c r="DJ17" i="4"/>
  <c r="DF17" i="4"/>
  <c r="DB21" i="4"/>
  <c r="DR17" i="4"/>
  <c r="DN17" i="4"/>
  <c r="DV21" i="4"/>
  <c r="DB17" i="4"/>
  <c r="DF21" i="4"/>
  <c r="DR21" i="4"/>
  <c r="DJ21" i="4"/>
  <c r="CX21" i="4"/>
  <c r="DK21" i="4" l="1"/>
  <c r="CY21" i="4"/>
  <c r="CZ17" i="4" s="1"/>
  <c r="DS21" i="4"/>
  <c r="DW21" i="4"/>
  <c r="DG21" i="4"/>
  <c r="DO17" i="4"/>
  <c r="DG17" i="4"/>
  <c r="DO21" i="4"/>
  <c r="DC21" i="4"/>
  <c r="DS17" i="4"/>
  <c r="DK17" i="4"/>
  <c r="DC17" i="4"/>
  <c r="CN4" i="4"/>
  <c r="CU8" i="4"/>
  <c r="CK8" i="4"/>
  <c r="CT8" i="4"/>
  <c r="CS8" i="4"/>
  <c r="CT4" i="4"/>
  <c r="CU4" i="4"/>
  <c r="CJ4" i="4"/>
  <c r="CR4" i="4" s="1"/>
  <c r="CS4" i="4"/>
  <c r="DL17" i="4" l="1"/>
  <c r="DH17" i="4"/>
  <c r="DD17" i="4"/>
  <c r="CV4" i="4"/>
  <c r="CM4" i="4"/>
  <c r="CV8" i="4"/>
  <c r="DJ8" i="4"/>
  <c r="DV4" i="4"/>
  <c r="DJ4" i="4"/>
  <c r="DN8" i="4"/>
  <c r="CX8" i="4"/>
  <c r="DR4" i="4"/>
  <c r="EI29" i="4" l="1"/>
  <c r="EI35" i="4"/>
  <c r="DP17" i="4"/>
  <c r="DT17" i="4" s="1"/>
  <c r="DX17" i="4" s="1"/>
  <c r="CY8" i="4"/>
  <c r="EI23" i="4"/>
  <c r="EI14" i="4"/>
  <c r="EI26" i="4"/>
  <c r="DW4" i="4"/>
  <c r="DS4" i="4"/>
  <c r="DK4" i="4"/>
  <c r="EI20" i="4"/>
  <c r="EI32" i="4"/>
  <c r="EI17" i="4"/>
  <c r="DK8" i="4"/>
  <c r="DO8" i="4"/>
  <c r="DB4" i="4"/>
  <c r="DN4" i="4"/>
  <c r="CX4" i="4"/>
  <c r="DV8" i="4"/>
  <c r="DF4" i="4"/>
  <c r="DR8" i="4"/>
  <c r="DF8" i="4"/>
  <c r="DB8" i="4"/>
  <c r="DW8" i="4" l="1"/>
  <c r="DC4" i="4"/>
  <c r="DG8" i="4"/>
  <c r="DO4" i="4"/>
  <c r="DS8" i="4"/>
  <c r="DC8" i="4"/>
  <c r="DG4" i="4"/>
  <c r="CY4" i="4"/>
  <c r="CZ4" i="4" s="1"/>
  <c r="DL4" i="4"/>
  <c r="DY17" i="4"/>
  <c r="DZ17" i="4"/>
  <c r="DH4" i="4" l="1"/>
  <c r="DD4" i="4"/>
  <c r="ED4" i="4"/>
  <c r="EH8" i="4" s="1"/>
  <c r="EG8" i="4"/>
  <c r="EI8" i="4" s="1"/>
  <c r="FL8" i="4" s="1"/>
  <c r="DP4" i="4" l="1"/>
  <c r="DT4" i="4" s="1"/>
  <c r="EK8" i="4"/>
  <c r="EJ8" i="4"/>
  <c r="FD8" i="4"/>
  <c r="FH8" i="4"/>
  <c r="EV8" i="4"/>
  <c r="EZ8" i="4"/>
  <c r="EM8" i="4"/>
  <c r="EQ8" i="4"/>
  <c r="DX4" i="4" l="1"/>
  <c r="DY4" i="4" s="1"/>
  <c r="EG4" i="4" s="1"/>
  <c r="EI4" i="4" s="1"/>
  <c r="FL4" i="4" s="1"/>
  <c r="EC4" i="4" l="1"/>
  <c r="EP35" i="4" s="1"/>
  <c r="DZ4" i="4"/>
  <c r="EK4" i="4"/>
  <c r="EL8" i="4" s="1"/>
  <c r="EJ4" i="4"/>
  <c r="EL4" i="4" s="1"/>
  <c r="FD4" i="4"/>
  <c r="FH4" i="4"/>
  <c r="EV4" i="4"/>
  <c r="EZ4" i="4"/>
  <c r="EM4" i="4"/>
  <c r="EQ4" i="4"/>
  <c r="FE8" i="4"/>
  <c r="FA4" i="4"/>
  <c r="EW4" i="4"/>
  <c r="FM4" i="4"/>
  <c r="FI4" i="4"/>
  <c r="EP29" i="4" l="1"/>
  <c r="EJ29" i="4"/>
  <c r="EJ26" i="4"/>
  <c r="EP20" i="4"/>
  <c r="EJ20" i="4"/>
  <c r="EP23" i="4"/>
  <c r="EP26" i="4"/>
  <c r="EJ14" i="4"/>
  <c r="EP17" i="4"/>
  <c r="EP32" i="4"/>
  <c r="EH4" i="4"/>
  <c r="EP14" i="4"/>
  <c r="EJ17" i="4"/>
  <c r="EJ32" i="4"/>
  <c r="EJ23" i="4"/>
  <c r="EJ35" i="4"/>
  <c r="FF8" i="4"/>
  <c r="FJ4" i="4"/>
  <c r="FB4" i="4"/>
  <c r="EX4" i="4"/>
  <c r="EN4" i="4"/>
  <c r="ER4" i="4"/>
  <c r="FA8" i="4"/>
  <c r="EW8" i="4"/>
  <c r="ER8" i="4"/>
  <c r="FE4" i="4"/>
  <c r="FM8" i="4"/>
  <c r="FI8" i="4"/>
  <c r="EN8" i="4"/>
  <c r="EO4" i="4" l="1"/>
  <c r="ET4" i="4"/>
  <c r="FF4" i="4"/>
  <c r="FB8" i="4"/>
  <c r="FC4" i="4" s="1"/>
  <c r="FJ8" i="4"/>
  <c r="ET8" i="4"/>
  <c r="EO8" i="4"/>
  <c r="EX8" i="4"/>
  <c r="EY4" i="4" s="1"/>
  <c r="EU4" i="4" l="1"/>
  <c r="EP4" i="4"/>
  <c r="FG4" i="4" l="1"/>
  <c r="FK4" i="4" s="1"/>
  <c r="FN4" i="4" l="1"/>
  <c r="FO4" i="4" s="1"/>
  <c r="FS3" i="4" s="1"/>
  <c r="EQ29" i="4" s="1"/>
  <c r="EQ20" i="4" l="1"/>
  <c r="EK14" i="4"/>
  <c r="EQ17" i="4"/>
  <c r="EK23" i="4"/>
  <c r="EK29" i="4"/>
  <c r="EK32" i="4"/>
  <c r="EQ26" i="4"/>
  <c r="EK35" i="4"/>
  <c r="EK17" i="4"/>
  <c r="EK20" i="4"/>
  <c r="EQ14" i="4"/>
  <c r="EQ35" i="4"/>
  <c r="FQ3" i="4"/>
  <c r="ER35" i="4" s="1"/>
  <c r="EQ32" i="4"/>
  <c r="EQ23" i="4"/>
  <c r="EK26" i="4"/>
  <c r="ER14" i="4"/>
  <c r="EL29" i="4" l="1"/>
  <c r="FB12" i="4" s="1"/>
  <c r="FB112" i="4" s="1"/>
  <c r="EL14" i="4"/>
  <c r="EW12" i="4" s="1"/>
  <c r="EW112" i="4" s="1"/>
  <c r="EF44" i="4" s="1"/>
  <c r="EL23" i="4"/>
  <c r="EZ12" i="4" s="1"/>
  <c r="EZ112" i="4" s="1"/>
  <c r="EL35" i="4"/>
  <c r="FD12" i="4" s="1"/>
  <c r="FD112" i="4" s="1"/>
  <c r="ER26" i="4"/>
  <c r="FI12" i="4" s="1"/>
  <c r="FI112" i="4" s="1"/>
  <c r="ER20" i="4"/>
  <c r="FG12" i="4" s="1"/>
  <c r="FG112" i="4" s="1"/>
  <c r="EL26" i="4"/>
  <c r="FA12" i="4" s="1"/>
  <c r="FA112" i="4" s="1"/>
  <c r="ER23" i="4"/>
  <c r="FH12" i="4" s="1"/>
  <c r="FH112" i="4" s="1"/>
  <c r="ER29" i="4"/>
  <c r="FJ12" i="4" s="1"/>
  <c r="FJ112" i="4" s="1"/>
  <c r="ES44" i="4" s="1"/>
  <c r="EL17" i="4"/>
  <c r="EX12" i="4" s="1"/>
  <c r="EX112" i="4" s="1"/>
  <c r="EL32" i="4"/>
  <c r="FC12" i="4" s="1"/>
  <c r="FC112" i="4" s="1"/>
  <c r="EL44" i="4" s="1"/>
  <c r="ER32" i="4"/>
  <c r="FK12" i="4" s="1"/>
  <c r="FK112" i="4" s="1"/>
  <c r="ET44" i="4" s="1"/>
  <c r="EL20" i="4"/>
  <c r="EY12" i="4" s="1"/>
  <c r="EY112" i="4" s="1"/>
  <c r="ER17" i="4"/>
  <c r="FF12" i="4" s="1"/>
  <c r="FF112" i="4" s="1"/>
  <c r="EK37" i="4"/>
  <c r="EQ37" i="4"/>
  <c r="FE12" i="4"/>
  <c r="FE112" i="4" s="1"/>
  <c r="FL12" i="4"/>
  <c r="FL112" i="4" s="1"/>
  <c r="EU44" i="4" s="1"/>
  <c r="J7" i="3" l="1"/>
  <c r="K7" i="3" s="1"/>
  <c r="EG61" i="4"/>
  <c r="J18" i="3"/>
  <c r="K18" i="3" s="1"/>
  <c r="EG60" i="4"/>
  <c r="J5" i="3"/>
  <c r="K5" i="3" s="1"/>
  <c r="EG59" i="4"/>
  <c r="J17" i="3"/>
  <c r="K17" i="3" s="1"/>
  <c r="EG52" i="4"/>
  <c r="J8" i="3"/>
  <c r="K8" i="3" s="1"/>
  <c r="EG46" i="4"/>
  <c r="EQ44" i="4"/>
  <c r="EM44" i="4"/>
  <c r="EH44" i="4"/>
  <c r="ER44" i="4"/>
  <c r="EJ44" i="4"/>
  <c r="EK44" i="4"/>
  <c r="EI44" i="4"/>
  <c r="EN44" i="4"/>
  <c r="EO44" i="4"/>
  <c r="EG44" i="4"/>
  <c r="EP44" i="4"/>
  <c r="S49" i="2" l="1"/>
  <c r="S141" i="2"/>
  <c r="T141" i="2" s="1"/>
  <c r="S261" i="2"/>
  <c r="T261" i="2" s="1"/>
  <c r="S313" i="2"/>
  <c r="T313" i="2" s="1"/>
  <c r="S325" i="2"/>
  <c r="T325" i="2" s="1"/>
  <c r="S333" i="2"/>
  <c r="T333" i="2" s="1"/>
  <c r="S477" i="2"/>
  <c r="T477" i="2" s="1"/>
  <c r="S541" i="2"/>
  <c r="T541" i="2" s="1"/>
  <c r="S549" i="2"/>
  <c r="T549" i="2" s="1"/>
  <c r="S601" i="2"/>
  <c r="T601" i="2" s="1"/>
  <c r="S717" i="2"/>
  <c r="T717" i="2" s="1"/>
  <c r="S765" i="2"/>
  <c r="T765" i="2" s="1"/>
  <c r="S84" i="2"/>
  <c r="S94" i="2"/>
  <c r="S120" i="2"/>
  <c r="S144" i="2"/>
  <c r="T144" i="2" s="1"/>
  <c r="S439" i="2"/>
  <c r="T439" i="2" s="1"/>
  <c r="S652" i="2"/>
  <c r="T652" i="2" s="1"/>
  <c r="S42" i="2"/>
  <c r="S239" i="2"/>
  <c r="T239" i="2" s="1"/>
  <c r="S708" i="2"/>
  <c r="T708" i="2" s="1"/>
  <c r="S718" i="2"/>
  <c r="T718" i="2" s="1"/>
  <c r="S772" i="2"/>
  <c r="T772" i="2" s="1"/>
  <c r="S132" i="2"/>
  <c r="S562" i="2"/>
  <c r="T562" i="2" s="1"/>
  <c r="S822" i="2"/>
  <c r="S855" i="2"/>
  <c r="S867" i="2"/>
  <c r="S559" i="2"/>
  <c r="T559" i="2" s="1"/>
  <c r="S259" i="2"/>
  <c r="T259" i="2" s="1"/>
  <c r="S446" i="2"/>
  <c r="T446" i="2" s="1"/>
  <c r="S133" i="2"/>
  <c r="S201" i="2"/>
  <c r="T201" i="2" s="1"/>
  <c r="S285" i="2"/>
  <c r="T285" i="2" s="1"/>
  <c r="S437" i="2"/>
  <c r="T437" i="2" s="1"/>
  <c r="S801" i="2"/>
  <c r="S256" i="2"/>
  <c r="T256" i="2" s="1"/>
  <c r="S379" i="2"/>
  <c r="T379" i="2" s="1"/>
  <c r="S532" i="2"/>
  <c r="T532" i="2" s="1"/>
  <c r="S572" i="2"/>
  <c r="T572" i="2" s="1"/>
  <c r="S771" i="2"/>
  <c r="T771" i="2" s="1"/>
  <c r="S168" i="2"/>
  <c r="T168" i="2" s="1"/>
  <c r="S176" i="2"/>
  <c r="T176" i="2" s="1"/>
  <c r="S523" i="2"/>
  <c r="T523" i="2" s="1"/>
  <c r="S759" i="2"/>
  <c r="T759" i="2" s="1"/>
  <c r="S35" i="2"/>
  <c r="S48" i="2"/>
  <c r="S82" i="2"/>
  <c r="S118" i="2"/>
  <c r="S474" i="2"/>
  <c r="T474" i="2" s="1"/>
  <c r="S675" i="2"/>
  <c r="T675" i="2" s="1"/>
  <c r="S804" i="2"/>
  <c r="S830" i="2"/>
  <c r="S770" i="2"/>
  <c r="T770" i="2" s="1"/>
  <c r="S876" i="2"/>
  <c r="S407" i="2"/>
  <c r="T407" i="2" s="1"/>
  <c r="S242" i="2"/>
  <c r="T242" i="2" s="1"/>
  <c r="S26" i="2"/>
  <c r="S782" i="2"/>
  <c r="S540" i="2"/>
  <c r="T540" i="2" s="1"/>
  <c r="S45" i="2"/>
  <c r="S85" i="2"/>
  <c r="S97" i="2"/>
  <c r="S161" i="2"/>
  <c r="T161" i="2" s="1"/>
  <c r="S181" i="2"/>
  <c r="T181" i="2" s="1"/>
  <c r="S197" i="2"/>
  <c r="T197" i="2" s="1"/>
  <c r="S365" i="2"/>
  <c r="T365" i="2" s="1"/>
  <c r="S529" i="2"/>
  <c r="T529" i="2" s="1"/>
  <c r="S312" i="2"/>
  <c r="T312" i="2" s="1"/>
  <c r="S408" i="2"/>
  <c r="T408" i="2" s="1"/>
  <c r="S434" i="2"/>
  <c r="T434" i="2" s="1"/>
  <c r="S522" i="2"/>
  <c r="T522" i="2" s="1"/>
  <c r="S691" i="2"/>
  <c r="T691" i="2" s="1"/>
  <c r="S758" i="2"/>
  <c r="T758" i="2" s="1"/>
  <c r="S172" i="2"/>
  <c r="T172" i="2" s="1"/>
  <c r="S290" i="2"/>
  <c r="T290" i="2" s="1"/>
  <c r="S418" i="2"/>
  <c r="T418" i="2" s="1"/>
  <c r="S722" i="2"/>
  <c r="T722" i="2" s="1"/>
  <c r="S743" i="2"/>
  <c r="T743" i="2" s="1"/>
  <c r="S188" i="2"/>
  <c r="T188" i="2" s="1"/>
  <c r="S236" i="2"/>
  <c r="T236" i="2" s="1"/>
  <c r="S376" i="2"/>
  <c r="T376" i="2" s="1"/>
  <c r="S584" i="2"/>
  <c r="T584" i="2" s="1"/>
  <c r="S834" i="2"/>
  <c r="S655" i="2"/>
  <c r="T655" i="2" s="1"/>
  <c r="S475" i="2"/>
  <c r="T475" i="2" s="1"/>
  <c r="S634" i="2"/>
  <c r="T634" i="2" s="1"/>
  <c r="S283" i="2"/>
  <c r="T283" i="2" s="1"/>
  <c r="S563" i="2"/>
  <c r="T563" i="2" s="1"/>
  <c r="S75" i="2"/>
  <c r="R84" i="2"/>
  <c r="R120" i="2"/>
  <c r="R132" i="2"/>
  <c r="R144" i="2"/>
  <c r="R652" i="2"/>
  <c r="R708" i="2"/>
  <c r="R772" i="2"/>
  <c r="R49" i="2"/>
  <c r="R141" i="2"/>
  <c r="R261" i="2"/>
  <c r="R313" i="2"/>
  <c r="R325" i="2"/>
  <c r="R333" i="2"/>
  <c r="R477" i="2"/>
  <c r="R541" i="2"/>
  <c r="R549" i="2"/>
  <c r="R601" i="2"/>
  <c r="R717" i="2"/>
  <c r="R765" i="2"/>
  <c r="R718" i="2"/>
  <c r="R42" i="2"/>
  <c r="R94" i="2"/>
  <c r="R446" i="2"/>
  <c r="R562" i="2"/>
  <c r="R259" i="2"/>
  <c r="R855" i="2"/>
  <c r="R867" i="2"/>
  <c r="R239" i="2"/>
  <c r="R439" i="2"/>
  <c r="R559" i="2"/>
  <c r="R822" i="2"/>
  <c r="R48" i="2"/>
  <c r="R168" i="2"/>
  <c r="R176" i="2"/>
  <c r="R256" i="2"/>
  <c r="R532" i="2"/>
  <c r="R540" i="2"/>
  <c r="R572" i="2"/>
  <c r="R804" i="2"/>
  <c r="R876" i="2"/>
  <c r="R133" i="2"/>
  <c r="R201" i="2"/>
  <c r="R285" i="2"/>
  <c r="R437" i="2"/>
  <c r="R801" i="2"/>
  <c r="R26" i="2"/>
  <c r="R82" i="2"/>
  <c r="R118" i="2"/>
  <c r="R242" i="2"/>
  <c r="R474" i="2"/>
  <c r="R35" i="2"/>
  <c r="R523" i="2"/>
  <c r="R675" i="2"/>
  <c r="R759" i="2"/>
  <c r="R379" i="2"/>
  <c r="R770" i="2"/>
  <c r="R407" i="2"/>
  <c r="R771" i="2"/>
  <c r="R782" i="2"/>
  <c r="R830" i="2"/>
  <c r="R172" i="2"/>
  <c r="R188" i="2"/>
  <c r="R236" i="2"/>
  <c r="R312" i="2"/>
  <c r="R376" i="2"/>
  <c r="R408" i="2"/>
  <c r="R584" i="2"/>
  <c r="R45" i="2"/>
  <c r="R85" i="2"/>
  <c r="R97" i="2"/>
  <c r="R161" i="2"/>
  <c r="R181" i="2"/>
  <c r="R197" i="2"/>
  <c r="R365" i="2"/>
  <c r="R529" i="2"/>
  <c r="R634" i="2"/>
  <c r="R290" i="2"/>
  <c r="R418" i="2"/>
  <c r="R434" i="2"/>
  <c r="R522" i="2"/>
  <c r="R75" i="2"/>
  <c r="R563" i="2"/>
  <c r="R655" i="2"/>
  <c r="R758" i="2"/>
  <c r="R283" i="2"/>
  <c r="R743" i="2"/>
  <c r="R475" i="2"/>
  <c r="R722" i="2"/>
  <c r="R834" i="2"/>
  <c r="R691" i="2"/>
  <c r="J4" i="3"/>
  <c r="K4" i="3" s="1"/>
  <c r="EG58" i="4"/>
  <c r="J16" i="3"/>
  <c r="K16" i="3" s="1"/>
  <c r="EG57" i="4"/>
  <c r="J14" i="3"/>
  <c r="K14" i="3" s="1"/>
  <c r="EG56" i="4"/>
  <c r="J3" i="3"/>
  <c r="K3" i="3" s="1"/>
  <c r="EG55" i="4"/>
  <c r="J9" i="3"/>
  <c r="K9" i="3" s="1"/>
  <c r="EG54" i="4"/>
  <c r="J12" i="3"/>
  <c r="K12" i="3" s="1"/>
  <c r="EG53" i="4"/>
  <c r="J6" i="3"/>
  <c r="K6" i="3" s="1"/>
  <c r="EG51" i="4"/>
  <c r="J10" i="3"/>
  <c r="K10" i="3" s="1"/>
  <c r="EG50" i="4"/>
  <c r="J13" i="3"/>
  <c r="K13" i="3" s="1"/>
  <c r="EG49" i="4"/>
  <c r="J15" i="3"/>
  <c r="K15" i="3" s="1"/>
  <c r="EG48" i="4"/>
  <c r="J11" i="3"/>
  <c r="K11" i="3" s="1"/>
  <c r="EG47" i="4"/>
  <c r="S21" i="2" l="1"/>
  <c r="T21" i="2" s="1"/>
  <c r="S165" i="2"/>
  <c r="T165" i="2" s="1"/>
  <c r="S249" i="2"/>
  <c r="T249" i="2" s="1"/>
  <c r="S317" i="2"/>
  <c r="T317" i="2" s="1"/>
  <c r="S669" i="2"/>
  <c r="T669" i="2" s="1"/>
  <c r="S737" i="2"/>
  <c r="T737" i="2" s="1"/>
  <c r="S793" i="2"/>
  <c r="S230" i="2"/>
  <c r="T230" i="2" s="1"/>
  <c r="S238" i="2"/>
  <c r="T238" i="2" s="1"/>
  <c r="S527" i="2"/>
  <c r="T527" i="2" s="1"/>
  <c r="S576" i="2"/>
  <c r="T576" i="2" s="1"/>
  <c r="S68" i="2"/>
  <c r="T68" i="2" s="1"/>
  <c r="S104" i="2"/>
  <c r="T104" i="2" s="1"/>
  <c r="S206" i="2"/>
  <c r="T206" i="2" s="1"/>
  <c r="S211" i="2"/>
  <c r="T211" i="2" s="1"/>
  <c r="S734" i="2"/>
  <c r="T734" i="2" s="1"/>
  <c r="S808" i="2"/>
  <c r="S207" i="2"/>
  <c r="T207" i="2" s="1"/>
  <c r="S254" i="2"/>
  <c r="T254" i="2" s="1"/>
  <c r="S268" i="2"/>
  <c r="T268" i="2" s="1"/>
  <c r="S320" i="2"/>
  <c r="T320" i="2" s="1"/>
  <c r="S324" i="2"/>
  <c r="T324" i="2" s="1"/>
  <c r="S554" i="2"/>
  <c r="T554" i="2" s="1"/>
  <c r="S846" i="2"/>
  <c r="S179" i="2"/>
  <c r="T179" i="2" s="1"/>
  <c r="S610" i="2"/>
  <c r="T610" i="2" s="1"/>
  <c r="S208" i="2"/>
  <c r="T208" i="2" s="1"/>
  <c r="S386" i="2"/>
  <c r="T386" i="2" s="1"/>
  <c r="S827" i="2"/>
  <c r="S145" i="2"/>
  <c r="T145" i="2" s="1"/>
  <c r="S177" i="2"/>
  <c r="T177" i="2" s="1"/>
  <c r="S329" i="2"/>
  <c r="T329" i="2" s="1"/>
  <c r="S409" i="2"/>
  <c r="T409" i="2" s="1"/>
  <c r="S677" i="2"/>
  <c r="T677" i="2" s="1"/>
  <c r="S4" i="2"/>
  <c r="T4" i="2" s="1"/>
  <c r="S130" i="2"/>
  <c r="T130" i="2" s="1"/>
  <c r="S234" i="2"/>
  <c r="T234" i="2" s="1"/>
  <c r="S391" i="2"/>
  <c r="T391" i="2" s="1"/>
  <c r="S443" i="2"/>
  <c r="T443" i="2" s="1"/>
  <c r="S456" i="2"/>
  <c r="T456" i="2" s="1"/>
  <c r="S476" i="2"/>
  <c r="T476" i="2" s="1"/>
  <c r="S568" i="2"/>
  <c r="T568" i="2" s="1"/>
  <c r="S586" i="2"/>
  <c r="T586" i="2" s="1"/>
  <c r="S682" i="2"/>
  <c r="T682" i="2" s="1"/>
  <c r="S90" i="2"/>
  <c r="T90" i="2" s="1"/>
  <c r="S140" i="2"/>
  <c r="T140" i="2" s="1"/>
  <c r="S375" i="2"/>
  <c r="T375" i="2" s="1"/>
  <c r="S692" i="2"/>
  <c r="T692" i="2" s="1"/>
  <c r="S87" i="2"/>
  <c r="T87" i="2" s="1"/>
  <c r="S196" i="2"/>
  <c r="T196" i="2" s="1"/>
  <c r="S216" i="2"/>
  <c r="T216" i="2" s="1"/>
  <c r="S148" i="2"/>
  <c r="T148" i="2" s="1"/>
  <c r="S364" i="2"/>
  <c r="T364" i="2" s="1"/>
  <c r="S498" i="2"/>
  <c r="T498" i="2" s="1"/>
  <c r="S720" i="2"/>
  <c r="T720" i="2" s="1"/>
  <c r="S839" i="2"/>
  <c r="S205" i="2"/>
  <c r="T205" i="2" s="1"/>
  <c r="S377" i="2"/>
  <c r="T377" i="2" s="1"/>
  <c r="S513" i="2"/>
  <c r="T513" i="2" s="1"/>
  <c r="S553" i="2"/>
  <c r="T553" i="2" s="1"/>
  <c r="S27" i="2"/>
  <c r="T27" i="2" s="1"/>
  <c r="S32" i="2"/>
  <c r="T32" i="2" s="1"/>
  <c r="S112" i="2"/>
  <c r="T112" i="2" s="1"/>
  <c r="S656" i="2"/>
  <c r="T656" i="2" s="1"/>
  <c r="S678" i="2"/>
  <c r="T678" i="2" s="1"/>
  <c r="S191" i="2"/>
  <c r="T191" i="2" s="1"/>
  <c r="S323" i="2"/>
  <c r="T323" i="2" s="1"/>
  <c r="S342" i="2"/>
  <c r="T342" i="2" s="1"/>
  <c r="S431" i="2"/>
  <c r="T431" i="2" s="1"/>
  <c r="S483" i="2"/>
  <c r="T483" i="2" s="1"/>
  <c r="S578" i="2"/>
  <c r="T578" i="2" s="1"/>
  <c r="S74" i="2"/>
  <c r="T74" i="2" s="1"/>
  <c r="S274" i="2"/>
  <c r="T274" i="2" s="1"/>
  <c r="S282" i="2"/>
  <c r="T282" i="2" s="1"/>
  <c r="S666" i="2"/>
  <c r="T666" i="2" s="1"/>
  <c r="S723" i="2"/>
  <c r="T723" i="2" s="1"/>
  <c r="S98" i="2"/>
  <c r="T98" i="2" s="1"/>
  <c r="S503" i="2"/>
  <c r="T503" i="2" s="1"/>
  <c r="S766" i="2"/>
  <c r="T766" i="2" s="1"/>
  <c r="S36" i="2"/>
  <c r="T36" i="2" s="1"/>
  <c r="S459" i="2"/>
  <c r="T459" i="2" s="1"/>
  <c r="S185" i="2"/>
  <c r="T185" i="2" s="1"/>
  <c r="S241" i="2"/>
  <c r="T241" i="2" s="1"/>
  <c r="S265" i="2"/>
  <c r="T265" i="2" s="1"/>
  <c r="S293" i="2"/>
  <c r="T293" i="2" s="1"/>
  <c r="S309" i="2"/>
  <c r="T309" i="2" s="1"/>
  <c r="S649" i="2"/>
  <c r="T649" i="2" s="1"/>
  <c r="S162" i="2"/>
  <c r="T162" i="2" s="1"/>
  <c r="S218" i="2"/>
  <c r="T218" i="2" s="1"/>
  <c r="S639" i="2"/>
  <c r="T639" i="2" s="1"/>
  <c r="S779" i="2"/>
  <c r="S819" i="2"/>
  <c r="S223" i="2"/>
  <c r="T223" i="2" s="1"/>
  <c r="S314" i="2"/>
  <c r="T314" i="2" s="1"/>
  <c r="S346" i="2"/>
  <c r="T346" i="2" s="1"/>
  <c r="S358" i="2"/>
  <c r="T358" i="2" s="1"/>
  <c r="S414" i="2"/>
  <c r="T414" i="2" s="1"/>
  <c r="S444" i="2"/>
  <c r="T444" i="2" s="1"/>
  <c r="S487" i="2"/>
  <c r="T487" i="2" s="1"/>
  <c r="S515" i="2"/>
  <c r="T515" i="2" s="1"/>
  <c r="S768" i="2"/>
  <c r="T768" i="2" s="1"/>
  <c r="S776" i="2"/>
  <c r="T776" i="2" s="1"/>
  <c r="S858" i="2"/>
  <c r="S11" i="2"/>
  <c r="T11" i="2" s="1"/>
  <c r="S15" i="2"/>
  <c r="T15" i="2" s="1"/>
  <c r="S511" i="2"/>
  <c r="T511" i="2" s="1"/>
  <c r="S596" i="2"/>
  <c r="T596" i="2" s="1"/>
  <c r="S671" i="2"/>
  <c r="T671" i="2" s="1"/>
  <c r="S719" i="2"/>
  <c r="T719" i="2" s="1"/>
  <c r="S292" i="2"/>
  <c r="T292" i="2" s="1"/>
  <c r="S340" i="2"/>
  <c r="T340" i="2" s="1"/>
  <c r="S40" i="2"/>
  <c r="T40" i="2" s="1"/>
  <c r="S93" i="2"/>
  <c r="T93" i="2" s="1"/>
  <c r="S269" i="2"/>
  <c r="T269" i="2" s="1"/>
  <c r="S505" i="2"/>
  <c r="T505" i="2" s="1"/>
  <c r="S797" i="2"/>
  <c r="S805" i="2"/>
  <c r="S22" i="2"/>
  <c r="T22" i="2" s="1"/>
  <c r="S51" i="2"/>
  <c r="T51" i="2" s="1"/>
  <c r="S72" i="2"/>
  <c r="T72" i="2" s="1"/>
  <c r="S116" i="2"/>
  <c r="T116" i="2" s="1"/>
  <c r="S222" i="2"/>
  <c r="T222" i="2" s="1"/>
  <c r="S383" i="2"/>
  <c r="T383" i="2" s="1"/>
  <c r="S603" i="2"/>
  <c r="T603" i="2" s="1"/>
  <c r="S775" i="2"/>
  <c r="T775" i="2" s="1"/>
  <c r="S828" i="2"/>
  <c r="S86" i="2"/>
  <c r="T86" i="2" s="1"/>
  <c r="S286" i="2"/>
  <c r="T286" i="2" s="1"/>
  <c r="S319" i="2"/>
  <c r="T319" i="2" s="1"/>
  <c r="S367" i="2"/>
  <c r="T367" i="2" s="1"/>
  <c r="S452" i="2"/>
  <c r="T452" i="2" s="1"/>
  <c r="S704" i="2"/>
  <c r="T704" i="2" s="1"/>
  <c r="S114" i="2"/>
  <c r="T114" i="2" s="1"/>
  <c r="S351" i="2"/>
  <c r="T351" i="2" s="1"/>
  <c r="S355" i="2"/>
  <c r="T355" i="2" s="1"/>
  <c r="S851" i="2"/>
  <c r="S863" i="2"/>
  <c r="S880" i="2"/>
  <c r="S83" i="2"/>
  <c r="T83" i="2" s="1"/>
  <c r="S198" i="2"/>
  <c r="T198" i="2" s="1"/>
  <c r="S659" i="2"/>
  <c r="T659" i="2" s="1"/>
  <c r="S5" i="2"/>
  <c r="T5" i="2" s="1"/>
  <c r="S209" i="2"/>
  <c r="T209" i="2" s="1"/>
  <c r="S273" i="2"/>
  <c r="T273" i="2" s="1"/>
  <c r="S453" i="2"/>
  <c r="T453" i="2" s="1"/>
  <c r="S493" i="2"/>
  <c r="T493" i="2" s="1"/>
  <c r="S525" i="2"/>
  <c r="T525" i="2" s="1"/>
  <c r="S577" i="2"/>
  <c r="T577" i="2" s="1"/>
  <c r="S581" i="2"/>
  <c r="T581" i="2" s="1"/>
  <c r="S821" i="2"/>
  <c r="S849" i="2"/>
  <c r="S366" i="2"/>
  <c r="T366" i="2" s="1"/>
  <c r="S695" i="2"/>
  <c r="T695" i="2" s="1"/>
  <c r="S844" i="2"/>
  <c r="S150" i="2"/>
  <c r="T150" i="2" s="1"/>
  <c r="S154" i="2"/>
  <c r="T154" i="2" s="1"/>
  <c r="S215" i="2"/>
  <c r="T215" i="2" s="1"/>
  <c r="S244" i="2"/>
  <c r="T244" i="2" s="1"/>
  <c r="S506" i="2"/>
  <c r="T506" i="2" s="1"/>
  <c r="S543" i="2"/>
  <c r="T543" i="2" s="1"/>
  <c r="S780" i="2"/>
  <c r="S263" i="2"/>
  <c r="T263" i="2" s="1"/>
  <c r="S458" i="2"/>
  <c r="T458" i="2" s="1"/>
  <c r="S735" i="2"/>
  <c r="T735" i="2" s="1"/>
  <c r="S20" i="2"/>
  <c r="T20" i="2" s="1"/>
  <c r="S512" i="2"/>
  <c r="T512" i="2" s="1"/>
  <c r="S715" i="2"/>
  <c r="T715" i="2" s="1"/>
  <c r="S79" i="2"/>
  <c r="T79" i="2" s="1"/>
  <c r="S88" i="2"/>
  <c r="T88" i="2" s="1"/>
  <c r="S602" i="2"/>
  <c r="T602" i="2" s="1"/>
  <c r="S823" i="2"/>
  <c r="S399" i="2"/>
  <c r="T399" i="2" s="1"/>
  <c r="S25" i="2"/>
  <c r="T25" i="2" s="1"/>
  <c r="S29" i="2"/>
  <c r="T29" i="2" s="1"/>
  <c r="S121" i="2"/>
  <c r="T121" i="2" s="1"/>
  <c r="S297" i="2"/>
  <c r="T297" i="2" s="1"/>
  <c r="S393" i="2"/>
  <c r="T393" i="2" s="1"/>
  <c r="S481" i="2"/>
  <c r="T481" i="2" s="1"/>
  <c r="S689" i="2"/>
  <c r="T689" i="2" s="1"/>
  <c r="S63" i="2"/>
  <c r="T63" i="2" s="1"/>
  <c r="S186" i="2"/>
  <c r="T186" i="2" s="1"/>
  <c r="S214" i="2"/>
  <c r="T214" i="2" s="1"/>
  <c r="S430" i="2"/>
  <c r="T430" i="2" s="1"/>
  <c r="S338" i="2"/>
  <c r="T338" i="2" s="1"/>
  <c r="S730" i="2"/>
  <c r="T730" i="2" s="1"/>
  <c r="S78" i="2"/>
  <c r="T78" i="2" s="1"/>
  <c r="S123" i="2"/>
  <c r="T123" i="2" s="1"/>
  <c r="S164" i="2"/>
  <c r="T164" i="2" s="1"/>
  <c r="S202" i="2"/>
  <c r="T202" i="2" s="1"/>
  <c r="S232" i="2"/>
  <c r="T232" i="2" s="1"/>
  <c r="S394" i="2"/>
  <c r="T394" i="2" s="1"/>
  <c r="S470" i="2"/>
  <c r="T470" i="2" s="1"/>
  <c r="S570" i="2"/>
  <c r="T570" i="2" s="1"/>
  <c r="S684" i="2"/>
  <c r="T684" i="2" s="1"/>
  <c r="S667" i="2"/>
  <c r="T667" i="2" s="1"/>
  <c r="S711" i="2"/>
  <c r="T711" i="2" s="1"/>
  <c r="S467" i="2"/>
  <c r="T467" i="2" s="1"/>
  <c r="S390" i="2"/>
  <c r="T390" i="2" s="1"/>
  <c r="S567" i="2"/>
  <c r="T567" i="2" s="1"/>
  <c r="T120" i="2"/>
  <c r="S33" i="2"/>
  <c r="T33" i="2" s="1"/>
  <c r="S69" i="2"/>
  <c r="T69" i="2" s="1"/>
  <c r="S109" i="2"/>
  <c r="T109" i="2" s="1"/>
  <c r="S125" i="2"/>
  <c r="T125" i="2" s="1"/>
  <c r="S429" i="2"/>
  <c r="T429" i="2" s="1"/>
  <c r="S501" i="2"/>
  <c r="T501" i="2" s="1"/>
  <c r="S533" i="2"/>
  <c r="T533" i="2" s="1"/>
  <c r="S709" i="2"/>
  <c r="T709" i="2" s="1"/>
  <c r="S396" i="2"/>
  <c r="T396" i="2" s="1"/>
  <c r="S490" i="2"/>
  <c r="T490" i="2" s="1"/>
  <c r="S499" i="2"/>
  <c r="T499" i="2" s="1"/>
  <c r="S542" i="2"/>
  <c r="T542" i="2" s="1"/>
  <c r="S560" i="2"/>
  <c r="T560" i="2" s="1"/>
  <c r="S14" i="2"/>
  <c r="T14" i="2" s="1"/>
  <c r="S38" i="2"/>
  <c r="T38" i="2" s="1"/>
  <c r="S122" i="2"/>
  <c r="T122" i="2" s="1"/>
  <c r="S519" i="2"/>
  <c r="T519" i="2" s="1"/>
  <c r="S674" i="2"/>
  <c r="T674" i="2" s="1"/>
  <c r="S700" i="2"/>
  <c r="T700" i="2" s="1"/>
  <c r="S726" i="2"/>
  <c r="T726" i="2" s="1"/>
  <c r="S502" i="2"/>
  <c r="T502" i="2" s="1"/>
  <c r="S744" i="2"/>
  <c r="T744" i="2" s="1"/>
  <c r="S270" i="2"/>
  <c r="T270" i="2" s="1"/>
  <c r="S480" i="2"/>
  <c r="T480" i="2" s="1"/>
  <c r="S810" i="2"/>
  <c r="S115" i="2"/>
  <c r="T115" i="2" s="1"/>
  <c r="S58" i="2"/>
  <c r="T58" i="2" s="1"/>
  <c r="R4" i="2"/>
  <c r="R140" i="2"/>
  <c r="R148" i="2"/>
  <c r="R196" i="2"/>
  <c r="R216" i="2"/>
  <c r="R364" i="2"/>
  <c r="R456" i="2"/>
  <c r="R476" i="2"/>
  <c r="R568" i="2"/>
  <c r="R692" i="2"/>
  <c r="R720" i="2"/>
  <c r="R145" i="2"/>
  <c r="R177" i="2"/>
  <c r="R329" i="2"/>
  <c r="R409" i="2"/>
  <c r="R677" i="2"/>
  <c r="R682" i="2"/>
  <c r="R90" i="2"/>
  <c r="R130" i="2"/>
  <c r="R234" i="2"/>
  <c r="R498" i="2"/>
  <c r="R586" i="2"/>
  <c r="R375" i="2"/>
  <c r="R391" i="2"/>
  <c r="R87" i="2"/>
  <c r="R839" i="2"/>
  <c r="R443" i="2"/>
  <c r="R32" i="2"/>
  <c r="R36" i="2"/>
  <c r="R112" i="2"/>
  <c r="R656" i="2"/>
  <c r="R205" i="2"/>
  <c r="R377" i="2"/>
  <c r="R513" i="2"/>
  <c r="R553" i="2"/>
  <c r="R666" i="2"/>
  <c r="R678" i="2"/>
  <c r="R74" i="2"/>
  <c r="R98" i="2"/>
  <c r="R274" i="2"/>
  <c r="R282" i="2"/>
  <c r="R342" i="2"/>
  <c r="R578" i="2"/>
  <c r="R431" i="2"/>
  <c r="R459" i="2"/>
  <c r="R191" i="2"/>
  <c r="R323" i="2"/>
  <c r="R503" i="2"/>
  <c r="R27" i="2"/>
  <c r="R723" i="2"/>
  <c r="R483" i="2"/>
  <c r="R766" i="2"/>
  <c r="R68" i="2"/>
  <c r="R104" i="2"/>
  <c r="R208" i="2"/>
  <c r="R268" i="2"/>
  <c r="R320" i="2"/>
  <c r="R324" i="2"/>
  <c r="R576" i="2"/>
  <c r="R808" i="2"/>
  <c r="R21" i="2"/>
  <c r="R165" i="2"/>
  <c r="R249" i="2"/>
  <c r="R317" i="2"/>
  <c r="R669" i="2"/>
  <c r="R737" i="2"/>
  <c r="R793" i="2"/>
  <c r="R610" i="2"/>
  <c r="R206" i="2"/>
  <c r="R230" i="2"/>
  <c r="R238" i="2"/>
  <c r="R254" i="2"/>
  <c r="R386" i="2"/>
  <c r="R554" i="2"/>
  <c r="R211" i="2"/>
  <c r="R827" i="2"/>
  <c r="R179" i="2"/>
  <c r="R734" i="2"/>
  <c r="R846" i="2"/>
  <c r="R527" i="2"/>
  <c r="R207" i="2"/>
  <c r="R40" i="2"/>
  <c r="R292" i="2"/>
  <c r="R340" i="2"/>
  <c r="R444" i="2"/>
  <c r="R596" i="2"/>
  <c r="R768" i="2"/>
  <c r="R776" i="2"/>
  <c r="R185" i="2"/>
  <c r="R241" i="2"/>
  <c r="R265" i="2"/>
  <c r="R293" i="2"/>
  <c r="R309" i="2"/>
  <c r="R649" i="2"/>
  <c r="R162" i="2"/>
  <c r="R218" i="2"/>
  <c r="R314" i="2"/>
  <c r="R346" i="2"/>
  <c r="R358" i="2"/>
  <c r="R414" i="2"/>
  <c r="R15" i="2"/>
  <c r="R223" i="2"/>
  <c r="R719" i="2"/>
  <c r="R779" i="2"/>
  <c r="R858" i="2"/>
  <c r="R11" i="2"/>
  <c r="R515" i="2"/>
  <c r="R671" i="2"/>
  <c r="R819" i="2"/>
  <c r="R487" i="2"/>
  <c r="R639" i="2"/>
  <c r="R511" i="2"/>
  <c r="R72" i="2"/>
  <c r="R116" i="2"/>
  <c r="R452" i="2"/>
  <c r="R704" i="2"/>
  <c r="R828" i="2"/>
  <c r="R880" i="2"/>
  <c r="R93" i="2"/>
  <c r="R269" i="2"/>
  <c r="R505" i="2"/>
  <c r="R797" i="2"/>
  <c r="R805" i="2"/>
  <c r="R22" i="2"/>
  <c r="R86" i="2"/>
  <c r="R114" i="2"/>
  <c r="R198" i="2"/>
  <c r="R222" i="2"/>
  <c r="R286" i="2"/>
  <c r="R603" i="2"/>
  <c r="R51" i="2"/>
  <c r="R351" i="2"/>
  <c r="R355" i="2"/>
  <c r="R367" i="2"/>
  <c r="R775" i="2"/>
  <c r="R851" i="2"/>
  <c r="R863" i="2"/>
  <c r="R659" i="2"/>
  <c r="R83" i="2"/>
  <c r="R319" i="2"/>
  <c r="R383" i="2"/>
  <c r="R20" i="2"/>
  <c r="R88" i="2"/>
  <c r="R244" i="2"/>
  <c r="R512" i="2"/>
  <c r="R780" i="2"/>
  <c r="R844" i="2"/>
  <c r="R5" i="2"/>
  <c r="R209" i="2"/>
  <c r="R273" i="2"/>
  <c r="R453" i="2"/>
  <c r="R493" i="2"/>
  <c r="R525" i="2"/>
  <c r="R577" i="2"/>
  <c r="R581" i="2"/>
  <c r="R821" i="2"/>
  <c r="R849" i="2"/>
  <c r="R150" i="2"/>
  <c r="R154" i="2"/>
  <c r="R366" i="2"/>
  <c r="R458" i="2"/>
  <c r="R506" i="2"/>
  <c r="R602" i="2"/>
  <c r="R263" i="2"/>
  <c r="R823" i="2"/>
  <c r="R543" i="2"/>
  <c r="R215" i="2"/>
  <c r="R399" i="2"/>
  <c r="R695" i="2"/>
  <c r="R715" i="2"/>
  <c r="R735" i="2"/>
  <c r="R79" i="2"/>
  <c r="R164" i="2"/>
  <c r="R232" i="2"/>
  <c r="R684" i="2"/>
  <c r="R25" i="2"/>
  <c r="R29" i="2"/>
  <c r="R121" i="2"/>
  <c r="R297" i="2"/>
  <c r="R393" i="2"/>
  <c r="R481" i="2"/>
  <c r="R689" i="2"/>
  <c r="R78" i="2"/>
  <c r="R186" i="2"/>
  <c r="R202" i="2"/>
  <c r="R214" i="2"/>
  <c r="R338" i="2"/>
  <c r="R390" i="2"/>
  <c r="R394" i="2"/>
  <c r="R430" i="2"/>
  <c r="R470" i="2"/>
  <c r="R570" i="2"/>
  <c r="R63" i="2"/>
  <c r="R123" i="2"/>
  <c r="R467" i="2"/>
  <c r="R567" i="2"/>
  <c r="R730" i="2"/>
  <c r="R667" i="2"/>
  <c r="R711" i="2"/>
  <c r="R396" i="2"/>
  <c r="R480" i="2"/>
  <c r="R560" i="2"/>
  <c r="R700" i="2"/>
  <c r="R744" i="2"/>
  <c r="R33" i="2"/>
  <c r="R69" i="2"/>
  <c r="R109" i="2"/>
  <c r="R125" i="2"/>
  <c r="R429" i="2"/>
  <c r="R501" i="2"/>
  <c r="R533" i="2"/>
  <c r="R709" i="2"/>
  <c r="R674" i="2"/>
  <c r="R726" i="2"/>
  <c r="R14" i="2"/>
  <c r="R38" i="2"/>
  <c r="R58" i="2"/>
  <c r="R122" i="2"/>
  <c r="R270" i="2"/>
  <c r="R490" i="2"/>
  <c r="R502" i="2"/>
  <c r="R542" i="2"/>
  <c r="R810" i="2"/>
  <c r="R115" i="2"/>
  <c r="R519" i="2"/>
  <c r="R499" i="2"/>
  <c r="T94" i="2"/>
  <c r="T49" i="2"/>
  <c r="T118" i="2"/>
  <c r="T85" i="2"/>
  <c r="T133" i="2"/>
  <c r="T82" i="2"/>
  <c r="T97" i="2"/>
  <c r="T84" i="2"/>
  <c r="T75" i="2"/>
  <c r="T132" i="2"/>
  <c r="T45" i="2"/>
  <c r="T35" i="2"/>
  <c r="T48" i="2"/>
  <c r="T26" i="2"/>
  <c r="T42" i="2"/>
  <c r="S3" i="2"/>
  <c r="R3" i="2"/>
  <c r="U109" i="2" l="1"/>
  <c r="U51" i="2"/>
  <c r="U4" i="2"/>
  <c r="U780" i="2"/>
  <c r="U804" i="2"/>
  <c r="U808" i="2"/>
  <c r="U828" i="2"/>
  <c r="U844" i="2"/>
  <c r="U876" i="2"/>
  <c r="U880" i="2"/>
  <c r="U793" i="2"/>
  <c r="U797" i="2"/>
  <c r="U801" i="2"/>
  <c r="U805" i="2"/>
  <c r="U821" i="2"/>
  <c r="U849" i="2"/>
  <c r="U782" i="2"/>
  <c r="U830" i="2"/>
  <c r="U834" i="2"/>
  <c r="U822" i="2"/>
  <c r="U839" i="2"/>
  <c r="U819" i="2"/>
  <c r="U851" i="2"/>
  <c r="U867" i="2"/>
  <c r="U779" i="2"/>
  <c r="U810" i="2"/>
  <c r="U823" i="2"/>
  <c r="U827" i="2"/>
  <c r="U858" i="2"/>
  <c r="U846" i="2"/>
  <c r="U855" i="2"/>
  <c r="U863" i="2"/>
  <c r="U283" i="2"/>
  <c r="U407" i="2"/>
  <c r="U313" i="2"/>
  <c r="U172" i="2"/>
  <c r="U176" i="2"/>
  <c r="U772" i="2"/>
  <c r="U290" i="2"/>
  <c r="U144" i="2"/>
  <c r="U722" i="2"/>
  <c r="U770" i="2"/>
  <c r="U285" i="2"/>
  <c r="U601" i="2"/>
  <c r="U655" i="2"/>
  <c r="U312" i="2"/>
  <c r="U771" i="2"/>
  <c r="U562" i="2"/>
  <c r="U325" i="2"/>
  <c r="U188" i="2"/>
  <c r="U572" i="2"/>
  <c r="U634" i="2"/>
  <c r="U434" i="2"/>
  <c r="U532" i="2"/>
  <c r="U717" i="2"/>
  <c r="U529" i="2"/>
  <c r="U541" i="2"/>
  <c r="U758" i="2"/>
  <c r="U474" i="2"/>
  <c r="U259" i="2"/>
  <c r="U333" i="2"/>
  <c r="U236" i="2"/>
  <c r="U181" i="2"/>
  <c r="U256" i="2"/>
  <c r="U708" i="2"/>
  <c r="U522" i="2"/>
  <c r="U239" i="2"/>
  <c r="U584" i="2"/>
  <c r="U365" i="2"/>
  <c r="U437" i="2"/>
  <c r="U477" i="2"/>
  <c r="U540" i="2"/>
  <c r="U475" i="2"/>
  <c r="U408" i="2"/>
  <c r="U168" i="2"/>
  <c r="U718" i="2"/>
  <c r="U141" i="2"/>
  <c r="U418" i="2"/>
  <c r="U242" i="2"/>
  <c r="U201" i="2"/>
  <c r="U439" i="2"/>
  <c r="U161" i="2"/>
  <c r="U765" i="2"/>
  <c r="U743" i="2"/>
  <c r="U675" i="2"/>
  <c r="U446" i="2"/>
  <c r="U261" i="2"/>
  <c r="U523" i="2"/>
  <c r="U376" i="2"/>
  <c r="U197" i="2"/>
  <c r="U379" i="2"/>
  <c r="U652" i="2"/>
  <c r="U563" i="2"/>
  <c r="U549" i="2"/>
  <c r="U691" i="2"/>
  <c r="U759" i="2"/>
  <c r="U559" i="2"/>
  <c r="U22" i="2"/>
  <c r="U90" i="2"/>
  <c r="U94" i="2"/>
  <c r="U700" i="2"/>
  <c r="U533" i="2"/>
  <c r="U667" i="2"/>
  <c r="U430" i="2"/>
  <c r="U506" i="2"/>
  <c r="U525" i="2"/>
  <c r="U355" i="2"/>
  <c r="U383" i="2"/>
  <c r="U340" i="2"/>
  <c r="U346" i="2"/>
  <c r="U666" i="2"/>
  <c r="U112" i="2"/>
  <c r="U216" i="2"/>
  <c r="U586" i="2"/>
  <c r="U554" i="2"/>
  <c r="U211" i="2"/>
  <c r="U122" i="2"/>
  <c r="U27" i="2"/>
  <c r="U75" i="2"/>
  <c r="U25" i="2"/>
  <c r="U270" i="2"/>
  <c r="U499" i="2"/>
  <c r="U567" i="2"/>
  <c r="U123" i="2"/>
  <c r="U121" i="2"/>
  <c r="U458" i="2"/>
  <c r="U83" i="2"/>
  <c r="U86" i="2"/>
  <c r="U505" i="2"/>
  <c r="U487" i="2"/>
  <c r="U241" i="2"/>
  <c r="U578" i="2"/>
  <c r="U513" i="2"/>
  <c r="U443" i="2"/>
  <c r="U208" i="2"/>
  <c r="U576" i="2"/>
  <c r="U32" i="2"/>
  <c r="U48" i="2"/>
  <c r="U87" i="2"/>
  <c r="U58" i="2"/>
  <c r="U38" i="2"/>
  <c r="U394" i="2"/>
  <c r="U689" i="2"/>
  <c r="U715" i="2"/>
  <c r="U150" i="2"/>
  <c r="U209" i="2"/>
  <c r="U452" i="2"/>
  <c r="U596" i="2"/>
  <c r="U649" i="2"/>
  <c r="U766" i="2"/>
  <c r="U323" i="2"/>
  <c r="U720" i="2"/>
  <c r="U375" i="2"/>
  <c r="U177" i="2"/>
  <c r="U254" i="2"/>
  <c r="U249" i="2"/>
  <c r="U45" i="2"/>
  <c r="U21" i="2"/>
  <c r="U42" i="2"/>
  <c r="U26" i="2"/>
  <c r="U78" i="2"/>
  <c r="U84" i="2"/>
  <c r="U82" i="2"/>
  <c r="U85" i="2"/>
  <c r="U15" i="2"/>
  <c r="U744" i="2"/>
  <c r="U674" i="2"/>
  <c r="U14" i="2"/>
  <c r="U490" i="2"/>
  <c r="U501" i="2"/>
  <c r="U69" i="2"/>
  <c r="U390" i="2"/>
  <c r="U684" i="2"/>
  <c r="U232" i="2"/>
  <c r="U214" i="2"/>
  <c r="U481" i="2"/>
  <c r="U602" i="2"/>
  <c r="U512" i="2"/>
  <c r="U263" i="2"/>
  <c r="U244" i="2"/>
  <c r="U493" i="2"/>
  <c r="U351" i="2"/>
  <c r="U367" i="2"/>
  <c r="U222" i="2"/>
  <c r="U269" i="2"/>
  <c r="U292" i="2"/>
  <c r="U511" i="2"/>
  <c r="U776" i="2"/>
  <c r="U444" i="2"/>
  <c r="U314" i="2"/>
  <c r="U639" i="2"/>
  <c r="U309" i="2"/>
  <c r="U185" i="2"/>
  <c r="U503" i="2"/>
  <c r="U282" i="2"/>
  <c r="U483" i="2"/>
  <c r="U191" i="2"/>
  <c r="U377" i="2"/>
  <c r="U498" i="2"/>
  <c r="U196" i="2"/>
  <c r="U140" i="2"/>
  <c r="U568" i="2"/>
  <c r="U391" i="2"/>
  <c r="U677" i="2"/>
  <c r="U145" i="2"/>
  <c r="U610" i="2"/>
  <c r="U324" i="2"/>
  <c r="U207" i="2"/>
  <c r="U206" i="2"/>
  <c r="U527" i="2"/>
  <c r="U737" i="2"/>
  <c r="U165" i="2"/>
  <c r="U133" i="2"/>
  <c r="U49" i="2"/>
  <c r="U502" i="2"/>
  <c r="U519" i="2"/>
  <c r="U560" i="2"/>
  <c r="U396" i="2"/>
  <c r="U429" i="2"/>
  <c r="U467" i="2"/>
  <c r="U570" i="2"/>
  <c r="U202" i="2"/>
  <c r="U730" i="2"/>
  <c r="U186" i="2"/>
  <c r="U393" i="2"/>
  <c r="U88" i="2"/>
  <c r="U215" i="2"/>
  <c r="U695" i="2"/>
  <c r="U581" i="2"/>
  <c r="U453" i="2"/>
  <c r="U659" i="2"/>
  <c r="U114" i="2"/>
  <c r="U319" i="2"/>
  <c r="U775" i="2"/>
  <c r="U93" i="2"/>
  <c r="U719" i="2"/>
  <c r="U768" i="2"/>
  <c r="U414" i="2"/>
  <c r="U223" i="2"/>
  <c r="U218" i="2"/>
  <c r="U293" i="2"/>
  <c r="U459" i="2"/>
  <c r="U98" i="2"/>
  <c r="U274" i="2"/>
  <c r="U431" i="2"/>
  <c r="U678" i="2"/>
  <c r="U205" i="2"/>
  <c r="U364" i="2"/>
  <c r="U476" i="2"/>
  <c r="U234" i="2"/>
  <c r="U409" i="2"/>
  <c r="U179" i="2"/>
  <c r="U320" i="2"/>
  <c r="U238" i="2"/>
  <c r="U669" i="2"/>
  <c r="U97" i="2"/>
  <c r="U118" i="2"/>
  <c r="U29" i="2"/>
  <c r="U33" i="2"/>
  <c r="U20" i="2"/>
  <c r="U35" i="2"/>
  <c r="U132" i="2"/>
  <c r="U115" i="2"/>
  <c r="U116" i="2"/>
  <c r="U74" i="2"/>
  <c r="U104" i="2"/>
  <c r="U5" i="2"/>
  <c r="U480" i="2"/>
  <c r="U726" i="2"/>
  <c r="U542" i="2"/>
  <c r="U709" i="2"/>
  <c r="U125" i="2"/>
  <c r="U120" i="2"/>
  <c r="U711" i="2"/>
  <c r="U470" i="2"/>
  <c r="U164" i="2"/>
  <c r="U338" i="2"/>
  <c r="U63" i="2"/>
  <c r="U297" i="2"/>
  <c r="U399" i="2"/>
  <c r="U79" i="2"/>
  <c r="U735" i="2"/>
  <c r="U543" i="2"/>
  <c r="U154" i="2"/>
  <c r="U366" i="2"/>
  <c r="U577" i="2"/>
  <c r="U273" i="2"/>
  <c r="U198" i="2"/>
  <c r="U704" i="2"/>
  <c r="U286" i="2"/>
  <c r="U603" i="2"/>
  <c r="U72" i="2"/>
  <c r="U40" i="2"/>
  <c r="U671" i="2"/>
  <c r="U11" i="2"/>
  <c r="U515" i="2"/>
  <c r="U358" i="2"/>
  <c r="U162" i="2"/>
  <c r="U265" i="2"/>
  <c r="U36" i="2"/>
  <c r="U723" i="2"/>
  <c r="U342" i="2"/>
  <c r="U656" i="2"/>
  <c r="U553" i="2"/>
  <c r="U148" i="2"/>
  <c r="U692" i="2"/>
  <c r="U682" i="2"/>
  <c r="U456" i="2"/>
  <c r="U130" i="2"/>
  <c r="U329" i="2"/>
  <c r="U386" i="2"/>
  <c r="U268" i="2"/>
  <c r="U734" i="2"/>
  <c r="U68" i="2"/>
  <c r="U230" i="2"/>
  <c r="U317" i="2"/>
</calcChain>
</file>

<file path=xl/sharedStrings.xml><?xml version="1.0" encoding="utf-8"?>
<sst xmlns="http://schemas.openxmlformats.org/spreadsheetml/2006/main" count="14471" uniqueCount="1231">
  <si>
    <t>TORONTO</t>
  </si>
  <si>
    <t>PHILADELPHIA</t>
  </si>
  <si>
    <t>BOSTON</t>
  </si>
  <si>
    <t>VANCOUVER</t>
  </si>
  <si>
    <t>CALGARY</t>
  </si>
  <si>
    <t>SAN JOSE</t>
  </si>
  <si>
    <t>LOS ANGELES</t>
  </si>
  <si>
    <t>COLUMBUS</t>
  </si>
  <si>
    <t>BUFFALO</t>
  </si>
  <si>
    <t>NEW JERSEY</t>
  </si>
  <si>
    <t>ANAHEIM</t>
  </si>
  <si>
    <t>PITTSBURGH</t>
  </si>
  <si>
    <t>WASHINGTON</t>
  </si>
  <si>
    <t>DETROIT</t>
  </si>
  <si>
    <t>FLORIDA</t>
  </si>
  <si>
    <t>TAMPA BAY</t>
  </si>
  <si>
    <t>NY RANGERS</t>
  </si>
  <si>
    <t>ST. LOUIS</t>
  </si>
  <si>
    <t>OTTAWA</t>
  </si>
  <si>
    <t>NASHVILLE</t>
  </si>
  <si>
    <t>CHICAGO</t>
  </si>
  <si>
    <t>DALLAS</t>
  </si>
  <si>
    <t>COLORADO</t>
  </si>
  <si>
    <t>MINNESOTA</t>
  </si>
  <si>
    <t>EDMONTON</t>
  </si>
  <si>
    <t>WINNIPEG</t>
  </si>
  <si>
    <t>ARIZONA</t>
  </si>
  <si>
    <t>NY ISLANDERS</t>
  </si>
  <si>
    <t>CAROLINA</t>
  </si>
  <si>
    <t>Visiting</t>
  </si>
  <si>
    <t>Home</t>
  </si>
  <si>
    <t>ActualMargin</t>
  </si>
  <si>
    <t>WEDOCT8,2014</t>
  </si>
  <si>
    <t>SANJOSE</t>
  </si>
  <si>
    <t>LOSANGELES</t>
  </si>
  <si>
    <t>THUOCT9,2014</t>
  </si>
  <si>
    <t>NEWJERSEY</t>
  </si>
  <si>
    <t>TAMPABAY</t>
  </si>
  <si>
    <t>NYRANGERS</t>
  </si>
  <si>
    <t>ST.LOUIS</t>
  </si>
  <si>
    <t>FRIOCT10,2014</t>
  </si>
  <si>
    <t>NYISLANDERS</t>
  </si>
  <si>
    <t>SATOCT11,2014</t>
  </si>
  <si>
    <t>SUNOCT12,2014</t>
  </si>
  <si>
    <t>MONOCT13,2014</t>
  </si>
  <si>
    <t>TUEOCT14,2014</t>
  </si>
  <si>
    <t>WEDOCT15,2014</t>
  </si>
  <si>
    <t>THUOCT16,2014</t>
  </si>
  <si>
    <t>FRIOCT17,2014</t>
  </si>
  <si>
    <t>SATOCT18,2014</t>
  </si>
  <si>
    <t>SUNOCT19,2014</t>
  </si>
  <si>
    <t>MONOCT20,2014</t>
  </si>
  <si>
    <t>TUEOCT21,2014</t>
  </si>
  <si>
    <t>WEDOCT22,2014</t>
  </si>
  <si>
    <t>THUOCT23,2014</t>
  </si>
  <si>
    <t>FRIOCT24,2014</t>
  </si>
  <si>
    <t>SATOCT25,2014</t>
  </si>
  <si>
    <t>SUNOCT26,2014</t>
  </si>
  <si>
    <t>MONOCT27,2014</t>
  </si>
  <si>
    <t>TUEOCT28,2014</t>
  </si>
  <si>
    <t>WEDOCT29,2014</t>
  </si>
  <si>
    <t>THUOCT30,2014</t>
  </si>
  <si>
    <t>FRIOCT31,2014</t>
  </si>
  <si>
    <t>SATNOV1,2014</t>
  </si>
  <si>
    <t>SUNNOV2,2014</t>
  </si>
  <si>
    <t>MONNOV3,2014</t>
  </si>
  <si>
    <t>TUENOV4,2014</t>
  </si>
  <si>
    <t>WEDNOV5,2014</t>
  </si>
  <si>
    <t>THUNOV6,2014</t>
  </si>
  <si>
    <t>FRINOV7,2014</t>
  </si>
  <si>
    <t>SATNOV8,2014</t>
  </si>
  <si>
    <t>SUNNOV9,2014</t>
  </si>
  <si>
    <t>MONNOV10,2014</t>
  </si>
  <si>
    <t>TUENOV11,2014</t>
  </si>
  <si>
    <t>WEDNOV12,2014</t>
  </si>
  <si>
    <t>THUNOV13,2014</t>
  </si>
  <si>
    <t>FRINOV14,2014</t>
  </si>
  <si>
    <t>SATNOV15,2014</t>
  </si>
  <si>
    <t>SUNNOV16,2014</t>
  </si>
  <si>
    <t>MONNOV17,2014</t>
  </si>
  <si>
    <t>TUENOV18,2014</t>
  </si>
  <si>
    <t>WEDNOV19,2014</t>
  </si>
  <si>
    <t>THUNOV20,2014</t>
  </si>
  <si>
    <t>FRINOV21,2014</t>
  </si>
  <si>
    <t>SATNOV22,2014</t>
  </si>
  <si>
    <t>SUNNOV23,2014</t>
  </si>
  <si>
    <t>MONNOV24,2014</t>
  </si>
  <si>
    <t>TUENOV25,2014</t>
  </si>
  <si>
    <t>WEDNOV26,2014</t>
  </si>
  <si>
    <t>THUNOV27,2014</t>
  </si>
  <si>
    <t>FRINOV28,2014</t>
  </si>
  <si>
    <t>SATNOV29,2014</t>
  </si>
  <si>
    <t>SUNNOV30,2014</t>
  </si>
  <si>
    <t>MONDEC1,2014</t>
  </si>
  <si>
    <t>TUEDEC2,2014</t>
  </si>
  <si>
    <t>WEDDEC3,2014</t>
  </si>
  <si>
    <t>THUDEC4,2014</t>
  </si>
  <si>
    <t>FRIDEC5,2014</t>
  </si>
  <si>
    <t>SATDEC6,2014</t>
  </si>
  <si>
    <t>SUNDEC7,2014</t>
  </si>
  <si>
    <t>MONDEC8,2014</t>
  </si>
  <si>
    <t>TUEDEC9,2014</t>
  </si>
  <si>
    <t>WEDDEC10,2014</t>
  </si>
  <si>
    <t>THUDEC11,2014</t>
  </si>
  <si>
    <t>FRIDEC12,2014</t>
  </si>
  <si>
    <t>SATDEC13,2014</t>
  </si>
  <si>
    <t>SUNDEC14,2014</t>
  </si>
  <si>
    <t>MONDEC15,2014</t>
  </si>
  <si>
    <t>TUEDEC16,2014</t>
  </si>
  <si>
    <t>WEDDEC17,2014</t>
  </si>
  <si>
    <t>THUDEC18,2014</t>
  </si>
  <si>
    <t>FRIDEC19,2014</t>
  </si>
  <si>
    <t>SATDEC20,2014</t>
  </si>
  <si>
    <t>SUNDEC21,2014</t>
  </si>
  <si>
    <t>MONDEC22,2014</t>
  </si>
  <si>
    <t>TUEDEC23,2014</t>
  </si>
  <si>
    <t>SATDEC27,2014</t>
  </si>
  <si>
    <t>SUNDEC28,2014</t>
  </si>
  <si>
    <t>MONDEC29,2014</t>
  </si>
  <si>
    <t>TUEDEC30,2014</t>
  </si>
  <si>
    <t>WEDDEC31,2014</t>
  </si>
  <si>
    <t>THUJAN1,2015</t>
  </si>
  <si>
    <t>FRIJAN2,2015</t>
  </si>
  <si>
    <t>SATJAN3,2015</t>
  </si>
  <si>
    <t>SUNJAN4,2015</t>
  </si>
  <si>
    <t>MONJAN5,2015</t>
  </si>
  <si>
    <t>TUEJAN6,2015</t>
  </si>
  <si>
    <t>WEDJAN7,2015</t>
  </si>
  <si>
    <t>THUJAN8,2015</t>
  </si>
  <si>
    <t>FRIJAN9,2015</t>
  </si>
  <si>
    <t>SATJAN10,2015</t>
  </si>
  <si>
    <t>SUNJAN11,2015</t>
  </si>
  <si>
    <t>MONJAN12,2015</t>
  </si>
  <si>
    <t>TUEJAN13,2015</t>
  </si>
  <si>
    <t>WEDJAN14,2015</t>
  </si>
  <si>
    <t>THUJAN15,2015</t>
  </si>
  <si>
    <t>FRIJAN16,2015</t>
  </si>
  <si>
    <t>SATJAN17,2015</t>
  </si>
  <si>
    <t>SUNJAN18,2015</t>
  </si>
  <si>
    <t>MONJAN19,2015</t>
  </si>
  <si>
    <t>TUEJAN20,2015</t>
  </si>
  <si>
    <t>WEDJAN21,2015</t>
  </si>
  <si>
    <t>TUEJAN27,2015</t>
  </si>
  <si>
    <t>WEDJAN28,2015</t>
  </si>
  <si>
    <t>THUJAN29,2015</t>
  </si>
  <si>
    <t>FRIJAN30,2015</t>
  </si>
  <si>
    <t>SATJAN31,2015</t>
  </si>
  <si>
    <t>SUNFEB1,2015</t>
  </si>
  <si>
    <t>MONFEB2,2015</t>
  </si>
  <si>
    <t>TUEFEB3,2015</t>
  </si>
  <si>
    <t>WEDFEB4,2015</t>
  </si>
  <si>
    <t>THUFEB5,2015</t>
  </si>
  <si>
    <t>FRIFEB6,2015</t>
  </si>
  <si>
    <t>SATFEB7,2015</t>
  </si>
  <si>
    <t>SUNFEB8,2015</t>
  </si>
  <si>
    <t>MONFEB9,2015</t>
  </si>
  <si>
    <t>TUEFEB10,2015</t>
  </si>
  <si>
    <t>WEDFEB11,2015</t>
  </si>
  <si>
    <t>THUFEB12,2015</t>
  </si>
  <si>
    <t>FRIFEB13,2015</t>
  </si>
  <si>
    <t>SATFEB14,2015</t>
  </si>
  <si>
    <t>SUNFEB15,2015</t>
  </si>
  <si>
    <t>MONFEB16,2015</t>
  </si>
  <si>
    <t>TUEFEB17,2015</t>
  </si>
  <si>
    <t>WEDFEB18,2015</t>
  </si>
  <si>
    <t>THUFEB19,2015</t>
  </si>
  <si>
    <t>FRIFEB20,2015</t>
  </si>
  <si>
    <t>SATFEB21,2015</t>
  </si>
  <si>
    <t>SUNFEB22,2015</t>
  </si>
  <si>
    <t>MONFEB23,2015</t>
  </si>
  <si>
    <t>TUEFEB24,2015</t>
  </si>
  <si>
    <t>WEDFEB25,2015</t>
  </si>
  <si>
    <t>THUFEB26,2015</t>
  </si>
  <si>
    <t>FRIFEB27,2015</t>
  </si>
  <si>
    <t>SATFEB28,2015</t>
  </si>
  <si>
    <t>Team</t>
  </si>
  <si>
    <t>Rating</t>
  </si>
  <si>
    <t>PHOENIX</t>
  </si>
  <si>
    <t/>
  </si>
  <si>
    <t>0</t>
  </si>
  <si>
    <t>2</t>
  </si>
  <si>
    <t>1</t>
  </si>
  <si>
    <t>3</t>
  </si>
  <si>
    <t>6</t>
  </si>
  <si>
    <t>4</t>
  </si>
  <si>
    <t>5</t>
  </si>
  <si>
    <t>7</t>
  </si>
  <si>
    <t>9</t>
  </si>
  <si>
    <t>Predicted</t>
  </si>
  <si>
    <t>Home ice adv</t>
  </si>
  <si>
    <t>Obj</t>
  </si>
  <si>
    <t>Min</t>
  </si>
  <si>
    <t>Avg</t>
  </si>
  <si>
    <t>Name</t>
  </si>
  <si>
    <t>GP</t>
  </si>
  <si>
    <t>Points</t>
  </si>
  <si>
    <t>NYI</t>
  </si>
  <si>
    <t>WSH</t>
  </si>
  <si>
    <t>PIT</t>
  </si>
  <si>
    <t>PHI</t>
  </si>
  <si>
    <t>STL</t>
  </si>
  <si>
    <t>TBL</t>
  </si>
  <si>
    <t>CHI</t>
  </si>
  <si>
    <t>NYR</t>
  </si>
  <si>
    <t>DAL</t>
  </si>
  <si>
    <t>ANA</t>
  </si>
  <si>
    <t>VAN</t>
  </si>
  <si>
    <t>MTL</t>
  </si>
  <si>
    <t>CGY</t>
  </si>
  <si>
    <t>DET</t>
  </si>
  <si>
    <t>WPG</t>
  </si>
  <si>
    <t>NSH</t>
  </si>
  <si>
    <t>MIN</t>
  </si>
  <si>
    <t>TOR</t>
  </si>
  <si>
    <t>OTT</t>
  </si>
  <si>
    <t>EDM</t>
  </si>
  <si>
    <t>COL</t>
  </si>
  <si>
    <t>BOS</t>
  </si>
  <si>
    <t>CAR</t>
  </si>
  <si>
    <t>FLA</t>
  </si>
  <si>
    <t>NJD</t>
  </si>
  <si>
    <t>BUF</t>
  </si>
  <si>
    <t>ARI</t>
  </si>
  <si>
    <t>http://www.nhl.com/stats/player?navid=nav-sts-indiv</t>
  </si>
  <si>
    <t>http://www.nhl.com/ice/schedulebymonth.htm?month=201503</t>
  </si>
  <si>
    <t>MONTREAL</t>
  </si>
  <si>
    <t>G/GP</t>
  </si>
  <si>
    <t>GA/GP</t>
  </si>
  <si>
    <t>East</t>
  </si>
  <si>
    <t>West</t>
  </si>
  <si>
    <t>Montreal</t>
  </si>
  <si>
    <t>Tampa Bay</t>
  </si>
  <si>
    <t>Pittsburgh</t>
  </si>
  <si>
    <t>Washington</t>
  </si>
  <si>
    <t>Nashville</t>
  </si>
  <si>
    <t>Anaheim</t>
  </si>
  <si>
    <t>St. Louis</t>
  </si>
  <si>
    <t>Detroit</t>
  </si>
  <si>
    <t>Vancouver</t>
  </si>
  <si>
    <t>Calgary</t>
  </si>
  <si>
    <t>Chicago</t>
  </si>
  <si>
    <t>Winnipeg</t>
  </si>
  <si>
    <t>Minnesota</t>
  </si>
  <si>
    <t>NY Rangers</t>
  </si>
  <si>
    <t>NY Islanders</t>
  </si>
  <si>
    <t>Game</t>
  </si>
  <si>
    <t>Rd 1</t>
  </si>
  <si>
    <t>Rk Rating</t>
  </si>
  <si>
    <t>Random Ranking</t>
  </si>
  <si>
    <t>Rand Goals</t>
  </si>
  <si>
    <t>Avg G/GP</t>
  </si>
  <si>
    <t>StDev</t>
  </si>
  <si>
    <t>Winner</t>
  </si>
  <si>
    <t>Game 1</t>
  </si>
  <si>
    <t>Game 2</t>
  </si>
  <si>
    <t>Game 3</t>
  </si>
  <si>
    <t>Game 4</t>
  </si>
  <si>
    <t>Game 5</t>
  </si>
  <si>
    <t>Game 6</t>
  </si>
  <si>
    <t>Game 7</t>
  </si>
  <si>
    <t>Round 1</t>
  </si>
  <si>
    <t>Round 2</t>
  </si>
  <si>
    <t>Round 3</t>
  </si>
  <si>
    <t>Championship</t>
  </si>
  <si>
    <t>Champ</t>
  </si>
  <si>
    <t>Avg GA/GP</t>
  </si>
  <si>
    <t>Avg GA</t>
  </si>
  <si>
    <t>X</t>
  </si>
  <si>
    <t>Real Goals</t>
  </si>
  <si>
    <t>Rand Rank</t>
  </si>
  <si>
    <t>Rank</t>
  </si>
  <si>
    <t>SUN MAR 1, 2015</t>
  </si>
  <si>
    <t>MON MAR 2, 2015</t>
  </si>
  <si>
    <t>TUE MAR 3, 2015</t>
  </si>
  <si>
    <t>WED MAR 4, 2015</t>
  </si>
  <si>
    <t>THU MAR 5, 2015</t>
  </si>
  <si>
    <t>FRI MAR 6, 2015</t>
  </si>
  <si>
    <t>SAT MAR 7, 2015</t>
  </si>
  <si>
    <t>SUN MAR 8, 2015</t>
  </si>
  <si>
    <t>MON MAR 9, 2015</t>
  </si>
  <si>
    <t>TUE MAR 10, 2015</t>
  </si>
  <si>
    <t>WED MAR 11, 2015</t>
  </si>
  <si>
    <t>THU MAR 12, 2015</t>
  </si>
  <si>
    <t>FRI MAR 13, 2015</t>
  </si>
  <si>
    <t>SAT MAR 14, 2015</t>
  </si>
  <si>
    <t>SUN MAR 15, 2015</t>
  </si>
  <si>
    <t>MON MAR 16, 2015</t>
  </si>
  <si>
    <t>TUE MAR 17, 2015</t>
  </si>
  <si>
    <t>WED MAR 18, 2015</t>
  </si>
  <si>
    <t>THU MAR 19, 2015</t>
  </si>
  <si>
    <t>FRI MAR 20, 2015</t>
  </si>
  <si>
    <t>SAT MAR 21, 2015</t>
  </si>
  <si>
    <t>SUN MAR 22, 2015</t>
  </si>
  <si>
    <t>MON MAR 23, 2015</t>
  </si>
  <si>
    <t>TUE MAR 24, 2015</t>
  </si>
  <si>
    <t>WED MAR 25, 2015</t>
  </si>
  <si>
    <t>THU MAR 26, 2015</t>
  </si>
  <si>
    <t>FRI MAR 27, 2015</t>
  </si>
  <si>
    <t>SAT MAR 28, 2015</t>
  </si>
  <si>
    <t>SUN MAR 29, 2015</t>
  </si>
  <si>
    <t>MON MAR 30, 2015</t>
  </si>
  <si>
    <t>TUE MAR 31, 2015</t>
  </si>
  <si>
    <t>Stanley Cup Champ</t>
  </si>
  <si>
    <t>East 1st Round</t>
  </si>
  <si>
    <t>West 1st Round</t>
  </si>
  <si>
    <t>East 2nd Round</t>
  </si>
  <si>
    <t>West 2nd Round</t>
  </si>
  <si>
    <t>Champs</t>
  </si>
  <si>
    <t>Win Rd 1</t>
  </si>
  <si>
    <t>Win Rd 2</t>
  </si>
  <si>
    <t>Win Rd 3</t>
  </si>
  <si>
    <t>Avg Games</t>
  </si>
  <si>
    <t>Games in Series</t>
  </si>
  <si>
    <t>http://sports.yahoo.com/nhl/stats/byteam</t>
  </si>
  <si>
    <t>G</t>
  </si>
  <si>
    <t>A</t>
  </si>
  <si>
    <t>GFA</t>
  </si>
  <si>
    <t>GAA</t>
  </si>
  <si>
    <t>Ottawa</t>
  </si>
  <si>
    <t>Pts</t>
  </si>
  <si>
    <t> Jamie Benn</t>
  </si>
  <si>
    <t> John Tavares</t>
  </si>
  <si>
    <t> Sidney Crosby</t>
  </si>
  <si>
    <t> Jakub Voracek</t>
  </si>
  <si>
    <t> Alex Ovechkin</t>
  </si>
  <si>
    <t>WAS</t>
  </si>
  <si>
    <t> Nicklas Backstrom</t>
  </si>
  <si>
    <t> Tyler Seguin</t>
  </si>
  <si>
    <t> Jiri Hudler</t>
  </si>
  <si>
    <t> Daniel Sedin</t>
  </si>
  <si>
    <t> Nick Foligno</t>
  </si>
  <si>
    <t>COB</t>
  </si>
  <si>
    <t> Claude Giroux</t>
  </si>
  <si>
    <t> Vladimir Tarasenko</t>
  </si>
  <si>
    <t> Henrik Sedin</t>
  </si>
  <si>
    <t> Steven Stamkos</t>
  </si>
  <si>
    <t>TAM</t>
  </si>
  <si>
    <t> Tyler Johnson</t>
  </si>
  <si>
    <t> Ryan Johansen</t>
  </si>
  <si>
    <t> Joe Pavelski</t>
  </si>
  <si>
    <t>SAN</t>
  </si>
  <si>
    <t> Evgeni Malkin</t>
  </si>
  <si>
    <t> Ryan Getzlaf</t>
  </si>
  <si>
    <t> Rick Nash</t>
  </si>
  <si>
    <t> Max Pacioretty</t>
  </si>
  <si>
    <t>MON</t>
  </si>
  <si>
    <t> Logan Couture</t>
  </si>
  <si>
    <t> Henrik Zetterberg</t>
  </si>
  <si>
    <t> Jonathan Toews</t>
  </si>
  <si>
    <t> Erik Karlsson</t>
  </si>
  <si>
    <t> Joe Thornton</t>
  </si>
  <si>
    <t> Pavel Datsyuk</t>
  </si>
  <si>
    <t> Johnny Gaudreau</t>
  </si>
  <si>
    <t> Nikita Kucherov</t>
  </si>
  <si>
    <t> Mark Stone</t>
  </si>
  <si>
    <t> Alexander Steen</t>
  </si>
  <si>
    <t> Anze Kopitar</t>
  </si>
  <si>
    <t>LOS</t>
  </si>
  <si>
    <t> Patrick Kane</t>
  </si>
  <si>
    <t> Kyle Turris</t>
  </si>
  <si>
    <t> Jordan Eberle</t>
  </si>
  <si>
    <t> Jaden Schwartz</t>
  </si>
  <si>
    <t> Ondrej Palat</t>
  </si>
  <si>
    <t> Radim Vrbata</t>
  </si>
  <si>
    <t> Filip Forsberg</t>
  </si>
  <si>
    <t>NAS</t>
  </si>
  <si>
    <t> Andrew Ladd</t>
  </si>
  <si>
    <t> Mike Ribeiro</t>
  </si>
  <si>
    <t> Sean Monahan</t>
  </si>
  <si>
    <t> Zach Parise</t>
  </si>
  <si>
    <t> Jason Spezza</t>
  </si>
  <si>
    <t> Jeff Carter</t>
  </si>
  <si>
    <t> Marian Hossa</t>
  </si>
  <si>
    <t> Blake Wheeler</t>
  </si>
  <si>
    <t> Phil Kessel</t>
  </si>
  <si>
    <t> Derick Brassard</t>
  </si>
  <si>
    <t> Scott Hartnell</t>
  </si>
  <si>
    <t> P.K. Subban</t>
  </si>
  <si>
    <t> Tomas Plekanec</t>
  </si>
  <si>
    <t> Brent Burns</t>
  </si>
  <si>
    <t> Gabriel Landeskog</t>
  </si>
  <si>
    <t> Jarome Iginla</t>
  </si>
  <si>
    <t> David Backes</t>
  </si>
  <si>
    <t> Patrick Marleau</t>
  </si>
  <si>
    <t> Ryan Nugent-Hopkins</t>
  </si>
  <si>
    <t> James van Riemsdyk</t>
  </si>
  <si>
    <t> Dennis Wideman</t>
  </si>
  <si>
    <t> Tomas Tatar</t>
  </si>
  <si>
    <t> Matt Duchene</t>
  </si>
  <si>
    <t> John Carlson</t>
  </si>
  <si>
    <t> Ryan O'Reilly</t>
  </si>
  <si>
    <t> Roman Josi</t>
  </si>
  <si>
    <t> Corey Perry</t>
  </si>
  <si>
    <t> T.J. Oshie</t>
  </si>
  <si>
    <t> Patrice Bergeron</t>
  </si>
  <si>
    <t> Alex Tanguay</t>
  </si>
  <si>
    <t> Derek Stepan</t>
  </si>
  <si>
    <t> Eric Staal</t>
  </si>
  <si>
    <t> Bobby Ryan</t>
  </si>
  <si>
    <t> Jason Pominville</t>
  </si>
  <si>
    <t> Ryan Callahan</t>
  </si>
  <si>
    <t> Jonathan Huberdeau</t>
  </si>
  <si>
    <t> Gustav Nyquist</t>
  </si>
  <si>
    <t> Kris Letang</t>
  </si>
  <si>
    <t> Tyson Barrie</t>
  </si>
  <si>
    <t> Mark Streit</t>
  </si>
  <si>
    <t> Brandon Saad</t>
  </si>
  <si>
    <t> Keith Yandle</t>
  </si>
  <si>
    <t> Bryan Little</t>
  </si>
  <si>
    <t> Thomas Vanek</t>
  </si>
  <si>
    <t> Martin St. Louis</t>
  </si>
  <si>
    <t> Kyle Okposo</t>
  </si>
  <si>
    <t> Patric Hornqvist</t>
  </si>
  <si>
    <t> Andrei Markov</t>
  </si>
  <si>
    <t> Ryan Strome</t>
  </si>
  <si>
    <t> Wayne Simmonds</t>
  </si>
  <si>
    <t> Tyler Bozak</t>
  </si>
  <si>
    <t> Mats Zuccarello</t>
  </si>
  <si>
    <t> Mark Scheifele</t>
  </si>
  <si>
    <t> Justin Faulk</t>
  </si>
  <si>
    <t> Tyler Toffoli</t>
  </si>
  <si>
    <t> Mikko Koivu</t>
  </si>
  <si>
    <t> Mike Hoffman</t>
  </si>
  <si>
    <t> Mark Giordano</t>
  </si>
  <si>
    <t> Valtteri Filppula</t>
  </si>
  <si>
    <t> David Desharnais</t>
  </si>
  <si>
    <t> Brendan Gallagher</t>
  </si>
  <si>
    <t> Brayden Schenn</t>
  </si>
  <si>
    <t> Ryan Kesler</t>
  </si>
  <si>
    <t> Jaromir Jagr</t>
  </si>
  <si>
    <t> Loui Eriksson</t>
  </si>
  <si>
    <t> Marian Gaborik</t>
  </si>
  <si>
    <t> Marcus Johansson</t>
  </si>
  <si>
    <t> Alex Pietrangelo</t>
  </si>
  <si>
    <t> Drew Doughty</t>
  </si>
  <si>
    <t> Tyler Ennis</t>
  </si>
  <si>
    <t> Mika Zibanejad</t>
  </si>
  <si>
    <t> Alex Galchenyuk</t>
  </si>
  <si>
    <t> Chris Kreider</t>
  </si>
  <si>
    <t> Paul Stastny</t>
  </si>
  <si>
    <t> Kevin Hayes</t>
  </si>
  <si>
    <t> Mike Green</t>
  </si>
  <si>
    <t> Duncan Keith</t>
  </si>
  <si>
    <t> Shea Weber</t>
  </si>
  <si>
    <t> Dustin Byfuglien</t>
  </si>
  <si>
    <t> Justin Abdelkader</t>
  </si>
  <si>
    <t> Jori Lehtera</t>
  </si>
  <si>
    <t> Niklas Kronwall</t>
  </si>
  <si>
    <t> Craig Smith</t>
  </si>
  <si>
    <t> Kevin Shattenkirk</t>
  </si>
  <si>
    <t> Milan Lucic</t>
  </si>
  <si>
    <t> Jussi Jokinen</t>
  </si>
  <si>
    <t> Carl Soderberg</t>
  </si>
  <si>
    <t> Nick Bjugstad</t>
  </si>
  <si>
    <t> Frans Nielsen</t>
  </si>
  <si>
    <t> Adam Henrique</t>
  </si>
  <si>
    <t> Drew Stafford</t>
  </si>
  <si>
    <t> Patrick Sharp</t>
  </si>
  <si>
    <t> Troy Brouwer</t>
  </si>
  <si>
    <t> Oliver Ekman-Larsson</t>
  </si>
  <si>
    <t> Dougie Hamilton</t>
  </si>
  <si>
    <t> Brad Marchand</t>
  </si>
  <si>
    <t> Michael Cammalleri</t>
  </si>
  <si>
    <t> Colin Wilson</t>
  </si>
  <si>
    <t> Brock Nelson</t>
  </si>
  <si>
    <t> Michael Frolik</t>
  </si>
  <si>
    <t> Sam Gagner</t>
  </si>
  <si>
    <t> T.J. Brodie</t>
  </si>
  <si>
    <t> Mathieu Perreault</t>
  </si>
  <si>
    <t> Anders Lee</t>
  </si>
  <si>
    <t> Matt Moulson</t>
  </si>
  <si>
    <t> Jake Muzzin</t>
  </si>
  <si>
    <t> Josh Bailey</t>
  </si>
  <si>
    <t> Justin Williams</t>
  </si>
  <si>
    <t> David Perron</t>
  </si>
  <si>
    <t> Jack Johnson</t>
  </si>
  <si>
    <t> Reilly Smith</t>
  </si>
  <si>
    <t> John Klingberg</t>
  </si>
  <si>
    <t> Chris Kunitz</t>
  </si>
  <si>
    <t> Cam Atkinson</t>
  </si>
  <si>
    <t> Cody Eakin</t>
  </si>
  <si>
    <t> Nazem Kadri</t>
  </si>
  <si>
    <t> Torey Krug</t>
  </si>
  <si>
    <t> Mike Fisher</t>
  </si>
  <si>
    <t> Aaron Ekblad</t>
  </si>
  <si>
    <t> Mikael Granlund</t>
  </si>
  <si>
    <t> Nick Bonino</t>
  </si>
  <si>
    <t> Elias Lindholm</t>
  </si>
  <si>
    <t> Erik Cole</t>
  </si>
  <si>
    <t> Jakob Silfverberg</t>
  </si>
  <si>
    <t> Anton Stralman</t>
  </si>
  <si>
    <t> Nathan MacKinnon</t>
  </si>
  <si>
    <t> Antoine Vermette</t>
  </si>
  <si>
    <t> Brad Boyes</t>
  </si>
  <si>
    <t> Alex Killorn</t>
  </si>
  <si>
    <t> Taylor Hall</t>
  </si>
  <si>
    <t> Ryan Suter</t>
  </si>
  <si>
    <t> Victor Hedman</t>
  </si>
  <si>
    <t> Trevor Daley</t>
  </si>
  <si>
    <t> Evgeny Kuznetsov</t>
  </si>
  <si>
    <t> Brad Richards</t>
  </si>
  <si>
    <t> Nick Leddy</t>
  </si>
  <si>
    <t> Sean Couturier</t>
  </si>
  <si>
    <t> Sami Vatanen</t>
  </si>
  <si>
    <t> James Neal</t>
  </si>
  <si>
    <t> Nino Niederreiter</t>
  </si>
  <si>
    <t> Alex Goligoski</t>
  </si>
  <si>
    <t> Shane Doan</t>
  </si>
  <si>
    <t> Tommy Wingels</t>
  </si>
  <si>
    <t> Chris Higgins</t>
  </si>
  <si>
    <t> Riley Sheahan</t>
  </si>
  <si>
    <t> David Savard</t>
  </si>
  <si>
    <t> Chris Stewart</t>
  </si>
  <si>
    <t> Cody Franson</t>
  </si>
  <si>
    <t> Aleksander Barkov</t>
  </si>
  <si>
    <t> Clarke MacArthur</t>
  </si>
  <si>
    <t> Brandon Dubinsky</t>
  </si>
  <si>
    <t> Brian Gionta</t>
  </si>
  <si>
    <t> Jimmy Hayes</t>
  </si>
  <si>
    <t> Curtis Glencross</t>
  </si>
  <si>
    <t> Johnny Boychuk</t>
  </si>
  <si>
    <t> Charlie Coyle</t>
  </si>
  <si>
    <t> Carl Hagelin</t>
  </si>
  <si>
    <t> Patrik Elias</t>
  </si>
  <si>
    <t> Benoit Pouliot</t>
  </si>
  <si>
    <t> Kris Versteeg</t>
  </si>
  <si>
    <t> Marek Zidlicky</t>
  </si>
  <si>
    <t> Kris Russell</t>
  </si>
  <si>
    <t> Scott Gomez</t>
  </si>
  <si>
    <t> Milan Michalek</t>
  </si>
  <si>
    <t> Hampus Lindholm</t>
  </si>
  <si>
    <t> Cam Fowler</t>
  </si>
  <si>
    <t> James Wisniewski</t>
  </si>
  <si>
    <t> Daniel Winnik</t>
  </si>
  <si>
    <t> Lance Bouma</t>
  </si>
  <si>
    <t> Patrick Maroon</t>
  </si>
  <si>
    <t> Joel Ward</t>
  </si>
  <si>
    <t> Teddy Purcell</t>
  </si>
  <si>
    <t> Darren Helm</t>
  </si>
  <si>
    <t> Brandon Sutter</t>
  </si>
  <si>
    <t> Travis Hamonic</t>
  </si>
  <si>
    <t> Eric Fehr</t>
  </si>
  <si>
    <t> Alexandre Burrows</t>
  </si>
  <si>
    <t> Mike Santorelli</t>
  </si>
  <si>
    <t> Victor Rask</t>
  </si>
  <si>
    <t> Nail Yakupov</t>
  </si>
  <si>
    <t> Ryan McDonagh</t>
  </si>
  <si>
    <t> Jannik Hansen</t>
  </si>
  <si>
    <t> Michael Del Zotto</t>
  </si>
  <si>
    <t> Jonathan Drouin</t>
  </si>
  <si>
    <t> Steve Bernier</t>
  </si>
  <si>
    <t> Martin Erat</t>
  </si>
  <si>
    <t> Derek Roy</t>
  </si>
  <si>
    <t> Ales Hemsky</t>
  </si>
  <si>
    <t> Matt Beleskey</t>
  </si>
  <si>
    <t> David Krejci</t>
  </si>
  <si>
    <t> Danny DeKeyser</t>
  </si>
  <si>
    <t> Tomas Hertl</t>
  </si>
  <si>
    <t> Nikolay Kulemin</t>
  </si>
  <si>
    <t> Jeff Skinner</t>
  </si>
  <si>
    <t> Justin Fontaine</t>
  </si>
  <si>
    <t> Mark Arcobello</t>
  </si>
  <si>
    <t> Rickard Rakell</t>
  </si>
  <si>
    <t> Jiri Tlusty</t>
  </si>
  <si>
    <t> Justin Schultz</t>
  </si>
  <si>
    <t> Alexander Edler</t>
  </si>
  <si>
    <t> Brent Seabrook</t>
  </si>
  <si>
    <t> Matt Niskanen</t>
  </si>
  <si>
    <t> Blake Comeau</t>
  </si>
  <si>
    <t> Matt Read</t>
  </si>
  <si>
    <t> David Jones</t>
  </si>
  <si>
    <t> Jason Garrison</t>
  </si>
  <si>
    <t> Zemgus Girgensons</t>
  </si>
  <si>
    <t> Kyle Palmieri</t>
  </si>
  <si>
    <t> Dion Phaneuf</t>
  </si>
  <si>
    <t> Morgan Rielly</t>
  </si>
  <si>
    <t> Vernon Fiddler</t>
  </si>
  <si>
    <t> Shawn Horcoff</t>
  </si>
  <si>
    <t> Andrew Cogliano</t>
  </si>
  <si>
    <t> Dale Weise</t>
  </si>
  <si>
    <t> Bryan Bickell</t>
  </si>
  <si>
    <t> Michael Raffl</t>
  </si>
  <si>
    <t> Joe Colborne</t>
  </si>
  <si>
    <t> Lee Stempniak</t>
  </si>
  <si>
    <t> Nathan Gerbe</t>
  </si>
  <si>
    <t> Tyler Myers</t>
  </si>
  <si>
    <t> Chris Kelly</t>
  </si>
  <si>
    <t> Steve Downie</t>
  </si>
  <si>
    <t> Mikkel Boedker</t>
  </si>
  <si>
    <t> Shawn Matthias</t>
  </si>
  <si>
    <t> Ryan Ellis</t>
  </si>
  <si>
    <t> Brian Campbell</t>
  </si>
  <si>
    <t> Tomas Fleischmann</t>
  </si>
  <si>
    <t> Dominic Moore</t>
  </si>
  <si>
    <t> Patrik Berglund</t>
  </si>
  <si>
    <t> David Pastrnak</t>
  </si>
  <si>
    <t> Dustin Brown</t>
  </si>
  <si>
    <t> Nick Spaling</t>
  </si>
  <si>
    <t> David Legwand</t>
  </si>
  <si>
    <t> Matthew Nieto</t>
  </si>
  <si>
    <t> Patrick Eaves</t>
  </si>
  <si>
    <t> Lars Eller</t>
  </si>
  <si>
    <t> Mikael Backlund</t>
  </si>
  <si>
    <t> Seth Jones</t>
  </si>
  <si>
    <t> Artem Anisimov</t>
  </si>
  <si>
    <t> John Mitchell</t>
  </si>
  <si>
    <t> Alex Chiasson</t>
  </si>
  <si>
    <t> Jason Zucker</t>
  </si>
  <si>
    <t> Leo Komarov</t>
  </si>
  <si>
    <t> Andrew Shaw</t>
  </si>
  <si>
    <t> Kevin Klein</t>
  </si>
  <si>
    <t> Colton Sceviour</t>
  </si>
  <si>
    <t> Dwight King</t>
  </si>
  <si>
    <t> Peter Holland</t>
  </si>
  <si>
    <t> Jared Spurgeon</t>
  </si>
  <si>
    <t> Travis Zajac</t>
  </si>
  <si>
    <t> Derek Dorsett</t>
  </si>
  <si>
    <t> Bo Horvat</t>
  </si>
  <si>
    <t> Ryan Garbutt</t>
  </si>
  <si>
    <t> Jason Demers</t>
  </si>
  <si>
    <t> Riley Nash</t>
  </si>
  <si>
    <t> Stephen Weiss</t>
  </si>
  <si>
    <t> Antoine Roussel</t>
  </si>
  <si>
    <t> Matt Cullen</t>
  </si>
  <si>
    <t> Trevor Lewis</t>
  </si>
  <si>
    <t> Brayden McNabb</t>
  </si>
  <si>
    <t> Jordan Staal</t>
  </si>
  <si>
    <t> Josh Jooris</t>
  </si>
  <si>
    <t> Jake Gardiner</t>
  </si>
  <si>
    <t> Brandon Pirri</t>
  </si>
  <si>
    <t> Martin Hanzal</t>
  </si>
  <si>
    <t> Brian Boyle</t>
  </si>
  <si>
    <t> Melker Karlsson</t>
  </si>
  <si>
    <t> Linden Vey</t>
  </si>
  <si>
    <t> Adam Larsson</t>
  </si>
  <si>
    <t> Dave Bolland</t>
  </si>
  <si>
    <t> Marco Scandella</t>
  </si>
  <si>
    <t> Toby Enstrom</t>
  </si>
  <si>
    <t> Dan Hamhuis</t>
  </si>
  <si>
    <t> Mason Raymond</t>
  </si>
  <si>
    <t> Andrej Sekera</t>
  </si>
  <si>
    <t> Francois Beauchemin</t>
  </si>
  <si>
    <t> Erik Johnson</t>
  </si>
  <si>
    <t> J.T. Miller</t>
  </si>
  <si>
    <t> Simon Despres</t>
  </si>
  <si>
    <t> Justin Braun</t>
  </si>
  <si>
    <t> Marc-Edouard Vlasic</t>
  </si>
  <si>
    <t> Erik Condra</t>
  </si>
  <si>
    <t> Jiri Sekac</t>
  </si>
  <si>
    <t> Adam Lowry</t>
  </si>
  <si>
    <t> Matt Calvert</t>
  </si>
  <si>
    <t> Alec Martinez</t>
  </si>
  <si>
    <t> John-Michael Liles</t>
  </si>
  <si>
    <t> Thomas Hickey</t>
  </si>
  <si>
    <t> Jeff Petry</t>
  </si>
  <si>
    <t> Pierre-Alexandr Parenteau</t>
  </si>
  <si>
    <t> Vincent Trocheck</t>
  </si>
  <si>
    <t> Jacob Trouba</t>
  </si>
  <si>
    <t> Dmitry Kulikov</t>
  </si>
  <si>
    <t> Andy Greene</t>
  </si>
  <si>
    <t> Andre Burakovsky</t>
  </si>
  <si>
    <t> Evander Kane</t>
  </si>
  <si>
    <t> Johan Franzen</t>
  </si>
  <si>
    <t> Jay McClement</t>
  </si>
  <si>
    <t> Yannick Weber</t>
  </si>
  <si>
    <t> Tobias Rieder</t>
  </si>
  <si>
    <t> Cody Ceci</t>
  </si>
  <si>
    <t> Chris Tierney</t>
  </si>
  <si>
    <t> Lauri Korpikoski</t>
  </si>
  <si>
    <t> Kevin Connauton</t>
  </si>
  <si>
    <t> Brad Richardson</t>
  </si>
  <si>
    <t> Karl Alzner</t>
  </si>
  <si>
    <t> Joffrey Lupul</t>
  </si>
  <si>
    <t> Marko Dano</t>
  </si>
  <si>
    <t> Oscar Klefbom</t>
  </si>
  <si>
    <t> Dan Girardi</t>
  </si>
  <si>
    <t> Jay Beagle</t>
  </si>
  <si>
    <t> Vincent Lecavalier</t>
  </si>
  <si>
    <t> Devante Smith-Pelly</t>
  </si>
  <si>
    <t> Marc Staal</t>
  </si>
  <si>
    <t> Brooks Laich</t>
  </si>
  <si>
    <t> Alexander Wennberg</t>
  </si>
  <si>
    <t> Christopher Tanev</t>
  </si>
  <si>
    <t> Anton Lander</t>
  </si>
  <si>
    <t> Chris Terry</t>
  </si>
  <si>
    <t> Rasmus Ristolainen</t>
  </si>
  <si>
    <t> Zach Bogosian</t>
  </si>
  <si>
    <t> Andrej Nestrasil</t>
  </si>
  <si>
    <t> Lubomir Visnovsky</t>
  </si>
  <si>
    <t> Kyle Brodziak</t>
  </si>
  <si>
    <t> Paul Martin</t>
  </si>
  <si>
    <t> Dan Boyle</t>
  </si>
  <si>
    <t> Marcus Foligno</t>
  </si>
  <si>
    <t> Zach Redmond</t>
  </si>
  <si>
    <t> Zdeno Chara</t>
  </si>
  <si>
    <t> Paul Byron</t>
  </si>
  <si>
    <t> Eric Gelinas</t>
  </si>
  <si>
    <t> Michael Ryder</t>
  </si>
  <si>
    <t> Cedric Paquette</t>
  </si>
  <si>
    <t> Mikhail Grabovski</t>
  </si>
  <si>
    <t> Sean Bergenheim</t>
  </si>
  <si>
    <t> Jean-Gabriel Pageau</t>
  </si>
  <si>
    <t> Jason Chimera</t>
  </si>
  <si>
    <t> Niklas Hjalmarsson</t>
  </si>
  <si>
    <t> Alexander Semin</t>
  </si>
  <si>
    <t> Brooks Orpik</t>
  </si>
  <si>
    <t> Matt Irwin</t>
  </si>
  <si>
    <t> James Sheppard</t>
  </si>
  <si>
    <t> Markus Granlund</t>
  </si>
  <si>
    <t> Calle Jarnkrok</t>
  </si>
  <si>
    <t> Nate Thompson</t>
  </si>
  <si>
    <t> Max Talbot</t>
  </si>
  <si>
    <t> Michael Stone</t>
  </si>
  <si>
    <t> Ryan Spooner</t>
  </si>
  <si>
    <t> Luke Glendening</t>
  </si>
  <si>
    <t> Casey Cizikas</t>
  </si>
  <si>
    <t> Matthew Carle</t>
  </si>
  <si>
    <t> Tomas Jurco</t>
  </si>
  <si>
    <t> Kyle Quincey</t>
  </si>
  <si>
    <t> Mattias Ekholm</t>
  </si>
  <si>
    <t> Dmitrij Jaskin</t>
  </si>
  <si>
    <t> Brandon Prust</t>
  </si>
  <si>
    <t> Jarret Stoll</t>
  </si>
  <si>
    <t> Ian Cole</t>
  </si>
  <si>
    <t> Damon Severson</t>
  </si>
  <si>
    <t> Brett Connolly</t>
  </si>
  <si>
    <t> Brian Flynn</t>
  </si>
  <si>
    <t> Tom Wilson</t>
  </si>
  <si>
    <t> Richard Panik</t>
  </si>
  <si>
    <t> Matt Stajan</t>
  </si>
  <si>
    <t> Boone Jenner</t>
  </si>
  <si>
    <t> Marcus Kruger</t>
  </si>
  <si>
    <t> Jonas Brodin</t>
  </si>
  <si>
    <t> Cal Clutterbuck</t>
  </si>
  <si>
    <t> Matt Hendricks</t>
  </si>
  <si>
    <t> Taylor Beck</t>
  </si>
  <si>
    <t> Mike Richards</t>
  </si>
  <si>
    <t> Jordie Benn</t>
  </si>
  <si>
    <t> Zack Kassian</t>
  </si>
  <si>
    <t> Vladislav Namestnikov</t>
  </si>
  <si>
    <t> Johan Larsson</t>
  </si>
  <si>
    <t> Tanner Pearson</t>
  </si>
  <si>
    <t> Matt Dumba</t>
  </si>
  <si>
    <t> David Clarkson</t>
  </si>
  <si>
    <t> Jordin Tootoo</t>
  </si>
  <si>
    <t> R.J. Umberger</t>
  </si>
  <si>
    <t> Chris VandeVelde</t>
  </si>
  <si>
    <t> Kyle Clifford</t>
  </si>
  <si>
    <t> Scottie Upshall</t>
  </si>
  <si>
    <t> Fedor Tyutin</t>
  </si>
  <si>
    <t> Nicolas Deslauriers</t>
  </si>
  <si>
    <t> Nikita Zadorov</t>
  </si>
  <si>
    <t> Brad Malone</t>
  </si>
  <si>
    <t> Barret Jackman</t>
  </si>
  <si>
    <t> Jonathan Ericsson</t>
  </si>
  <si>
    <t> Curtis Lazar</t>
  </si>
  <si>
    <t> Nick Schultz</t>
  </si>
  <si>
    <t> Nate Guenin</t>
  </si>
  <si>
    <t> Erik Haula</t>
  </si>
  <si>
    <t> Nick Holden</t>
  </si>
  <si>
    <t> Ben Smith</t>
  </si>
  <si>
    <t> David Rundblad</t>
  </si>
  <si>
    <t> Paul Gaustad</t>
  </si>
  <si>
    <t> Chris Thorburn</t>
  </si>
  <si>
    <t> Kyle Chipchura</t>
  </si>
  <si>
    <t> Alexei Emelin</t>
  </si>
  <si>
    <t> Andrej Meszaros</t>
  </si>
  <si>
    <t> Matt Martin</t>
  </si>
  <si>
    <t> Kevin Bieksa</t>
  </si>
  <si>
    <t> Dennis Seidenberg</t>
  </si>
  <si>
    <t> Mark Stuart</t>
  </si>
  <si>
    <t> Rene Bourque</t>
  </si>
  <si>
    <t> Nicklas Grossmann</t>
  </si>
  <si>
    <t> Andrew Ference</t>
  </si>
  <si>
    <t> Luke Schenn</t>
  </si>
  <si>
    <t> Torrey Mitchell</t>
  </si>
  <si>
    <t> Jesper Fast</t>
  </si>
  <si>
    <t> Christian Ehrhoff</t>
  </si>
  <si>
    <t> Jon Merrill</t>
  </si>
  <si>
    <t> Sergei Gonchar</t>
  </si>
  <si>
    <t> Tyler Kennedy</t>
  </si>
  <si>
    <t> Martin Havlat</t>
  </si>
  <si>
    <t> Ben Lovejoy</t>
  </si>
  <si>
    <t> Patrick Wiercioch</t>
  </si>
  <si>
    <t> Andrej Sustr</t>
  </si>
  <si>
    <t> Gabriel Bourque</t>
  </si>
  <si>
    <t> Tuomo Ruutu</t>
  </si>
  <si>
    <t> Jan Hejda</t>
  </si>
  <si>
    <t> Stephen Gionta</t>
  </si>
  <si>
    <t> Mark Letestu</t>
  </si>
  <si>
    <t> Erik Gudbranson</t>
  </si>
  <si>
    <t> Jakub Kindl</t>
  </si>
  <si>
    <t> Robyn Regehr</t>
  </si>
  <si>
    <t> David Booth</t>
  </si>
  <si>
    <t> Drew Miller</t>
  </si>
  <si>
    <t> Cody Hodgson</t>
  </si>
  <si>
    <t> Boyd Gordon</t>
  </si>
  <si>
    <t> Ryan Murphy</t>
  </si>
  <si>
    <t> Michal Rozsival</t>
  </si>
  <si>
    <t> Ryan Carter</t>
  </si>
  <si>
    <t> Michael Grabner</t>
  </si>
  <si>
    <t> Jim Slater</t>
  </si>
  <si>
    <t> Brad Stuart</t>
  </si>
  <si>
    <t> Daniel Paille</t>
  </si>
  <si>
    <t> Jay Bouwmeester</t>
  </si>
  <si>
    <t> Brendan Smith</t>
  </si>
  <si>
    <t> Pierre-Edouard Bellemare</t>
  </si>
  <si>
    <t> Eric Gryba</t>
  </si>
  <si>
    <t> Cody McLeod</t>
  </si>
  <si>
    <t> Dennis Everberg</t>
  </si>
  <si>
    <t> Patrick Dwyer</t>
  </si>
  <si>
    <t> Ronalds Kenins</t>
  </si>
  <si>
    <t> Matt Fraser</t>
  </si>
  <si>
    <t> David Moss</t>
  </si>
  <si>
    <t> Zbynek Michalek</t>
  </si>
  <si>
    <t> Tom Gilbert</t>
  </si>
  <si>
    <t> Gregory Campbell</t>
  </si>
  <si>
    <t> Beau Bennett</t>
  </si>
  <si>
    <t> Daniel Briere</t>
  </si>
  <si>
    <t> Eric Nystrom</t>
  </si>
  <si>
    <t> Ryan White</t>
  </si>
  <si>
    <t> Barclay Goodrow</t>
  </si>
  <si>
    <t> Calvin de Haan</t>
  </si>
  <si>
    <t> Ryan Reaves</t>
  </si>
  <si>
    <t> Andrew MacDonald</t>
  </si>
  <si>
    <t> Steve Ott</t>
  </si>
  <si>
    <t> Carl Gunnarsson</t>
  </si>
  <si>
    <t> Mark Borowiecki</t>
  </si>
  <si>
    <t> Eric Brewer</t>
  </si>
  <si>
    <t> Matt Hunwick</t>
  </si>
  <si>
    <t> Maxim Lapierre</t>
  </si>
  <si>
    <t> Deryk Engelland</t>
  </si>
  <si>
    <t> John Moore</t>
  </si>
  <si>
    <t> Jacob Josefson</t>
  </si>
  <si>
    <t> Braydon Coburn</t>
  </si>
  <si>
    <t> Luca Sbisa</t>
  </si>
  <si>
    <t> Pascal Dupuis</t>
  </si>
  <si>
    <t> Marc Methot</t>
  </si>
  <si>
    <t> Derek MacKenzie</t>
  </si>
  <si>
    <t> Ryan Stanton</t>
  </si>
  <si>
    <t> Jyrki Jokipakka</t>
  </si>
  <si>
    <t> Dainius Zubrus</t>
  </si>
  <si>
    <t> Victor Bartley</t>
  </si>
  <si>
    <t> Olli Jokinen</t>
  </si>
  <si>
    <t> Seth Griffith</t>
  </si>
  <si>
    <t> Brett Bellemore</t>
  </si>
  <si>
    <t> Matt Cooke</t>
  </si>
  <si>
    <t> Johnny Oduya</t>
  </si>
  <si>
    <t> Ron Hainsey</t>
  </si>
  <si>
    <t> Rob Scuderi</t>
  </si>
  <si>
    <t> Brenden Dillon</t>
  </si>
  <si>
    <t> Emerson Etem</t>
  </si>
  <si>
    <t> Nikita Nikitin</t>
  </si>
  <si>
    <t> Christian Folin</t>
  </si>
  <si>
    <t> Viktor Stalberg</t>
  </si>
  <si>
    <t> Joakim Lindstrom</t>
  </si>
  <si>
    <t> Andrew Desjardins</t>
  </si>
  <si>
    <t> Marcel Goc</t>
  </si>
  <si>
    <t> Matt Greene</t>
  </si>
  <si>
    <t> Jordan Nolan</t>
  </si>
  <si>
    <t> Leon Draisaitl</t>
  </si>
  <si>
    <t> J.T. Brown</t>
  </si>
  <si>
    <t> Tim Gleason</t>
  </si>
  <si>
    <t> Nathan Beaulieu</t>
  </si>
  <si>
    <t> Teuvo Teravainen</t>
  </si>
  <si>
    <t> Adam Pardy</t>
  </si>
  <si>
    <t> Chris Butler</t>
  </si>
  <si>
    <t> Olli Maatta</t>
  </si>
  <si>
    <t> Jamie McBain</t>
  </si>
  <si>
    <t> Travis Moen</t>
  </si>
  <si>
    <t> Cody Goloubef</t>
  </si>
  <si>
    <t> Brett Ritchie</t>
  </si>
  <si>
    <t> Andre Benoit</t>
  </si>
  <si>
    <t> Jay Harrison</t>
  </si>
  <si>
    <t> Joe Vitale</t>
  </si>
  <si>
    <t> Roman Polak</t>
  </si>
  <si>
    <t> Rob Klinkhammer</t>
  </si>
  <si>
    <t> Jared Cowen</t>
  </si>
  <si>
    <t> Clayton Stoner</t>
  </si>
  <si>
    <t> Carlo Colaiacovo</t>
  </si>
  <si>
    <t> Jamie Oleksiak</t>
  </si>
  <si>
    <t> Corey Tropp</t>
  </si>
  <si>
    <t> Jack Skille</t>
  </si>
  <si>
    <t> Ben Chiarot</t>
  </si>
  <si>
    <t> Robert Bortuzzo</t>
  </si>
  <si>
    <t> Dalton Prout</t>
  </si>
  <si>
    <t> Matt Halischuk</t>
  </si>
  <si>
    <t> Jordan Schroeder</t>
  </si>
  <si>
    <t> Willie Mitchell</t>
  </si>
  <si>
    <t> Mark Fayne</t>
  </si>
  <si>
    <t> Brenden Morrow</t>
  </si>
  <si>
    <t> Teemu Pulkkinen</t>
  </si>
  <si>
    <t> Colin McDonald</t>
  </si>
  <si>
    <t> Tomas Kopecky</t>
  </si>
  <si>
    <t> Joakim Andersson</t>
  </si>
  <si>
    <t> Matt Tennyson</t>
  </si>
  <si>
    <t> Daniel Carcillo</t>
  </si>
  <si>
    <t> Dylan Olsen</t>
  </si>
  <si>
    <t> Craig Cunningham</t>
  </si>
  <si>
    <t> Tye McGinn</t>
  </si>
  <si>
    <t> Tim Jackman</t>
  </si>
  <si>
    <t> Derrick Pouliot</t>
  </si>
  <si>
    <t> Chris Neil</t>
  </si>
  <si>
    <t> Nick Shore</t>
  </si>
  <si>
    <t> Nikita Nesterov</t>
  </si>
  <si>
    <t> Craig Adams</t>
  </si>
  <si>
    <t> Mark Barberio</t>
  </si>
  <si>
    <t> Tim Erixon</t>
  </si>
  <si>
    <t> Nate Prosser</t>
  </si>
  <si>
    <t> Scott Hannan</t>
  </si>
  <si>
    <t> Brian Strait</t>
  </si>
  <si>
    <t> Connor Murphy</t>
  </si>
  <si>
    <t> Adam McQuaid</t>
  </si>
  <si>
    <t> Kevan Miller</t>
  </si>
  <si>
    <t> Marc-Andre Cliche</t>
  </si>
  <si>
    <t> Mike Weber</t>
  </si>
  <si>
    <t> Anthony Duclair</t>
  </si>
  <si>
    <t> Damien Brunner</t>
  </si>
  <si>
    <t> Stephane Robidas</t>
  </si>
  <si>
    <t> Anton Volchenkov</t>
  </si>
  <si>
    <t> Sven Baertschi</t>
  </si>
  <si>
    <t> Andrew Miller</t>
  </si>
  <si>
    <t> Jacob De La Rose</t>
  </si>
  <si>
    <t> Mikhail Grigorenko</t>
  </si>
  <si>
    <t> Scott Laughton</t>
  </si>
  <si>
    <t> Paul Postma</t>
  </si>
  <si>
    <t> Andrew Ebbett</t>
  </si>
  <si>
    <t> Tanner Glass</t>
  </si>
  <si>
    <t> B.J. Crombeen</t>
  </si>
  <si>
    <t> Josh Gorges</t>
  </si>
  <si>
    <t> Zach Boychuk</t>
  </si>
  <si>
    <t> Jamie McGinn</t>
  </si>
  <si>
    <t> Zac Rinaldo</t>
  </si>
  <si>
    <t> Michal Jordan</t>
  </si>
  <si>
    <t> Korbinian Holzer</t>
  </si>
  <si>
    <t> Michael Latta</t>
  </si>
  <si>
    <t> Jeremy Morin</t>
  </si>
  <si>
    <t> Philip Varone</t>
  </si>
  <si>
    <t> Trevor Smith</t>
  </si>
  <si>
    <t> Martin Marincin</t>
  </si>
  <si>
    <t> Lucas Lessio</t>
  </si>
  <si>
    <t> Brian Gibbons</t>
  </si>
  <si>
    <t> Brandon Bollig</t>
  </si>
  <si>
    <t> Tyson Strachan</t>
  </si>
  <si>
    <t> William Karlsson</t>
  </si>
  <si>
    <t> Jack Hillen</t>
  </si>
  <si>
    <t> Jared Boll</t>
  </si>
  <si>
    <t> Zach Trotman</t>
  </si>
  <si>
    <t> Curtis McKenzie</t>
  </si>
  <si>
    <t> Michael Ferland</t>
  </si>
  <si>
    <t> Shawn Thornton</t>
  </si>
  <si>
    <t> Michael Bournival</t>
  </si>
  <si>
    <t> Michael Chaput</t>
  </si>
  <si>
    <t> Radko Gudas</t>
  </si>
  <si>
    <t> Peter Harrold</t>
  </si>
  <si>
    <t> Steven Pinizzotto</t>
  </si>
  <si>
    <t> Brandon Kozun</t>
  </si>
  <si>
    <t> Steven Kampfer</t>
  </si>
  <si>
    <t> Jordan Leopold</t>
  </si>
  <si>
    <t> Mark Fraser</t>
  </si>
  <si>
    <t> Matt Bartkowski</t>
  </si>
  <si>
    <t> Raphael Diaz</t>
  </si>
  <si>
    <t> Manny Malhotra</t>
  </si>
  <si>
    <t> Brandon McMillan</t>
  </si>
  <si>
    <t> Simon Gagne</t>
  </si>
  <si>
    <t> Mike Weaver</t>
  </si>
  <si>
    <t> Klas Dahlbeck</t>
  </si>
  <si>
    <t> Ryane Clowe</t>
  </si>
  <si>
    <t> Jesse Joensuu</t>
  </si>
  <si>
    <t> Nate Schmidt</t>
  </si>
  <si>
    <t> Cody McCormick</t>
  </si>
  <si>
    <t> John Scott</t>
  </si>
  <si>
    <t> David Schlemko</t>
  </si>
  <si>
    <t> Adam Clendening</t>
  </si>
  <si>
    <t> Mirco Mueller</t>
  </si>
  <si>
    <t> Zach Sill</t>
  </si>
  <si>
    <t> Grant Clitsome</t>
  </si>
  <si>
    <t> Taylor Fedun</t>
  </si>
  <si>
    <t> Brandon Gormley</t>
  </si>
  <si>
    <t> Brett Sutter</t>
  </si>
  <si>
    <t> Matt Puempel</t>
  </si>
  <si>
    <t> Stuart Percy</t>
  </si>
  <si>
    <t> Ryan Murray</t>
  </si>
  <si>
    <t> Chris Summers</t>
  </si>
  <si>
    <t> Alex Petrovic</t>
  </si>
  <si>
    <t> Adam Burish</t>
  </si>
  <si>
    <t> Patrick Kaleta</t>
  </si>
  <si>
    <t> Drew Shore</t>
  </si>
  <si>
    <t> Luke Gazdic</t>
  </si>
  <si>
    <t> Andy Andreoff</t>
  </si>
  <si>
    <t> Zack Smith</t>
  </si>
  <si>
    <t> Xavier Ouellet</t>
  </si>
  <si>
    <t> Patrik Nemeth</t>
  </si>
  <si>
    <t> Josh Manson</t>
  </si>
  <si>
    <t> Brad Hunt</t>
  </si>
  <si>
    <t> Cory Conacher</t>
  </si>
  <si>
    <t> Iiro Pakarinen</t>
  </si>
  <si>
    <t> Brandon Manning</t>
  </si>
  <si>
    <t> Petteri Lindbohm</t>
  </si>
  <si>
    <t> Joakim Nordstrom</t>
  </si>
  <si>
    <t> Kerby Rychel</t>
  </si>
  <si>
    <t> Matt Donovan</t>
  </si>
  <si>
    <t> Chris Phillips</t>
  </si>
  <si>
    <t> Mark Pysyk</t>
  </si>
  <si>
    <t> Sven Andrighetto</t>
  </si>
  <si>
    <t> Zac Dalpe</t>
  </si>
  <si>
    <t> Kael Mouillierat</t>
  </si>
  <si>
    <t> Borna Rendulic</t>
  </si>
  <si>
    <t> Alexey Marchenko</t>
  </si>
  <si>
    <t> Seth Helgeson</t>
  </si>
  <si>
    <t> Bryan Allen</t>
  </si>
  <si>
    <t> Slava Voynov</t>
  </si>
  <si>
    <t> Liam O'Brien</t>
  </si>
  <si>
    <t> Daniel Cleary</t>
  </si>
  <si>
    <t> Bryce Salvador</t>
  </si>
  <si>
    <t> Stephane Veilleux</t>
  </si>
  <si>
    <t> Eric Boulton</t>
  </si>
  <si>
    <t> Sam Carrick</t>
  </si>
  <si>
    <t> Ryan Hamilton</t>
  </si>
  <si>
    <t> Bryan Rust</t>
  </si>
  <si>
    <t> Danny Biega</t>
  </si>
  <si>
    <t> Tim Schaller</t>
  </si>
  <si>
    <t> Jonathan Marchessault</t>
  </si>
  <si>
    <t> Matt Ellis</t>
  </si>
  <si>
    <t> Chris Porter</t>
  </si>
  <si>
    <t> Andrew MacWilliam</t>
  </si>
  <si>
    <t> Sean Collins</t>
  </si>
  <si>
    <t> Tim Sestito</t>
  </si>
  <si>
    <t> Chris Mueller</t>
  </si>
  <si>
    <t> Petr Straka</t>
  </si>
  <si>
    <t> Joey Hishon</t>
  </si>
  <si>
    <t> Tyler Pitlick</t>
  </si>
  <si>
    <t> Anthony Peluso</t>
  </si>
  <si>
    <t> Ty Rattie</t>
  </si>
  <si>
    <t> David Musil</t>
  </si>
  <si>
    <t> Brian Lashoff</t>
  </si>
  <si>
    <t> Jarred Tinordi</t>
  </si>
  <si>
    <t> Justin Falk</t>
  </si>
  <si>
    <t> Paul Carey</t>
  </si>
  <si>
    <t> Brian Dumoulin</t>
  </si>
  <si>
    <t> Frederic St-Denis</t>
  </si>
  <si>
    <t> Keaton Ellerby</t>
  </si>
  <si>
    <t> Andrew Copp</t>
  </si>
  <si>
    <t> Tom Sestito</t>
  </si>
  <si>
    <t> Griffin Reinhart</t>
  </si>
  <si>
    <t> Daniil Tarasov</t>
  </si>
  <si>
    <t> Jonathon Blum</t>
  </si>
  <si>
    <t> Colin Greening</t>
  </si>
  <si>
    <t> Freddie Hamilton</t>
  </si>
  <si>
    <t> Brendan Shinnimin</t>
  </si>
  <si>
    <t> Magnus Paajarvi</t>
  </si>
  <si>
    <t> Andrew Agozzino</t>
  </si>
  <si>
    <t> Chris Brown</t>
  </si>
  <si>
    <t> Mat Clark</t>
  </si>
  <si>
    <t> Landon Ferraro</t>
  </si>
  <si>
    <t> Jordan Szwarz</t>
  </si>
  <si>
    <t> Emile Poirier</t>
  </si>
  <si>
    <t> Jordan Martinook</t>
  </si>
  <si>
    <t> Michael Sgarbossa</t>
  </si>
  <si>
    <t> Jayson Megna</t>
  </si>
  <si>
    <t> Ladislav Smid</t>
  </si>
  <si>
    <t> Colby Robak</t>
  </si>
  <si>
    <t> Jeff Schultz</t>
  </si>
  <si>
    <t> Josh Anderson</t>
  </si>
  <si>
    <t> Chad Ruhwedel</t>
  </si>
  <si>
    <t> Shane O'Brien</t>
  </si>
  <si>
    <t> Joe Whitney</t>
  </si>
  <si>
    <t> Keith Ballard</t>
  </si>
  <si>
    <t> Adam Cracknell</t>
  </si>
  <si>
    <t> Valeri Nichushkin</t>
  </si>
  <si>
    <t> Stanislav Galiev</t>
  </si>
  <si>
    <t> Brandon Davidson</t>
  </si>
  <si>
    <t> Stefan Matteau</t>
  </si>
  <si>
    <t> Tomas Vincour</t>
  </si>
  <si>
    <t> Joe Morrow</t>
  </si>
  <si>
    <t> Josh Leivo</t>
  </si>
  <si>
    <t> Sam Bennett</t>
  </si>
  <si>
    <t> Keith Aulie</t>
  </si>
  <si>
    <t> Reid Boucher</t>
  </si>
  <si>
    <t> T.J. Brennan</t>
  </si>
  <si>
    <t> Mike Sislo</t>
  </si>
  <si>
    <t> Brian Ferlin</t>
  </si>
  <si>
    <t> Stu Bickel</t>
  </si>
  <si>
    <t> Michael Paliotta</t>
  </si>
  <si>
    <t> Justin Hodgman</t>
  </si>
  <si>
    <t> Christian Thomas</t>
  </si>
  <si>
    <t> Miikka Salomaki</t>
  </si>
  <si>
    <t> Casey Bailey</t>
  </si>
  <si>
    <t> David Warsofsky</t>
  </si>
  <si>
    <t> Eric O'Dell</t>
  </si>
  <si>
    <t> Shane Prince</t>
  </si>
  <si>
    <t> Andrew Campbell</t>
  </si>
  <si>
    <t> Frank Corrado</t>
  </si>
  <si>
    <t> Sam Reinhart</t>
  </si>
  <si>
    <t> Peter Regin</t>
  </si>
  <si>
    <t> Trevor van Riemsdyk</t>
  </si>
  <si>
    <t> T.J. Galiardi</t>
  </si>
  <si>
    <t> Bryan Lerg</t>
  </si>
  <si>
    <t> Jordan Oesterle</t>
  </si>
  <si>
    <t> Michael Kostka</t>
  </si>
  <si>
    <t> Alex Biega</t>
  </si>
  <si>
    <t> Rocco Grimaldi</t>
  </si>
  <si>
    <t> Matt Lindblad</t>
  </si>
  <si>
    <t> Will Acton</t>
  </si>
  <si>
    <t> Bobby Farnham</t>
  </si>
  <si>
    <t> Raman Hrabarenka</t>
  </si>
  <si>
    <t> Kyle Baun</t>
  </si>
  <si>
    <t> Philip Samuelsson</t>
  </si>
  <si>
    <t> Viktor Arvidsson</t>
  </si>
  <si>
    <t> Karl Stollery</t>
  </si>
  <si>
    <t> Corban Knight</t>
  </si>
  <si>
    <t> Troy Bodie</t>
  </si>
  <si>
    <t> Tyler Gaudet</t>
  </si>
  <si>
    <t> Brendan Ranford</t>
  </si>
  <si>
    <t> Eriah Hayes</t>
  </si>
  <si>
    <t> Dany Heatley</t>
  </si>
  <si>
    <t> Gabriel Dumont</t>
  </si>
  <si>
    <t> Mark Fistric</t>
  </si>
  <si>
    <t> Devin Setoguchi</t>
  </si>
  <si>
    <t> Aaron Volpatti</t>
  </si>
  <si>
    <t> Garrett Wilson</t>
  </si>
  <si>
    <t> Carl Klingberg</t>
  </si>
  <si>
    <t> John Ramage</t>
  </si>
  <si>
    <t> Luke Adam</t>
  </si>
  <si>
    <t> Colton Orr</t>
  </si>
  <si>
    <t> Ryan Hartman</t>
  </si>
  <si>
    <t> Bogdan Yakimov</t>
  </si>
  <si>
    <t> Rasmus Rissanen</t>
  </si>
  <si>
    <t> Kimmo Timonen</t>
  </si>
  <si>
    <t> Ryan Malone</t>
  </si>
  <si>
    <t> David Wolf</t>
  </si>
  <si>
    <t> Anthony Bitetto</t>
  </si>
  <si>
    <t> Chris Wagner</t>
  </si>
  <si>
    <t> Brian McGrattan</t>
  </si>
  <si>
    <t> Colin Fraser</t>
  </si>
  <si>
    <t> Kevin Fiala</t>
  </si>
  <si>
    <t> Patrick Brown</t>
  </si>
  <si>
    <t> Justin Shugg</t>
  </si>
  <si>
    <t> Ryan Craig</t>
  </si>
  <si>
    <t> Darnell Nurse</t>
  </si>
  <si>
    <t> Matt Frattin</t>
  </si>
  <si>
    <t> Jake McCabe</t>
  </si>
  <si>
    <t> Jason Akeson</t>
  </si>
  <si>
    <t> Nicklas Jensen</t>
  </si>
  <si>
    <t> Corey Potter</t>
  </si>
  <si>
    <t> Scott Harrington</t>
  </si>
  <si>
    <t> Julien Brouillette</t>
  </si>
  <si>
    <t> Scott Wilson</t>
  </si>
  <si>
    <t> Petter Granberg</t>
  </si>
  <si>
    <t> Curtis Hamilton</t>
  </si>
  <si>
    <t> Eric Tangradi</t>
  </si>
  <si>
    <t> Stefan Noesen</t>
  </si>
  <si>
    <t> Dylan McIlrath</t>
  </si>
  <si>
    <t> Mark Alt</t>
  </si>
  <si>
    <t> Phillip Danault</t>
  </si>
  <si>
    <t> Cameron Schilling</t>
  </si>
  <si>
    <t> Greg Pateryn</t>
  </si>
  <si>
    <t> Brody Sutter</t>
  </si>
  <si>
    <t> Tyler Graovac</t>
  </si>
  <si>
    <t> Dana Tyrell</t>
  </si>
  <si>
    <t> Alex Khokhlachev</t>
  </si>
  <si>
    <t> Nick Cousins</t>
  </si>
  <si>
    <t> Tyler Wotherspoon</t>
  </si>
  <si>
    <t> Harry Zolnierczyk</t>
  </si>
  <si>
    <t> Dylan Reese</t>
  </si>
  <si>
    <t> Micheal Haley</t>
  </si>
  <si>
    <t> Keegan Lowe</t>
  </si>
  <si>
    <t> Oliver Lauridsen</t>
  </si>
  <si>
    <t> Dominik Uher</t>
  </si>
  <si>
    <t> Ryan Wilson</t>
  </si>
  <si>
    <t> Max Friberg</t>
  </si>
  <si>
    <t> Alexandre Bolduc</t>
  </si>
  <si>
    <t> Drayson Bowman</t>
  </si>
  <si>
    <t> Taylor Chorney</t>
  </si>
  <si>
    <t> Jordan Caron</t>
  </si>
  <si>
    <t> Oscar Lindberg</t>
  </si>
  <si>
    <t> Shayne Gostisbehere</t>
  </si>
  <si>
    <t> Mike Blunden</t>
  </si>
  <si>
    <t> Brett Kulak</t>
  </si>
  <si>
    <t> Patrice Cormier</t>
  </si>
  <si>
    <t> Ben Street</t>
  </si>
  <si>
    <t> Bobby Robins</t>
  </si>
  <si>
    <t> Brandon DeFazio</t>
  </si>
  <si>
    <t> Brendan Woods</t>
  </si>
  <si>
    <t> Jesse Blacker</t>
  </si>
  <si>
    <t> Duncan Siemens</t>
  </si>
  <si>
    <t> Luke Witkowski</t>
  </si>
  <si>
    <t> Conor Allen</t>
  </si>
  <si>
    <t> David van der Gulik</t>
  </si>
  <si>
    <t> Colin Smith</t>
  </si>
  <si>
    <t> Steve Oleksy</t>
  </si>
  <si>
    <t> Joel Armia</t>
  </si>
  <si>
    <t> Blair Jones</t>
  </si>
  <si>
    <t> Slater Koekkoek</t>
  </si>
  <si>
    <t> Travis Morin</t>
  </si>
  <si>
    <t> Patrick Bordeleau</t>
  </si>
  <si>
    <t> Stefan Elliott</t>
  </si>
  <si>
    <t> Rich Clune</t>
  </si>
  <si>
    <t> Greg McKegg</t>
  </si>
  <si>
    <t> Joe Piskula</t>
  </si>
  <si>
    <t> Kyle Cumiskey</t>
  </si>
  <si>
    <t> Mike Brown</t>
  </si>
  <si>
    <t> Chris Conner</t>
  </si>
  <si>
    <t> Henrik Samuelsson</t>
  </si>
  <si>
    <t> Ryan Bourque</t>
  </si>
  <si>
    <t> Max Reinhart</t>
  </si>
  <si>
    <t> Carter Ashton</t>
  </si>
  <si>
    <t> Mike Angelidis</t>
  </si>
  <si>
    <t> Jerry D'Amigo</t>
  </si>
  <si>
    <t>P/Gm</t>
  </si>
  <si>
    <t>CAL</t>
  </si>
  <si>
    <t>Playoff Pts</t>
  </si>
  <si>
    <t>Team Made Playoffs</t>
  </si>
  <si>
    <t>Player</t>
  </si>
  <si>
    <t>Team Pts</t>
  </si>
  <si>
    <t>% of Team's Pts</t>
  </si>
  <si>
    <t>Team Playoff Games</t>
  </si>
  <si>
    <t>Team Playoff Pts</t>
  </si>
  <si>
    <t>WED APR 1, 2015</t>
  </si>
  <si>
    <t>THU APR 2, 2015</t>
  </si>
  <si>
    <t>MONTRÉAL</t>
  </si>
  <si>
    <t>FRI APR 3, 2015</t>
  </si>
  <si>
    <t>SAT APR 4, 2015</t>
  </si>
  <si>
    <t>SUN APR 5, 2015</t>
  </si>
  <si>
    <t>MON APR 6, 2015</t>
  </si>
  <si>
    <t>TUE APR 7, 2015</t>
  </si>
  <si>
    <t>WED APR 8, 2015</t>
  </si>
  <si>
    <t>THU APR 9, 2015</t>
  </si>
  <si>
    <t>FRI APR 10, 2015</t>
  </si>
  <si>
    <t>SAT APR 11, 2015</t>
  </si>
  <si>
    <t>Error^2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</si>
</sst>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4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363636"/>
      <name val="Calibri"/>
      <family val="2"/>
      <scheme val="minor"/>
    </font>
    <font>
      <b/>
      <sz val="8"/>
      <name val="Inherit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9"/>
      <color rgb="FFEEEEEE"/>
      <name val="Arial"/>
      <family val="2"/>
    </font>
    <font>
      <b/>
      <sz val="8"/>
      <color rgb="FFFFFFFF"/>
      <name val="Arial"/>
      <family val="2"/>
    </font>
    <font>
      <sz val="9"/>
      <name val="Arial"/>
      <family val="2"/>
    </font>
    <font>
      <b/>
      <sz val="8"/>
      <color rgb="FF666666"/>
      <name val="Inherit"/>
    </font>
    <font>
      <b/>
      <sz val="8"/>
      <color rgb="FF333333"/>
      <name val="Inherit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9"/>
        <bgColor indexed="64"/>
      </patternFill>
    </fill>
  </fills>
  <borders count="20">
    <border>
      <left/>
      <right/>
      <top/>
      <bottom/>
      <diagonal/>
    </border>
    <border>
      <left/>
      <right style="medium">
        <color rgb="FFA1A1A1"/>
      </right>
      <top/>
      <bottom style="medium">
        <color rgb="FFA1A1A1"/>
      </bottom>
      <diagonal/>
    </border>
    <border>
      <left/>
      <right style="medium">
        <color rgb="FFA1A1A1"/>
      </right>
      <top/>
      <bottom/>
      <diagonal/>
    </border>
    <border>
      <left/>
      <right style="medium">
        <color rgb="FFA1A1A1"/>
      </right>
      <top style="medium">
        <color rgb="FFA1A1A1"/>
      </top>
      <bottom/>
      <diagonal/>
    </border>
    <border>
      <left/>
      <right style="medium">
        <color rgb="FFA1A1A1"/>
      </right>
      <top style="medium">
        <color rgb="FF666666"/>
      </top>
      <bottom/>
      <diagonal/>
    </border>
    <border>
      <left/>
      <right style="medium">
        <color rgb="FFA1A1A1"/>
      </right>
      <top/>
      <bottom style="medium">
        <color rgb="FF666666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A1A1A1"/>
      </right>
      <top/>
      <bottom style="thin">
        <color indexed="64"/>
      </bottom>
      <diagonal/>
    </border>
    <border>
      <left style="medium">
        <color rgb="FFA1A1A1"/>
      </left>
      <right style="medium">
        <color rgb="FFA1A1A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9">
    <xf numFmtId="0" fontId="0" fillId="0" borderId="0" xfId="0"/>
    <xf numFmtId="0" fontId="3" fillId="0" borderId="0" xfId="0" applyFont="1" applyFill="1"/>
    <xf numFmtId="0" fontId="3" fillId="0" borderId="3" xfId="0" applyFont="1" applyFill="1" applyBorder="1" applyAlignment="1">
      <alignment vertical="center"/>
    </xf>
    <xf numFmtId="0" fontId="3" fillId="0" borderId="3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vertical="center"/>
    </xf>
    <xf numFmtId="0" fontId="3" fillId="0" borderId="1" xfId="1" applyFont="1" applyFill="1" applyBorder="1" applyAlignment="1">
      <alignment horizontal="left" vertical="center"/>
    </xf>
    <xf numFmtId="0" fontId="3" fillId="0" borderId="3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1" applyFont="1" applyFill="1" applyBorder="1" applyAlignment="1">
      <alignment horizontal="left" vertical="center" wrapText="1"/>
    </xf>
    <xf numFmtId="0" fontId="3" fillId="0" borderId="2" xfId="0" applyFont="1" applyFill="1" applyBorder="1" applyAlignment="1">
      <alignment vertical="center" wrapText="1"/>
    </xf>
    <xf numFmtId="0" fontId="3" fillId="0" borderId="2" xfId="1" applyFont="1" applyFill="1" applyBorder="1" applyAlignment="1">
      <alignment horizontal="left" vertical="center" wrapText="1"/>
    </xf>
    <xf numFmtId="0" fontId="3" fillId="0" borderId="3" xfId="0" applyFont="1" applyFill="1" applyBorder="1" applyAlignment="1">
      <alignment horizontal="left" vertical="center" wrapText="1"/>
    </xf>
    <xf numFmtId="0" fontId="3" fillId="0" borderId="5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2" fillId="0" borderId="1" xfId="1" applyFont="1" applyFill="1" applyBorder="1" applyAlignment="1">
      <alignment horizontal="left" vertical="center" wrapText="1"/>
    </xf>
    <xf numFmtId="0" fontId="2" fillId="0" borderId="2" xfId="1" applyFont="1" applyFill="1" applyBorder="1" applyAlignment="1">
      <alignment horizontal="left" vertical="center" wrapText="1"/>
    </xf>
    <xf numFmtId="0" fontId="3" fillId="0" borderId="0" xfId="0" applyFont="1" applyFill="1" applyBorder="1"/>
    <xf numFmtId="0" fontId="3" fillId="0" borderId="7" xfId="0" applyFont="1" applyFill="1" applyBorder="1" applyAlignment="1">
      <alignment vertical="center" wrapText="1"/>
    </xf>
    <xf numFmtId="0" fontId="2" fillId="0" borderId="7" xfId="1" applyFont="1" applyFill="1" applyBorder="1" applyAlignment="1">
      <alignment horizontal="left"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6" xfId="0" applyFont="1" applyFill="1" applyBorder="1"/>
    <xf numFmtId="0" fontId="3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right"/>
    </xf>
    <xf numFmtId="0" fontId="3" fillId="2" borderId="0" xfId="0" applyFont="1" applyFill="1"/>
    <xf numFmtId="0" fontId="3" fillId="0" borderId="0" xfId="0" applyFont="1" applyAlignment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0" xfId="0" applyBorder="1"/>
    <xf numFmtId="0" fontId="0" fillId="6" borderId="0" xfId="0" applyFill="1" applyBorder="1"/>
    <xf numFmtId="0" fontId="0" fillId="0" borderId="14" xfId="0" applyBorder="1"/>
    <xf numFmtId="0" fontId="0" fillId="0" borderId="16" xfId="0" applyBorder="1"/>
    <xf numFmtId="0" fontId="0" fillId="0" borderId="12" xfId="0" applyBorder="1"/>
    <xf numFmtId="0" fontId="0" fillId="5" borderId="0" xfId="0" applyFill="1" applyBorder="1"/>
    <xf numFmtId="0" fontId="0" fillId="0" borderId="0" xfId="0" applyFill="1" applyBorder="1"/>
    <xf numFmtId="0" fontId="5" fillId="0" borderId="0" xfId="0" applyFont="1" applyBorder="1"/>
    <xf numFmtId="164" fontId="0" fillId="0" borderId="0" xfId="0" applyNumberFormat="1" applyBorder="1"/>
    <xf numFmtId="0" fontId="0" fillId="0" borderId="13" xfId="0" applyFill="1" applyBorder="1"/>
    <xf numFmtId="0" fontId="0" fillId="0" borderId="0" xfId="0" applyBorder="1" applyAlignment="1">
      <alignment horizontal="center"/>
    </xf>
    <xf numFmtId="0" fontId="3" fillId="0" borderId="0" xfId="0" applyFont="1"/>
    <xf numFmtId="0" fontId="6" fillId="3" borderId="3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3" fillId="3" borderId="1" xfId="1" applyFont="1" applyFill="1" applyBorder="1" applyAlignment="1">
      <alignment horizontal="left" vertical="center"/>
    </xf>
    <xf numFmtId="0" fontId="3" fillId="4" borderId="1" xfId="1" applyFont="1" applyFill="1" applyBorder="1" applyAlignment="1">
      <alignment horizontal="left" vertical="center"/>
    </xf>
    <xf numFmtId="0" fontId="3" fillId="4" borderId="2" xfId="1" applyFont="1" applyFill="1" applyBorder="1" applyAlignment="1">
      <alignment horizontal="left" vertical="center"/>
    </xf>
    <xf numFmtId="0" fontId="0" fillId="0" borderId="9" xfId="0" applyBorder="1"/>
    <xf numFmtId="0" fontId="0" fillId="0" borderId="15" xfId="0" applyBorder="1"/>
    <xf numFmtId="9" fontId="0" fillId="0" borderId="16" xfId="2" applyFont="1" applyBorder="1"/>
    <xf numFmtId="0" fontId="0" fillId="5" borderId="13" xfId="0" applyFill="1" applyBorder="1"/>
    <xf numFmtId="164" fontId="0" fillId="0" borderId="13" xfId="0" applyNumberFormat="1" applyBorder="1"/>
    <xf numFmtId="164" fontId="0" fillId="0" borderId="11" xfId="0" applyNumberFormat="1" applyBorder="1"/>
    <xf numFmtId="0" fontId="0" fillId="0" borderId="14" xfId="0" applyFill="1" applyBorder="1"/>
    <xf numFmtId="0" fontId="0" fillId="5" borderId="17" xfId="0" applyFill="1" applyBorder="1"/>
    <xf numFmtId="0" fontId="0" fillId="0" borderId="18" xfId="0" applyBorder="1"/>
    <xf numFmtId="0" fontId="0" fillId="0" borderId="19" xfId="0" applyBorder="1"/>
    <xf numFmtId="0" fontId="0" fillId="0" borderId="0" xfId="0" applyBorder="1" applyAlignment="1">
      <alignment horizontal="center"/>
    </xf>
    <xf numFmtId="0" fontId="3" fillId="0" borderId="9" xfId="0" applyFont="1" applyFill="1" applyBorder="1"/>
    <xf numFmtId="0" fontId="3" fillId="0" borderId="15" xfId="0" applyFont="1" applyFill="1" applyBorder="1"/>
    <xf numFmtId="0" fontId="3" fillId="2" borderId="0" xfId="0" applyFont="1" applyFill="1" applyBorder="1"/>
    <xf numFmtId="0" fontId="3" fillId="2" borderId="16" xfId="0" applyFont="1" applyFill="1" applyBorder="1"/>
    <xf numFmtId="0" fontId="7" fillId="0" borderId="0" xfId="0" applyFont="1" applyAlignment="1">
      <alignment horizontal="center" vertical="center" wrapText="1"/>
    </xf>
    <xf numFmtId="0" fontId="7" fillId="7" borderId="0" xfId="0" applyFont="1" applyFill="1" applyAlignment="1">
      <alignment horizontal="center" vertical="center" wrapText="1"/>
    </xf>
    <xf numFmtId="0" fontId="1" fillId="0" borderId="0" xfId="1" applyAlignment="1"/>
    <xf numFmtId="0" fontId="0" fillId="0" borderId="0" xfId="0" applyAlignment="1"/>
    <xf numFmtId="0" fontId="8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" fillId="0" borderId="0" xfId="1" applyAlignment="1">
      <alignment horizontal="left" vertical="center" wrapText="1"/>
    </xf>
    <xf numFmtId="0" fontId="1" fillId="3" borderId="0" xfId="1" applyFill="1" applyAlignment="1">
      <alignment horizontal="left" vertical="center" wrapText="1"/>
    </xf>
    <xf numFmtId="0" fontId="7" fillId="3" borderId="0" xfId="0" applyFont="1" applyFill="1" applyAlignment="1">
      <alignment horizontal="center" vertical="center" wrapText="1"/>
    </xf>
    <xf numFmtId="0" fontId="0" fillId="9" borderId="9" xfId="0" applyFill="1" applyBorder="1"/>
    <xf numFmtId="0" fontId="0" fillId="9" borderId="15" xfId="0" applyFill="1" applyBorder="1"/>
    <xf numFmtId="0" fontId="0" fillId="9" borderId="10" xfId="0" applyFill="1" applyBorder="1"/>
    <xf numFmtId="0" fontId="0" fillId="9" borderId="11" xfId="0" applyFill="1" applyBorder="1"/>
    <xf numFmtId="0" fontId="0" fillId="9" borderId="16" xfId="0" applyFill="1" applyBorder="1"/>
    <xf numFmtId="0" fontId="0" fillId="9" borderId="12" xfId="0" applyFill="1" applyBorder="1"/>
    <xf numFmtId="0" fontId="0" fillId="9" borderId="13" xfId="0" applyFill="1" applyBorder="1"/>
    <xf numFmtId="0" fontId="0" fillId="9" borderId="0" xfId="0" applyFill="1" applyBorder="1"/>
    <xf numFmtId="0" fontId="0" fillId="9" borderId="14" xfId="0" applyFill="1" applyBorder="1"/>
    <xf numFmtId="2" fontId="0" fillId="0" borderId="0" xfId="0" applyNumberFormat="1"/>
    <xf numFmtId="0" fontId="1" fillId="0" borderId="0" xfId="1" applyFill="1"/>
    <xf numFmtId="0" fontId="13" fillId="3" borderId="2" xfId="0" applyFont="1" applyFill="1" applyBorder="1" applyAlignment="1">
      <alignment horizontal="left" vertical="center" wrapText="1"/>
    </xf>
    <xf numFmtId="0" fontId="1" fillId="3" borderId="1" xfId="1" applyFill="1" applyBorder="1" applyAlignment="1">
      <alignment horizontal="left" vertical="center" wrapText="1"/>
    </xf>
    <xf numFmtId="0" fontId="13" fillId="4" borderId="2" xfId="0" applyFont="1" applyFill="1" applyBorder="1" applyAlignment="1">
      <alignment horizontal="left" vertical="center" wrapText="1"/>
    </xf>
    <xf numFmtId="0" fontId="1" fillId="4" borderId="1" xfId="1" applyFill="1" applyBorder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 wrapText="1"/>
    </xf>
    <xf numFmtId="0" fontId="1" fillId="3" borderId="2" xfId="1" applyFill="1" applyBorder="1" applyAlignment="1">
      <alignment horizontal="left" vertical="center" wrapText="1"/>
    </xf>
    <xf numFmtId="0" fontId="6" fillId="3" borderId="3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4" borderId="3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left" vertical="center" wrapText="1"/>
    </xf>
    <xf numFmtId="0" fontId="12" fillId="4" borderId="3" xfId="0" applyFont="1" applyFill="1" applyBorder="1" applyAlignment="1">
      <alignment horizontal="left" vertical="center" wrapText="1"/>
    </xf>
    <xf numFmtId="0" fontId="12" fillId="4" borderId="1" xfId="0" applyFont="1" applyFill="1" applyBorder="1" applyAlignment="1">
      <alignment horizontal="left" vertical="center" wrapText="1"/>
    </xf>
    <xf numFmtId="0" fontId="12" fillId="3" borderId="2" xfId="0" applyFont="1" applyFill="1" applyBorder="1" applyAlignment="1">
      <alignment horizontal="left" vertical="center" wrapText="1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0" borderId="10" xfId="0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javascript:void(0);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4</xdr:col>
      <xdr:colOff>304800</xdr:colOff>
      <xdr:row>2</xdr:row>
      <xdr:rowOff>114300</xdr:rowOff>
    </xdr:to>
    <xdr:sp macro="" textlink="">
      <xdr:nvSpPr>
        <xdr:cNvPr id="1025" name="AutoShape 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304800</xdr:colOff>
      <xdr:row>2</xdr:row>
      <xdr:rowOff>114300</xdr:rowOff>
    </xdr:to>
    <xdr:sp macro="" textlink="">
      <xdr:nvSpPr>
        <xdr:cNvPr id="1026" name="AutoShape 2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4</xdr:row>
      <xdr:rowOff>114300</xdr:rowOff>
    </xdr:to>
    <xdr:sp macro="" textlink="">
      <xdr:nvSpPr>
        <xdr:cNvPr id="1027" name="AutoShape 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304800</xdr:colOff>
      <xdr:row>4</xdr:row>
      <xdr:rowOff>114300</xdr:rowOff>
    </xdr:to>
    <xdr:sp macro="" textlink="">
      <xdr:nvSpPr>
        <xdr:cNvPr id="1028" name="AutoShape 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</xdr:row>
      <xdr:rowOff>0</xdr:rowOff>
    </xdr:from>
    <xdr:to>
      <xdr:col>4</xdr:col>
      <xdr:colOff>304800</xdr:colOff>
      <xdr:row>6</xdr:row>
      <xdr:rowOff>114300</xdr:rowOff>
    </xdr:to>
    <xdr:sp macro="" textlink="">
      <xdr:nvSpPr>
        <xdr:cNvPr id="1029" name="AutoShape 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304800</xdr:colOff>
      <xdr:row>6</xdr:row>
      <xdr:rowOff>114300</xdr:rowOff>
    </xdr:to>
    <xdr:sp macro="" textlink="">
      <xdr:nvSpPr>
        <xdr:cNvPr id="1030" name="AutoShape 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304800</xdr:colOff>
      <xdr:row>8</xdr:row>
      <xdr:rowOff>114300</xdr:rowOff>
    </xdr:to>
    <xdr:sp macro="" textlink="">
      <xdr:nvSpPr>
        <xdr:cNvPr id="1031" name="AutoShape 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304800</xdr:colOff>
      <xdr:row>8</xdr:row>
      <xdr:rowOff>114300</xdr:rowOff>
    </xdr:to>
    <xdr:sp macro="" textlink="">
      <xdr:nvSpPr>
        <xdr:cNvPr id="1032" name="AutoShape 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304800</xdr:colOff>
      <xdr:row>10</xdr:row>
      <xdr:rowOff>114300</xdr:rowOff>
    </xdr:to>
    <xdr:sp macro="" textlink="">
      <xdr:nvSpPr>
        <xdr:cNvPr id="1033" name="AutoShape 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10</xdr:row>
      <xdr:rowOff>114300</xdr:rowOff>
    </xdr:to>
    <xdr:sp macro="" textlink="">
      <xdr:nvSpPr>
        <xdr:cNvPr id="1034" name="AutoShape 1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304800</xdr:colOff>
      <xdr:row>12</xdr:row>
      <xdr:rowOff>114300</xdr:rowOff>
    </xdr:to>
    <xdr:sp macro="" textlink="">
      <xdr:nvSpPr>
        <xdr:cNvPr id="1035" name="AutoShape 1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0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304800</xdr:colOff>
      <xdr:row>12</xdr:row>
      <xdr:rowOff>114300</xdr:rowOff>
    </xdr:to>
    <xdr:sp macro="" textlink="">
      <xdr:nvSpPr>
        <xdr:cNvPr id="1036" name="AutoShape 1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0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</xdr:row>
      <xdr:rowOff>0</xdr:rowOff>
    </xdr:from>
    <xdr:to>
      <xdr:col>4</xdr:col>
      <xdr:colOff>304800</xdr:colOff>
      <xdr:row>14</xdr:row>
      <xdr:rowOff>114300</xdr:rowOff>
    </xdr:to>
    <xdr:sp macro="" textlink="">
      <xdr:nvSpPr>
        <xdr:cNvPr id="1037" name="AutoShape 1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304800</xdr:colOff>
      <xdr:row>14</xdr:row>
      <xdr:rowOff>114300</xdr:rowOff>
    </xdr:to>
    <xdr:sp macro="" textlink="">
      <xdr:nvSpPr>
        <xdr:cNvPr id="1038" name="AutoShape 1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304800</xdr:colOff>
      <xdr:row>16</xdr:row>
      <xdr:rowOff>114300</xdr:rowOff>
    </xdr:to>
    <xdr:sp macro="" textlink="">
      <xdr:nvSpPr>
        <xdr:cNvPr id="1039" name="AutoShape 1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6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304800</xdr:colOff>
      <xdr:row>16</xdr:row>
      <xdr:rowOff>114300</xdr:rowOff>
    </xdr:to>
    <xdr:sp macro="" textlink="">
      <xdr:nvSpPr>
        <xdr:cNvPr id="1040" name="AutoShape 1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6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304800</xdr:colOff>
      <xdr:row>18</xdr:row>
      <xdr:rowOff>76200</xdr:rowOff>
    </xdr:to>
    <xdr:sp macro="" textlink="">
      <xdr:nvSpPr>
        <xdr:cNvPr id="1041" name="AutoShape 1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304800</xdr:colOff>
      <xdr:row>18</xdr:row>
      <xdr:rowOff>76200</xdr:rowOff>
    </xdr:to>
    <xdr:sp macro="" textlink="">
      <xdr:nvSpPr>
        <xdr:cNvPr id="1042" name="AutoShape 1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</xdr:row>
      <xdr:rowOff>0</xdr:rowOff>
    </xdr:from>
    <xdr:to>
      <xdr:col>4</xdr:col>
      <xdr:colOff>304800</xdr:colOff>
      <xdr:row>20</xdr:row>
      <xdr:rowOff>114300</xdr:rowOff>
    </xdr:to>
    <xdr:sp macro="" textlink="">
      <xdr:nvSpPr>
        <xdr:cNvPr id="1043" name="AutoShape 1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7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304800</xdr:colOff>
      <xdr:row>20</xdr:row>
      <xdr:rowOff>114300</xdr:rowOff>
    </xdr:to>
    <xdr:sp macro="" textlink="">
      <xdr:nvSpPr>
        <xdr:cNvPr id="1044" name="AutoShape 2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7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304800</xdr:colOff>
      <xdr:row>22</xdr:row>
      <xdr:rowOff>114300</xdr:rowOff>
    </xdr:to>
    <xdr:sp macro="" textlink="">
      <xdr:nvSpPr>
        <xdr:cNvPr id="1045" name="AutoShape 2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5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304800</xdr:colOff>
      <xdr:row>22</xdr:row>
      <xdr:rowOff>114300</xdr:rowOff>
    </xdr:to>
    <xdr:sp macro="" textlink="">
      <xdr:nvSpPr>
        <xdr:cNvPr id="1046" name="AutoShape 2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5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304800</xdr:colOff>
      <xdr:row>24</xdr:row>
      <xdr:rowOff>114300</xdr:rowOff>
    </xdr:to>
    <xdr:sp macro="" textlink="">
      <xdr:nvSpPr>
        <xdr:cNvPr id="1047" name="AutoShape 2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304800</xdr:colOff>
      <xdr:row>24</xdr:row>
      <xdr:rowOff>114300</xdr:rowOff>
    </xdr:to>
    <xdr:sp macro="" textlink="">
      <xdr:nvSpPr>
        <xdr:cNvPr id="1048" name="AutoShape 2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304800</xdr:colOff>
      <xdr:row>26</xdr:row>
      <xdr:rowOff>76200</xdr:rowOff>
    </xdr:to>
    <xdr:sp macro="" textlink="">
      <xdr:nvSpPr>
        <xdr:cNvPr id="1049" name="AutoShape 2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304800</xdr:colOff>
      <xdr:row>26</xdr:row>
      <xdr:rowOff>76200</xdr:rowOff>
    </xdr:to>
    <xdr:sp macro="" textlink="">
      <xdr:nvSpPr>
        <xdr:cNvPr id="1050" name="AutoShape 2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</xdr:row>
      <xdr:rowOff>0</xdr:rowOff>
    </xdr:from>
    <xdr:to>
      <xdr:col>4</xdr:col>
      <xdr:colOff>304800</xdr:colOff>
      <xdr:row>28</xdr:row>
      <xdr:rowOff>114300</xdr:rowOff>
    </xdr:to>
    <xdr:sp macro="" textlink="">
      <xdr:nvSpPr>
        <xdr:cNvPr id="1051" name="AutoShape 2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1052" name="AutoShape 2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304800</xdr:colOff>
      <xdr:row>30</xdr:row>
      <xdr:rowOff>114300</xdr:rowOff>
    </xdr:to>
    <xdr:sp macro="" textlink="">
      <xdr:nvSpPr>
        <xdr:cNvPr id="1053" name="AutoShape 2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1054" name="AutoShape 3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304800</xdr:colOff>
      <xdr:row>32</xdr:row>
      <xdr:rowOff>114300</xdr:rowOff>
    </xdr:to>
    <xdr:sp macro="" textlink="">
      <xdr:nvSpPr>
        <xdr:cNvPr id="1055" name="AutoShape 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0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114300</xdr:rowOff>
    </xdr:to>
    <xdr:sp macro="" textlink="">
      <xdr:nvSpPr>
        <xdr:cNvPr id="1056" name="AutoShape 3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0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304800</xdr:colOff>
      <xdr:row>34</xdr:row>
      <xdr:rowOff>114300</xdr:rowOff>
    </xdr:to>
    <xdr:sp macro="" textlink="">
      <xdr:nvSpPr>
        <xdr:cNvPr id="1057" name="AutoShape 3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304800</xdr:colOff>
      <xdr:row>34</xdr:row>
      <xdr:rowOff>114300</xdr:rowOff>
    </xdr:to>
    <xdr:sp macro="" textlink="">
      <xdr:nvSpPr>
        <xdr:cNvPr id="1058" name="AutoShape 3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</xdr:row>
      <xdr:rowOff>0</xdr:rowOff>
    </xdr:from>
    <xdr:to>
      <xdr:col>4</xdr:col>
      <xdr:colOff>304800</xdr:colOff>
      <xdr:row>36</xdr:row>
      <xdr:rowOff>114300</xdr:rowOff>
    </xdr:to>
    <xdr:sp macro="" textlink="">
      <xdr:nvSpPr>
        <xdr:cNvPr id="1059" name="AutoShape 3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95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304800</xdr:colOff>
      <xdr:row>36</xdr:row>
      <xdr:rowOff>114300</xdr:rowOff>
    </xdr:to>
    <xdr:sp macro="" textlink="">
      <xdr:nvSpPr>
        <xdr:cNvPr id="1060" name="AutoShape 3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95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</xdr:row>
      <xdr:rowOff>0</xdr:rowOff>
    </xdr:from>
    <xdr:to>
      <xdr:col>4</xdr:col>
      <xdr:colOff>304800</xdr:colOff>
      <xdr:row>38</xdr:row>
      <xdr:rowOff>114300</xdr:rowOff>
    </xdr:to>
    <xdr:sp macro="" textlink="">
      <xdr:nvSpPr>
        <xdr:cNvPr id="1061" name="AutoShape 3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053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304800</xdr:colOff>
      <xdr:row>38</xdr:row>
      <xdr:rowOff>114300</xdr:rowOff>
    </xdr:to>
    <xdr:sp macro="" textlink="">
      <xdr:nvSpPr>
        <xdr:cNvPr id="1062" name="AutoShape 3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053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</xdr:row>
      <xdr:rowOff>0</xdr:rowOff>
    </xdr:from>
    <xdr:to>
      <xdr:col>4</xdr:col>
      <xdr:colOff>304800</xdr:colOff>
      <xdr:row>40</xdr:row>
      <xdr:rowOff>114300</xdr:rowOff>
    </xdr:to>
    <xdr:sp macro="" textlink="">
      <xdr:nvSpPr>
        <xdr:cNvPr id="1063" name="AutoShape 3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11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304800</xdr:colOff>
      <xdr:row>40</xdr:row>
      <xdr:rowOff>114300</xdr:rowOff>
    </xdr:to>
    <xdr:sp macro="" textlink="">
      <xdr:nvSpPr>
        <xdr:cNvPr id="1064" name="AutoShape 4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11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</xdr:row>
      <xdr:rowOff>0</xdr:rowOff>
    </xdr:from>
    <xdr:to>
      <xdr:col>4</xdr:col>
      <xdr:colOff>304800</xdr:colOff>
      <xdr:row>42</xdr:row>
      <xdr:rowOff>114300</xdr:rowOff>
    </xdr:to>
    <xdr:sp macro="" textlink="">
      <xdr:nvSpPr>
        <xdr:cNvPr id="1065" name="AutoShape 4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304800</xdr:colOff>
      <xdr:row>42</xdr:row>
      <xdr:rowOff>114300</xdr:rowOff>
    </xdr:to>
    <xdr:sp macro="" textlink="">
      <xdr:nvSpPr>
        <xdr:cNvPr id="1066" name="AutoShape 4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</xdr:row>
      <xdr:rowOff>0</xdr:rowOff>
    </xdr:from>
    <xdr:to>
      <xdr:col>4</xdr:col>
      <xdr:colOff>304800</xdr:colOff>
      <xdr:row>44</xdr:row>
      <xdr:rowOff>114300</xdr:rowOff>
    </xdr:to>
    <xdr:sp macro="" textlink="">
      <xdr:nvSpPr>
        <xdr:cNvPr id="1067" name="AutoShape 4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2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304800</xdr:colOff>
      <xdr:row>44</xdr:row>
      <xdr:rowOff>114300</xdr:rowOff>
    </xdr:to>
    <xdr:sp macro="" textlink="">
      <xdr:nvSpPr>
        <xdr:cNvPr id="1068" name="AutoShape 4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2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</xdr:row>
      <xdr:rowOff>0</xdr:rowOff>
    </xdr:from>
    <xdr:to>
      <xdr:col>4</xdr:col>
      <xdr:colOff>304800</xdr:colOff>
      <xdr:row>46</xdr:row>
      <xdr:rowOff>114300</xdr:rowOff>
    </xdr:to>
    <xdr:sp macro="" textlink="">
      <xdr:nvSpPr>
        <xdr:cNvPr id="1069" name="AutoShape 4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85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304800</xdr:colOff>
      <xdr:row>46</xdr:row>
      <xdr:rowOff>114300</xdr:rowOff>
    </xdr:to>
    <xdr:sp macro="" textlink="">
      <xdr:nvSpPr>
        <xdr:cNvPr id="1070" name="AutoShape 4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85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304800</xdr:colOff>
      <xdr:row>48</xdr:row>
      <xdr:rowOff>114300</xdr:rowOff>
    </xdr:to>
    <xdr:sp macro="" textlink="">
      <xdr:nvSpPr>
        <xdr:cNvPr id="1071" name="AutoShape 4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363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304800</xdr:colOff>
      <xdr:row>48</xdr:row>
      <xdr:rowOff>114300</xdr:rowOff>
    </xdr:to>
    <xdr:sp macro="" textlink="">
      <xdr:nvSpPr>
        <xdr:cNvPr id="1072" name="AutoShape 4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363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</xdr:row>
      <xdr:rowOff>0</xdr:rowOff>
    </xdr:from>
    <xdr:to>
      <xdr:col>4</xdr:col>
      <xdr:colOff>304800</xdr:colOff>
      <xdr:row>50</xdr:row>
      <xdr:rowOff>114300</xdr:rowOff>
    </xdr:to>
    <xdr:sp macro="" textlink="">
      <xdr:nvSpPr>
        <xdr:cNvPr id="1073" name="AutoShape 4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21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304800</xdr:colOff>
      <xdr:row>50</xdr:row>
      <xdr:rowOff>114300</xdr:rowOff>
    </xdr:to>
    <xdr:sp macro="" textlink="">
      <xdr:nvSpPr>
        <xdr:cNvPr id="1074" name="AutoShape 5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21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304800</xdr:colOff>
      <xdr:row>52</xdr:row>
      <xdr:rowOff>76200</xdr:rowOff>
    </xdr:to>
    <xdr:sp macro="" textlink="">
      <xdr:nvSpPr>
        <xdr:cNvPr id="1075" name="AutoShape 5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304800</xdr:colOff>
      <xdr:row>52</xdr:row>
      <xdr:rowOff>76200</xdr:rowOff>
    </xdr:to>
    <xdr:sp macro="" textlink="">
      <xdr:nvSpPr>
        <xdr:cNvPr id="1076" name="AutoShape 5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</xdr:row>
      <xdr:rowOff>0</xdr:rowOff>
    </xdr:from>
    <xdr:to>
      <xdr:col>4</xdr:col>
      <xdr:colOff>304800</xdr:colOff>
      <xdr:row>54</xdr:row>
      <xdr:rowOff>114300</xdr:rowOff>
    </xdr:to>
    <xdr:sp macro="" textlink="">
      <xdr:nvSpPr>
        <xdr:cNvPr id="1077" name="AutoShape 5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41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304800</xdr:colOff>
      <xdr:row>54</xdr:row>
      <xdr:rowOff>114300</xdr:rowOff>
    </xdr:to>
    <xdr:sp macro="" textlink="">
      <xdr:nvSpPr>
        <xdr:cNvPr id="1078" name="AutoShape 5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41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304800</xdr:colOff>
      <xdr:row>56</xdr:row>
      <xdr:rowOff>114300</xdr:rowOff>
    </xdr:to>
    <xdr:sp macro="" textlink="">
      <xdr:nvSpPr>
        <xdr:cNvPr id="1079" name="AutoShape 5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99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304800</xdr:colOff>
      <xdr:row>56</xdr:row>
      <xdr:rowOff>114300</xdr:rowOff>
    </xdr:to>
    <xdr:sp macro="" textlink="">
      <xdr:nvSpPr>
        <xdr:cNvPr id="1080" name="AutoShape 5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99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</xdr:row>
      <xdr:rowOff>0</xdr:rowOff>
    </xdr:from>
    <xdr:to>
      <xdr:col>4</xdr:col>
      <xdr:colOff>304800</xdr:colOff>
      <xdr:row>58</xdr:row>
      <xdr:rowOff>114300</xdr:rowOff>
    </xdr:to>
    <xdr:sp macro="" textlink="">
      <xdr:nvSpPr>
        <xdr:cNvPr id="1081" name="AutoShape 5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304800</xdr:colOff>
      <xdr:row>58</xdr:row>
      <xdr:rowOff>114300</xdr:rowOff>
    </xdr:to>
    <xdr:sp macro="" textlink="">
      <xdr:nvSpPr>
        <xdr:cNvPr id="1082" name="AutoShape 5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</xdr:row>
      <xdr:rowOff>0</xdr:rowOff>
    </xdr:from>
    <xdr:to>
      <xdr:col>4</xdr:col>
      <xdr:colOff>304800</xdr:colOff>
      <xdr:row>60</xdr:row>
      <xdr:rowOff>114300</xdr:rowOff>
    </xdr:to>
    <xdr:sp macro="" textlink="">
      <xdr:nvSpPr>
        <xdr:cNvPr id="1083" name="AutoShape 5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96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304800</xdr:colOff>
      <xdr:row>60</xdr:row>
      <xdr:rowOff>114300</xdr:rowOff>
    </xdr:to>
    <xdr:sp macro="" textlink="">
      <xdr:nvSpPr>
        <xdr:cNvPr id="1084" name="AutoShape 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96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304800</xdr:colOff>
      <xdr:row>62</xdr:row>
      <xdr:rowOff>114300</xdr:rowOff>
    </xdr:to>
    <xdr:sp macro="" textlink="">
      <xdr:nvSpPr>
        <xdr:cNvPr id="1085" name="AutoShape 6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54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304800</xdr:colOff>
      <xdr:row>62</xdr:row>
      <xdr:rowOff>114300</xdr:rowOff>
    </xdr:to>
    <xdr:sp macro="" textlink="">
      <xdr:nvSpPr>
        <xdr:cNvPr id="1086" name="AutoShape 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54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</xdr:row>
      <xdr:rowOff>0</xdr:rowOff>
    </xdr:from>
    <xdr:to>
      <xdr:col>4</xdr:col>
      <xdr:colOff>304800</xdr:colOff>
      <xdr:row>64</xdr:row>
      <xdr:rowOff>114300</xdr:rowOff>
    </xdr:to>
    <xdr:sp macro="" textlink="">
      <xdr:nvSpPr>
        <xdr:cNvPr id="1087" name="AutoShape 6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12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304800</xdr:colOff>
      <xdr:row>64</xdr:row>
      <xdr:rowOff>114300</xdr:rowOff>
    </xdr:to>
    <xdr:sp macro="" textlink="">
      <xdr:nvSpPr>
        <xdr:cNvPr id="1088" name="AutoShape 6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12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</xdr:row>
      <xdr:rowOff>0</xdr:rowOff>
    </xdr:from>
    <xdr:to>
      <xdr:col>4</xdr:col>
      <xdr:colOff>304800</xdr:colOff>
      <xdr:row>66</xdr:row>
      <xdr:rowOff>114300</xdr:rowOff>
    </xdr:to>
    <xdr:sp macro="" textlink="">
      <xdr:nvSpPr>
        <xdr:cNvPr id="1089" name="AutoShape 6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304800</xdr:colOff>
      <xdr:row>66</xdr:row>
      <xdr:rowOff>114300</xdr:rowOff>
    </xdr:to>
    <xdr:sp macro="" textlink="">
      <xdr:nvSpPr>
        <xdr:cNvPr id="1090" name="AutoShape 6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</xdr:row>
      <xdr:rowOff>0</xdr:rowOff>
    </xdr:from>
    <xdr:to>
      <xdr:col>4</xdr:col>
      <xdr:colOff>304800</xdr:colOff>
      <xdr:row>68</xdr:row>
      <xdr:rowOff>114300</xdr:rowOff>
    </xdr:to>
    <xdr:sp macro="" textlink="">
      <xdr:nvSpPr>
        <xdr:cNvPr id="1091" name="AutoShape 6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947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304800</xdr:colOff>
      <xdr:row>68</xdr:row>
      <xdr:rowOff>114300</xdr:rowOff>
    </xdr:to>
    <xdr:sp macro="" textlink="">
      <xdr:nvSpPr>
        <xdr:cNvPr id="1092" name="AutoShape 6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947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304800</xdr:colOff>
      <xdr:row>70</xdr:row>
      <xdr:rowOff>114300</xdr:rowOff>
    </xdr:to>
    <xdr:sp macro="" textlink="">
      <xdr:nvSpPr>
        <xdr:cNvPr id="1093" name="AutoShape 6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05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304800</xdr:colOff>
      <xdr:row>70</xdr:row>
      <xdr:rowOff>114300</xdr:rowOff>
    </xdr:to>
    <xdr:sp macro="" textlink="">
      <xdr:nvSpPr>
        <xdr:cNvPr id="1094" name="AutoShape 7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05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</xdr:row>
      <xdr:rowOff>0</xdr:rowOff>
    </xdr:from>
    <xdr:to>
      <xdr:col>4</xdr:col>
      <xdr:colOff>304800</xdr:colOff>
      <xdr:row>72</xdr:row>
      <xdr:rowOff>114300</xdr:rowOff>
    </xdr:to>
    <xdr:sp macro="" textlink="">
      <xdr:nvSpPr>
        <xdr:cNvPr id="1095" name="AutoShape 7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64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304800</xdr:colOff>
      <xdr:row>72</xdr:row>
      <xdr:rowOff>114300</xdr:rowOff>
    </xdr:to>
    <xdr:sp macro="" textlink="">
      <xdr:nvSpPr>
        <xdr:cNvPr id="1096" name="AutoShape 7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64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304800</xdr:colOff>
      <xdr:row>74</xdr:row>
      <xdr:rowOff>76200</xdr:rowOff>
    </xdr:to>
    <xdr:sp macro="" textlink="">
      <xdr:nvSpPr>
        <xdr:cNvPr id="1097" name="AutoShape 7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2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304800</xdr:colOff>
      <xdr:row>74</xdr:row>
      <xdr:rowOff>76200</xdr:rowOff>
    </xdr:to>
    <xdr:sp macro="" textlink="">
      <xdr:nvSpPr>
        <xdr:cNvPr id="1098" name="AutoShape 7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2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</xdr:row>
      <xdr:rowOff>0</xdr:rowOff>
    </xdr:from>
    <xdr:to>
      <xdr:col>4</xdr:col>
      <xdr:colOff>304800</xdr:colOff>
      <xdr:row>76</xdr:row>
      <xdr:rowOff>114300</xdr:rowOff>
    </xdr:to>
    <xdr:sp macro="" textlink="">
      <xdr:nvSpPr>
        <xdr:cNvPr id="1099" name="AutoShape 7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6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304800</xdr:colOff>
      <xdr:row>76</xdr:row>
      <xdr:rowOff>114300</xdr:rowOff>
    </xdr:to>
    <xdr:sp macro="" textlink="">
      <xdr:nvSpPr>
        <xdr:cNvPr id="1100" name="AutoShape 7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6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304800</xdr:colOff>
      <xdr:row>78</xdr:row>
      <xdr:rowOff>114300</xdr:rowOff>
    </xdr:to>
    <xdr:sp macro="" textlink="">
      <xdr:nvSpPr>
        <xdr:cNvPr id="1101" name="AutoShape 7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304800</xdr:colOff>
      <xdr:row>78</xdr:row>
      <xdr:rowOff>114300</xdr:rowOff>
    </xdr:to>
    <xdr:sp macro="" textlink="">
      <xdr:nvSpPr>
        <xdr:cNvPr id="1102" name="AutoShape 7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</xdr:row>
      <xdr:rowOff>0</xdr:rowOff>
    </xdr:from>
    <xdr:to>
      <xdr:col>4</xdr:col>
      <xdr:colOff>304800</xdr:colOff>
      <xdr:row>80</xdr:row>
      <xdr:rowOff>114300</xdr:rowOff>
    </xdr:to>
    <xdr:sp macro="" textlink="">
      <xdr:nvSpPr>
        <xdr:cNvPr id="1103" name="AutoShape 7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00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304800</xdr:colOff>
      <xdr:row>80</xdr:row>
      <xdr:rowOff>114300</xdr:rowOff>
    </xdr:to>
    <xdr:sp macro="" textlink="">
      <xdr:nvSpPr>
        <xdr:cNvPr id="1104" name="AutoShape 8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00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</xdr:row>
      <xdr:rowOff>0</xdr:rowOff>
    </xdr:from>
    <xdr:to>
      <xdr:col>4</xdr:col>
      <xdr:colOff>304800</xdr:colOff>
      <xdr:row>82</xdr:row>
      <xdr:rowOff>114300</xdr:rowOff>
    </xdr:to>
    <xdr:sp macro="" textlink="">
      <xdr:nvSpPr>
        <xdr:cNvPr id="1105" name="AutoShape 8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5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304800</xdr:colOff>
      <xdr:row>82</xdr:row>
      <xdr:rowOff>114300</xdr:rowOff>
    </xdr:to>
    <xdr:sp macro="" textlink="">
      <xdr:nvSpPr>
        <xdr:cNvPr id="1106" name="AutoShape 8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5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</xdr:row>
      <xdr:rowOff>0</xdr:rowOff>
    </xdr:from>
    <xdr:to>
      <xdr:col>4</xdr:col>
      <xdr:colOff>304800</xdr:colOff>
      <xdr:row>84</xdr:row>
      <xdr:rowOff>114300</xdr:rowOff>
    </xdr:to>
    <xdr:sp macro="" textlink="">
      <xdr:nvSpPr>
        <xdr:cNvPr id="1107" name="AutoShape 8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1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304800</xdr:colOff>
      <xdr:row>84</xdr:row>
      <xdr:rowOff>114300</xdr:rowOff>
    </xdr:to>
    <xdr:sp macro="" textlink="">
      <xdr:nvSpPr>
        <xdr:cNvPr id="1108" name="AutoShape 8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1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</xdr:row>
      <xdr:rowOff>0</xdr:rowOff>
    </xdr:from>
    <xdr:to>
      <xdr:col>4</xdr:col>
      <xdr:colOff>304800</xdr:colOff>
      <xdr:row>86</xdr:row>
      <xdr:rowOff>114300</xdr:rowOff>
    </xdr:to>
    <xdr:sp macro="" textlink="">
      <xdr:nvSpPr>
        <xdr:cNvPr id="1109" name="AutoShape 8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304800</xdr:colOff>
      <xdr:row>86</xdr:row>
      <xdr:rowOff>114300</xdr:rowOff>
    </xdr:to>
    <xdr:sp macro="" textlink="">
      <xdr:nvSpPr>
        <xdr:cNvPr id="1110" name="AutoShape 8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</xdr:row>
      <xdr:rowOff>0</xdr:rowOff>
    </xdr:from>
    <xdr:to>
      <xdr:col>4</xdr:col>
      <xdr:colOff>304800</xdr:colOff>
      <xdr:row>88</xdr:row>
      <xdr:rowOff>114300</xdr:rowOff>
    </xdr:to>
    <xdr:sp macro="" textlink="">
      <xdr:nvSpPr>
        <xdr:cNvPr id="1111" name="AutoShape 8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32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304800</xdr:colOff>
      <xdr:row>88</xdr:row>
      <xdr:rowOff>114300</xdr:rowOff>
    </xdr:to>
    <xdr:sp macro="" textlink="">
      <xdr:nvSpPr>
        <xdr:cNvPr id="1112" name="AutoShape 8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32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304800</xdr:colOff>
      <xdr:row>90</xdr:row>
      <xdr:rowOff>114300</xdr:rowOff>
    </xdr:to>
    <xdr:sp macro="" textlink="">
      <xdr:nvSpPr>
        <xdr:cNvPr id="1113" name="AutoShape 8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304800</xdr:colOff>
      <xdr:row>90</xdr:row>
      <xdr:rowOff>114300</xdr:rowOff>
    </xdr:to>
    <xdr:sp macro="" textlink="">
      <xdr:nvSpPr>
        <xdr:cNvPr id="1114" name="AutoShape 9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304800</xdr:colOff>
      <xdr:row>92</xdr:row>
      <xdr:rowOff>114300</xdr:rowOff>
    </xdr:to>
    <xdr:sp macro="" textlink="">
      <xdr:nvSpPr>
        <xdr:cNvPr id="1115" name="AutoShape 9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64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304800</xdr:colOff>
      <xdr:row>92</xdr:row>
      <xdr:rowOff>114300</xdr:rowOff>
    </xdr:to>
    <xdr:sp macro="" textlink="">
      <xdr:nvSpPr>
        <xdr:cNvPr id="1116" name="AutoShape 9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64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</xdr:row>
      <xdr:rowOff>0</xdr:rowOff>
    </xdr:from>
    <xdr:to>
      <xdr:col>4</xdr:col>
      <xdr:colOff>304800</xdr:colOff>
      <xdr:row>94</xdr:row>
      <xdr:rowOff>114300</xdr:rowOff>
    </xdr:to>
    <xdr:sp macro="" textlink="">
      <xdr:nvSpPr>
        <xdr:cNvPr id="1117" name="AutoShape 9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0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304800</xdr:colOff>
      <xdr:row>94</xdr:row>
      <xdr:rowOff>114300</xdr:rowOff>
    </xdr:to>
    <xdr:sp macro="" textlink="">
      <xdr:nvSpPr>
        <xdr:cNvPr id="1118" name="AutoShape 9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0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304800</xdr:colOff>
      <xdr:row>96</xdr:row>
      <xdr:rowOff>76200</xdr:rowOff>
    </xdr:to>
    <xdr:sp macro="" textlink="">
      <xdr:nvSpPr>
        <xdr:cNvPr id="1119" name="AutoShape 9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6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304800</xdr:colOff>
      <xdr:row>96</xdr:row>
      <xdr:rowOff>76200</xdr:rowOff>
    </xdr:to>
    <xdr:sp macro="" textlink="">
      <xdr:nvSpPr>
        <xdr:cNvPr id="1120" name="AutoShape 9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6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</xdr:row>
      <xdr:rowOff>0</xdr:rowOff>
    </xdr:from>
    <xdr:to>
      <xdr:col>4</xdr:col>
      <xdr:colOff>304800</xdr:colOff>
      <xdr:row>98</xdr:row>
      <xdr:rowOff>76200</xdr:rowOff>
    </xdr:to>
    <xdr:sp macro="" textlink="">
      <xdr:nvSpPr>
        <xdr:cNvPr id="1121" name="AutoShape 9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0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304800</xdr:colOff>
      <xdr:row>98</xdr:row>
      <xdr:rowOff>76200</xdr:rowOff>
    </xdr:to>
    <xdr:sp macro="" textlink="">
      <xdr:nvSpPr>
        <xdr:cNvPr id="1122" name="AutoShape 9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0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304800</xdr:colOff>
      <xdr:row>100</xdr:row>
      <xdr:rowOff>114300</xdr:rowOff>
    </xdr:to>
    <xdr:sp macro="" textlink="">
      <xdr:nvSpPr>
        <xdr:cNvPr id="1123" name="AutoShape 9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5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304800</xdr:colOff>
      <xdr:row>100</xdr:row>
      <xdr:rowOff>114300</xdr:rowOff>
    </xdr:to>
    <xdr:sp macro="" textlink="">
      <xdr:nvSpPr>
        <xdr:cNvPr id="1124" name="AutoShape 10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5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</xdr:row>
      <xdr:rowOff>0</xdr:rowOff>
    </xdr:from>
    <xdr:to>
      <xdr:col>4</xdr:col>
      <xdr:colOff>304800</xdr:colOff>
      <xdr:row>102</xdr:row>
      <xdr:rowOff>114300</xdr:rowOff>
    </xdr:to>
    <xdr:sp macro="" textlink="">
      <xdr:nvSpPr>
        <xdr:cNvPr id="1125" name="AutoShape 10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0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304800</xdr:colOff>
      <xdr:row>102</xdr:row>
      <xdr:rowOff>114300</xdr:rowOff>
    </xdr:to>
    <xdr:sp macro="" textlink="">
      <xdr:nvSpPr>
        <xdr:cNvPr id="1126" name="AutoShape 1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0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</xdr:row>
      <xdr:rowOff>0</xdr:rowOff>
    </xdr:from>
    <xdr:to>
      <xdr:col>4</xdr:col>
      <xdr:colOff>304800</xdr:colOff>
      <xdr:row>104</xdr:row>
      <xdr:rowOff>114300</xdr:rowOff>
    </xdr:to>
    <xdr:sp macro="" textlink="">
      <xdr:nvSpPr>
        <xdr:cNvPr id="1127" name="AutoShape 10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8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304800</xdr:colOff>
      <xdr:row>104</xdr:row>
      <xdr:rowOff>114300</xdr:rowOff>
    </xdr:to>
    <xdr:sp macro="" textlink="">
      <xdr:nvSpPr>
        <xdr:cNvPr id="1128" name="AutoShape 10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8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</xdr:row>
      <xdr:rowOff>0</xdr:rowOff>
    </xdr:from>
    <xdr:to>
      <xdr:col>4</xdr:col>
      <xdr:colOff>304800</xdr:colOff>
      <xdr:row>106</xdr:row>
      <xdr:rowOff>114300</xdr:rowOff>
    </xdr:to>
    <xdr:sp macro="" textlink="">
      <xdr:nvSpPr>
        <xdr:cNvPr id="1129" name="AutoShape 10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304800</xdr:colOff>
      <xdr:row>106</xdr:row>
      <xdr:rowOff>114300</xdr:rowOff>
    </xdr:to>
    <xdr:sp macro="" textlink="">
      <xdr:nvSpPr>
        <xdr:cNvPr id="1130" name="AutoShape 10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</xdr:row>
      <xdr:rowOff>0</xdr:rowOff>
    </xdr:from>
    <xdr:to>
      <xdr:col>4</xdr:col>
      <xdr:colOff>304800</xdr:colOff>
      <xdr:row>108</xdr:row>
      <xdr:rowOff>114300</xdr:rowOff>
    </xdr:to>
    <xdr:sp macro="" textlink="">
      <xdr:nvSpPr>
        <xdr:cNvPr id="1131" name="AutoShape 1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0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304800</xdr:colOff>
      <xdr:row>108</xdr:row>
      <xdr:rowOff>114300</xdr:rowOff>
    </xdr:to>
    <xdr:sp macro="" textlink="">
      <xdr:nvSpPr>
        <xdr:cNvPr id="1132" name="AutoShape 10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0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</xdr:row>
      <xdr:rowOff>0</xdr:rowOff>
    </xdr:from>
    <xdr:to>
      <xdr:col>4</xdr:col>
      <xdr:colOff>304800</xdr:colOff>
      <xdr:row>110</xdr:row>
      <xdr:rowOff>114300</xdr:rowOff>
    </xdr:to>
    <xdr:sp macro="" textlink="">
      <xdr:nvSpPr>
        <xdr:cNvPr id="1133" name="AutoShape 10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79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304800</xdr:colOff>
      <xdr:row>110</xdr:row>
      <xdr:rowOff>114300</xdr:rowOff>
    </xdr:to>
    <xdr:sp macro="" textlink="">
      <xdr:nvSpPr>
        <xdr:cNvPr id="1134" name="AutoShape 11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79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</xdr:row>
      <xdr:rowOff>0</xdr:rowOff>
    </xdr:from>
    <xdr:to>
      <xdr:col>4</xdr:col>
      <xdr:colOff>304800</xdr:colOff>
      <xdr:row>112</xdr:row>
      <xdr:rowOff>114300</xdr:rowOff>
    </xdr:to>
    <xdr:sp macro="" textlink="">
      <xdr:nvSpPr>
        <xdr:cNvPr id="1135" name="AutoShape 11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37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304800</xdr:colOff>
      <xdr:row>112</xdr:row>
      <xdr:rowOff>114300</xdr:rowOff>
    </xdr:to>
    <xdr:sp macro="" textlink="">
      <xdr:nvSpPr>
        <xdr:cNvPr id="1136" name="AutoShape 11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37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304800</xdr:colOff>
      <xdr:row>114</xdr:row>
      <xdr:rowOff>114300</xdr:rowOff>
    </xdr:to>
    <xdr:sp macro="" textlink="">
      <xdr:nvSpPr>
        <xdr:cNvPr id="1137" name="AutoShape 11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95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304800</xdr:colOff>
      <xdr:row>114</xdr:row>
      <xdr:rowOff>114300</xdr:rowOff>
    </xdr:to>
    <xdr:sp macro="" textlink="">
      <xdr:nvSpPr>
        <xdr:cNvPr id="1138" name="AutoShape 11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95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</xdr:row>
      <xdr:rowOff>0</xdr:rowOff>
    </xdr:from>
    <xdr:to>
      <xdr:col>4</xdr:col>
      <xdr:colOff>304800</xdr:colOff>
      <xdr:row>116</xdr:row>
      <xdr:rowOff>76200</xdr:rowOff>
    </xdr:to>
    <xdr:sp macro="" textlink="">
      <xdr:nvSpPr>
        <xdr:cNvPr id="1139" name="AutoShape 1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53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304800</xdr:colOff>
      <xdr:row>116</xdr:row>
      <xdr:rowOff>76200</xdr:rowOff>
    </xdr:to>
    <xdr:sp macro="" textlink="">
      <xdr:nvSpPr>
        <xdr:cNvPr id="1140" name="AutoShape 11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53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304800</xdr:colOff>
      <xdr:row>118</xdr:row>
      <xdr:rowOff>114300</xdr:rowOff>
    </xdr:to>
    <xdr:sp macro="" textlink="">
      <xdr:nvSpPr>
        <xdr:cNvPr id="1141" name="AutoShape 11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96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304800</xdr:colOff>
      <xdr:row>118</xdr:row>
      <xdr:rowOff>114300</xdr:rowOff>
    </xdr:to>
    <xdr:sp macro="" textlink="">
      <xdr:nvSpPr>
        <xdr:cNvPr id="1142" name="AutoShape 11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96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304800</xdr:colOff>
      <xdr:row>120</xdr:row>
      <xdr:rowOff>114300</xdr:rowOff>
    </xdr:to>
    <xdr:sp macro="" textlink="">
      <xdr:nvSpPr>
        <xdr:cNvPr id="1143" name="AutoShape 11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304800</xdr:colOff>
      <xdr:row>120</xdr:row>
      <xdr:rowOff>114300</xdr:rowOff>
    </xdr:to>
    <xdr:sp macro="" textlink="">
      <xdr:nvSpPr>
        <xdr:cNvPr id="1144" name="AutoShape 12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304800</xdr:colOff>
      <xdr:row>122</xdr:row>
      <xdr:rowOff>114300</xdr:rowOff>
    </xdr:to>
    <xdr:sp macro="" textlink="">
      <xdr:nvSpPr>
        <xdr:cNvPr id="1145" name="AutoShape 12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304800</xdr:colOff>
      <xdr:row>122</xdr:row>
      <xdr:rowOff>114300</xdr:rowOff>
    </xdr:to>
    <xdr:sp macro="" textlink="">
      <xdr:nvSpPr>
        <xdr:cNvPr id="1146" name="AutoShape 12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</xdr:row>
      <xdr:rowOff>0</xdr:rowOff>
    </xdr:from>
    <xdr:to>
      <xdr:col>4</xdr:col>
      <xdr:colOff>304800</xdr:colOff>
      <xdr:row>124</xdr:row>
      <xdr:rowOff>114300</xdr:rowOff>
    </xdr:to>
    <xdr:sp macro="" textlink="">
      <xdr:nvSpPr>
        <xdr:cNvPr id="1147" name="AutoShape 1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304800</xdr:colOff>
      <xdr:row>124</xdr:row>
      <xdr:rowOff>114300</xdr:rowOff>
    </xdr:to>
    <xdr:sp macro="" textlink="">
      <xdr:nvSpPr>
        <xdr:cNvPr id="1148" name="AutoShape 1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</xdr:row>
      <xdr:rowOff>0</xdr:rowOff>
    </xdr:from>
    <xdr:to>
      <xdr:col>4</xdr:col>
      <xdr:colOff>304800</xdr:colOff>
      <xdr:row>126</xdr:row>
      <xdr:rowOff>114300</xdr:rowOff>
    </xdr:to>
    <xdr:sp macro="" textlink="">
      <xdr:nvSpPr>
        <xdr:cNvPr id="1149" name="AutoShape 12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304800</xdr:colOff>
      <xdr:row>126</xdr:row>
      <xdr:rowOff>114300</xdr:rowOff>
    </xdr:to>
    <xdr:sp macro="" textlink="">
      <xdr:nvSpPr>
        <xdr:cNvPr id="1150" name="AutoShape 12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</xdr:row>
      <xdr:rowOff>0</xdr:rowOff>
    </xdr:from>
    <xdr:to>
      <xdr:col>4</xdr:col>
      <xdr:colOff>304800</xdr:colOff>
      <xdr:row>128</xdr:row>
      <xdr:rowOff>76200</xdr:rowOff>
    </xdr:to>
    <xdr:sp macro="" textlink="">
      <xdr:nvSpPr>
        <xdr:cNvPr id="1151" name="AutoShape 12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304800</xdr:colOff>
      <xdr:row>128</xdr:row>
      <xdr:rowOff>76200</xdr:rowOff>
    </xdr:to>
    <xdr:sp macro="" textlink="">
      <xdr:nvSpPr>
        <xdr:cNvPr id="1152" name="AutoShape 1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</xdr:row>
      <xdr:rowOff>0</xdr:rowOff>
    </xdr:from>
    <xdr:to>
      <xdr:col>4</xdr:col>
      <xdr:colOff>304800</xdr:colOff>
      <xdr:row>130</xdr:row>
      <xdr:rowOff>114300</xdr:rowOff>
    </xdr:to>
    <xdr:sp macro="" textlink="">
      <xdr:nvSpPr>
        <xdr:cNvPr id="1153" name="AutoShape 12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29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304800</xdr:colOff>
      <xdr:row>130</xdr:row>
      <xdr:rowOff>114300</xdr:rowOff>
    </xdr:to>
    <xdr:sp macro="" textlink="">
      <xdr:nvSpPr>
        <xdr:cNvPr id="1154" name="AutoShape 13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29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</xdr:row>
      <xdr:rowOff>0</xdr:rowOff>
    </xdr:from>
    <xdr:to>
      <xdr:col>4</xdr:col>
      <xdr:colOff>304800</xdr:colOff>
      <xdr:row>132</xdr:row>
      <xdr:rowOff>114300</xdr:rowOff>
    </xdr:to>
    <xdr:sp macro="" textlink="">
      <xdr:nvSpPr>
        <xdr:cNvPr id="1155" name="AutoShape 13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88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304800</xdr:colOff>
      <xdr:row>132</xdr:row>
      <xdr:rowOff>114300</xdr:rowOff>
    </xdr:to>
    <xdr:sp macro="" textlink="">
      <xdr:nvSpPr>
        <xdr:cNvPr id="1156" name="AutoShape 13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88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</xdr:row>
      <xdr:rowOff>0</xdr:rowOff>
    </xdr:from>
    <xdr:to>
      <xdr:col>4</xdr:col>
      <xdr:colOff>304800</xdr:colOff>
      <xdr:row>134</xdr:row>
      <xdr:rowOff>114300</xdr:rowOff>
    </xdr:to>
    <xdr:sp macro="" textlink="">
      <xdr:nvSpPr>
        <xdr:cNvPr id="1157" name="AutoShape 13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846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304800</xdr:colOff>
      <xdr:row>134</xdr:row>
      <xdr:rowOff>114300</xdr:rowOff>
    </xdr:to>
    <xdr:sp macro="" textlink="">
      <xdr:nvSpPr>
        <xdr:cNvPr id="1158" name="AutoShape 13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846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304800</xdr:colOff>
      <xdr:row>136</xdr:row>
      <xdr:rowOff>114300</xdr:rowOff>
    </xdr:to>
    <xdr:sp macro="" textlink="">
      <xdr:nvSpPr>
        <xdr:cNvPr id="1159" name="AutoShape 13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04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304800</xdr:colOff>
      <xdr:row>136</xdr:row>
      <xdr:rowOff>114300</xdr:rowOff>
    </xdr:to>
    <xdr:sp macro="" textlink="">
      <xdr:nvSpPr>
        <xdr:cNvPr id="1160" name="AutoShape 13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04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</xdr:row>
      <xdr:rowOff>0</xdr:rowOff>
    </xdr:from>
    <xdr:to>
      <xdr:col>4</xdr:col>
      <xdr:colOff>304800</xdr:colOff>
      <xdr:row>138</xdr:row>
      <xdr:rowOff>114300</xdr:rowOff>
    </xdr:to>
    <xdr:sp macro="" textlink="">
      <xdr:nvSpPr>
        <xdr:cNvPr id="1161" name="AutoShape 13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304800</xdr:colOff>
      <xdr:row>138</xdr:row>
      <xdr:rowOff>114300</xdr:rowOff>
    </xdr:to>
    <xdr:sp macro="" textlink="">
      <xdr:nvSpPr>
        <xdr:cNvPr id="1162" name="AutoShape 13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304800</xdr:colOff>
      <xdr:row>140</xdr:row>
      <xdr:rowOff>114300</xdr:rowOff>
    </xdr:to>
    <xdr:sp macro="" textlink="">
      <xdr:nvSpPr>
        <xdr:cNvPr id="1163" name="AutoShape 13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39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304800</xdr:colOff>
      <xdr:row>140</xdr:row>
      <xdr:rowOff>114300</xdr:rowOff>
    </xdr:to>
    <xdr:sp macro="" textlink="">
      <xdr:nvSpPr>
        <xdr:cNvPr id="1164" name="AutoShape 14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39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</xdr:row>
      <xdr:rowOff>0</xdr:rowOff>
    </xdr:from>
    <xdr:to>
      <xdr:col>4</xdr:col>
      <xdr:colOff>304800</xdr:colOff>
      <xdr:row>142</xdr:row>
      <xdr:rowOff>114300</xdr:rowOff>
    </xdr:to>
    <xdr:sp macro="" textlink="">
      <xdr:nvSpPr>
        <xdr:cNvPr id="1165" name="AutoShape 14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97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304800</xdr:colOff>
      <xdr:row>142</xdr:row>
      <xdr:rowOff>114300</xdr:rowOff>
    </xdr:to>
    <xdr:sp macro="" textlink="">
      <xdr:nvSpPr>
        <xdr:cNvPr id="1166" name="AutoShape 14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97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304800</xdr:colOff>
      <xdr:row>144</xdr:row>
      <xdr:rowOff>114300</xdr:rowOff>
    </xdr:to>
    <xdr:sp macro="" textlink="">
      <xdr:nvSpPr>
        <xdr:cNvPr id="1167" name="AutoShape 14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15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304800</xdr:colOff>
      <xdr:row>144</xdr:row>
      <xdr:rowOff>114300</xdr:rowOff>
    </xdr:to>
    <xdr:sp macro="" textlink="">
      <xdr:nvSpPr>
        <xdr:cNvPr id="1168" name="AutoShape 14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15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</xdr:row>
      <xdr:rowOff>0</xdr:rowOff>
    </xdr:from>
    <xdr:to>
      <xdr:col>4</xdr:col>
      <xdr:colOff>304800</xdr:colOff>
      <xdr:row>146</xdr:row>
      <xdr:rowOff>114300</xdr:rowOff>
    </xdr:to>
    <xdr:sp macro="" textlink="">
      <xdr:nvSpPr>
        <xdr:cNvPr id="1169" name="AutoShape 1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1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304800</xdr:colOff>
      <xdr:row>146</xdr:row>
      <xdr:rowOff>114300</xdr:rowOff>
    </xdr:to>
    <xdr:sp macro="" textlink="">
      <xdr:nvSpPr>
        <xdr:cNvPr id="1170" name="AutoShape 14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1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</xdr:row>
      <xdr:rowOff>0</xdr:rowOff>
    </xdr:from>
    <xdr:to>
      <xdr:col>4</xdr:col>
      <xdr:colOff>304800</xdr:colOff>
      <xdr:row>148</xdr:row>
      <xdr:rowOff>114300</xdr:rowOff>
    </xdr:to>
    <xdr:sp macro="" textlink="">
      <xdr:nvSpPr>
        <xdr:cNvPr id="1171" name="AutoShape 14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5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304800</xdr:colOff>
      <xdr:row>148</xdr:row>
      <xdr:rowOff>114300</xdr:rowOff>
    </xdr:to>
    <xdr:sp macro="" textlink="">
      <xdr:nvSpPr>
        <xdr:cNvPr id="1172" name="AutoShape 14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5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</xdr:row>
      <xdr:rowOff>0</xdr:rowOff>
    </xdr:from>
    <xdr:to>
      <xdr:col>4</xdr:col>
      <xdr:colOff>304800</xdr:colOff>
      <xdr:row>150</xdr:row>
      <xdr:rowOff>114300</xdr:rowOff>
    </xdr:to>
    <xdr:sp macro="" textlink="">
      <xdr:nvSpPr>
        <xdr:cNvPr id="1173" name="AutoShape 14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11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304800</xdr:colOff>
      <xdr:row>150</xdr:row>
      <xdr:rowOff>114300</xdr:rowOff>
    </xdr:to>
    <xdr:sp macro="" textlink="">
      <xdr:nvSpPr>
        <xdr:cNvPr id="1174" name="AutoShape 15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11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</xdr:row>
      <xdr:rowOff>0</xdr:rowOff>
    </xdr:from>
    <xdr:to>
      <xdr:col>4</xdr:col>
      <xdr:colOff>304800</xdr:colOff>
      <xdr:row>152</xdr:row>
      <xdr:rowOff>114300</xdr:rowOff>
    </xdr:to>
    <xdr:sp macro="" textlink="">
      <xdr:nvSpPr>
        <xdr:cNvPr id="1175" name="AutoShape 15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69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304800</xdr:colOff>
      <xdr:row>152</xdr:row>
      <xdr:rowOff>114300</xdr:rowOff>
    </xdr:to>
    <xdr:sp macro="" textlink="">
      <xdr:nvSpPr>
        <xdr:cNvPr id="1176" name="AutoShape 15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69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</xdr:row>
      <xdr:rowOff>0</xdr:rowOff>
    </xdr:from>
    <xdr:to>
      <xdr:col>4</xdr:col>
      <xdr:colOff>304800</xdr:colOff>
      <xdr:row>154</xdr:row>
      <xdr:rowOff>114300</xdr:rowOff>
    </xdr:to>
    <xdr:sp macro="" textlink="">
      <xdr:nvSpPr>
        <xdr:cNvPr id="1177" name="AutoShape 15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446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304800</xdr:colOff>
      <xdr:row>154</xdr:row>
      <xdr:rowOff>114300</xdr:rowOff>
    </xdr:to>
    <xdr:sp macro="" textlink="">
      <xdr:nvSpPr>
        <xdr:cNvPr id="1178" name="AutoShape 15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446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</xdr:row>
      <xdr:rowOff>0</xdr:rowOff>
    </xdr:from>
    <xdr:to>
      <xdr:col>4</xdr:col>
      <xdr:colOff>304800</xdr:colOff>
      <xdr:row>156</xdr:row>
      <xdr:rowOff>114300</xdr:rowOff>
    </xdr:to>
    <xdr:sp macro="" textlink="">
      <xdr:nvSpPr>
        <xdr:cNvPr id="1179" name="AutoShape 15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04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304800</xdr:colOff>
      <xdr:row>156</xdr:row>
      <xdr:rowOff>114300</xdr:rowOff>
    </xdr:to>
    <xdr:sp macro="" textlink="">
      <xdr:nvSpPr>
        <xdr:cNvPr id="1180" name="AutoShape 15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04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304800</xdr:colOff>
      <xdr:row>158</xdr:row>
      <xdr:rowOff>114300</xdr:rowOff>
    </xdr:to>
    <xdr:sp macro="" textlink="">
      <xdr:nvSpPr>
        <xdr:cNvPr id="1181" name="AutoShape 1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6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304800</xdr:colOff>
      <xdr:row>158</xdr:row>
      <xdr:rowOff>114300</xdr:rowOff>
    </xdr:to>
    <xdr:sp macro="" textlink="">
      <xdr:nvSpPr>
        <xdr:cNvPr id="1182" name="AutoShape 15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6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</xdr:row>
      <xdr:rowOff>0</xdr:rowOff>
    </xdr:from>
    <xdr:to>
      <xdr:col>4</xdr:col>
      <xdr:colOff>304800</xdr:colOff>
      <xdr:row>160</xdr:row>
      <xdr:rowOff>114300</xdr:rowOff>
    </xdr:to>
    <xdr:sp macro="" textlink="">
      <xdr:nvSpPr>
        <xdr:cNvPr id="1183" name="AutoShape 15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20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304800</xdr:colOff>
      <xdr:row>160</xdr:row>
      <xdr:rowOff>114300</xdr:rowOff>
    </xdr:to>
    <xdr:sp macro="" textlink="">
      <xdr:nvSpPr>
        <xdr:cNvPr id="1184" name="AutoShape 16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20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</xdr:row>
      <xdr:rowOff>0</xdr:rowOff>
    </xdr:from>
    <xdr:to>
      <xdr:col>4</xdr:col>
      <xdr:colOff>304800</xdr:colOff>
      <xdr:row>162</xdr:row>
      <xdr:rowOff>114300</xdr:rowOff>
    </xdr:to>
    <xdr:sp macro="" textlink="">
      <xdr:nvSpPr>
        <xdr:cNvPr id="1185" name="AutoShape 1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7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304800</xdr:colOff>
      <xdr:row>162</xdr:row>
      <xdr:rowOff>114300</xdr:rowOff>
    </xdr:to>
    <xdr:sp macro="" textlink="">
      <xdr:nvSpPr>
        <xdr:cNvPr id="1186" name="AutoShape 16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7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</xdr:row>
      <xdr:rowOff>0</xdr:rowOff>
    </xdr:from>
    <xdr:to>
      <xdr:col>4</xdr:col>
      <xdr:colOff>304800</xdr:colOff>
      <xdr:row>164</xdr:row>
      <xdr:rowOff>114300</xdr:rowOff>
    </xdr:to>
    <xdr:sp macro="" textlink="">
      <xdr:nvSpPr>
        <xdr:cNvPr id="1187" name="AutoShape 16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75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304800</xdr:colOff>
      <xdr:row>164</xdr:row>
      <xdr:rowOff>114300</xdr:rowOff>
    </xdr:to>
    <xdr:sp macro="" textlink="">
      <xdr:nvSpPr>
        <xdr:cNvPr id="1188" name="AutoShape 16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75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</xdr:row>
      <xdr:rowOff>0</xdr:rowOff>
    </xdr:from>
    <xdr:to>
      <xdr:col>4</xdr:col>
      <xdr:colOff>304800</xdr:colOff>
      <xdr:row>166</xdr:row>
      <xdr:rowOff>114300</xdr:rowOff>
    </xdr:to>
    <xdr:sp macro="" textlink="">
      <xdr:nvSpPr>
        <xdr:cNvPr id="1189" name="AutoShape 1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83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304800</xdr:colOff>
      <xdr:row>166</xdr:row>
      <xdr:rowOff>114300</xdr:rowOff>
    </xdr:to>
    <xdr:sp macro="" textlink="">
      <xdr:nvSpPr>
        <xdr:cNvPr id="1190" name="AutoShape 1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83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</xdr:row>
      <xdr:rowOff>0</xdr:rowOff>
    </xdr:from>
    <xdr:to>
      <xdr:col>4</xdr:col>
      <xdr:colOff>304800</xdr:colOff>
      <xdr:row>168</xdr:row>
      <xdr:rowOff>114300</xdr:rowOff>
    </xdr:to>
    <xdr:sp macro="" textlink="">
      <xdr:nvSpPr>
        <xdr:cNvPr id="1191" name="AutoShape 16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89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304800</xdr:colOff>
      <xdr:row>168</xdr:row>
      <xdr:rowOff>114300</xdr:rowOff>
    </xdr:to>
    <xdr:sp macro="" textlink="">
      <xdr:nvSpPr>
        <xdr:cNvPr id="1192" name="AutoShape 16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89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</xdr:row>
      <xdr:rowOff>0</xdr:rowOff>
    </xdr:from>
    <xdr:to>
      <xdr:col>4</xdr:col>
      <xdr:colOff>304800</xdr:colOff>
      <xdr:row>170</xdr:row>
      <xdr:rowOff>114300</xdr:rowOff>
    </xdr:to>
    <xdr:sp macro="" textlink="">
      <xdr:nvSpPr>
        <xdr:cNvPr id="1193" name="AutoShape 1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94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304800</xdr:colOff>
      <xdr:row>170</xdr:row>
      <xdr:rowOff>114300</xdr:rowOff>
    </xdr:to>
    <xdr:sp macro="" textlink="">
      <xdr:nvSpPr>
        <xdr:cNvPr id="1194" name="AutoShape 17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94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</xdr:row>
      <xdr:rowOff>0</xdr:rowOff>
    </xdr:from>
    <xdr:to>
      <xdr:col>4</xdr:col>
      <xdr:colOff>304800</xdr:colOff>
      <xdr:row>172</xdr:row>
      <xdr:rowOff>114300</xdr:rowOff>
    </xdr:to>
    <xdr:sp macro="" textlink="">
      <xdr:nvSpPr>
        <xdr:cNvPr id="1195" name="AutoShape 17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0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304800</xdr:colOff>
      <xdr:row>172</xdr:row>
      <xdr:rowOff>114300</xdr:rowOff>
    </xdr:to>
    <xdr:sp macro="" textlink="">
      <xdr:nvSpPr>
        <xdr:cNvPr id="1196" name="AutoShape 17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0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</xdr:row>
      <xdr:rowOff>0</xdr:rowOff>
    </xdr:from>
    <xdr:to>
      <xdr:col>4</xdr:col>
      <xdr:colOff>304800</xdr:colOff>
      <xdr:row>174</xdr:row>
      <xdr:rowOff>114300</xdr:rowOff>
    </xdr:to>
    <xdr:sp macro="" textlink="">
      <xdr:nvSpPr>
        <xdr:cNvPr id="1197" name="AutoShape 17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6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304800</xdr:colOff>
      <xdr:row>174</xdr:row>
      <xdr:rowOff>114300</xdr:rowOff>
    </xdr:to>
    <xdr:sp macro="" textlink="">
      <xdr:nvSpPr>
        <xdr:cNvPr id="1198" name="AutoShape 17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6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</xdr:row>
      <xdr:rowOff>0</xdr:rowOff>
    </xdr:from>
    <xdr:to>
      <xdr:col>4</xdr:col>
      <xdr:colOff>304800</xdr:colOff>
      <xdr:row>176</xdr:row>
      <xdr:rowOff>114300</xdr:rowOff>
    </xdr:to>
    <xdr:sp macro="" textlink="">
      <xdr:nvSpPr>
        <xdr:cNvPr id="1199" name="AutoShape 1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12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304800</xdr:colOff>
      <xdr:row>176</xdr:row>
      <xdr:rowOff>114300</xdr:rowOff>
    </xdr:to>
    <xdr:sp macro="" textlink="">
      <xdr:nvSpPr>
        <xdr:cNvPr id="1200" name="AutoShape 17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12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</xdr:row>
      <xdr:rowOff>0</xdr:rowOff>
    </xdr:from>
    <xdr:to>
      <xdr:col>4</xdr:col>
      <xdr:colOff>304800</xdr:colOff>
      <xdr:row>178</xdr:row>
      <xdr:rowOff>114300</xdr:rowOff>
    </xdr:to>
    <xdr:sp macro="" textlink="">
      <xdr:nvSpPr>
        <xdr:cNvPr id="1201" name="AutoShape 17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304800</xdr:colOff>
      <xdr:row>178</xdr:row>
      <xdr:rowOff>114300</xdr:rowOff>
    </xdr:to>
    <xdr:sp macro="" textlink="">
      <xdr:nvSpPr>
        <xdr:cNvPr id="1202" name="AutoShape 17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</xdr:row>
      <xdr:rowOff>0</xdr:rowOff>
    </xdr:from>
    <xdr:to>
      <xdr:col>4</xdr:col>
      <xdr:colOff>304800</xdr:colOff>
      <xdr:row>180</xdr:row>
      <xdr:rowOff>114300</xdr:rowOff>
    </xdr:to>
    <xdr:sp macro="" textlink="">
      <xdr:nvSpPr>
        <xdr:cNvPr id="1203" name="AutoShape 17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39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304800</xdr:colOff>
      <xdr:row>180</xdr:row>
      <xdr:rowOff>114300</xdr:rowOff>
    </xdr:to>
    <xdr:sp macro="" textlink="">
      <xdr:nvSpPr>
        <xdr:cNvPr id="1204" name="AutoShape 1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39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</xdr:row>
      <xdr:rowOff>0</xdr:rowOff>
    </xdr:from>
    <xdr:to>
      <xdr:col>4</xdr:col>
      <xdr:colOff>304800</xdr:colOff>
      <xdr:row>182</xdr:row>
      <xdr:rowOff>114300</xdr:rowOff>
    </xdr:to>
    <xdr:sp macro="" textlink="">
      <xdr:nvSpPr>
        <xdr:cNvPr id="1205" name="AutoShape 18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97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304800</xdr:colOff>
      <xdr:row>182</xdr:row>
      <xdr:rowOff>114300</xdr:rowOff>
    </xdr:to>
    <xdr:sp macro="" textlink="">
      <xdr:nvSpPr>
        <xdr:cNvPr id="1206" name="AutoShape 18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97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</xdr:row>
      <xdr:rowOff>0</xdr:rowOff>
    </xdr:from>
    <xdr:to>
      <xdr:col>4</xdr:col>
      <xdr:colOff>304800</xdr:colOff>
      <xdr:row>184</xdr:row>
      <xdr:rowOff>114300</xdr:rowOff>
    </xdr:to>
    <xdr:sp macro="" textlink="">
      <xdr:nvSpPr>
        <xdr:cNvPr id="1207" name="AutoShape 18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355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304800</xdr:colOff>
      <xdr:row>184</xdr:row>
      <xdr:rowOff>114300</xdr:rowOff>
    </xdr:to>
    <xdr:sp macro="" textlink="">
      <xdr:nvSpPr>
        <xdr:cNvPr id="1208" name="AutoShape 18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55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</xdr:row>
      <xdr:rowOff>0</xdr:rowOff>
    </xdr:from>
    <xdr:to>
      <xdr:col>4</xdr:col>
      <xdr:colOff>304800</xdr:colOff>
      <xdr:row>186</xdr:row>
      <xdr:rowOff>114300</xdr:rowOff>
    </xdr:to>
    <xdr:sp macro="" textlink="">
      <xdr:nvSpPr>
        <xdr:cNvPr id="1209" name="AutoShape 18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414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304800</xdr:colOff>
      <xdr:row>186</xdr:row>
      <xdr:rowOff>114300</xdr:rowOff>
    </xdr:to>
    <xdr:sp macro="" textlink="">
      <xdr:nvSpPr>
        <xdr:cNvPr id="1210" name="AutoShape 18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414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304800</xdr:colOff>
      <xdr:row>188</xdr:row>
      <xdr:rowOff>114300</xdr:rowOff>
    </xdr:to>
    <xdr:sp macro="" textlink="">
      <xdr:nvSpPr>
        <xdr:cNvPr id="1211" name="AutoShape 18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49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304800</xdr:colOff>
      <xdr:row>188</xdr:row>
      <xdr:rowOff>114300</xdr:rowOff>
    </xdr:to>
    <xdr:sp macro="" textlink="">
      <xdr:nvSpPr>
        <xdr:cNvPr id="1212" name="AutoShape 18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49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</xdr:row>
      <xdr:rowOff>0</xdr:rowOff>
    </xdr:from>
    <xdr:to>
      <xdr:col>4</xdr:col>
      <xdr:colOff>304800</xdr:colOff>
      <xdr:row>190</xdr:row>
      <xdr:rowOff>114300</xdr:rowOff>
    </xdr:to>
    <xdr:sp macro="" textlink="">
      <xdr:nvSpPr>
        <xdr:cNvPr id="1213" name="AutoShape 18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549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304800</xdr:colOff>
      <xdr:row>190</xdr:row>
      <xdr:rowOff>114300</xdr:rowOff>
    </xdr:to>
    <xdr:sp macro="" textlink="">
      <xdr:nvSpPr>
        <xdr:cNvPr id="1214" name="AutoShape 19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549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</xdr:row>
      <xdr:rowOff>0</xdr:rowOff>
    </xdr:from>
    <xdr:to>
      <xdr:col>4</xdr:col>
      <xdr:colOff>304800</xdr:colOff>
      <xdr:row>192</xdr:row>
      <xdr:rowOff>114300</xdr:rowOff>
    </xdr:to>
    <xdr:sp macro="" textlink="">
      <xdr:nvSpPr>
        <xdr:cNvPr id="1215" name="AutoShape 19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0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304800</xdr:colOff>
      <xdr:row>192</xdr:row>
      <xdr:rowOff>114300</xdr:rowOff>
    </xdr:to>
    <xdr:sp macro="" textlink="">
      <xdr:nvSpPr>
        <xdr:cNvPr id="1216" name="AutoShape 19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0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</xdr:row>
      <xdr:rowOff>0</xdr:rowOff>
    </xdr:from>
    <xdr:to>
      <xdr:col>4</xdr:col>
      <xdr:colOff>304800</xdr:colOff>
      <xdr:row>194</xdr:row>
      <xdr:rowOff>114300</xdr:rowOff>
    </xdr:to>
    <xdr:sp macro="" textlink="">
      <xdr:nvSpPr>
        <xdr:cNvPr id="1217" name="AutoShape 1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65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304800</xdr:colOff>
      <xdr:row>194</xdr:row>
      <xdr:rowOff>114300</xdr:rowOff>
    </xdr:to>
    <xdr:sp macro="" textlink="">
      <xdr:nvSpPr>
        <xdr:cNvPr id="1218" name="AutoShape 19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65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</xdr:row>
      <xdr:rowOff>0</xdr:rowOff>
    </xdr:from>
    <xdr:to>
      <xdr:col>4</xdr:col>
      <xdr:colOff>304800</xdr:colOff>
      <xdr:row>196</xdr:row>
      <xdr:rowOff>114300</xdr:rowOff>
    </xdr:to>
    <xdr:sp macro="" textlink="">
      <xdr:nvSpPr>
        <xdr:cNvPr id="1219" name="AutoShape 19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72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304800</xdr:colOff>
      <xdr:row>196</xdr:row>
      <xdr:rowOff>114300</xdr:rowOff>
    </xdr:to>
    <xdr:sp macro="" textlink="">
      <xdr:nvSpPr>
        <xdr:cNvPr id="1220" name="AutoShape 19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72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</xdr:row>
      <xdr:rowOff>0</xdr:rowOff>
    </xdr:from>
    <xdr:to>
      <xdr:col>4</xdr:col>
      <xdr:colOff>304800</xdr:colOff>
      <xdr:row>198</xdr:row>
      <xdr:rowOff>114300</xdr:rowOff>
    </xdr:to>
    <xdr:sp macro="" textlink="">
      <xdr:nvSpPr>
        <xdr:cNvPr id="1221" name="AutoShape 19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781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304800</xdr:colOff>
      <xdr:row>198</xdr:row>
      <xdr:rowOff>114300</xdr:rowOff>
    </xdr:to>
    <xdr:sp macro="" textlink="">
      <xdr:nvSpPr>
        <xdr:cNvPr id="1222" name="AutoShape 19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781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</xdr:row>
      <xdr:rowOff>0</xdr:rowOff>
    </xdr:from>
    <xdr:to>
      <xdr:col>4</xdr:col>
      <xdr:colOff>304800</xdr:colOff>
      <xdr:row>200</xdr:row>
      <xdr:rowOff>114300</xdr:rowOff>
    </xdr:to>
    <xdr:sp macro="" textlink="">
      <xdr:nvSpPr>
        <xdr:cNvPr id="1223" name="AutoShape 1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39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304800</xdr:colOff>
      <xdr:row>200</xdr:row>
      <xdr:rowOff>114300</xdr:rowOff>
    </xdr:to>
    <xdr:sp macro="" textlink="">
      <xdr:nvSpPr>
        <xdr:cNvPr id="1224" name="AutoShape 20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39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</xdr:row>
      <xdr:rowOff>0</xdr:rowOff>
    </xdr:from>
    <xdr:to>
      <xdr:col>4</xdr:col>
      <xdr:colOff>304800</xdr:colOff>
      <xdr:row>202</xdr:row>
      <xdr:rowOff>114300</xdr:rowOff>
    </xdr:to>
    <xdr:sp macro="" textlink="">
      <xdr:nvSpPr>
        <xdr:cNvPr id="1225" name="AutoShape 20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9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304800</xdr:colOff>
      <xdr:row>202</xdr:row>
      <xdr:rowOff>114300</xdr:rowOff>
    </xdr:to>
    <xdr:sp macro="" textlink="">
      <xdr:nvSpPr>
        <xdr:cNvPr id="1226" name="AutoShape 20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9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</xdr:row>
      <xdr:rowOff>0</xdr:rowOff>
    </xdr:from>
    <xdr:to>
      <xdr:col>4</xdr:col>
      <xdr:colOff>304800</xdr:colOff>
      <xdr:row>204</xdr:row>
      <xdr:rowOff>114300</xdr:rowOff>
    </xdr:to>
    <xdr:sp macro="" textlink="">
      <xdr:nvSpPr>
        <xdr:cNvPr id="1227" name="AutoShape 2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9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304800</xdr:colOff>
      <xdr:row>204</xdr:row>
      <xdr:rowOff>114300</xdr:rowOff>
    </xdr:to>
    <xdr:sp macro="" textlink="">
      <xdr:nvSpPr>
        <xdr:cNvPr id="1228" name="AutoShape 20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9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</xdr:row>
      <xdr:rowOff>0</xdr:rowOff>
    </xdr:from>
    <xdr:to>
      <xdr:col>4</xdr:col>
      <xdr:colOff>304800</xdr:colOff>
      <xdr:row>206</xdr:row>
      <xdr:rowOff>114300</xdr:rowOff>
    </xdr:to>
    <xdr:sp macro="" textlink="">
      <xdr:nvSpPr>
        <xdr:cNvPr id="1229" name="AutoShape 20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0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304800</xdr:colOff>
      <xdr:row>206</xdr:row>
      <xdr:rowOff>114300</xdr:rowOff>
    </xdr:to>
    <xdr:sp macro="" textlink="">
      <xdr:nvSpPr>
        <xdr:cNvPr id="1230" name="AutoShape 20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0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</xdr:row>
      <xdr:rowOff>0</xdr:rowOff>
    </xdr:from>
    <xdr:to>
      <xdr:col>4</xdr:col>
      <xdr:colOff>304800</xdr:colOff>
      <xdr:row>208</xdr:row>
      <xdr:rowOff>114300</xdr:rowOff>
    </xdr:to>
    <xdr:sp macro="" textlink="">
      <xdr:nvSpPr>
        <xdr:cNvPr id="1231" name="AutoShape 2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304800</xdr:colOff>
      <xdr:row>208</xdr:row>
      <xdr:rowOff>114300</xdr:rowOff>
    </xdr:to>
    <xdr:sp macro="" textlink="">
      <xdr:nvSpPr>
        <xdr:cNvPr id="1232" name="AutoShape 20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</xdr:row>
      <xdr:rowOff>0</xdr:rowOff>
    </xdr:from>
    <xdr:to>
      <xdr:col>4</xdr:col>
      <xdr:colOff>304800</xdr:colOff>
      <xdr:row>210</xdr:row>
      <xdr:rowOff>114300</xdr:rowOff>
    </xdr:to>
    <xdr:sp macro="" textlink="">
      <xdr:nvSpPr>
        <xdr:cNvPr id="1233" name="AutoShape 20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1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304800</xdr:colOff>
      <xdr:row>210</xdr:row>
      <xdr:rowOff>114300</xdr:rowOff>
    </xdr:to>
    <xdr:sp macro="" textlink="">
      <xdr:nvSpPr>
        <xdr:cNvPr id="1234" name="AutoShape 21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1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</xdr:row>
      <xdr:rowOff>0</xdr:rowOff>
    </xdr:from>
    <xdr:to>
      <xdr:col>4</xdr:col>
      <xdr:colOff>304800</xdr:colOff>
      <xdr:row>212</xdr:row>
      <xdr:rowOff>114300</xdr:rowOff>
    </xdr:to>
    <xdr:sp macro="" textlink="">
      <xdr:nvSpPr>
        <xdr:cNvPr id="1235" name="AutoShape 21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1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304800</xdr:colOff>
      <xdr:row>212</xdr:row>
      <xdr:rowOff>114300</xdr:rowOff>
    </xdr:to>
    <xdr:sp macro="" textlink="">
      <xdr:nvSpPr>
        <xdr:cNvPr id="1236" name="AutoShape 21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1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</xdr:row>
      <xdr:rowOff>0</xdr:rowOff>
    </xdr:from>
    <xdr:to>
      <xdr:col>4</xdr:col>
      <xdr:colOff>304800</xdr:colOff>
      <xdr:row>214</xdr:row>
      <xdr:rowOff>114300</xdr:rowOff>
    </xdr:to>
    <xdr:sp macro="" textlink="">
      <xdr:nvSpPr>
        <xdr:cNvPr id="1237" name="AutoShape 21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2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304800</xdr:colOff>
      <xdr:row>214</xdr:row>
      <xdr:rowOff>114300</xdr:rowOff>
    </xdr:to>
    <xdr:sp macro="" textlink="">
      <xdr:nvSpPr>
        <xdr:cNvPr id="1238" name="AutoShape 21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2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</xdr:row>
      <xdr:rowOff>0</xdr:rowOff>
    </xdr:from>
    <xdr:to>
      <xdr:col>4</xdr:col>
      <xdr:colOff>304800</xdr:colOff>
      <xdr:row>216</xdr:row>
      <xdr:rowOff>114300</xdr:rowOff>
    </xdr:to>
    <xdr:sp macro="" textlink="">
      <xdr:nvSpPr>
        <xdr:cNvPr id="1239" name="AutoShape 21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304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304800</xdr:colOff>
      <xdr:row>216</xdr:row>
      <xdr:rowOff>114300</xdr:rowOff>
    </xdr:to>
    <xdr:sp macro="" textlink="">
      <xdr:nvSpPr>
        <xdr:cNvPr id="1240" name="AutoShape 21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304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304800</xdr:colOff>
      <xdr:row>218</xdr:row>
      <xdr:rowOff>114300</xdr:rowOff>
    </xdr:to>
    <xdr:sp macro="" textlink="">
      <xdr:nvSpPr>
        <xdr:cNvPr id="1241" name="AutoShape 21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38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304800</xdr:colOff>
      <xdr:row>218</xdr:row>
      <xdr:rowOff>114300</xdr:rowOff>
    </xdr:to>
    <xdr:sp macro="" textlink="">
      <xdr:nvSpPr>
        <xdr:cNvPr id="1242" name="AutoShape 21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38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</xdr:row>
      <xdr:rowOff>0</xdr:rowOff>
    </xdr:from>
    <xdr:to>
      <xdr:col>4</xdr:col>
      <xdr:colOff>304800</xdr:colOff>
      <xdr:row>220</xdr:row>
      <xdr:rowOff>114300</xdr:rowOff>
    </xdr:to>
    <xdr:sp macro="" textlink="">
      <xdr:nvSpPr>
        <xdr:cNvPr id="1243" name="AutoShape 21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39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304800</xdr:colOff>
      <xdr:row>220</xdr:row>
      <xdr:rowOff>114300</xdr:rowOff>
    </xdr:to>
    <xdr:sp macro="" textlink="">
      <xdr:nvSpPr>
        <xdr:cNvPr id="1244" name="AutoShape 22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39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</xdr:row>
      <xdr:rowOff>0</xdr:rowOff>
    </xdr:from>
    <xdr:to>
      <xdr:col>4</xdr:col>
      <xdr:colOff>304800</xdr:colOff>
      <xdr:row>222</xdr:row>
      <xdr:rowOff>114300</xdr:rowOff>
    </xdr:to>
    <xdr:sp macro="" textlink="">
      <xdr:nvSpPr>
        <xdr:cNvPr id="1245" name="AutoShape 22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51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304800</xdr:colOff>
      <xdr:row>222</xdr:row>
      <xdr:rowOff>114300</xdr:rowOff>
    </xdr:to>
    <xdr:sp macro="" textlink="">
      <xdr:nvSpPr>
        <xdr:cNvPr id="1246" name="AutoShape 22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51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</xdr:row>
      <xdr:rowOff>0</xdr:rowOff>
    </xdr:from>
    <xdr:to>
      <xdr:col>4</xdr:col>
      <xdr:colOff>304800</xdr:colOff>
      <xdr:row>224</xdr:row>
      <xdr:rowOff>76200</xdr:rowOff>
    </xdr:to>
    <xdr:sp macro="" textlink="">
      <xdr:nvSpPr>
        <xdr:cNvPr id="1247" name="AutoShape 22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57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304800</xdr:colOff>
      <xdr:row>224</xdr:row>
      <xdr:rowOff>76200</xdr:rowOff>
    </xdr:to>
    <xdr:sp macro="" textlink="">
      <xdr:nvSpPr>
        <xdr:cNvPr id="1248" name="AutoShape 22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57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</xdr:row>
      <xdr:rowOff>0</xdr:rowOff>
    </xdr:from>
    <xdr:to>
      <xdr:col>4</xdr:col>
      <xdr:colOff>304800</xdr:colOff>
      <xdr:row>226</xdr:row>
      <xdr:rowOff>114300</xdr:rowOff>
    </xdr:to>
    <xdr:sp macro="" textlink="">
      <xdr:nvSpPr>
        <xdr:cNvPr id="1249" name="AutoShape 22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61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304800</xdr:colOff>
      <xdr:row>226</xdr:row>
      <xdr:rowOff>114300</xdr:rowOff>
    </xdr:to>
    <xdr:sp macro="" textlink="">
      <xdr:nvSpPr>
        <xdr:cNvPr id="1250" name="AutoShape 22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61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</xdr:row>
      <xdr:rowOff>0</xdr:rowOff>
    </xdr:from>
    <xdr:to>
      <xdr:col>4</xdr:col>
      <xdr:colOff>304800</xdr:colOff>
      <xdr:row>228</xdr:row>
      <xdr:rowOff>114300</xdr:rowOff>
    </xdr:to>
    <xdr:sp macro="" textlink="">
      <xdr:nvSpPr>
        <xdr:cNvPr id="1251" name="AutoShape 22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67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304800</xdr:colOff>
      <xdr:row>228</xdr:row>
      <xdr:rowOff>114300</xdr:rowOff>
    </xdr:to>
    <xdr:sp macro="" textlink="">
      <xdr:nvSpPr>
        <xdr:cNvPr id="1252" name="AutoShape 22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67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</xdr:row>
      <xdr:rowOff>0</xdr:rowOff>
    </xdr:from>
    <xdr:to>
      <xdr:col>4</xdr:col>
      <xdr:colOff>304800</xdr:colOff>
      <xdr:row>230</xdr:row>
      <xdr:rowOff>76200</xdr:rowOff>
    </xdr:to>
    <xdr:sp macro="" textlink="">
      <xdr:nvSpPr>
        <xdr:cNvPr id="1253" name="AutoShape 22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734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304800</xdr:colOff>
      <xdr:row>230</xdr:row>
      <xdr:rowOff>76200</xdr:rowOff>
    </xdr:to>
    <xdr:sp macro="" textlink="">
      <xdr:nvSpPr>
        <xdr:cNvPr id="1254" name="AutoShape 23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734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</xdr:row>
      <xdr:rowOff>0</xdr:rowOff>
    </xdr:from>
    <xdr:to>
      <xdr:col>4</xdr:col>
      <xdr:colOff>304800</xdr:colOff>
      <xdr:row>232</xdr:row>
      <xdr:rowOff>114300</xdr:rowOff>
    </xdr:to>
    <xdr:sp macro="" textlink="">
      <xdr:nvSpPr>
        <xdr:cNvPr id="1255" name="AutoShape 23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77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304800</xdr:colOff>
      <xdr:row>232</xdr:row>
      <xdr:rowOff>114300</xdr:rowOff>
    </xdr:to>
    <xdr:sp macro="" textlink="">
      <xdr:nvSpPr>
        <xdr:cNvPr id="1256" name="AutoShape 23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77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</xdr:row>
      <xdr:rowOff>0</xdr:rowOff>
    </xdr:from>
    <xdr:to>
      <xdr:col>4</xdr:col>
      <xdr:colOff>304800</xdr:colOff>
      <xdr:row>234</xdr:row>
      <xdr:rowOff>114300</xdr:rowOff>
    </xdr:to>
    <xdr:sp macro="" textlink="">
      <xdr:nvSpPr>
        <xdr:cNvPr id="1257" name="AutoShape 23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83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304800</xdr:colOff>
      <xdr:row>234</xdr:row>
      <xdr:rowOff>114300</xdr:rowOff>
    </xdr:to>
    <xdr:sp macro="" textlink="">
      <xdr:nvSpPr>
        <xdr:cNvPr id="1258" name="AutoShape 23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83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</xdr:row>
      <xdr:rowOff>0</xdr:rowOff>
    </xdr:from>
    <xdr:to>
      <xdr:col>4</xdr:col>
      <xdr:colOff>304800</xdr:colOff>
      <xdr:row>236</xdr:row>
      <xdr:rowOff>114300</xdr:rowOff>
    </xdr:to>
    <xdr:sp macro="" textlink="">
      <xdr:nvSpPr>
        <xdr:cNvPr id="1259" name="AutoShape 23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893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304800</xdr:colOff>
      <xdr:row>236</xdr:row>
      <xdr:rowOff>114300</xdr:rowOff>
    </xdr:to>
    <xdr:sp macro="" textlink="">
      <xdr:nvSpPr>
        <xdr:cNvPr id="1260" name="AutoShape 23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893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</xdr:row>
      <xdr:rowOff>0</xdr:rowOff>
    </xdr:from>
    <xdr:to>
      <xdr:col>4</xdr:col>
      <xdr:colOff>304800</xdr:colOff>
      <xdr:row>238</xdr:row>
      <xdr:rowOff>114300</xdr:rowOff>
    </xdr:to>
    <xdr:sp macro="" textlink="">
      <xdr:nvSpPr>
        <xdr:cNvPr id="1261" name="AutoShape 23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95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304800</xdr:colOff>
      <xdr:row>238</xdr:row>
      <xdr:rowOff>114300</xdr:rowOff>
    </xdr:to>
    <xdr:sp macro="" textlink="">
      <xdr:nvSpPr>
        <xdr:cNvPr id="1262" name="AutoShape 23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95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</xdr:row>
      <xdr:rowOff>0</xdr:rowOff>
    </xdr:from>
    <xdr:to>
      <xdr:col>4</xdr:col>
      <xdr:colOff>304800</xdr:colOff>
      <xdr:row>240</xdr:row>
      <xdr:rowOff>114300</xdr:rowOff>
    </xdr:to>
    <xdr:sp macro="" textlink="">
      <xdr:nvSpPr>
        <xdr:cNvPr id="1263" name="AutoShape 23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990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304800</xdr:colOff>
      <xdr:row>240</xdr:row>
      <xdr:rowOff>114300</xdr:rowOff>
    </xdr:to>
    <xdr:sp macro="" textlink="">
      <xdr:nvSpPr>
        <xdr:cNvPr id="1264" name="AutoShape 24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990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</xdr:row>
      <xdr:rowOff>0</xdr:rowOff>
    </xdr:from>
    <xdr:to>
      <xdr:col>4</xdr:col>
      <xdr:colOff>304800</xdr:colOff>
      <xdr:row>242</xdr:row>
      <xdr:rowOff>114300</xdr:rowOff>
    </xdr:to>
    <xdr:sp macro="" textlink="">
      <xdr:nvSpPr>
        <xdr:cNvPr id="1265" name="AutoShape 2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4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304800</xdr:colOff>
      <xdr:row>242</xdr:row>
      <xdr:rowOff>114300</xdr:rowOff>
    </xdr:to>
    <xdr:sp macro="" textlink="">
      <xdr:nvSpPr>
        <xdr:cNvPr id="1266" name="AutoShape 24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4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</xdr:row>
      <xdr:rowOff>0</xdr:rowOff>
    </xdr:from>
    <xdr:to>
      <xdr:col>4</xdr:col>
      <xdr:colOff>304800</xdr:colOff>
      <xdr:row>244</xdr:row>
      <xdr:rowOff>114300</xdr:rowOff>
    </xdr:to>
    <xdr:sp macro="" textlink="">
      <xdr:nvSpPr>
        <xdr:cNvPr id="1267" name="AutoShape 24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10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304800</xdr:colOff>
      <xdr:row>244</xdr:row>
      <xdr:rowOff>114300</xdr:rowOff>
    </xdr:to>
    <xdr:sp macro="" textlink="">
      <xdr:nvSpPr>
        <xdr:cNvPr id="1268" name="AutoShape 24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10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</xdr:row>
      <xdr:rowOff>0</xdr:rowOff>
    </xdr:from>
    <xdr:to>
      <xdr:col>4</xdr:col>
      <xdr:colOff>304800</xdr:colOff>
      <xdr:row>246</xdr:row>
      <xdr:rowOff>114300</xdr:rowOff>
    </xdr:to>
    <xdr:sp macro="" textlink="">
      <xdr:nvSpPr>
        <xdr:cNvPr id="1269" name="AutoShape 24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18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304800</xdr:colOff>
      <xdr:row>246</xdr:row>
      <xdr:rowOff>114300</xdr:rowOff>
    </xdr:to>
    <xdr:sp macro="" textlink="">
      <xdr:nvSpPr>
        <xdr:cNvPr id="1270" name="AutoShape 24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18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247</xdr:row>
      <xdr:rowOff>0</xdr:rowOff>
    </xdr:from>
    <xdr:to>
      <xdr:col>4</xdr:col>
      <xdr:colOff>304800</xdr:colOff>
      <xdr:row>248</xdr:row>
      <xdr:rowOff>114300</xdr:rowOff>
    </xdr:to>
    <xdr:sp macro="" textlink="">
      <xdr:nvSpPr>
        <xdr:cNvPr id="1271" name="AutoShape 24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24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304800</xdr:colOff>
      <xdr:row>248</xdr:row>
      <xdr:rowOff>114300</xdr:rowOff>
    </xdr:to>
    <xdr:sp macro="" textlink="">
      <xdr:nvSpPr>
        <xdr:cNvPr id="1272" name="AutoShape 24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24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249</xdr:row>
      <xdr:rowOff>0</xdr:rowOff>
    </xdr:from>
    <xdr:to>
      <xdr:col>4</xdr:col>
      <xdr:colOff>304800</xdr:colOff>
      <xdr:row>250</xdr:row>
      <xdr:rowOff>114300</xdr:rowOff>
    </xdr:to>
    <xdr:sp macro="" textlink="">
      <xdr:nvSpPr>
        <xdr:cNvPr id="1273" name="AutoShape 24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29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304800</xdr:colOff>
      <xdr:row>250</xdr:row>
      <xdr:rowOff>114300</xdr:rowOff>
    </xdr:to>
    <xdr:sp macro="" textlink="">
      <xdr:nvSpPr>
        <xdr:cNvPr id="1274" name="AutoShape 25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29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251</xdr:row>
      <xdr:rowOff>0</xdr:rowOff>
    </xdr:from>
    <xdr:to>
      <xdr:col>4</xdr:col>
      <xdr:colOff>304800</xdr:colOff>
      <xdr:row>252</xdr:row>
      <xdr:rowOff>114300</xdr:rowOff>
    </xdr:to>
    <xdr:sp macro="" textlink="">
      <xdr:nvSpPr>
        <xdr:cNvPr id="1275" name="AutoShape 25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377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304800</xdr:colOff>
      <xdr:row>252</xdr:row>
      <xdr:rowOff>114300</xdr:rowOff>
    </xdr:to>
    <xdr:sp macro="" textlink="">
      <xdr:nvSpPr>
        <xdr:cNvPr id="1276" name="AutoShape 25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377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253</xdr:row>
      <xdr:rowOff>0</xdr:rowOff>
    </xdr:from>
    <xdr:to>
      <xdr:col>4</xdr:col>
      <xdr:colOff>304800</xdr:colOff>
      <xdr:row>254</xdr:row>
      <xdr:rowOff>114300</xdr:rowOff>
    </xdr:to>
    <xdr:sp macro="" textlink="">
      <xdr:nvSpPr>
        <xdr:cNvPr id="1277" name="AutoShape 25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35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304800</xdr:colOff>
      <xdr:row>254</xdr:row>
      <xdr:rowOff>114300</xdr:rowOff>
    </xdr:to>
    <xdr:sp macro="" textlink="">
      <xdr:nvSpPr>
        <xdr:cNvPr id="1278" name="AutoShape 25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35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304800</xdr:colOff>
      <xdr:row>256</xdr:row>
      <xdr:rowOff>114300</xdr:rowOff>
    </xdr:to>
    <xdr:sp macro="" textlink="">
      <xdr:nvSpPr>
        <xdr:cNvPr id="1279" name="AutoShape 25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93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304800</xdr:colOff>
      <xdr:row>256</xdr:row>
      <xdr:rowOff>114300</xdr:rowOff>
    </xdr:to>
    <xdr:sp macro="" textlink="">
      <xdr:nvSpPr>
        <xdr:cNvPr id="1280" name="AutoShape 25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93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257</xdr:row>
      <xdr:rowOff>0</xdr:rowOff>
    </xdr:from>
    <xdr:to>
      <xdr:col>4</xdr:col>
      <xdr:colOff>304800</xdr:colOff>
      <xdr:row>258</xdr:row>
      <xdr:rowOff>114300</xdr:rowOff>
    </xdr:to>
    <xdr:sp macro="" textlink="">
      <xdr:nvSpPr>
        <xdr:cNvPr id="1281" name="AutoShape 25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304800</xdr:colOff>
      <xdr:row>258</xdr:row>
      <xdr:rowOff>114300</xdr:rowOff>
    </xdr:to>
    <xdr:sp macro="" textlink="">
      <xdr:nvSpPr>
        <xdr:cNvPr id="1282" name="AutoShape 25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259</xdr:row>
      <xdr:rowOff>0</xdr:rowOff>
    </xdr:from>
    <xdr:to>
      <xdr:col>4</xdr:col>
      <xdr:colOff>304800</xdr:colOff>
      <xdr:row>260</xdr:row>
      <xdr:rowOff>114300</xdr:rowOff>
    </xdr:to>
    <xdr:sp macro="" textlink="">
      <xdr:nvSpPr>
        <xdr:cNvPr id="1283" name="AutoShape 25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09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304800</xdr:colOff>
      <xdr:row>260</xdr:row>
      <xdr:rowOff>114300</xdr:rowOff>
    </xdr:to>
    <xdr:sp macro="" textlink="">
      <xdr:nvSpPr>
        <xdr:cNvPr id="1284" name="AutoShape 26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09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261</xdr:row>
      <xdr:rowOff>0</xdr:rowOff>
    </xdr:from>
    <xdr:to>
      <xdr:col>4</xdr:col>
      <xdr:colOff>304800</xdr:colOff>
      <xdr:row>262</xdr:row>
      <xdr:rowOff>114300</xdr:rowOff>
    </xdr:to>
    <xdr:sp macro="" textlink="">
      <xdr:nvSpPr>
        <xdr:cNvPr id="1285" name="AutoShape 26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67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304800</xdr:colOff>
      <xdr:row>262</xdr:row>
      <xdr:rowOff>114300</xdr:rowOff>
    </xdr:to>
    <xdr:sp macro="" textlink="">
      <xdr:nvSpPr>
        <xdr:cNvPr id="1286" name="AutoShape 26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67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263</xdr:row>
      <xdr:rowOff>0</xdr:rowOff>
    </xdr:from>
    <xdr:to>
      <xdr:col>4</xdr:col>
      <xdr:colOff>304800</xdr:colOff>
      <xdr:row>264</xdr:row>
      <xdr:rowOff>76200</xdr:rowOff>
    </xdr:to>
    <xdr:sp macro="" textlink="">
      <xdr:nvSpPr>
        <xdr:cNvPr id="1287" name="AutoShape 26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725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304800</xdr:colOff>
      <xdr:row>264</xdr:row>
      <xdr:rowOff>76200</xdr:rowOff>
    </xdr:to>
    <xdr:sp macro="" textlink="">
      <xdr:nvSpPr>
        <xdr:cNvPr id="1288" name="AutoShape 26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725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265</xdr:row>
      <xdr:rowOff>0</xdr:rowOff>
    </xdr:from>
    <xdr:to>
      <xdr:col>4</xdr:col>
      <xdr:colOff>304800</xdr:colOff>
      <xdr:row>266</xdr:row>
      <xdr:rowOff>114300</xdr:rowOff>
    </xdr:to>
    <xdr:sp macro="" textlink="">
      <xdr:nvSpPr>
        <xdr:cNvPr id="1289" name="AutoShape 26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76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304800</xdr:colOff>
      <xdr:row>266</xdr:row>
      <xdr:rowOff>114300</xdr:rowOff>
    </xdr:to>
    <xdr:sp macro="" textlink="">
      <xdr:nvSpPr>
        <xdr:cNvPr id="1290" name="AutoShape 26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76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267</xdr:row>
      <xdr:rowOff>0</xdr:rowOff>
    </xdr:from>
    <xdr:to>
      <xdr:col>4</xdr:col>
      <xdr:colOff>304800</xdr:colOff>
      <xdr:row>268</xdr:row>
      <xdr:rowOff>114300</xdr:rowOff>
    </xdr:to>
    <xdr:sp macro="" textlink="">
      <xdr:nvSpPr>
        <xdr:cNvPr id="1291" name="AutoShape 2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82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304800</xdr:colOff>
      <xdr:row>268</xdr:row>
      <xdr:rowOff>114300</xdr:rowOff>
    </xdr:to>
    <xdr:sp macro="" textlink="">
      <xdr:nvSpPr>
        <xdr:cNvPr id="1292" name="AutoShape 26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82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269</xdr:row>
      <xdr:rowOff>0</xdr:rowOff>
    </xdr:from>
    <xdr:to>
      <xdr:col>4</xdr:col>
      <xdr:colOff>304800</xdr:colOff>
      <xdr:row>270</xdr:row>
      <xdr:rowOff>114300</xdr:rowOff>
    </xdr:to>
    <xdr:sp macro="" textlink="">
      <xdr:nvSpPr>
        <xdr:cNvPr id="1293" name="AutoShape 2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884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304800</xdr:colOff>
      <xdr:row>270</xdr:row>
      <xdr:rowOff>114300</xdr:rowOff>
    </xdr:to>
    <xdr:sp macro="" textlink="">
      <xdr:nvSpPr>
        <xdr:cNvPr id="1294" name="AutoShape 27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884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271</xdr:row>
      <xdr:rowOff>0</xdr:rowOff>
    </xdr:from>
    <xdr:to>
      <xdr:col>4</xdr:col>
      <xdr:colOff>304800</xdr:colOff>
      <xdr:row>272</xdr:row>
      <xdr:rowOff>114300</xdr:rowOff>
    </xdr:to>
    <xdr:sp macro="" textlink="">
      <xdr:nvSpPr>
        <xdr:cNvPr id="1295" name="AutoShape 27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942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304800</xdr:colOff>
      <xdr:row>272</xdr:row>
      <xdr:rowOff>114300</xdr:rowOff>
    </xdr:to>
    <xdr:sp macro="" textlink="">
      <xdr:nvSpPr>
        <xdr:cNvPr id="1296" name="AutoShape 27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942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273</xdr:row>
      <xdr:rowOff>0</xdr:rowOff>
    </xdr:from>
    <xdr:to>
      <xdr:col>4</xdr:col>
      <xdr:colOff>304800</xdr:colOff>
      <xdr:row>274</xdr:row>
      <xdr:rowOff>114300</xdr:rowOff>
    </xdr:to>
    <xdr:sp macro="" textlink="">
      <xdr:nvSpPr>
        <xdr:cNvPr id="1297" name="AutoShape 2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0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304800</xdr:colOff>
      <xdr:row>274</xdr:row>
      <xdr:rowOff>114300</xdr:rowOff>
    </xdr:to>
    <xdr:sp macro="" textlink="">
      <xdr:nvSpPr>
        <xdr:cNvPr id="1298" name="AutoShape 27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0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275</xdr:row>
      <xdr:rowOff>0</xdr:rowOff>
    </xdr:from>
    <xdr:to>
      <xdr:col>4</xdr:col>
      <xdr:colOff>304800</xdr:colOff>
      <xdr:row>276</xdr:row>
      <xdr:rowOff>76200</xdr:rowOff>
    </xdr:to>
    <xdr:sp macro="" textlink="">
      <xdr:nvSpPr>
        <xdr:cNvPr id="1299" name="AutoShape 27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59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304800</xdr:colOff>
      <xdr:row>276</xdr:row>
      <xdr:rowOff>76200</xdr:rowOff>
    </xdr:to>
    <xdr:sp macro="" textlink="">
      <xdr:nvSpPr>
        <xdr:cNvPr id="1300" name="AutoShape 27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59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277</xdr:row>
      <xdr:rowOff>0</xdr:rowOff>
    </xdr:from>
    <xdr:to>
      <xdr:col>4</xdr:col>
      <xdr:colOff>304800</xdr:colOff>
      <xdr:row>278</xdr:row>
      <xdr:rowOff>114300</xdr:rowOff>
    </xdr:to>
    <xdr:sp macro="" textlink="">
      <xdr:nvSpPr>
        <xdr:cNvPr id="1301" name="AutoShape 27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304800</xdr:colOff>
      <xdr:row>278</xdr:row>
      <xdr:rowOff>114300</xdr:rowOff>
    </xdr:to>
    <xdr:sp macro="" textlink="">
      <xdr:nvSpPr>
        <xdr:cNvPr id="1302" name="AutoShape 27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279</xdr:row>
      <xdr:rowOff>0</xdr:rowOff>
    </xdr:from>
    <xdr:to>
      <xdr:col>4</xdr:col>
      <xdr:colOff>304800</xdr:colOff>
      <xdr:row>280</xdr:row>
      <xdr:rowOff>114300</xdr:rowOff>
    </xdr:to>
    <xdr:sp macro="" textlink="">
      <xdr:nvSpPr>
        <xdr:cNvPr id="1303" name="AutoShape 2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160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304800</xdr:colOff>
      <xdr:row>280</xdr:row>
      <xdr:rowOff>114300</xdr:rowOff>
    </xdr:to>
    <xdr:sp macro="" textlink="">
      <xdr:nvSpPr>
        <xdr:cNvPr id="1304" name="AutoShape 2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160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281</xdr:row>
      <xdr:rowOff>0</xdr:rowOff>
    </xdr:from>
    <xdr:to>
      <xdr:col>4</xdr:col>
      <xdr:colOff>304800</xdr:colOff>
      <xdr:row>282</xdr:row>
      <xdr:rowOff>76200</xdr:rowOff>
    </xdr:to>
    <xdr:sp macro="" textlink="">
      <xdr:nvSpPr>
        <xdr:cNvPr id="1305" name="AutoShape 28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218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304800</xdr:colOff>
      <xdr:row>282</xdr:row>
      <xdr:rowOff>76200</xdr:rowOff>
    </xdr:to>
    <xdr:sp macro="" textlink="">
      <xdr:nvSpPr>
        <xdr:cNvPr id="1306" name="AutoShape 28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218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283</xdr:row>
      <xdr:rowOff>0</xdr:rowOff>
    </xdr:from>
    <xdr:to>
      <xdr:col>4</xdr:col>
      <xdr:colOff>304800</xdr:colOff>
      <xdr:row>284</xdr:row>
      <xdr:rowOff>114300</xdr:rowOff>
    </xdr:to>
    <xdr:sp macro="" textlink="">
      <xdr:nvSpPr>
        <xdr:cNvPr id="1307" name="AutoShape 2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26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304800</xdr:colOff>
      <xdr:row>284</xdr:row>
      <xdr:rowOff>114300</xdr:rowOff>
    </xdr:to>
    <xdr:sp macro="" textlink="">
      <xdr:nvSpPr>
        <xdr:cNvPr id="1308" name="AutoShape 28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26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285</xdr:row>
      <xdr:rowOff>0</xdr:rowOff>
    </xdr:from>
    <xdr:to>
      <xdr:col>4</xdr:col>
      <xdr:colOff>304800</xdr:colOff>
      <xdr:row>286</xdr:row>
      <xdr:rowOff>76200</xdr:rowOff>
    </xdr:to>
    <xdr:sp macro="" textlink="">
      <xdr:nvSpPr>
        <xdr:cNvPr id="1309" name="AutoShape 28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319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304800</xdr:colOff>
      <xdr:row>286</xdr:row>
      <xdr:rowOff>76200</xdr:rowOff>
    </xdr:to>
    <xdr:sp macro="" textlink="">
      <xdr:nvSpPr>
        <xdr:cNvPr id="1310" name="AutoShape 28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319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287</xdr:row>
      <xdr:rowOff>0</xdr:rowOff>
    </xdr:from>
    <xdr:to>
      <xdr:col>4</xdr:col>
      <xdr:colOff>304800</xdr:colOff>
      <xdr:row>288</xdr:row>
      <xdr:rowOff>114300</xdr:rowOff>
    </xdr:to>
    <xdr:sp macro="" textlink="">
      <xdr:nvSpPr>
        <xdr:cNvPr id="1311" name="AutoShape 28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361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304800</xdr:colOff>
      <xdr:row>288</xdr:row>
      <xdr:rowOff>114300</xdr:rowOff>
    </xdr:to>
    <xdr:sp macro="" textlink="">
      <xdr:nvSpPr>
        <xdr:cNvPr id="1312" name="AutoShape 28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361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289</xdr:row>
      <xdr:rowOff>0</xdr:rowOff>
    </xdr:from>
    <xdr:to>
      <xdr:col>4</xdr:col>
      <xdr:colOff>304800</xdr:colOff>
      <xdr:row>290</xdr:row>
      <xdr:rowOff>114300</xdr:rowOff>
    </xdr:to>
    <xdr:sp macro="" textlink="">
      <xdr:nvSpPr>
        <xdr:cNvPr id="1313" name="AutoShape 28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420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304800</xdr:colOff>
      <xdr:row>290</xdr:row>
      <xdr:rowOff>114300</xdr:rowOff>
    </xdr:to>
    <xdr:sp macro="" textlink="">
      <xdr:nvSpPr>
        <xdr:cNvPr id="1314" name="AutoShape 29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420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291</xdr:row>
      <xdr:rowOff>0</xdr:rowOff>
    </xdr:from>
    <xdr:to>
      <xdr:col>4</xdr:col>
      <xdr:colOff>304800</xdr:colOff>
      <xdr:row>292</xdr:row>
      <xdr:rowOff>114300</xdr:rowOff>
    </xdr:to>
    <xdr:sp macro="" textlink="">
      <xdr:nvSpPr>
        <xdr:cNvPr id="1315" name="AutoShape 29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47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304800</xdr:colOff>
      <xdr:row>292</xdr:row>
      <xdr:rowOff>114300</xdr:rowOff>
    </xdr:to>
    <xdr:sp macro="" textlink="">
      <xdr:nvSpPr>
        <xdr:cNvPr id="1316" name="AutoShape 29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47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293</xdr:row>
      <xdr:rowOff>0</xdr:rowOff>
    </xdr:from>
    <xdr:to>
      <xdr:col>4</xdr:col>
      <xdr:colOff>304800</xdr:colOff>
      <xdr:row>294</xdr:row>
      <xdr:rowOff>114300</xdr:rowOff>
    </xdr:to>
    <xdr:sp macro="" textlink="">
      <xdr:nvSpPr>
        <xdr:cNvPr id="1317" name="AutoShape 29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555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304800</xdr:colOff>
      <xdr:row>294</xdr:row>
      <xdr:rowOff>114300</xdr:rowOff>
    </xdr:to>
    <xdr:sp macro="" textlink="">
      <xdr:nvSpPr>
        <xdr:cNvPr id="1318" name="AutoShape 29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555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295</xdr:row>
      <xdr:rowOff>0</xdr:rowOff>
    </xdr:from>
    <xdr:to>
      <xdr:col>4</xdr:col>
      <xdr:colOff>304800</xdr:colOff>
      <xdr:row>296</xdr:row>
      <xdr:rowOff>114300</xdr:rowOff>
    </xdr:to>
    <xdr:sp macro="" textlink="">
      <xdr:nvSpPr>
        <xdr:cNvPr id="1319" name="AutoShape 29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13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304800</xdr:colOff>
      <xdr:row>296</xdr:row>
      <xdr:rowOff>114300</xdr:rowOff>
    </xdr:to>
    <xdr:sp macro="" textlink="">
      <xdr:nvSpPr>
        <xdr:cNvPr id="1320" name="AutoShape 29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13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297</xdr:row>
      <xdr:rowOff>0</xdr:rowOff>
    </xdr:from>
    <xdr:to>
      <xdr:col>4</xdr:col>
      <xdr:colOff>304800</xdr:colOff>
      <xdr:row>298</xdr:row>
      <xdr:rowOff>114300</xdr:rowOff>
    </xdr:to>
    <xdr:sp macro="" textlink="">
      <xdr:nvSpPr>
        <xdr:cNvPr id="1321" name="AutoShape 29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7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304800</xdr:colOff>
      <xdr:row>298</xdr:row>
      <xdr:rowOff>114300</xdr:rowOff>
    </xdr:to>
    <xdr:sp macro="" textlink="">
      <xdr:nvSpPr>
        <xdr:cNvPr id="1322" name="AutoShape 29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7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299</xdr:row>
      <xdr:rowOff>0</xdr:rowOff>
    </xdr:from>
    <xdr:to>
      <xdr:col>4</xdr:col>
      <xdr:colOff>304800</xdr:colOff>
      <xdr:row>300</xdr:row>
      <xdr:rowOff>114300</xdr:rowOff>
    </xdr:to>
    <xdr:sp macro="" textlink="">
      <xdr:nvSpPr>
        <xdr:cNvPr id="1323" name="AutoShape 29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729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304800</xdr:colOff>
      <xdr:row>300</xdr:row>
      <xdr:rowOff>114300</xdr:rowOff>
    </xdr:to>
    <xdr:sp macro="" textlink="">
      <xdr:nvSpPr>
        <xdr:cNvPr id="1324" name="AutoShape 30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729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301</xdr:row>
      <xdr:rowOff>0</xdr:rowOff>
    </xdr:from>
    <xdr:to>
      <xdr:col>4</xdr:col>
      <xdr:colOff>304800</xdr:colOff>
      <xdr:row>302</xdr:row>
      <xdr:rowOff>114300</xdr:rowOff>
    </xdr:to>
    <xdr:sp macro="" textlink="">
      <xdr:nvSpPr>
        <xdr:cNvPr id="1325" name="AutoShape 30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78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301</xdr:row>
      <xdr:rowOff>0</xdr:rowOff>
    </xdr:from>
    <xdr:to>
      <xdr:col>5</xdr:col>
      <xdr:colOff>304800</xdr:colOff>
      <xdr:row>302</xdr:row>
      <xdr:rowOff>114300</xdr:rowOff>
    </xdr:to>
    <xdr:sp macro="" textlink="">
      <xdr:nvSpPr>
        <xdr:cNvPr id="1326" name="AutoShape 30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78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303</xdr:row>
      <xdr:rowOff>0</xdr:rowOff>
    </xdr:from>
    <xdr:to>
      <xdr:col>4</xdr:col>
      <xdr:colOff>304800</xdr:colOff>
      <xdr:row>304</xdr:row>
      <xdr:rowOff>76200</xdr:rowOff>
    </xdr:to>
    <xdr:sp macro="" textlink="">
      <xdr:nvSpPr>
        <xdr:cNvPr id="1327" name="AutoShape 30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13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303</xdr:row>
      <xdr:rowOff>0</xdr:rowOff>
    </xdr:from>
    <xdr:to>
      <xdr:col>5</xdr:col>
      <xdr:colOff>304800</xdr:colOff>
      <xdr:row>304</xdr:row>
      <xdr:rowOff>76200</xdr:rowOff>
    </xdr:to>
    <xdr:sp macro="" textlink="">
      <xdr:nvSpPr>
        <xdr:cNvPr id="1328" name="AutoShape 30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13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305</xdr:row>
      <xdr:rowOff>0</xdr:rowOff>
    </xdr:from>
    <xdr:to>
      <xdr:col>4</xdr:col>
      <xdr:colOff>304800</xdr:colOff>
      <xdr:row>306</xdr:row>
      <xdr:rowOff>76200</xdr:rowOff>
    </xdr:to>
    <xdr:sp macro="" textlink="">
      <xdr:nvSpPr>
        <xdr:cNvPr id="1329" name="AutoShape 30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56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305</xdr:row>
      <xdr:rowOff>0</xdr:rowOff>
    </xdr:from>
    <xdr:to>
      <xdr:col>5</xdr:col>
      <xdr:colOff>304800</xdr:colOff>
      <xdr:row>306</xdr:row>
      <xdr:rowOff>76200</xdr:rowOff>
    </xdr:to>
    <xdr:sp macro="" textlink="">
      <xdr:nvSpPr>
        <xdr:cNvPr id="1330" name="AutoShape 30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56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307</xdr:row>
      <xdr:rowOff>0</xdr:rowOff>
    </xdr:from>
    <xdr:to>
      <xdr:col>4</xdr:col>
      <xdr:colOff>304800</xdr:colOff>
      <xdr:row>308</xdr:row>
      <xdr:rowOff>114300</xdr:rowOff>
    </xdr:to>
    <xdr:sp macro="" textlink="">
      <xdr:nvSpPr>
        <xdr:cNvPr id="1331" name="AutoShape 30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98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307</xdr:row>
      <xdr:rowOff>0</xdr:rowOff>
    </xdr:from>
    <xdr:to>
      <xdr:col>5</xdr:col>
      <xdr:colOff>304800</xdr:colOff>
      <xdr:row>308</xdr:row>
      <xdr:rowOff>114300</xdr:rowOff>
    </xdr:to>
    <xdr:sp macro="" textlink="">
      <xdr:nvSpPr>
        <xdr:cNvPr id="1332" name="AutoShape 30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98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309</xdr:row>
      <xdr:rowOff>0</xdr:rowOff>
    </xdr:from>
    <xdr:to>
      <xdr:col>4</xdr:col>
      <xdr:colOff>304800</xdr:colOff>
      <xdr:row>310</xdr:row>
      <xdr:rowOff>114300</xdr:rowOff>
    </xdr:to>
    <xdr:sp macro="" textlink="">
      <xdr:nvSpPr>
        <xdr:cNvPr id="1333" name="AutoShape 30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256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309</xdr:row>
      <xdr:rowOff>0</xdr:rowOff>
    </xdr:from>
    <xdr:to>
      <xdr:col>5</xdr:col>
      <xdr:colOff>304800</xdr:colOff>
      <xdr:row>310</xdr:row>
      <xdr:rowOff>114300</xdr:rowOff>
    </xdr:to>
    <xdr:sp macro="" textlink="">
      <xdr:nvSpPr>
        <xdr:cNvPr id="1334" name="AutoShape 31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256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311</xdr:row>
      <xdr:rowOff>0</xdr:rowOff>
    </xdr:from>
    <xdr:to>
      <xdr:col>4</xdr:col>
      <xdr:colOff>304800</xdr:colOff>
      <xdr:row>312</xdr:row>
      <xdr:rowOff>114300</xdr:rowOff>
    </xdr:to>
    <xdr:sp macro="" textlink="">
      <xdr:nvSpPr>
        <xdr:cNvPr id="1335" name="AutoShape 31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311</xdr:row>
      <xdr:rowOff>0</xdr:rowOff>
    </xdr:from>
    <xdr:to>
      <xdr:col>5</xdr:col>
      <xdr:colOff>304800</xdr:colOff>
      <xdr:row>312</xdr:row>
      <xdr:rowOff>114300</xdr:rowOff>
    </xdr:to>
    <xdr:sp macro="" textlink="">
      <xdr:nvSpPr>
        <xdr:cNvPr id="1336" name="AutoShape 31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313</xdr:row>
      <xdr:rowOff>0</xdr:rowOff>
    </xdr:from>
    <xdr:to>
      <xdr:col>4</xdr:col>
      <xdr:colOff>304800</xdr:colOff>
      <xdr:row>314</xdr:row>
      <xdr:rowOff>114300</xdr:rowOff>
    </xdr:to>
    <xdr:sp macro="" textlink="">
      <xdr:nvSpPr>
        <xdr:cNvPr id="1337" name="AutoShape 31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373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313</xdr:row>
      <xdr:rowOff>0</xdr:rowOff>
    </xdr:from>
    <xdr:to>
      <xdr:col>5</xdr:col>
      <xdr:colOff>304800</xdr:colOff>
      <xdr:row>314</xdr:row>
      <xdr:rowOff>114300</xdr:rowOff>
    </xdr:to>
    <xdr:sp macro="" textlink="">
      <xdr:nvSpPr>
        <xdr:cNvPr id="1338" name="AutoShape 3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373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315</xdr:row>
      <xdr:rowOff>0</xdr:rowOff>
    </xdr:from>
    <xdr:to>
      <xdr:col>4</xdr:col>
      <xdr:colOff>304800</xdr:colOff>
      <xdr:row>316</xdr:row>
      <xdr:rowOff>114300</xdr:rowOff>
    </xdr:to>
    <xdr:sp macro="" textlink="">
      <xdr:nvSpPr>
        <xdr:cNvPr id="1339" name="AutoShape 31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43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315</xdr:row>
      <xdr:rowOff>0</xdr:rowOff>
    </xdr:from>
    <xdr:to>
      <xdr:col>5</xdr:col>
      <xdr:colOff>304800</xdr:colOff>
      <xdr:row>316</xdr:row>
      <xdr:rowOff>114300</xdr:rowOff>
    </xdr:to>
    <xdr:sp macro="" textlink="">
      <xdr:nvSpPr>
        <xdr:cNvPr id="1340" name="AutoShape 31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43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317</xdr:row>
      <xdr:rowOff>0</xdr:rowOff>
    </xdr:from>
    <xdr:to>
      <xdr:col>4</xdr:col>
      <xdr:colOff>304800</xdr:colOff>
      <xdr:row>318</xdr:row>
      <xdr:rowOff>114300</xdr:rowOff>
    </xdr:to>
    <xdr:sp macro="" textlink="">
      <xdr:nvSpPr>
        <xdr:cNvPr id="1341" name="AutoShape 31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317</xdr:row>
      <xdr:rowOff>0</xdr:rowOff>
    </xdr:from>
    <xdr:to>
      <xdr:col>5</xdr:col>
      <xdr:colOff>304800</xdr:colOff>
      <xdr:row>318</xdr:row>
      <xdr:rowOff>114300</xdr:rowOff>
    </xdr:to>
    <xdr:sp macro="" textlink="">
      <xdr:nvSpPr>
        <xdr:cNvPr id="1342" name="AutoShape 31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319</xdr:row>
      <xdr:rowOff>0</xdr:rowOff>
    </xdr:from>
    <xdr:to>
      <xdr:col>4</xdr:col>
      <xdr:colOff>304800</xdr:colOff>
      <xdr:row>320</xdr:row>
      <xdr:rowOff>114300</xdr:rowOff>
    </xdr:to>
    <xdr:sp macro="" textlink="">
      <xdr:nvSpPr>
        <xdr:cNvPr id="1343" name="AutoShape 31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54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319</xdr:row>
      <xdr:rowOff>0</xdr:rowOff>
    </xdr:from>
    <xdr:to>
      <xdr:col>5</xdr:col>
      <xdr:colOff>304800</xdr:colOff>
      <xdr:row>320</xdr:row>
      <xdr:rowOff>114300</xdr:rowOff>
    </xdr:to>
    <xdr:sp macro="" textlink="">
      <xdr:nvSpPr>
        <xdr:cNvPr id="1344" name="AutoShape 3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54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321</xdr:row>
      <xdr:rowOff>0</xdr:rowOff>
    </xdr:from>
    <xdr:to>
      <xdr:col>4</xdr:col>
      <xdr:colOff>304800</xdr:colOff>
      <xdr:row>322</xdr:row>
      <xdr:rowOff>114300</xdr:rowOff>
    </xdr:to>
    <xdr:sp macro="" textlink="">
      <xdr:nvSpPr>
        <xdr:cNvPr id="1345" name="AutoShape 32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605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321</xdr:row>
      <xdr:rowOff>0</xdr:rowOff>
    </xdr:from>
    <xdr:to>
      <xdr:col>5</xdr:col>
      <xdr:colOff>304800</xdr:colOff>
      <xdr:row>322</xdr:row>
      <xdr:rowOff>114300</xdr:rowOff>
    </xdr:to>
    <xdr:sp macro="" textlink="">
      <xdr:nvSpPr>
        <xdr:cNvPr id="1346" name="AutoShape 32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605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323</xdr:row>
      <xdr:rowOff>0</xdr:rowOff>
    </xdr:from>
    <xdr:to>
      <xdr:col>4</xdr:col>
      <xdr:colOff>304800</xdr:colOff>
      <xdr:row>324</xdr:row>
      <xdr:rowOff>114300</xdr:rowOff>
    </xdr:to>
    <xdr:sp macro="" textlink="">
      <xdr:nvSpPr>
        <xdr:cNvPr id="1347" name="AutoShape 3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663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323</xdr:row>
      <xdr:rowOff>0</xdr:rowOff>
    </xdr:from>
    <xdr:to>
      <xdr:col>5</xdr:col>
      <xdr:colOff>304800</xdr:colOff>
      <xdr:row>324</xdr:row>
      <xdr:rowOff>114300</xdr:rowOff>
    </xdr:to>
    <xdr:sp macro="" textlink="">
      <xdr:nvSpPr>
        <xdr:cNvPr id="1348" name="AutoShape 3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663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325</xdr:row>
      <xdr:rowOff>0</xdr:rowOff>
    </xdr:from>
    <xdr:to>
      <xdr:col>4</xdr:col>
      <xdr:colOff>304800</xdr:colOff>
      <xdr:row>326</xdr:row>
      <xdr:rowOff>114300</xdr:rowOff>
    </xdr:to>
    <xdr:sp macro="" textlink="">
      <xdr:nvSpPr>
        <xdr:cNvPr id="1349" name="AutoShape 32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721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325</xdr:row>
      <xdr:rowOff>0</xdr:rowOff>
    </xdr:from>
    <xdr:to>
      <xdr:col>5</xdr:col>
      <xdr:colOff>304800</xdr:colOff>
      <xdr:row>326</xdr:row>
      <xdr:rowOff>114300</xdr:rowOff>
    </xdr:to>
    <xdr:sp macro="" textlink="">
      <xdr:nvSpPr>
        <xdr:cNvPr id="1350" name="AutoShape 32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721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327</xdr:row>
      <xdr:rowOff>0</xdr:rowOff>
    </xdr:from>
    <xdr:to>
      <xdr:col>4</xdr:col>
      <xdr:colOff>304800</xdr:colOff>
      <xdr:row>328</xdr:row>
      <xdr:rowOff>76200</xdr:rowOff>
    </xdr:to>
    <xdr:sp macro="" textlink="">
      <xdr:nvSpPr>
        <xdr:cNvPr id="1351" name="AutoShape 327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779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327</xdr:row>
      <xdr:rowOff>0</xdr:rowOff>
    </xdr:from>
    <xdr:to>
      <xdr:col>5</xdr:col>
      <xdr:colOff>304800</xdr:colOff>
      <xdr:row>328</xdr:row>
      <xdr:rowOff>76200</xdr:rowOff>
    </xdr:to>
    <xdr:sp macro="" textlink="">
      <xdr:nvSpPr>
        <xdr:cNvPr id="1352" name="AutoShape 3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779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329</xdr:row>
      <xdr:rowOff>0</xdr:rowOff>
    </xdr:from>
    <xdr:to>
      <xdr:col>4</xdr:col>
      <xdr:colOff>304800</xdr:colOff>
      <xdr:row>330</xdr:row>
      <xdr:rowOff>114300</xdr:rowOff>
    </xdr:to>
    <xdr:sp macro="" textlink="">
      <xdr:nvSpPr>
        <xdr:cNvPr id="1353" name="AutoShape 32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822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329</xdr:row>
      <xdr:rowOff>0</xdr:rowOff>
    </xdr:from>
    <xdr:to>
      <xdr:col>5</xdr:col>
      <xdr:colOff>304800</xdr:colOff>
      <xdr:row>330</xdr:row>
      <xdr:rowOff>114300</xdr:rowOff>
    </xdr:to>
    <xdr:sp macro="" textlink="">
      <xdr:nvSpPr>
        <xdr:cNvPr id="1354" name="AutoShape 33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822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331</xdr:row>
      <xdr:rowOff>0</xdr:rowOff>
    </xdr:from>
    <xdr:to>
      <xdr:col>4</xdr:col>
      <xdr:colOff>304800</xdr:colOff>
      <xdr:row>332</xdr:row>
      <xdr:rowOff>114300</xdr:rowOff>
    </xdr:to>
    <xdr:sp macro="" textlink="">
      <xdr:nvSpPr>
        <xdr:cNvPr id="1355" name="AutoShape 33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880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331</xdr:row>
      <xdr:rowOff>0</xdr:rowOff>
    </xdr:from>
    <xdr:to>
      <xdr:col>5</xdr:col>
      <xdr:colOff>304800</xdr:colOff>
      <xdr:row>332</xdr:row>
      <xdr:rowOff>114300</xdr:rowOff>
    </xdr:to>
    <xdr:sp macro="" textlink="">
      <xdr:nvSpPr>
        <xdr:cNvPr id="1356" name="AutoShape 33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880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333</xdr:row>
      <xdr:rowOff>0</xdr:rowOff>
    </xdr:from>
    <xdr:to>
      <xdr:col>4</xdr:col>
      <xdr:colOff>304800</xdr:colOff>
      <xdr:row>334</xdr:row>
      <xdr:rowOff>114300</xdr:rowOff>
    </xdr:to>
    <xdr:sp macro="" textlink="">
      <xdr:nvSpPr>
        <xdr:cNvPr id="1357" name="AutoShape 33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938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333</xdr:row>
      <xdr:rowOff>0</xdr:rowOff>
    </xdr:from>
    <xdr:to>
      <xdr:col>5</xdr:col>
      <xdr:colOff>304800</xdr:colOff>
      <xdr:row>334</xdr:row>
      <xdr:rowOff>114300</xdr:rowOff>
    </xdr:to>
    <xdr:sp macro="" textlink="">
      <xdr:nvSpPr>
        <xdr:cNvPr id="1358" name="AutoShape 33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938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335</xdr:row>
      <xdr:rowOff>0</xdr:rowOff>
    </xdr:from>
    <xdr:to>
      <xdr:col>4</xdr:col>
      <xdr:colOff>304800</xdr:colOff>
      <xdr:row>336</xdr:row>
      <xdr:rowOff>114300</xdr:rowOff>
    </xdr:to>
    <xdr:sp macro="" textlink="">
      <xdr:nvSpPr>
        <xdr:cNvPr id="1359" name="AutoShape 33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997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335</xdr:row>
      <xdr:rowOff>0</xdr:rowOff>
    </xdr:from>
    <xdr:to>
      <xdr:col>5</xdr:col>
      <xdr:colOff>304800</xdr:colOff>
      <xdr:row>336</xdr:row>
      <xdr:rowOff>114300</xdr:rowOff>
    </xdr:to>
    <xdr:sp macro="" textlink="">
      <xdr:nvSpPr>
        <xdr:cNvPr id="1360" name="AutoShape 33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997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337</xdr:row>
      <xdr:rowOff>0</xdr:rowOff>
    </xdr:from>
    <xdr:to>
      <xdr:col>4</xdr:col>
      <xdr:colOff>304800</xdr:colOff>
      <xdr:row>338</xdr:row>
      <xdr:rowOff>76200</xdr:rowOff>
    </xdr:to>
    <xdr:sp macro="" textlink="">
      <xdr:nvSpPr>
        <xdr:cNvPr id="1361" name="AutoShape 33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055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337</xdr:row>
      <xdr:rowOff>0</xdr:rowOff>
    </xdr:from>
    <xdr:to>
      <xdr:col>5</xdr:col>
      <xdr:colOff>304800</xdr:colOff>
      <xdr:row>338</xdr:row>
      <xdr:rowOff>76200</xdr:rowOff>
    </xdr:to>
    <xdr:sp macro="" textlink="">
      <xdr:nvSpPr>
        <xdr:cNvPr id="1362" name="AutoShape 33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055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339</xdr:row>
      <xdr:rowOff>0</xdr:rowOff>
    </xdr:from>
    <xdr:to>
      <xdr:col>4</xdr:col>
      <xdr:colOff>304800</xdr:colOff>
      <xdr:row>340</xdr:row>
      <xdr:rowOff>114300</xdr:rowOff>
    </xdr:to>
    <xdr:sp macro="" textlink="">
      <xdr:nvSpPr>
        <xdr:cNvPr id="1363" name="AutoShape 33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09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339</xdr:row>
      <xdr:rowOff>0</xdr:rowOff>
    </xdr:from>
    <xdr:to>
      <xdr:col>5</xdr:col>
      <xdr:colOff>304800</xdr:colOff>
      <xdr:row>340</xdr:row>
      <xdr:rowOff>114300</xdr:rowOff>
    </xdr:to>
    <xdr:sp macro="" textlink="">
      <xdr:nvSpPr>
        <xdr:cNvPr id="1364" name="AutoShape 34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09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341</xdr:row>
      <xdr:rowOff>0</xdr:rowOff>
    </xdr:from>
    <xdr:to>
      <xdr:col>4</xdr:col>
      <xdr:colOff>304800</xdr:colOff>
      <xdr:row>342</xdr:row>
      <xdr:rowOff>114300</xdr:rowOff>
    </xdr:to>
    <xdr:sp macro="" textlink="">
      <xdr:nvSpPr>
        <xdr:cNvPr id="1365" name="AutoShape 34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156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341</xdr:row>
      <xdr:rowOff>0</xdr:rowOff>
    </xdr:from>
    <xdr:to>
      <xdr:col>5</xdr:col>
      <xdr:colOff>304800</xdr:colOff>
      <xdr:row>342</xdr:row>
      <xdr:rowOff>114300</xdr:rowOff>
    </xdr:to>
    <xdr:sp macro="" textlink="">
      <xdr:nvSpPr>
        <xdr:cNvPr id="1366" name="AutoShape 34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156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343</xdr:row>
      <xdr:rowOff>0</xdr:rowOff>
    </xdr:from>
    <xdr:to>
      <xdr:col>4</xdr:col>
      <xdr:colOff>304800</xdr:colOff>
      <xdr:row>344</xdr:row>
      <xdr:rowOff>76200</xdr:rowOff>
    </xdr:to>
    <xdr:sp macro="" textlink="">
      <xdr:nvSpPr>
        <xdr:cNvPr id="1367" name="AutoShape 34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214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343</xdr:row>
      <xdr:rowOff>0</xdr:rowOff>
    </xdr:from>
    <xdr:to>
      <xdr:col>5</xdr:col>
      <xdr:colOff>304800</xdr:colOff>
      <xdr:row>344</xdr:row>
      <xdr:rowOff>76200</xdr:rowOff>
    </xdr:to>
    <xdr:sp macro="" textlink="">
      <xdr:nvSpPr>
        <xdr:cNvPr id="1368" name="AutoShape 34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214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345</xdr:row>
      <xdr:rowOff>0</xdr:rowOff>
    </xdr:from>
    <xdr:to>
      <xdr:col>4</xdr:col>
      <xdr:colOff>304800</xdr:colOff>
      <xdr:row>346</xdr:row>
      <xdr:rowOff>114300</xdr:rowOff>
    </xdr:to>
    <xdr:sp macro="" textlink="">
      <xdr:nvSpPr>
        <xdr:cNvPr id="1369" name="AutoShape 34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257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345</xdr:row>
      <xdr:rowOff>0</xdr:rowOff>
    </xdr:from>
    <xdr:to>
      <xdr:col>5</xdr:col>
      <xdr:colOff>304800</xdr:colOff>
      <xdr:row>346</xdr:row>
      <xdr:rowOff>114300</xdr:rowOff>
    </xdr:to>
    <xdr:sp macro="" textlink="">
      <xdr:nvSpPr>
        <xdr:cNvPr id="1370" name="AutoShape 34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257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347</xdr:row>
      <xdr:rowOff>0</xdr:rowOff>
    </xdr:from>
    <xdr:to>
      <xdr:col>4</xdr:col>
      <xdr:colOff>304800</xdr:colOff>
      <xdr:row>348</xdr:row>
      <xdr:rowOff>114300</xdr:rowOff>
    </xdr:to>
    <xdr:sp macro="" textlink="">
      <xdr:nvSpPr>
        <xdr:cNvPr id="1371" name="AutoShape 34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31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347</xdr:row>
      <xdr:rowOff>0</xdr:rowOff>
    </xdr:from>
    <xdr:to>
      <xdr:col>5</xdr:col>
      <xdr:colOff>304800</xdr:colOff>
      <xdr:row>348</xdr:row>
      <xdr:rowOff>114300</xdr:rowOff>
    </xdr:to>
    <xdr:sp macro="" textlink="">
      <xdr:nvSpPr>
        <xdr:cNvPr id="1372" name="AutoShape 3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31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349</xdr:row>
      <xdr:rowOff>0</xdr:rowOff>
    </xdr:from>
    <xdr:to>
      <xdr:col>4</xdr:col>
      <xdr:colOff>304800</xdr:colOff>
      <xdr:row>350</xdr:row>
      <xdr:rowOff>114300</xdr:rowOff>
    </xdr:to>
    <xdr:sp macro="" textlink="">
      <xdr:nvSpPr>
        <xdr:cNvPr id="1373" name="AutoShape 34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373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349</xdr:row>
      <xdr:rowOff>0</xdr:rowOff>
    </xdr:from>
    <xdr:to>
      <xdr:col>5</xdr:col>
      <xdr:colOff>304800</xdr:colOff>
      <xdr:row>350</xdr:row>
      <xdr:rowOff>114300</xdr:rowOff>
    </xdr:to>
    <xdr:sp macro="" textlink="">
      <xdr:nvSpPr>
        <xdr:cNvPr id="1374" name="AutoShape 35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373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351</xdr:row>
      <xdr:rowOff>0</xdr:rowOff>
    </xdr:from>
    <xdr:to>
      <xdr:col>4</xdr:col>
      <xdr:colOff>304800</xdr:colOff>
      <xdr:row>352</xdr:row>
      <xdr:rowOff>114300</xdr:rowOff>
    </xdr:to>
    <xdr:sp macro="" textlink="">
      <xdr:nvSpPr>
        <xdr:cNvPr id="1375" name="AutoShape 35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431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351</xdr:row>
      <xdr:rowOff>0</xdr:rowOff>
    </xdr:from>
    <xdr:to>
      <xdr:col>5</xdr:col>
      <xdr:colOff>304800</xdr:colOff>
      <xdr:row>352</xdr:row>
      <xdr:rowOff>114300</xdr:rowOff>
    </xdr:to>
    <xdr:sp macro="" textlink="">
      <xdr:nvSpPr>
        <xdr:cNvPr id="1376" name="AutoShape 35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431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353</xdr:row>
      <xdr:rowOff>0</xdr:rowOff>
    </xdr:from>
    <xdr:to>
      <xdr:col>4</xdr:col>
      <xdr:colOff>304800</xdr:colOff>
      <xdr:row>354</xdr:row>
      <xdr:rowOff>114300</xdr:rowOff>
    </xdr:to>
    <xdr:sp macro="" textlink="">
      <xdr:nvSpPr>
        <xdr:cNvPr id="1377" name="AutoShape 35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489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353</xdr:row>
      <xdr:rowOff>0</xdr:rowOff>
    </xdr:from>
    <xdr:to>
      <xdr:col>5</xdr:col>
      <xdr:colOff>304800</xdr:colOff>
      <xdr:row>354</xdr:row>
      <xdr:rowOff>114300</xdr:rowOff>
    </xdr:to>
    <xdr:sp macro="" textlink="">
      <xdr:nvSpPr>
        <xdr:cNvPr id="1378" name="AutoShape 35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489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355</xdr:row>
      <xdr:rowOff>0</xdr:rowOff>
    </xdr:from>
    <xdr:to>
      <xdr:col>4</xdr:col>
      <xdr:colOff>304800</xdr:colOff>
      <xdr:row>356</xdr:row>
      <xdr:rowOff>76200</xdr:rowOff>
    </xdr:to>
    <xdr:sp macro="" textlink="">
      <xdr:nvSpPr>
        <xdr:cNvPr id="1379" name="AutoShape 35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547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355</xdr:row>
      <xdr:rowOff>0</xdr:rowOff>
    </xdr:from>
    <xdr:to>
      <xdr:col>5</xdr:col>
      <xdr:colOff>304800</xdr:colOff>
      <xdr:row>356</xdr:row>
      <xdr:rowOff>76200</xdr:rowOff>
    </xdr:to>
    <xdr:sp macro="" textlink="">
      <xdr:nvSpPr>
        <xdr:cNvPr id="1380" name="AutoShape 35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547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357</xdr:row>
      <xdr:rowOff>0</xdr:rowOff>
    </xdr:from>
    <xdr:to>
      <xdr:col>4</xdr:col>
      <xdr:colOff>304800</xdr:colOff>
      <xdr:row>358</xdr:row>
      <xdr:rowOff>114300</xdr:rowOff>
    </xdr:to>
    <xdr:sp macro="" textlink="">
      <xdr:nvSpPr>
        <xdr:cNvPr id="1381" name="AutoShape 35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357</xdr:row>
      <xdr:rowOff>0</xdr:rowOff>
    </xdr:from>
    <xdr:to>
      <xdr:col>5</xdr:col>
      <xdr:colOff>304800</xdr:colOff>
      <xdr:row>358</xdr:row>
      <xdr:rowOff>114300</xdr:rowOff>
    </xdr:to>
    <xdr:sp macro="" textlink="">
      <xdr:nvSpPr>
        <xdr:cNvPr id="1382" name="AutoShape 35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359</xdr:row>
      <xdr:rowOff>0</xdr:rowOff>
    </xdr:from>
    <xdr:to>
      <xdr:col>4</xdr:col>
      <xdr:colOff>304800</xdr:colOff>
      <xdr:row>360</xdr:row>
      <xdr:rowOff>114300</xdr:rowOff>
    </xdr:to>
    <xdr:sp macro="" textlink="">
      <xdr:nvSpPr>
        <xdr:cNvPr id="1383" name="AutoShape 35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648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359</xdr:row>
      <xdr:rowOff>0</xdr:rowOff>
    </xdr:from>
    <xdr:to>
      <xdr:col>5</xdr:col>
      <xdr:colOff>304800</xdr:colOff>
      <xdr:row>360</xdr:row>
      <xdr:rowOff>114300</xdr:rowOff>
    </xdr:to>
    <xdr:sp macro="" textlink="">
      <xdr:nvSpPr>
        <xdr:cNvPr id="1384" name="AutoShape 36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648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361</xdr:row>
      <xdr:rowOff>0</xdr:rowOff>
    </xdr:from>
    <xdr:to>
      <xdr:col>4</xdr:col>
      <xdr:colOff>304800</xdr:colOff>
      <xdr:row>362</xdr:row>
      <xdr:rowOff>114300</xdr:rowOff>
    </xdr:to>
    <xdr:sp macro="" textlink="">
      <xdr:nvSpPr>
        <xdr:cNvPr id="1385" name="AutoShape 36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70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361</xdr:row>
      <xdr:rowOff>0</xdr:rowOff>
    </xdr:from>
    <xdr:to>
      <xdr:col>5</xdr:col>
      <xdr:colOff>304800</xdr:colOff>
      <xdr:row>362</xdr:row>
      <xdr:rowOff>114300</xdr:rowOff>
    </xdr:to>
    <xdr:sp macro="" textlink="">
      <xdr:nvSpPr>
        <xdr:cNvPr id="1386" name="AutoShape 36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70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363</xdr:row>
      <xdr:rowOff>0</xdr:rowOff>
    </xdr:from>
    <xdr:to>
      <xdr:col>4</xdr:col>
      <xdr:colOff>304800</xdr:colOff>
      <xdr:row>364</xdr:row>
      <xdr:rowOff>114300</xdr:rowOff>
    </xdr:to>
    <xdr:sp macro="" textlink="">
      <xdr:nvSpPr>
        <xdr:cNvPr id="1387" name="AutoShape 36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76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363</xdr:row>
      <xdr:rowOff>0</xdr:rowOff>
    </xdr:from>
    <xdr:to>
      <xdr:col>5</xdr:col>
      <xdr:colOff>304800</xdr:colOff>
      <xdr:row>364</xdr:row>
      <xdr:rowOff>114300</xdr:rowOff>
    </xdr:to>
    <xdr:sp macro="" textlink="">
      <xdr:nvSpPr>
        <xdr:cNvPr id="1388" name="AutoShape 3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76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365</xdr:row>
      <xdr:rowOff>0</xdr:rowOff>
    </xdr:from>
    <xdr:to>
      <xdr:col>4</xdr:col>
      <xdr:colOff>304800</xdr:colOff>
      <xdr:row>366</xdr:row>
      <xdr:rowOff>114300</xdr:rowOff>
    </xdr:to>
    <xdr:sp macro="" textlink="">
      <xdr:nvSpPr>
        <xdr:cNvPr id="1389" name="AutoShape 36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82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365</xdr:row>
      <xdr:rowOff>0</xdr:rowOff>
    </xdr:from>
    <xdr:to>
      <xdr:col>5</xdr:col>
      <xdr:colOff>304800</xdr:colOff>
      <xdr:row>366</xdr:row>
      <xdr:rowOff>114300</xdr:rowOff>
    </xdr:to>
    <xdr:sp macro="" textlink="">
      <xdr:nvSpPr>
        <xdr:cNvPr id="1390" name="AutoShape 36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82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367</xdr:row>
      <xdr:rowOff>0</xdr:rowOff>
    </xdr:from>
    <xdr:to>
      <xdr:col>4</xdr:col>
      <xdr:colOff>304800</xdr:colOff>
      <xdr:row>368</xdr:row>
      <xdr:rowOff>76200</xdr:rowOff>
    </xdr:to>
    <xdr:sp macro="" textlink="">
      <xdr:nvSpPr>
        <xdr:cNvPr id="1391" name="AutoShape 3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861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367</xdr:row>
      <xdr:rowOff>0</xdr:rowOff>
    </xdr:from>
    <xdr:to>
      <xdr:col>5</xdr:col>
      <xdr:colOff>304800</xdr:colOff>
      <xdr:row>368</xdr:row>
      <xdr:rowOff>76200</xdr:rowOff>
    </xdr:to>
    <xdr:sp macro="" textlink="">
      <xdr:nvSpPr>
        <xdr:cNvPr id="1392" name="AutoShape 36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861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369</xdr:row>
      <xdr:rowOff>0</xdr:rowOff>
    </xdr:from>
    <xdr:to>
      <xdr:col>4</xdr:col>
      <xdr:colOff>304800</xdr:colOff>
      <xdr:row>370</xdr:row>
      <xdr:rowOff>114300</xdr:rowOff>
    </xdr:to>
    <xdr:sp macro="" textlink="">
      <xdr:nvSpPr>
        <xdr:cNvPr id="1393" name="AutoShape 36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90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369</xdr:row>
      <xdr:rowOff>0</xdr:rowOff>
    </xdr:from>
    <xdr:to>
      <xdr:col>5</xdr:col>
      <xdr:colOff>304800</xdr:colOff>
      <xdr:row>370</xdr:row>
      <xdr:rowOff>114300</xdr:rowOff>
    </xdr:to>
    <xdr:sp macro="" textlink="">
      <xdr:nvSpPr>
        <xdr:cNvPr id="1394" name="AutoShape 37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90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371</xdr:row>
      <xdr:rowOff>0</xdr:rowOff>
    </xdr:from>
    <xdr:to>
      <xdr:col>4</xdr:col>
      <xdr:colOff>304800</xdr:colOff>
      <xdr:row>372</xdr:row>
      <xdr:rowOff>114300</xdr:rowOff>
    </xdr:to>
    <xdr:sp macro="" textlink="">
      <xdr:nvSpPr>
        <xdr:cNvPr id="1395" name="AutoShape 37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96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371</xdr:row>
      <xdr:rowOff>0</xdr:rowOff>
    </xdr:from>
    <xdr:to>
      <xdr:col>5</xdr:col>
      <xdr:colOff>304800</xdr:colOff>
      <xdr:row>372</xdr:row>
      <xdr:rowOff>114300</xdr:rowOff>
    </xdr:to>
    <xdr:sp macro="" textlink="">
      <xdr:nvSpPr>
        <xdr:cNvPr id="1396" name="AutoShape 37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96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373</xdr:row>
      <xdr:rowOff>0</xdr:rowOff>
    </xdr:from>
    <xdr:to>
      <xdr:col>4</xdr:col>
      <xdr:colOff>304800</xdr:colOff>
      <xdr:row>374</xdr:row>
      <xdr:rowOff>114300</xdr:rowOff>
    </xdr:to>
    <xdr:sp macro="" textlink="">
      <xdr:nvSpPr>
        <xdr:cNvPr id="1397" name="AutoShape 37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021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373</xdr:row>
      <xdr:rowOff>0</xdr:rowOff>
    </xdr:from>
    <xdr:to>
      <xdr:col>5</xdr:col>
      <xdr:colOff>304800</xdr:colOff>
      <xdr:row>374</xdr:row>
      <xdr:rowOff>114300</xdr:rowOff>
    </xdr:to>
    <xdr:sp macro="" textlink="">
      <xdr:nvSpPr>
        <xdr:cNvPr id="1398" name="AutoShape 37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021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375</xdr:row>
      <xdr:rowOff>0</xdr:rowOff>
    </xdr:from>
    <xdr:to>
      <xdr:col>4</xdr:col>
      <xdr:colOff>304800</xdr:colOff>
      <xdr:row>376</xdr:row>
      <xdr:rowOff>114300</xdr:rowOff>
    </xdr:to>
    <xdr:sp macro="" textlink="">
      <xdr:nvSpPr>
        <xdr:cNvPr id="1399" name="AutoShape 3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079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375</xdr:row>
      <xdr:rowOff>0</xdr:rowOff>
    </xdr:from>
    <xdr:to>
      <xdr:col>5</xdr:col>
      <xdr:colOff>304800</xdr:colOff>
      <xdr:row>376</xdr:row>
      <xdr:rowOff>114300</xdr:rowOff>
    </xdr:to>
    <xdr:sp macro="" textlink="">
      <xdr:nvSpPr>
        <xdr:cNvPr id="1400" name="AutoShape 37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079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377</xdr:row>
      <xdr:rowOff>0</xdr:rowOff>
    </xdr:from>
    <xdr:to>
      <xdr:col>4</xdr:col>
      <xdr:colOff>304800</xdr:colOff>
      <xdr:row>378</xdr:row>
      <xdr:rowOff>114300</xdr:rowOff>
    </xdr:to>
    <xdr:sp macro="" textlink="">
      <xdr:nvSpPr>
        <xdr:cNvPr id="1401" name="AutoShape 37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137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377</xdr:row>
      <xdr:rowOff>0</xdr:rowOff>
    </xdr:from>
    <xdr:to>
      <xdr:col>5</xdr:col>
      <xdr:colOff>304800</xdr:colOff>
      <xdr:row>378</xdr:row>
      <xdr:rowOff>114300</xdr:rowOff>
    </xdr:to>
    <xdr:sp macro="" textlink="">
      <xdr:nvSpPr>
        <xdr:cNvPr id="1402" name="AutoShape 37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137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379</xdr:row>
      <xdr:rowOff>0</xdr:rowOff>
    </xdr:from>
    <xdr:to>
      <xdr:col>4</xdr:col>
      <xdr:colOff>304800</xdr:colOff>
      <xdr:row>380</xdr:row>
      <xdr:rowOff>114300</xdr:rowOff>
    </xdr:to>
    <xdr:sp macro="" textlink="">
      <xdr:nvSpPr>
        <xdr:cNvPr id="1403" name="AutoShape 37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195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379</xdr:row>
      <xdr:rowOff>0</xdr:rowOff>
    </xdr:from>
    <xdr:to>
      <xdr:col>5</xdr:col>
      <xdr:colOff>304800</xdr:colOff>
      <xdr:row>380</xdr:row>
      <xdr:rowOff>114300</xdr:rowOff>
    </xdr:to>
    <xdr:sp macro="" textlink="">
      <xdr:nvSpPr>
        <xdr:cNvPr id="1404" name="AutoShape 38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195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381</xdr:row>
      <xdr:rowOff>0</xdr:rowOff>
    </xdr:from>
    <xdr:to>
      <xdr:col>4</xdr:col>
      <xdr:colOff>304800</xdr:colOff>
      <xdr:row>382</xdr:row>
      <xdr:rowOff>114300</xdr:rowOff>
    </xdr:to>
    <xdr:sp macro="" textlink="">
      <xdr:nvSpPr>
        <xdr:cNvPr id="1405" name="AutoShape 38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253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381</xdr:row>
      <xdr:rowOff>0</xdr:rowOff>
    </xdr:from>
    <xdr:to>
      <xdr:col>5</xdr:col>
      <xdr:colOff>304800</xdr:colOff>
      <xdr:row>382</xdr:row>
      <xdr:rowOff>114300</xdr:rowOff>
    </xdr:to>
    <xdr:sp macro="" textlink="">
      <xdr:nvSpPr>
        <xdr:cNvPr id="1406" name="AutoShape 38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253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383</xdr:row>
      <xdr:rowOff>0</xdr:rowOff>
    </xdr:from>
    <xdr:to>
      <xdr:col>4</xdr:col>
      <xdr:colOff>304800</xdr:colOff>
      <xdr:row>384</xdr:row>
      <xdr:rowOff>114300</xdr:rowOff>
    </xdr:to>
    <xdr:sp macro="" textlink="">
      <xdr:nvSpPr>
        <xdr:cNvPr id="1407" name="AutoShape 38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31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383</xdr:row>
      <xdr:rowOff>0</xdr:rowOff>
    </xdr:from>
    <xdr:to>
      <xdr:col>5</xdr:col>
      <xdr:colOff>304800</xdr:colOff>
      <xdr:row>384</xdr:row>
      <xdr:rowOff>114300</xdr:rowOff>
    </xdr:to>
    <xdr:sp macro="" textlink="">
      <xdr:nvSpPr>
        <xdr:cNvPr id="1408" name="AutoShape 3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31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385</xdr:row>
      <xdr:rowOff>0</xdr:rowOff>
    </xdr:from>
    <xdr:to>
      <xdr:col>4</xdr:col>
      <xdr:colOff>304800</xdr:colOff>
      <xdr:row>386</xdr:row>
      <xdr:rowOff>76200</xdr:rowOff>
    </xdr:to>
    <xdr:sp macro="" textlink="">
      <xdr:nvSpPr>
        <xdr:cNvPr id="1409" name="AutoShape 38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369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385</xdr:row>
      <xdr:rowOff>0</xdr:rowOff>
    </xdr:from>
    <xdr:to>
      <xdr:col>5</xdr:col>
      <xdr:colOff>304800</xdr:colOff>
      <xdr:row>386</xdr:row>
      <xdr:rowOff>76200</xdr:rowOff>
    </xdr:to>
    <xdr:sp macro="" textlink="">
      <xdr:nvSpPr>
        <xdr:cNvPr id="1410" name="AutoShape 38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369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387</xdr:row>
      <xdr:rowOff>0</xdr:rowOff>
    </xdr:from>
    <xdr:to>
      <xdr:col>4</xdr:col>
      <xdr:colOff>304800</xdr:colOff>
      <xdr:row>388</xdr:row>
      <xdr:rowOff>114300</xdr:rowOff>
    </xdr:to>
    <xdr:sp macro="" textlink="">
      <xdr:nvSpPr>
        <xdr:cNvPr id="1411" name="AutoShape 38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41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387</xdr:row>
      <xdr:rowOff>0</xdr:rowOff>
    </xdr:from>
    <xdr:to>
      <xdr:col>5</xdr:col>
      <xdr:colOff>304800</xdr:colOff>
      <xdr:row>388</xdr:row>
      <xdr:rowOff>114300</xdr:rowOff>
    </xdr:to>
    <xdr:sp macro="" textlink="">
      <xdr:nvSpPr>
        <xdr:cNvPr id="1412" name="AutoShape 38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41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389</xdr:row>
      <xdr:rowOff>0</xdr:rowOff>
    </xdr:from>
    <xdr:to>
      <xdr:col>4</xdr:col>
      <xdr:colOff>304800</xdr:colOff>
      <xdr:row>390</xdr:row>
      <xdr:rowOff>114300</xdr:rowOff>
    </xdr:to>
    <xdr:sp macro="" textlink="">
      <xdr:nvSpPr>
        <xdr:cNvPr id="1413" name="AutoShape 38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470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389</xdr:row>
      <xdr:rowOff>0</xdr:rowOff>
    </xdr:from>
    <xdr:to>
      <xdr:col>5</xdr:col>
      <xdr:colOff>304800</xdr:colOff>
      <xdr:row>390</xdr:row>
      <xdr:rowOff>114300</xdr:rowOff>
    </xdr:to>
    <xdr:sp macro="" textlink="">
      <xdr:nvSpPr>
        <xdr:cNvPr id="1414" name="AutoShape 39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470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391</xdr:row>
      <xdr:rowOff>0</xdr:rowOff>
    </xdr:from>
    <xdr:to>
      <xdr:col>4</xdr:col>
      <xdr:colOff>304800</xdr:colOff>
      <xdr:row>392</xdr:row>
      <xdr:rowOff>114300</xdr:rowOff>
    </xdr:to>
    <xdr:sp macro="" textlink="">
      <xdr:nvSpPr>
        <xdr:cNvPr id="1415" name="AutoShape 3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528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391</xdr:row>
      <xdr:rowOff>0</xdr:rowOff>
    </xdr:from>
    <xdr:to>
      <xdr:col>5</xdr:col>
      <xdr:colOff>304800</xdr:colOff>
      <xdr:row>392</xdr:row>
      <xdr:rowOff>114300</xdr:rowOff>
    </xdr:to>
    <xdr:sp macro="" textlink="">
      <xdr:nvSpPr>
        <xdr:cNvPr id="1416" name="AutoShape 39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528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393</xdr:row>
      <xdr:rowOff>0</xdr:rowOff>
    </xdr:from>
    <xdr:to>
      <xdr:col>4</xdr:col>
      <xdr:colOff>304800</xdr:colOff>
      <xdr:row>394</xdr:row>
      <xdr:rowOff>114300</xdr:rowOff>
    </xdr:to>
    <xdr:sp macro="" textlink="">
      <xdr:nvSpPr>
        <xdr:cNvPr id="1417" name="AutoShape 39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58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393</xdr:row>
      <xdr:rowOff>0</xdr:rowOff>
    </xdr:from>
    <xdr:to>
      <xdr:col>5</xdr:col>
      <xdr:colOff>304800</xdr:colOff>
      <xdr:row>394</xdr:row>
      <xdr:rowOff>114300</xdr:rowOff>
    </xdr:to>
    <xdr:sp macro="" textlink="">
      <xdr:nvSpPr>
        <xdr:cNvPr id="1418" name="AutoShape 39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58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395</xdr:row>
      <xdr:rowOff>0</xdr:rowOff>
    </xdr:from>
    <xdr:to>
      <xdr:col>4</xdr:col>
      <xdr:colOff>304800</xdr:colOff>
      <xdr:row>396</xdr:row>
      <xdr:rowOff>114300</xdr:rowOff>
    </xdr:to>
    <xdr:sp macro="" textlink="">
      <xdr:nvSpPr>
        <xdr:cNvPr id="1419" name="AutoShape 39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644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395</xdr:row>
      <xdr:rowOff>0</xdr:rowOff>
    </xdr:from>
    <xdr:to>
      <xdr:col>5</xdr:col>
      <xdr:colOff>304800</xdr:colOff>
      <xdr:row>396</xdr:row>
      <xdr:rowOff>114300</xdr:rowOff>
    </xdr:to>
    <xdr:sp macro="" textlink="">
      <xdr:nvSpPr>
        <xdr:cNvPr id="1420" name="AutoShape 39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644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397</xdr:row>
      <xdr:rowOff>0</xdr:rowOff>
    </xdr:from>
    <xdr:to>
      <xdr:col>4</xdr:col>
      <xdr:colOff>304800</xdr:colOff>
      <xdr:row>398</xdr:row>
      <xdr:rowOff>114300</xdr:rowOff>
    </xdr:to>
    <xdr:sp macro="" textlink="">
      <xdr:nvSpPr>
        <xdr:cNvPr id="1421" name="AutoShape 39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702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397</xdr:row>
      <xdr:rowOff>0</xdr:rowOff>
    </xdr:from>
    <xdr:to>
      <xdr:col>5</xdr:col>
      <xdr:colOff>304800</xdr:colOff>
      <xdr:row>398</xdr:row>
      <xdr:rowOff>114300</xdr:rowOff>
    </xdr:to>
    <xdr:sp macro="" textlink="">
      <xdr:nvSpPr>
        <xdr:cNvPr id="1422" name="AutoShape 39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702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399</xdr:row>
      <xdr:rowOff>0</xdr:rowOff>
    </xdr:from>
    <xdr:to>
      <xdr:col>4</xdr:col>
      <xdr:colOff>304800</xdr:colOff>
      <xdr:row>400</xdr:row>
      <xdr:rowOff>114300</xdr:rowOff>
    </xdr:to>
    <xdr:sp macro="" textlink="">
      <xdr:nvSpPr>
        <xdr:cNvPr id="1423" name="AutoShape 39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761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399</xdr:row>
      <xdr:rowOff>0</xdr:rowOff>
    </xdr:from>
    <xdr:to>
      <xdr:col>5</xdr:col>
      <xdr:colOff>304800</xdr:colOff>
      <xdr:row>400</xdr:row>
      <xdr:rowOff>114300</xdr:rowOff>
    </xdr:to>
    <xdr:sp macro="" textlink="">
      <xdr:nvSpPr>
        <xdr:cNvPr id="1424" name="AutoShape 40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761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401</xdr:row>
      <xdr:rowOff>0</xdr:rowOff>
    </xdr:from>
    <xdr:to>
      <xdr:col>4</xdr:col>
      <xdr:colOff>304800</xdr:colOff>
      <xdr:row>402</xdr:row>
      <xdr:rowOff>76200</xdr:rowOff>
    </xdr:to>
    <xdr:sp macro="" textlink="">
      <xdr:nvSpPr>
        <xdr:cNvPr id="1425" name="AutoShape 40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81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401</xdr:row>
      <xdr:rowOff>0</xdr:rowOff>
    </xdr:from>
    <xdr:to>
      <xdr:col>5</xdr:col>
      <xdr:colOff>304800</xdr:colOff>
      <xdr:row>402</xdr:row>
      <xdr:rowOff>76200</xdr:rowOff>
    </xdr:to>
    <xdr:sp macro="" textlink="">
      <xdr:nvSpPr>
        <xdr:cNvPr id="1426" name="AutoShape 40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81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403</xdr:row>
      <xdr:rowOff>0</xdr:rowOff>
    </xdr:from>
    <xdr:to>
      <xdr:col>4</xdr:col>
      <xdr:colOff>304800</xdr:colOff>
      <xdr:row>404</xdr:row>
      <xdr:rowOff>76200</xdr:rowOff>
    </xdr:to>
    <xdr:sp macro="" textlink="">
      <xdr:nvSpPr>
        <xdr:cNvPr id="1427" name="AutoShape 40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86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403</xdr:row>
      <xdr:rowOff>0</xdr:rowOff>
    </xdr:from>
    <xdr:to>
      <xdr:col>5</xdr:col>
      <xdr:colOff>304800</xdr:colOff>
      <xdr:row>404</xdr:row>
      <xdr:rowOff>76200</xdr:rowOff>
    </xdr:to>
    <xdr:sp macro="" textlink="">
      <xdr:nvSpPr>
        <xdr:cNvPr id="1428" name="AutoShape 40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86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405</xdr:row>
      <xdr:rowOff>0</xdr:rowOff>
    </xdr:from>
    <xdr:to>
      <xdr:col>4</xdr:col>
      <xdr:colOff>304800</xdr:colOff>
      <xdr:row>406</xdr:row>
      <xdr:rowOff>114300</xdr:rowOff>
    </xdr:to>
    <xdr:sp macro="" textlink="">
      <xdr:nvSpPr>
        <xdr:cNvPr id="1429" name="AutoShape 40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904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405</xdr:row>
      <xdr:rowOff>0</xdr:rowOff>
    </xdr:from>
    <xdr:to>
      <xdr:col>5</xdr:col>
      <xdr:colOff>304800</xdr:colOff>
      <xdr:row>406</xdr:row>
      <xdr:rowOff>114300</xdr:rowOff>
    </xdr:to>
    <xdr:sp macro="" textlink="">
      <xdr:nvSpPr>
        <xdr:cNvPr id="1430" name="AutoShape 40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904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407</xdr:row>
      <xdr:rowOff>0</xdr:rowOff>
    </xdr:from>
    <xdr:to>
      <xdr:col>4</xdr:col>
      <xdr:colOff>304800</xdr:colOff>
      <xdr:row>408</xdr:row>
      <xdr:rowOff>114300</xdr:rowOff>
    </xdr:to>
    <xdr:sp macro="" textlink="">
      <xdr:nvSpPr>
        <xdr:cNvPr id="1431" name="AutoShape 40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963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407</xdr:row>
      <xdr:rowOff>0</xdr:rowOff>
    </xdr:from>
    <xdr:to>
      <xdr:col>5</xdr:col>
      <xdr:colOff>304800</xdr:colOff>
      <xdr:row>408</xdr:row>
      <xdr:rowOff>114300</xdr:rowOff>
    </xdr:to>
    <xdr:sp macro="" textlink="">
      <xdr:nvSpPr>
        <xdr:cNvPr id="1432" name="AutoShape 40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963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409</xdr:row>
      <xdr:rowOff>0</xdr:rowOff>
    </xdr:from>
    <xdr:to>
      <xdr:col>4</xdr:col>
      <xdr:colOff>304800</xdr:colOff>
      <xdr:row>410</xdr:row>
      <xdr:rowOff>114300</xdr:rowOff>
    </xdr:to>
    <xdr:sp macro="" textlink="">
      <xdr:nvSpPr>
        <xdr:cNvPr id="1433" name="AutoShape 40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021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409</xdr:row>
      <xdr:rowOff>0</xdr:rowOff>
    </xdr:from>
    <xdr:to>
      <xdr:col>5</xdr:col>
      <xdr:colOff>304800</xdr:colOff>
      <xdr:row>410</xdr:row>
      <xdr:rowOff>114300</xdr:rowOff>
    </xdr:to>
    <xdr:sp macro="" textlink="">
      <xdr:nvSpPr>
        <xdr:cNvPr id="1434" name="AutoShape 41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021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411</xdr:row>
      <xdr:rowOff>0</xdr:rowOff>
    </xdr:from>
    <xdr:to>
      <xdr:col>4</xdr:col>
      <xdr:colOff>304800</xdr:colOff>
      <xdr:row>412</xdr:row>
      <xdr:rowOff>76200</xdr:rowOff>
    </xdr:to>
    <xdr:sp macro="" textlink="">
      <xdr:nvSpPr>
        <xdr:cNvPr id="1435" name="AutoShape 4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079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411</xdr:row>
      <xdr:rowOff>0</xdr:rowOff>
    </xdr:from>
    <xdr:to>
      <xdr:col>5</xdr:col>
      <xdr:colOff>304800</xdr:colOff>
      <xdr:row>412</xdr:row>
      <xdr:rowOff>76200</xdr:rowOff>
    </xdr:to>
    <xdr:sp macro="" textlink="">
      <xdr:nvSpPr>
        <xdr:cNvPr id="1436" name="AutoShape 41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079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413</xdr:row>
      <xdr:rowOff>0</xdr:rowOff>
    </xdr:from>
    <xdr:to>
      <xdr:col>4</xdr:col>
      <xdr:colOff>304800</xdr:colOff>
      <xdr:row>414</xdr:row>
      <xdr:rowOff>114300</xdr:rowOff>
    </xdr:to>
    <xdr:sp macro="" textlink="">
      <xdr:nvSpPr>
        <xdr:cNvPr id="1437" name="AutoShape 41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122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413</xdr:row>
      <xdr:rowOff>0</xdr:rowOff>
    </xdr:from>
    <xdr:to>
      <xdr:col>5</xdr:col>
      <xdr:colOff>304800</xdr:colOff>
      <xdr:row>414</xdr:row>
      <xdr:rowOff>114300</xdr:rowOff>
    </xdr:to>
    <xdr:sp macro="" textlink="">
      <xdr:nvSpPr>
        <xdr:cNvPr id="1438" name="AutoShape 41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122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415</xdr:row>
      <xdr:rowOff>0</xdr:rowOff>
    </xdr:from>
    <xdr:to>
      <xdr:col>4</xdr:col>
      <xdr:colOff>304800</xdr:colOff>
      <xdr:row>416</xdr:row>
      <xdr:rowOff>114300</xdr:rowOff>
    </xdr:to>
    <xdr:sp macro="" textlink="">
      <xdr:nvSpPr>
        <xdr:cNvPr id="1439" name="AutoShape 41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180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415</xdr:row>
      <xdr:rowOff>0</xdr:rowOff>
    </xdr:from>
    <xdr:to>
      <xdr:col>5</xdr:col>
      <xdr:colOff>304800</xdr:colOff>
      <xdr:row>416</xdr:row>
      <xdr:rowOff>114300</xdr:rowOff>
    </xdr:to>
    <xdr:sp macro="" textlink="">
      <xdr:nvSpPr>
        <xdr:cNvPr id="1440" name="AutoShape 41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180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417</xdr:row>
      <xdr:rowOff>0</xdr:rowOff>
    </xdr:from>
    <xdr:to>
      <xdr:col>4</xdr:col>
      <xdr:colOff>304800</xdr:colOff>
      <xdr:row>418</xdr:row>
      <xdr:rowOff>114300</xdr:rowOff>
    </xdr:to>
    <xdr:sp macro="" textlink="">
      <xdr:nvSpPr>
        <xdr:cNvPr id="1441" name="AutoShape 41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238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417</xdr:row>
      <xdr:rowOff>0</xdr:rowOff>
    </xdr:from>
    <xdr:to>
      <xdr:col>5</xdr:col>
      <xdr:colOff>304800</xdr:colOff>
      <xdr:row>418</xdr:row>
      <xdr:rowOff>114300</xdr:rowOff>
    </xdr:to>
    <xdr:sp macro="" textlink="">
      <xdr:nvSpPr>
        <xdr:cNvPr id="1442" name="AutoShape 41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238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419</xdr:row>
      <xdr:rowOff>0</xdr:rowOff>
    </xdr:from>
    <xdr:to>
      <xdr:col>4</xdr:col>
      <xdr:colOff>304800</xdr:colOff>
      <xdr:row>420</xdr:row>
      <xdr:rowOff>76200</xdr:rowOff>
    </xdr:to>
    <xdr:sp macro="" textlink="">
      <xdr:nvSpPr>
        <xdr:cNvPr id="1443" name="AutoShape 41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29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419</xdr:row>
      <xdr:rowOff>0</xdr:rowOff>
    </xdr:from>
    <xdr:to>
      <xdr:col>5</xdr:col>
      <xdr:colOff>304800</xdr:colOff>
      <xdr:row>420</xdr:row>
      <xdr:rowOff>76200</xdr:rowOff>
    </xdr:to>
    <xdr:sp macro="" textlink="">
      <xdr:nvSpPr>
        <xdr:cNvPr id="1444" name="AutoShape 4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29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421</xdr:row>
      <xdr:rowOff>0</xdr:rowOff>
    </xdr:from>
    <xdr:to>
      <xdr:col>4</xdr:col>
      <xdr:colOff>304800</xdr:colOff>
      <xdr:row>422</xdr:row>
      <xdr:rowOff>76200</xdr:rowOff>
    </xdr:to>
    <xdr:sp macro="" textlink="">
      <xdr:nvSpPr>
        <xdr:cNvPr id="1445" name="AutoShape 42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339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421</xdr:row>
      <xdr:rowOff>0</xdr:rowOff>
    </xdr:from>
    <xdr:to>
      <xdr:col>5</xdr:col>
      <xdr:colOff>304800</xdr:colOff>
      <xdr:row>422</xdr:row>
      <xdr:rowOff>76200</xdr:rowOff>
    </xdr:to>
    <xdr:sp macro="" textlink="">
      <xdr:nvSpPr>
        <xdr:cNvPr id="1446" name="AutoShape 42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339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423</xdr:row>
      <xdr:rowOff>0</xdr:rowOff>
    </xdr:from>
    <xdr:to>
      <xdr:col>4</xdr:col>
      <xdr:colOff>304800</xdr:colOff>
      <xdr:row>424</xdr:row>
      <xdr:rowOff>114300</xdr:rowOff>
    </xdr:to>
    <xdr:sp macro="" textlink="">
      <xdr:nvSpPr>
        <xdr:cNvPr id="1447" name="AutoShape 42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382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423</xdr:row>
      <xdr:rowOff>0</xdr:rowOff>
    </xdr:from>
    <xdr:to>
      <xdr:col>5</xdr:col>
      <xdr:colOff>304800</xdr:colOff>
      <xdr:row>424</xdr:row>
      <xdr:rowOff>114300</xdr:rowOff>
    </xdr:to>
    <xdr:sp macro="" textlink="">
      <xdr:nvSpPr>
        <xdr:cNvPr id="1448" name="AutoShape 42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382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425</xdr:row>
      <xdr:rowOff>0</xdr:rowOff>
    </xdr:from>
    <xdr:to>
      <xdr:col>4</xdr:col>
      <xdr:colOff>304800</xdr:colOff>
      <xdr:row>426</xdr:row>
      <xdr:rowOff>114300</xdr:rowOff>
    </xdr:to>
    <xdr:sp macro="" textlink="">
      <xdr:nvSpPr>
        <xdr:cNvPr id="1449" name="AutoShape 42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440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425</xdr:row>
      <xdr:rowOff>0</xdr:rowOff>
    </xdr:from>
    <xdr:to>
      <xdr:col>5</xdr:col>
      <xdr:colOff>304800</xdr:colOff>
      <xdr:row>426</xdr:row>
      <xdr:rowOff>114300</xdr:rowOff>
    </xdr:to>
    <xdr:sp macro="" textlink="">
      <xdr:nvSpPr>
        <xdr:cNvPr id="1450" name="AutoShape 42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440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427</xdr:row>
      <xdr:rowOff>0</xdr:rowOff>
    </xdr:from>
    <xdr:to>
      <xdr:col>4</xdr:col>
      <xdr:colOff>304800</xdr:colOff>
      <xdr:row>428</xdr:row>
      <xdr:rowOff>76200</xdr:rowOff>
    </xdr:to>
    <xdr:sp macro="" textlink="">
      <xdr:nvSpPr>
        <xdr:cNvPr id="1451" name="AutoShape 42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49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427</xdr:row>
      <xdr:rowOff>0</xdr:rowOff>
    </xdr:from>
    <xdr:to>
      <xdr:col>5</xdr:col>
      <xdr:colOff>304800</xdr:colOff>
      <xdr:row>428</xdr:row>
      <xdr:rowOff>76200</xdr:rowOff>
    </xdr:to>
    <xdr:sp macro="" textlink="">
      <xdr:nvSpPr>
        <xdr:cNvPr id="1452" name="AutoShape 4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49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429</xdr:row>
      <xdr:rowOff>0</xdr:rowOff>
    </xdr:from>
    <xdr:to>
      <xdr:col>4</xdr:col>
      <xdr:colOff>304800</xdr:colOff>
      <xdr:row>430</xdr:row>
      <xdr:rowOff>114300</xdr:rowOff>
    </xdr:to>
    <xdr:sp macro="" textlink="">
      <xdr:nvSpPr>
        <xdr:cNvPr id="1453" name="AutoShape 42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541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429</xdr:row>
      <xdr:rowOff>0</xdr:rowOff>
    </xdr:from>
    <xdr:to>
      <xdr:col>5</xdr:col>
      <xdr:colOff>304800</xdr:colOff>
      <xdr:row>430</xdr:row>
      <xdr:rowOff>114300</xdr:rowOff>
    </xdr:to>
    <xdr:sp macro="" textlink="">
      <xdr:nvSpPr>
        <xdr:cNvPr id="1454" name="AutoShape 43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541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431</xdr:row>
      <xdr:rowOff>0</xdr:rowOff>
    </xdr:from>
    <xdr:to>
      <xdr:col>4</xdr:col>
      <xdr:colOff>304800</xdr:colOff>
      <xdr:row>432</xdr:row>
      <xdr:rowOff>114300</xdr:rowOff>
    </xdr:to>
    <xdr:sp macro="" textlink="">
      <xdr:nvSpPr>
        <xdr:cNvPr id="1455" name="AutoShape 43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599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431</xdr:row>
      <xdr:rowOff>0</xdr:rowOff>
    </xdr:from>
    <xdr:to>
      <xdr:col>5</xdr:col>
      <xdr:colOff>304800</xdr:colOff>
      <xdr:row>432</xdr:row>
      <xdr:rowOff>114300</xdr:rowOff>
    </xdr:to>
    <xdr:sp macro="" textlink="">
      <xdr:nvSpPr>
        <xdr:cNvPr id="1456" name="AutoShape 43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599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433</xdr:row>
      <xdr:rowOff>0</xdr:rowOff>
    </xdr:from>
    <xdr:to>
      <xdr:col>4</xdr:col>
      <xdr:colOff>304800</xdr:colOff>
      <xdr:row>434</xdr:row>
      <xdr:rowOff>114300</xdr:rowOff>
    </xdr:to>
    <xdr:sp macro="" textlink="">
      <xdr:nvSpPr>
        <xdr:cNvPr id="1457" name="AutoShape 43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657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433</xdr:row>
      <xdr:rowOff>0</xdr:rowOff>
    </xdr:from>
    <xdr:to>
      <xdr:col>5</xdr:col>
      <xdr:colOff>304800</xdr:colOff>
      <xdr:row>434</xdr:row>
      <xdr:rowOff>114300</xdr:rowOff>
    </xdr:to>
    <xdr:sp macro="" textlink="">
      <xdr:nvSpPr>
        <xdr:cNvPr id="1458" name="AutoShape 43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657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435</xdr:row>
      <xdr:rowOff>0</xdr:rowOff>
    </xdr:from>
    <xdr:to>
      <xdr:col>4</xdr:col>
      <xdr:colOff>304800</xdr:colOff>
      <xdr:row>436</xdr:row>
      <xdr:rowOff>114300</xdr:rowOff>
    </xdr:to>
    <xdr:sp macro="" textlink="">
      <xdr:nvSpPr>
        <xdr:cNvPr id="1459" name="AutoShape 43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696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435</xdr:row>
      <xdr:rowOff>0</xdr:rowOff>
    </xdr:from>
    <xdr:to>
      <xdr:col>5</xdr:col>
      <xdr:colOff>304800</xdr:colOff>
      <xdr:row>436</xdr:row>
      <xdr:rowOff>114300</xdr:rowOff>
    </xdr:to>
    <xdr:sp macro="" textlink="">
      <xdr:nvSpPr>
        <xdr:cNvPr id="1460" name="AutoShape 43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696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437</xdr:row>
      <xdr:rowOff>0</xdr:rowOff>
    </xdr:from>
    <xdr:to>
      <xdr:col>4</xdr:col>
      <xdr:colOff>304800</xdr:colOff>
      <xdr:row>438</xdr:row>
      <xdr:rowOff>114300</xdr:rowOff>
    </xdr:to>
    <xdr:sp macro="" textlink="">
      <xdr:nvSpPr>
        <xdr:cNvPr id="1461" name="AutoShape 43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754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437</xdr:row>
      <xdr:rowOff>0</xdr:rowOff>
    </xdr:from>
    <xdr:to>
      <xdr:col>5</xdr:col>
      <xdr:colOff>304800</xdr:colOff>
      <xdr:row>438</xdr:row>
      <xdr:rowOff>114300</xdr:rowOff>
    </xdr:to>
    <xdr:sp macro="" textlink="">
      <xdr:nvSpPr>
        <xdr:cNvPr id="1462" name="AutoShape 43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754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439</xdr:row>
      <xdr:rowOff>0</xdr:rowOff>
    </xdr:from>
    <xdr:to>
      <xdr:col>4</xdr:col>
      <xdr:colOff>304800</xdr:colOff>
      <xdr:row>440</xdr:row>
      <xdr:rowOff>114300</xdr:rowOff>
    </xdr:to>
    <xdr:sp macro="" textlink="">
      <xdr:nvSpPr>
        <xdr:cNvPr id="1463" name="AutoShape 43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439</xdr:row>
      <xdr:rowOff>0</xdr:rowOff>
    </xdr:from>
    <xdr:to>
      <xdr:col>5</xdr:col>
      <xdr:colOff>304800</xdr:colOff>
      <xdr:row>440</xdr:row>
      <xdr:rowOff>114300</xdr:rowOff>
    </xdr:to>
    <xdr:sp macro="" textlink="">
      <xdr:nvSpPr>
        <xdr:cNvPr id="1464" name="AutoShape 4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441</xdr:row>
      <xdr:rowOff>0</xdr:rowOff>
    </xdr:from>
    <xdr:to>
      <xdr:col>4</xdr:col>
      <xdr:colOff>304800</xdr:colOff>
      <xdr:row>442</xdr:row>
      <xdr:rowOff>114300</xdr:rowOff>
    </xdr:to>
    <xdr:sp macro="" textlink="">
      <xdr:nvSpPr>
        <xdr:cNvPr id="1465" name="AutoShape 4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87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441</xdr:row>
      <xdr:rowOff>0</xdr:rowOff>
    </xdr:from>
    <xdr:to>
      <xdr:col>5</xdr:col>
      <xdr:colOff>304800</xdr:colOff>
      <xdr:row>442</xdr:row>
      <xdr:rowOff>114300</xdr:rowOff>
    </xdr:to>
    <xdr:sp macro="" textlink="">
      <xdr:nvSpPr>
        <xdr:cNvPr id="1466" name="AutoShape 44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87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443</xdr:row>
      <xdr:rowOff>0</xdr:rowOff>
    </xdr:from>
    <xdr:to>
      <xdr:col>4</xdr:col>
      <xdr:colOff>304800</xdr:colOff>
      <xdr:row>444</xdr:row>
      <xdr:rowOff>114300</xdr:rowOff>
    </xdr:to>
    <xdr:sp macro="" textlink="">
      <xdr:nvSpPr>
        <xdr:cNvPr id="1467" name="AutoShape 44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928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443</xdr:row>
      <xdr:rowOff>0</xdr:rowOff>
    </xdr:from>
    <xdr:to>
      <xdr:col>5</xdr:col>
      <xdr:colOff>304800</xdr:colOff>
      <xdr:row>444</xdr:row>
      <xdr:rowOff>114300</xdr:rowOff>
    </xdr:to>
    <xdr:sp macro="" textlink="">
      <xdr:nvSpPr>
        <xdr:cNvPr id="1468" name="AutoShape 44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928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445</xdr:row>
      <xdr:rowOff>0</xdr:rowOff>
    </xdr:from>
    <xdr:to>
      <xdr:col>4</xdr:col>
      <xdr:colOff>304800</xdr:colOff>
      <xdr:row>446</xdr:row>
      <xdr:rowOff>114300</xdr:rowOff>
    </xdr:to>
    <xdr:sp macro="" textlink="">
      <xdr:nvSpPr>
        <xdr:cNvPr id="1469" name="AutoShape 44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00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445</xdr:row>
      <xdr:rowOff>0</xdr:rowOff>
    </xdr:from>
    <xdr:to>
      <xdr:col>5</xdr:col>
      <xdr:colOff>304800</xdr:colOff>
      <xdr:row>446</xdr:row>
      <xdr:rowOff>114300</xdr:rowOff>
    </xdr:to>
    <xdr:sp macro="" textlink="">
      <xdr:nvSpPr>
        <xdr:cNvPr id="1470" name="AutoShape 44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00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447</xdr:row>
      <xdr:rowOff>0</xdr:rowOff>
    </xdr:from>
    <xdr:to>
      <xdr:col>4</xdr:col>
      <xdr:colOff>304800</xdr:colOff>
      <xdr:row>448</xdr:row>
      <xdr:rowOff>114300</xdr:rowOff>
    </xdr:to>
    <xdr:sp macro="" textlink="">
      <xdr:nvSpPr>
        <xdr:cNvPr id="1471" name="AutoShape 4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064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447</xdr:row>
      <xdr:rowOff>0</xdr:rowOff>
    </xdr:from>
    <xdr:to>
      <xdr:col>5</xdr:col>
      <xdr:colOff>304800</xdr:colOff>
      <xdr:row>448</xdr:row>
      <xdr:rowOff>114300</xdr:rowOff>
    </xdr:to>
    <xdr:sp macro="" textlink="">
      <xdr:nvSpPr>
        <xdr:cNvPr id="1472" name="AutoShape 4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064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449</xdr:row>
      <xdr:rowOff>0</xdr:rowOff>
    </xdr:from>
    <xdr:to>
      <xdr:col>4</xdr:col>
      <xdr:colOff>304800</xdr:colOff>
      <xdr:row>450</xdr:row>
      <xdr:rowOff>114300</xdr:rowOff>
    </xdr:to>
    <xdr:sp macro="" textlink="">
      <xdr:nvSpPr>
        <xdr:cNvPr id="1473" name="AutoShape 44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122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449</xdr:row>
      <xdr:rowOff>0</xdr:rowOff>
    </xdr:from>
    <xdr:to>
      <xdr:col>5</xdr:col>
      <xdr:colOff>304800</xdr:colOff>
      <xdr:row>450</xdr:row>
      <xdr:rowOff>114300</xdr:rowOff>
    </xdr:to>
    <xdr:sp macro="" textlink="">
      <xdr:nvSpPr>
        <xdr:cNvPr id="1474" name="AutoShape 45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122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451</xdr:row>
      <xdr:rowOff>0</xdr:rowOff>
    </xdr:from>
    <xdr:to>
      <xdr:col>4</xdr:col>
      <xdr:colOff>304800</xdr:colOff>
      <xdr:row>452</xdr:row>
      <xdr:rowOff>76200</xdr:rowOff>
    </xdr:to>
    <xdr:sp macro="" textlink="">
      <xdr:nvSpPr>
        <xdr:cNvPr id="1475" name="AutoShape 45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18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451</xdr:row>
      <xdr:rowOff>0</xdr:rowOff>
    </xdr:from>
    <xdr:to>
      <xdr:col>5</xdr:col>
      <xdr:colOff>304800</xdr:colOff>
      <xdr:row>452</xdr:row>
      <xdr:rowOff>76200</xdr:rowOff>
    </xdr:to>
    <xdr:sp macro="" textlink="">
      <xdr:nvSpPr>
        <xdr:cNvPr id="1476" name="AutoShape 45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18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453</xdr:row>
      <xdr:rowOff>0</xdr:rowOff>
    </xdr:from>
    <xdr:to>
      <xdr:col>4</xdr:col>
      <xdr:colOff>304800</xdr:colOff>
      <xdr:row>454</xdr:row>
      <xdr:rowOff>76200</xdr:rowOff>
    </xdr:to>
    <xdr:sp macro="" textlink="">
      <xdr:nvSpPr>
        <xdr:cNvPr id="1477" name="AutoShape 45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223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453</xdr:row>
      <xdr:rowOff>0</xdr:rowOff>
    </xdr:from>
    <xdr:to>
      <xdr:col>5</xdr:col>
      <xdr:colOff>304800</xdr:colOff>
      <xdr:row>454</xdr:row>
      <xdr:rowOff>76200</xdr:rowOff>
    </xdr:to>
    <xdr:sp macro="" textlink="">
      <xdr:nvSpPr>
        <xdr:cNvPr id="1478" name="AutoShape 45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223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455</xdr:row>
      <xdr:rowOff>0</xdr:rowOff>
    </xdr:from>
    <xdr:to>
      <xdr:col>4</xdr:col>
      <xdr:colOff>304800</xdr:colOff>
      <xdr:row>456</xdr:row>
      <xdr:rowOff>114300</xdr:rowOff>
    </xdr:to>
    <xdr:sp macro="" textlink="">
      <xdr:nvSpPr>
        <xdr:cNvPr id="1479" name="AutoShape 45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266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455</xdr:row>
      <xdr:rowOff>0</xdr:rowOff>
    </xdr:from>
    <xdr:to>
      <xdr:col>5</xdr:col>
      <xdr:colOff>304800</xdr:colOff>
      <xdr:row>456</xdr:row>
      <xdr:rowOff>114300</xdr:rowOff>
    </xdr:to>
    <xdr:sp macro="" textlink="">
      <xdr:nvSpPr>
        <xdr:cNvPr id="1480" name="AutoShape 45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266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457</xdr:row>
      <xdr:rowOff>0</xdr:rowOff>
    </xdr:from>
    <xdr:to>
      <xdr:col>4</xdr:col>
      <xdr:colOff>304800</xdr:colOff>
      <xdr:row>458</xdr:row>
      <xdr:rowOff>114300</xdr:rowOff>
    </xdr:to>
    <xdr:sp macro="" textlink="">
      <xdr:nvSpPr>
        <xdr:cNvPr id="1481" name="AutoShape 4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32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457</xdr:row>
      <xdr:rowOff>0</xdr:rowOff>
    </xdr:from>
    <xdr:to>
      <xdr:col>5</xdr:col>
      <xdr:colOff>304800</xdr:colOff>
      <xdr:row>458</xdr:row>
      <xdr:rowOff>114300</xdr:rowOff>
    </xdr:to>
    <xdr:sp macro="" textlink="">
      <xdr:nvSpPr>
        <xdr:cNvPr id="1482" name="AutoShape 45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32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459</xdr:row>
      <xdr:rowOff>0</xdr:rowOff>
    </xdr:from>
    <xdr:to>
      <xdr:col>4</xdr:col>
      <xdr:colOff>304800</xdr:colOff>
      <xdr:row>460</xdr:row>
      <xdr:rowOff>114300</xdr:rowOff>
    </xdr:to>
    <xdr:sp macro="" textlink="">
      <xdr:nvSpPr>
        <xdr:cNvPr id="1483" name="AutoShape 4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382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459</xdr:row>
      <xdr:rowOff>0</xdr:rowOff>
    </xdr:from>
    <xdr:to>
      <xdr:col>5</xdr:col>
      <xdr:colOff>304800</xdr:colOff>
      <xdr:row>460</xdr:row>
      <xdr:rowOff>114300</xdr:rowOff>
    </xdr:to>
    <xdr:sp macro="" textlink="">
      <xdr:nvSpPr>
        <xdr:cNvPr id="1484" name="AutoShape 4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382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461</xdr:row>
      <xdr:rowOff>0</xdr:rowOff>
    </xdr:from>
    <xdr:to>
      <xdr:col>4</xdr:col>
      <xdr:colOff>304800</xdr:colOff>
      <xdr:row>462</xdr:row>
      <xdr:rowOff>114300</xdr:rowOff>
    </xdr:to>
    <xdr:sp macro="" textlink="">
      <xdr:nvSpPr>
        <xdr:cNvPr id="1485" name="AutoShape 46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42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461</xdr:row>
      <xdr:rowOff>0</xdr:rowOff>
    </xdr:from>
    <xdr:to>
      <xdr:col>5</xdr:col>
      <xdr:colOff>304800</xdr:colOff>
      <xdr:row>462</xdr:row>
      <xdr:rowOff>114300</xdr:rowOff>
    </xdr:to>
    <xdr:sp macro="" textlink="">
      <xdr:nvSpPr>
        <xdr:cNvPr id="1486" name="AutoShape 4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42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463</xdr:row>
      <xdr:rowOff>0</xdr:rowOff>
    </xdr:from>
    <xdr:to>
      <xdr:col>4</xdr:col>
      <xdr:colOff>304800</xdr:colOff>
      <xdr:row>464</xdr:row>
      <xdr:rowOff>76200</xdr:rowOff>
    </xdr:to>
    <xdr:sp macro="" textlink="">
      <xdr:nvSpPr>
        <xdr:cNvPr id="1487" name="AutoShape 46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479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463</xdr:row>
      <xdr:rowOff>0</xdr:rowOff>
    </xdr:from>
    <xdr:to>
      <xdr:col>5</xdr:col>
      <xdr:colOff>304800</xdr:colOff>
      <xdr:row>464</xdr:row>
      <xdr:rowOff>76200</xdr:rowOff>
    </xdr:to>
    <xdr:sp macro="" textlink="">
      <xdr:nvSpPr>
        <xdr:cNvPr id="1488" name="AutoShape 4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479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465</xdr:row>
      <xdr:rowOff>0</xdr:rowOff>
    </xdr:from>
    <xdr:to>
      <xdr:col>4</xdr:col>
      <xdr:colOff>304800</xdr:colOff>
      <xdr:row>466</xdr:row>
      <xdr:rowOff>114300</xdr:rowOff>
    </xdr:to>
    <xdr:sp macro="" textlink="">
      <xdr:nvSpPr>
        <xdr:cNvPr id="1489" name="AutoShape 46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522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465</xdr:row>
      <xdr:rowOff>0</xdr:rowOff>
    </xdr:from>
    <xdr:to>
      <xdr:col>5</xdr:col>
      <xdr:colOff>304800</xdr:colOff>
      <xdr:row>466</xdr:row>
      <xdr:rowOff>114300</xdr:rowOff>
    </xdr:to>
    <xdr:sp macro="" textlink="">
      <xdr:nvSpPr>
        <xdr:cNvPr id="1490" name="AutoShape 46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522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467</xdr:row>
      <xdr:rowOff>0</xdr:rowOff>
    </xdr:from>
    <xdr:to>
      <xdr:col>4</xdr:col>
      <xdr:colOff>304800</xdr:colOff>
      <xdr:row>468</xdr:row>
      <xdr:rowOff>114300</xdr:rowOff>
    </xdr:to>
    <xdr:sp macro="" textlink="">
      <xdr:nvSpPr>
        <xdr:cNvPr id="1491" name="AutoShape 46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58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467</xdr:row>
      <xdr:rowOff>0</xdr:rowOff>
    </xdr:from>
    <xdr:to>
      <xdr:col>5</xdr:col>
      <xdr:colOff>304800</xdr:colOff>
      <xdr:row>468</xdr:row>
      <xdr:rowOff>114300</xdr:rowOff>
    </xdr:to>
    <xdr:sp macro="" textlink="">
      <xdr:nvSpPr>
        <xdr:cNvPr id="1492" name="AutoShape 4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58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469</xdr:row>
      <xdr:rowOff>0</xdr:rowOff>
    </xdr:from>
    <xdr:to>
      <xdr:col>4</xdr:col>
      <xdr:colOff>304800</xdr:colOff>
      <xdr:row>470</xdr:row>
      <xdr:rowOff>114300</xdr:rowOff>
    </xdr:to>
    <xdr:sp macro="" textlink="">
      <xdr:nvSpPr>
        <xdr:cNvPr id="1493" name="AutoShape 46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638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469</xdr:row>
      <xdr:rowOff>0</xdr:rowOff>
    </xdr:from>
    <xdr:to>
      <xdr:col>5</xdr:col>
      <xdr:colOff>304800</xdr:colOff>
      <xdr:row>470</xdr:row>
      <xdr:rowOff>114300</xdr:rowOff>
    </xdr:to>
    <xdr:sp macro="" textlink="">
      <xdr:nvSpPr>
        <xdr:cNvPr id="1494" name="AutoShape 47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638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471</xdr:row>
      <xdr:rowOff>0</xdr:rowOff>
    </xdr:from>
    <xdr:to>
      <xdr:col>4</xdr:col>
      <xdr:colOff>304800</xdr:colOff>
      <xdr:row>472</xdr:row>
      <xdr:rowOff>114300</xdr:rowOff>
    </xdr:to>
    <xdr:sp macro="" textlink="">
      <xdr:nvSpPr>
        <xdr:cNvPr id="1495" name="AutoShape 47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69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471</xdr:row>
      <xdr:rowOff>0</xdr:rowOff>
    </xdr:from>
    <xdr:to>
      <xdr:col>5</xdr:col>
      <xdr:colOff>304800</xdr:colOff>
      <xdr:row>472</xdr:row>
      <xdr:rowOff>114300</xdr:rowOff>
    </xdr:to>
    <xdr:sp macro="" textlink="">
      <xdr:nvSpPr>
        <xdr:cNvPr id="1496" name="AutoShape 47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69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473</xdr:row>
      <xdr:rowOff>0</xdr:rowOff>
    </xdr:from>
    <xdr:to>
      <xdr:col>4</xdr:col>
      <xdr:colOff>304800</xdr:colOff>
      <xdr:row>474</xdr:row>
      <xdr:rowOff>114300</xdr:rowOff>
    </xdr:to>
    <xdr:sp macro="" textlink="">
      <xdr:nvSpPr>
        <xdr:cNvPr id="1497" name="AutoShape 47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754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473</xdr:row>
      <xdr:rowOff>0</xdr:rowOff>
    </xdr:from>
    <xdr:to>
      <xdr:col>5</xdr:col>
      <xdr:colOff>304800</xdr:colOff>
      <xdr:row>474</xdr:row>
      <xdr:rowOff>114300</xdr:rowOff>
    </xdr:to>
    <xdr:sp macro="" textlink="">
      <xdr:nvSpPr>
        <xdr:cNvPr id="1498" name="AutoShape 47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754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475</xdr:row>
      <xdr:rowOff>0</xdr:rowOff>
    </xdr:from>
    <xdr:to>
      <xdr:col>4</xdr:col>
      <xdr:colOff>304800</xdr:colOff>
      <xdr:row>476</xdr:row>
      <xdr:rowOff>76200</xdr:rowOff>
    </xdr:to>
    <xdr:sp macro="" textlink="">
      <xdr:nvSpPr>
        <xdr:cNvPr id="1499" name="AutoShape 4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812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475</xdr:row>
      <xdr:rowOff>0</xdr:rowOff>
    </xdr:from>
    <xdr:to>
      <xdr:col>5</xdr:col>
      <xdr:colOff>304800</xdr:colOff>
      <xdr:row>476</xdr:row>
      <xdr:rowOff>76200</xdr:rowOff>
    </xdr:to>
    <xdr:sp macro="" textlink="">
      <xdr:nvSpPr>
        <xdr:cNvPr id="1500" name="AutoShape 47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812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477</xdr:row>
      <xdr:rowOff>0</xdr:rowOff>
    </xdr:from>
    <xdr:to>
      <xdr:col>4</xdr:col>
      <xdr:colOff>304800</xdr:colOff>
      <xdr:row>478</xdr:row>
      <xdr:rowOff>114300</xdr:rowOff>
    </xdr:to>
    <xdr:sp macro="" textlink="">
      <xdr:nvSpPr>
        <xdr:cNvPr id="1501" name="AutoShape 47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855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477</xdr:row>
      <xdr:rowOff>0</xdr:rowOff>
    </xdr:from>
    <xdr:to>
      <xdr:col>5</xdr:col>
      <xdr:colOff>304800</xdr:colOff>
      <xdr:row>478</xdr:row>
      <xdr:rowOff>114300</xdr:rowOff>
    </xdr:to>
    <xdr:sp macro="" textlink="">
      <xdr:nvSpPr>
        <xdr:cNvPr id="1502" name="AutoShape 4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855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479</xdr:row>
      <xdr:rowOff>0</xdr:rowOff>
    </xdr:from>
    <xdr:to>
      <xdr:col>4</xdr:col>
      <xdr:colOff>304800</xdr:colOff>
      <xdr:row>480</xdr:row>
      <xdr:rowOff>76200</xdr:rowOff>
    </xdr:to>
    <xdr:sp macro="" textlink="">
      <xdr:nvSpPr>
        <xdr:cNvPr id="1503" name="AutoShape 4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913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479</xdr:row>
      <xdr:rowOff>0</xdr:rowOff>
    </xdr:from>
    <xdr:to>
      <xdr:col>5</xdr:col>
      <xdr:colOff>304800</xdr:colOff>
      <xdr:row>480</xdr:row>
      <xdr:rowOff>76200</xdr:rowOff>
    </xdr:to>
    <xdr:sp macro="" textlink="">
      <xdr:nvSpPr>
        <xdr:cNvPr id="1504" name="AutoShape 48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913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481</xdr:row>
      <xdr:rowOff>0</xdr:rowOff>
    </xdr:from>
    <xdr:to>
      <xdr:col>4</xdr:col>
      <xdr:colOff>304800</xdr:colOff>
      <xdr:row>482</xdr:row>
      <xdr:rowOff>114300</xdr:rowOff>
    </xdr:to>
    <xdr:sp macro="" textlink="">
      <xdr:nvSpPr>
        <xdr:cNvPr id="1505" name="AutoShape 48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95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481</xdr:row>
      <xdr:rowOff>0</xdr:rowOff>
    </xdr:from>
    <xdr:to>
      <xdr:col>5</xdr:col>
      <xdr:colOff>304800</xdr:colOff>
      <xdr:row>482</xdr:row>
      <xdr:rowOff>114300</xdr:rowOff>
    </xdr:to>
    <xdr:sp macro="" textlink="">
      <xdr:nvSpPr>
        <xdr:cNvPr id="1506" name="AutoShape 48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95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483</xdr:row>
      <xdr:rowOff>0</xdr:rowOff>
    </xdr:from>
    <xdr:to>
      <xdr:col>4</xdr:col>
      <xdr:colOff>304800</xdr:colOff>
      <xdr:row>484</xdr:row>
      <xdr:rowOff>114300</xdr:rowOff>
    </xdr:to>
    <xdr:sp macro="" textlink="">
      <xdr:nvSpPr>
        <xdr:cNvPr id="1507" name="AutoShape 48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01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483</xdr:row>
      <xdr:rowOff>0</xdr:rowOff>
    </xdr:from>
    <xdr:to>
      <xdr:col>5</xdr:col>
      <xdr:colOff>304800</xdr:colOff>
      <xdr:row>484</xdr:row>
      <xdr:rowOff>114300</xdr:rowOff>
    </xdr:to>
    <xdr:sp macro="" textlink="">
      <xdr:nvSpPr>
        <xdr:cNvPr id="1508" name="AutoShape 48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01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485</xdr:row>
      <xdr:rowOff>0</xdr:rowOff>
    </xdr:from>
    <xdr:to>
      <xdr:col>4</xdr:col>
      <xdr:colOff>304800</xdr:colOff>
      <xdr:row>486</xdr:row>
      <xdr:rowOff>114300</xdr:rowOff>
    </xdr:to>
    <xdr:sp macro="" textlink="">
      <xdr:nvSpPr>
        <xdr:cNvPr id="1509" name="AutoShape 48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072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485</xdr:row>
      <xdr:rowOff>0</xdr:rowOff>
    </xdr:from>
    <xdr:to>
      <xdr:col>5</xdr:col>
      <xdr:colOff>304800</xdr:colOff>
      <xdr:row>486</xdr:row>
      <xdr:rowOff>114300</xdr:rowOff>
    </xdr:to>
    <xdr:sp macro="" textlink="">
      <xdr:nvSpPr>
        <xdr:cNvPr id="1510" name="AutoShape 48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072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487</xdr:row>
      <xdr:rowOff>0</xdr:rowOff>
    </xdr:from>
    <xdr:to>
      <xdr:col>4</xdr:col>
      <xdr:colOff>304800</xdr:colOff>
      <xdr:row>488</xdr:row>
      <xdr:rowOff>114300</xdr:rowOff>
    </xdr:to>
    <xdr:sp macro="" textlink="">
      <xdr:nvSpPr>
        <xdr:cNvPr id="1511" name="AutoShape 4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130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487</xdr:row>
      <xdr:rowOff>0</xdr:rowOff>
    </xdr:from>
    <xdr:to>
      <xdr:col>5</xdr:col>
      <xdr:colOff>304800</xdr:colOff>
      <xdr:row>488</xdr:row>
      <xdr:rowOff>114300</xdr:rowOff>
    </xdr:to>
    <xdr:sp macro="" textlink="">
      <xdr:nvSpPr>
        <xdr:cNvPr id="1512" name="AutoShape 48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130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489</xdr:row>
      <xdr:rowOff>0</xdr:rowOff>
    </xdr:from>
    <xdr:to>
      <xdr:col>4</xdr:col>
      <xdr:colOff>304800</xdr:colOff>
      <xdr:row>490</xdr:row>
      <xdr:rowOff>114300</xdr:rowOff>
    </xdr:to>
    <xdr:sp macro="" textlink="">
      <xdr:nvSpPr>
        <xdr:cNvPr id="1513" name="AutoShape 48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189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489</xdr:row>
      <xdr:rowOff>0</xdr:rowOff>
    </xdr:from>
    <xdr:to>
      <xdr:col>5</xdr:col>
      <xdr:colOff>304800</xdr:colOff>
      <xdr:row>490</xdr:row>
      <xdr:rowOff>114300</xdr:rowOff>
    </xdr:to>
    <xdr:sp macro="" textlink="">
      <xdr:nvSpPr>
        <xdr:cNvPr id="1514" name="AutoShape 4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189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491</xdr:row>
      <xdr:rowOff>0</xdr:rowOff>
    </xdr:from>
    <xdr:to>
      <xdr:col>4</xdr:col>
      <xdr:colOff>304800</xdr:colOff>
      <xdr:row>492</xdr:row>
      <xdr:rowOff>76200</xdr:rowOff>
    </xdr:to>
    <xdr:sp macro="" textlink="">
      <xdr:nvSpPr>
        <xdr:cNvPr id="1515" name="AutoShape 49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24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491</xdr:row>
      <xdr:rowOff>0</xdr:rowOff>
    </xdr:from>
    <xdr:to>
      <xdr:col>5</xdr:col>
      <xdr:colOff>304800</xdr:colOff>
      <xdr:row>492</xdr:row>
      <xdr:rowOff>76200</xdr:rowOff>
    </xdr:to>
    <xdr:sp macro="" textlink="">
      <xdr:nvSpPr>
        <xdr:cNvPr id="1516" name="AutoShape 49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24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493</xdr:row>
      <xdr:rowOff>0</xdr:rowOff>
    </xdr:from>
    <xdr:to>
      <xdr:col>4</xdr:col>
      <xdr:colOff>304800</xdr:colOff>
      <xdr:row>494</xdr:row>
      <xdr:rowOff>114300</xdr:rowOff>
    </xdr:to>
    <xdr:sp macro="" textlink="">
      <xdr:nvSpPr>
        <xdr:cNvPr id="1517" name="AutoShape 49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289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493</xdr:row>
      <xdr:rowOff>0</xdr:rowOff>
    </xdr:from>
    <xdr:to>
      <xdr:col>5</xdr:col>
      <xdr:colOff>304800</xdr:colOff>
      <xdr:row>494</xdr:row>
      <xdr:rowOff>114300</xdr:rowOff>
    </xdr:to>
    <xdr:sp macro="" textlink="">
      <xdr:nvSpPr>
        <xdr:cNvPr id="1518" name="AutoShape 49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289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495</xdr:row>
      <xdr:rowOff>0</xdr:rowOff>
    </xdr:from>
    <xdr:to>
      <xdr:col>4</xdr:col>
      <xdr:colOff>304800</xdr:colOff>
      <xdr:row>496</xdr:row>
      <xdr:rowOff>114300</xdr:rowOff>
    </xdr:to>
    <xdr:sp macro="" textlink="">
      <xdr:nvSpPr>
        <xdr:cNvPr id="1519" name="AutoShape 49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348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495</xdr:row>
      <xdr:rowOff>0</xdr:rowOff>
    </xdr:from>
    <xdr:to>
      <xdr:col>5</xdr:col>
      <xdr:colOff>304800</xdr:colOff>
      <xdr:row>496</xdr:row>
      <xdr:rowOff>114300</xdr:rowOff>
    </xdr:to>
    <xdr:sp macro="" textlink="">
      <xdr:nvSpPr>
        <xdr:cNvPr id="1520" name="AutoShape 49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348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497</xdr:row>
      <xdr:rowOff>0</xdr:rowOff>
    </xdr:from>
    <xdr:to>
      <xdr:col>4</xdr:col>
      <xdr:colOff>304800</xdr:colOff>
      <xdr:row>498</xdr:row>
      <xdr:rowOff>76200</xdr:rowOff>
    </xdr:to>
    <xdr:sp macro="" textlink="">
      <xdr:nvSpPr>
        <xdr:cNvPr id="1521" name="AutoShape 49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406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497</xdr:row>
      <xdr:rowOff>0</xdr:rowOff>
    </xdr:from>
    <xdr:to>
      <xdr:col>5</xdr:col>
      <xdr:colOff>304800</xdr:colOff>
      <xdr:row>498</xdr:row>
      <xdr:rowOff>76200</xdr:rowOff>
    </xdr:to>
    <xdr:sp macro="" textlink="">
      <xdr:nvSpPr>
        <xdr:cNvPr id="1522" name="AutoShape 4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406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499</xdr:row>
      <xdr:rowOff>0</xdr:rowOff>
    </xdr:from>
    <xdr:to>
      <xdr:col>4</xdr:col>
      <xdr:colOff>304800</xdr:colOff>
      <xdr:row>500</xdr:row>
      <xdr:rowOff>114300</xdr:rowOff>
    </xdr:to>
    <xdr:sp macro="" textlink="">
      <xdr:nvSpPr>
        <xdr:cNvPr id="1523" name="AutoShape 49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44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499</xdr:row>
      <xdr:rowOff>0</xdr:rowOff>
    </xdr:from>
    <xdr:to>
      <xdr:col>5</xdr:col>
      <xdr:colOff>304800</xdr:colOff>
      <xdr:row>500</xdr:row>
      <xdr:rowOff>114300</xdr:rowOff>
    </xdr:to>
    <xdr:sp macro="" textlink="">
      <xdr:nvSpPr>
        <xdr:cNvPr id="1524" name="AutoShape 50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44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501</xdr:row>
      <xdr:rowOff>0</xdr:rowOff>
    </xdr:from>
    <xdr:to>
      <xdr:col>4</xdr:col>
      <xdr:colOff>304800</xdr:colOff>
      <xdr:row>502</xdr:row>
      <xdr:rowOff>114300</xdr:rowOff>
    </xdr:to>
    <xdr:sp macro="" textlink="">
      <xdr:nvSpPr>
        <xdr:cNvPr id="1525" name="AutoShape 50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507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501</xdr:row>
      <xdr:rowOff>0</xdr:rowOff>
    </xdr:from>
    <xdr:to>
      <xdr:col>5</xdr:col>
      <xdr:colOff>304800</xdr:colOff>
      <xdr:row>502</xdr:row>
      <xdr:rowOff>114300</xdr:rowOff>
    </xdr:to>
    <xdr:sp macro="" textlink="">
      <xdr:nvSpPr>
        <xdr:cNvPr id="1526" name="AutoShape 50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507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503</xdr:row>
      <xdr:rowOff>0</xdr:rowOff>
    </xdr:from>
    <xdr:to>
      <xdr:col>4</xdr:col>
      <xdr:colOff>304800</xdr:colOff>
      <xdr:row>504</xdr:row>
      <xdr:rowOff>76200</xdr:rowOff>
    </xdr:to>
    <xdr:sp macro="" textlink="">
      <xdr:nvSpPr>
        <xdr:cNvPr id="1527" name="AutoShape 50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565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503</xdr:row>
      <xdr:rowOff>0</xdr:rowOff>
    </xdr:from>
    <xdr:to>
      <xdr:col>5</xdr:col>
      <xdr:colOff>304800</xdr:colOff>
      <xdr:row>504</xdr:row>
      <xdr:rowOff>76200</xdr:rowOff>
    </xdr:to>
    <xdr:sp macro="" textlink="">
      <xdr:nvSpPr>
        <xdr:cNvPr id="1528" name="AutoShape 50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565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505</xdr:row>
      <xdr:rowOff>0</xdr:rowOff>
    </xdr:from>
    <xdr:to>
      <xdr:col>4</xdr:col>
      <xdr:colOff>304800</xdr:colOff>
      <xdr:row>506</xdr:row>
      <xdr:rowOff>114300</xdr:rowOff>
    </xdr:to>
    <xdr:sp macro="" textlink="">
      <xdr:nvSpPr>
        <xdr:cNvPr id="1529" name="AutoShape 50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60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505</xdr:row>
      <xdr:rowOff>0</xdr:rowOff>
    </xdr:from>
    <xdr:to>
      <xdr:col>5</xdr:col>
      <xdr:colOff>304800</xdr:colOff>
      <xdr:row>506</xdr:row>
      <xdr:rowOff>114300</xdr:rowOff>
    </xdr:to>
    <xdr:sp macro="" textlink="">
      <xdr:nvSpPr>
        <xdr:cNvPr id="1530" name="AutoShape 50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60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507</xdr:row>
      <xdr:rowOff>0</xdr:rowOff>
    </xdr:from>
    <xdr:to>
      <xdr:col>4</xdr:col>
      <xdr:colOff>304800</xdr:colOff>
      <xdr:row>508</xdr:row>
      <xdr:rowOff>114300</xdr:rowOff>
    </xdr:to>
    <xdr:sp macro="" textlink="">
      <xdr:nvSpPr>
        <xdr:cNvPr id="1531" name="AutoShape 50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66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507</xdr:row>
      <xdr:rowOff>0</xdr:rowOff>
    </xdr:from>
    <xdr:to>
      <xdr:col>5</xdr:col>
      <xdr:colOff>304800</xdr:colOff>
      <xdr:row>508</xdr:row>
      <xdr:rowOff>114300</xdr:rowOff>
    </xdr:to>
    <xdr:sp macro="" textlink="">
      <xdr:nvSpPr>
        <xdr:cNvPr id="1532" name="AutoShape 50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66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509</xdr:row>
      <xdr:rowOff>0</xdr:rowOff>
    </xdr:from>
    <xdr:to>
      <xdr:col>4</xdr:col>
      <xdr:colOff>304800</xdr:colOff>
      <xdr:row>510</xdr:row>
      <xdr:rowOff>114300</xdr:rowOff>
    </xdr:to>
    <xdr:sp macro="" textlink="">
      <xdr:nvSpPr>
        <xdr:cNvPr id="1533" name="AutoShape 50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72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509</xdr:row>
      <xdr:rowOff>0</xdr:rowOff>
    </xdr:from>
    <xdr:to>
      <xdr:col>5</xdr:col>
      <xdr:colOff>304800</xdr:colOff>
      <xdr:row>510</xdr:row>
      <xdr:rowOff>114300</xdr:rowOff>
    </xdr:to>
    <xdr:sp macro="" textlink="">
      <xdr:nvSpPr>
        <xdr:cNvPr id="1534" name="AutoShape 51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72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511</xdr:row>
      <xdr:rowOff>0</xdr:rowOff>
    </xdr:from>
    <xdr:to>
      <xdr:col>4</xdr:col>
      <xdr:colOff>304800</xdr:colOff>
      <xdr:row>512</xdr:row>
      <xdr:rowOff>114300</xdr:rowOff>
    </xdr:to>
    <xdr:sp macro="" textlink="">
      <xdr:nvSpPr>
        <xdr:cNvPr id="1535" name="AutoShape 51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782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511</xdr:row>
      <xdr:rowOff>0</xdr:rowOff>
    </xdr:from>
    <xdr:to>
      <xdr:col>5</xdr:col>
      <xdr:colOff>304800</xdr:colOff>
      <xdr:row>512</xdr:row>
      <xdr:rowOff>114300</xdr:rowOff>
    </xdr:to>
    <xdr:sp macro="" textlink="">
      <xdr:nvSpPr>
        <xdr:cNvPr id="1536" name="AutoShape 51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782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513</xdr:row>
      <xdr:rowOff>0</xdr:rowOff>
    </xdr:from>
    <xdr:to>
      <xdr:col>4</xdr:col>
      <xdr:colOff>304800</xdr:colOff>
      <xdr:row>514</xdr:row>
      <xdr:rowOff>114300</xdr:rowOff>
    </xdr:to>
    <xdr:sp macro="" textlink="">
      <xdr:nvSpPr>
        <xdr:cNvPr id="1537" name="AutoShape 51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84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513</xdr:row>
      <xdr:rowOff>0</xdr:rowOff>
    </xdr:from>
    <xdr:to>
      <xdr:col>5</xdr:col>
      <xdr:colOff>304800</xdr:colOff>
      <xdr:row>514</xdr:row>
      <xdr:rowOff>114300</xdr:rowOff>
    </xdr:to>
    <xdr:sp macro="" textlink="">
      <xdr:nvSpPr>
        <xdr:cNvPr id="1538" name="AutoShape 51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84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515</xdr:row>
      <xdr:rowOff>0</xdr:rowOff>
    </xdr:from>
    <xdr:to>
      <xdr:col>4</xdr:col>
      <xdr:colOff>304800</xdr:colOff>
      <xdr:row>516</xdr:row>
      <xdr:rowOff>114300</xdr:rowOff>
    </xdr:to>
    <xdr:sp macro="" textlink="">
      <xdr:nvSpPr>
        <xdr:cNvPr id="1539" name="AutoShape 51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89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515</xdr:row>
      <xdr:rowOff>0</xdr:rowOff>
    </xdr:from>
    <xdr:to>
      <xdr:col>5</xdr:col>
      <xdr:colOff>304800</xdr:colOff>
      <xdr:row>516</xdr:row>
      <xdr:rowOff>114300</xdr:rowOff>
    </xdr:to>
    <xdr:sp macro="" textlink="">
      <xdr:nvSpPr>
        <xdr:cNvPr id="1540" name="AutoShape 51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89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517</xdr:row>
      <xdr:rowOff>0</xdr:rowOff>
    </xdr:from>
    <xdr:to>
      <xdr:col>4</xdr:col>
      <xdr:colOff>304800</xdr:colOff>
      <xdr:row>518</xdr:row>
      <xdr:rowOff>114300</xdr:rowOff>
    </xdr:to>
    <xdr:sp macro="" textlink="">
      <xdr:nvSpPr>
        <xdr:cNvPr id="1541" name="AutoShape 51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95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517</xdr:row>
      <xdr:rowOff>0</xdr:rowOff>
    </xdr:from>
    <xdr:to>
      <xdr:col>5</xdr:col>
      <xdr:colOff>304800</xdr:colOff>
      <xdr:row>518</xdr:row>
      <xdr:rowOff>114300</xdr:rowOff>
    </xdr:to>
    <xdr:sp macro="" textlink="">
      <xdr:nvSpPr>
        <xdr:cNvPr id="1542" name="AutoShape 5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95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519</xdr:row>
      <xdr:rowOff>0</xdr:rowOff>
    </xdr:from>
    <xdr:to>
      <xdr:col>4</xdr:col>
      <xdr:colOff>304800</xdr:colOff>
      <xdr:row>520</xdr:row>
      <xdr:rowOff>76200</xdr:rowOff>
    </xdr:to>
    <xdr:sp macro="" textlink="">
      <xdr:nvSpPr>
        <xdr:cNvPr id="1543" name="AutoShape 51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014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519</xdr:row>
      <xdr:rowOff>0</xdr:rowOff>
    </xdr:from>
    <xdr:to>
      <xdr:col>5</xdr:col>
      <xdr:colOff>304800</xdr:colOff>
      <xdr:row>520</xdr:row>
      <xdr:rowOff>76200</xdr:rowOff>
    </xdr:to>
    <xdr:sp macro="" textlink="">
      <xdr:nvSpPr>
        <xdr:cNvPr id="1544" name="AutoShape 52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014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521</xdr:row>
      <xdr:rowOff>0</xdr:rowOff>
    </xdr:from>
    <xdr:to>
      <xdr:col>4</xdr:col>
      <xdr:colOff>304800</xdr:colOff>
      <xdr:row>522</xdr:row>
      <xdr:rowOff>114300</xdr:rowOff>
    </xdr:to>
    <xdr:sp macro="" textlink="">
      <xdr:nvSpPr>
        <xdr:cNvPr id="1545" name="AutoShape 52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05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521</xdr:row>
      <xdr:rowOff>0</xdr:rowOff>
    </xdr:from>
    <xdr:to>
      <xdr:col>5</xdr:col>
      <xdr:colOff>304800</xdr:colOff>
      <xdr:row>522</xdr:row>
      <xdr:rowOff>114300</xdr:rowOff>
    </xdr:to>
    <xdr:sp macro="" textlink="">
      <xdr:nvSpPr>
        <xdr:cNvPr id="1546" name="AutoShape 52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05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523</xdr:row>
      <xdr:rowOff>0</xdr:rowOff>
    </xdr:from>
    <xdr:to>
      <xdr:col>4</xdr:col>
      <xdr:colOff>304800</xdr:colOff>
      <xdr:row>524</xdr:row>
      <xdr:rowOff>114300</xdr:rowOff>
    </xdr:to>
    <xdr:sp macro="" textlink="">
      <xdr:nvSpPr>
        <xdr:cNvPr id="1547" name="AutoShape 52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11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523</xdr:row>
      <xdr:rowOff>0</xdr:rowOff>
    </xdr:from>
    <xdr:to>
      <xdr:col>5</xdr:col>
      <xdr:colOff>304800</xdr:colOff>
      <xdr:row>524</xdr:row>
      <xdr:rowOff>114300</xdr:rowOff>
    </xdr:to>
    <xdr:sp macro="" textlink="">
      <xdr:nvSpPr>
        <xdr:cNvPr id="1548" name="AutoShape 52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11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525</xdr:row>
      <xdr:rowOff>0</xdr:rowOff>
    </xdr:from>
    <xdr:to>
      <xdr:col>4</xdr:col>
      <xdr:colOff>304800</xdr:colOff>
      <xdr:row>526</xdr:row>
      <xdr:rowOff>76200</xdr:rowOff>
    </xdr:to>
    <xdr:sp macro="" textlink="">
      <xdr:nvSpPr>
        <xdr:cNvPr id="1549" name="AutoShape 52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17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525</xdr:row>
      <xdr:rowOff>0</xdr:rowOff>
    </xdr:from>
    <xdr:to>
      <xdr:col>5</xdr:col>
      <xdr:colOff>304800</xdr:colOff>
      <xdr:row>526</xdr:row>
      <xdr:rowOff>76200</xdr:rowOff>
    </xdr:to>
    <xdr:sp macro="" textlink="">
      <xdr:nvSpPr>
        <xdr:cNvPr id="1550" name="AutoShape 52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17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527</xdr:row>
      <xdr:rowOff>0</xdr:rowOff>
    </xdr:from>
    <xdr:to>
      <xdr:col>4</xdr:col>
      <xdr:colOff>304800</xdr:colOff>
      <xdr:row>528</xdr:row>
      <xdr:rowOff>114300</xdr:rowOff>
    </xdr:to>
    <xdr:sp macro="" textlink="">
      <xdr:nvSpPr>
        <xdr:cNvPr id="1551" name="AutoShape 52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16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527</xdr:row>
      <xdr:rowOff>0</xdr:rowOff>
    </xdr:from>
    <xdr:to>
      <xdr:col>5</xdr:col>
      <xdr:colOff>304800</xdr:colOff>
      <xdr:row>528</xdr:row>
      <xdr:rowOff>114300</xdr:rowOff>
    </xdr:to>
    <xdr:sp macro="" textlink="">
      <xdr:nvSpPr>
        <xdr:cNvPr id="1552" name="AutoShape 52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16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529</xdr:row>
      <xdr:rowOff>0</xdr:rowOff>
    </xdr:from>
    <xdr:to>
      <xdr:col>4</xdr:col>
      <xdr:colOff>304800</xdr:colOff>
      <xdr:row>530</xdr:row>
      <xdr:rowOff>76200</xdr:rowOff>
    </xdr:to>
    <xdr:sp macro="" textlink="">
      <xdr:nvSpPr>
        <xdr:cNvPr id="1553" name="AutoShape 52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5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529</xdr:row>
      <xdr:rowOff>0</xdr:rowOff>
    </xdr:from>
    <xdr:to>
      <xdr:col>5</xdr:col>
      <xdr:colOff>304800</xdr:colOff>
      <xdr:row>530</xdr:row>
      <xdr:rowOff>76200</xdr:rowOff>
    </xdr:to>
    <xdr:sp macro="" textlink="">
      <xdr:nvSpPr>
        <xdr:cNvPr id="1554" name="AutoShape 53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5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531</xdr:row>
      <xdr:rowOff>0</xdr:rowOff>
    </xdr:from>
    <xdr:to>
      <xdr:col>4</xdr:col>
      <xdr:colOff>304800</xdr:colOff>
      <xdr:row>532</xdr:row>
      <xdr:rowOff>114300</xdr:rowOff>
    </xdr:to>
    <xdr:sp macro="" textlink="">
      <xdr:nvSpPr>
        <xdr:cNvPr id="1555" name="AutoShape 53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9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531</xdr:row>
      <xdr:rowOff>0</xdr:rowOff>
    </xdr:from>
    <xdr:to>
      <xdr:col>5</xdr:col>
      <xdr:colOff>304800</xdr:colOff>
      <xdr:row>532</xdr:row>
      <xdr:rowOff>114300</xdr:rowOff>
    </xdr:to>
    <xdr:sp macro="" textlink="">
      <xdr:nvSpPr>
        <xdr:cNvPr id="1556" name="AutoShape 53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9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533</xdr:row>
      <xdr:rowOff>0</xdr:rowOff>
    </xdr:from>
    <xdr:to>
      <xdr:col>4</xdr:col>
      <xdr:colOff>304800</xdr:colOff>
      <xdr:row>534</xdr:row>
      <xdr:rowOff>114300</xdr:rowOff>
    </xdr:to>
    <xdr:sp macro="" textlink="">
      <xdr:nvSpPr>
        <xdr:cNvPr id="1557" name="AutoShape 53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356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533</xdr:row>
      <xdr:rowOff>0</xdr:rowOff>
    </xdr:from>
    <xdr:to>
      <xdr:col>5</xdr:col>
      <xdr:colOff>304800</xdr:colOff>
      <xdr:row>534</xdr:row>
      <xdr:rowOff>114300</xdr:rowOff>
    </xdr:to>
    <xdr:sp macro="" textlink="">
      <xdr:nvSpPr>
        <xdr:cNvPr id="1558" name="AutoShape 53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356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535</xdr:row>
      <xdr:rowOff>0</xdr:rowOff>
    </xdr:from>
    <xdr:to>
      <xdr:col>4</xdr:col>
      <xdr:colOff>304800</xdr:colOff>
      <xdr:row>536</xdr:row>
      <xdr:rowOff>76200</xdr:rowOff>
    </xdr:to>
    <xdr:sp macro="" textlink="">
      <xdr:nvSpPr>
        <xdr:cNvPr id="1559" name="AutoShape 53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414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535</xdr:row>
      <xdr:rowOff>0</xdr:rowOff>
    </xdr:from>
    <xdr:to>
      <xdr:col>5</xdr:col>
      <xdr:colOff>304800</xdr:colOff>
      <xdr:row>536</xdr:row>
      <xdr:rowOff>76200</xdr:rowOff>
    </xdr:to>
    <xdr:sp macro="" textlink="">
      <xdr:nvSpPr>
        <xdr:cNvPr id="1560" name="AutoShape 53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414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537</xdr:row>
      <xdr:rowOff>0</xdr:rowOff>
    </xdr:from>
    <xdr:to>
      <xdr:col>4</xdr:col>
      <xdr:colOff>304800</xdr:colOff>
      <xdr:row>538</xdr:row>
      <xdr:rowOff>114300</xdr:rowOff>
    </xdr:to>
    <xdr:sp macro="" textlink="">
      <xdr:nvSpPr>
        <xdr:cNvPr id="1561" name="AutoShape 53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457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537</xdr:row>
      <xdr:rowOff>0</xdr:rowOff>
    </xdr:from>
    <xdr:to>
      <xdr:col>5</xdr:col>
      <xdr:colOff>304800</xdr:colOff>
      <xdr:row>538</xdr:row>
      <xdr:rowOff>114300</xdr:rowOff>
    </xdr:to>
    <xdr:sp macro="" textlink="">
      <xdr:nvSpPr>
        <xdr:cNvPr id="1562" name="AutoShape 53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457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539</xdr:row>
      <xdr:rowOff>0</xdr:rowOff>
    </xdr:from>
    <xdr:to>
      <xdr:col>4</xdr:col>
      <xdr:colOff>304800</xdr:colOff>
      <xdr:row>540</xdr:row>
      <xdr:rowOff>114300</xdr:rowOff>
    </xdr:to>
    <xdr:sp macro="" textlink="">
      <xdr:nvSpPr>
        <xdr:cNvPr id="1563" name="AutoShape 53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53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539</xdr:row>
      <xdr:rowOff>0</xdr:rowOff>
    </xdr:from>
    <xdr:to>
      <xdr:col>5</xdr:col>
      <xdr:colOff>304800</xdr:colOff>
      <xdr:row>540</xdr:row>
      <xdr:rowOff>114300</xdr:rowOff>
    </xdr:to>
    <xdr:sp macro="" textlink="">
      <xdr:nvSpPr>
        <xdr:cNvPr id="1564" name="AutoShape 5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53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541</xdr:row>
      <xdr:rowOff>0</xdr:rowOff>
    </xdr:from>
    <xdr:to>
      <xdr:col>4</xdr:col>
      <xdr:colOff>304800</xdr:colOff>
      <xdr:row>542</xdr:row>
      <xdr:rowOff>76200</xdr:rowOff>
    </xdr:to>
    <xdr:sp macro="" textlink="">
      <xdr:nvSpPr>
        <xdr:cNvPr id="1565" name="AutoShape 54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593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541</xdr:row>
      <xdr:rowOff>0</xdr:rowOff>
    </xdr:from>
    <xdr:to>
      <xdr:col>5</xdr:col>
      <xdr:colOff>304800</xdr:colOff>
      <xdr:row>542</xdr:row>
      <xdr:rowOff>76200</xdr:rowOff>
    </xdr:to>
    <xdr:sp macro="" textlink="">
      <xdr:nvSpPr>
        <xdr:cNvPr id="1566" name="AutoShape 54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593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543</xdr:row>
      <xdr:rowOff>0</xdr:rowOff>
    </xdr:from>
    <xdr:to>
      <xdr:col>4</xdr:col>
      <xdr:colOff>304800</xdr:colOff>
      <xdr:row>544</xdr:row>
      <xdr:rowOff>76200</xdr:rowOff>
    </xdr:to>
    <xdr:sp macro="" textlink="">
      <xdr:nvSpPr>
        <xdr:cNvPr id="1567" name="AutoShape 54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63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543</xdr:row>
      <xdr:rowOff>0</xdr:rowOff>
    </xdr:from>
    <xdr:to>
      <xdr:col>5</xdr:col>
      <xdr:colOff>304800</xdr:colOff>
      <xdr:row>544</xdr:row>
      <xdr:rowOff>76200</xdr:rowOff>
    </xdr:to>
    <xdr:sp macro="" textlink="">
      <xdr:nvSpPr>
        <xdr:cNvPr id="1568" name="AutoShape 54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63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545</xdr:row>
      <xdr:rowOff>0</xdr:rowOff>
    </xdr:from>
    <xdr:to>
      <xdr:col>4</xdr:col>
      <xdr:colOff>304800</xdr:colOff>
      <xdr:row>546</xdr:row>
      <xdr:rowOff>114300</xdr:rowOff>
    </xdr:to>
    <xdr:sp macro="" textlink="">
      <xdr:nvSpPr>
        <xdr:cNvPr id="1569" name="AutoShape 54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678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545</xdr:row>
      <xdr:rowOff>0</xdr:rowOff>
    </xdr:from>
    <xdr:to>
      <xdr:col>5</xdr:col>
      <xdr:colOff>304800</xdr:colOff>
      <xdr:row>546</xdr:row>
      <xdr:rowOff>114300</xdr:rowOff>
    </xdr:to>
    <xdr:sp macro="" textlink="">
      <xdr:nvSpPr>
        <xdr:cNvPr id="1570" name="AutoShape 54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678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547</xdr:row>
      <xdr:rowOff>0</xdr:rowOff>
    </xdr:from>
    <xdr:to>
      <xdr:col>4</xdr:col>
      <xdr:colOff>304800</xdr:colOff>
      <xdr:row>548</xdr:row>
      <xdr:rowOff>114300</xdr:rowOff>
    </xdr:to>
    <xdr:sp macro="" textlink="">
      <xdr:nvSpPr>
        <xdr:cNvPr id="1571" name="AutoShape 54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73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547</xdr:row>
      <xdr:rowOff>0</xdr:rowOff>
    </xdr:from>
    <xdr:to>
      <xdr:col>5</xdr:col>
      <xdr:colOff>304800</xdr:colOff>
      <xdr:row>548</xdr:row>
      <xdr:rowOff>114300</xdr:rowOff>
    </xdr:to>
    <xdr:sp macro="" textlink="">
      <xdr:nvSpPr>
        <xdr:cNvPr id="1572" name="AutoShape 54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73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549</xdr:row>
      <xdr:rowOff>0</xdr:rowOff>
    </xdr:from>
    <xdr:to>
      <xdr:col>4</xdr:col>
      <xdr:colOff>304800</xdr:colOff>
      <xdr:row>550</xdr:row>
      <xdr:rowOff>76200</xdr:rowOff>
    </xdr:to>
    <xdr:sp macro="" textlink="">
      <xdr:nvSpPr>
        <xdr:cNvPr id="1573" name="AutoShape 54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794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549</xdr:row>
      <xdr:rowOff>0</xdr:rowOff>
    </xdr:from>
    <xdr:to>
      <xdr:col>5</xdr:col>
      <xdr:colOff>304800</xdr:colOff>
      <xdr:row>550</xdr:row>
      <xdr:rowOff>76200</xdr:rowOff>
    </xdr:to>
    <xdr:sp macro="" textlink="">
      <xdr:nvSpPr>
        <xdr:cNvPr id="1574" name="AutoShape 55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794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551</xdr:row>
      <xdr:rowOff>0</xdr:rowOff>
    </xdr:from>
    <xdr:to>
      <xdr:col>4</xdr:col>
      <xdr:colOff>304800</xdr:colOff>
      <xdr:row>552</xdr:row>
      <xdr:rowOff>76200</xdr:rowOff>
    </xdr:to>
    <xdr:sp macro="" textlink="">
      <xdr:nvSpPr>
        <xdr:cNvPr id="1575" name="AutoShape 55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837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551</xdr:row>
      <xdr:rowOff>0</xdr:rowOff>
    </xdr:from>
    <xdr:to>
      <xdr:col>5</xdr:col>
      <xdr:colOff>304800</xdr:colOff>
      <xdr:row>552</xdr:row>
      <xdr:rowOff>76200</xdr:rowOff>
    </xdr:to>
    <xdr:sp macro="" textlink="">
      <xdr:nvSpPr>
        <xdr:cNvPr id="1576" name="AutoShape 55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837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553</xdr:row>
      <xdr:rowOff>0</xdr:rowOff>
    </xdr:from>
    <xdr:to>
      <xdr:col>4</xdr:col>
      <xdr:colOff>304800</xdr:colOff>
      <xdr:row>554</xdr:row>
      <xdr:rowOff>114300</xdr:rowOff>
    </xdr:to>
    <xdr:sp macro="" textlink="">
      <xdr:nvSpPr>
        <xdr:cNvPr id="1577" name="AutoShape 55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880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553</xdr:row>
      <xdr:rowOff>0</xdr:rowOff>
    </xdr:from>
    <xdr:to>
      <xdr:col>5</xdr:col>
      <xdr:colOff>304800</xdr:colOff>
      <xdr:row>554</xdr:row>
      <xdr:rowOff>114300</xdr:rowOff>
    </xdr:to>
    <xdr:sp macro="" textlink="">
      <xdr:nvSpPr>
        <xdr:cNvPr id="1578" name="AutoShape 55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880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555</xdr:row>
      <xdr:rowOff>0</xdr:rowOff>
    </xdr:from>
    <xdr:to>
      <xdr:col>4</xdr:col>
      <xdr:colOff>304800</xdr:colOff>
      <xdr:row>556</xdr:row>
      <xdr:rowOff>114300</xdr:rowOff>
    </xdr:to>
    <xdr:sp macro="" textlink="">
      <xdr:nvSpPr>
        <xdr:cNvPr id="1579" name="AutoShape 55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938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555</xdr:row>
      <xdr:rowOff>0</xdr:rowOff>
    </xdr:from>
    <xdr:to>
      <xdr:col>5</xdr:col>
      <xdr:colOff>304800</xdr:colOff>
      <xdr:row>556</xdr:row>
      <xdr:rowOff>114300</xdr:rowOff>
    </xdr:to>
    <xdr:sp macro="" textlink="">
      <xdr:nvSpPr>
        <xdr:cNvPr id="1580" name="AutoShape 55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938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557</xdr:row>
      <xdr:rowOff>0</xdr:rowOff>
    </xdr:from>
    <xdr:to>
      <xdr:col>4</xdr:col>
      <xdr:colOff>304800</xdr:colOff>
      <xdr:row>558</xdr:row>
      <xdr:rowOff>114300</xdr:rowOff>
    </xdr:to>
    <xdr:sp macro="" textlink="">
      <xdr:nvSpPr>
        <xdr:cNvPr id="1581" name="AutoShape 55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99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557</xdr:row>
      <xdr:rowOff>0</xdr:rowOff>
    </xdr:from>
    <xdr:to>
      <xdr:col>5</xdr:col>
      <xdr:colOff>304800</xdr:colOff>
      <xdr:row>558</xdr:row>
      <xdr:rowOff>114300</xdr:rowOff>
    </xdr:to>
    <xdr:sp macro="" textlink="">
      <xdr:nvSpPr>
        <xdr:cNvPr id="1582" name="AutoShape 55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99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559</xdr:row>
      <xdr:rowOff>0</xdr:rowOff>
    </xdr:from>
    <xdr:to>
      <xdr:col>4</xdr:col>
      <xdr:colOff>304800</xdr:colOff>
      <xdr:row>560</xdr:row>
      <xdr:rowOff>114300</xdr:rowOff>
    </xdr:to>
    <xdr:sp macro="" textlink="">
      <xdr:nvSpPr>
        <xdr:cNvPr id="1583" name="AutoShape 55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054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559</xdr:row>
      <xdr:rowOff>0</xdr:rowOff>
    </xdr:from>
    <xdr:to>
      <xdr:col>5</xdr:col>
      <xdr:colOff>304800</xdr:colOff>
      <xdr:row>560</xdr:row>
      <xdr:rowOff>114300</xdr:rowOff>
    </xdr:to>
    <xdr:sp macro="" textlink="">
      <xdr:nvSpPr>
        <xdr:cNvPr id="1584" name="AutoShape 56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054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561</xdr:row>
      <xdr:rowOff>0</xdr:rowOff>
    </xdr:from>
    <xdr:to>
      <xdr:col>4</xdr:col>
      <xdr:colOff>304800</xdr:colOff>
      <xdr:row>562</xdr:row>
      <xdr:rowOff>114300</xdr:rowOff>
    </xdr:to>
    <xdr:sp macro="" textlink="">
      <xdr:nvSpPr>
        <xdr:cNvPr id="1585" name="AutoShape 56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113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561</xdr:row>
      <xdr:rowOff>0</xdr:rowOff>
    </xdr:from>
    <xdr:to>
      <xdr:col>5</xdr:col>
      <xdr:colOff>304800</xdr:colOff>
      <xdr:row>562</xdr:row>
      <xdr:rowOff>114300</xdr:rowOff>
    </xdr:to>
    <xdr:sp macro="" textlink="">
      <xdr:nvSpPr>
        <xdr:cNvPr id="1586" name="AutoShape 56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113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563</xdr:row>
      <xdr:rowOff>0</xdr:rowOff>
    </xdr:from>
    <xdr:to>
      <xdr:col>4</xdr:col>
      <xdr:colOff>304800</xdr:colOff>
      <xdr:row>564</xdr:row>
      <xdr:rowOff>114300</xdr:rowOff>
    </xdr:to>
    <xdr:sp macro="" textlink="">
      <xdr:nvSpPr>
        <xdr:cNvPr id="1587" name="AutoShape 56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171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563</xdr:row>
      <xdr:rowOff>0</xdr:rowOff>
    </xdr:from>
    <xdr:to>
      <xdr:col>5</xdr:col>
      <xdr:colOff>304800</xdr:colOff>
      <xdr:row>564</xdr:row>
      <xdr:rowOff>114300</xdr:rowOff>
    </xdr:to>
    <xdr:sp macro="" textlink="">
      <xdr:nvSpPr>
        <xdr:cNvPr id="1588" name="AutoShape 5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171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565</xdr:row>
      <xdr:rowOff>0</xdr:rowOff>
    </xdr:from>
    <xdr:to>
      <xdr:col>4</xdr:col>
      <xdr:colOff>304800</xdr:colOff>
      <xdr:row>566</xdr:row>
      <xdr:rowOff>114300</xdr:rowOff>
    </xdr:to>
    <xdr:sp macro="" textlink="">
      <xdr:nvSpPr>
        <xdr:cNvPr id="1589" name="AutoShape 5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22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565</xdr:row>
      <xdr:rowOff>0</xdr:rowOff>
    </xdr:from>
    <xdr:to>
      <xdr:col>5</xdr:col>
      <xdr:colOff>304800</xdr:colOff>
      <xdr:row>566</xdr:row>
      <xdr:rowOff>114300</xdr:rowOff>
    </xdr:to>
    <xdr:sp macro="" textlink="">
      <xdr:nvSpPr>
        <xdr:cNvPr id="1590" name="AutoShape 5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22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567</xdr:row>
      <xdr:rowOff>0</xdr:rowOff>
    </xdr:from>
    <xdr:to>
      <xdr:col>4</xdr:col>
      <xdr:colOff>304800</xdr:colOff>
      <xdr:row>568</xdr:row>
      <xdr:rowOff>76200</xdr:rowOff>
    </xdr:to>
    <xdr:sp macro="" textlink="">
      <xdr:nvSpPr>
        <xdr:cNvPr id="1591" name="AutoShape 56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28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567</xdr:row>
      <xdr:rowOff>0</xdr:rowOff>
    </xdr:from>
    <xdr:to>
      <xdr:col>5</xdr:col>
      <xdr:colOff>304800</xdr:colOff>
      <xdr:row>568</xdr:row>
      <xdr:rowOff>76200</xdr:rowOff>
    </xdr:to>
    <xdr:sp macro="" textlink="">
      <xdr:nvSpPr>
        <xdr:cNvPr id="1592" name="AutoShape 56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28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569</xdr:row>
      <xdr:rowOff>0</xdr:rowOff>
    </xdr:from>
    <xdr:to>
      <xdr:col>4</xdr:col>
      <xdr:colOff>304800</xdr:colOff>
      <xdr:row>570</xdr:row>
      <xdr:rowOff>114300</xdr:rowOff>
    </xdr:to>
    <xdr:sp macro="" textlink="">
      <xdr:nvSpPr>
        <xdr:cNvPr id="1593" name="AutoShape 56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330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569</xdr:row>
      <xdr:rowOff>0</xdr:rowOff>
    </xdr:from>
    <xdr:to>
      <xdr:col>5</xdr:col>
      <xdr:colOff>304800</xdr:colOff>
      <xdr:row>570</xdr:row>
      <xdr:rowOff>114300</xdr:rowOff>
    </xdr:to>
    <xdr:sp macro="" textlink="">
      <xdr:nvSpPr>
        <xdr:cNvPr id="1594" name="AutoShape 57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330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571</xdr:row>
      <xdr:rowOff>0</xdr:rowOff>
    </xdr:from>
    <xdr:to>
      <xdr:col>4</xdr:col>
      <xdr:colOff>304800</xdr:colOff>
      <xdr:row>572</xdr:row>
      <xdr:rowOff>76200</xdr:rowOff>
    </xdr:to>
    <xdr:sp macro="" textlink="">
      <xdr:nvSpPr>
        <xdr:cNvPr id="1595" name="AutoShape 57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388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571</xdr:row>
      <xdr:rowOff>0</xdr:rowOff>
    </xdr:from>
    <xdr:to>
      <xdr:col>5</xdr:col>
      <xdr:colOff>304800</xdr:colOff>
      <xdr:row>572</xdr:row>
      <xdr:rowOff>76200</xdr:rowOff>
    </xdr:to>
    <xdr:sp macro="" textlink="">
      <xdr:nvSpPr>
        <xdr:cNvPr id="1596" name="AutoShape 57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388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573</xdr:row>
      <xdr:rowOff>0</xdr:rowOff>
    </xdr:from>
    <xdr:to>
      <xdr:col>4</xdr:col>
      <xdr:colOff>304800</xdr:colOff>
      <xdr:row>574</xdr:row>
      <xdr:rowOff>114300</xdr:rowOff>
    </xdr:to>
    <xdr:sp macro="" textlink="">
      <xdr:nvSpPr>
        <xdr:cNvPr id="1597" name="AutoShape 57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431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573</xdr:row>
      <xdr:rowOff>0</xdr:rowOff>
    </xdr:from>
    <xdr:to>
      <xdr:col>5</xdr:col>
      <xdr:colOff>304800</xdr:colOff>
      <xdr:row>574</xdr:row>
      <xdr:rowOff>114300</xdr:rowOff>
    </xdr:to>
    <xdr:sp macro="" textlink="">
      <xdr:nvSpPr>
        <xdr:cNvPr id="1598" name="AutoShape 57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431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575</xdr:row>
      <xdr:rowOff>0</xdr:rowOff>
    </xdr:from>
    <xdr:to>
      <xdr:col>4</xdr:col>
      <xdr:colOff>304800</xdr:colOff>
      <xdr:row>576</xdr:row>
      <xdr:rowOff>76200</xdr:rowOff>
    </xdr:to>
    <xdr:sp macro="" textlink="">
      <xdr:nvSpPr>
        <xdr:cNvPr id="1599" name="AutoShape 57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489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575</xdr:row>
      <xdr:rowOff>0</xdr:rowOff>
    </xdr:from>
    <xdr:to>
      <xdr:col>5</xdr:col>
      <xdr:colOff>304800</xdr:colOff>
      <xdr:row>576</xdr:row>
      <xdr:rowOff>76200</xdr:rowOff>
    </xdr:to>
    <xdr:sp macro="" textlink="">
      <xdr:nvSpPr>
        <xdr:cNvPr id="1600" name="AutoShape 57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489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577</xdr:row>
      <xdr:rowOff>0</xdr:rowOff>
    </xdr:from>
    <xdr:to>
      <xdr:col>4</xdr:col>
      <xdr:colOff>304800</xdr:colOff>
      <xdr:row>578</xdr:row>
      <xdr:rowOff>114300</xdr:rowOff>
    </xdr:to>
    <xdr:sp macro="" textlink="">
      <xdr:nvSpPr>
        <xdr:cNvPr id="1601" name="AutoShape 57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532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577</xdr:row>
      <xdr:rowOff>0</xdr:rowOff>
    </xdr:from>
    <xdr:to>
      <xdr:col>5</xdr:col>
      <xdr:colOff>304800</xdr:colOff>
      <xdr:row>578</xdr:row>
      <xdr:rowOff>114300</xdr:rowOff>
    </xdr:to>
    <xdr:sp macro="" textlink="">
      <xdr:nvSpPr>
        <xdr:cNvPr id="1602" name="AutoShape 57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532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579</xdr:row>
      <xdr:rowOff>0</xdr:rowOff>
    </xdr:from>
    <xdr:to>
      <xdr:col>4</xdr:col>
      <xdr:colOff>304800</xdr:colOff>
      <xdr:row>580</xdr:row>
      <xdr:rowOff>114300</xdr:rowOff>
    </xdr:to>
    <xdr:sp macro="" textlink="">
      <xdr:nvSpPr>
        <xdr:cNvPr id="1603" name="AutoShape 57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590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579</xdr:row>
      <xdr:rowOff>0</xdr:rowOff>
    </xdr:from>
    <xdr:to>
      <xdr:col>5</xdr:col>
      <xdr:colOff>304800</xdr:colOff>
      <xdr:row>580</xdr:row>
      <xdr:rowOff>114300</xdr:rowOff>
    </xdr:to>
    <xdr:sp macro="" textlink="">
      <xdr:nvSpPr>
        <xdr:cNvPr id="1604" name="AutoShape 58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590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581</xdr:row>
      <xdr:rowOff>0</xdr:rowOff>
    </xdr:from>
    <xdr:to>
      <xdr:col>4</xdr:col>
      <xdr:colOff>304800</xdr:colOff>
      <xdr:row>582</xdr:row>
      <xdr:rowOff>76200</xdr:rowOff>
    </xdr:to>
    <xdr:sp macro="" textlink="">
      <xdr:nvSpPr>
        <xdr:cNvPr id="1605" name="AutoShape 58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64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581</xdr:row>
      <xdr:rowOff>0</xdr:rowOff>
    </xdr:from>
    <xdr:to>
      <xdr:col>5</xdr:col>
      <xdr:colOff>304800</xdr:colOff>
      <xdr:row>582</xdr:row>
      <xdr:rowOff>76200</xdr:rowOff>
    </xdr:to>
    <xdr:sp macro="" textlink="">
      <xdr:nvSpPr>
        <xdr:cNvPr id="1606" name="AutoShape 5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64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583</xdr:row>
      <xdr:rowOff>0</xdr:rowOff>
    </xdr:from>
    <xdr:to>
      <xdr:col>4</xdr:col>
      <xdr:colOff>304800</xdr:colOff>
      <xdr:row>584</xdr:row>
      <xdr:rowOff>114300</xdr:rowOff>
    </xdr:to>
    <xdr:sp macro="" textlink="">
      <xdr:nvSpPr>
        <xdr:cNvPr id="1607" name="AutoShape 58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69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583</xdr:row>
      <xdr:rowOff>0</xdr:rowOff>
    </xdr:from>
    <xdr:to>
      <xdr:col>5</xdr:col>
      <xdr:colOff>304800</xdr:colOff>
      <xdr:row>584</xdr:row>
      <xdr:rowOff>114300</xdr:rowOff>
    </xdr:to>
    <xdr:sp macro="" textlink="">
      <xdr:nvSpPr>
        <xdr:cNvPr id="1608" name="AutoShape 58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69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585</xdr:row>
      <xdr:rowOff>0</xdr:rowOff>
    </xdr:from>
    <xdr:to>
      <xdr:col>4</xdr:col>
      <xdr:colOff>304800</xdr:colOff>
      <xdr:row>586</xdr:row>
      <xdr:rowOff>114300</xdr:rowOff>
    </xdr:to>
    <xdr:sp macro="" textlink="">
      <xdr:nvSpPr>
        <xdr:cNvPr id="1609" name="AutoShape 58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74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585</xdr:row>
      <xdr:rowOff>0</xdr:rowOff>
    </xdr:from>
    <xdr:to>
      <xdr:col>5</xdr:col>
      <xdr:colOff>304800</xdr:colOff>
      <xdr:row>586</xdr:row>
      <xdr:rowOff>114300</xdr:rowOff>
    </xdr:to>
    <xdr:sp macro="" textlink="">
      <xdr:nvSpPr>
        <xdr:cNvPr id="1610" name="AutoShape 58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74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587</xdr:row>
      <xdr:rowOff>0</xdr:rowOff>
    </xdr:from>
    <xdr:to>
      <xdr:col>4</xdr:col>
      <xdr:colOff>304800</xdr:colOff>
      <xdr:row>588</xdr:row>
      <xdr:rowOff>114300</xdr:rowOff>
    </xdr:to>
    <xdr:sp macro="" textlink="">
      <xdr:nvSpPr>
        <xdr:cNvPr id="1611" name="AutoShape 5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80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587</xdr:row>
      <xdr:rowOff>0</xdr:rowOff>
    </xdr:from>
    <xdr:to>
      <xdr:col>5</xdr:col>
      <xdr:colOff>304800</xdr:colOff>
      <xdr:row>588</xdr:row>
      <xdr:rowOff>114300</xdr:rowOff>
    </xdr:to>
    <xdr:sp macro="" textlink="">
      <xdr:nvSpPr>
        <xdr:cNvPr id="1612" name="AutoShape 58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80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589</xdr:row>
      <xdr:rowOff>0</xdr:rowOff>
    </xdr:from>
    <xdr:to>
      <xdr:col>4</xdr:col>
      <xdr:colOff>304800</xdr:colOff>
      <xdr:row>590</xdr:row>
      <xdr:rowOff>76200</xdr:rowOff>
    </xdr:to>
    <xdr:sp macro="" textlink="">
      <xdr:nvSpPr>
        <xdr:cNvPr id="1613" name="AutoShape 58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865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589</xdr:row>
      <xdr:rowOff>0</xdr:rowOff>
    </xdr:from>
    <xdr:to>
      <xdr:col>5</xdr:col>
      <xdr:colOff>304800</xdr:colOff>
      <xdr:row>590</xdr:row>
      <xdr:rowOff>76200</xdr:rowOff>
    </xdr:to>
    <xdr:sp macro="" textlink="">
      <xdr:nvSpPr>
        <xdr:cNvPr id="1614" name="AutoShape 59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865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591</xdr:row>
      <xdr:rowOff>0</xdr:rowOff>
    </xdr:from>
    <xdr:to>
      <xdr:col>4</xdr:col>
      <xdr:colOff>304800</xdr:colOff>
      <xdr:row>592</xdr:row>
      <xdr:rowOff>76200</xdr:rowOff>
    </xdr:to>
    <xdr:sp macro="" textlink="">
      <xdr:nvSpPr>
        <xdr:cNvPr id="1615" name="AutoShape 59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08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591</xdr:row>
      <xdr:rowOff>0</xdr:rowOff>
    </xdr:from>
    <xdr:to>
      <xdr:col>5</xdr:col>
      <xdr:colOff>304800</xdr:colOff>
      <xdr:row>592</xdr:row>
      <xdr:rowOff>76200</xdr:rowOff>
    </xdr:to>
    <xdr:sp macro="" textlink="">
      <xdr:nvSpPr>
        <xdr:cNvPr id="1616" name="AutoShape 59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08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593</xdr:row>
      <xdr:rowOff>0</xdr:rowOff>
    </xdr:from>
    <xdr:to>
      <xdr:col>4</xdr:col>
      <xdr:colOff>304800</xdr:colOff>
      <xdr:row>594</xdr:row>
      <xdr:rowOff>76200</xdr:rowOff>
    </xdr:to>
    <xdr:sp macro="" textlink="">
      <xdr:nvSpPr>
        <xdr:cNvPr id="1617" name="AutoShape 59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5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593</xdr:row>
      <xdr:rowOff>0</xdr:rowOff>
    </xdr:from>
    <xdr:to>
      <xdr:col>5</xdr:col>
      <xdr:colOff>304800</xdr:colOff>
      <xdr:row>594</xdr:row>
      <xdr:rowOff>76200</xdr:rowOff>
    </xdr:to>
    <xdr:sp macro="" textlink="">
      <xdr:nvSpPr>
        <xdr:cNvPr id="1618" name="AutoShape 59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5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595</xdr:row>
      <xdr:rowOff>0</xdr:rowOff>
    </xdr:from>
    <xdr:to>
      <xdr:col>4</xdr:col>
      <xdr:colOff>304800</xdr:colOff>
      <xdr:row>596</xdr:row>
      <xdr:rowOff>114300</xdr:rowOff>
    </xdr:to>
    <xdr:sp macro="" textlink="">
      <xdr:nvSpPr>
        <xdr:cNvPr id="1619" name="AutoShape 59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94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595</xdr:row>
      <xdr:rowOff>0</xdr:rowOff>
    </xdr:from>
    <xdr:to>
      <xdr:col>5</xdr:col>
      <xdr:colOff>304800</xdr:colOff>
      <xdr:row>596</xdr:row>
      <xdr:rowOff>114300</xdr:rowOff>
    </xdr:to>
    <xdr:sp macro="" textlink="">
      <xdr:nvSpPr>
        <xdr:cNvPr id="1620" name="AutoShape 59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94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597</xdr:row>
      <xdr:rowOff>0</xdr:rowOff>
    </xdr:from>
    <xdr:to>
      <xdr:col>4</xdr:col>
      <xdr:colOff>304800</xdr:colOff>
      <xdr:row>598</xdr:row>
      <xdr:rowOff>114300</xdr:rowOff>
    </xdr:to>
    <xdr:sp macro="" textlink="">
      <xdr:nvSpPr>
        <xdr:cNvPr id="1621" name="AutoShape 59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052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597</xdr:row>
      <xdr:rowOff>0</xdr:rowOff>
    </xdr:from>
    <xdr:to>
      <xdr:col>5</xdr:col>
      <xdr:colOff>304800</xdr:colOff>
      <xdr:row>598</xdr:row>
      <xdr:rowOff>114300</xdr:rowOff>
    </xdr:to>
    <xdr:sp macro="" textlink="">
      <xdr:nvSpPr>
        <xdr:cNvPr id="1622" name="AutoShape 59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052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599</xdr:row>
      <xdr:rowOff>0</xdr:rowOff>
    </xdr:from>
    <xdr:to>
      <xdr:col>4</xdr:col>
      <xdr:colOff>304800</xdr:colOff>
      <xdr:row>600</xdr:row>
      <xdr:rowOff>114300</xdr:rowOff>
    </xdr:to>
    <xdr:sp macro="" textlink="">
      <xdr:nvSpPr>
        <xdr:cNvPr id="1623" name="AutoShape 5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12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599</xdr:row>
      <xdr:rowOff>0</xdr:rowOff>
    </xdr:from>
    <xdr:to>
      <xdr:col>5</xdr:col>
      <xdr:colOff>304800</xdr:colOff>
      <xdr:row>600</xdr:row>
      <xdr:rowOff>114300</xdr:rowOff>
    </xdr:to>
    <xdr:sp macro="" textlink="">
      <xdr:nvSpPr>
        <xdr:cNvPr id="1624" name="AutoShape 6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12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601</xdr:row>
      <xdr:rowOff>0</xdr:rowOff>
    </xdr:from>
    <xdr:to>
      <xdr:col>4</xdr:col>
      <xdr:colOff>304800</xdr:colOff>
      <xdr:row>602</xdr:row>
      <xdr:rowOff>114300</xdr:rowOff>
    </xdr:to>
    <xdr:sp macro="" textlink="">
      <xdr:nvSpPr>
        <xdr:cNvPr id="1625" name="AutoShape 6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18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601</xdr:row>
      <xdr:rowOff>0</xdr:rowOff>
    </xdr:from>
    <xdr:to>
      <xdr:col>5</xdr:col>
      <xdr:colOff>304800</xdr:colOff>
      <xdr:row>602</xdr:row>
      <xdr:rowOff>114300</xdr:rowOff>
    </xdr:to>
    <xdr:sp macro="" textlink="">
      <xdr:nvSpPr>
        <xdr:cNvPr id="1626" name="AutoShape 60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18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603</xdr:row>
      <xdr:rowOff>0</xdr:rowOff>
    </xdr:from>
    <xdr:to>
      <xdr:col>4</xdr:col>
      <xdr:colOff>304800</xdr:colOff>
      <xdr:row>604</xdr:row>
      <xdr:rowOff>114300</xdr:rowOff>
    </xdr:to>
    <xdr:sp macro="" textlink="">
      <xdr:nvSpPr>
        <xdr:cNvPr id="1627" name="AutoShape 60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245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603</xdr:row>
      <xdr:rowOff>0</xdr:rowOff>
    </xdr:from>
    <xdr:to>
      <xdr:col>5</xdr:col>
      <xdr:colOff>304800</xdr:colOff>
      <xdr:row>604</xdr:row>
      <xdr:rowOff>114300</xdr:rowOff>
    </xdr:to>
    <xdr:sp macro="" textlink="">
      <xdr:nvSpPr>
        <xdr:cNvPr id="1628" name="AutoShape 60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245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605</xdr:row>
      <xdr:rowOff>0</xdr:rowOff>
    </xdr:from>
    <xdr:to>
      <xdr:col>4</xdr:col>
      <xdr:colOff>304800</xdr:colOff>
      <xdr:row>606</xdr:row>
      <xdr:rowOff>114300</xdr:rowOff>
    </xdr:to>
    <xdr:sp macro="" textlink="">
      <xdr:nvSpPr>
        <xdr:cNvPr id="1629" name="AutoShape 60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303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605</xdr:row>
      <xdr:rowOff>0</xdr:rowOff>
    </xdr:from>
    <xdr:to>
      <xdr:col>5</xdr:col>
      <xdr:colOff>304800</xdr:colOff>
      <xdr:row>606</xdr:row>
      <xdr:rowOff>114300</xdr:rowOff>
    </xdr:to>
    <xdr:sp macro="" textlink="">
      <xdr:nvSpPr>
        <xdr:cNvPr id="1630" name="AutoShape 60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303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607</xdr:row>
      <xdr:rowOff>0</xdr:rowOff>
    </xdr:from>
    <xdr:to>
      <xdr:col>4</xdr:col>
      <xdr:colOff>304800</xdr:colOff>
      <xdr:row>608</xdr:row>
      <xdr:rowOff>114300</xdr:rowOff>
    </xdr:to>
    <xdr:sp macro="" textlink="">
      <xdr:nvSpPr>
        <xdr:cNvPr id="1631" name="AutoShape 6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361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607</xdr:row>
      <xdr:rowOff>0</xdr:rowOff>
    </xdr:from>
    <xdr:to>
      <xdr:col>5</xdr:col>
      <xdr:colOff>304800</xdr:colOff>
      <xdr:row>608</xdr:row>
      <xdr:rowOff>114300</xdr:rowOff>
    </xdr:to>
    <xdr:sp macro="" textlink="">
      <xdr:nvSpPr>
        <xdr:cNvPr id="1632" name="AutoShape 60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361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609</xdr:row>
      <xdr:rowOff>0</xdr:rowOff>
    </xdr:from>
    <xdr:to>
      <xdr:col>4</xdr:col>
      <xdr:colOff>304800</xdr:colOff>
      <xdr:row>610</xdr:row>
      <xdr:rowOff>114300</xdr:rowOff>
    </xdr:to>
    <xdr:sp macro="" textlink="">
      <xdr:nvSpPr>
        <xdr:cNvPr id="1633" name="AutoShape 60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419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609</xdr:row>
      <xdr:rowOff>0</xdr:rowOff>
    </xdr:from>
    <xdr:to>
      <xdr:col>5</xdr:col>
      <xdr:colOff>304800</xdr:colOff>
      <xdr:row>610</xdr:row>
      <xdr:rowOff>114300</xdr:rowOff>
    </xdr:to>
    <xdr:sp macro="" textlink="">
      <xdr:nvSpPr>
        <xdr:cNvPr id="1634" name="AutoShape 61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419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611</xdr:row>
      <xdr:rowOff>0</xdr:rowOff>
    </xdr:from>
    <xdr:to>
      <xdr:col>4</xdr:col>
      <xdr:colOff>304800</xdr:colOff>
      <xdr:row>612</xdr:row>
      <xdr:rowOff>114300</xdr:rowOff>
    </xdr:to>
    <xdr:sp macro="" textlink="">
      <xdr:nvSpPr>
        <xdr:cNvPr id="1635" name="AutoShape 61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47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611</xdr:row>
      <xdr:rowOff>0</xdr:rowOff>
    </xdr:from>
    <xdr:to>
      <xdr:col>5</xdr:col>
      <xdr:colOff>304800</xdr:colOff>
      <xdr:row>612</xdr:row>
      <xdr:rowOff>114300</xdr:rowOff>
    </xdr:to>
    <xdr:sp macro="" textlink="">
      <xdr:nvSpPr>
        <xdr:cNvPr id="1636" name="AutoShape 61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47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613</xdr:row>
      <xdr:rowOff>0</xdr:rowOff>
    </xdr:from>
    <xdr:to>
      <xdr:col>4</xdr:col>
      <xdr:colOff>304800</xdr:colOff>
      <xdr:row>614</xdr:row>
      <xdr:rowOff>76200</xdr:rowOff>
    </xdr:to>
    <xdr:sp macro="" textlink="">
      <xdr:nvSpPr>
        <xdr:cNvPr id="1637" name="AutoShape 61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36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613</xdr:row>
      <xdr:rowOff>0</xdr:rowOff>
    </xdr:from>
    <xdr:to>
      <xdr:col>5</xdr:col>
      <xdr:colOff>304800</xdr:colOff>
      <xdr:row>614</xdr:row>
      <xdr:rowOff>76200</xdr:rowOff>
    </xdr:to>
    <xdr:sp macro="" textlink="">
      <xdr:nvSpPr>
        <xdr:cNvPr id="1638" name="AutoShape 61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36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615</xdr:row>
      <xdr:rowOff>0</xdr:rowOff>
    </xdr:from>
    <xdr:to>
      <xdr:col>4</xdr:col>
      <xdr:colOff>304800</xdr:colOff>
      <xdr:row>616</xdr:row>
      <xdr:rowOff>114300</xdr:rowOff>
    </xdr:to>
    <xdr:sp macro="" textlink="">
      <xdr:nvSpPr>
        <xdr:cNvPr id="1639" name="AutoShape 61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78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615</xdr:row>
      <xdr:rowOff>0</xdr:rowOff>
    </xdr:from>
    <xdr:to>
      <xdr:col>5</xdr:col>
      <xdr:colOff>304800</xdr:colOff>
      <xdr:row>616</xdr:row>
      <xdr:rowOff>114300</xdr:rowOff>
    </xdr:to>
    <xdr:sp macro="" textlink="">
      <xdr:nvSpPr>
        <xdr:cNvPr id="1640" name="AutoShape 61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78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617</xdr:row>
      <xdr:rowOff>0</xdr:rowOff>
    </xdr:from>
    <xdr:to>
      <xdr:col>4</xdr:col>
      <xdr:colOff>304800</xdr:colOff>
      <xdr:row>618</xdr:row>
      <xdr:rowOff>114300</xdr:rowOff>
    </xdr:to>
    <xdr:sp macro="" textlink="">
      <xdr:nvSpPr>
        <xdr:cNvPr id="1641" name="AutoShape 61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37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617</xdr:row>
      <xdr:rowOff>0</xdr:rowOff>
    </xdr:from>
    <xdr:to>
      <xdr:col>5</xdr:col>
      <xdr:colOff>304800</xdr:colOff>
      <xdr:row>618</xdr:row>
      <xdr:rowOff>114300</xdr:rowOff>
    </xdr:to>
    <xdr:sp macro="" textlink="">
      <xdr:nvSpPr>
        <xdr:cNvPr id="1642" name="AutoShape 61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37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619</xdr:row>
      <xdr:rowOff>0</xdr:rowOff>
    </xdr:from>
    <xdr:to>
      <xdr:col>4</xdr:col>
      <xdr:colOff>304800</xdr:colOff>
      <xdr:row>620</xdr:row>
      <xdr:rowOff>76200</xdr:rowOff>
    </xdr:to>
    <xdr:sp macro="" textlink="">
      <xdr:nvSpPr>
        <xdr:cNvPr id="1643" name="AutoShape 61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95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619</xdr:row>
      <xdr:rowOff>0</xdr:rowOff>
    </xdr:from>
    <xdr:to>
      <xdr:col>5</xdr:col>
      <xdr:colOff>304800</xdr:colOff>
      <xdr:row>620</xdr:row>
      <xdr:rowOff>76200</xdr:rowOff>
    </xdr:to>
    <xdr:sp macro="" textlink="">
      <xdr:nvSpPr>
        <xdr:cNvPr id="1644" name="AutoShape 6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95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621</xdr:row>
      <xdr:rowOff>0</xdr:rowOff>
    </xdr:from>
    <xdr:to>
      <xdr:col>4</xdr:col>
      <xdr:colOff>304800</xdr:colOff>
      <xdr:row>622</xdr:row>
      <xdr:rowOff>114300</xdr:rowOff>
    </xdr:to>
    <xdr:sp macro="" textlink="">
      <xdr:nvSpPr>
        <xdr:cNvPr id="1645" name="AutoShape 62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3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621</xdr:row>
      <xdr:rowOff>0</xdr:rowOff>
    </xdr:from>
    <xdr:to>
      <xdr:col>5</xdr:col>
      <xdr:colOff>304800</xdr:colOff>
      <xdr:row>622</xdr:row>
      <xdr:rowOff>114300</xdr:rowOff>
    </xdr:to>
    <xdr:sp macro="" textlink="">
      <xdr:nvSpPr>
        <xdr:cNvPr id="1646" name="AutoShape 62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3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623</xdr:row>
      <xdr:rowOff>0</xdr:rowOff>
    </xdr:from>
    <xdr:to>
      <xdr:col>4</xdr:col>
      <xdr:colOff>304800</xdr:colOff>
      <xdr:row>624</xdr:row>
      <xdr:rowOff>114300</xdr:rowOff>
    </xdr:to>
    <xdr:sp macro="" textlink="">
      <xdr:nvSpPr>
        <xdr:cNvPr id="1647" name="AutoShape 62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9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623</xdr:row>
      <xdr:rowOff>0</xdr:rowOff>
    </xdr:from>
    <xdr:to>
      <xdr:col>5</xdr:col>
      <xdr:colOff>304800</xdr:colOff>
      <xdr:row>624</xdr:row>
      <xdr:rowOff>114300</xdr:rowOff>
    </xdr:to>
    <xdr:sp macro="" textlink="">
      <xdr:nvSpPr>
        <xdr:cNvPr id="1648" name="AutoShape 62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9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625</xdr:row>
      <xdr:rowOff>0</xdr:rowOff>
    </xdr:from>
    <xdr:to>
      <xdr:col>4</xdr:col>
      <xdr:colOff>304800</xdr:colOff>
      <xdr:row>626</xdr:row>
      <xdr:rowOff>114300</xdr:rowOff>
    </xdr:to>
    <xdr:sp macro="" textlink="">
      <xdr:nvSpPr>
        <xdr:cNvPr id="1649" name="AutoShape 62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5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625</xdr:row>
      <xdr:rowOff>0</xdr:rowOff>
    </xdr:from>
    <xdr:to>
      <xdr:col>5</xdr:col>
      <xdr:colOff>304800</xdr:colOff>
      <xdr:row>626</xdr:row>
      <xdr:rowOff>114300</xdr:rowOff>
    </xdr:to>
    <xdr:sp macro="" textlink="">
      <xdr:nvSpPr>
        <xdr:cNvPr id="1650" name="AutoShape 62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5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627</xdr:row>
      <xdr:rowOff>0</xdr:rowOff>
    </xdr:from>
    <xdr:to>
      <xdr:col>4</xdr:col>
      <xdr:colOff>304800</xdr:colOff>
      <xdr:row>628</xdr:row>
      <xdr:rowOff>76200</xdr:rowOff>
    </xdr:to>
    <xdr:sp macro="" textlink="">
      <xdr:nvSpPr>
        <xdr:cNvPr id="1651" name="AutoShape 62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31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627</xdr:row>
      <xdr:rowOff>0</xdr:rowOff>
    </xdr:from>
    <xdr:to>
      <xdr:col>5</xdr:col>
      <xdr:colOff>304800</xdr:colOff>
      <xdr:row>628</xdr:row>
      <xdr:rowOff>76200</xdr:rowOff>
    </xdr:to>
    <xdr:sp macro="" textlink="">
      <xdr:nvSpPr>
        <xdr:cNvPr id="1652" name="AutoShape 62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31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629</xdr:row>
      <xdr:rowOff>0</xdr:rowOff>
    </xdr:from>
    <xdr:to>
      <xdr:col>4</xdr:col>
      <xdr:colOff>304800</xdr:colOff>
      <xdr:row>630</xdr:row>
      <xdr:rowOff>114300</xdr:rowOff>
    </xdr:to>
    <xdr:sp macro="" textlink="">
      <xdr:nvSpPr>
        <xdr:cNvPr id="1653" name="AutoShape 62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74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629</xdr:row>
      <xdr:rowOff>0</xdr:rowOff>
    </xdr:from>
    <xdr:to>
      <xdr:col>5</xdr:col>
      <xdr:colOff>304800</xdr:colOff>
      <xdr:row>630</xdr:row>
      <xdr:rowOff>114300</xdr:rowOff>
    </xdr:to>
    <xdr:sp macro="" textlink="">
      <xdr:nvSpPr>
        <xdr:cNvPr id="1654" name="AutoShape 63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74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631</xdr:row>
      <xdr:rowOff>0</xdr:rowOff>
    </xdr:from>
    <xdr:to>
      <xdr:col>4</xdr:col>
      <xdr:colOff>304800</xdr:colOff>
      <xdr:row>632</xdr:row>
      <xdr:rowOff>114300</xdr:rowOff>
    </xdr:to>
    <xdr:sp macro="" textlink="">
      <xdr:nvSpPr>
        <xdr:cNvPr id="1655" name="AutoShape 6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32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631</xdr:row>
      <xdr:rowOff>0</xdr:rowOff>
    </xdr:from>
    <xdr:to>
      <xdr:col>5</xdr:col>
      <xdr:colOff>304800</xdr:colOff>
      <xdr:row>632</xdr:row>
      <xdr:rowOff>114300</xdr:rowOff>
    </xdr:to>
    <xdr:sp macro="" textlink="">
      <xdr:nvSpPr>
        <xdr:cNvPr id="1656" name="AutoShape 63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32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633</xdr:row>
      <xdr:rowOff>0</xdr:rowOff>
    </xdr:from>
    <xdr:to>
      <xdr:col>4</xdr:col>
      <xdr:colOff>304800</xdr:colOff>
      <xdr:row>634</xdr:row>
      <xdr:rowOff>76200</xdr:rowOff>
    </xdr:to>
    <xdr:sp macro="" textlink="">
      <xdr:nvSpPr>
        <xdr:cNvPr id="1657" name="AutoShape 6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90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633</xdr:row>
      <xdr:rowOff>0</xdr:rowOff>
    </xdr:from>
    <xdr:to>
      <xdr:col>5</xdr:col>
      <xdr:colOff>304800</xdr:colOff>
      <xdr:row>634</xdr:row>
      <xdr:rowOff>76200</xdr:rowOff>
    </xdr:to>
    <xdr:sp macro="" textlink="">
      <xdr:nvSpPr>
        <xdr:cNvPr id="1658" name="AutoShape 63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90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635</xdr:row>
      <xdr:rowOff>0</xdr:rowOff>
    </xdr:from>
    <xdr:to>
      <xdr:col>4</xdr:col>
      <xdr:colOff>304800</xdr:colOff>
      <xdr:row>636</xdr:row>
      <xdr:rowOff>114300</xdr:rowOff>
    </xdr:to>
    <xdr:sp macro="" textlink="">
      <xdr:nvSpPr>
        <xdr:cNvPr id="1659" name="AutoShape 63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3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635</xdr:row>
      <xdr:rowOff>0</xdr:rowOff>
    </xdr:from>
    <xdr:to>
      <xdr:col>5</xdr:col>
      <xdr:colOff>304800</xdr:colOff>
      <xdr:row>636</xdr:row>
      <xdr:rowOff>114300</xdr:rowOff>
    </xdr:to>
    <xdr:sp macro="" textlink="">
      <xdr:nvSpPr>
        <xdr:cNvPr id="1660" name="AutoShape 63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3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637</xdr:row>
      <xdr:rowOff>0</xdr:rowOff>
    </xdr:from>
    <xdr:to>
      <xdr:col>4</xdr:col>
      <xdr:colOff>304800</xdr:colOff>
      <xdr:row>638</xdr:row>
      <xdr:rowOff>114300</xdr:rowOff>
    </xdr:to>
    <xdr:sp macro="" textlink="">
      <xdr:nvSpPr>
        <xdr:cNvPr id="1661" name="AutoShape 63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91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637</xdr:row>
      <xdr:rowOff>0</xdr:rowOff>
    </xdr:from>
    <xdr:to>
      <xdr:col>5</xdr:col>
      <xdr:colOff>304800</xdr:colOff>
      <xdr:row>638</xdr:row>
      <xdr:rowOff>114300</xdr:rowOff>
    </xdr:to>
    <xdr:sp macro="" textlink="">
      <xdr:nvSpPr>
        <xdr:cNvPr id="1662" name="AutoShape 63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91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639</xdr:row>
      <xdr:rowOff>0</xdr:rowOff>
    </xdr:from>
    <xdr:to>
      <xdr:col>4</xdr:col>
      <xdr:colOff>304800</xdr:colOff>
      <xdr:row>640</xdr:row>
      <xdr:rowOff>114300</xdr:rowOff>
    </xdr:to>
    <xdr:sp macro="" textlink="">
      <xdr:nvSpPr>
        <xdr:cNvPr id="1663" name="AutoShape 63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4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639</xdr:row>
      <xdr:rowOff>0</xdr:rowOff>
    </xdr:from>
    <xdr:to>
      <xdr:col>5</xdr:col>
      <xdr:colOff>304800</xdr:colOff>
      <xdr:row>640</xdr:row>
      <xdr:rowOff>114300</xdr:rowOff>
    </xdr:to>
    <xdr:sp macro="" textlink="">
      <xdr:nvSpPr>
        <xdr:cNvPr id="1664" name="AutoShape 64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4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641</xdr:row>
      <xdr:rowOff>0</xdr:rowOff>
    </xdr:from>
    <xdr:to>
      <xdr:col>4</xdr:col>
      <xdr:colOff>304800</xdr:colOff>
      <xdr:row>642</xdr:row>
      <xdr:rowOff>114300</xdr:rowOff>
    </xdr:to>
    <xdr:sp macro="" textlink="">
      <xdr:nvSpPr>
        <xdr:cNvPr id="1665" name="AutoShape 64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07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641</xdr:row>
      <xdr:rowOff>0</xdr:rowOff>
    </xdr:from>
    <xdr:to>
      <xdr:col>5</xdr:col>
      <xdr:colOff>304800</xdr:colOff>
      <xdr:row>642</xdr:row>
      <xdr:rowOff>114300</xdr:rowOff>
    </xdr:to>
    <xdr:sp macro="" textlink="">
      <xdr:nvSpPr>
        <xdr:cNvPr id="1666" name="AutoShape 64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07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643</xdr:row>
      <xdr:rowOff>0</xdr:rowOff>
    </xdr:from>
    <xdr:to>
      <xdr:col>4</xdr:col>
      <xdr:colOff>304800</xdr:colOff>
      <xdr:row>644</xdr:row>
      <xdr:rowOff>76200</xdr:rowOff>
    </xdr:to>
    <xdr:sp macro="" textlink="">
      <xdr:nvSpPr>
        <xdr:cNvPr id="1667" name="AutoShape 6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6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643</xdr:row>
      <xdr:rowOff>0</xdr:rowOff>
    </xdr:from>
    <xdr:to>
      <xdr:col>5</xdr:col>
      <xdr:colOff>304800</xdr:colOff>
      <xdr:row>644</xdr:row>
      <xdr:rowOff>76200</xdr:rowOff>
    </xdr:to>
    <xdr:sp macro="" textlink="">
      <xdr:nvSpPr>
        <xdr:cNvPr id="1668" name="AutoShape 64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6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645</xdr:row>
      <xdr:rowOff>0</xdr:rowOff>
    </xdr:from>
    <xdr:to>
      <xdr:col>4</xdr:col>
      <xdr:colOff>304800</xdr:colOff>
      <xdr:row>646</xdr:row>
      <xdr:rowOff>76200</xdr:rowOff>
    </xdr:to>
    <xdr:sp macro="" textlink="">
      <xdr:nvSpPr>
        <xdr:cNvPr id="1669" name="AutoShape 64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0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645</xdr:row>
      <xdr:rowOff>0</xdr:rowOff>
    </xdr:from>
    <xdr:to>
      <xdr:col>5</xdr:col>
      <xdr:colOff>304800</xdr:colOff>
      <xdr:row>646</xdr:row>
      <xdr:rowOff>76200</xdr:rowOff>
    </xdr:to>
    <xdr:sp macro="" textlink="">
      <xdr:nvSpPr>
        <xdr:cNvPr id="1670" name="AutoShape 64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0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647</xdr:row>
      <xdr:rowOff>0</xdr:rowOff>
    </xdr:from>
    <xdr:to>
      <xdr:col>4</xdr:col>
      <xdr:colOff>304800</xdr:colOff>
      <xdr:row>648</xdr:row>
      <xdr:rowOff>114300</xdr:rowOff>
    </xdr:to>
    <xdr:sp macro="" textlink="">
      <xdr:nvSpPr>
        <xdr:cNvPr id="1671" name="AutoShape 64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5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647</xdr:row>
      <xdr:rowOff>0</xdr:rowOff>
    </xdr:from>
    <xdr:to>
      <xdr:col>5</xdr:col>
      <xdr:colOff>304800</xdr:colOff>
      <xdr:row>648</xdr:row>
      <xdr:rowOff>114300</xdr:rowOff>
    </xdr:to>
    <xdr:sp macro="" textlink="">
      <xdr:nvSpPr>
        <xdr:cNvPr id="1672" name="AutoShape 64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5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649</xdr:row>
      <xdr:rowOff>0</xdr:rowOff>
    </xdr:from>
    <xdr:to>
      <xdr:col>4</xdr:col>
      <xdr:colOff>304800</xdr:colOff>
      <xdr:row>650</xdr:row>
      <xdr:rowOff>114300</xdr:rowOff>
    </xdr:to>
    <xdr:sp macro="" textlink="">
      <xdr:nvSpPr>
        <xdr:cNvPr id="1673" name="AutoShape 64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2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649</xdr:row>
      <xdr:rowOff>0</xdr:rowOff>
    </xdr:from>
    <xdr:to>
      <xdr:col>5</xdr:col>
      <xdr:colOff>304800</xdr:colOff>
      <xdr:row>650</xdr:row>
      <xdr:rowOff>114300</xdr:rowOff>
    </xdr:to>
    <xdr:sp macro="" textlink="">
      <xdr:nvSpPr>
        <xdr:cNvPr id="1674" name="AutoShape 65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2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651</xdr:row>
      <xdr:rowOff>0</xdr:rowOff>
    </xdr:from>
    <xdr:to>
      <xdr:col>4</xdr:col>
      <xdr:colOff>304800</xdr:colOff>
      <xdr:row>652</xdr:row>
      <xdr:rowOff>114300</xdr:rowOff>
    </xdr:to>
    <xdr:sp macro="" textlink="">
      <xdr:nvSpPr>
        <xdr:cNvPr id="1675" name="AutoShape 65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8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651</xdr:row>
      <xdr:rowOff>0</xdr:rowOff>
    </xdr:from>
    <xdr:to>
      <xdr:col>5</xdr:col>
      <xdr:colOff>304800</xdr:colOff>
      <xdr:row>652</xdr:row>
      <xdr:rowOff>114300</xdr:rowOff>
    </xdr:to>
    <xdr:sp macro="" textlink="">
      <xdr:nvSpPr>
        <xdr:cNvPr id="1676" name="AutoShape 6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8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653</xdr:row>
      <xdr:rowOff>0</xdr:rowOff>
    </xdr:from>
    <xdr:to>
      <xdr:col>4</xdr:col>
      <xdr:colOff>304800</xdr:colOff>
      <xdr:row>654</xdr:row>
      <xdr:rowOff>76200</xdr:rowOff>
    </xdr:to>
    <xdr:sp macro="" textlink="">
      <xdr:nvSpPr>
        <xdr:cNvPr id="1677" name="AutoShape 65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4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653</xdr:row>
      <xdr:rowOff>0</xdr:rowOff>
    </xdr:from>
    <xdr:to>
      <xdr:col>5</xdr:col>
      <xdr:colOff>304800</xdr:colOff>
      <xdr:row>654</xdr:row>
      <xdr:rowOff>76200</xdr:rowOff>
    </xdr:to>
    <xdr:sp macro="" textlink="">
      <xdr:nvSpPr>
        <xdr:cNvPr id="1678" name="AutoShape 65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4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655</xdr:row>
      <xdr:rowOff>0</xdr:rowOff>
    </xdr:from>
    <xdr:to>
      <xdr:col>4</xdr:col>
      <xdr:colOff>304800</xdr:colOff>
      <xdr:row>656</xdr:row>
      <xdr:rowOff>114300</xdr:rowOff>
    </xdr:to>
    <xdr:sp macro="" textlink="">
      <xdr:nvSpPr>
        <xdr:cNvPr id="1679" name="AutoShape 65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87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655</xdr:row>
      <xdr:rowOff>0</xdr:rowOff>
    </xdr:from>
    <xdr:to>
      <xdr:col>5</xdr:col>
      <xdr:colOff>304800</xdr:colOff>
      <xdr:row>656</xdr:row>
      <xdr:rowOff>114300</xdr:rowOff>
    </xdr:to>
    <xdr:sp macro="" textlink="">
      <xdr:nvSpPr>
        <xdr:cNvPr id="1680" name="AutoShape 65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87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657</xdr:row>
      <xdr:rowOff>0</xdr:rowOff>
    </xdr:from>
    <xdr:to>
      <xdr:col>4</xdr:col>
      <xdr:colOff>304800</xdr:colOff>
      <xdr:row>658</xdr:row>
      <xdr:rowOff>114300</xdr:rowOff>
    </xdr:to>
    <xdr:sp macro="" textlink="">
      <xdr:nvSpPr>
        <xdr:cNvPr id="1681" name="AutoShape 65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745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657</xdr:row>
      <xdr:rowOff>0</xdr:rowOff>
    </xdr:from>
    <xdr:to>
      <xdr:col>5</xdr:col>
      <xdr:colOff>304800</xdr:colOff>
      <xdr:row>658</xdr:row>
      <xdr:rowOff>114300</xdr:rowOff>
    </xdr:to>
    <xdr:sp macro="" textlink="">
      <xdr:nvSpPr>
        <xdr:cNvPr id="1682" name="AutoShape 65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745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659</xdr:row>
      <xdr:rowOff>0</xdr:rowOff>
    </xdr:from>
    <xdr:to>
      <xdr:col>4</xdr:col>
      <xdr:colOff>304800</xdr:colOff>
      <xdr:row>660</xdr:row>
      <xdr:rowOff>114300</xdr:rowOff>
    </xdr:to>
    <xdr:sp macro="" textlink="">
      <xdr:nvSpPr>
        <xdr:cNvPr id="1683" name="AutoShape 659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0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659</xdr:row>
      <xdr:rowOff>0</xdr:rowOff>
    </xdr:from>
    <xdr:to>
      <xdr:col>5</xdr:col>
      <xdr:colOff>304800</xdr:colOff>
      <xdr:row>660</xdr:row>
      <xdr:rowOff>114300</xdr:rowOff>
    </xdr:to>
    <xdr:sp macro="" textlink="">
      <xdr:nvSpPr>
        <xdr:cNvPr id="1684" name="AutoShape 66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0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661</xdr:row>
      <xdr:rowOff>0</xdr:rowOff>
    </xdr:from>
    <xdr:to>
      <xdr:col>4</xdr:col>
      <xdr:colOff>304800</xdr:colOff>
      <xdr:row>662</xdr:row>
      <xdr:rowOff>76200</xdr:rowOff>
    </xdr:to>
    <xdr:sp macro="" textlink="">
      <xdr:nvSpPr>
        <xdr:cNvPr id="1685" name="AutoShape 66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61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661</xdr:row>
      <xdr:rowOff>0</xdr:rowOff>
    </xdr:from>
    <xdr:to>
      <xdr:col>5</xdr:col>
      <xdr:colOff>304800</xdr:colOff>
      <xdr:row>662</xdr:row>
      <xdr:rowOff>76200</xdr:rowOff>
    </xdr:to>
    <xdr:sp macro="" textlink="">
      <xdr:nvSpPr>
        <xdr:cNvPr id="1686" name="AutoShape 66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61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663</xdr:row>
      <xdr:rowOff>0</xdr:rowOff>
    </xdr:from>
    <xdr:to>
      <xdr:col>4</xdr:col>
      <xdr:colOff>304800</xdr:colOff>
      <xdr:row>664</xdr:row>
      <xdr:rowOff>114300</xdr:rowOff>
    </xdr:to>
    <xdr:sp macro="" textlink="">
      <xdr:nvSpPr>
        <xdr:cNvPr id="1687" name="AutoShape 66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04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663</xdr:row>
      <xdr:rowOff>0</xdr:rowOff>
    </xdr:from>
    <xdr:to>
      <xdr:col>5</xdr:col>
      <xdr:colOff>304800</xdr:colOff>
      <xdr:row>664</xdr:row>
      <xdr:rowOff>114300</xdr:rowOff>
    </xdr:to>
    <xdr:sp macro="" textlink="">
      <xdr:nvSpPr>
        <xdr:cNvPr id="1688" name="AutoShape 66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04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665</xdr:row>
      <xdr:rowOff>0</xdr:rowOff>
    </xdr:from>
    <xdr:to>
      <xdr:col>4</xdr:col>
      <xdr:colOff>304800</xdr:colOff>
      <xdr:row>666</xdr:row>
      <xdr:rowOff>114300</xdr:rowOff>
    </xdr:to>
    <xdr:sp macro="" textlink="">
      <xdr:nvSpPr>
        <xdr:cNvPr id="1689" name="AutoShape 66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1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665</xdr:row>
      <xdr:rowOff>0</xdr:rowOff>
    </xdr:from>
    <xdr:to>
      <xdr:col>5</xdr:col>
      <xdr:colOff>304800</xdr:colOff>
      <xdr:row>666</xdr:row>
      <xdr:rowOff>114300</xdr:rowOff>
    </xdr:to>
    <xdr:sp macro="" textlink="">
      <xdr:nvSpPr>
        <xdr:cNvPr id="1690" name="AutoShape 66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1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667</xdr:row>
      <xdr:rowOff>0</xdr:rowOff>
    </xdr:from>
    <xdr:to>
      <xdr:col>4</xdr:col>
      <xdr:colOff>304800</xdr:colOff>
      <xdr:row>668</xdr:row>
      <xdr:rowOff>76200</xdr:rowOff>
    </xdr:to>
    <xdr:sp macro="" textlink="">
      <xdr:nvSpPr>
        <xdr:cNvPr id="1691" name="AutoShape 66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0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667</xdr:row>
      <xdr:rowOff>0</xdr:rowOff>
    </xdr:from>
    <xdr:to>
      <xdr:col>5</xdr:col>
      <xdr:colOff>304800</xdr:colOff>
      <xdr:row>668</xdr:row>
      <xdr:rowOff>76200</xdr:rowOff>
    </xdr:to>
    <xdr:sp macro="" textlink="">
      <xdr:nvSpPr>
        <xdr:cNvPr id="1692" name="AutoShape 66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0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669</xdr:row>
      <xdr:rowOff>0</xdr:rowOff>
    </xdr:from>
    <xdr:to>
      <xdr:col>4</xdr:col>
      <xdr:colOff>304800</xdr:colOff>
      <xdr:row>670</xdr:row>
      <xdr:rowOff>114300</xdr:rowOff>
    </xdr:to>
    <xdr:sp macro="" textlink="">
      <xdr:nvSpPr>
        <xdr:cNvPr id="1693" name="AutoShape 66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52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669</xdr:row>
      <xdr:rowOff>0</xdr:rowOff>
    </xdr:from>
    <xdr:to>
      <xdr:col>5</xdr:col>
      <xdr:colOff>304800</xdr:colOff>
      <xdr:row>670</xdr:row>
      <xdr:rowOff>114300</xdr:rowOff>
    </xdr:to>
    <xdr:sp macro="" textlink="">
      <xdr:nvSpPr>
        <xdr:cNvPr id="1694" name="AutoShape 67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52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671</xdr:row>
      <xdr:rowOff>0</xdr:rowOff>
    </xdr:from>
    <xdr:to>
      <xdr:col>4</xdr:col>
      <xdr:colOff>304800</xdr:colOff>
      <xdr:row>672</xdr:row>
      <xdr:rowOff>76200</xdr:rowOff>
    </xdr:to>
    <xdr:sp macro="" textlink="">
      <xdr:nvSpPr>
        <xdr:cNvPr id="1695" name="AutoShape 67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10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671</xdr:row>
      <xdr:rowOff>0</xdr:rowOff>
    </xdr:from>
    <xdr:to>
      <xdr:col>5</xdr:col>
      <xdr:colOff>304800</xdr:colOff>
      <xdr:row>672</xdr:row>
      <xdr:rowOff>76200</xdr:rowOff>
    </xdr:to>
    <xdr:sp macro="" textlink="">
      <xdr:nvSpPr>
        <xdr:cNvPr id="1696" name="AutoShape 67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10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673</xdr:row>
      <xdr:rowOff>0</xdr:rowOff>
    </xdr:from>
    <xdr:to>
      <xdr:col>4</xdr:col>
      <xdr:colOff>304800</xdr:colOff>
      <xdr:row>674</xdr:row>
      <xdr:rowOff>76200</xdr:rowOff>
    </xdr:to>
    <xdr:sp macro="" textlink="">
      <xdr:nvSpPr>
        <xdr:cNvPr id="1697" name="AutoShape 67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53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673</xdr:row>
      <xdr:rowOff>0</xdr:rowOff>
    </xdr:from>
    <xdr:to>
      <xdr:col>5</xdr:col>
      <xdr:colOff>304800</xdr:colOff>
      <xdr:row>674</xdr:row>
      <xdr:rowOff>76200</xdr:rowOff>
    </xdr:to>
    <xdr:sp macro="" textlink="">
      <xdr:nvSpPr>
        <xdr:cNvPr id="1698" name="AutoShape 6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53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675</xdr:row>
      <xdr:rowOff>0</xdr:rowOff>
    </xdr:from>
    <xdr:to>
      <xdr:col>4</xdr:col>
      <xdr:colOff>304800</xdr:colOff>
      <xdr:row>676</xdr:row>
      <xdr:rowOff>114300</xdr:rowOff>
    </xdr:to>
    <xdr:sp macro="" textlink="">
      <xdr:nvSpPr>
        <xdr:cNvPr id="1699" name="AutoShape 67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96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675</xdr:row>
      <xdr:rowOff>0</xdr:rowOff>
    </xdr:from>
    <xdr:to>
      <xdr:col>5</xdr:col>
      <xdr:colOff>304800</xdr:colOff>
      <xdr:row>676</xdr:row>
      <xdr:rowOff>114300</xdr:rowOff>
    </xdr:to>
    <xdr:sp macro="" textlink="">
      <xdr:nvSpPr>
        <xdr:cNvPr id="1700" name="AutoShape 67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96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677</xdr:row>
      <xdr:rowOff>0</xdr:rowOff>
    </xdr:from>
    <xdr:to>
      <xdr:col>4</xdr:col>
      <xdr:colOff>304800</xdr:colOff>
      <xdr:row>678</xdr:row>
      <xdr:rowOff>114300</xdr:rowOff>
    </xdr:to>
    <xdr:sp macro="" textlink="">
      <xdr:nvSpPr>
        <xdr:cNvPr id="1701" name="AutoShape 67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54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677</xdr:row>
      <xdr:rowOff>0</xdr:rowOff>
    </xdr:from>
    <xdr:to>
      <xdr:col>5</xdr:col>
      <xdr:colOff>304800</xdr:colOff>
      <xdr:row>678</xdr:row>
      <xdr:rowOff>114300</xdr:rowOff>
    </xdr:to>
    <xdr:sp macro="" textlink="">
      <xdr:nvSpPr>
        <xdr:cNvPr id="1702" name="AutoShape 67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54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679</xdr:row>
      <xdr:rowOff>0</xdr:rowOff>
    </xdr:from>
    <xdr:to>
      <xdr:col>4</xdr:col>
      <xdr:colOff>304800</xdr:colOff>
      <xdr:row>680</xdr:row>
      <xdr:rowOff>114300</xdr:rowOff>
    </xdr:to>
    <xdr:sp macro="" textlink="">
      <xdr:nvSpPr>
        <xdr:cNvPr id="1703" name="AutoShape 67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1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679</xdr:row>
      <xdr:rowOff>0</xdr:rowOff>
    </xdr:from>
    <xdr:to>
      <xdr:col>5</xdr:col>
      <xdr:colOff>304800</xdr:colOff>
      <xdr:row>680</xdr:row>
      <xdr:rowOff>114300</xdr:rowOff>
    </xdr:to>
    <xdr:sp macro="" textlink="">
      <xdr:nvSpPr>
        <xdr:cNvPr id="1704" name="AutoShape 68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1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681</xdr:row>
      <xdr:rowOff>0</xdr:rowOff>
    </xdr:from>
    <xdr:to>
      <xdr:col>4</xdr:col>
      <xdr:colOff>304800</xdr:colOff>
      <xdr:row>682</xdr:row>
      <xdr:rowOff>76200</xdr:rowOff>
    </xdr:to>
    <xdr:sp macro="" textlink="">
      <xdr:nvSpPr>
        <xdr:cNvPr id="1705" name="AutoShape 68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7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681</xdr:row>
      <xdr:rowOff>0</xdr:rowOff>
    </xdr:from>
    <xdr:to>
      <xdr:col>5</xdr:col>
      <xdr:colOff>304800</xdr:colOff>
      <xdr:row>682</xdr:row>
      <xdr:rowOff>76200</xdr:rowOff>
    </xdr:to>
    <xdr:sp macro="" textlink="">
      <xdr:nvSpPr>
        <xdr:cNvPr id="1706" name="AutoShape 68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7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683</xdr:row>
      <xdr:rowOff>0</xdr:rowOff>
    </xdr:from>
    <xdr:to>
      <xdr:col>4</xdr:col>
      <xdr:colOff>304800</xdr:colOff>
      <xdr:row>684</xdr:row>
      <xdr:rowOff>114300</xdr:rowOff>
    </xdr:to>
    <xdr:sp macro="" textlink="">
      <xdr:nvSpPr>
        <xdr:cNvPr id="1707" name="AutoShape 68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13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683</xdr:row>
      <xdr:rowOff>0</xdr:rowOff>
    </xdr:from>
    <xdr:to>
      <xdr:col>5</xdr:col>
      <xdr:colOff>304800</xdr:colOff>
      <xdr:row>684</xdr:row>
      <xdr:rowOff>114300</xdr:rowOff>
    </xdr:to>
    <xdr:sp macro="" textlink="">
      <xdr:nvSpPr>
        <xdr:cNvPr id="1708" name="AutoShape 68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13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685</xdr:row>
      <xdr:rowOff>0</xdr:rowOff>
    </xdr:from>
    <xdr:to>
      <xdr:col>4</xdr:col>
      <xdr:colOff>304800</xdr:colOff>
      <xdr:row>686</xdr:row>
      <xdr:rowOff>114300</xdr:rowOff>
    </xdr:to>
    <xdr:sp macro="" textlink="">
      <xdr:nvSpPr>
        <xdr:cNvPr id="1709" name="AutoShape 6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71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685</xdr:row>
      <xdr:rowOff>0</xdr:rowOff>
    </xdr:from>
    <xdr:to>
      <xdr:col>5</xdr:col>
      <xdr:colOff>304800</xdr:colOff>
      <xdr:row>686</xdr:row>
      <xdr:rowOff>114300</xdr:rowOff>
    </xdr:to>
    <xdr:sp macro="" textlink="">
      <xdr:nvSpPr>
        <xdr:cNvPr id="1710" name="AutoShape 68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71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687</xdr:row>
      <xdr:rowOff>0</xdr:rowOff>
    </xdr:from>
    <xdr:to>
      <xdr:col>4</xdr:col>
      <xdr:colOff>304800</xdr:colOff>
      <xdr:row>688</xdr:row>
      <xdr:rowOff>114300</xdr:rowOff>
    </xdr:to>
    <xdr:sp macro="" textlink="">
      <xdr:nvSpPr>
        <xdr:cNvPr id="1711" name="AutoShape 68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2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687</xdr:row>
      <xdr:rowOff>0</xdr:rowOff>
    </xdr:from>
    <xdr:to>
      <xdr:col>5</xdr:col>
      <xdr:colOff>304800</xdr:colOff>
      <xdr:row>688</xdr:row>
      <xdr:rowOff>114300</xdr:rowOff>
    </xdr:to>
    <xdr:sp macro="" textlink="">
      <xdr:nvSpPr>
        <xdr:cNvPr id="1712" name="AutoShape 68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2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689</xdr:row>
      <xdr:rowOff>0</xdr:rowOff>
    </xdr:from>
    <xdr:to>
      <xdr:col>4</xdr:col>
      <xdr:colOff>304800</xdr:colOff>
      <xdr:row>690</xdr:row>
      <xdr:rowOff>114300</xdr:rowOff>
    </xdr:to>
    <xdr:sp macro="" textlink="">
      <xdr:nvSpPr>
        <xdr:cNvPr id="1713" name="AutoShape 68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8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689</xdr:row>
      <xdr:rowOff>0</xdr:rowOff>
    </xdr:from>
    <xdr:to>
      <xdr:col>5</xdr:col>
      <xdr:colOff>304800</xdr:colOff>
      <xdr:row>690</xdr:row>
      <xdr:rowOff>114300</xdr:rowOff>
    </xdr:to>
    <xdr:sp macro="" textlink="">
      <xdr:nvSpPr>
        <xdr:cNvPr id="1714" name="AutoShape 6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8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691</xdr:row>
      <xdr:rowOff>0</xdr:rowOff>
    </xdr:from>
    <xdr:to>
      <xdr:col>4</xdr:col>
      <xdr:colOff>304800</xdr:colOff>
      <xdr:row>692</xdr:row>
      <xdr:rowOff>114300</xdr:rowOff>
    </xdr:to>
    <xdr:sp macro="" textlink="">
      <xdr:nvSpPr>
        <xdr:cNvPr id="1715" name="AutoShape 69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4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691</xdr:row>
      <xdr:rowOff>0</xdr:rowOff>
    </xdr:from>
    <xdr:to>
      <xdr:col>5</xdr:col>
      <xdr:colOff>304800</xdr:colOff>
      <xdr:row>692</xdr:row>
      <xdr:rowOff>114300</xdr:rowOff>
    </xdr:to>
    <xdr:sp macro="" textlink="">
      <xdr:nvSpPr>
        <xdr:cNvPr id="1716" name="AutoShape 69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4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693</xdr:row>
      <xdr:rowOff>0</xdr:rowOff>
    </xdr:from>
    <xdr:to>
      <xdr:col>4</xdr:col>
      <xdr:colOff>304800</xdr:colOff>
      <xdr:row>694</xdr:row>
      <xdr:rowOff>114300</xdr:rowOff>
    </xdr:to>
    <xdr:sp macro="" textlink="">
      <xdr:nvSpPr>
        <xdr:cNvPr id="1717" name="AutoShape 69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0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693</xdr:row>
      <xdr:rowOff>0</xdr:rowOff>
    </xdr:from>
    <xdr:to>
      <xdr:col>5</xdr:col>
      <xdr:colOff>304800</xdr:colOff>
      <xdr:row>694</xdr:row>
      <xdr:rowOff>114300</xdr:rowOff>
    </xdr:to>
    <xdr:sp macro="" textlink="">
      <xdr:nvSpPr>
        <xdr:cNvPr id="1718" name="AutoShape 69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0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695</xdr:row>
      <xdr:rowOff>0</xdr:rowOff>
    </xdr:from>
    <xdr:to>
      <xdr:col>4</xdr:col>
      <xdr:colOff>304800</xdr:colOff>
      <xdr:row>696</xdr:row>
      <xdr:rowOff>114300</xdr:rowOff>
    </xdr:to>
    <xdr:sp macro="" textlink="">
      <xdr:nvSpPr>
        <xdr:cNvPr id="1719" name="AutoShape 69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6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695</xdr:row>
      <xdr:rowOff>0</xdr:rowOff>
    </xdr:from>
    <xdr:to>
      <xdr:col>5</xdr:col>
      <xdr:colOff>304800</xdr:colOff>
      <xdr:row>696</xdr:row>
      <xdr:rowOff>114300</xdr:rowOff>
    </xdr:to>
    <xdr:sp macro="" textlink="">
      <xdr:nvSpPr>
        <xdr:cNvPr id="1720" name="AutoShape 69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6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697</xdr:row>
      <xdr:rowOff>0</xdr:rowOff>
    </xdr:from>
    <xdr:to>
      <xdr:col>4</xdr:col>
      <xdr:colOff>304800</xdr:colOff>
      <xdr:row>698</xdr:row>
      <xdr:rowOff>114300</xdr:rowOff>
    </xdr:to>
    <xdr:sp macro="" textlink="">
      <xdr:nvSpPr>
        <xdr:cNvPr id="1721" name="AutoShape 69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39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697</xdr:row>
      <xdr:rowOff>0</xdr:rowOff>
    </xdr:from>
    <xdr:to>
      <xdr:col>5</xdr:col>
      <xdr:colOff>304800</xdr:colOff>
      <xdr:row>698</xdr:row>
      <xdr:rowOff>114300</xdr:rowOff>
    </xdr:to>
    <xdr:sp macro="" textlink="">
      <xdr:nvSpPr>
        <xdr:cNvPr id="1722" name="AutoShape 69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39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699</xdr:row>
      <xdr:rowOff>0</xdr:rowOff>
    </xdr:from>
    <xdr:to>
      <xdr:col>4</xdr:col>
      <xdr:colOff>304800</xdr:colOff>
      <xdr:row>700</xdr:row>
      <xdr:rowOff>114300</xdr:rowOff>
    </xdr:to>
    <xdr:sp macro="" textlink="">
      <xdr:nvSpPr>
        <xdr:cNvPr id="1723" name="AutoShape 6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97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699</xdr:row>
      <xdr:rowOff>0</xdr:rowOff>
    </xdr:from>
    <xdr:to>
      <xdr:col>5</xdr:col>
      <xdr:colOff>304800</xdr:colOff>
      <xdr:row>700</xdr:row>
      <xdr:rowOff>114300</xdr:rowOff>
    </xdr:to>
    <xdr:sp macro="" textlink="">
      <xdr:nvSpPr>
        <xdr:cNvPr id="1724" name="AutoShape 70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97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701</xdr:row>
      <xdr:rowOff>0</xdr:rowOff>
    </xdr:from>
    <xdr:to>
      <xdr:col>4</xdr:col>
      <xdr:colOff>304800</xdr:colOff>
      <xdr:row>702</xdr:row>
      <xdr:rowOff>114300</xdr:rowOff>
    </xdr:to>
    <xdr:sp macro="" textlink="">
      <xdr:nvSpPr>
        <xdr:cNvPr id="1725" name="AutoShape 70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55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701</xdr:row>
      <xdr:rowOff>0</xdr:rowOff>
    </xdr:from>
    <xdr:to>
      <xdr:col>5</xdr:col>
      <xdr:colOff>304800</xdr:colOff>
      <xdr:row>702</xdr:row>
      <xdr:rowOff>114300</xdr:rowOff>
    </xdr:to>
    <xdr:sp macro="" textlink="">
      <xdr:nvSpPr>
        <xdr:cNvPr id="1726" name="AutoShape 70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55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703</xdr:row>
      <xdr:rowOff>0</xdr:rowOff>
    </xdr:from>
    <xdr:to>
      <xdr:col>4</xdr:col>
      <xdr:colOff>304800</xdr:colOff>
      <xdr:row>704</xdr:row>
      <xdr:rowOff>114300</xdr:rowOff>
    </xdr:to>
    <xdr:sp macro="" textlink="">
      <xdr:nvSpPr>
        <xdr:cNvPr id="1727" name="AutoShape 70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1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703</xdr:row>
      <xdr:rowOff>0</xdr:rowOff>
    </xdr:from>
    <xdr:to>
      <xdr:col>5</xdr:col>
      <xdr:colOff>304800</xdr:colOff>
      <xdr:row>704</xdr:row>
      <xdr:rowOff>114300</xdr:rowOff>
    </xdr:to>
    <xdr:sp macro="" textlink="">
      <xdr:nvSpPr>
        <xdr:cNvPr id="1728" name="AutoShape 70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1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705</xdr:row>
      <xdr:rowOff>0</xdr:rowOff>
    </xdr:from>
    <xdr:to>
      <xdr:col>4</xdr:col>
      <xdr:colOff>304800</xdr:colOff>
      <xdr:row>706</xdr:row>
      <xdr:rowOff>76200</xdr:rowOff>
    </xdr:to>
    <xdr:sp macro="" textlink="">
      <xdr:nvSpPr>
        <xdr:cNvPr id="1729" name="AutoShape 7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71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705</xdr:row>
      <xdr:rowOff>0</xdr:rowOff>
    </xdr:from>
    <xdr:to>
      <xdr:col>5</xdr:col>
      <xdr:colOff>304800</xdr:colOff>
      <xdr:row>706</xdr:row>
      <xdr:rowOff>76200</xdr:rowOff>
    </xdr:to>
    <xdr:sp macro="" textlink="">
      <xdr:nvSpPr>
        <xdr:cNvPr id="1730" name="AutoShape 70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71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707</xdr:row>
      <xdr:rowOff>0</xdr:rowOff>
    </xdr:from>
    <xdr:to>
      <xdr:col>4</xdr:col>
      <xdr:colOff>304800</xdr:colOff>
      <xdr:row>708</xdr:row>
      <xdr:rowOff>114300</xdr:rowOff>
    </xdr:to>
    <xdr:sp macro="" textlink="">
      <xdr:nvSpPr>
        <xdr:cNvPr id="1731" name="AutoShape 7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1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707</xdr:row>
      <xdr:rowOff>0</xdr:rowOff>
    </xdr:from>
    <xdr:to>
      <xdr:col>5</xdr:col>
      <xdr:colOff>304800</xdr:colOff>
      <xdr:row>708</xdr:row>
      <xdr:rowOff>114300</xdr:rowOff>
    </xdr:to>
    <xdr:sp macro="" textlink="">
      <xdr:nvSpPr>
        <xdr:cNvPr id="1732" name="AutoShape 70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1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709</xdr:row>
      <xdr:rowOff>0</xdr:rowOff>
    </xdr:from>
    <xdr:to>
      <xdr:col>4</xdr:col>
      <xdr:colOff>304800</xdr:colOff>
      <xdr:row>710</xdr:row>
      <xdr:rowOff>76200</xdr:rowOff>
    </xdr:to>
    <xdr:sp macro="" textlink="">
      <xdr:nvSpPr>
        <xdr:cNvPr id="1733" name="AutoShape 70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7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709</xdr:row>
      <xdr:rowOff>0</xdr:rowOff>
    </xdr:from>
    <xdr:to>
      <xdr:col>5</xdr:col>
      <xdr:colOff>304800</xdr:colOff>
      <xdr:row>710</xdr:row>
      <xdr:rowOff>76200</xdr:rowOff>
    </xdr:to>
    <xdr:sp macro="" textlink="">
      <xdr:nvSpPr>
        <xdr:cNvPr id="1734" name="AutoShape 71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7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711</xdr:row>
      <xdr:rowOff>0</xdr:rowOff>
    </xdr:from>
    <xdr:to>
      <xdr:col>4</xdr:col>
      <xdr:colOff>304800</xdr:colOff>
      <xdr:row>712</xdr:row>
      <xdr:rowOff>114300</xdr:rowOff>
    </xdr:to>
    <xdr:sp macro="" textlink="">
      <xdr:nvSpPr>
        <xdr:cNvPr id="1735" name="AutoShape 71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15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711</xdr:row>
      <xdr:rowOff>0</xdr:rowOff>
    </xdr:from>
    <xdr:to>
      <xdr:col>5</xdr:col>
      <xdr:colOff>304800</xdr:colOff>
      <xdr:row>712</xdr:row>
      <xdr:rowOff>114300</xdr:rowOff>
    </xdr:to>
    <xdr:sp macro="" textlink="">
      <xdr:nvSpPr>
        <xdr:cNvPr id="1736" name="AutoShape 71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15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713</xdr:row>
      <xdr:rowOff>0</xdr:rowOff>
    </xdr:from>
    <xdr:to>
      <xdr:col>4</xdr:col>
      <xdr:colOff>304800</xdr:colOff>
      <xdr:row>714</xdr:row>
      <xdr:rowOff>114300</xdr:rowOff>
    </xdr:to>
    <xdr:sp macro="" textlink="">
      <xdr:nvSpPr>
        <xdr:cNvPr id="1737" name="AutoShape 71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92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713</xdr:row>
      <xdr:rowOff>0</xdr:rowOff>
    </xdr:from>
    <xdr:to>
      <xdr:col>5</xdr:col>
      <xdr:colOff>304800</xdr:colOff>
      <xdr:row>714</xdr:row>
      <xdr:rowOff>114300</xdr:rowOff>
    </xdr:to>
    <xdr:sp macro="" textlink="">
      <xdr:nvSpPr>
        <xdr:cNvPr id="1738" name="AutoShape 7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92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715</xdr:row>
      <xdr:rowOff>0</xdr:rowOff>
    </xdr:from>
    <xdr:to>
      <xdr:col>4</xdr:col>
      <xdr:colOff>304800</xdr:colOff>
      <xdr:row>716</xdr:row>
      <xdr:rowOff>114300</xdr:rowOff>
    </xdr:to>
    <xdr:sp macro="" textlink="">
      <xdr:nvSpPr>
        <xdr:cNvPr id="1739" name="AutoShape 7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5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715</xdr:row>
      <xdr:rowOff>0</xdr:rowOff>
    </xdr:from>
    <xdr:to>
      <xdr:col>5</xdr:col>
      <xdr:colOff>304800</xdr:colOff>
      <xdr:row>716</xdr:row>
      <xdr:rowOff>114300</xdr:rowOff>
    </xdr:to>
    <xdr:sp macro="" textlink="">
      <xdr:nvSpPr>
        <xdr:cNvPr id="1740" name="AutoShape 71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5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717</xdr:row>
      <xdr:rowOff>0</xdr:rowOff>
    </xdr:from>
    <xdr:to>
      <xdr:col>4</xdr:col>
      <xdr:colOff>304800</xdr:colOff>
      <xdr:row>718</xdr:row>
      <xdr:rowOff>114300</xdr:rowOff>
    </xdr:to>
    <xdr:sp macro="" textlink="">
      <xdr:nvSpPr>
        <xdr:cNvPr id="1741" name="AutoShape 71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717</xdr:row>
      <xdr:rowOff>0</xdr:rowOff>
    </xdr:from>
    <xdr:to>
      <xdr:col>5</xdr:col>
      <xdr:colOff>304800</xdr:colOff>
      <xdr:row>718</xdr:row>
      <xdr:rowOff>114300</xdr:rowOff>
    </xdr:to>
    <xdr:sp macro="" textlink="">
      <xdr:nvSpPr>
        <xdr:cNvPr id="1742" name="AutoShape 71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719</xdr:row>
      <xdr:rowOff>0</xdr:rowOff>
    </xdr:from>
    <xdr:to>
      <xdr:col>4</xdr:col>
      <xdr:colOff>304800</xdr:colOff>
      <xdr:row>720</xdr:row>
      <xdr:rowOff>114300</xdr:rowOff>
    </xdr:to>
    <xdr:sp macro="" textlink="">
      <xdr:nvSpPr>
        <xdr:cNvPr id="1743" name="AutoShape 71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6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719</xdr:row>
      <xdr:rowOff>0</xdr:rowOff>
    </xdr:from>
    <xdr:to>
      <xdr:col>5</xdr:col>
      <xdr:colOff>304800</xdr:colOff>
      <xdr:row>720</xdr:row>
      <xdr:rowOff>114300</xdr:rowOff>
    </xdr:to>
    <xdr:sp macro="" textlink="">
      <xdr:nvSpPr>
        <xdr:cNvPr id="1744" name="AutoShape 72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6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721</xdr:row>
      <xdr:rowOff>0</xdr:rowOff>
    </xdr:from>
    <xdr:to>
      <xdr:col>4</xdr:col>
      <xdr:colOff>304800</xdr:colOff>
      <xdr:row>722</xdr:row>
      <xdr:rowOff>76200</xdr:rowOff>
    </xdr:to>
    <xdr:sp macro="" textlink="">
      <xdr:nvSpPr>
        <xdr:cNvPr id="1745" name="AutoShape 72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2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721</xdr:row>
      <xdr:rowOff>0</xdr:rowOff>
    </xdr:from>
    <xdr:to>
      <xdr:col>5</xdr:col>
      <xdr:colOff>304800</xdr:colOff>
      <xdr:row>722</xdr:row>
      <xdr:rowOff>76200</xdr:rowOff>
    </xdr:to>
    <xdr:sp macro="" textlink="">
      <xdr:nvSpPr>
        <xdr:cNvPr id="1746" name="AutoShape 72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2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723</xdr:row>
      <xdr:rowOff>0</xdr:rowOff>
    </xdr:from>
    <xdr:to>
      <xdr:col>4</xdr:col>
      <xdr:colOff>304800</xdr:colOff>
      <xdr:row>724</xdr:row>
      <xdr:rowOff>114300</xdr:rowOff>
    </xdr:to>
    <xdr:sp macro="" textlink="">
      <xdr:nvSpPr>
        <xdr:cNvPr id="1747" name="AutoShape 72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67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723</xdr:row>
      <xdr:rowOff>0</xdr:rowOff>
    </xdr:from>
    <xdr:to>
      <xdr:col>5</xdr:col>
      <xdr:colOff>304800</xdr:colOff>
      <xdr:row>724</xdr:row>
      <xdr:rowOff>114300</xdr:rowOff>
    </xdr:to>
    <xdr:sp macro="" textlink="">
      <xdr:nvSpPr>
        <xdr:cNvPr id="1748" name="AutoShape 72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67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725</xdr:row>
      <xdr:rowOff>0</xdr:rowOff>
    </xdr:from>
    <xdr:to>
      <xdr:col>4</xdr:col>
      <xdr:colOff>304800</xdr:colOff>
      <xdr:row>726</xdr:row>
      <xdr:rowOff>114300</xdr:rowOff>
    </xdr:to>
    <xdr:sp macro="" textlink="">
      <xdr:nvSpPr>
        <xdr:cNvPr id="1749" name="AutoShape 72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4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725</xdr:row>
      <xdr:rowOff>0</xdr:rowOff>
    </xdr:from>
    <xdr:to>
      <xdr:col>5</xdr:col>
      <xdr:colOff>304800</xdr:colOff>
      <xdr:row>726</xdr:row>
      <xdr:rowOff>114300</xdr:rowOff>
    </xdr:to>
    <xdr:sp macro="" textlink="">
      <xdr:nvSpPr>
        <xdr:cNvPr id="1750" name="AutoShape 72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4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727</xdr:row>
      <xdr:rowOff>0</xdr:rowOff>
    </xdr:from>
    <xdr:to>
      <xdr:col>4</xdr:col>
      <xdr:colOff>304800</xdr:colOff>
      <xdr:row>728</xdr:row>
      <xdr:rowOff>114300</xdr:rowOff>
    </xdr:to>
    <xdr:sp macro="" textlink="">
      <xdr:nvSpPr>
        <xdr:cNvPr id="1751" name="AutoShape 72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02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727</xdr:row>
      <xdr:rowOff>0</xdr:rowOff>
    </xdr:from>
    <xdr:to>
      <xdr:col>5</xdr:col>
      <xdr:colOff>304800</xdr:colOff>
      <xdr:row>728</xdr:row>
      <xdr:rowOff>114300</xdr:rowOff>
    </xdr:to>
    <xdr:sp macro="" textlink="">
      <xdr:nvSpPr>
        <xdr:cNvPr id="1752" name="AutoShape 72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02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729</xdr:row>
      <xdr:rowOff>0</xdr:rowOff>
    </xdr:from>
    <xdr:to>
      <xdr:col>4</xdr:col>
      <xdr:colOff>304800</xdr:colOff>
      <xdr:row>730</xdr:row>
      <xdr:rowOff>114300</xdr:rowOff>
    </xdr:to>
    <xdr:sp macro="" textlink="">
      <xdr:nvSpPr>
        <xdr:cNvPr id="1753" name="AutoShape 7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6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729</xdr:row>
      <xdr:rowOff>0</xdr:rowOff>
    </xdr:from>
    <xdr:to>
      <xdr:col>5</xdr:col>
      <xdr:colOff>304800</xdr:colOff>
      <xdr:row>730</xdr:row>
      <xdr:rowOff>114300</xdr:rowOff>
    </xdr:to>
    <xdr:sp macro="" textlink="">
      <xdr:nvSpPr>
        <xdr:cNvPr id="1754" name="AutoShape 73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6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731</xdr:row>
      <xdr:rowOff>0</xdr:rowOff>
    </xdr:from>
    <xdr:to>
      <xdr:col>4</xdr:col>
      <xdr:colOff>304800</xdr:colOff>
      <xdr:row>732</xdr:row>
      <xdr:rowOff>114300</xdr:rowOff>
    </xdr:to>
    <xdr:sp macro="" textlink="">
      <xdr:nvSpPr>
        <xdr:cNvPr id="1755" name="AutoShape 73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19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731</xdr:row>
      <xdr:rowOff>0</xdr:rowOff>
    </xdr:from>
    <xdr:to>
      <xdr:col>5</xdr:col>
      <xdr:colOff>304800</xdr:colOff>
      <xdr:row>732</xdr:row>
      <xdr:rowOff>114300</xdr:rowOff>
    </xdr:to>
    <xdr:sp macro="" textlink="">
      <xdr:nvSpPr>
        <xdr:cNvPr id="1756" name="AutoShape 73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19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733</xdr:row>
      <xdr:rowOff>0</xdr:rowOff>
    </xdr:from>
    <xdr:to>
      <xdr:col>4</xdr:col>
      <xdr:colOff>304800</xdr:colOff>
      <xdr:row>734</xdr:row>
      <xdr:rowOff>76200</xdr:rowOff>
    </xdr:to>
    <xdr:sp macro="" textlink="">
      <xdr:nvSpPr>
        <xdr:cNvPr id="1757" name="AutoShape 7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77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733</xdr:row>
      <xdr:rowOff>0</xdr:rowOff>
    </xdr:from>
    <xdr:to>
      <xdr:col>5</xdr:col>
      <xdr:colOff>304800</xdr:colOff>
      <xdr:row>734</xdr:row>
      <xdr:rowOff>76200</xdr:rowOff>
    </xdr:to>
    <xdr:sp macro="" textlink="">
      <xdr:nvSpPr>
        <xdr:cNvPr id="1758" name="AutoShape 73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77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735</xdr:row>
      <xdr:rowOff>0</xdr:rowOff>
    </xdr:from>
    <xdr:to>
      <xdr:col>4</xdr:col>
      <xdr:colOff>304800</xdr:colOff>
      <xdr:row>736</xdr:row>
      <xdr:rowOff>76200</xdr:rowOff>
    </xdr:to>
    <xdr:sp macro="" textlink="">
      <xdr:nvSpPr>
        <xdr:cNvPr id="1759" name="AutoShape 73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19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735</xdr:row>
      <xdr:rowOff>0</xdr:rowOff>
    </xdr:from>
    <xdr:to>
      <xdr:col>5</xdr:col>
      <xdr:colOff>304800</xdr:colOff>
      <xdr:row>736</xdr:row>
      <xdr:rowOff>76200</xdr:rowOff>
    </xdr:to>
    <xdr:sp macro="" textlink="">
      <xdr:nvSpPr>
        <xdr:cNvPr id="1760" name="AutoShape 73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19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737</xdr:row>
      <xdr:rowOff>0</xdr:rowOff>
    </xdr:from>
    <xdr:to>
      <xdr:col>4</xdr:col>
      <xdr:colOff>304800</xdr:colOff>
      <xdr:row>738</xdr:row>
      <xdr:rowOff>76200</xdr:rowOff>
    </xdr:to>
    <xdr:sp macro="" textlink="">
      <xdr:nvSpPr>
        <xdr:cNvPr id="1761" name="AutoShape 73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6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737</xdr:row>
      <xdr:rowOff>0</xdr:rowOff>
    </xdr:from>
    <xdr:to>
      <xdr:col>5</xdr:col>
      <xdr:colOff>304800</xdr:colOff>
      <xdr:row>738</xdr:row>
      <xdr:rowOff>76200</xdr:rowOff>
    </xdr:to>
    <xdr:sp macro="" textlink="">
      <xdr:nvSpPr>
        <xdr:cNvPr id="1762" name="AutoShape 73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6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739</xdr:row>
      <xdr:rowOff>0</xdr:rowOff>
    </xdr:from>
    <xdr:to>
      <xdr:col>4</xdr:col>
      <xdr:colOff>304800</xdr:colOff>
      <xdr:row>740</xdr:row>
      <xdr:rowOff>114300</xdr:rowOff>
    </xdr:to>
    <xdr:sp macro="" textlink="">
      <xdr:nvSpPr>
        <xdr:cNvPr id="1763" name="AutoShape 73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05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739</xdr:row>
      <xdr:rowOff>0</xdr:rowOff>
    </xdr:from>
    <xdr:to>
      <xdr:col>5</xdr:col>
      <xdr:colOff>304800</xdr:colOff>
      <xdr:row>740</xdr:row>
      <xdr:rowOff>114300</xdr:rowOff>
    </xdr:to>
    <xdr:sp macro="" textlink="">
      <xdr:nvSpPr>
        <xdr:cNvPr id="1764" name="AutoShape 74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05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741</xdr:row>
      <xdr:rowOff>0</xdr:rowOff>
    </xdr:from>
    <xdr:to>
      <xdr:col>4</xdr:col>
      <xdr:colOff>304800</xdr:colOff>
      <xdr:row>742</xdr:row>
      <xdr:rowOff>114300</xdr:rowOff>
    </xdr:to>
    <xdr:sp macro="" textlink="">
      <xdr:nvSpPr>
        <xdr:cNvPr id="1765" name="AutoShape 74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6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741</xdr:row>
      <xdr:rowOff>0</xdr:rowOff>
    </xdr:from>
    <xdr:to>
      <xdr:col>5</xdr:col>
      <xdr:colOff>304800</xdr:colOff>
      <xdr:row>742</xdr:row>
      <xdr:rowOff>114300</xdr:rowOff>
    </xdr:to>
    <xdr:sp macro="" textlink="">
      <xdr:nvSpPr>
        <xdr:cNvPr id="1766" name="AutoShape 74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6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743</xdr:row>
      <xdr:rowOff>0</xdr:rowOff>
    </xdr:from>
    <xdr:to>
      <xdr:col>4</xdr:col>
      <xdr:colOff>304800</xdr:colOff>
      <xdr:row>744</xdr:row>
      <xdr:rowOff>114300</xdr:rowOff>
    </xdr:to>
    <xdr:sp macro="" textlink="">
      <xdr:nvSpPr>
        <xdr:cNvPr id="1767" name="AutoShape 74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21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743</xdr:row>
      <xdr:rowOff>0</xdr:rowOff>
    </xdr:from>
    <xdr:to>
      <xdr:col>5</xdr:col>
      <xdr:colOff>304800</xdr:colOff>
      <xdr:row>744</xdr:row>
      <xdr:rowOff>114300</xdr:rowOff>
    </xdr:to>
    <xdr:sp macro="" textlink="">
      <xdr:nvSpPr>
        <xdr:cNvPr id="1768" name="AutoShape 74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21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745</xdr:row>
      <xdr:rowOff>0</xdr:rowOff>
    </xdr:from>
    <xdr:to>
      <xdr:col>4</xdr:col>
      <xdr:colOff>304800</xdr:colOff>
      <xdr:row>746</xdr:row>
      <xdr:rowOff>114300</xdr:rowOff>
    </xdr:to>
    <xdr:sp macro="" textlink="">
      <xdr:nvSpPr>
        <xdr:cNvPr id="1769" name="AutoShape 7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80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745</xdr:row>
      <xdr:rowOff>0</xdr:rowOff>
    </xdr:from>
    <xdr:to>
      <xdr:col>5</xdr:col>
      <xdr:colOff>304800</xdr:colOff>
      <xdr:row>746</xdr:row>
      <xdr:rowOff>114300</xdr:rowOff>
    </xdr:to>
    <xdr:sp macro="" textlink="">
      <xdr:nvSpPr>
        <xdr:cNvPr id="1770" name="AutoShape 74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80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747</xdr:row>
      <xdr:rowOff>0</xdr:rowOff>
    </xdr:from>
    <xdr:to>
      <xdr:col>4</xdr:col>
      <xdr:colOff>304800</xdr:colOff>
      <xdr:row>748</xdr:row>
      <xdr:rowOff>114300</xdr:rowOff>
    </xdr:to>
    <xdr:sp macro="" textlink="">
      <xdr:nvSpPr>
        <xdr:cNvPr id="1771" name="AutoShape 74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19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747</xdr:row>
      <xdr:rowOff>0</xdr:rowOff>
    </xdr:from>
    <xdr:to>
      <xdr:col>5</xdr:col>
      <xdr:colOff>304800</xdr:colOff>
      <xdr:row>748</xdr:row>
      <xdr:rowOff>114300</xdr:rowOff>
    </xdr:to>
    <xdr:sp macro="" textlink="">
      <xdr:nvSpPr>
        <xdr:cNvPr id="1772" name="AutoShape 74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19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749</xdr:row>
      <xdr:rowOff>0</xdr:rowOff>
    </xdr:from>
    <xdr:to>
      <xdr:col>4</xdr:col>
      <xdr:colOff>304800</xdr:colOff>
      <xdr:row>750</xdr:row>
      <xdr:rowOff>114300</xdr:rowOff>
    </xdr:to>
    <xdr:sp macro="" textlink="">
      <xdr:nvSpPr>
        <xdr:cNvPr id="1773" name="AutoShape 74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77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749</xdr:row>
      <xdr:rowOff>0</xdr:rowOff>
    </xdr:from>
    <xdr:to>
      <xdr:col>5</xdr:col>
      <xdr:colOff>304800</xdr:colOff>
      <xdr:row>750</xdr:row>
      <xdr:rowOff>114300</xdr:rowOff>
    </xdr:to>
    <xdr:sp macro="" textlink="">
      <xdr:nvSpPr>
        <xdr:cNvPr id="1774" name="AutoShape 75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77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751</xdr:row>
      <xdr:rowOff>0</xdr:rowOff>
    </xdr:from>
    <xdr:to>
      <xdr:col>4</xdr:col>
      <xdr:colOff>304800</xdr:colOff>
      <xdr:row>752</xdr:row>
      <xdr:rowOff>114300</xdr:rowOff>
    </xdr:to>
    <xdr:sp macro="" textlink="">
      <xdr:nvSpPr>
        <xdr:cNvPr id="1775" name="AutoShape 75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3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751</xdr:row>
      <xdr:rowOff>0</xdr:rowOff>
    </xdr:from>
    <xdr:to>
      <xdr:col>5</xdr:col>
      <xdr:colOff>304800</xdr:colOff>
      <xdr:row>752</xdr:row>
      <xdr:rowOff>114300</xdr:rowOff>
    </xdr:to>
    <xdr:sp macro="" textlink="">
      <xdr:nvSpPr>
        <xdr:cNvPr id="1776" name="AutoShape 75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3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753</xdr:row>
      <xdr:rowOff>0</xdr:rowOff>
    </xdr:from>
    <xdr:to>
      <xdr:col>4</xdr:col>
      <xdr:colOff>304800</xdr:colOff>
      <xdr:row>754</xdr:row>
      <xdr:rowOff>114300</xdr:rowOff>
    </xdr:to>
    <xdr:sp macro="" textlink="">
      <xdr:nvSpPr>
        <xdr:cNvPr id="1777" name="AutoShape 75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753</xdr:row>
      <xdr:rowOff>0</xdr:rowOff>
    </xdr:from>
    <xdr:to>
      <xdr:col>5</xdr:col>
      <xdr:colOff>304800</xdr:colOff>
      <xdr:row>754</xdr:row>
      <xdr:rowOff>114300</xdr:rowOff>
    </xdr:to>
    <xdr:sp macro="" textlink="">
      <xdr:nvSpPr>
        <xdr:cNvPr id="1778" name="AutoShape 75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755</xdr:row>
      <xdr:rowOff>0</xdr:rowOff>
    </xdr:from>
    <xdr:to>
      <xdr:col>4</xdr:col>
      <xdr:colOff>304800</xdr:colOff>
      <xdr:row>756</xdr:row>
      <xdr:rowOff>114300</xdr:rowOff>
    </xdr:to>
    <xdr:sp macro="" textlink="">
      <xdr:nvSpPr>
        <xdr:cNvPr id="1779" name="AutoShape 75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751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755</xdr:row>
      <xdr:rowOff>0</xdr:rowOff>
    </xdr:from>
    <xdr:to>
      <xdr:col>5</xdr:col>
      <xdr:colOff>304800</xdr:colOff>
      <xdr:row>756</xdr:row>
      <xdr:rowOff>114300</xdr:rowOff>
    </xdr:to>
    <xdr:sp macro="" textlink="">
      <xdr:nvSpPr>
        <xdr:cNvPr id="1780" name="AutoShape 75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751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757</xdr:row>
      <xdr:rowOff>0</xdr:rowOff>
    </xdr:from>
    <xdr:to>
      <xdr:col>4</xdr:col>
      <xdr:colOff>304800</xdr:colOff>
      <xdr:row>758</xdr:row>
      <xdr:rowOff>114300</xdr:rowOff>
    </xdr:to>
    <xdr:sp macro="" textlink="">
      <xdr:nvSpPr>
        <xdr:cNvPr id="1781" name="AutoShape 75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0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757</xdr:row>
      <xdr:rowOff>0</xdr:rowOff>
    </xdr:from>
    <xdr:to>
      <xdr:col>5</xdr:col>
      <xdr:colOff>304800</xdr:colOff>
      <xdr:row>758</xdr:row>
      <xdr:rowOff>114300</xdr:rowOff>
    </xdr:to>
    <xdr:sp macro="" textlink="">
      <xdr:nvSpPr>
        <xdr:cNvPr id="1782" name="AutoShape 7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0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759</xdr:row>
      <xdr:rowOff>0</xdr:rowOff>
    </xdr:from>
    <xdr:to>
      <xdr:col>4</xdr:col>
      <xdr:colOff>304800</xdr:colOff>
      <xdr:row>760</xdr:row>
      <xdr:rowOff>76200</xdr:rowOff>
    </xdr:to>
    <xdr:sp macro="" textlink="">
      <xdr:nvSpPr>
        <xdr:cNvPr id="1783" name="AutoShape 7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6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759</xdr:row>
      <xdr:rowOff>0</xdr:rowOff>
    </xdr:from>
    <xdr:to>
      <xdr:col>5</xdr:col>
      <xdr:colOff>304800</xdr:colOff>
      <xdr:row>760</xdr:row>
      <xdr:rowOff>76200</xdr:rowOff>
    </xdr:to>
    <xdr:sp macro="" textlink="">
      <xdr:nvSpPr>
        <xdr:cNvPr id="1784" name="AutoShape 76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6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761</xdr:row>
      <xdr:rowOff>0</xdr:rowOff>
    </xdr:from>
    <xdr:to>
      <xdr:col>4</xdr:col>
      <xdr:colOff>304800</xdr:colOff>
      <xdr:row>762</xdr:row>
      <xdr:rowOff>114300</xdr:rowOff>
    </xdr:to>
    <xdr:sp macro="" textlink="">
      <xdr:nvSpPr>
        <xdr:cNvPr id="1785" name="AutoShape 76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761</xdr:row>
      <xdr:rowOff>0</xdr:rowOff>
    </xdr:from>
    <xdr:to>
      <xdr:col>5</xdr:col>
      <xdr:colOff>304800</xdr:colOff>
      <xdr:row>762</xdr:row>
      <xdr:rowOff>114300</xdr:rowOff>
    </xdr:to>
    <xdr:sp macro="" textlink="">
      <xdr:nvSpPr>
        <xdr:cNvPr id="1786" name="AutoShape 76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763</xdr:row>
      <xdr:rowOff>0</xdr:rowOff>
    </xdr:from>
    <xdr:to>
      <xdr:col>4</xdr:col>
      <xdr:colOff>304800</xdr:colOff>
      <xdr:row>764</xdr:row>
      <xdr:rowOff>76200</xdr:rowOff>
    </xdr:to>
    <xdr:sp macro="" textlink="">
      <xdr:nvSpPr>
        <xdr:cNvPr id="1787" name="AutoShape 76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6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763</xdr:row>
      <xdr:rowOff>0</xdr:rowOff>
    </xdr:from>
    <xdr:to>
      <xdr:col>5</xdr:col>
      <xdr:colOff>304800</xdr:colOff>
      <xdr:row>764</xdr:row>
      <xdr:rowOff>76200</xdr:rowOff>
    </xdr:to>
    <xdr:sp macro="" textlink="">
      <xdr:nvSpPr>
        <xdr:cNvPr id="1788" name="AutoShape 76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6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765</xdr:row>
      <xdr:rowOff>0</xdr:rowOff>
    </xdr:from>
    <xdr:to>
      <xdr:col>4</xdr:col>
      <xdr:colOff>304800</xdr:colOff>
      <xdr:row>766</xdr:row>
      <xdr:rowOff>114300</xdr:rowOff>
    </xdr:to>
    <xdr:sp macro="" textlink="">
      <xdr:nvSpPr>
        <xdr:cNvPr id="1789" name="AutoShape 7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11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765</xdr:row>
      <xdr:rowOff>0</xdr:rowOff>
    </xdr:from>
    <xdr:to>
      <xdr:col>5</xdr:col>
      <xdr:colOff>304800</xdr:colOff>
      <xdr:row>766</xdr:row>
      <xdr:rowOff>114300</xdr:rowOff>
    </xdr:to>
    <xdr:sp macro="" textlink="">
      <xdr:nvSpPr>
        <xdr:cNvPr id="1790" name="AutoShape 76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11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767</xdr:row>
      <xdr:rowOff>0</xdr:rowOff>
    </xdr:from>
    <xdr:to>
      <xdr:col>4</xdr:col>
      <xdr:colOff>304800</xdr:colOff>
      <xdr:row>768</xdr:row>
      <xdr:rowOff>114300</xdr:rowOff>
    </xdr:to>
    <xdr:sp macro="" textlink="">
      <xdr:nvSpPr>
        <xdr:cNvPr id="1791" name="AutoShape 76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69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767</xdr:row>
      <xdr:rowOff>0</xdr:rowOff>
    </xdr:from>
    <xdr:to>
      <xdr:col>5</xdr:col>
      <xdr:colOff>304800</xdr:colOff>
      <xdr:row>768</xdr:row>
      <xdr:rowOff>114300</xdr:rowOff>
    </xdr:to>
    <xdr:sp macro="" textlink="">
      <xdr:nvSpPr>
        <xdr:cNvPr id="1792" name="AutoShape 76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69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769</xdr:row>
      <xdr:rowOff>0</xdr:rowOff>
    </xdr:from>
    <xdr:to>
      <xdr:col>4</xdr:col>
      <xdr:colOff>304800</xdr:colOff>
      <xdr:row>770</xdr:row>
      <xdr:rowOff>114300</xdr:rowOff>
    </xdr:to>
    <xdr:sp macro="" textlink="">
      <xdr:nvSpPr>
        <xdr:cNvPr id="1793" name="AutoShape 76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27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769</xdr:row>
      <xdr:rowOff>0</xdr:rowOff>
    </xdr:from>
    <xdr:to>
      <xdr:col>5</xdr:col>
      <xdr:colOff>304800</xdr:colOff>
      <xdr:row>770</xdr:row>
      <xdr:rowOff>114300</xdr:rowOff>
    </xdr:to>
    <xdr:sp macro="" textlink="">
      <xdr:nvSpPr>
        <xdr:cNvPr id="1794" name="AutoShape 77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27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771</xdr:row>
      <xdr:rowOff>0</xdr:rowOff>
    </xdr:from>
    <xdr:to>
      <xdr:col>4</xdr:col>
      <xdr:colOff>304800</xdr:colOff>
      <xdr:row>772</xdr:row>
      <xdr:rowOff>76200</xdr:rowOff>
    </xdr:to>
    <xdr:sp macro="" textlink="">
      <xdr:nvSpPr>
        <xdr:cNvPr id="1795" name="AutoShape 77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8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771</xdr:row>
      <xdr:rowOff>0</xdr:rowOff>
    </xdr:from>
    <xdr:to>
      <xdr:col>5</xdr:col>
      <xdr:colOff>304800</xdr:colOff>
      <xdr:row>772</xdr:row>
      <xdr:rowOff>76200</xdr:rowOff>
    </xdr:to>
    <xdr:sp macro="" textlink="">
      <xdr:nvSpPr>
        <xdr:cNvPr id="1796" name="AutoShape 77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8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773</xdr:row>
      <xdr:rowOff>0</xdr:rowOff>
    </xdr:from>
    <xdr:to>
      <xdr:col>4</xdr:col>
      <xdr:colOff>304800</xdr:colOff>
      <xdr:row>774</xdr:row>
      <xdr:rowOff>114300</xdr:rowOff>
    </xdr:to>
    <xdr:sp macro="" textlink="">
      <xdr:nvSpPr>
        <xdr:cNvPr id="1797" name="AutoShape 77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28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773</xdr:row>
      <xdr:rowOff>0</xdr:rowOff>
    </xdr:from>
    <xdr:to>
      <xdr:col>5</xdr:col>
      <xdr:colOff>304800</xdr:colOff>
      <xdr:row>774</xdr:row>
      <xdr:rowOff>114300</xdr:rowOff>
    </xdr:to>
    <xdr:sp macro="" textlink="">
      <xdr:nvSpPr>
        <xdr:cNvPr id="1798" name="AutoShape 77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28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775</xdr:row>
      <xdr:rowOff>0</xdr:rowOff>
    </xdr:from>
    <xdr:to>
      <xdr:col>4</xdr:col>
      <xdr:colOff>304800</xdr:colOff>
      <xdr:row>776</xdr:row>
      <xdr:rowOff>114300</xdr:rowOff>
    </xdr:to>
    <xdr:sp macro="" textlink="">
      <xdr:nvSpPr>
        <xdr:cNvPr id="1799" name="AutoShape 775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86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775</xdr:row>
      <xdr:rowOff>0</xdr:rowOff>
    </xdr:from>
    <xdr:to>
      <xdr:col>5</xdr:col>
      <xdr:colOff>304800</xdr:colOff>
      <xdr:row>776</xdr:row>
      <xdr:rowOff>114300</xdr:rowOff>
    </xdr:to>
    <xdr:sp macro="" textlink="">
      <xdr:nvSpPr>
        <xdr:cNvPr id="1800" name="AutoShape 77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86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777</xdr:row>
      <xdr:rowOff>0</xdr:rowOff>
    </xdr:from>
    <xdr:to>
      <xdr:col>4</xdr:col>
      <xdr:colOff>304800</xdr:colOff>
      <xdr:row>778</xdr:row>
      <xdr:rowOff>76200</xdr:rowOff>
    </xdr:to>
    <xdr:sp macro="" textlink="">
      <xdr:nvSpPr>
        <xdr:cNvPr id="1801" name="AutoShape 77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4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777</xdr:row>
      <xdr:rowOff>0</xdr:rowOff>
    </xdr:from>
    <xdr:to>
      <xdr:col>5</xdr:col>
      <xdr:colOff>304800</xdr:colOff>
      <xdr:row>778</xdr:row>
      <xdr:rowOff>76200</xdr:rowOff>
    </xdr:to>
    <xdr:sp macro="" textlink="">
      <xdr:nvSpPr>
        <xdr:cNvPr id="1802" name="AutoShape 77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4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779</xdr:row>
      <xdr:rowOff>0</xdr:rowOff>
    </xdr:from>
    <xdr:to>
      <xdr:col>4</xdr:col>
      <xdr:colOff>304800</xdr:colOff>
      <xdr:row>780</xdr:row>
      <xdr:rowOff>114300</xdr:rowOff>
    </xdr:to>
    <xdr:sp macro="" textlink="">
      <xdr:nvSpPr>
        <xdr:cNvPr id="1803" name="AutoShape 77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87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779</xdr:row>
      <xdr:rowOff>0</xdr:rowOff>
    </xdr:from>
    <xdr:to>
      <xdr:col>5</xdr:col>
      <xdr:colOff>304800</xdr:colOff>
      <xdr:row>780</xdr:row>
      <xdr:rowOff>114300</xdr:rowOff>
    </xdr:to>
    <xdr:sp macro="" textlink="">
      <xdr:nvSpPr>
        <xdr:cNvPr id="1804" name="AutoShape 7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87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781</xdr:row>
      <xdr:rowOff>0</xdr:rowOff>
    </xdr:from>
    <xdr:to>
      <xdr:col>4</xdr:col>
      <xdr:colOff>304800</xdr:colOff>
      <xdr:row>782</xdr:row>
      <xdr:rowOff>114300</xdr:rowOff>
    </xdr:to>
    <xdr:sp macro="" textlink="">
      <xdr:nvSpPr>
        <xdr:cNvPr id="1805" name="AutoShape 7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4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781</xdr:row>
      <xdr:rowOff>0</xdr:rowOff>
    </xdr:from>
    <xdr:to>
      <xdr:col>5</xdr:col>
      <xdr:colOff>304800</xdr:colOff>
      <xdr:row>782</xdr:row>
      <xdr:rowOff>114300</xdr:rowOff>
    </xdr:to>
    <xdr:sp macro="" textlink="">
      <xdr:nvSpPr>
        <xdr:cNvPr id="1806" name="AutoShape 78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4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783</xdr:row>
      <xdr:rowOff>0</xdr:rowOff>
    </xdr:from>
    <xdr:to>
      <xdr:col>4</xdr:col>
      <xdr:colOff>304800</xdr:colOff>
      <xdr:row>784</xdr:row>
      <xdr:rowOff>114300</xdr:rowOff>
    </xdr:to>
    <xdr:sp macro="" textlink="">
      <xdr:nvSpPr>
        <xdr:cNvPr id="1807" name="AutoShape 7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2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783</xdr:row>
      <xdr:rowOff>0</xdr:rowOff>
    </xdr:from>
    <xdr:to>
      <xdr:col>5</xdr:col>
      <xdr:colOff>304800</xdr:colOff>
      <xdr:row>784</xdr:row>
      <xdr:rowOff>114300</xdr:rowOff>
    </xdr:to>
    <xdr:sp macro="" textlink="">
      <xdr:nvSpPr>
        <xdr:cNvPr id="1808" name="AutoShape 78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2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785</xdr:row>
      <xdr:rowOff>0</xdr:rowOff>
    </xdr:from>
    <xdr:to>
      <xdr:col>4</xdr:col>
      <xdr:colOff>304800</xdr:colOff>
      <xdr:row>786</xdr:row>
      <xdr:rowOff>114300</xdr:rowOff>
    </xdr:to>
    <xdr:sp macro="" textlink="">
      <xdr:nvSpPr>
        <xdr:cNvPr id="1809" name="AutoShape 78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785</xdr:row>
      <xdr:rowOff>0</xdr:rowOff>
    </xdr:from>
    <xdr:to>
      <xdr:col>5</xdr:col>
      <xdr:colOff>304800</xdr:colOff>
      <xdr:row>786</xdr:row>
      <xdr:rowOff>114300</xdr:rowOff>
    </xdr:to>
    <xdr:sp macro="" textlink="">
      <xdr:nvSpPr>
        <xdr:cNvPr id="1810" name="AutoShape 78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787</xdr:row>
      <xdr:rowOff>0</xdr:rowOff>
    </xdr:from>
    <xdr:to>
      <xdr:col>4</xdr:col>
      <xdr:colOff>304800</xdr:colOff>
      <xdr:row>788</xdr:row>
      <xdr:rowOff>114300</xdr:rowOff>
    </xdr:to>
    <xdr:sp macro="" textlink="">
      <xdr:nvSpPr>
        <xdr:cNvPr id="1811" name="AutoShape 78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39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787</xdr:row>
      <xdr:rowOff>0</xdr:rowOff>
    </xdr:from>
    <xdr:to>
      <xdr:col>5</xdr:col>
      <xdr:colOff>304800</xdr:colOff>
      <xdr:row>788</xdr:row>
      <xdr:rowOff>114300</xdr:rowOff>
    </xdr:to>
    <xdr:sp macro="" textlink="">
      <xdr:nvSpPr>
        <xdr:cNvPr id="1812" name="AutoShape 78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39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789</xdr:row>
      <xdr:rowOff>0</xdr:rowOff>
    </xdr:from>
    <xdr:to>
      <xdr:col>4</xdr:col>
      <xdr:colOff>304800</xdr:colOff>
      <xdr:row>790</xdr:row>
      <xdr:rowOff>114300</xdr:rowOff>
    </xdr:to>
    <xdr:sp macro="" textlink="">
      <xdr:nvSpPr>
        <xdr:cNvPr id="1813" name="AutoShape 78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9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789</xdr:row>
      <xdr:rowOff>0</xdr:rowOff>
    </xdr:from>
    <xdr:to>
      <xdr:col>5</xdr:col>
      <xdr:colOff>304800</xdr:colOff>
      <xdr:row>790</xdr:row>
      <xdr:rowOff>114300</xdr:rowOff>
    </xdr:to>
    <xdr:sp macro="" textlink="">
      <xdr:nvSpPr>
        <xdr:cNvPr id="1814" name="AutoShape 79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9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791</xdr:row>
      <xdr:rowOff>0</xdr:rowOff>
    </xdr:from>
    <xdr:to>
      <xdr:col>4</xdr:col>
      <xdr:colOff>304800</xdr:colOff>
      <xdr:row>792</xdr:row>
      <xdr:rowOff>76200</xdr:rowOff>
    </xdr:to>
    <xdr:sp macro="" textlink="">
      <xdr:nvSpPr>
        <xdr:cNvPr id="1815" name="AutoShape 79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55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791</xdr:row>
      <xdr:rowOff>0</xdr:rowOff>
    </xdr:from>
    <xdr:to>
      <xdr:col>5</xdr:col>
      <xdr:colOff>304800</xdr:colOff>
      <xdr:row>792</xdr:row>
      <xdr:rowOff>76200</xdr:rowOff>
    </xdr:to>
    <xdr:sp macro="" textlink="">
      <xdr:nvSpPr>
        <xdr:cNvPr id="1816" name="AutoShape 79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55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793</xdr:row>
      <xdr:rowOff>0</xdr:rowOff>
    </xdr:from>
    <xdr:to>
      <xdr:col>4</xdr:col>
      <xdr:colOff>304800</xdr:colOff>
      <xdr:row>794</xdr:row>
      <xdr:rowOff>114300</xdr:rowOff>
    </xdr:to>
    <xdr:sp macro="" textlink="">
      <xdr:nvSpPr>
        <xdr:cNvPr id="1817" name="AutoShape 79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9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793</xdr:row>
      <xdr:rowOff>0</xdr:rowOff>
    </xdr:from>
    <xdr:to>
      <xdr:col>5</xdr:col>
      <xdr:colOff>304800</xdr:colOff>
      <xdr:row>794</xdr:row>
      <xdr:rowOff>114300</xdr:rowOff>
    </xdr:to>
    <xdr:sp macro="" textlink="">
      <xdr:nvSpPr>
        <xdr:cNvPr id="1818" name="AutoShape 79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9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795</xdr:row>
      <xdr:rowOff>0</xdr:rowOff>
    </xdr:from>
    <xdr:to>
      <xdr:col>4</xdr:col>
      <xdr:colOff>304800</xdr:colOff>
      <xdr:row>796</xdr:row>
      <xdr:rowOff>114300</xdr:rowOff>
    </xdr:to>
    <xdr:sp macro="" textlink="">
      <xdr:nvSpPr>
        <xdr:cNvPr id="1819" name="AutoShape 79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56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795</xdr:row>
      <xdr:rowOff>0</xdr:rowOff>
    </xdr:from>
    <xdr:to>
      <xdr:col>5</xdr:col>
      <xdr:colOff>304800</xdr:colOff>
      <xdr:row>796</xdr:row>
      <xdr:rowOff>114300</xdr:rowOff>
    </xdr:to>
    <xdr:sp macro="" textlink="">
      <xdr:nvSpPr>
        <xdr:cNvPr id="1820" name="AutoShape 79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56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797</xdr:row>
      <xdr:rowOff>0</xdr:rowOff>
    </xdr:from>
    <xdr:to>
      <xdr:col>4</xdr:col>
      <xdr:colOff>304800</xdr:colOff>
      <xdr:row>798</xdr:row>
      <xdr:rowOff>76200</xdr:rowOff>
    </xdr:to>
    <xdr:sp macro="" textlink="">
      <xdr:nvSpPr>
        <xdr:cNvPr id="1821" name="AutoShape 79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14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797</xdr:row>
      <xdr:rowOff>0</xdr:rowOff>
    </xdr:from>
    <xdr:to>
      <xdr:col>5</xdr:col>
      <xdr:colOff>304800</xdr:colOff>
      <xdr:row>798</xdr:row>
      <xdr:rowOff>76200</xdr:rowOff>
    </xdr:to>
    <xdr:sp macro="" textlink="">
      <xdr:nvSpPr>
        <xdr:cNvPr id="1822" name="AutoShape 79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14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799</xdr:row>
      <xdr:rowOff>0</xdr:rowOff>
    </xdr:from>
    <xdr:to>
      <xdr:col>4</xdr:col>
      <xdr:colOff>304800</xdr:colOff>
      <xdr:row>800</xdr:row>
      <xdr:rowOff>114300</xdr:rowOff>
    </xdr:to>
    <xdr:sp macro="" textlink="">
      <xdr:nvSpPr>
        <xdr:cNvPr id="1823" name="AutoShape 79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57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799</xdr:row>
      <xdr:rowOff>0</xdr:rowOff>
    </xdr:from>
    <xdr:to>
      <xdr:col>5</xdr:col>
      <xdr:colOff>304800</xdr:colOff>
      <xdr:row>800</xdr:row>
      <xdr:rowOff>114300</xdr:rowOff>
    </xdr:to>
    <xdr:sp macro="" textlink="">
      <xdr:nvSpPr>
        <xdr:cNvPr id="1824" name="AutoShape 80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57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801</xdr:row>
      <xdr:rowOff>0</xdr:rowOff>
    </xdr:from>
    <xdr:to>
      <xdr:col>4</xdr:col>
      <xdr:colOff>304800</xdr:colOff>
      <xdr:row>802</xdr:row>
      <xdr:rowOff>76200</xdr:rowOff>
    </xdr:to>
    <xdr:sp macro="" textlink="">
      <xdr:nvSpPr>
        <xdr:cNvPr id="1825" name="AutoShape 80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96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801</xdr:row>
      <xdr:rowOff>0</xdr:rowOff>
    </xdr:from>
    <xdr:to>
      <xdr:col>5</xdr:col>
      <xdr:colOff>304800</xdr:colOff>
      <xdr:row>802</xdr:row>
      <xdr:rowOff>76200</xdr:rowOff>
    </xdr:to>
    <xdr:sp macro="" textlink="">
      <xdr:nvSpPr>
        <xdr:cNvPr id="1826" name="AutoShape 80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96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803</xdr:row>
      <xdr:rowOff>0</xdr:rowOff>
    </xdr:from>
    <xdr:to>
      <xdr:col>4</xdr:col>
      <xdr:colOff>304800</xdr:colOff>
      <xdr:row>804</xdr:row>
      <xdr:rowOff>114300</xdr:rowOff>
    </xdr:to>
    <xdr:sp macro="" textlink="">
      <xdr:nvSpPr>
        <xdr:cNvPr id="1827" name="AutoShape 80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3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803</xdr:row>
      <xdr:rowOff>0</xdr:rowOff>
    </xdr:from>
    <xdr:to>
      <xdr:col>5</xdr:col>
      <xdr:colOff>304800</xdr:colOff>
      <xdr:row>804</xdr:row>
      <xdr:rowOff>114300</xdr:rowOff>
    </xdr:to>
    <xdr:sp macro="" textlink="">
      <xdr:nvSpPr>
        <xdr:cNvPr id="1828" name="AutoShape 80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3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805</xdr:row>
      <xdr:rowOff>0</xdr:rowOff>
    </xdr:from>
    <xdr:to>
      <xdr:col>4</xdr:col>
      <xdr:colOff>304800</xdr:colOff>
      <xdr:row>806</xdr:row>
      <xdr:rowOff>114300</xdr:rowOff>
    </xdr:to>
    <xdr:sp macro="" textlink="">
      <xdr:nvSpPr>
        <xdr:cNvPr id="1829" name="AutoShape 80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9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805</xdr:row>
      <xdr:rowOff>0</xdr:rowOff>
    </xdr:from>
    <xdr:to>
      <xdr:col>5</xdr:col>
      <xdr:colOff>304800</xdr:colOff>
      <xdr:row>806</xdr:row>
      <xdr:rowOff>114300</xdr:rowOff>
    </xdr:to>
    <xdr:sp macro="" textlink="">
      <xdr:nvSpPr>
        <xdr:cNvPr id="1830" name="AutoShape 80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9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807</xdr:row>
      <xdr:rowOff>0</xdr:rowOff>
    </xdr:from>
    <xdr:to>
      <xdr:col>4</xdr:col>
      <xdr:colOff>304800</xdr:colOff>
      <xdr:row>808</xdr:row>
      <xdr:rowOff>114300</xdr:rowOff>
    </xdr:to>
    <xdr:sp macro="" textlink="">
      <xdr:nvSpPr>
        <xdr:cNvPr id="1831" name="AutoShape 80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55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807</xdr:row>
      <xdr:rowOff>0</xdr:rowOff>
    </xdr:from>
    <xdr:to>
      <xdr:col>5</xdr:col>
      <xdr:colOff>304800</xdr:colOff>
      <xdr:row>808</xdr:row>
      <xdr:rowOff>114300</xdr:rowOff>
    </xdr:to>
    <xdr:sp macro="" textlink="">
      <xdr:nvSpPr>
        <xdr:cNvPr id="1832" name="AutoShape 80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55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809</xdr:row>
      <xdr:rowOff>0</xdr:rowOff>
    </xdr:from>
    <xdr:to>
      <xdr:col>4</xdr:col>
      <xdr:colOff>304800</xdr:colOff>
      <xdr:row>810</xdr:row>
      <xdr:rowOff>114300</xdr:rowOff>
    </xdr:to>
    <xdr:sp macro="" textlink="">
      <xdr:nvSpPr>
        <xdr:cNvPr id="1833" name="AutoShape 80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13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809</xdr:row>
      <xdr:rowOff>0</xdr:rowOff>
    </xdr:from>
    <xdr:to>
      <xdr:col>5</xdr:col>
      <xdr:colOff>304800</xdr:colOff>
      <xdr:row>810</xdr:row>
      <xdr:rowOff>114300</xdr:rowOff>
    </xdr:to>
    <xdr:sp macro="" textlink="">
      <xdr:nvSpPr>
        <xdr:cNvPr id="1834" name="AutoShape 81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13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811</xdr:row>
      <xdr:rowOff>0</xdr:rowOff>
    </xdr:from>
    <xdr:to>
      <xdr:col>4</xdr:col>
      <xdr:colOff>304800</xdr:colOff>
      <xdr:row>812</xdr:row>
      <xdr:rowOff>114300</xdr:rowOff>
    </xdr:to>
    <xdr:sp macro="" textlink="">
      <xdr:nvSpPr>
        <xdr:cNvPr id="1835" name="AutoShape 81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71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811</xdr:row>
      <xdr:rowOff>0</xdr:rowOff>
    </xdr:from>
    <xdr:to>
      <xdr:col>5</xdr:col>
      <xdr:colOff>304800</xdr:colOff>
      <xdr:row>812</xdr:row>
      <xdr:rowOff>114300</xdr:rowOff>
    </xdr:to>
    <xdr:sp macro="" textlink="">
      <xdr:nvSpPr>
        <xdr:cNvPr id="1836" name="AutoShape 81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71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813</xdr:row>
      <xdr:rowOff>0</xdr:rowOff>
    </xdr:from>
    <xdr:to>
      <xdr:col>4</xdr:col>
      <xdr:colOff>304800</xdr:colOff>
      <xdr:row>814</xdr:row>
      <xdr:rowOff>114300</xdr:rowOff>
    </xdr:to>
    <xdr:sp macro="" textlink="">
      <xdr:nvSpPr>
        <xdr:cNvPr id="1837" name="AutoShape 81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29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813</xdr:row>
      <xdr:rowOff>0</xdr:rowOff>
    </xdr:from>
    <xdr:to>
      <xdr:col>5</xdr:col>
      <xdr:colOff>304800</xdr:colOff>
      <xdr:row>814</xdr:row>
      <xdr:rowOff>114300</xdr:rowOff>
    </xdr:to>
    <xdr:sp macro="" textlink="">
      <xdr:nvSpPr>
        <xdr:cNvPr id="1838" name="AutoShape 81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29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815</xdr:row>
      <xdr:rowOff>0</xdr:rowOff>
    </xdr:from>
    <xdr:to>
      <xdr:col>4</xdr:col>
      <xdr:colOff>304800</xdr:colOff>
      <xdr:row>816</xdr:row>
      <xdr:rowOff>76200</xdr:rowOff>
    </xdr:to>
    <xdr:sp macro="" textlink="">
      <xdr:nvSpPr>
        <xdr:cNvPr id="1839" name="AutoShape 8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87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815</xdr:row>
      <xdr:rowOff>0</xdr:rowOff>
    </xdr:from>
    <xdr:to>
      <xdr:col>5</xdr:col>
      <xdr:colOff>304800</xdr:colOff>
      <xdr:row>816</xdr:row>
      <xdr:rowOff>76200</xdr:rowOff>
    </xdr:to>
    <xdr:sp macro="" textlink="">
      <xdr:nvSpPr>
        <xdr:cNvPr id="1840" name="AutoShape 81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87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817</xdr:row>
      <xdr:rowOff>0</xdr:rowOff>
    </xdr:from>
    <xdr:to>
      <xdr:col>4</xdr:col>
      <xdr:colOff>304800</xdr:colOff>
      <xdr:row>818</xdr:row>
      <xdr:rowOff>114300</xdr:rowOff>
    </xdr:to>
    <xdr:sp macro="" textlink="">
      <xdr:nvSpPr>
        <xdr:cNvPr id="1841" name="AutoShape 81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43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817</xdr:row>
      <xdr:rowOff>0</xdr:rowOff>
    </xdr:from>
    <xdr:to>
      <xdr:col>5</xdr:col>
      <xdr:colOff>304800</xdr:colOff>
      <xdr:row>818</xdr:row>
      <xdr:rowOff>114300</xdr:rowOff>
    </xdr:to>
    <xdr:sp macro="" textlink="">
      <xdr:nvSpPr>
        <xdr:cNvPr id="1842" name="AutoShape 81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43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819</xdr:row>
      <xdr:rowOff>0</xdr:rowOff>
    </xdr:from>
    <xdr:to>
      <xdr:col>4</xdr:col>
      <xdr:colOff>304800</xdr:colOff>
      <xdr:row>820</xdr:row>
      <xdr:rowOff>114300</xdr:rowOff>
    </xdr:to>
    <xdr:sp macro="" textlink="">
      <xdr:nvSpPr>
        <xdr:cNvPr id="1843" name="AutoShape 81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488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819</xdr:row>
      <xdr:rowOff>0</xdr:rowOff>
    </xdr:from>
    <xdr:to>
      <xdr:col>5</xdr:col>
      <xdr:colOff>304800</xdr:colOff>
      <xdr:row>820</xdr:row>
      <xdr:rowOff>114300</xdr:rowOff>
    </xdr:to>
    <xdr:sp macro="" textlink="">
      <xdr:nvSpPr>
        <xdr:cNvPr id="1844" name="AutoShape 82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488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821</xdr:row>
      <xdr:rowOff>0</xdr:rowOff>
    </xdr:from>
    <xdr:to>
      <xdr:col>4</xdr:col>
      <xdr:colOff>304800</xdr:colOff>
      <xdr:row>822</xdr:row>
      <xdr:rowOff>114300</xdr:rowOff>
    </xdr:to>
    <xdr:sp macro="" textlink="">
      <xdr:nvSpPr>
        <xdr:cNvPr id="1845" name="AutoShape 82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54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821</xdr:row>
      <xdr:rowOff>0</xdr:rowOff>
    </xdr:from>
    <xdr:to>
      <xdr:col>5</xdr:col>
      <xdr:colOff>304800</xdr:colOff>
      <xdr:row>822</xdr:row>
      <xdr:rowOff>114300</xdr:rowOff>
    </xdr:to>
    <xdr:sp macro="" textlink="">
      <xdr:nvSpPr>
        <xdr:cNvPr id="1846" name="AutoShape 82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54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823</xdr:row>
      <xdr:rowOff>0</xdr:rowOff>
    </xdr:from>
    <xdr:to>
      <xdr:col>4</xdr:col>
      <xdr:colOff>304800</xdr:colOff>
      <xdr:row>824</xdr:row>
      <xdr:rowOff>76200</xdr:rowOff>
    </xdr:to>
    <xdr:sp macro="" textlink="">
      <xdr:nvSpPr>
        <xdr:cNvPr id="1847" name="AutoShape 82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605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823</xdr:row>
      <xdr:rowOff>0</xdr:rowOff>
    </xdr:from>
    <xdr:to>
      <xdr:col>5</xdr:col>
      <xdr:colOff>304800</xdr:colOff>
      <xdr:row>824</xdr:row>
      <xdr:rowOff>76200</xdr:rowOff>
    </xdr:to>
    <xdr:sp macro="" textlink="">
      <xdr:nvSpPr>
        <xdr:cNvPr id="1848" name="AutoShape 82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605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825</xdr:row>
      <xdr:rowOff>0</xdr:rowOff>
    </xdr:from>
    <xdr:to>
      <xdr:col>4</xdr:col>
      <xdr:colOff>304800</xdr:colOff>
      <xdr:row>826</xdr:row>
      <xdr:rowOff>114300</xdr:rowOff>
    </xdr:to>
    <xdr:sp macro="" textlink="">
      <xdr:nvSpPr>
        <xdr:cNvPr id="1849" name="AutoShape 82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64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825</xdr:row>
      <xdr:rowOff>0</xdr:rowOff>
    </xdr:from>
    <xdr:to>
      <xdr:col>5</xdr:col>
      <xdr:colOff>304800</xdr:colOff>
      <xdr:row>826</xdr:row>
      <xdr:rowOff>114300</xdr:rowOff>
    </xdr:to>
    <xdr:sp macro="" textlink="">
      <xdr:nvSpPr>
        <xdr:cNvPr id="1850" name="AutoShape 8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64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827</xdr:row>
      <xdr:rowOff>0</xdr:rowOff>
    </xdr:from>
    <xdr:to>
      <xdr:col>4</xdr:col>
      <xdr:colOff>304800</xdr:colOff>
      <xdr:row>828</xdr:row>
      <xdr:rowOff>114300</xdr:rowOff>
    </xdr:to>
    <xdr:sp macro="" textlink="">
      <xdr:nvSpPr>
        <xdr:cNvPr id="1851" name="AutoShape 82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70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827</xdr:row>
      <xdr:rowOff>0</xdr:rowOff>
    </xdr:from>
    <xdr:to>
      <xdr:col>5</xdr:col>
      <xdr:colOff>304800</xdr:colOff>
      <xdr:row>828</xdr:row>
      <xdr:rowOff>114300</xdr:rowOff>
    </xdr:to>
    <xdr:sp macro="" textlink="">
      <xdr:nvSpPr>
        <xdr:cNvPr id="1852" name="AutoShape 82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70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829</xdr:row>
      <xdr:rowOff>0</xdr:rowOff>
    </xdr:from>
    <xdr:to>
      <xdr:col>4</xdr:col>
      <xdr:colOff>304800</xdr:colOff>
      <xdr:row>830</xdr:row>
      <xdr:rowOff>114300</xdr:rowOff>
    </xdr:to>
    <xdr:sp macro="" textlink="">
      <xdr:nvSpPr>
        <xdr:cNvPr id="1853" name="AutoShape 8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76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829</xdr:row>
      <xdr:rowOff>0</xdr:rowOff>
    </xdr:from>
    <xdr:to>
      <xdr:col>5</xdr:col>
      <xdr:colOff>304800</xdr:colOff>
      <xdr:row>830</xdr:row>
      <xdr:rowOff>114300</xdr:rowOff>
    </xdr:to>
    <xdr:sp macro="" textlink="">
      <xdr:nvSpPr>
        <xdr:cNvPr id="1854" name="AutoShape 83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76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831</xdr:row>
      <xdr:rowOff>0</xdr:rowOff>
    </xdr:from>
    <xdr:to>
      <xdr:col>4</xdr:col>
      <xdr:colOff>304800</xdr:colOff>
      <xdr:row>832</xdr:row>
      <xdr:rowOff>76200</xdr:rowOff>
    </xdr:to>
    <xdr:sp macro="" textlink="">
      <xdr:nvSpPr>
        <xdr:cNvPr id="1855" name="AutoShape 8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82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831</xdr:row>
      <xdr:rowOff>0</xdr:rowOff>
    </xdr:from>
    <xdr:to>
      <xdr:col>5</xdr:col>
      <xdr:colOff>304800</xdr:colOff>
      <xdr:row>832</xdr:row>
      <xdr:rowOff>76200</xdr:rowOff>
    </xdr:to>
    <xdr:sp macro="" textlink="">
      <xdr:nvSpPr>
        <xdr:cNvPr id="1856" name="AutoShape 8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82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833</xdr:row>
      <xdr:rowOff>0</xdr:rowOff>
    </xdr:from>
    <xdr:to>
      <xdr:col>4</xdr:col>
      <xdr:colOff>304800</xdr:colOff>
      <xdr:row>834</xdr:row>
      <xdr:rowOff>114300</xdr:rowOff>
    </xdr:to>
    <xdr:sp macro="" textlink="">
      <xdr:nvSpPr>
        <xdr:cNvPr id="1857" name="AutoShape 83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865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833</xdr:row>
      <xdr:rowOff>0</xdr:rowOff>
    </xdr:from>
    <xdr:to>
      <xdr:col>5</xdr:col>
      <xdr:colOff>304800</xdr:colOff>
      <xdr:row>834</xdr:row>
      <xdr:rowOff>114300</xdr:rowOff>
    </xdr:to>
    <xdr:sp macro="" textlink="">
      <xdr:nvSpPr>
        <xdr:cNvPr id="1858" name="AutoShape 83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865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835</xdr:row>
      <xdr:rowOff>0</xdr:rowOff>
    </xdr:from>
    <xdr:to>
      <xdr:col>4</xdr:col>
      <xdr:colOff>304800</xdr:colOff>
      <xdr:row>836</xdr:row>
      <xdr:rowOff>114300</xdr:rowOff>
    </xdr:to>
    <xdr:sp macro="" textlink="">
      <xdr:nvSpPr>
        <xdr:cNvPr id="1859" name="AutoShape 83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92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835</xdr:row>
      <xdr:rowOff>0</xdr:rowOff>
    </xdr:from>
    <xdr:to>
      <xdr:col>5</xdr:col>
      <xdr:colOff>304800</xdr:colOff>
      <xdr:row>836</xdr:row>
      <xdr:rowOff>114300</xdr:rowOff>
    </xdr:to>
    <xdr:sp macro="" textlink="">
      <xdr:nvSpPr>
        <xdr:cNvPr id="1860" name="AutoShape 8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92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837</xdr:row>
      <xdr:rowOff>0</xdr:rowOff>
    </xdr:from>
    <xdr:to>
      <xdr:col>4</xdr:col>
      <xdr:colOff>304800</xdr:colOff>
      <xdr:row>838</xdr:row>
      <xdr:rowOff>76200</xdr:rowOff>
    </xdr:to>
    <xdr:sp macro="" textlink="">
      <xdr:nvSpPr>
        <xdr:cNvPr id="1861" name="AutoShape 83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98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837</xdr:row>
      <xdr:rowOff>0</xdr:rowOff>
    </xdr:from>
    <xdr:to>
      <xdr:col>5</xdr:col>
      <xdr:colOff>304800</xdr:colOff>
      <xdr:row>838</xdr:row>
      <xdr:rowOff>76200</xdr:rowOff>
    </xdr:to>
    <xdr:sp macro="" textlink="">
      <xdr:nvSpPr>
        <xdr:cNvPr id="1862" name="AutoShape 83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98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839</xdr:row>
      <xdr:rowOff>0</xdr:rowOff>
    </xdr:from>
    <xdr:to>
      <xdr:col>4</xdr:col>
      <xdr:colOff>304800</xdr:colOff>
      <xdr:row>840</xdr:row>
      <xdr:rowOff>114300</xdr:rowOff>
    </xdr:to>
    <xdr:sp macro="" textlink="">
      <xdr:nvSpPr>
        <xdr:cNvPr id="1863" name="AutoShape 83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02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839</xdr:row>
      <xdr:rowOff>0</xdr:rowOff>
    </xdr:from>
    <xdr:to>
      <xdr:col>5</xdr:col>
      <xdr:colOff>304800</xdr:colOff>
      <xdr:row>840</xdr:row>
      <xdr:rowOff>114300</xdr:rowOff>
    </xdr:to>
    <xdr:sp macro="" textlink="">
      <xdr:nvSpPr>
        <xdr:cNvPr id="1864" name="AutoShape 84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02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841</xdr:row>
      <xdr:rowOff>0</xdr:rowOff>
    </xdr:from>
    <xdr:to>
      <xdr:col>4</xdr:col>
      <xdr:colOff>304800</xdr:colOff>
      <xdr:row>842</xdr:row>
      <xdr:rowOff>76200</xdr:rowOff>
    </xdr:to>
    <xdr:sp macro="" textlink="">
      <xdr:nvSpPr>
        <xdr:cNvPr id="1865" name="AutoShape 84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08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841</xdr:row>
      <xdr:rowOff>0</xdr:rowOff>
    </xdr:from>
    <xdr:to>
      <xdr:col>5</xdr:col>
      <xdr:colOff>304800</xdr:colOff>
      <xdr:row>842</xdr:row>
      <xdr:rowOff>76200</xdr:rowOff>
    </xdr:to>
    <xdr:sp macro="" textlink="">
      <xdr:nvSpPr>
        <xdr:cNvPr id="1866" name="AutoShape 84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08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843</xdr:row>
      <xdr:rowOff>0</xdr:rowOff>
    </xdr:from>
    <xdr:to>
      <xdr:col>4</xdr:col>
      <xdr:colOff>304800</xdr:colOff>
      <xdr:row>844</xdr:row>
      <xdr:rowOff>76200</xdr:rowOff>
    </xdr:to>
    <xdr:sp macro="" textlink="">
      <xdr:nvSpPr>
        <xdr:cNvPr id="1867" name="AutoShape 8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12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843</xdr:row>
      <xdr:rowOff>0</xdr:rowOff>
    </xdr:from>
    <xdr:to>
      <xdr:col>5</xdr:col>
      <xdr:colOff>304800</xdr:colOff>
      <xdr:row>844</xdr:row>
      <xdr:rowOff>76200</xdr:rowOff>
    </xdr:to>
    <xdr:sp macro="" textlink="">
      <xdr:nvSpPr>
        <xdr:cNvPr id="1868" name="AutoShape 84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12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845</xdr:row>
      <xdr:rowOff>0</xdr:rowOff>
    </xdr:from>
    <xdr:to>
      <xdr:col>4</xdr:col>
      <xdr:colOff>304800</xdr:colOff>
      <xdr:row>846</xdr:row>
      <xdr:rowOff>114300</xdr:rowOff>
    </xdr:to>
    <xdr:sp macro="" textlink="">
      <xdr:nvSpPr>
        <xdr:cNvPr id="1869" name="AutoShape 84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167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845</xdr:row>
      <xdr:rowOff>0</xdr:rowOff>
    </xdr:from>
    <xdr:to>
      <xdr:col>5</xdr:col>
      <xdr:colOff>304800</xdr:colOff>
      <xdr:row>846</xdr:row>
      <xdr:rowOff>114300</xdr:rowOff>
    </xdr:to>
    <xdr:sp macro="" textlink="">
      <xdr:nvSpPr>
        <xdr:cNvPr id="1870" name="AutoShape 84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167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847</xdr:row>
      <xdr:rowOff>0</xdr:rowOff>
    </xdr:from>
    <xdr:to>
      <xdr:col>4</xdr:col>
      <xdr:colOff>304800</xdr:colOff>
      <xdr:row>848</xdr:row>
      <xdr:rowOff>114300</xdr:rowOff>
    </xdr:to>
    <xdr:sp macro="" textlink="">
      <xdr:nvSpPr>
        <xdr:cNvPr id="1871" name="AutoShape 8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22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847</xdr:row>
      <xdr:rowOff>0</xdr:rowOff>
    </xdr:from>
    <xdr:to>
      <xdr:col>5</xdr:col>
      <xdr:colOff>304800</xdr:colOff>
      <xdr:row>848</xdr:row>
      <xdr:rowOff>114300</xdr:rowOff>
    </xdr:to>
    <xdr:sp macro="" textlink="">
      <xdr:nvSpPr>
        <xdr:cNvPr id="1872" name="AutoShape 8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22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849</xdr:row>
      <xdr:rowOff>0</xdr:rowOff>
    </xdr:from>
    <xdr:to>
      <xdr:col>4</xdr:col>
      <xdr:colOff>304800</xdr:colOff>
      <xdr:row>850</xdr:row>
      <xdr:rowOff>114300</xdr:rowOff>
    </xdr:to>
    <xdr:sp macro="" textlink="">
      <xdr:nvSpPr>
        <xdr:cNvPr id="1873" name="AutoShape 84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28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849</xdr:row>
      <xdr:rowOff>0</xdr:rowOff>
    </xdr:from>
    <xdr:to>
      <xdr:col>5</xdr:col>
      <xdr:colOff>304800</xdr:colOff>
      <xdr:row>850</xdr:row>
      <xdr:rowOff>114300</xdr:rowOff>
    </xdr:to>
    <xdr:sp macro="" textlink="">
      <xdr:nvSpPr>
        <xdr:cNvPr id="1874" name="AutoShape 85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28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851</xdr:row>
      <xdr:rowOff>0</xdr:rowOff>
    </xdr:from>
    <xdr:to>
      <xdr:col>4</xdr:col>
      <xdr:colOff>304800</xdr:colOff>
      <xdr:row>852</xdr:row>
      <xdr:rowOff>114300</xdr:rowOff>
    </xdr:to>
    <xdr:sp macro="" textlink="">
      <xdr:nvSpPr>
        <xdr:cNvPr id="1875" name="AutoShape 85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34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851</xdr:row>
      <xdr:rowOff>0</xdr:rowOff>
    </xdr:from>
    <xdr:to>
      <xdr:col>5</xdr:col>
      <xdr:colOff>304800</xdr:colOff>
      <xdr:row>852</xdr:row>
      <xdr:rowOff>114300</xdr:rowOff>
    </xdr:to>
    <xdr:sp macro="" textlink="">
      <xdr:nvSpPr>
        <xdr:cNvPr id="1876" name="AutoShape 8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34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853</xdr:row>
      <xdr:rowOff>0</xdr:rowOff>
    </xdr:from>
    <xdr:to>
      <xdr:col>4</xdr:col>
      <xdr:colOff>304800</xdr:colOff>
      <xdr:row>854</xdr:row>
      <xdr:rowOff>114300</xdr:rowOff>
    </xdr:to>
    <xdr:sp macro="" textlink="">
      <xdr:nvSpPr>
        <xdr:cNvPr id="1877" name="AutoShape 8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400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853</xdr:row>
      <xdr:rowOff>0</xdr:rowOff>
    </xdr:from>
    <xdr:to>
      <xdr:col>5</xdr:col>
      <xdr:colOff>304800</xdr:colOff>
      <xdr:row>854</xdr:row>
      <xdr:rowOff>114300</xdr:rowOff>
    </xdr:to>
    <xdr:sp macro="" textlink="">
      <xdr:nvSpPr>
        <xdr:cNvPr id="1878" name="AutoShape 85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400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855</xdr:row>
      <xdr:rowOff>0</xdr:rowOff>
    </xdr:from>
    <xdr:to>
      <xdr:col>4</xdr:col>
      <xdr:colOff>304800</xdr:colOff>
      <xdr:row>856</xdr:row>
      <xdr:rowOff>114300</xdr:rowOff>
    </xdr:to>
    <xdr:sp macro="" textlink="">
      <xdr:nvSpPr>
        <xdr:cNvPr id="1879" name="AutoShape 85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458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855</xdr:row>
      <xdr:rowOff>0</xdr:rowOff>
    </xdr:from>
    <xdr:to>
      <xdr:col>5</xdr:col>
      <xdr:colOff>304800</xdr:colOff>
      <xdr:row>856</xdr:row>
      <xdr:rowOff>114300</xdr:rowOff>
    </xdr:to>
    <xdr:sp macro="" textlink="">
      <xdr:nvSpPr>
        <xdr:cNvPr id="1880" name="AutoShape 85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458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857</xdr:row>
      <xdr:rowOff>0</xdr:rowOff>
    </xdr:from>
    <xdr:to>
      <xdr:col>4</xdr:col>
      <xdr:colOff>304800</xdr:colOff>
      <xdr:row>858</xdr:row>
      <xdr:rowOff>114300</xdr:rowOff>
    </xdr:to>
    <xdr:sp macro="" textlink="">
      <xdr:nvSpPr>
        <xdr:cNvPr id="1881" name="AutoShape 85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516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857</xdr:row>
      <xdr:rowOff>0</xdr:rowOff>
    </xdr:from>
    <xdr:to>
      <xdr:col>5</xdr:col>
      <xdr:colOff>304800</xdr:colOff>
      <xdr:row>858</xdr:row>
      <xdr:rowOff>114300</xdr:rowOff>
    </xdr:to>
    <xdr:sp macro="" textlink="">
      <xdr:nvSpPr>
        <xdr:cNvPr id="1882" name="AutoShape 85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516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859</xdr:row>
      <xdr:rowOff>0</xdr:rowOff>
    </xdr:from>
    <xdr:to>
      <xdr:col>4</xdr:col>
      <xdr:colOff>304800</xdr:colOff>
      <xdr:row>860</xdr:row>
      <xdr:rowOff>114300</xdr:rowOff>
    </xdr:to>
    <xdr:sp macro="" textlink="">
      <xdr:nvSpPr>
        <xdr:cNvPr id="1883" name="AutoShape 85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555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859</xdr:row>
      <xdr:rowOff>0</xdr:rowOff>
    </xdr:from>
    <xdr:to>
      <xdr:col>5</xdr:col>
      <xdr:colOff>304800</xdr:colOff>
      <xdr:row>860</xdr:row>
      <xdr:rowOff>114300</xdr:rowOff>
    </xdr:to>
    <xdr:sp macro="" textlink="">
      <xdr:nvSpPr>
        <xdr:cNvPr id="1884" name="AutoShape 86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555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861</xdr:row>
      <xdr:rowOff>0</xdr:rowOff>
    </xdr:from>
    <xdr:to>
      <xdr:col>4</xdr:col>
      <xdr:colOff>304800</xdr:colOff>
      <xdr:row>862</xdr:row>
      <xdr:rowOff>114300</xdr:rowOff>
    </xdr:to>
    <xdr:sp macro="" textlink="">
      <xdr:nvSpPr>
        <xdr:cNvPr id="1885" name="AutoShape 86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61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861</xdr:row>
      <xdr:rowOff>0</xdr:rowOff>
    </xdr:from>
    <xdr:to>
      <xdr:col>5</xdr:col>
      <xdr:colOff>304800</xdr:colOff>
      <xdr:row>862</xdr:row>
      <xdr:rowOff>114300</xdr:rowOff>
    </xdr:to>
    <xdr:sp macro="" textlink="">
      <xdr:nvSpPr>
        <xdr:cNvPr id="1886" name="AutoShape 86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61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863</xdr:row>
      <xdr:rowOff>0</xdr:rowOff>
    </xdr:from>
    <xdr:to>
      <xdr:col>4</xdr:col>
      <xdr:colOff>304800</xdr:colOff>
      <xdr:row>864</xdr:row>
      <xdr:rowOff>114300</xdr:rowOff>
    </xdr:to>
    <xdr:sp macro="" textlink="">
      <xdr:nvSpPr>
        <xdr:cNvPr id="1887" name="AutoShape 86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67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863</xdr:row>
      <xdr:rowOff>0</xdr:rowOff>
    </xdr:from>
    <xdr:to>
      <xdr:col>5</xdr:col>
      <xdr:colOff>304800</xdr:colOff>
      <xdr:row>864</xdr:row>
      <xdr:rowOff>114300</xdr:rowOff>
    </xdr:to>
    <xdr:sp macro="" textlink="">
      <xdr:nvSpPr>
        <xdr:cNvPr id="1888" name="AutoShape 86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67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865</xdr:row>
      <xdr:rowOff>0</xdr:rowOff>
    </xdr:from>
    <xdr:to>
      <xdr:col>4</xdr:col>
      <xdr:colOff>304800</xdr:colOff>
      <xdr:row>866</xdr:row>
      <xdr:rowOff>76200</xdr:rowOff>
    </xdr:to>
    <xdr:sp macro="" textlink="">
      <xdr:nvSpPr>
        <xdr:cNvPr id="1889" name="AutoShape 86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72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865</xdr:row>
      <xdr:rowOff>0</xdr:rowOff>
    </xdr:from>
    <xdr:to>
      <xdr:col>5</xdr:col>
      <xdr:colOff>304800</xdr:colOff>
      <xdr:row>866</xdr:row>
      <xdr:rowOff>76200</xdr:rowOff>
    </xdr:to>
    <xdr:sp macro="" textlink="">
      <xdr:nvSpPr>
        <xdr:cNvPr id="1890" name="AutoShape 86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72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867</xdr:row>
      <xdr:rowOff>0</xdr:rowOff>
    </xdr:from>
    <xdr:to>
      <xdr:col>4</xdr:col>
      <xdr:colOff>304800</xdr:colOff>
      <xdr:row>868</xdr:row>
      <xdr:rowOff>114300</xdr:rowOff>
    </xdr:to>
    <xdr:sp macro="" textlink="">
      <xdr:nvSpPr>
        <xdr:cNvPr id="1891" name="AutoShape 86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772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867</xdr:row>
      <xdr:rowOff>0</xdr:rowOff>
    </xdr:from>
    <xdr:to>
      <xdr:col>5</xdr:col>
      <xdr:colOff>304800</xdr:colOff>
      <xdr:row>868</xdr:row>
      <xdr:rowOff>114300</xdr:rowOff>
    </xdr:to>
    <xdr:sp macro="" textlink="">
      <xdr:nvSpPr>
        <xdr:cNvPr id="1892" name="AutoShape 86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772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869</xdr:row>
      <xdr:rowOff>0</xdr:rowOff>
    </xdr:from>
    <xdr:to>
      <xdr:col>4</xdr:col>
      <xdr:colOff>304800</xdr:colOff>
      <xdr:row>870</xdr:row>
      <xdr:rowOff>76200</xdr:rowOff>
    </xdr:to>
    <xdr:sp macro="" textlink="">
      <xdr:nvSpPr>
        <xdr:cNvPr id="1893" name="AutoShape 86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830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869</xdr:row>
      <xdr:rowOff>0</xdr:rowOff>
    </xdr:from>
    <xdr:to>
      <xdr:col>5</xdr:col>
      <xdr:colOff>304800</xdr:colOff>
      <xdr:row>870</xdr:row>
      <xdr:rowOff>76200</xdr:rowOff>
    </xdr:to>
    <xdr:sp macro="" textlink="">
      <xdr:nvSpPr>
        <xdr:cNvPr id="1894" name="AutoShape 87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830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871</xdr:row>
      <xdr:rowOff>0</xdr:rowOff>
    </xdr:from>
    <xdr:to>
      <xdr:col>4</xdr:col>
      <xdr:colOff>304800</xdr:colOff>
      <xdr:row>872</xdr:row>
      <xdr:rowOff>114300</xdr:rowOff>
    </xdr:to>
    <xdr:sp macro="" textlink="">
      <xdr:nvSpPr>
        <xdr:cNvPr id="1895" name="AutoShape 87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873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871</xdr:row>
      <xdr:rowOff>0</xdr:rowOff>
    </xdr:from>
    <xdr:to>
      <xdr:col>5</xdr:col>
      <xdr:colOff>304800</xdr:colOff>
      <xdr:row>872</xdr:row>
      <xdr:rowOff>114300</xdr:rowOff>
    </xdr:to>
    <xdr:sp macro="" textlink="">
      <xdr:nvSpPr>
        <xdr:cNvPr id="1896" name="AutoShape 8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873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873</xdr:row>
      <xdr:rowOff>0</xdr:rowOff>
    </xdr:from>
    <xdr:to>
      <xdr:col>4</xdr:col>
      <xdr:colOff>304800</xdr:colOff>
      <xdr:row>874</xdr:row>
      <xdr:rowOff>76200</xdr:rowOff>
    </xdr:to>
    <xdr:sp macro="" textlink="">
      <xdr:nvSpPr>
        <xdr:cNvPr id="1897" name="AutoShape 87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93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873</xdr:row>
      <xdr:rowOff>0</xdr:rowOff>
    </xdr:from>
    <xdr:to>
      <xdr:col>5</xdr:col>
      <xdr:colOff>304800</xdr:colOff>
      <xdr:row>874</xdr:row>
      <xdr:rowOff>76200</xdr:rowOff>
    </xdr:to>
    <xdr:sp macro="" textlink="">
      <xdr:nvSpPr>
        <xdr:cNvPr id="1898" name="AutoShape 8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93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875</xdr:row>
      <xdr:rowOff>0</xdr:rowOff>
    </xdr:from>
    <xdr:to>
      <xdr:col>4</xdr:col>
      <xdr:colOff>304800</xdr:colOff>
      <xdr:row>876</xdr:row>
      <xdr:rowOff>76200</xdr:rowOff>
    </xdr:to>
    <xdr:sp macro="" textlink="">
      <xdr:nvSpPr>
        <xdr:cNvPr id="1899" name="AutoShape 87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974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875</xdr:row>
      <xdr:rowOff>0</xdr:rowOff>
    </xdr:from>
    <xdr:to>
      <xdr:col>5</xdr:col>
      <xdr:colOff>304800</xdr:colOff>
      <xdr:row>876</xdr:row>
      <xdr:rowOff>76200</xdr:rowOff>
    </xdr:to>
    <xdr:sp macro="" textlink="">
      <xdr:nvSpPr>
        <xdr:cNvPr id="1900" name="AutoShape 87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974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877</xdr:row>
      <xdr:rowOff>0</xdr:rowOff>
    </xdr:from>
    <xdr:to>
      <xdr:col>4</xdr:col>
      <xdr:colOff>304800</xdr:colOff>
      <xdr:row>878</xdr:row>
      <xdr:rowOff>114300</xdr:rowOff>
    </xdr:to>
    <xdr:sp macro="" textlink="">
      <xdr:nvSpPr>
        <xdr:cNvPr id="1901" name="AutoShape 87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017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877</xdr:row>
      <xdr:rowOff>0</xdr:rowOff>
    </xdr:from>
    <xdr:to>
      <xdr:col>5</xdr:col>
      <xdr:colOff>304800</xdr:colOff>
      <xdr:row>878</xdr:row>
      <xdr:rowOff>114300</xdr:rowOff>
    </xdr:to>
    <xdr:sp macro="" textlink="">
      <xdr:nvSpPr>
        <xdr:cNvPr id="1902" name="AutoShape 87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017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879</xdr:row>
      <xdr:rowOff>0</xdr:rowOff>
    </xdr:from>
    <xdr:to>
      <xdr:col>4</xdr:col>
      <xdr:colOff>304800</xdr:colOff>
      <xdr:row>880</xdr:row>
      <xdr:rowOff>114300</xdr:rowOff>
    </xdr:to>
    <xdr:sp macro="" textlink="">
      <xdr:nvSpPr>
        <xdr:cNvPr id="1903" name="AutoShape 87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094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879</xdr:row>
      <xdr:rowOff>0</xdr:rowOff>
    </xdr:from>
    <xdr:to>
      <xdr:col>5</xdr:col>
      <xdr:colOff>304800</xdr:colOff>
      <xdr:row>880</xdr:row>
      <xdr:rowOff>114300</xdr:rowOff>
    </xdr:to>
    <xdr:sp macro="" textlink="">
      <xdr:nvSpPr>
        <xdr:cNvPr id="1904" name="AutoShape 88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094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881</xdr:row>
      <xdr:rowOff>0</xdr:rowOff>
    </xdr:from>
    <xdr:to>
      <xdr:col>4</xdr:col>
      <xdr:colOff>304800</xdr:colOff>
      <xdr:row>882</xdr:row>
      <xdr:rowOff>114300</xdr:rowOff>
    </xdr:to>
    <xdr:sp macro="" textlink="">
      <xdr:nvSpPr>
        <xdr:cNvPr id="1905" name="AutoShape 88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15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881</xdr:row>
      <xdr:rowOff>0</xdr:rowOff>
    </xdr:from>
    <xdr:to>
      <xdr:col>5</xdr:col>
      <xdr:colOff>304800</xdr:colOff>
      <xdr:row>882</xdr:row>
      <xdr:rowOff>114300</xdr:rowOff>
    </xdr:to>
    <xdr:sp macro="" textlink="">
      <xdr:nvSpPr>
        <xdr:cNvPr id="1906" name="AutoShape 88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15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883</xdr:row>
      <xdr:rowOff>0</xdr:rowOff>
    </xdr:from>
    <xdr:to>
      <xdr:col>4</xdr:col>
      <xdr:colOff>304800</xdr:colOff>
      <xdr:row>884</xdr:row>
      <xdr:rowOff>114300</xdr:rowOff>
    </xdr:to>
    <xdr:sp macro="" textlink="">
      <xdr:nvSpPr>
        <xdr:cNvPr id="1907" name="AutoShape 88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210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883</xdr:row>
      <xdr:rowOff>0</xdr:rowOff>
    </xdr:from>
    <xdr:to>
      <xdr:col>5</xdr:col>
      <xdr:colOff>304800</xdr:colOff>
      <xdr:row>884</xdr:row>
      <xdr:rowOff>114300</xdr:rowOff>
    </xdr:to>
    <xdr:sp macro="" textlink="">
      <xdr:nvSpPr>
        <xdr:cNvPr id="1908" name="AutoShape 8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210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885</xdr:row>
      <xdr:rowOff>0</xdr:rowOff>
    </xdr:from>
    <xdr:to>
      <xdr:col>4</xdr:col>
      <xdr:colOff>304800</xdr:colOff>
      <xdr:row>886</xdr:row>
      <xdr:rowOff>114300</xdr:rowOff>
    </xdr:to>
    <xdr:sp macro="" textlink="">
      <xdr:nvSpPr>
        <xdr:cNvPr id="1909" name="AutoShape 8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26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885</xdr:row>
      <xdr:rowOff>0</xdr:rowOff>
    </xdr:from>
    <xdr:to>
      <xdr:col>5</xdr:col>
      <xdr:colOff>304800</xdr:colOff>
      <xdr:row>886</xdr:row>
      <xdr:rowOff>114300</xdr:rowOff>
    </xdr:to>
    <xdr:sp macro="" textlink="">
      <xdr:nvSpPr>
        <xdr:cNvPr id="1910" name="AutoShape 88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26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887</xdr:row>
      <xdr:rowOff>0</xdr:rowOff>
    </xdr:from>
    <xdr:to>
      <xdr:col>4</xdr:col>
      <xdr:colOff>304800</xdr:colOff>
      <xdr:row>888</xdr:row>
      <xdr:rowOff>114300</xdr:rowOff>
    </xdr:to>
    <xdr:sp macro="" textlink="">
      <xdr:nvSpPr>
        <xdr:cNvPr id="1911" name="AutoShape 8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327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887</xdr:row>
      <xdr:rowOff>0</xdr:rowOff>
    </xdr:from>
    <xdr:to>
      <xdr:col>5</xdr:col>
      <xdr:colOff>304800</xdr:colOff>
      <xdr:row>888</xdr:row>
      <xdr:rowOff>114300</xdr:rowOff>
    </xdr:to>
    <xdr:sp macro="" textlink="">
      <xdr:nvSpPr>
        <xdr:cNvPr id="1912" name="AutoShape 88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327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889</xdr:row>
      <xdr:rowOff>0</xdr:rowOff>
    </xdr:from>
    <xdr:to>
      <xdr:col>4</xdr:col>
      <xdr:colOff>304800</xdr:colOff>
      <xdr:row>890</xdr:row>
      <xdr:rowOff>114300</xdr:rowOff>
    </xdr:to>
    <xdr:sp macro="" textlink="">
      <xdr:nvSpPr>
        <xdr:cNvPr id="1913" name="AutoShape 88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38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889</xdr:row>
      <xdr:rowOff>0</xdr:rowOff>
    </xdr:from>
    <xdr:to>
      <xdr:col>5</xdr:col>
      <xdr:colOff>304800</xdr:colOff>
      <xdr:row>890</xdr:row>
      <xdr:rowOff>114300</xdr:rowOff>
    </xdr:to>
    <xdr:sp macro="" textlink="">
      <xdr:nvSpPr>
        <xdr:cNvPr id="1914" name="AutoShape 89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38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891</xdr:row>
      <xdr:rowOff>0</xdr:rowOff>
    </xdr:from>
    <xdr:to>
      <xdr:col>4</xdr:col>
      <xdr:colOff>304800</xdr:colOff>
      <xdr:row>892</xdr:row>
      <xdr:rowOff>114300</xdr:rowOff>
    </xdr:to>
    <xdr:sp macro="" textlink="">
      <xdr:nvSpPr>
        <xdr:cNvPr id="1915" name="AutoShape 89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443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891</xdr:row>
      <xdr:rowOff>0</xdr:rowOff>
    </xdr:from>
    <xdr:to>
      <xdr:col>5</xdr:col>
      <xdr:colOff>304800</xdr:colOff>
      <xdr:row>892</xdr:row>
      <xdr:rowOff>114300</xdr:rowOff>
    </xdr:to>
    <xdr:sp macro="" textlink="">
      <xdr:nvSpPr>
        <xdr:cNvPr id="1916" name="AutoShape 89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443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893</xdr:row>
      <xdr:rowOff>0</xdr:rowOff>
    </xdr:from>
    <xdr:to>
      <xdr:col>4</xdr:col>
      <xdr:colOff>304800</xdr:colOff>
      <xdr:row>894</xdr:row>
      <xdr:rowOff>76200</xdr:rowOff>
    </xdr:to>
    <xdr:sp macro="" textlink="">
      <xdr:nvSpPr>
        <xdr:cNvPr id="1917" name="AutoShape 89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501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893</xdr:row>
      <xdr:rowOff>0</xdr:rowOff>
    </xdr:from>
    <xdr:to>
      <xdr:col>5</xdr:col>
      <xdr:colOff>304800</xdr:colOff>
      <xdr:row>894</xdr:row>
      <xdr:rowOff>76200</xdr:rowOff>
    </xdr:to>
    <xdr:sp macro="" textlink="">
      <xdr:nvSpPr>
        <xdr:cNvPr id="1918" name="AutoShape 89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501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895</xdr:row>
      <xdr:rowOff>0</xdr:rowOff>
    </xdr:from>
    <xdr:to>
      <xdr:col>4</xdr:col>
      <xdr:colOff>304800</xdr:colOff>
      <xdr:row>896</xdr:row>
      <xdr:rowOff>114300</xdr:rowOff>
    </xdr:to>
    <xdr:sp macro="" textlink="">
      <xdr:nvSpPr>
        <xdr:cNvPr id="1919" name="AutoShape 89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54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895</xdr:row>
      <xdr:rowOff>0</xdr:rowOff>
    </xdr:from>
    <xdr:to>
      <xdr:col>5</xdr:col>
      <xdr:colOff>304800</xdr:colOff>
      <xdr:row>896</xdr:row>
      <xdr:rowOff>114300</xdr:rowOff>
    </xdr:to>
    <xdr:sp macro="" textlink="">
      <xdr:nvSpPr>
        <xdr:cNvPr id="1920" name="AutoShape 89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54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897</xdr:row>
      <xdr:rowOff>0</xdr:rowOff>
    </xdr:from>
    <xdr:to>
      <xdr:col>4</xdr:col>
      <xdr:colOff>304800</xdr:colOff>
      <xdr:row>898</xdr:row>
      <xdr:rowOff>76200</xdr:rowOff>
    </xdr:to>
    <xdr:sp macro="" textlink="">
      <xdr:nvSpPr>
        <xdr:cNvPr id="1921" name="AutoShape 89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60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897</xdr:row>
      <xdr:rowOff>0</xdr:rowOff>
    </xdr:from>
    <xdr:to>
      <xdr:col>5</xdr:col>
      <xdr:colOff>304800</xdr:colOff>
      <xdr:row>898</xdr:row>
      <xdr:rowOff>76200</xdr:rowOff>
    </xdr:to>
    <xdr:sp macro="" textlink="">
      <xdr:nvSpPr>
        <xdr:cNvPr id="1922" name="AutoShape 89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60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899</xdr:row>
      <xdr:rowOff>0</xdr:rowOff>
    </xdr:from>
    <xdr:to>
      <xdr:col>4</xdr:col>
      <xdr:colOff>304800</xdr:colOff>
      <xdr:row>900</xdr:row>
      <xdr:rowOff>114300</xdr:rowOff>
    </xdr:to>
    <xdr:sp macro="" textlink="">
      <xdr:nvSpPr>
        <xdr:cNvPr id="1923" name="AutoShape 89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64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899</xdr:row>
      <xdr:rowOff>0</xdr:rowOff>
    </xdr:from>
    <xdr:to>
      <xdr:col>5</xdr:col>
      <xdr:colOff>304800</xdr:colOff>
      <xdr:row>900</xdr:row>
      <xdr:rowOff>114300</xdr:rowOff>
    </xdr:to>
    <xdr:sp macro="" textlink="">
      <xdr:nvSpPr>
        <xdr:cNvPr id="1924" name="AutoShape 90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64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901</xdr:row>
      <xdr:rowOff>0</xdr:rowOff>
    </xdr:from>
    <xdr:to>
      <xdr:col>4</xdr:col>
      <xdr:colOff>304800</xdr:colOff>
      <xdr:row>902</xdr:row>
      <xdr:rowOff>114300</xdr:rowOff>
    </xdr:to>
    <xdr:sp macro="" textlink="">
      <xdr:nvSpPr>
        <xdr:cNvPr id="1925" name="AutoShape 90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70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901</xdr:row>
      <xdr:rowOff>0</xdr:rowOff>
    </xdr:from>
    <xdr:to>
      <xdr:col>5</xdr:col>
      <xdr:colOff>304800</xdr:colOff>
      <xdr:row>902</xdr:row>
      <xdr:rowOff>114300</xdr:rowOff>
    </xdr:to>
    <xdr:sp macro="" textlink="">
      <xdr:nvSpPr>
        <xdr:cNvPr id="1926" name="AutoShape 9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70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903</xdr:row>
      <xdr:rowOff>0</xdr:rowOff>
    </xdr:from>
    <xdr:to>
      <xdr:col>4</xdr:col>
      <xdr:colOff>304800</xdr:colOff>
      <xdr:row>904</xdr:row>
      <xdr:rowOff>114300</xdr:rowOff>
    </xdr:to>
    <xdr:sp macro="" textlink="">
      <xdr:nvSpPr>
        <xdr:cNvPr id="1927" name="AutoShape 9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780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903</xdr:row>
      <xdr:rowOff>0</xdr:rowOff>
    </xdr:from>
    <xdr:to>
      <xdr:col>5</xdr:col>
      <xdr:colOff>304800</xdr:colOff>
      <xdr:row>904</xdr:row>
      <xdr:rowOff>114300</xdr:rowOff>
    </xdr:to>
    <xdr:sp macro="" textlink="">
      <xdr:nvSpPr>
        <xdr:cNvPr id="1928" name="AutoShape 90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780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905</xdr:row>
      <xdr:rowOff>0</xdr:rowOff>
    </xdr:from>
    <xdr:to>
      <xdr:col>4</xdr:col>
      <xdr:colOff>304800</xdr:colOff>
      <xdr:row>906</xdr:row>
      <xdr:rowOff>76200</xdr:rowOff>
    </xdr:to>
    <xdr:sp macro="" textlink="">
      <xdr:nvSpPr>
        <xdr:cNvPr id="1929" name="AutoShape 90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83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905</xdr:row>
      <xdr:rowOff>0</xdr:rowOff>
    </xdr:from>
    <xdr:to>
      <xdr:col>5</xdr:col>
      <xdr:colOff>304800</xdr:colOff>
      <xdr:row>906</xdr:row>
      <xdr:rowOff>76200</xdr:rowOff>
    </xdr:to>
    <xdr:sp macro="" textlink="">
      <xdr:nvSpPr>
        <xdr:cNvPr id="1930" name="AutoShape 90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83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907</xdr:row>
      <xdr:rowOff>0</xdr:rowOff>
    </xdr:from>
    <xdr:to>
      <xdr:col>4</xdr:col>
      <xdr:colOff>304800</xdr:colOff>
      <xdr:row>908</xdr:row>
      <xdr:rowOff>114300</xdr:rowOff>
    </xdr:to>
    <xdr:sp macro="" textlink="">
      <xdr:nvSpPr>
        <xdr:cNvPr id="1931" name="AutoShape 90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881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907</xdr:row>
      <xdr:rowOff>0</xdr:rowOff>
    </xdr:from>
    <xdr:to>
      <xdr:col>5</xdr:col>
      <xdr:colOff>304800</xdr:colOff>
      <xdr:row>908</xdr:row>
      <xdr:rowOff>114300</xdr:rowOff>
    </xdr:to>
    <xdr:sp macro="" textlink="">
      <xdr:nvSpPr>
        <xdr:cNvPr id="1932" name="AutoShape 90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881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909</xdr:row>
      <xdr:rowOff>0</xdr:rowOff>
    </xdr:from>
    <xdr:to>
      <xdr:col>4</xdr:col>
      <xdr:colOff>304800</xdr:colOff>
      <xdr:row>910</xdr:row>
      <xdr:rowOff>76200</xdr:rowOff>
    </xdr:to>
    <xdr:sp macro="" textlink="">
      <xdr:nvSpPr>
        <xdr:cNvPr id="1933" name="AutoShape 90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939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909</xdr:row>
      <xdr:rowOff>0</xdr:rowOff>
    </xdr:from>
    <xdr:to>
      <xdr:col>5</xdr:col>
      <xdr:colOff>304800</xdr:colOff>
      <xdr:row>910</xdr:row>
      <xdr:rowOff>76200</xdr:rowOff>
    </xdr:to>
    <xdr:sp macro="" textlink="">
      <xdr:nvSpPr>
        <xdr:cNvPr id="1934" name="AutoShape 91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939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911</xdr:row>
      <xdr:rowOff>0</xdr:rowOff>
    </xdr:from>
    <xdr:to>
      <xdr:col>4</xdr:col>
      <xdr:colOff>304800</xdr:colOff>
      <xdr:row>912</xdr:row>
      <xdr:rowOff>114300</xdr:rowOff>
    </xdr:to>
    <xdr:sp macro="" textlink="">
      <xdr:nvSpPr>
        <xdr:cNvPr id="1935" name="AutoShape 91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982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911</xdr:row>
      <xdr:rowOff>0</xdr:rowOff>
    </xdr:from>
    <xdr:to>
      <xdr:col>5</xdr:col>
      <xdr:colOff>304800</xdr:colOff>
      <xdr:row>912</xdr:row>
      <xdr:rowOff>114300</xdr:rowOff>
    </xdr:to>
    <xdr:sp macro="" textlink="">
      <xdr:nvSpPr>
        <xdr:cNvPr id="1936" name="AutoShape 91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982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913</xdr:row>
      <xdr:rowOff>0</xdr:rowOff>
    </xdr:from>
    <xdr:to>
      <xdr:col>4</xdr:col>
      <xdr:colOff>304800</xdr:colOff>
      <xdr:row>914</xdr:row>
      <xdr:rowOff>76200</xdr:rowOff>
    </xdr:to>
    <xdr:sp macro="" textlink="">
      <xdr:nvSpPr>
        <xdr:cNvPr id="1937" name="AutoShape 91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040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913</xdr:row>
      <xdr:rowOff>0</xdr:rowOff>
    </xdr:from>
    <xdr:to>
      <xdr:col>5</xdr:col>
      <xdr:colOff>304800</xdr:colOff>
      <xdr:row>914</xdr:row>
      <xdr:rowOff>76200</xdr:rowOff>
    </xdr:to>
    <xdr:sp macro="" textlink="">
      <xdr:nvSpPr>
        <xdr:cNvPr id="1938" name="AutoShape 91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040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915</xdr:row>
      <xdr:rowOff>0</xdr:rowOff>
    </xdr:from>
    <xdr:to>
      <xdr:col>4</xdr:col>
      <xdr:colOff>304800</xdr:colOff>
      <xdr:row>916</xdr:row>
      <xdr:rowOff>114300</xdr:rowOff>
    </xdr:to>
    <xdr:sp macro="" textlink="">
      <xdr:nvSpPr>
        <xdr:cNvPr id="1939" name="AutoShape 91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083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915</xdr:row>
      <xdr:rowOff>0</xdr:rowOff>
    </xdr:from>
    <xdr:to>
      <xdr:col>5</xdr:col>
      <xdr:colOff>304800</xdr:colOff>
      <xdr:row>916</xdr:row>
      <xdr:rowOff>114300</xdr:rowOff>
    </xdr:to>
    <xdr:sp macro="" textlink="">
      <xdr:nvSpPr>
        <xdr:cNvPr id="1940" name="AutoShape 91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083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917</xdr:row>
      <xdr:rowOff>0</xdr:rowOff>
    </xdr:from>
    <xdr:to>
      <xdr:col>4</xdr:col>
      <xdr:colOff>304800</xdr:colOff>
      <xdr:row>918</xdr:row>
      <xdr:rowOff>114300</xdr:rowOff>
    </xdr:to>
    <xdr:sp macro="" textlink="">
      <xdr:nvSpPr>
        <xdr:cNvPr id="1941" name="AutoShape 91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141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917</xdr:row>
      <xdr:rowOff>0</xdr:rowOff>
    </xdr:from>
    <xdr:to>
      <xdr:col>5</xdr:col>
      <xdr:colOff>304800</xdr:colOff>
      <xdr:row>918</xdr:row>
      <xdr:rowOff>114300</xdr:rowOff>
    </xdr:to>
    <xdr:sp macro="" textlink="">
      <xdr:nvSpPr>
        <xdr:cNvPr id="1942" name="AutoShape 9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141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919</xdr:row>
      <xdr:rowOff>0</xdr:rowOff>
    </xdr:from>
    <xdr:to>
      <xdr:col>4</xdr:col>
      <xdr:colOff>304800</xdr:colOff>
      <xdr:row>920</xdr:row>
      <xdr:rowOff>114300</xdr:rowOff>
    </xdr:to>
    <xdr:sp macro="" textlink="">
      <xdr:nvSpPr>
        <xdr:cNvPr id="1943" name="AutoShape 91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19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919</xdr:row>
      <xdr:rowOff>0</xdr:rowOff>
    </xdr:from>
    <xdr:to>
      <xdr:col>5</xdr:col>
      <xdr:colOff>304800</xdr:colOff>
      <xdr:row>920</xdr:row>
      <xdr:rowOff>114300</xdr:rowOff>
    </xdr:to>
    <xdr:sp macro="" textlink="">
      <xdr:nvSpPr>
        <xdr:cNvPr id="1944" name="AutoShape 92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19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921</xdr:row>
      <xdr:rowOff>0</xdr:rowOff>
    </xdr:from>
    <xdr:to>
      <xdr:col>4</xdr:col>
      <xdr:colOff>304800</xdr:colOff>
      <xdr:row>922</xdr:row>
      <xdr:rowOff>114300</xdr:rowOff>
    </xdr:to>
    <xdr:sp macro="" textlink="">
      <xdr:nvSpPr>
        <xdr:cNvPr id="1945" name="AutoShape 92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257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921</xdr:row>
      <xdr:rowOff>0</xdr:rowOff>
    </xdr:from>
    <xdr:to>
      <xdr:col>5</xdr:col>
      <xdr:colOff>304800</xdr:colOff>
      <xdr:row>922</xdr:row>
      <xdr:rowOff>114300</xdr:rowOff>
    </xdr:to>
    <xdr:sp macro="" textlink="">
      <xdr:nvSpPr>
        <xdr:cNvPr id="1946" name="AutoShape 92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257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923</xdr:row>
      <xdr:rowOff>0</xdr:rowOff>
    </xdr:from>
    <xdr:to>
      <xdr:col>4</xdr:col>
      <xdr:colOff>304800</xdr:colOff>
      <xdr:row>924</xdr:row>
      <xdr:rowOff>114300</xdr:rowOff>
    </xdr:to>
    <xdr:sp macro="" textlink="">
      <xdr:nvSpPr>
        <xdr:cNvPr id="1947" name="AutoShape 92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315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923</xdr:row>
      <xdr:rowOff>0</xdr:rowOff>
    </xdr:from>
    <xdr:to>
      <xdr:col>5</xdr:col>
      <xdr:colOff>304800</xdr:colOff>
      <xdr:row>924</xdr:row>
      <xdr:rowOff>114300</xdr:rowOff>
    </xdr:to>
    <xdr:sp macro="" textlink="">
      <xdr:nvSpPr>
        <xdr:cNvPr id="1948" name="AutoShape 92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315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925</xdr:row>
      <xdr:rowOff>0</xdr:rowOff>
    </xdr:from>
    <xdr:to>
      <xdr:col>4</xdr:col>
      <xdr:colOff>304800</xdr:colOff>
      <xdr:row>926</xdr:row>
      <xdr:rowOff>114300</xdr:rowOff>
    </xdr:to>
    <xdr:sp macro="" textlink="">
      <xdr:nvSpPr>
        <xdr:cNvPr id="1949" name="AutoShape 92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373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925</xdr:row>
      <xdr:rowOff>0</xdr:rowOff>
    </xdr:from>
    <xdr:to>
      <xdr:col>5</xdr:col>
      <xdr:colOff>304800</xdr:colOff>
      <xdr:row>926</xdr:row>
      <xdr:rowOff>114300</xdr:rowOff>
    </xdr:to>
    <xdr:sp macro="" textlink="">
      <xdr:nvSpPr>
        <xdr:cNvPr id="1950" name="AutoShape 92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373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927</xdr:row>
      <xdr:rowOff>0</xdr:rowOff>
    </xdr:from>
    <xdr:to>
      <xdr:col>4</xdr:col>
      <xdr:colOff>304800</xdr:colOff>
      <xdr:row>928</xdr:row>
      <xdr:rowOff>114300</xdr:rowOff>
    </xdr:to>
    <xdr:sp macro="" textlink="">
      <xdr:nvSpPr>
        <xdr:cNvPr id="1951" name="AutoShape 92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432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927</xdr:row>
      <xdr:rowOff>0</xdr:rowOff>
    </xdr:from>
    <xdr:to>
      <xdr:col>5</xdr:col>
      <xdr:colOff>304800</xdr:colOff>
      <xdr:row>928</xdr:row>
      <xdr:rowOff>114300</xdr:rowOff>
    </xdr:to>
    <xdr:sp macro="" textlink="">
      <xdr:nvSpPr>
        <xdr:cNvPr id="1952" name="AutoShape 92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432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929</xdr:row>
      <xdr:rowOff>0</xdr:rowOff>
    </xdr:from>
    <xdr:to>
      <xdr:col>4</xdr:col>
      <xdr:colOff>304800</xdr:colOff>
      <xdr:row>930</xdr:row>
      <xdr:rowOff>114300</xdr:rowOff>
    </xdr:to>
    <xdr:sp macro="" textlink="">
      <xdr:nvSpPr>
        <xdr:cNvPr id="1953" name="AutoShape 92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490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929</xdr:row>
      <xdr:rowOff>0</xdr:rowOff>
    </xdr:from>
    <xdr:to>
      <xdr:col>5</xdr:col>
      <xdr:colOff>304800</xdr:colOff>
      <xdr:row>930</xdr:row>
      <xdr:rowOff>114300</xdr:rowOff>
    </xdr:to>
    <xdr:sp macro="" textlink="">
      <xdr:nvSpPr>
        <xdr:cNvPr id="1954" name="AutoShape 93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490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931</xdr:row>
      <xdr:rowOff>0</xdr:rowOff>
    </xdr:from>
    <xdr:to>
      <xdr:col>4</xdr:col>
      <xdr:colOff>304800</xdr:colOff>
      <xdr:row>932</xdr:row>
      <xdr:rowOff>114300</xdr:rowOff>
    </xdr:to>
    <xdr:sp macro="" textlink="">
      <xdr:nvSpPr>
        <xdr:cNvPr id="1955" name="AutoShape 93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54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931</xdr:row>
      <xdr:rowOff>0</xdr:rowOff>
    </xdr:from>
    <xdr:to>
      <xdr:col>5</xdr:col>
      <xdr:colOff>304800</xdr:colOff>
      <xdr:row>932</xdr:row>
      <xdr:rowOff>114300</xdr:rowOff>
    </xdr:to>
    <xdr:sp macro="" textlink="">
      <xdr:nvSpPr>
        <xdr:cNvPr id="1956" name="AutoShape 93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54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933</xdr:row>
      <xdr:rowOff>0</xdr:rowOff>
    </xdr:from>
    <xdr:to>
      <xdr:col>4</xdr:col>
      <xdr:colOff>304800</xdr:colOff>
      <xdr:row>934</xdr:row>
      <xdr:rowOff>114300</xdr:rowOff>
    </xdr:to>
    <xdr:sp macro="" textlink="">
      <xdr:nvSpPr>
        <xdr:cNvPr id="1957" name="AutoShape 9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606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933</xdr:row>
      <xdr:rowOff>0</xdr:rowOff>
    </xdr:from>
    <xdr:to>
      <xdr:col>5</xdr:col>
      <xdr:colOff>304800</xdr:colOff>
      <xdr:row>934</xdr:row>
      <xdr:rowOff>114300</xdr:rowOff>
    </xdr:to>
    <xdr:sp macro="" textlink="">
      <xdr:nvSpPr>
        <xdr:cNvPr id="1958" name="AutoShape 93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606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935</xdr:row>
      <xdr:rowOff>0</xdr:rowOff>
    </xdr:from>
    <xdr:to>
      <xdr:col>4</xdr:col>
      <xdr:colOff>304800</xdr:colOff>
      <xdr:row>936</xdr:row>
      <xdr:rowOff>114300</xdr:rowOff>
    </xdr:to>
    <xdr:sp macro="" textlink="">
      <xdr:nvSpPr>
        <xdr:cNvPr id="1959" name="AutoShape 93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66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935</xdr:row>
      <xdr:rowOff>0</xdr:rowOff>
    </xdr:from>
    <xdr:to>
      <xdr:col>5</xdr:col>
      <xdr:colOff>304800</xdr:colOff>
      <xdr:row>936</xdr:row>
      <xdr:rowOff>114300</xdr:rowOff>
    </xdr:to>
    <xdr:sp macro="" textlink="">
      <xdr:nvSpPr>
        <xdr:cNvPr id="1960" name="AutoShape 93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66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937</xdr:row>
      <xdr:rowOff>0</xdr:rowOff>
    </xdr:from>
    <xdr:to>
      <xdr:col>4</xdr:col>
      <xdr:colOff>304800</xdr:colOff>
      <xdr:row>938</xdr:row>
      <xdr:rowOff>114300</xdr:rowOff>
    </xdr:to>
    <xdr:sp macro="" textlink="">
      <xdr:nvSpPr>
        <xdr:cNvPr id="1961" name="AutoShape 93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722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937</xdr:row>
      <xdr:rowOff>0</xdr:rowOff>
    </xdr:from>
    <xdr:to>
      <xdr:col>5</xdr:col>
      <xdr:colOff>304800</xdr:colOff>
      <xdr:row>938</xdr:row>
      <xdr:rowOff>114300</xdr:rowOff>
    </xdr:to>
    <xdr:sp macro="" textlink="">
      <xdr:nvSpPr>
        <xdr:cNvPr id="1962" name="AutoShape 93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722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939</xdr:row>
      <xdr:rowOff>0</xdr:rowOff>
    </xdr:from>
    <xdr:to>
      <xdr:col>4</xdr:col>
      <xdr:colOff>304800</xdr:colOff>
      <xdr:row>940</xdr:row>
      <xdr:rowOff>114300</xdr:rowOff>
    </xdr:to>
    <xdr:sp macro="" textlink="">
      <xdr:nvSpPr>
        <xdr:cNvPr id="1963" name="AutoShape 9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780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939</xdr:row>
      <xdr:rowOff>0</xdr:rowOff>
    </xdr:from>
    <xdr:to>
      <xdr:col>5</xdr:col>
      <xdr:colOff>304800</xdr:colOff>
      <xdr:row>940</xdr:row>
      <xdr:rowOff>114300</xdr:rowOff>
    </xdr:to>
    <xdr:sp macro="" textlink="">
      <xdr:nvSpPr>
        <xdr:cNvPr id="1964" name="AutoShape 9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780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941</xdr:row>
      <xdr:rowOff>0</xdr:rowOff>
    </xdr:from>
    <xdr:to>
      <xdr:col>4</xdr:col>
      <xdr:colOff>304800</xdr:colOff>
      <xdr:row>942</xdr:row>
      <xdr:rowOff>114300</xdr:rowOff>
    </xdr:to>
    <xdr:sp macro="" textlink="">
      <xdr:nvSpPr>
        <xdr:cNvPr id="1965" name="AutoShape 9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838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941</xdr:row>
      <xdr:rowOff>0</xdr:rowOff>
    </xdr:from>
    <xdr:to>
      <xdr:col>5</xdr:col>
      <xdr:colOff>304800</xdr:colOff>
      <xdr:row>942</xdr:row>
      <xdr:rowOff>114300</xdr:rowOff>
    </xdr:to>
    <xdr:sp macro="" textlink="">
      <xdr:nvSpPr>
        <xdr:cNvPr id="1966" name="AutoShape 94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838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943</xdr:row>
      <xdr:rowOff>0</xdr:rowOff>
    </xdr:from>
    <xdr:to>
      <xdr:col>4</xdr:col>
      <xdr:colOff>304800</xdr:colOff>
      <xdr:row>944</xdr:row>
      <xdr:rowOff>114300</xdr:rowOff>
    </xdr:to>
    <xdr:sp macro="" textlink="">
      <xdr:nvSpPr>
        <xdr:cNvPr id="1967" name="AutoShape 94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896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943</xdr:row>
      <xdr:rowOff>0</xdr:rowOff>
    </xdr:from>
    <xdr:to>
      <xdr:col>5</xdr:col>
      <xdr:colOff>304800</xdr:colOff>
      <xdr:row>944</xdr:row>
      <xdr:rowOff>114300</xdr:rowOff>
    </xdr:to>
    <xdr:sp macro="" textlink="">
      <xdr:nvSpPr>
        <xdr:cNvPr id="1968" name="AutoShape 94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896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945</xdr:row>
      <xdr:rowOff>0</xdr:rowOff>
    </xdr:from>
    <xdr:to>
      <xdr:col>4</xdr:col>
      <xdr:colOff>304800</xdr:colOff>
      <xdr:row>946</xdr:row>
      <xdr:rowOff>114300</xdr:rowOff>
    </xdr:to>
    <xdr:sp macro="" textlink="">
      <xdr:nvSpPr>
        <xdr:cNvPr id="1969" name="AutoShape 9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95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945</xdr:row>
      <xdr:rowOff>0</xdr:rowOff>
    </xdr:from>
    <xdr:to>
      <xdr:col>5</xdr:col>
      <xdr:colOff>304800</xdr:colOff>
      <xdr:row>946</xdr:row>
      <xdr:rowOff>114300</xdr:rowOff>
    </xdr:to>
    <xdr:sp macro="" textlink="">
      <xdr:nvSpPr>
        <xdr:cNvPr id="1970" name="AutoShape 94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95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947</xdr:row>
      <xdr:rowOff>0</xdr:rowOff>
    </xdr:from>
    <xdr:to>
      <xdr:col>4</xdr:col>
      <xdr:colOff>304800</xdr:colOff>
      <xdr:row>948</xdr:row>
      <xdr:rowOff>114300</xdr:rowOff>
    </xdr:to>
    <xdr:sp macro="" textlink="">
      <xdr:nvSpPr>
        <xdr:cNvPr id="1971" name="AutoShape 94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01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947</xdr:row>
      <xdr:rowOff>0</xdr:rowOff>
    </xdr:from>
    <xdr:to>
      <xdr:col>5</xdr:col>
      <xdr:colOff>304800</xdr:colOff>
      <xdr:row>948</xdr:row>
      <xdr:rowOff>114300</xdr:rowOff>
    </xdr:to>
    <xdr:sp macro="" textlink="">
      <xdr:nvSpPr>
        <xdr:cNvPr id="1972" name="AutoShape 94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01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949</xdr:row>
      <xdr:rowOff>0</xdr:rowOff>
    </xdr:from>
    <xdr:to>
      <xdr:col>4</xdr:col>
      <xdr:colOff>304800</xdr:colOff>
      <xdr:row>950</xdr:row>
      <xdr:rowOff>114300</xdr:rowOff>
    </xdr:to>
    <xdr:sp macro="" textlink="">
      <xdr:nvSpPr>
        <xdr:cNvPr id="1973" name="AutoShape 94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071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949</xdr:row>
      <xdr:rowOff>0</xdr:rowOff>
    </xdr:from>
    <xdr:to>
      <xdr:col>5</xdr:col>
      <xdr:colOff>304800</xdr:colOff>
      <xdr:row>950</xdr:row>
      <xdr:rowOff>114300</xdr:rowOff>
    </xdr:to>
    <xdr:sp macro="" textlink="">
      <xdr:nvSpPr>
        <xdr:cNvPr id="1974" name="AutoShape 95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071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951</xdr:row>
      <xdr:rowOff>0</xdr:rowOff>
    </xdr:from>
    <xdr:to>
      <xdr:col>4</xdr:col>
      <xdr:colOff>304800</xdr:colOff>
      <xdr:row>952</xdr:row>
      <xdr:rowOff>76200</xdr:rowOff>
    </xdr:to>
    <xdr:sp macro="" textlink="">
      <xdr:nvSpPr>
        <xdr:cNvPr id="1975" name="AutoShape 95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129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951</xdr:row>
      <xdr:rowOff>0</xdr:rowOff>
    </xdr:from>
    <xdr:to>
      <xdr:col>5</xdr:col>
      <xdr:colOff>304800</xdr:colOff>
      <xdr:row>952</xdr:row>
      <xdr:rowOff>76200</xdr:rowOff>
    </xdr:to>
    <xdr:sp macro="" textlink="">
      <xdr:nvSpPr>
        <xdr:cNvPr id="1976" name="AutoShape 95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129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953</xdr:row>
      <xdr:rowOff>0</xdr:rowOff>
    </xdr:from>
    <xdr:to>
      <xdr:col>4</xdr:col>
      <xdr:colOff>304800</xdr:colOff>
      <xdr:row>954</xdr:row>
      <xdr:rowOff>114300</xdr:rowOff>
    </xdr:to>
    <xdr:sp macro="" textlink="">
      <xdr:nvSpPr>
        <xdr:cNvPr id="1977" name="AutoShape 9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17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953</xdr:row>
      <xdr:rowOff>0</xdr:rowOff>
    </xdr:from>
    <xdr:to>
      <xdr:col>5</xdr:col>
      <xdr:colOff>304800</xdr:colOff>
      <xdr:row>954</xdr:row>
      <xdr:rowOff>114300</xdr:rowOff>
    </xdr:to>
    <xdr:sp macro="" textlink="">
      <xdr:nvSpPr>
        <xdr:cNvPr id="1978" name="AutoShape 95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17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955</xdr:row>
      <xdr:rowOff>0</xdr:rowOff>
    </xdr:from>
    <xdr:to>
      <xdr:col>4</xdr:col>
      <xdr:colOff>304800</xdr:colOff>
      <xdr:row>956</xdr:row>
      <xdr:rowOff>114300</xdr:rowOff>
    </xdr:to>
    <xdr:sp macro="" textlink="">
      <xdr:nvSpPr>
        <xdr:cNvPr id="1979" name="AutoShape 95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230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955</xdr:row>
      <xdr:rowOff>0</xdr:rowOff>
    </xdr:from>
    <xdr:to>
      <xdr:col>5</xdr:col>
      <xdr:colOff>304800</xdr:colOff>
      <xdr:row>956</xdr:row>
      <xdr:rowOff>114300</xdr:rowOff>
    </xdr:to>
    <xdr:sp macro="" textlink="">
      <xdr:nvSpPr>
        <xdr:cNvPr id="1980" name="AutoShape 95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230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957</xdr:row>
      <xdr:rowOff>0</xdr:rowOff>
    </xdr:from>
    <xdr:to>
      <xdr:col>4</xdr:col>
      <xdr:colOff>304800</xdr:colOff>
      <xdr:row>958</xdr:row>
      <xdr:rowOff>76200</xdr:rowOff>
    </xdr:to>
    <xdr:sp macro="" textlink="">
      <xdr:nvSpPr>
        <xdr:cNvPr id="1981" name="AutoShape 95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28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957</xdr:row>
      <xdr:rowOff>0</xdr:rowOff>
    </xdr:from>
    <xdr:to>
      <xdr:col>5</xdr:col>
      <xdr:colOff>304800</xdr:colOff>
      <xdr:row>958</xdr:row>
      <xdr:rowOff>76200</xdr:rowOff>
    </xdr:to>
    <xdr:sp macro="" textlink="">
      <xdr:nvSpPr>
        <xdr:cNvPr id="1982" name="AutoShape 95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28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959</xdr:row>
      <xdr:rowOff>0</xdr:rowOff>
    </xdr:from>
    <xdr:to>
      <xdr:col>4</xdr:col>
      <xdr:colOff>304800</xdr:colOff>
      <xdr:row>960</xdr:row>
      <xdr:rowOff>114300</xdr:rowOff>
    </xdr:to>
    <xdr:sp macro="" textlink="">
      <xdr:nvSpPr>
        <xdr:cNvPr id="1983" name="AutoShape 95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33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959</xdr:row>
      <xdr:rowOff>0</xdr:rowOff>
    </xdr:from>
    <xdr:to>
      <xdr:col>5</xdr:col>
      <xdr:colOff>304800</xdr:colOff>
      <xdr:row>960</xdr:row>
      <xdr:rowOff>114300</xdr:rowOff>
    </xdr:to>
    <xdr:sp macro="" textlink="">
      <xdr:nvSpPr>
        <xdr:cNvPr id="1984" name="AutoShape 96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33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961</xdr:row>
      <xdr:rowOff>0</xdr:rowOff>
    </xdr:from>
    <xdr:to>
      <xdr:col>4</xdr:col>
      <xdr:colOff>304800</xdr:colOff>
      <xdr:row>962</xdr:row>
      <xdr:rowOff>114300</xdr:rowOff>
    </xdr:to>
    <xdr:sp macro="" textlink="">
      <xdr:nvSpPr>
        <xdr:cNvPr id="1985" name="AutoShape 96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38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961</xdr:row>
      <xdr:rowOff>0</xdr:rowOff>
    </xdr:from>
    <xdr:to>
      <xdr:col>5</xdr:col>
      <xdr:colOff>304800</xdr:colOff>
      <xdr:row>962</xdr:row>
      <xdr:rowOff>114300</xdr:rowOff>
    </xdr:to>
    <xdr:sp macro="" textlink="">
      <xdr:nvSpPr>
        <xdr:cNvPr id="1986" name="AutoShape 96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38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963</xdr:row>
      <xdr:rowOff>0</xdr:rowOff>
    </xdr:from>
    <xdr:to>
      <xdr:col>4</xdr:col>
      <xdr:colOff>304800</xdr:colOff>
      <xdr:row>964</xdr:row>
      <xdr:rowOff>114300</xdr:rowOff>
    </xdr:to>
    <xdr:sp macro="" textlink="">
      <xdr:nvSpPr>
        <xdr:cNvPr id="1987" name="AutoShape 96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44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963</xdr:row>
      <xdr:rowOff>0</xdr:rowOff>
    </xdr:from>
    <xdr:to>
      <xdr:col>5</xdr:col>
      <xdr:colOff>304800</xdr:colOff>
      <xdr:row>964</xdr:row>
      <xdr:rowOff>114300</xdr:rowOff>
    </xdr:to>
    <xdr:sp macro="" textlink="">
      <xdr:nvSpPr>
        <xdr:cNvPr id="1988" name="AutoShape 9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44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965</xdr:row>
      <xdr:rowOff>0</xdr:rowOff>
    </xdr:from>
    <xdr:to>
      <xdr:col>4</xdr:col>
      <xdr:colOff>304800</xdr:colOff>
      <xdr:row>966</xdr:row>
      <xdr:rowOff>114300</xdr:rowOff>
    </xdr:to>
    <xdr:sp macro="" textlink="">
      <xdr:nvSpPr>
        <xdr:cNvPr id="1989" name="AutoShape 96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505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965</xdr:row>
      <xdr:rowOff>0</xdr:rowOff>
    </xdr:from>
    <xdr:to>
      <xdr:col>5</xdr:col>
      <xdr:colOff>304800</xdr:colOff>
      <xdr:row>966</xdr:row>
      <xdr:rowOff>114300</xdr:rowOff>
    </xdr:to>
    <xdr:sp macro="" textlink="">
      <xdr:nvSpPr>
        <xdr:cNvPr id="1990" name="AutoShape 9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505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967</xdr:row>
      <xdr:rowOff>0</xdr:rowOff>
    </xdr:from>
    <xdr:to>
      <xdr:col>4</xdr:col>
      <xdr:colOff>304800</xdr:colOff>
      <xdr:row>968</xdr:row>
      <xdr:rowOff>114300</xdr:rowOff>
    </xdr:to>
    <xdr:sp macro="" textlink="">
      <xdr:nvSpPr>
        <xdr:cNvPr id="1991" name="AutoShape 96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563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967</xdr:row>
      <xdr:rowOff>0</xdr:rowOff>
    </xdr:from>
    <xdr:to>
      <xdr:col>5</xdr:col>
      <xdr:colOff>304800</xdr:colOff>
      <xdr:row>968</xdr:row>
      <xdr:rowOff>114300</xdr:rowOff>
    </xdr:to>
    <xdr:sp macro="" textlink="">
      <xdr:nvSpPr>
        <xdr:cNvPr id="1992" name="AutoShape 96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563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969</xdr:row>
      <xdr:rowOff>0</xdr:rowOff>
    </xdr:from>
    <xdr:to>
      <xdr:col>4</xdr:col>
      <xdr:colOff>304800</xdr:colOff>
      <xdr:row>970</xdr:row>
      <xdr:rowOff>114300</xdr:rowOff>
    </xdr:to>
    <xdr:sp macro="" textlink="">
      <xdr:nvSpPr>
        <xdr:cNvPr id="1993" name="AutoShape 96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62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969</xdr:row>
      <xdr:rowOff>0</xdr:rowOff>
    </xdr:from>
    <xdr:to>
      <xdr:col>5</xdr:col>
      <xdr:colOff>304800</xdr:colOff>
      <xdr:row>970</xdr:row>
      <xdr:rowOff>114300</xdr:rowOff>
    </xdr:to>
    <xdr:sp macro="" textlink="">
      <xdr:nvSpPr>
        <xdr:cNvPr id="1994" name="AutoShape 97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62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971</xdr:row>
      <xdr:rowOff>0</xdr:rowOff>
    </xdr:from>
    <xdr:to>
      <xdr:col>4</xdr:col>
      <xdr:colOff>304800</xdr:colOff>
      <xdr:row>972</xdr:row>
      <xdr:rowOff>114300</xdr:rowOff>
    </xdr:to>
    <xdr:sp macro="" textlink="">
      <xdr:nvSpPr>
        <xdr:cNvPr id="1995" name="AutoShape 97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69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971</xdr:row>
      <xdr:rowOff>0</xdr:rowOff>
    </xdr:from>
    <xdr:to>
      <xdr:col>5</xdr:col>
      <xdr:colOff>304800</xdr:colOff>
      <xdr:row>972</xdr:row>
      <xdr:rowOff>114300</xdr:rowOff>
    </xdr:to>
    <xdr:sp macro="" textlink="">
      <xdr:nvSpPr>
        <xdr:cNvPr id="1996" name="AutoShape 97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69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973</xdr:row>
      <xdr:rowOff>0</xdr:rowOff>
    </xdr:from>
    <xdr:to>
      <xdr:col>4</xdr:col>
      <xdr:colOff>304800</xdr:colOff>
      <xdr:row>974</xdr:row>
      <xdr:rowOff>114300</xdr:rowOff>
    </xdr:to>
    <xdr:sp macro="" textlink="">
      <xdr:nvSpPr>
        <xdr:cNvPr id="1997" name="AutoShape 97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75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973</xdr:row>
      <xdr:rowOff>0</xdr:rowOff>
    </xdr:from>
    <xdr:to>
      <xdr:col>5</xdr:col>
      <xdr:colOff>304800</xdr:colOff>
      <xdr:row>974</xdr:row>
      <xdr:rowOff>114300</xdr:rowOff>
    </xdr:to>
    <xdr:sp macro="" textlink="">
      <xdr:nvSpPr>
        <xdr:cNvPr id="1998" name="AutoShape 97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75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975</xdr:row>
      <xdr:rowOff>0</xdr:rowOff>
    </xdr:from>
    <xdr:to>
      <xdr:col>4</xdr:col>
      <xdr:colOff>304800</xdr:colOff>
      <xdr:row>976</xdr:row>
      <xdr:rowOff>114300</xdr:rowOff>
    </xdr:to>
    <xdr:sp macro="" textlink="">
      <xdr:nvSpPr>
        <xdr:cNvPr id="1999" name="AutoShape 97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81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975</xdr:row>
      <xdr:rowOff>0</xdr:rowOff>
    </xdr:from>
    <xdr:to>
      <xdr:col>5</xdr:col>
      <xdr:colOff>304800</xdr:colOff>
      <xdr:row>976</xdr:row>
      <xdr:rowOff>114300</xdr:rowOff>
    </xdr:to>
    <xdr:sp macro="" textlink="">
      <xdr:nvSpPr>
        <xdr:cNvPr id="2000" name="AutoShape 97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81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977</xdr:row>
      <xdr:rowOff>0</xdr:rowOff>
    </xdr:from>
    <xdr:to>
      <xdr:col>4</xdr:col>
      <xdr:colOff>304800</xdr:colOff>
      <xdr:row>978</xdr:row>
      <xdr:rowOff>114300</xdr:rowOff>
    </xdr:to>
    <xdr:sp macro="" textlink="">
      <xdr:nvSpPr>
        <xdr:cNvPr id="2001" name="AutoShape 97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87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977</xdr:row>
      <xdr:rowOff>0</xdr:rowOff>
    </xdr:from>
    <xdr:to>
      <xdr:col>5</xdr:col>
      <xdr:colOff>304800</xdr:colOff>
      <xdr:row>978</xdr:row>
      <xdr:rowOff>114300</xdr:rowOff>
    </xdr:to>
    <xdr:sp macro="" textlink="">
      <xdr:nvSpPr>
        <xdr:cNvPr id="2002" name="AutoShape 9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87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979</xdr:row>
      <xdr:rowOff>0</xdr:rowOff>
    </xdr:from>
    <xdr:to>
      <xdr:col>4</xdr:col>
      <xdr:colOff>304800</xdr:colOff>
      <xdr:row>980</xdr:row>
      <xdr:rowOff>114300</xdr:rowOff>
    </xdr:to>
    <xdr:sp macro="" textlink="">
      <xdr:nvSpPr>
        <xdr:cNvPr id="2003" name="AutoShape 97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931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979</xdr:row>
      <xdr:rowOff>0</xdr:rowOff>
    </xdr:from>
    <xdr:to>
      <xdr:col>5</xdr:col>
      <xdr:colOff>304800</xdr:colOff>
      <xdr:row>980</xdr:row>
      <xdr:rowOff>114300</xdr:rowOff>
    </xdr:to>
    <xdr:sp macro="" textlink="">
      <xdr:nvSpPr>
        <xdr:cNvPr id="2004" name="AutoShape 98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931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981</xdr:row>
      <xdr:rowOff>0</xdr:rowOff>
    </xdr:from>
    <xdr:to>
      <xdr:col>4</xdr:col>
      <xdr:colOff>304800</xdr:colOff>
      <xdr:row>982</xdr:row>
      <xdr:rowOff>76200</xdr:rowOff>
    </xdr:to>
    <xdr:sp macro="" textlink="">
      <xdr:nvSpPr>
        <xdr:cNvPr id="2005" name="AutoShape 9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989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981</xdr:row>
      <xdr:rowOff>0</xdr:rowOff>
    </xdr:from>
    <xdr:to>
      <xdr:col>5</xdr:col>
      <xdr:colOff>304800</xdr:colOff>
      <xdr:row>982</xdr:row>
      <xdr:rowOff>76200</xdr:rowOff>
    </xdr:to>
    <xdr:sp macro="" textlink="">
      <xdr:nvSpPr>
        <xdr:cNvPr id="2006" name="AutoShape 9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989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983</xdr:row>
      <xdr:rowOff>0</xdr:rowOff>
    </xdr:from>
    <xdr:to>
      <xdr:col>4</xdr:col>
      <xdr:colOff>304800</xdr:colOff>
      <xdr:row>984</xdr:row>
      <xdr:rowOff>114300</xdr:rowOff>
    </xdr:to>
    <xdr:sp macro="" textlink="">
      <xdr:nvSpPr>
        <xdr:cNvPr id="2007" name="AutoShape 98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032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983</xdr:row>
      <xdr:rowOff>0</xdr:rowOff>
    </xdr:from>
    <xdr:to>
      <xdr:col>5</xdr:col>
      <xdr:colOff>304800</xdr:colOff>
      <xdr:row>984</xdr:row>
      <xdr:rowOff>114300</xdr:rowOff>
    </xdr:to>
    <xdr:sp macro="" textlink="">
      <xdr:nvSpPr>
        <xdr:cNvPr id="2008" name="AutoShape 98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032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985</xdr:row>
      <xdr:rowOff>0</xdr:rowOff>
    </xdr:from>
    <xdr:to>
      <xdr:col>4</xdr:col>
      <xdr:colOff>304800</xdr:colOff>
      <xdr:row>986</xdr:row>
      <xdr:rowOff>114300</xdr:rowOff>
    </xdr:to>
    <xdr:sp macro="" textlink="">
      <xdr:nvSpPr>
        <xdr:cNvPr id="2009" name="AutoShape 98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09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985</xdr:row>
      <xdr:rowOff>0</xdr:rowOff>
    </xdr:from>
    <xdr:to>
      <xdr:col>5</xdr:col>
      <xdr:colOff>304800</xdr:colOff>
      <xdr:row>986</xdr:row>
      <xdr:rowOff>114300</xdr:rowOff>
    </xdr:to>
    <xdr:sp macro="" textlink="">
      <xdr:nvSpPr>
        <xdr:cNvPr id="2010" name="AutoShape 98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09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987</xdr:row>
      <xdr:rowOff>0</xdr:rowOff>
    </xdr:from>
    <xdr:to>
      <xdr:col>4</xdr:col>
      <xdr:colOff>304800</xdr:colOff>
      <xdr:row>988</xdr:row>
      <xdr:rowOff>76200</xdr:rowOff>
    </xdr:to>
    <xdr:sp macro="" textlink="">
      <xdr:nvSpPr>
        <xdr:cNvPr id="2011" name="AutoShape 98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148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987</xdr:row>
      <xdr:rowOff>0</xdr:rowOff>
    </xdr:from>
    <xdr:to>
      <xdr:col>5</xdr:col>
      <xdr:colOff>304800</xdr:colOff>
      <xdr:row>988</xdr:row>
      <xdr:rowOff>76200</xdr:rowOff>
    </xdr:to>
    <xdr:sp macro="" textlink="">
      <xdr:nvSpPr>
        <xdr:cNvPr id="2012" name="AutoShape 98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148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989</xdr:row>
      <xdr:rowOff>0</xdr:rowOff>
    </xdr:from>
    <xdr:to>
      <xdr:col>4</xdr:col>
      <xdr:colOff>304800</xdr:colOff>
      <xdr:row>990</xdr:row>
      <xdr:rowOff>114300</xdr:rowOff>
    </xdr:to>
    <xdr:sp macro="" textlink="">
      <xdr:nvSpPr>
        <xdr:cNvPr id="2013" name="AutoShape 98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19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989</xdr:row>
      <xdr:rowOff>0</xdr:rowOff>
    </xdr:from>
    <xdr:to>
      <xdr:col>5</xdr:col>
      <xdr:colOff>304800</xdr:colOff>
      <xdr:row>990</xdr:row>
      <xdr:rowOff>114300</xdr:rowOff>
    </xdr:to>
    <xdr:sp macro="" textlink="">
      <xdr:nvSpPr>
        <xdr:cNvPr id="2014" name="AutoShape 99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19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991</xdr:row>
      <xdr:rowOff>0</xdr:rowOff>
    </xdr:from>
    <xdr:to>
      <xdr:col>4</xdr:col>
      <xdr:colOff>304800</xdr:colOff>
      <xdr:row>992</xdr:row>
      <xdr:rowOff>114300</xdr:rowOff>
    </xdr:to>
    <xdr:sp macro="" textlink="">
      <xdr:nvSpPr>
        <xdr:cNvPr id="2015" name="AutoShape 99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249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991</xdr:row>
      <xdr:rowOff>0</xdr:rowOff>
    </xdr:from>
    <xdr:to>
      <xdr:col>5</xdr:col>
      <xdr:colOff>304800</xdr:colOff>
      <xdr:row>992</xdr:row>
      <xdr:rowOff>114300</xdr:rowOff>
    </xdr:to>
    <xdr:sp macro="" textlink="">
      <xdr:nvSpPr>
        <xdr:cNvPr id="2016" name="AutoShape 99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249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993</xdr:row>
      <xdr:rowOff>0</xdr:rowOff>
    </xdr:from>
    <xdr:to>
      <xdr:col>4</xdr:col>
      <xdr:colOff>304800</xdr:colOff>
      <xdr:row>994</xdr:row>
      <xdr:rowOff>114300</xdr:rowOff>
    </xdr:to>
    <xdr:sp macro="" textlink="">
      <xdr:nvSpPr>
        <xdr:cNvPr id="2017" name="AutoShape 99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28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993</xdr:row>
      <xdr:rowOff>0</xdr:rowOff>
    </xdr:from>
    <xdr:to>
      <xdr:col>5</xdr:col>
      <xdr:colOff>304800</xdr:colOff>
      <xdr:row>994</xdr:row>
      <xdr:rowOff>114300</xdr:rowOff>
    </xdr:to>
    <xdr:sp macro="" textlink="">
      <xdr:nvSpPr>
        <xdr:cNvPr id="2018" name="AutoShape 99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28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995</xdr:row>
      <xdr:rowOff>0</xdr:rowOff>
    </xdr:from>
    <xdr:to>
      <xdr:col>4</xdr:col>
      <xdr:colOff>304800</xdr:colOff>
      <xdr:row>996</xdr:row>
      <xdr:rowOff>114300</xdr:rowOff>
    </xdr:to>
    <xdr:sp macro="" textlink="">
      <xdr:nvSpPr>
        <xdr:cNvPr id="2019" name="AutoShape 99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34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995</xdr:row>
      <xdr:rowOff>0</xdr:rowOff>
    </xdr:from>
    <xdr:to>
      <xdr:col>5</xdr:col>
      <xdr:colOff>304800</xdr:colOff>
      <xdr:row>996</xdr:row>
      <xdr:rowOff>114300</xdr:rowOff>
    </xdr:to>
    <xdr:sp macro="" textlink="">
      <xdr:nvSpPr>
        <xdr:cNvPr id="2020" name="AutoShape 99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34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997</xdr:row>
      <xdr:rowOff>0</xdr:rowOff>
    </xdr:from>
    <xdr:to>
      <xdr:col>4</xdr:col>
      <xdr:colOff>304800</xdr:colOff>
      <xdr:row>998</xdr:row>
      <xdr:rowOff>114300</xdr:rowOff>
    </xdr:to>
    <xdr:sp macro="" textlink="">
      <xdr:nvSpPr>
        <xdr:cNvPr id="2021" name="AutoShape 99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404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997</xdr:row>
      <xdr:rowOff>0</xdr:rowOff>
    </xdr:from>
    <xdr:to>
      <xdr:col>5</xdr:col>
      <xdr:colOff>304800</xdr:colOff>
      <xdr:row>998</xdr:row>
      <xdr:rowOff>114300</xdr:rowOff>
    </xdr:to>
    <xdr:sp macro="" textlink="">
      <xdr:nvSpPr>
        <xdr:cNvPr id="2022" name="AutoShape 99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404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999</xdr:row>
      <xdr:rowOff>0</xdr:rowOff>
    </xdr:from>
    <xdr:to>
      <xdr:col>4</xdr:col>
      <xdr:colOff>304800</xdr:colOff>
      <xdr:row>1000</xdr:row>
      <xdr:rowOff>114300</xdr:rowOff>
    </xdr:to>
    <xdr:sp macro="" textlink="">
      <xdr:nvSpPr>
        <xdr:cNvPr id="2023" name="AutoShape 99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462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999</xdr:row>
      <xdr:rowOff>0</xdr:rowOff>
    </xdr:from>
    <xdr:to>
      <xdr:col>5</xdr:col>
      <xdr:colOff>304800</xdr:colOff>
      <xdr:row>1000</xdr:row>
      <xdr:rowOff>114300</xdr:rowOff>
    </xdr:to>
    <xdr:sp macro="" textlink="">
      <xdr:nvSpPr>
        <xdr:cNvPr id="2024" name="AutoShape 100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462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1001</xdr:row>
      <xdr:rowOff>0</xdr:rowOff>
    </xdr:from>
    <xdr:to>
      <xdr:col>4</xdr:col>
      <xdr:colOff>304800</xdr:colOff>
      <xdr:row>1002</xdr:row>
      <xdr:rowOff>114300</xdr:rowOff>
    </xdr:to>
    <xdr:sp macro="" textlink="">
      <xdr:nvSpPr>
        <xdr:cNvPr id="2025" name="AutoShape 100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520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1001</xdr:row>
      <xdr:rowOff>0</xdr:rowOff>
    </xdr:from>
    <xdr:to>
      <xdr:col>5</xdr:col>
      <xdr:colOff>304800</xdr:colOff>
      <xdr:row>1002</xdr:row>
      <xdr:rowOff>114300</xdr:rowOff>
    </xdr:to>
    <xdr:sp macro="" textlink="">
      <xdr:nvSpPr>
        <xdr:cNvPr id="2026" name="AutoShape 100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520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1003</xdr:row>
      <xdr:rowOff>0</xdr:rowOff>
    </xdr:from>
    <xdr:to>
      <xdr:col>4</xdr:col>
      <xdr:colOff>304800</xdr:colOff>
      <xdr:row>1004</xdr:row>
      <xdr:rowOff>76200</xdr:rowOff>
    </xdr:to>
    <xdr:sp macro="" textlink="">
      <xdr:nvSpPr>
        <xdr:cNvPr id="2027" name="AutoShape 100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579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1003</xdr:row>
      <xdr:rowOff>0</xdr:rowOff>
    </xdr:from>
    <xdr:to>
      <xdr:col>5</xdr:col>
      <xdr:colOff>304800</xdr:colOff>
      <xdr:row>1004</xdr:row>
      <xdr:rowOff>76200</xdr:rowOff>
    </xdr:to>
    <xdr:sp macro="" textlink="">
      <xdr:nvSpPr>
        <xdr:cNvPr id="2028" name="AutoShape 100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579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1005</xdr:row>
      <xdr:rowOff>0</xdr:rowOff>
    </xdr:from>
    <xdr:to>
      <xdr:col>4</xdr:col>
      <xdr:colOff>304800</xdr:colOff>
      <xdr:row>1006</xdr:row>
      <xdr:rowOff>114300</xdr:rowOff>
    </xdr:to>
    <xdr:sp macro="" textlink="">
      <xdr:nvSpPr>
        <xdr:cNvPr id="2029" name="AutoShape 10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621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1005</xdr:row>
      <xdr:rowOff>0</xdr:rowOff>
    </xdr:from>
    <xdr:to>
      <xdr:col>5</xdr:col>
      <xdr:colOff>304800</xdr:colOff>
      <xdr:row>1006</xdr:row>
      <xdr:rowOff>114300</xdr:rowOff>
    </xdr:to>
    <xdr:sp macro="" textlink="">
      <xdr:nvSpPr>
        <xdr:cNvPr id="2030" name="AutoShape 100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621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1007</xdr:row>
      <xdr:rowOff>0</xdr:rowOff>
    </xdr:from>
    <xdr:to>
      <xdr:col>4</xdr:col>
      <xdr:colOff>304800</xdr:colOff>
      <xdr:row>1008</xdr:row>
      <xdr:rowOff>76200</xdr:rowOff>
    </xdr:to>
    <xdr:sp macro="" textlink="">
      <xdr:nvSpPr>
        <xdr:cNvPr id="2031" name="AutoShape 100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679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1007</xdr:row>
      <xdr:rowOff>0</xdr:rowOff>
    </xdr:from>
    <xdr:to>
      <xdr:col>5</xdr:col>
      <xdr:colOff>304800</xdr:colOff>
      <xdr:row>1008</xdr:row>
      <xdr:rowOff>76200</xdr:rowOff>
    </xdr:to>
    <xdr:sp macro="" textlink="">
      <xdr:nvSpPr>
        <xdr:cNvPr id="2032" name="AutoShape 100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679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1009</xdr:row>
      <xdr:rowOff>0</xdr:rowOff>
    </xdr:from>
    <xdr:to>
      <xdr:col>4</xdr:col>
      <xdr:colOff>304800</xdr:colOff>
      <xdr:row>1010</xdr:row>
      <xdr:rowOff>114300</xdr:rowOff>
    </xdr:to>
    <xdr:sp macro="" textlink="">
      <xdr:nvSpPr>
        <xdr:cNvPr id="2033" name="AutoShape 100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722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1009</xdr:row>
      <xdr:rowOff>0</xdr:rowOff>
    </xdr:from>
    <xdr:to>
      <xdr:col>5</xdr:col>
      <xdr:colOff>304800</xdr:colOff>
      <xdr:row>1010</xdr:row>
      <xdr:rowOff>114300</xdr:rowOff>
    </xdr:to>
    <xdr:sp macro="" textlink="">
      <xdr:nvSpPr>
        <xdr:cNvPr id="2034" name="AutoShape 101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722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1011</xdr:row>
      <xdr:rowOff>0</xdr:rowOff>
    </xdr:from>
    <xdr:to>
      <xdr:col>4</xdr:col>
      <xdr:colOff>304800</xdr:colOff>
      <xdr:row>1012</xdr:row>
      <xdr:rowOff>114300</xdr:rowOff>
    </xdr:to>
    <xdr:sp macro="" textlink="">
      <xdr:nvSpPr>
        <xdr:cNvPr id="2035" name="AutoShape 101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780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1011</xdr:row>
      <xdr:rowOff>0</xdr:rowOff>
    </xdr:from>
    <xdr:to>
      <xdr:col>5</xdr:col>
      <xdr:colOff>304800</xdr:colOff>
      <xdr:row>1012</xdr:row>
      <xdr:rowOff>114300</xdr:rowOff>
    </xdr:to>
    <xdr:sp macro="" textlink="">
      <xdr:nvSpPr>
        <xdr:cNvPr id="2036" name="AutoShape 101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780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1013</xdr:row>
      <xdr:rowOff>0</xdr:rowOff>
    </xdr:from>
    <xdr:to>
      <xdr:col>4</xdr:col>
      <xdr:colOff>304800</xdr:colOff>
      <xdr:row>1014</xdr:row>
      <xdr:rowOff>114300</xdr:rowOff>
    </xdr:to>
    <xdr:sp macro="" textlink="">
      <xdr:nvSpPr>
        <xdr:cNvPr id="2037" name="AutoShape 101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858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1013</xdr:row>
      <xdr:rowOff>0</xdr:rowOff>
    </xdr:from>
    <xdr:to>
      <xdr:col>5</xdr:col>
      <xdr:colOff>304800</xdr:colOff>
      <xdr:row>1014</xdr:row>
      <xdr:rowOff>114300</xdr:rowOff>
    </xdr:to>
    <xdr:sp macro="" textlink="">
      <xdr:nvSpPr>
        <xdr:cNvPr id="2038" name="AutoShape 10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858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1015</xdr:row>
      <xdr:rowOff>0</xdr:rowOff>
    </xdr:from>
    <xdr:to>
      <xdr:col>4</xdr:col>
      <xdr:colOff>304800</xdr:colOff>
      <xdr:row>1016</xdr:row>
      <xdr:rowOff>114300</xdr:rowOff>
    </xdr:to>
    <xdr:sp macro="" textlink="">
      <xdr:nvSpPr>
        <xdr:cNvPr id="2039" name="AutoShape 101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91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1015</xdr:row>
      <xdr:rowOff>0</xdr:rowOff>
    </xdr:from>
    <xdr:to>
      <xdr:col>5</xdr:col>
      <xdr:colOff>304800</xdr:colOff>
      <xdr:row>1016</xdr:row>
      <xdr:rowOff>114300</xdr:rowOff>
    </xdr:to>
    <xdr:sp macro="" textlink="">
      <xdr:nvSpPr>
        <xdr:cNvPr id="2040" name="AutoShape 101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91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1017</xdr:row>
      <xdr:rowOff>0</xdr:rowOff>
    </xdr:from>
    <xdr:to>
      <xdr:col>4</xdr:col>
      <xdr:colOff>304800</xdr:colOff>
      <xdr:row>1018</xdr:row>
      <xdr:rowOff>76200</xdr:rowOff>
    </xdr:to>
    <xdr:sp macro="" textlink="">
      <xdr:nvSpPr>
        <xdr:cNvPr id="2041" name="AutoShape 101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97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1017</xdr:row>
      <xdr:rowOff>0</xdr:rowOff>
    </xdr:from>
    <xdr:to>
      <xdr:col>5</xdr:col>
      <xdr:colOff>304800</xdr:colOff>
      <xdr:row>1018</xdr:row>
      <xdr:rowOff>76200</xdr:rowOff>
    </xdr:to>
    <xdr:sp macro="" textlink="">
      <xdr:nvSpPr>
        <xdr:cNvPr id="2042" name="AutoShape 101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97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1019</xdr:row>
      <xdr:rowOff>0</xdr:rowOff>
    </xdr:from>
    <xdr:to>
      <xdr:col>4</xdr:col>
      <xdr:colOff>304800</xdr:colOff>
      <xdr:row>1020</xdr:row>
      <xdr:rowOff>76200</xdr:rowOff>
    </xdr:to>
    <xdr:sp macro="" textlink="">
      <xdr:nvSpPr>
        <xdr:cNvPr id="2043" name="AutoShape 101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01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1019</xdr:row>
      <xdr:rowOff>0</xdr:rowOff>
    </xdr:from>
    <xdr:to>
      <xdr:col>5</xdr:col>
      <xdr:colOff>304800</xdr:colOff>
      <xdr:row>1020</xdr:row>
      <xdr:rowOff>76200</xdr:rowOff>
    </xdr:to>
    <xdr:sp macro="" textlink="">
      <xdr:nvSpPr>
        <xdr:cNvPr id="2044" name="AutoShape 102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01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1021</xdr:row>
      <xdr:rowOff>0</xdr:rowOff>
    </xdr:from>
    <xdr:to>
      <xdr:col>4</xdr:col>
      <xdr:colOff>304800</xdr:colOff>
      <xdr:row>1022</xdr:row>
      <xdr:rowOff>114300</xdr:rowOff>
    </xdr:to>
    <xdr:sp macro="" textlink="">
      <xdr:nvSpPr>
        <xdr:cNvPr id="2045" name="AutoShape 102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06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1021</xdr:row>
      <xdr:rowOff>0</xdr:rowOff>
    </xdr:from>
    <xdr:to>
      <xdr:col>5</xdr:col>
      <xdr:colOff>304800</xdr:colOff>
      <xdr:row>1022</xdr:row>
      <xdr:rowOff>114300</xdr:rowOff>
    </xdr:to>
    <xdr:sp macro="" textlink="">
      <xdr:nvSpPr>
        <xdr:cNvPr id="2046" name="AutoShape 102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06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1023</xdr:row>
      <xdr:rowOff>0</xdr:rowOff>
    </xdr:from>
    <xdr:to>
      <xdr:col>4</xdr:col>
      <xdr:colOff>304800</xdr:colOff>
      <xdr:row>1024</xdr:row>
      <xdr:rowOff>114300</xdr:rowOff>
    </xdr:to>
    <xdr:sp macro="" textlink="">
      <xdr:nvSpPr>
        <xdr:cNvPr id="2047" name="AutoShape 102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11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1023</xdr:row>
      <xdr:rowOff>0</xdr:rowOff>
    </xdr:from>
    <xdr:to>
      <xdr:col>5</xdr:col>
      <xdr:colOff>304800</xdr:colOff>
      <xdr:row>1024</xdr:row>
      <xdr:rowOff>114300</xdr:rowOff>
    </xdr:to>
    <xdr:sp macro="" textlink="">
      <xdr:nvSpPr>
        <xdr:cNvPr id="4096" name="AutoShape 10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11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1025</xdr:row>
      <xdr:rowOff>0</xdr:rowOff>
    </xdr:from>
    <xdr:to>
      <xdr:col>4</xdr:col>
      <xdr:colOff>304800</xdr:colOff>
      <xdr:row>1026</xdr:row>
      <xdr:rowOff>114300</xdr:rowOff>
    </xdr:to>
    <xdr:sp macro="" textlink="">
      <xdr:nvSpPr>
        <xdr:cNvPr id="4097" name="AutoShape 102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17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1025</xdr:row>
      <xdr:rowOff>0</xdr:rowOff>
    </xdr:from>
    <xdr:to>
      <xdr:col>5</xdr:col>
      <xdr:colOff>304800</xdr:colOff>
      <xdr:row>1026</xdr:row>
      <xdr:rowOff>114300</xdr:rowOff>
    </xdr:to>
    <xdr:sp macro="" textlink="">
      <xdr:nvSpPr>
        <xdr:cNvPr id="4098" name="AutoShape 102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17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1027</xdr:row>
      <xdr:rowOff>0</xdr:rowOff>
    </xdr:from>
    <xdr:to>
      <xdr:col>4</xdr:col>
      <xdr:colOff>304800</xdr:colOff>
      <xdr:row>1028</xdr:row>
      <xdr:rowOff>76200</xdr:rowOff>
    </xdr:to>
    <xdr:sp macro="" textlink="">
      <xdr:nvSpPr>
        <xdr:cNvPr id="4099" name="AutoShape 102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234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1027</xdr:row>
      <xdr:rowOff>0</xdr:rowOff>
    </xdr:from>
    <xdr:to>
      <xdr:col>5</xdr:col>
      <xdr:colOff>304800</xdr:colOff>
      <xdr:row>1028</xdr:row>
      <xdr:rowOff>76200</xdr:rowOff>
    </xdr:to>
    <xdr:sp macro="" textlink="">
      <xdr:nvSpPr>
        <xdr:cNvPr id="4100" name="AutoShape 102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234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1029</xdr:row>
      <xdr:rowOff>0</xdr:rowOff>
    </xdr:from>
    <xdr:to>
      <xdr:col>4</xdr:col>
      <xdr:colOff>304800</xdr:colOff>
      <xdr:row>1030</xdr:row>
      <xdr:rowOff>114300</xdr:rowOff>
    </xdr:to>
    <xdr:sp macro="" textlink="">
      <xdr:nvSpPr>
        <xdr:cNvPr id="4101" name="AutoShape 10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27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1029</xdr:row>
      <xdr:rowOff>0</xdr:rowOff>
    </xdr:from>
    <xdr:to>
      <xdr:col>5</xdr:col>
      <xdr:colOff>304800</xdr:colOff>
      <xdr:row>1030</xdr:row>
      <xdr:rowOff>114300</xdr:rowOff>
    </xdr:to>
    <xdr:sp macro="" textlink="">
      <xdr:nvSpPr>
        <xdr:cNvPr id="4102" name="AutoShape 103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27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1031</xdr:row>
      <xdr:rowOff>0</xdr:rowOff>
    </xdr:from>
    <xdr:to>
      <xdr:col>4</xdr:col>
      <xdr:colOff>304800</xdr:colOff>
      <xdr:row>1032</xdr:row>
      <xdr:rowOff>76200</xdr:rowOff>
    </xdr:to>
    <xdr:sp macro="" textlink="">
      <xdr:nvSpPr>
        <xdr:cNvPr id="4103" name="AutoShape 103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335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1031</xdr:row>
      <xdr:rowOff>0</xdr:rowOff>
    </xdr:from>
    <xdr:to>
      <xdr:col>5</xdr:col>
      <xdr:colOff>304800</xdr:colOff>
      <xdr:row>1032</xdr:row>
      <xdr:rowOff>76200</xdr:rowOff>
    </xdr:to>
    <xdr:sp macro="" textlink="">
      <xdr:nvSpPr>
        <xdr:cNvPr id="4104" name="AutoShape 103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335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1033</xdr:row>
      <xdr:rowOff>0</xdr:rowOff>
    </xdr:from>
    <xdr:to>
      <xdr:col>4</xdr:col>
      <xdr:colOff>304800</xdr:colOff>
      <xdr:row>1034</xdr:row>
      <xdr:rowOff>114300</xdr:rowOff>
    </xdr:to>
    <xdr:sp macro="" textlink="">
      <xdr:nvSpPr>
        <xdr:cNvPr id="4105" name="AutoShape 103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37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1033</xdr:row>
      <xdr:rowOff>0</xdr:rowOff>
    </xdr:from>
    <xdr:to>
      <xdr:col>5</xdr:col>
      <xdr:colOff>304800</xdr:colOff>
      <xdr:row>1034</xdr:row>
      <xdr:rowOff>114300</xdr:rowOff>
    </xdr:to>
    <xdr:sp macro="" textlink="">
      <xdr:nvSpPr>
        <xdr:cNvPr id="4106" name="AutoShape 103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37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1035</xdr:row>
      <xdr:rowOff>0</xdr:rowOff>
    </xdr:from>
    <xdr:to>
      <xdr:col>4</xdr:col>
      <xdr:colOff>304800</xdr:colOff>
      <xdr:row>1036</xdr:row>
      <xdr:rowOff>114300</xdr:rowOff>
    </xdr:to>
    <xdr:sp macro="" textlink="">
      <xdr:nvSpPr>
        <xdr:cNvPr id="4107" name="AutoShape 103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436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1035</xdr:row>
      <xdr:rowOff>0</xdr:rowOff>
    </xdr:from>
    <xdr:to>
      <xdr:col>5</xdr:col>
      <xdr:colOff>304800</xdr:colOff>
      <xdr:row>1036</xdr:row>
      <xdr:rowOff>114300</xdr:rowOff>
    </xdr:to>
    <xdr:sp macro="" textlink="">
      <xdr:nvSpPr>
        <xdr:cNvPr id="4108" name="AutoShape 103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436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1037</xdr:row>
      <xdr:rowOff>0</xdr:rowOff>
    </xdr:from>
    <xdr:to>
      <xdr:col>4</xdr:col>
      <xdr:colOff>304800</xdr:colOff>
      <xdr:row>1038</xdr:row>
      <xdr:rowOff>114300</xdr:rowOff>
    </xdr:to>
    <xdr:sp macro="" textlink="">
      <xdr:nvSpPr>
        <xdr:cNvPr id="4109" name="AutoShape 103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494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1037</xdr:row>
      <xdr:rowOff>0</xdr:rowOff>
    </xdr:from>
    <xdr:to>
      <xdr:col>5</xdr:col>
      <xdr:colOff>304800</xdr:colOff>
      <xdr:row>1038</xdr:row>
      <xdr:rowOff>114300</xdr:rowOff>
    </xdr:to>
    <xdr:sp macro="" textlink="">
      <xdr:nvSpPr>
        <xdr:cNvPr id="4110" name="AutoShape 103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494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1039</xdr:row>
      <xdr:rowOff>0</xdr:rowOff>
    </xdr:from>
    <xdr:to>
      <xdr:col>4</xdr:col>
      <xdr:colOff>304800</xdr:colOff>
      <xdr:row>1040</xdr:row>
      <xdr:rowOff>114300</xdr:rowOff>
    </xdr:to>
    <xdr:sp macro="" textlink="">
      <xdr:nvSpPr>
        <xdr:cNvPr id="4111" name="AutoShape 103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552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1039</xdr:row>
      <xdr:rowOff>0</xdr:rowOff>
    </xdr:from>
    <xdr:to>
      <xdr:col>5</xdr:col>
      <xdr:colOff>304800</xdr:colOff>
      <xdr:row>1040</xdr:row>
      <xdr:rowOff>114300</xdr:rowOff>
    </xdr:to>
    <xdr:sp macro="" textlink="">
      <xdr:nvSpPr>
        <xdr:cNvPr id="4112" name="AutoShape 104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552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1041</xdr:row>
      <xdr:rowOff>0</xdr:rowOff>
    </xdr:from>
    <xdr:to>
      <xdr:col>4</xdr:col>
      <xdr:colOff>304800</xdr:colOff>
      <xdr:row>1042</xdr:row>
      <xdr:rowOff>114300</xdr:rowOff>
    </xdr:to>
    <xdr:sp macro="" textlink="">
      <xdr:nvSpPr>
        <xdr:cNvPr id="4113" name="AutoShape 10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610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1041</xdr:row>
      <xdr:rowOff>0</xdr:rowOff>
    </xdr:from>
    <xdr:to>
      <xdr:col>5</xdr:col>
      <xdr:colOff>304800</xdr:colOff>
      <xdr:row>1042</xdr:row>
      <xdr:rowOff>114300</xdr:rowOff>
    </xdr:to>
    <xdr:sp macro="" textlink="">
      <xdr:nvSpPr>
        <xdr:cNvPr id="4114" name="AutoShape 104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610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1043</xdr:row>
      <xdr:rowOff>0</xdr:rowOff>
    </xdr:from>
    <xdr:to>
      <xdr:col>4</xdr:col>
      <xdr:colOff>304800</xdr:colOff>
      <xdr:row>1044</xdr:row>
      <xdr:rowOff>76200</xdr:rowOff>
    </xdr:to>
    <xdr:sp macro="" textlink="">
      <xdr:nvSpPr>
        <xdr:cNvPr id="4115" name="AutoShape 104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668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1043</xdr:row>
      <xdr:rowOff>0</xdr:rowOff>
    </xdr:from>
    <xdr:to>
      <xdr:col>5</xdr:col>
      <xdr:colOff>304800</xdr:colOff>
      <xdr:row>1044</xdr:row>
      <xdr:rowOff>76200</xdr:rowOff>
    </xdr:to>
    <xdr:sp macro="" textlink="">
      <xdr:nvSpPr>
        <xdr:cNvPr id="4116" name="AutoShape 104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668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1045</xdr:row>
      <xdr:rowOff>0</xdr:rowOff>
    </xdr:from>
    <xdr:to>
      <xdr:col>4</xdr:col>
      <xdr:colOff>304800</xdr:colOff>
      <xdr:row>1046</xdr:row>
      <xdr:rowOff>114300</xdr:rowOff>
    </xdr:to>
    <xdr:sp macro="" textlink="">
      <xdr:nvSpPr>
        <xdr:cNvPr id="4117" name="AutoShape 104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711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1045</xdr:row>
      <xdr:rowOff>0</xdr:rowOff>
    </xdr:from>
    <xdr:to>
      <xdr:col>5</xdr:col>
      <xdr:colOff>304800</xdr:colOff>
      <xdr:row>1046</xdr:row>
      <xdr:rowOff>114300</xdr:rowOff>
    </xdr:to>
    <xdr:sp macro="" textlink="">
      <xdr:nvSpPr>
        <xdr:cNvPr id="4118" name="AutoShape 104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711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1047</xdr:row>
      <xdr:rowOff>0</xdr:rowOff>
    </xdr:from>
    <xdr:to>
      <xdr:col>4</xdr:col>
      <xdr:colOff>304800</xdr:colOff>
      <xdr:row>1048</xdr:row>
      <xdr:rowOff>76200</xdr:rowOff>
    </xdr:to>
    <xdr:sp macro="" textlink="">
      <xdr:nvSpPr>
        <xdr:cNvPr id="4119" name="AutoShape 104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769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1047</xdr:row>
      <xdr:rowOff>0</xdr:rowOff>
    </xdr:from>
    <xdr:to>
      <xdr:col>5</xdr:col>
      <xdr:colOff>304800</xdr:colOff>
      <xdr:row>1048</xdr:row>
      <xdr:rowOff>76200</xdr:rowOff>
    </xdr:to>
    <xdr:sp macro="" textlink="">
      <xdr:nvSpPr>
        <xdr:cNvPr id="4120" name="AutoShape 104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769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1049</xdr:row>
      <xdr:rowOff>0</xdr:rowOff>
    </xdr:from>
    <xdr:to>
      <xdr:col>4</xdr:col>
      <xdr:colOff>304800</xdr:colOff>
      <xdr:row>1050</xdr:row>
      <xdr:rowOff>114300</xdr:rowOff>
    </xdr:to>
    <xdr:sp macro="" textlink="">
      <xdr:nvSpPr>
        <xdr:cNvPr id="4121" name="AutoShape 1049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81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1049</xdr:row>
      <xdr:rowOff>0</xdr:rowOff>
    </xdr:from>
    <xdr:to>
      <xdr:col>5</xdr:col>
      <xdr:colOff>304800</xdr:colOff>
      <xdr:row>1050</xdr:row>
      <xdr:rowOff>114300</xdr:rowOff>
    </xdr:to>
    <xdr:sp macro="" textlink="">
      <xdr:nvSpPr>
        <xdr:cNvPr id="4122" name="AutoShape 105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81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1051</xdr:row>
      <xdr:rowOff>0</xdr:rowOff>
    </xdr:from>
    <xdr:to>
      <xdr:col>4</xdr:col>
      <xdr:colOff>304800</xdr:colOff>
      <xdr:row>1052</xdr:row>
      <xdr:rowOff>114300</xdr:rowOff>
    </xdr:to>
    <xdr:sp macro="" textlink="">
      <xdr:nvSpPr>
        <xdr:cNvPr id="4123" name="AutoShape 105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87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1051</xdr:row>
      <xdr:rowOff>0</xdr:rowOff>
    </xdr:from>
    <xdr:to>
      <xdr:col>5</xdr:col>
      <xdr:colOff>304800</xdr:colOff>
      <xdr:row>1052</xdr:row>
      <xdr:rowOff>114300</xdr:rowOff>
    </xdr:to>
    <xdr:sp macro="" textlink="">
      <xdr:nvSpPr>
        <xdr:cNvPr id="4124" name="AutoShape 105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87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1053</xdr:row>
      <xdr:rowOff>0</xdr:rowOff>
    </xdr:from>
    <xdr:to>
      <xdr:col>4</xdr:col>
      <xdr:colOff>304800</xdr:colOff>
      <xdr:row>1054</xdr:row>
      <xdr:rowOff>114300</xdr:rowOff>
    </xdr:to>
    <xdr:sp macro="" textlink="">
      <xdr:nvSpPr>
        <xdr:cNvPr id="4125" name="AutoShape 105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92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1053</xdr:row>
      <xdr:rowOff>0</xdr:rowOff>
    </xdr:from>
    <xdr:to>
      <xdr:col>5</xdr:col>
      <xdr:colOff>304800</xdr:colOff>
      <xdr:row>1054</xdr:row>
      <xdr:rowOff>114300</xdr:rowOff>
    </xdr:to>
    <xdr:sp macro="" textlink="">
      <xdr:nvSpPr>
        <xdr:cNvPr id="4126" name="AutoShape 105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92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1055</xdr:row>
      <xdr:rowOff>0</xdr:rowOff>
    </xdr:from>
    <xdr:to>
      <xdr:col>4</xdr:col>
      <xdr:colOff>304800</xdr:colOff>
      <xdr:row>1056</xdr:row>
      <xdr:rowOff>76200</xdr:rowOff>
    </xdr:to>
    <xdr:sp macro="" textlink="">
      <xdr:nvSpPr>
        <xdr:cNvPr id="4127" name="AutoShape 105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986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1055</xdr:row>
      <xdr:rowOff>0</xdr:rowOff>
    </xdr:from>
    <xdr:to>
      <xdr:col>5</xdr:col>
      <xdr:colOff>304800</xdr:colOff>
      <xdr:row>1056</xdr:row>
      <xdr:rowOff>76200</xdr:rowOff>
    </xdr:to>
    <xdr:sp macro="" textlink="">
      <xdr:nvSpPr>
        <xdr:cNvPr id="4128" name="AutoShape 105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986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1057</xdr:row>
      <xdr:rowOff>0</xdr:rowOff>
    </xdr:from>
    <xdr:to>
      <xdr:col>4</xdr:col>
      <xdr:colOff>304800</xdr:colOff>
      <xdr:row>1058</xdr:row>
      <xdr:rowOff>114300</xdr:rowOff>
    </xdr:to>
    <xdr:sp macro="" textlink="">
      <xdr:nvSpPr>
        <xdr:cNvPr id="4129" name="AutoShape 105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02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1057</xdr:row>
      <xdr:rowOff>0</xdr:rowOff>
    </xdr:from>
    <xdr:to>
      <xdr:col>5</xdr:col>
      <xdr:colOff>304800</xdr:colOff>
      <xdr:row>1058</xdr:row>
      <xdr:rowOff>114300</xdr:rowOff>
    </xdr:to>
    <xdr:sp macro="" textlink="">
      <xdr:nvSpPr>
        <xdr:cNvPr id="4130" name="AutoShape 105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02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1059</xdr:row>
      <xdr:rowOff>0</xdr:rowOff>
    </xdr:from>
    <xdr:to>
      <xdr:col>4</xdr:col>
      <xdr:colOff>304800</xdr:colOff>
      <xdr:row>1060</xdr:row>
      <xdr:rowOff>76200</xdr:rowOff>
    </xdr:to>
    <xdr:sp macro="" textlink="">
      <xdr:nvSpPr>
        <xdr:cNvPr id="4131" name="AutoShape 105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08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1059</xdr:row>
      <xdr:rowOff>0</xdr:rowOff>
    </xdr:from>
    <xdr:to>
      <xdr:col>5</xdr:col>
      <xdr:colOff>304800</xdr:colOff>
      <xdr:row>1060</xdr:row>
      <xdr:rowOff>76200</xdr:rowOff>
    </xdr:to>
    <xdr:sp macro="" textlink="">
      <xdr:nvSpPr>
        <xdr:cNvPr id="4132" name="AutoShape 106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08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1061</xdr:row>
      <xdr:rowOff>0</xdr:rowOff>
    </xdr:from>
    <xdr:to>
      <xdr:col>4</xdr:col>
      <xdr:colOff>304800</xdr:colOff>
      <xdr:row>1062</xdr:row>
      <xdr:rowOff>114300</xdr:rowOff>
    </xdr:to>
    <xdr:sp macro="" textlink="">
      <xdr:nvSpPr>
        <xdr:cNvPr id="4133" name="AutoShape 106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130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1061</xdr:row>
      <xdr:rowOff>0</xdr:rowOff>
    </xdr:from>
    <xdr:to>
      <xdr:col>5</xdr:col>
      <xdr:colOff>304800</xdr:colOff>
      <xdr:row>1062</xdr:row>
      <xdr:rowOff>114300</xdr:rowOff>
    </xdr:to>
    <xdr:sp macro="" textlink="">
      <xdr:nvSpPr>
        <xdr:cNvPr id="4134" name="AutoShape 106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130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1063</xdr:row>
      <xdr:rowOff>0</xdr:rowOff>
    </xdr:from>
    <xdr:to>
      <xdr:col>4</xdr:col>
      <xdr:colOff>304800</xdr:colOff>
      <xdr:row>1064</xdr:row>
      <xdr:rowOff>114300</xdr:rowOff>
    </xdr:to>
    <xdr:sp macro="" textlink="">
      <xdr:nvSpPr>
        <xdr:cNvPr id="4135" name="AutoShape 106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188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1063</xdr:row>
      <xdr:rowOff>0</xdr:rowOff>
    </xdr:from>
    <xdr:to>
      <xdr:col>5</xdr:col>
      <xdr:colOff>304800</xdr:colOff>
      <xdr:row>1064</xdr:row>
      <xdr:rowOff>114300</xdr:rowOff>
    </xdr:to>
    <xdr:sp macro="" textlink="">
      <xdr:nvSpPr>
        <xdr:cNvPr id="4136" name="AutoShape 106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188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1065</xdr:row>
      <xdr:rowOff>0</xdr:rowOff>
    </xdr:from>
    <xdr:to>
      <xdr:col>4</xdr:col>
      <xdr:colOff>304800</xdr:colOff>
      <xdr:row>1066</xdr:row>
      <xdr:rowOff>114300</xdr:rowOff>
    </xdr:to>
    <xdr:sp macro="" textlink="">
      <xdr:nvSpPr>
        <xdr:cNvPr id="4137" name="AutoShape 106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265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1065</xdr:row>
      <xdr:rowOff>0</xdr:rowOff>
    </xdr:from>
    <xdr:to>
      <xdr:col>5</xdr:col>
      <xdr:colOff>304800</xdr:colOff>
      <xdr:row>1066</xdr:row>
      <xdr:rowOff>114300</xdr:rowOff>
    </xdr:to>
    <xdr:sp macro="" textlink="">
      <xdr:nvSpPr>
        <xdr:cNvPr id="4138" name="AutoShape 106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265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1067</xdr:row>
      <xdr:rowOff>0</xdr:rowOff>
    </xdr:from>
    <xdr:to>
      <xdr:col>4</xdr:col>
      <xdr:colOff>304800</xdr:colOff>
      <xdr:row>1068</xdr:row>
      <xdr:rowOff>76200</xdr:rowOff>
    </xdr:to>
    <xdr:sp macro="" textlink="">
      <xdr:nvSpPr>
        <xdr:cNvPr id="4139" name="AutoShape 106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323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1067</xdr:row>
      <xdr:rowOff>0</xdr:rowOff>
    </xdr:from>
    <xdr:to>
      <xdr:col>5</xdr:col>
      <xdr:colOff>304800</xdr:colOff>
      <xdr:row>1068</xdr:row>
      <xdr:rowOff>76200</xdr:rowOff>
    </xdr:to>
    <xdr:sp macro="" textlink="">
      <xdr:nvSpPr>
        <xdr:cNvPr id="4140" name="AutoShape 106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323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1069</xdr:row>
      <xdr:rowOff>0</xdr:rowOff>
    </xdr:from>
    <xdr:to>
      <xdr:col>4</xdr:col>
      <xdr:colOff>304800</xdr:colOff>
      <xdr:row>1070</xdr:row>
      <xdr:rowOff>114300</xdr:rowOff>
    </xdr:to>
    <xdr:sp macro="" textlink="">
      <xdr:nvSpPr>
        <xdr:cNvPr id="4141" name="AutoShape 106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366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1069</xdr:row>
      <xdr:rowOff>0</xdr:rowOff>
    </xdr:from>
    <xdr:to>
      <xdr:col>5</xdr:col>
      <xdr:colOff>304800</xdr:colOff>
      <xdr:row>1070</xdr:row>
      <xdr:rowOff>114300</xdr:rowOff>
    </xdr:to>
    <xdr:sp macro="" textlink="">
      <xdr:nvSpPr>
        <xdr:cNvPr id="4142" name="AutoShape 107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366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1071</xdr:row>
      <xdr:rowOff>0</xdr:rowOff>
    </xdr:from>
    <xdr:to>
      <xdr:col>4</xdr:col>
      <xdr:colOff>304800</xdr:colOff>
      <xdr:row>1072</xdr:row>
      <xdr:rowOff>114300</xdr:rowOff>
    </xdr:to>
    <xdr:sp macro="" textlink="">
      <xdr:nvSpPr>
        <xdr:cNvPr id="4143" name="AutoShape 107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424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1071</xdr:row>
      <xdr:rowOff>0</xdr:rowOff>
    </xdr:from>
    <xdr:to>
      <xdr:col>5</xdr:col>
      <xdr:colOff>304800</xdr:colOff>
      <xdr:row>1072</xdr:row>
      <xdr:rowOff>114300</xdr:rowOff>
    </xdr:to>
    <xdr:sp macro="" textlink="">
      <xdr:nvSpPr>
        <xdr:cNvPr id="4144" name="AutoShape 10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424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1073</xdr:row>
      <xdr:rowOff>0</xdr:rowOff>
    </xdr:from>
    <xdr:to>
      <xdr:col>4</xdr:col>
      <xdr:colOff>304800</xdr:colOff>
      <xdr:row>1074</xdr:row>
      <xdr:rowOff>114300</xdr:rowOff>
    </xdr:to>
    <xdr:sp macro="" textlink="">
      <xdr:nvSpPr>
        <xdr:cNvPr id="4145" name="AutoShape 107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483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1073</xdr:row>
      <xdr:rowOff>0</xdr:rowOff>
    </xdr:from>
    <xdr:to>
      <xdr:col>5</xdr:col>
      <xdr:colOff>304800</xdr:colOff>
      <xdr:row>1074</xdr:row>
      <xdr:rowOff>114300</xdr:rowOff>
    </xdr:to>
    <xdr:sp macro="" textlink="">
      <xdr:nvSpPr>
        <xdr:cNvPr id="4146" name="AutoShape 107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483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1075</xdr:row>
      <xdr:rowOff>0</xdr:rowOff>
    </xdr:from>
    <xdr:to>
      <xdr:col>4</xdr:col>
      <xdr:colOff>304800</xdr:colOff>
      <xdr:row>1076</xdr:row>
      <xdr:rowOff>76200</xdr:rowOff>
    </xdr:to>
    <xdr:sp macro="" textlink="">
      <xdr:nvSpPr>
        <xdr:cNvPr id="4147" name="AutoShape 10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54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1075</xdr:row>
      <xdr:rowOff>0</xdr:rowOff>
    </xdr:from>
    <xdr:to>
      <xdr:col>5</xdr:col>
      <xdr:colOff>304800</xdr:colOff>
      <xdr:row>1076</xdr:row>
      <xdr:rowOff>76200</xdr:rowOff>
    </xdr:to>
    <xdr:sp macro="" textlink="">
      <xdr:nvSpPr>
        <xdr:cNvPr id="4148" name="AutoShape 107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54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1077</xdr:row>
      <xdr:rowOff>0</xdr:rowOff>
    </xdr:from>
    <xdr:to>
      <xdr:col>4</xdr:col>
      <xdr:colOff>304800</xdr:colOff>
      <xdr:row>1078</xdr:row>
      <xdr:rowOff>114300</xdr:rowOff>
    </xdr:to>
    <xdr:sp macro="" textlink="">
      <xdr:nvSpPr>
        <xdr:cNvPr id="4149" name="AutoShape 107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584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1077</xdr:row>
      <xdr:rowOff>0</xdr:rowOff>
    </xdr:from>
    <xdr:to>
      <xdr:col>5</xdr:col>
      <xdr:colOff>304800</xdr:colOff>
      <xdr:row>1078</xdr:row>
      <xdr:rowOff>114300</xdr:rowOff>
    </xdr:to>
    <xdr:sp macro="" textlink="">
      <xdr:nvSpPr>
        <xdr:cNvPr id="4150" name="AutoShape 107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584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1079</xdr:row>
      <xdr:rowOff>0</xdr:rowOff>
    </xdr:from>
    <xdr:to>
      <xdr:col>4</xdr:col>
      <xdr:colOff>304800</xdr:colOff>
      <xdr:row>1080</xdr:row>
      <xdr:rowOff>114300</xdr:rowOff>
    </xdr:to>
    <xdr:sp macro="" textlink="">
      <xdr:nvSpPr>
        <xdr:cNvPr id="4151" name="AutoShape 10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642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1079</xdr:row>
      <xdr:rowOff>0</xdr:rowOff>
    </xdr:from>
    <xdr:to>
      <xdr:col>5</xdr:col>
      <xdr:colOff>304800</xdr:colOff>
      <xdr:row>1080</xdr:row>
      <xdr:rowOff>114300</xdr:rowOff>
    </xdr:to>
    <xdr:sp macro="" textlink="">
      <xdr:nvSpPr>
        <xdr:cNvPr id="4152" name="AutoShape 108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642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1081</xdr:row>
      <xdr:rowOff>0</xdr:rowOff>
    </xdr:from>
    <xdr:to>
      <xdr:col>4</xdr:col>
      <xdr:colOff>304800</xdr:colOff>
      <xdr:row>1082</xdr:row>
      <xdr:rowOff>114300</xdr:rowOff>
    </xdr:to>
    <xdr:sp macro="" textlink="">
      <xdr:nvSpPr>
        <xdr:cNvPr id="4153" name="AutoShape 108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700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1081</xdr:row>
      <xdr:rowOff>0</xdr:rowOff>
    </xdr:from>
    <xdr:to>
      <xdr:col>5</xdr:col>
      <xdr:colOff>304800</xdr:colOff>
      <xdr:row>1082</xdr:row>
      <xdr:rowOff>114300</xdr:rowOff>
    </xdr:to>
    <xdr:sp macro="" textlink="">
      <xdr:nvSpPr>
        <xdr:cNvPr id="4154" name="AutoShape 108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700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1083</xdr:row>
      <xdr:rowOff>0</xdr:rowOff>
    </xdr:from>
    <xdr:to>
      <xdr:col>4</xdr:col>
      <xdr:colOff>304800</xdr:colOff>
      <xdr:row>1084</xdr:row>
      <xdr:rowOff>76200</xdr:rowOff>
    </xdr:to>
    <xdr:sp macro="" textlink="">
      <xdr:nvSpPr>
        <xdr:cNvPr id="4155" name="AutoShape 108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75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1083</xdr:row>
      <xdr:rowOff>0</xdr:rowOff>
    </xdr:from>
    <xdr:to>
      <xdr:col>5</xdr:col>
      <xdr:colOff>304800</xdr:colOff>
      <xdr:row>1084</xdr:row>
      <xdr:rowOff>76200</xdr:rowOff>
    </xdr:to>
    <xdr:sp macro="" textlink="">
      <xdr:nvSpPr>
        <xdr:cNvPr id="4156" name="AutoShape 108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75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1085</xdr:row>
      <xdr:rowOff>0</xdr:rowOff>
    </xdr:from>
    <xdr:to>
      <xdr:col>4</xdr:col>
      <xdr:colOff>304800</xdr:colOff>
      <xdr:row>1086</xdr:row>
      <xdr:rowOff>114300</xdr:rowOff>
    </xdr:to>
    <xdr:sp macro="" textlink="">
      <xdr:nvSpPr>
        <xdr:cNvPr id="4157" name="AutoShape 108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801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1085</xdr:row>
      <xdr:rowOff>0</xdr:rowOff>
    </xdr:from>
    <xdr:to>
      <xdr:col>5</xdr:col>
      <xdr:colOff>304800</xdr:colOff>
      <xdr:row>1086</xdr:row>
      <xdr:rowOff>114300</xdr:rowOff>
    </xdr:to>
    <xdr:sp macro="" textlink="">
      <xdr:nvSpPr>
        <xdr:cNvPr id="4158" name="AutoShape 108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801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1087</xdr:row>
      <xdr:rowOff>0</xdr:rowOff>
    </xdr:from>
    <xdr:to>
      <xdr:col>4</xdr:col>
      <xdr:colOff>304800</xdr:colOff>
      <xdr:row>1088</xdr:row>
      <xdr:rowOff>114300</xdr:rowOff>
    </xdr:to>
    <xdr:sp macro="" textlink="">
      <xdr:nvSpPr>
        <xdr:cNvPr id="4159" name="AutoShape 108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859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1087</xdr:row>
      <xdr:rowOff>0</xdr:rowOff>
    </xdr:from>
    <xdr:to>
      <xdr:col>5</xdr:col>
      <xdr:colOff>304800</xdr:colOff>
      <xdr:row>1088</xdr:row>
      <xdr:rowOff>114300</xdr:rowOff>
    </xdr:to>
    <xdr:sp macro="" textlink="">
      <xdr:nvSpPr>
        <xdr:cNvPr id="4160" name="AutoShape 108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859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1089</xdr:row>
      <xdr:rowOff>0</xdr:rowOff>
    </xdr:from>
    <xdr:to>
      <xdr:col>4</xdr:col>
      <xdr:colOff>304800</xdr:colOff>
      <xdr:row>1090</xdr:row>
      <xdr:rowOff>114300</xdr:rowOff>
    </xdr:to>
    <xdr:sp macro="" textlink="">
      <xdr:nvSpPr>
        <xdr:cNvPr id="4161" name="AutoShape 108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91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1089</xdr:row>
      <xdr:rowOff>0</xdr:rowOff>
    </xdr:from>
    <xdr:to>
      <xdr:col>5</xdr:col>
      <xdr:colOff>304800</xdr:colOff>
      <xdr:row>1090</xdr:row>
      <xdr:rowOff>114300</xdr:rowOff>
    </xdr:to>
    <xdr:sp macro="" textlink="">
      <xdr:nvSpPr>
        <xdr:cNvPr id="4162" name="AutoShape 109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91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1091</xdr:row>
      <xdr:rowOff>0</xdr:rowOff>
    </xdr:from>
    <xdr:to>
      <xdr:col>4</xdr:col>
      <xdr:colOff>304800</xdr:colOff>
      <xdr:row>1092</xdr:row>
      <xdr:rowOff>114300</xdr:rowOff>
    </xdr:to>
    <xdr:sp macro="" textlink="">
      <xdr:nvSpPr>
        <xdr:cNvPr id="4163" name="AutoShape 109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975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1091</xdr:row>
      <xdr:rowOff>0</xdr:rowOff>
    </xdr:from>
    <xdr:to>
      <xdr:col>5</xdr:col>
      <xdr:colOff>304800</xdr:colOff>
      <xdr:row>1092</xdr:row>
      <xdr:rowOff>114300</xdr:rowOff>
    </xdr:to>
    <xdr:sp macro="" textlink="">
      <xdr:nvSpPr>
        <xdr:cNvPr id="4164" name="AutoShape 109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975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1093</xdr:row>
      <xdr:rowOff>0</xdr:rowOff>
    </xdr:from>
    <xdr:to>
      <xdr:col>4</xdr:col>
      <xdr:colOff>304800</xdr:colOff>
      <xdr:row>1094</xdr:row>
      <xdr:rowOff>114300</xdr:rowOff>
    </xdr:to>
    <xdr:sp macro="" textlink="">
      <xdr:nvSpPr>
        <xdr:cNvPr id="4165" name="AutoShape 109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033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1093</xdr:row>
      <xdr:rowOff>0</xdr:rowOff>
    </xdr:from>
    <xdr:to>
      <xdr:col>5</xdr:col>
      <xdr:colOff>304800</xdr:colOff>
      <xdr:row>1094</xdr:row>
      <xdr:rowOff>114300</xdr:rowOff>
    </xdr:to>
    <xdr:sp macro="" textlink="">
      <xdr:nvSpPr>
        <xdr:cNvPr id="4166" name="AutoShape 109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033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1095</xdr:row>
      <xdr:rowOff>0</xdr:rowOff>
    </xdr:from>
    <xdr:to>
      <xdr:col>4</xdr:col>
      <xdr:colOff>304800</xdr:colOff>
      <xdr:row>1096</xdr:row>
      <xdr:rowOff>114300</xdr:rowOff>
    </xdr:to>
    <xdr:sp macro="" textlink="">
      <xdr:nvSpPr>
        <xdr:cNvPr id="4167" name="AutoShape 109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091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1095</xdr:row>
      <xdr:rowOff>0</xdr:rowOff>
    </xdr:from>
    <xdr:to>
      <xdr:col>5</xdr:col>
      <xdr:colOff>304800</xdr:colOff>
      <xdr:row>1096</xdr:row>
      <xdr:rowOff>114300</xdr:rowOff>
    </xdr:to>
    <xdr:sp macro="" textlink="">
      <xdr:nvSpPr>
        <xdr:cNvPr id="4168" name="AutoShape 109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091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1097</xdr:row>
      <xdr:rowOff>0</xdr:rowOff>
    </xdr:from>
    <xdr:to>
      <xdr:col>4</xdr:col>
      <xdr:colOff>304800</xdr:colOff>
      <xdr:row>1098</xdr:row>
      <xdr:rowOff>76200</xdr:rowOff>
    </xdr:to>
    <xdr:sp macro="" textlink="">
      <xdr:nvSpPr>
        <xdr:cNvPr id="4169" name="AutoShape 109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14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1097</xdr:row>
      <xdr:rowOff>0</xdr:rowOff>
    </xdr:from>
    <xdr:to>
      <xdr:col>5</xdr:col>
      <xdr:colOff>304800</xdr:colOff>
      <xdr:row>1098</xdr:row>
      <xdr:rowOff>76200</xdr:rowOff>
    </xdr:to>
    <xdr:sp macro="" textlink="">
      <xdr:nvSpPr>
        <xdr:cNvPr id="4170" name="AutoShape 10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14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1099</xdr:row>
      <xdr:rowOff>0</xdr:rowOff>
    </xdr:from>
    <xdr:to>
      <xdr:col>4</xdr:col>
      <xdr:colOff>304800</xdr:colOff>
      <xdr:row>1100</xdr:row>
      <xdr:rowOff>114300</xdr:rowOff>
    </xdr:to>
    <xdr:sp macro="" textlink="">
      <xdr:nvSpPr>
        <xdr:cNvPr id="4171" name="AutoShape 109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192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1099</xdr:row>
      <xdr:rowOff>0</xdr:rowOff>
    </xdr:from>
    <xdr:to>
      <xdr:col>5</xdr:col>
      <xdr:colOff>304800</xdr:colOff>
      <xdr:row>1100</xdr:row>
      <xdr:rowOff>114300</xdr:rowOff>
    </xdr:to>
    <xdr:sp macro="" textlink="">
      <xdr:nvSpPr>
        <xdr:cNvPr id="4172" name="AutoShape 110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192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1101</xdr:row>
      <xdr:rowOff>0</xdr:rowOff>
    </xdr:from>
    <xdr:to>
      <xdr:col>4</xdr:col>
      <xdr:colOff>304800</xdr:colOff>
      <xdr:row>1102</xdr:row>
      <xdr:rowOff>114300</xdr:rowOff>
    </xdr:to>
    <xdr:sp macro="" textlink="">
      <xdr:nvSpPr>
        <xdr:cNvPr id="4173" name="AutoShape 110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250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1101</xdr:row>
      <xdr:rowOff>0</xdr:rowOff>
    </xdr:from>
    <xdr:to>
      <xdr:col>5</xdr:col>
      <xdr:colOff>304800</xdr:colOff>
      <xdr:row>1102</xdr:row>
      <xdr:rowOff>114300</xdr:rowOff>
    </xdr:to>
    <xdr:sp macro="" textlink="">
      <xdr:nvSpPr>
        <xdr:cNvPr id="4174" name="AutoShape 110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250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1103</xdr:row>
      <xdr:rowOff>0</xdr:rowOff>
    </xdr:from>
    <xdr:to>
      <xdr:col>4</xdr:col>
      <xdr:colOff>304800</xdr:colOff>
      <xdr:row>1104</xdr:row>
      <xdr:rowOff>114300</xdr:rowOff>
    </xdr:to>
    <xdr:sp macro="" textlink="">
      <xdr:nvSpPr>
        <xdr:cNvPr id="4175" name="AutoShape 110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308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1103</xdr:row>
      <xdr:rowOff>0</xdr:rowOff>
    </xdr:from>
    <xdr:to>
      <xdr:col>5</xdr:col>
      <xdr:colOff>304800</xdr:colOff>
      <xdr:row>1104</xdr:row>
      <xdr:rowOff>114300</xdr:rowOff>
    </xdr:to>
    <xdr:sp macro="" textlink="">
      <xdr:nvSpPr>
        <xdr:cNvPr id="4176" name="AutoShape 110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308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1105</xdr:row>
      <xdr:rowOff>0</xdr:rowOff>
    </xdr:from>
    <xdr:to>
      <xdr:col>4</xdr:col>
      <xdr:colOff>304800</xdr:colOff>
      <xdr:row>1106</xdr:row>
      <xdr:rowOff>76200</xdr:rowOff>
    </xdr:to>
    <xdr:sp macro="" textlink="">
      <xdr:nvSpPr>
        <xdr:cNvPr id="4177" name="AutoShape 110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36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1105</xdr:row>
      <xdr:rowOff>0</xdr:rowOff>
    </xdr:from>
    <xdr:to>
      <xdr:col>5</xdr:col>
      <xdr:colOff>304800</xdr:colOff>
      <xdr:row>1106</xdr:row>
      <xdr:rowOff>76200</xdr:rowOff>
    </xdr:to>
    <xdr:sp macro="" textlink="">
      <xdr:nvSpPr>
        <xdr:cNvPr id="4178" name="AutoShape 110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36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1107</xdr:row>
      <xdr:rowOff>0</xdr:rowOff>
    </xdr:from>
    <xdr:to>
      <xdr:col>4</xdr:col>
      <xdr:colOff>304800</xdr:colOff>
      <xdr:row>1108</xdr:row>
      <xdr:rowOff>76200</xdr:rowOff>
    </xdr:to>
    <xdr:sp macro="" textlink="">
      <xdr:nvSpPr>
        <xdr:cNvPr id="4179" name="AutoShape 110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409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1107</xdr:row>
      <xdr:rowOff>0</xdr:rowOff>
    </xdr:from>
    <xdr:to>
      <xdr:col>5</xdr:col>
      <xdr:colOff>304800</xdr:colOff>
      <xdr:row>1108</xdr:row>
      <xdr:rowOff>76200</xdr:rowOff>
    </xdr:to>
    <xdr:sp macro="" textlink="">
      <xdr:nvSpPr>
        <xdr:cNvPr id="4180" name="AutoShape 110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409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1109</xdr:row>
      <xdr:rowOff>0</xdr:rowOff>
    </xdr:from>
    <xdr:to>
      <xdr:col>4</xdr:col>
      <xdr:colOff>304800</xdr:colOff>
      <xdr:row>1110</xdr:row>
      <xdr:rowOff>114300</xdr:rowOff>
    </xdr:to>
    <xdr:sp macro="" textlink="">
      <xdr:nvSpPr>
        <xdr:cNvPr id="4181" name="AutoShape 110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452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1109</xdr:row>
      <xdr:rowOff>0</xdr:rowOff>
    </xdr:from>
    <xdr:to>
      <xdr:col>5</xdr:col>
      <xdr:colOff>304800</xdr:colOff>
      <xdr:row>1110</xdr:row>
      <xdr:rowOff>114300</xdr:rowOff>
    </xdr:to>
    <xdr:sp macro="" textlink="">
      <xdr:nvSpPr>
        <xdr:cNvPr id="4182" name="AutoShape 111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452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1111</xdr:row>
      <xdr:rowOff>0</xdr:rowOff>
    </xdr:from>
    <xdr:to>
      <xdr:col>4</xdr:col>
      <xdr:colOff>304800</xdr:colOff>
      <xdr:row>1112</xdr:row>
      <xdr:rowOff>114300</xdr:rowOff>
    </xdr:to>
    <xdr:sp macro="" textlink="">
      <xdr:nvSpPr>
        <xdr:cNvPr id="4183" name="AutoShape 111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51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1111</xdr:row>
      <xdr:rowOff>0</xdr:rowOff>
    </xdr:from>
    <xdr:to>
      <xdr:col>5</xdr:col>
      <xdr:colOff>304800</xdr:colOff>
      <xdr:row>1112</xdr:row>
      <xdr:rowOff>114300</xdr:rowOff>
    </xdr:to>
    <xdr:sp macro="" textlink="">
      <xdr:nvSpPr>
        <xdr:cNvPr id="4184" name="AutoShape 111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51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1113</xdr:row>
      <xdr:rowOff>0</xdr:rowOff>
    </xdr:from>
    <xdr:to>
      <xdr:col>4</xdr:col>
      <xdr:colOff>304800</xdr:colOff>
      <xdr:row>1114</xdr:row>
      <xdr:rowOff>114300</xdr:rowOff>
    </xdr:to>
    <xdr:sp macro="" textlink="">
      <xdr:nvSpPr>
        <xdr:cNvPr id="4185" name="AutoShape 111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568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1113</xdr:row>
      <xdr:rowOff>0</xdr:rowOff>
    </xdr:from>
    <xdr:to>
      <xdr:col>5</xdr:col>
      <xdr:colOff>304800</xdr:colOff>
      <xdr:row>1114</xdr:row>
      <xdr:rowOff>114300</xdr:rowOff>
    </xdr:to>
    <xdr:sp macro="" textlink="">
      <xdr:nvSpPr>
        <xdr:cNvPr id="4186" name="AutoShape 111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568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1115</xdr:row>
      <xdr:rowOff>0</xdr:rowOff>
    </xdr:from>
    <xdr:to>
      <xdr:col>4</xdr:col>
      <xdr:colOff>304800</xdr:colOff>
      <xdr:row>1116</xdr:row>
      <xdr:rowOff>114300</xdr:rowOff>
    </xdr:to>
    <xdr:sp macro="" textlink="">
      <xdr:nvSpPr>
        <xdr:cNvPr id="4187" name="AutoShape 111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666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1115</xdr:row>
      <xdr:rowOff>0</xdr:rowOff>
    </xdr:from>
    <xdr:to>
      <xdr:col>5</xdr:col>
      <xdr:colOff>304800</xdr:colOff>
      <xdr:row>1116</xdr:row>
      <xdr:rowOff>114300</xdr:rowOff>
    </xdr:to>
    <xdr:sp macro="" textlink="">
      <xdr:nvSpPr>
        <xdr:cNvPr id="4188" name="AutoShape 111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666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1117</xdr:row>
      <xdr:rowOff>0</xdr:rowOff>
    </xdr:from>
    <xdr:to>
      <xdr:col>4</xdr:col>
      <xdr:colOff>304800</xdr:colOff>
      <xdr:row>1118</xdr:row>
      <xdr:rowOff>76200</xdr:rowOff>
    </xdr:to>
    <xdr:sp macro="" textlink="">
      <xdr:nvSpPr>
        <xdr:cNvPr id="4189" name="AutoShape 111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724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1117</xdr:row>
      <xdr:rowOff>0</xdr:rowOff>
    </xdr:from>
    <xdr:to>
      <xdr:col>5</xdr:col>
      <xdr:colOff>304800</xdr:colOff>
      <xdr:row>1118</xdr:row>
      <xdr:rowOff>76200</xdr:rowOff>
    </xdr:to>
    <xdr:sp macro="" textlink="">
      <xdr:nvSpPr>
        <xdr:cNvPr id="4190" name="AutoShape 111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724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1119</xdr:row>
      <xdr:rowOff>0</xdr:rowOff>
    </xdr:from>
    <xdr:to>
      <xdr:col>4</xdr:col>
      <xdr:colOff>304800</xdr:colOff>
      <xdr:row>1120</xdr:row>
      <xdr:rowOff>114300</xdr:rowOff>
    </xdr:to>
    <xdr:sp macro="" textlink="">
      <xdr:nvSpPr>
        <xdr:cNvPr id="4191" name="AutoShape 111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767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1119</xdr:row>
      <xdr:rowOff>0</xdr:rowOff>
    </xdr:from>
    <xdr:to>
      <xdr:col>5</xdr:col>
      <xdr:colOff>304800</xdr:colOff>
      <xdr:row>1120</xdr:row>
      <xdr:rowOff>114300</xdr:rowOff>
    </xdr:to>
    <xdr:sp macro="" textlink="">
      <xdr:nvSpPr>
        <xdr:cNvPr id="4192" name="AutoShape 112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767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1121</xdr:row>
      <xdr:rowOff>0</xdr:rowOff>
    </xdr:from>
    <xdr:to>
      <xdr:col>4</xdr:col>
      <xdr:colOff>304800</xdr:colOff>
      <xdr:row>1122</xdr:row>
      <xdr:rowOff>114300</xdr:rowOff>
    </xdr:to>
    <xdr:sp macro="" textlink="">
      <xdr:nvSpPr>
        <xdr:cNvPr id="4193" name="AutoShape 112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825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1121</xdr:row>
      <xdr:rowOff>0</xdr:rowOff>
    </xdr:from>
    <xdr:to>
      <xdr:col>5</xdr:col>
      <xdr:colOff>304800</xdr:colOff>
      <xdr:row>1122</xdr:row>
      <xdr:rowOff>114300</xdr:rowOff>
    </xdr:to>
    <xdr:sp macro="" textlink="">
      <xdr:nvSpPr>
        <xdr:cNvPr id="4194" name="AutoShape 112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825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1123</xdr:row>
      <xdr:rowOff>0</xdr:rowOff>
    </xdr:from>
    <xdr:to>
      <xdr:col>4</xdr:col>
      <xdr:colOff>304800</xdr:colOff>
      <xdr:row>1124</xdr:row>
      <xdr:rowOff>114300</xdr:rowOff>
    </xdr:to>
    <xdr:sp macro="" textlink="">
      <xdr:nvSpPr>
        <xdr:cNvPr id="4195" name="AutoShape 112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88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1123</xdr:row>
      <xdr:rowOff>0</xdr:rowOff>
    </xdr:from>
    <xdr:to>
      <xdr:col>5</xdr:col>
      <xdr:colOff>304800</xdr:colOff>
      <xdr:row>1124</xdr:row>
      <xdr:rowOff>114300</xdr:rowOff>
    </xdr:to>
    <xdr:sp macro="" textlink="">
      <xdr:nvSpPr>
        <xdr:cNvPr id="4196" name="AutoShape 112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88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1125</xdr:row>
      <xdr:rowOff>0</xdr:rowOff>
    </xdr:from>
    <xdr:to>
      <xdr:col>4</xdr:col>
      <xdr:colOff>304800</xdr:colOff>
      <xdr:row>1126</xdr:row>
      <xdr:rowOff>114300</xdr:rowOff>
    </xdr:to>
    <xdr:sp macro="" textlink="">
      <xdr:nvSpPr>
        <xdr:cNvPr id="4197" name="AutoShape 112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941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1125</xdr:row>
      <xdr:rowOff>0</xdr:rowOff>
    </xdr:from>
    <xdr:to>
      <xdr:col>5</xdr:col>
      <xdr:colOff>304800</xdr:colOff>
      <xdr:row>1126</xdr:row>
      <xdr:rowOff>114300</xdr:rowOff>
    </xdr:to>
    <xdr:sp macro="" textlink="">
      <xdr:nvSpPr>
        <xdr:cNvPr id="4198" name="AutoShape 112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941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1127</xdr:row>
      <xdr:rowOff>0</xdr:rowOff>
    </xdr:from>
    <xdr:to>
      <xdr:col>4</xdr:col>
      <xdr:colOff>304800</xdr:colOff>
      <xdr:row>1128</xdr:row>
      <xdr:rowOff>114300</xdr:rowOff>
    </xdr:to>
    <xdr:sp macro="" textlink="">
      <xdr:nvSpPr>
        <xdr:cNvPr id="4199" name="AutoShape 112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99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1127</xdr:row>
      <xdr:rowOff>0</xdr:rowOff>
    </xdr:from>
    <xdr:to>
      <xdr:col>5</xdr:col>
      <xdr:colOff>304800</xdr:colOff>
      <xdr:row>1128</xdr:row>
      <xdr:rowOff>114300</xdr:rowOff>
    </xdr:to>
    <xdr:sp macro="" textlink="">
      <xdr:nvSpPr>
        <xdr:cNvPr id="4200" name="AutoShape 112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99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1129</xdr:row>
      <xdr:rowOff>0</xdr:rowOff>
    </xdr:from>
    <xdr:to>
      <xdr:col>4</xdr:col>
      <xdr:colOff>304800</xdr:colOff>
      <xdr:row>1130</xdr:row>
      <xdr:rowOff>114300</xdr:rowOff>
    </xdr:to>
    <xdr:sp macro="" textlink="">
      <xdr:nvSpPr>
        <xdr:cNvPr id="4201" name="AutoShape 11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057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1129</xdr:row>
      <xdr:rowOff>0</xdr:rowOff>
    </xdr:from>
    <xdr:to>
      <xdr:col>5</xdr:col>
      <xdr:colOff>304800</xdr:colOff>
      <xdr:row>1130</xdr:row>
      <xdr:rowOff>114300</xdr:rowOff>
    </xdr:to>
    <xdr:sp macro="" textlink="">
      <xdr:nvSpPr>
        <xdr:cNvPr id="4202" name="AutoShape 113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057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1131</xdr:row>
      <xdr:rowOff>0</xdr:rowOff>
    </xdr:from>
    <xdr:to>
      <xdr:col>4</xdr:col>
      <xdr:colOff>304800</xdr:colOff>
      <xdr:row>1132</xdr:row>
      <xdr:rowOff>76200</xdr:rowOff>
    </xdr:to>
    <xdr:sp macro="" textlink="">
      <xdr:nvSpPr>
        <xdr:cNvPr id="4203" name="AutoShape 113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115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1131</xdr:row>
      <xdr:rowOff>0</xdr:rowOff>
    </xdr:from>
    <xdr:to>
      <xdr:col>5</xdr:col>
      <xdr:colOff>304800</xdr:colOff>
      <xdr:row>1132</xdr:row>
      <xdr:rowOff>76200</xdr:rowOff>
    </xdr:to>
    <xdr:sp macro="" textlink="">
      <xdr:nvSpPr>
        <xdr:cNvPr id="4204" name="AutoShape 113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115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1133</xdr:row>
      <xdr:rowOff>0</xdr:rowOff>
    </xdr:from>
    <xdr:to>
      <xdr:col>4</xdr:col>
      <xdr:colOff>304800</xdr:colOff>
      <xdr:row>1134</xdr:row>
      <xdr:rowOff>76200</xdr:rowOff>
    </xdr:to>
    <xdr:sp macro="" textlink="">
      <xdr:nvSpPr>
        <xdr:cNvPr id="4205" name="AutoShape 11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15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1133</xdr:row>
      <xdr:rowOff>0</xdr:rowOff>
    </xdr:from>
    <xdr:to>
      <xdr:col>5</xdr:col>
      <xdr:colOff>304800</xdr:colOff>
      <xdr:row>1134</xdr:row>
      <xdr:rowOff>76200</xdr:rowOff>
    </xdr:to>
    <xdr:sp macro="" textlink="">
      <xdr:nvSpPr>
        <xdr:cNvPr id="4206" name="AutoShape 113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15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1135</xdr:row>
      <xdr:rowOff>0</xdr:rowOff>
    </xdr:from>
    <xdr:to>
      <xdr:col>4</xdr:col>
      <xdr:colOff>304800</xdr:colOff>
      <xdr:row>1136</xdr:row>
      <xdr:rowOff>114300</xdr:rowOff>
    </xdr:to>
    <xdr:sp macro="" textlink="">
      <xdr:nvSpPr>
        <xdr:cNvPr id="4207" name="AutoShape 113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20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1135</xdr:row>
      <xdr:rowOff>0</xdr:rowOff>
    </xdr:from>
    <xdr:to>
      <xdr:col>5</xdr:col>
      <xdr:colOff>304800</xdr:colOff>
      <xdr:row>1136</xdr:row>
      <xdr:rowOff>114300</xdr:rowOff>
    </xdr:to>
    <xdr:sp macro="" textlink="">
      <xdr:nvSpPr>
        <xdr:cNvPr id="4208" name="AutoShape 113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20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1137</xdr:row>
      <xdr:rowOff>0</xdr:rowOff>
    </xdr:from>
    <xdr:to>
      <xdr:col>4</xdr:col>
      <xdr:colOff>304800</xdr:colOff>
      <xdr:row>1138</xdr:row>
      <xdr:rowOff>114300</xdr:rowOff>
    </xdr:to>
    <xdr:sp macro="" textlink="">
      <xdr:nvSpPr>
        <xdr:cNvPr id="4209" name="AutoShape 113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25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1137</xdr:row>
      <xdr:rowOff>0</xdr:rowOff>
    </xdr:from>
    <xdr:to>
      <xdr:col>5</xdr:col>
      <xdr:colOff>304800</xdr:colOff>
      <xdr:row>1138</xdr:row>
      <xdr:rowOff>114300</xdr:rowOff>
    </xdr:to>
    <xdr:sp macro="" textlink="">
      <xdr:nvSpPr>
        <xdr:cNvPr id="4210" name="AutoShape 11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25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1139</xdr:row>
      <xdr:rowOff>0</xdr:rowOff>
    </xdr:from>
    <xdr:to>
      <xdr:col>4</xdr:col>
      <xdr:colOff>304800</xdr:colOff>
      <xdr:row>1140</xdr:row>
      <xdr:rowOff>114300</xdr:rowOff>
    </xdr:to>
    <xdr:sp macro="" textlink="">
      <xdr:nvSpPr>
        <xdr:cNvPr id="4211" name="AutoShape 113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317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1139</xdr:row>
      <xdr:rowOff>0</xdr:rowOff>
    </xdr:from>
    <xdr:to>
      <xdr:col>5</xdr:col>
      <xdr:colOff>304800</xdr:colOff>
      <xdr:row>1140</xdr:row>
      <xdr:rowOff>114300</xdr:rowOff>
    </xdr:to>
    <xdr:sp macro="" textlink="">
      <xdr:nvSpPr>
        <xdr:cNvPr id="4212" name="AutoShape 114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317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1141</xdr:row>
      <xdr:rowOff>0</xdr:rowOff>
    </xdr:from>
    <xdr:to>
      <xdr:col>4</xdr:col>
      <xdr:colOff>304800</xdr:colOff>
      <xdr:row>1142</xdr:row>
      <xdr:rowOff>114300</xdr:rowOff>
    </xdr:to>
    <xdr:sp macro="" textlink="">
      <xdr:nvSpPr>
        <xdr:cNvPr id="4213" name="AutoShape 114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375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1141</xdr:row>
      <xdr:rowOff>0</xdr:rowOff>
    </xdr:from>
    <xdr:to>
      <xdr:col>5</xdr:col>
      <xdr:colOff>304800</xdr:colOff>
      <xdr:row>1142</xdr:row>
      <xdr:rowOff>114300</xdr:rowOff>
    </xdr:to>
    <xdr:sp macro="" textlink="">
      <xdr:nvSpPr>
        <xdr:cNvPr id="4214" name="AutoShape 114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375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1143</xdr:row>
      <xdr:rowOff>0</xdr:rowOff>
    </xdr:from>
    <xdr:to>
      <xdr:col>4</xdr:col>
      <xdr:colOff>304800</xdr:colOff>
      <xdr:row>1144</xdr:row>
      <xdr:rowOff>114300</xdr:rowOff>
    </xdr:to>
    <xdr:sp macro="" textlink="">
      <xdr:nvSpPr>
        <xdr:cNvPr id="4215" name="AutoShape 114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43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1143</xdr:row>
      <xdr:rowOff>0</xdr:rowOff>
    </xdr:from>
    <xdr:to>
      <xdr:col>5</xdr:col>
      <xdr:colOff>304800</xdr:colOff>
      <xdr:row>1144</xdr:row>
      <xdr:rowOff>114300</xdr:rowOff>
    </xdr:to>
    <xdr:sp macro="" textlink="">
      <xdr:nvSpPr>
        <xdr:cNvPr id="4216" name="AutoShape 114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43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1145</xdr:row>
      <xdr:rowOff>0</xdr:rowOff>
    </xdr:from>
    <xdr:to>
      <xdr:col>4</xdr:col>
      <xdr:colOff>304800</xdr:colOff>
      <xdr:row>1146</xdr:row>
      <xdr:rowOff>114300</xdr:rowOff>
    </xdr:to>
    <xdr:sp macro="" textlink="">
      <xdr:nvSpPr>
        <xdr:cNvPr id="4217" name="AutoShape 114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491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1145</xdr:row>
      <xdr:rowOff>0</xdr:rowOff>
    </xdr:from>
    <xdr:to>
      <xdr:col>5</xdr:col>
      <xdr:colOff>304800</xdr:colOff>
      <xdr:row>1146</xdr:row>
      <xdr:rowOff>114300</xdr:rowOff>
    </xdr:to>
    <xdr:sp macro="" textlink="">
      <xdr:nvSpPr>
        <xdr:cNvPr id="4218" name="AutoShape 114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491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1147</xdr:row>
      <xdr:rowOff>0</xdr:rowOff>
    </xdr:from>
    <xdr:to>
      <xdr:col>4</xdr:col>
      <xdr:colOff>304800</xdr:colOff>
      <xdr:row>1148</xdr:row>
      <xdr:rowOff>114300</xdr:rowOff>
    </xdr:to>
    <xdr:sp macro="" textlink="">
      <xdr:nvSpPr>
        <xdr:cNvPr id="4219" name="AutoShape 11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549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1147</xdr:row>
      <xdr:rowOff>0</xdr:rowOff>
    </xdr:from>
    <xdr:to>
      <xdr:col>5</xdr:col>
      <xdr:colOff>304800</xdr:colOff>
      <xdr:row>1148</xdr:row>
      <xdr:rowOff>114300</xdr:rowOff>
    </xdr:to>
    <xdr:sp macro="" textlink="">
      <xdr:nvSpPr>
        <xdr:cNvPr id="4220" name="AutoShape 114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549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1149</xdr:row>
      <xdr:rowOff>0</xdr:rowOff>
    </xdr:from>
    <xdr:to>
      <xdr:col>4</xdr:col>
      <xdr:colOff>304800</xdr:colOff>
      <xdr:row>1150</xdr:row>
      <xdr:rowOff>114300</xdr:rowOff>
    </xdr:to>
    <xdr:sp macro="" textlink="">
      <xdr:nvSpPr>
        <xdr:cNvPr id="4221" name="AutoShape 114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589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1149</xdr:row>
      <xdr:rowOff>0</xdr:rowOff>
    </xdr:from>
    <xdr:to>
      <xdr:col>5</xdr:col>
      <xdr:colOff>304800</xdr:colOff>
      <xdr:row>1150</xdr:row>
      <xdr:rowOff>114300</xdr:rowOff>
    </xdr:to>
    <xdr:sp macro="" textlink="">
      <xdr:nvSpPr>
        <xdr:cNvPr id="4222" name="AutoShape 115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589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1151</xdr:row>
      <xdr:rowOff>0</xdr:rowOff>
    </xdr:from>
    <xdr:to>
      <xdr:col>4</xdr:col>
      <xdr:colOff>304800</xdr:colOff>
      <xdr:row>1152</xdr:row>
      <xdr:rowOff>76200</xdr:rowOff>
    </xdr:to>
    <xdr:sp macro="" textlink="">
      <xdr:nvSpPr>
        <xdr:cNvPr id="4223" name="AutoShape 115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647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1151</xdr:row>
      <xdr:rowOff>0</xdr:rowOff>
    </xdr:from>
    <xdr:to>
      <xdr:col>5</xdr:col>
      <xdr:colOff>304800</xdr:colOff>
      <xdr:row>1152</xdr:row>
      <xdr:rowOff>76200</xdr:rowOff>
    </xdr:to>
    <xdr:sp macro="" textlink="">
      <xdr:nvSpPr>
        <xdr:cNvPr id="4224" name="AutoShape 115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647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1153</xdr:row>
      <xdr:rowOff>0</xdr:rowOff>
    </xdr:from>
    <xdr:to>
      <xdr:col>4</xdr:col>
      <xdr:colOff>304800</xdr:colOff>
      <xdr:row>1154</xdr:row>
      <xdr:rowOff>114300</xdr:rowOff>
    </xdr:to>
    <xdr:sp macro="" textlink="">
      <xdr:nvSpPr>
        <xdr:cNvPr id="4225" name="AutoShape 115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69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1153</xdr:row>
      <xdr:rowOff>0</xdr:rowOff>
    </xdr:from>
    <xdr:to>
      <xdr:col>5</xdr:col>
      <xdr:colOff>304800</xdr:colOff>
      <xdr:row>1154</xdr:row>
      <xdr:rowOff>114300</xdr:rowOff>
    </xdr:to>
    <xdr:sp macro="" textlink="">
      <xdr:nvSpPr>
        <xdr:cNvPr id="4226" name="AutoShape 115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69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1155</xdr:row>
      <xdr:rowOff>0</xdr:rowOff>
    </xdr:from>
    <xdr:to>
      <xdr:col>4</xdr:col>
      <xdr:colOff>304800</xdr:colOff>
      <xdr:row>1156</xdr:row>
      <xdr:rowOff>114300</xdr:rowOff>
    </xdr:to>
    <xdr:sp macro="" textlink="">
      <xdr:nvSpPr>
        <xdr:cNvPr id="4227" name="AutoShape 115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748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1155</xdr:row>
      <xdr:rowOff>0</xdr:rowOff>
    </xdr:from>
    <xdr:to>
      <xdr:col>5</xdr:col>
      <xdr:colOff>304800</xdr:colOff>
      <xdr:row>1156</xdr:row>
      <xdr:rowOff>114300</xdr:rowOff>
    </xdr:to>
    <xdr:sp macro="" textlink="">
      <xdr:nvSpPr>
        <xdr:cNvPr id="4228" name="AutoShape 115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748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1157</xdr:row>
      <xdr:rowOff>0</xdr:rowOff>
    </xdr:from>
    <xdr:to>
      <xdr:col>4</xdr:col>
      <xdr:colOff>304800</xdr:colOff>
      <xdr:row>1158</xdr:row>
      <xdr:rowOff>114300</xdr:rowOff>
    </xdr:to>
    <xdr:sp macro="" textlink="">
      <xdr:nvSpPr>
        <xdr:cNvPr id="4229" name="AutoShape 11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80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1157</xdr:row>
      <xdr:rowOff>0</xdr:rowOff>
    </xdr:from>
    <xdr:to>
      <xdr:col>5</xdr:col>
      <xdr:colOff>304800</xdr:colOff>
      <xdr:row>1158</xdr:row>
      <xdr:rowOff>114300</xdr:rowOff>
    </xdr:to>
    <xdr:sp macro="" textlink="">
      <xdr:nvSpPr>
        <xdr:cNvPr id="4230" name="AutoShape 11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80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1159</xdr:row>
      <xdr:rowOff>0</xdr:rowOff>
    </xdr:from>
    <xdr:to>
      <xdr:col>4</xdr:col>
      <xdr:colOff>304800</xdr:colOff>
      <xdr:row>1160</xdr:row>
      <xdr:rowOff>76200</xdr:rowOff>
    </xdr:to>
    <xdr:sp macro="" textlink="">
      <xdr:nvSpPr>
        <xdr:cNvPr id="4231" name="AutoShape 11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86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1159</xdr:row>
      <xdr:rowOff>0</xdr:rowOff>
    </xdr:from>
    <xdr:to>
      <xdr:col>5</xdr:col>
      <xdr:colOff>304800</xdr:colOff>
      <xdr:row>1160</xdr:row>
      <xdr:rowOff>76200</xdr:rowOff>
    </xdr:to>
    <xdr:sp macro="" textlink="">
      <xdr:nvSpPr>
        <xdr:cNvPr id="4232" name="AutoShape 116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86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1161</xdr:row>
      <xdr:rowOff>0</xdr:rowOff>
    </xdr:from>
    <xdr:to>
      <xdr:col>4</xdr:col>
      <xdr:colOff>304800</xdr:colOff>
      <xdr:row>1162</xdr:row>
      <xdr:rowOff>114300</xdr:rowOff>
    </xdr:to>
    <xdr:sp macro="" textlink="">
      <xdr:nvSpPr>
        <xdr:cNvPr id="4233" name="AutoShape 11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907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1161</xdr:row>
      <xdr:rowOff>0</xdr:rowOff>
    </xdr:from>
    <xdr:to>
      <xdr:col>5</xdr:col>
      <xdr:colOff>304800</xdr:colOff>
      <xdr:row>1162</xdr:row>
      <xdr:rowOff>114300</xdr:rowOff>
    </xdr:to>
    <xdr:sp macro="" textlink="">
      <xdr:nvSpPr>
        <xdr:cNvPr id="4234" name="AutoShape 116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907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1163</xdr:row>
      <xdr:rowOff>0</xdr:rowOff>
    </xdr:from>
    <xdr:to>
      <xdr:col>4</xdr:col>
      <xdr:colOff>304800</xdr:colOff>
      <xdr:row>1164</xdr:row>
      <xdr:rowOff>76200</xdr:rowOff>
    </xdr:to>
    <xdr:sp macro="" textlink="">
      <xdr:nvSpPr>
        <xdr:cNvPr id="4235" name="AutoShape 116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965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1163</xdr:row>
      <xdr:rowOff>0</xdr:rowOff>
    </xdr:from>
    <xdr:to>
      <xdr:col>5</xdr:col>
      <xdr:colOff>304800</xdr:colOff>
      <xdr:row>1164</xdr:row>
      <xdr:rowOff>76200</xdr:rowOff>
    </xdr:to>
    <xdr:sp macro="" textlink="">
      <xdr:nvSpPr>
        <xdr:cNvPr id="4236" name="AutoShape 116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965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1165</xdr:row>
      <xdr:rowOff>0</xdr:rowOff>
    </xdr:from>
    <xdr:to>
      <xdr:col>4</xdr:col>
      <xdr:colOff>304800</xdr:colOff>
      <xdr:row>1166</xdr:row>
      <xdr:rowOff>114300</xdr:rowOff>
    </xdr:to>
    <xdr:sp macro="" textlink="">
      <xdr:nvSpPr>
        <xdr:cNvPr id="4237" name="AutoShape 116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008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1165</xdr:row>
      <xdr:rowOff>0</xdr:rowOff>
    </xdr:from>
    <xdr:to>
      <xdr:col>5</xdr:col>
      <xdr:colOff>304800</xdr:colOff>
      <xdr:row>1166</xdr:row>
      <xdr:rowOff>114300</xdr:rowOff>
    </xdr:to>
    <xdr:sp macro="" textlink="">
      <xdr:nvSpPr>
        <xdr:cNvPr id="4238" name="AutoShape 116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008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1167</xdr:row>
      <xdr:rowOff>0</xdr:rowOff>
    </xdr:from>
    <xdr:to>
      <xdr:col>4</xdr:col>
      <xdr:colOff>304800</xdr:colOff>
      <xdr:row>1168</xdr:row>
      <xdr:rowOff>114300</xdr:rowOff>
    </xdr:to>
    <xdr:sp macro="" textlink="">
      <xdr:nvSpPr>
        <xdr:cNvPr id="4239" name="AutoShape 116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0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1167</xdr:row>
      <xdr:rowOff>0</xdr:rowOff>
    </xdr:from>
    <xdr:to>
      <xdr:col>5</xdr:col>
      <xdr:colOff>304800</xdr:colOff>
      <xdr:row>1168</xdr:row>
      <xdr:rowOff>114300</xdr:rowOff>
    </xdr:to>
    <xdr:sp macro="" textlink="">
      <xdr:nvSpPr>
        <xdr:cNvPr id="4240" name="AutoShape 116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0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1169</xdr:row>
      <xdr:rowOff>0</xdr:rowOff>
    </xdr:from>
    <xdr:to>
      <xdr:col>4</xdr:col>
      <xdr:colOff>304800</xdr:colOff>
      <xdr:row>1170</xdr:row>
      <xdr:rowOff>114300</xdr:rowOff>
    </xdr:to>
    <xdr:sp macro="" textlink="">
      <xdr:nvSpPr>
        <xdr:cNvPr id="4241" name="AutoShape 116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124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1169</xdr:row>
      <xdr:rowOff>0</xdr:rowOff>
    </xdr:from>
    <xdr:to>
      <xdr:col>5</xdr:col>
      <xdr:colOff>304800</xdr:colOff>
      <xdr:row>1170</xdr:row>
      <xdr:rowOff>114300</xdr:rowOff>
    </xdr:to>
    <xdr:sp macro="" textlink="">
      <xdr:nvSpPr>
        <xdr:cNvPr id="4242" name="AutoShape 117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124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1171</xdr:row>
      <xdr:rowOff>0</xdr:rowOff>
    </xdr:from>
    <xdr:to>
      <xdr:col>4</xdr:col>
      <xdr:colOff>304800</xdr:colOff>
      <xdr:row>1172</xdr:row>
      <xdr:rowOff>114300</xdr:rowOff>
    </xdr:to>
    <xdr:sp macro="" textlink="">
      <xdr:nvSpPr>
        <xdr:cNvPr id="4243" name="AutoShape 117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182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1171</xdr:row>
      <xdr:rowOff>0</xdr:rowOff>
    </xdr:from>
    <xdr:to>
      <xdr:col>5</xdr:col>
      <xdr:colOff>304800</xdr:colOff>
      <xdr:row>1172</xdr:row>
      <xdr:rowOff>114300</xdr:rowOff>
    </xdr:to>
    <xdr:sp macro="" textlink="">
      <xdr:nvSpPr>
        <xdr:cNvPr id="4244" name="AutoShape 11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182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1173</xdr:row>
      <xdr:rowOff>0</xdr:rowOff>
    </xdr:from>
    <xdr:to>
      <xdr:col>4</xdr:col>
      <xdr:colOff>304800</xdr:colOff>
      <xdr:row>1174</xdr:row>
      <xdr:rowOff>114300</xdr:rowOff>
    </xdr:to>
    <xdr:sp macro="" textlink="">
      <xdr:nvSpPr>
        <xdr:cNvPr id="4245" name="AutoShape 117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240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1173</xdr:row>
      <xdr:rowOff>0</xdr:rowOff>
    </xdr:from>
    <xdr:to>
      <xdr:col>5</xdr:col>
      <xdr:colOff>304800</xdr:colOff>
      <xdr:row>1174</xdr:row>
      <xdr:rowOff>114300</xdr:rowOff>
    </xdr:to>
    <xdr:sp macro="" textlink="">
      <xdr:nvSpPr>
        <xdr:cNvPr id="4246" name="AutoShape 117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240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1175</xdr:row>
      <xdr:rowOff>0</xdr:rowOff>
    </xdr:from>
    <xdr:to>
      <xdr:col>4</xdr:col>
      <xdr:colOff>304800</xdr:colOff>
      <xdr:row>1176</xdr:row>
      <xdr:rowOff>114300</xdr:rowOff>
    </xdr:to>
    <xdr:sp macro="" textlink="">
      <xdr:nvSpPr>
        <xdr:cNvPr id="4247" name="AutoShape 117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29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1175</xdr:row>
      <xdr:rowOff>0</xdr:rowOff>
    </xdr:from>
    <xdr:to>
      <xdr:col>5</xdr:col>
      <xdr:colOff>304800</xdr:colOff>
      <xdr:row>1176</xdr:row>
      <xdr:rowOff>114300</xdr:rowOff>
    </xdr:to>
    <xdr:sp macro="" textlink="">
      <xdr:nvSpPr>
        <xdr:cNvPr id="4248" name="AutoShape 117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29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1177</xdr:row>
      <xdr:rowOff>0</xdr:rowOff>
    </xdr:from>
    <xdr:to>
      <xdr:col>4</xdr:col>
      <xdr:colOff>304800</xdr:colOff>
      <xdr:row>1178</xdr:row>
      <xdr:rowOff>114300</xdr:rowOff>
    </xdr:to>
    <xdr:sp macro="" textlink="">
      <xdr:nvSpPr>
        <xdr:cNvPr id="4249" name="AutoShape 117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356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1177</xdr:row>
      <xdr:rowOff>0</xdr:rowOff>
    </xdr:from>
    <xdr:to>
      <xdr:col>5</xdr:col>
      <xdr:colOff>304800</xdr:colOff>
      <xdr:row>1178</xdr:row>
      <xdr:rowOff>114300</xdr:rowOff>
    </xdr:to>
    <xdr:sp macro="" textlink="">
      <xdr:nvSpPr>
        <xdr:cNvPr id="4250" name="AutoShape 11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356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1179</xdr:row>
      <xdr:rowOff>0</xdr:rowOff>
    </xdr:from>
    <xdr:to>
      <xdr:col>4</xdr:col>
      <xdr:colOff>304800</xdr:colOff>
      <xdr:row>1180</xdr:row>
      <xdr:rowOff>114300</xdr:rowOff>
    </xdr:to>
    <xdr:sp macro="" textlink="">
      <xdr:nvSpPr>
        <xdr:cNvPr id="4251" name="AutoShape 117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41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1179</xdr:row>
      <xdr:rowOff>0</xdr:rowOff>
    </xdr:from>
    <xdr:to>
      <xdr:col>5</xdr:col>
      <xdr:colOff>304800</xdr:colOff>
      <xdr:row>1180</xdr:row>
      <xdr:rowOff>114300</xdr:rowOff>
    </xdr:to>
    <xdr:sp macro="" textlink="">
      <xdr:nvSpPr>
        <xdr:cNvPr id="4252" name="AutoShape 118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41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1181</xdr:row>
      <xdr:rowOff>0</xdr:rowOff>
    </xdr:from>
    <xdr:to>
      <xdr:col>4</xdr:col>
      <xdr:colOff>304800</xdr:colOff>
      <xdr:row>1182</xdr:row>
      <xdr:rowOff>76200</xdr:rowOff>
    </xdr:to>
    <xdr:sp macro="" textlink="">
      <xdr:nvSpPr>
        <xdr:cNvPr id="4253" name="AutoShape 118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472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1181</xdr:row>
      <xdr:rowOff>0</xdr:rowOff>
    </xdr:from>
    <xdr:to>
      <xdr:col>5</xdr:col>
      <xdr:colOff>304800</xdr:colOff>
      <xdr:row>1182</xdr:row>
      <xdr:rowOff>76200</xdr:rowOff>
    </xdr:to>
    <xdr:sp macro="" textlink="">
      <xdr:nvSpPr>
        <xdr:cNvPr id="4254" name="AutoShape 118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472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1183</xdr:row>
      <xdr:rowOff>0</xdr:rowOff>
    </xdr:from>
    <xdr:to>
      <xdr:col>4</xdr:col>
      <xdr:colOff>304800</xdr:colOff>
      <xdr:row>1184</xdr:row>
      <xdr:rowOff>114300</xdr:rowOff>
    </xdr:to>
    <xdr:sp macro="" textlink="">
      <xdr:nvSpPr>
        <xdr:cNvPr id="4255" name="AutoShape 118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515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1183</xdr:row>
      <xdr:rowOff>0</xdr:rowOff>
    </xdr:from>
    <xdr:to>
      <xdr:col>5</xdr:col>
      <xdr:colOff>304800</xdr:colOff>
      <xdr:row>1184</xdr:row>
      <xdr:rowOff>114300</xdr:rowOff>
    </xdr:to>
    <xdr:sp macro="" textlink="">
      <xdr:nvSpPr>
        <xdr:cNvPr id="4256" name="AutoShape 118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515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1185</xdr:row>
      <xdr:rowOff>0</xdr:rowOff>
    </xdr:from>
    <xdr:to>
      <xdr:col>4</xdr:col>
      <xdr:colOff>304800</xdr:colOff>
      <xdr:row>1186</xdr:row>
      <xdr:rowOff>114300</xdr:rowOff>
    </xdr:to>
    <xdr:sp macro="" textlink="">
      <xdr:nvSpPr>
        <xdr:cNvPr id="4257" name="AutoShape 118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554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1185</xdr:row>
      <xdr:rowOff>0</xdr:rowOff>
    </xdr:from>
    <xdr:to>
      <xdr:col>5</xdr:col>
      <xdr:colOff>304800</xdr:colOff>
      <xdr:row>1186</xdr:row>
      <xdr:rowOff>114300</xdr:rowOff>
    </xdr:to>
    <xdr:sp macro="" textlink="">
      <xdr:nvSpPr>
        <xdr:cNvPr id="4258" name="AutoShape 118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554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1187</xdr:row>
      <xdr:rowOff>0</xdr:rowOff>
    </xdr:from>
    <xdr:to>
      <xdr:col>4</xdr:col>
      <xdr:colOff>304800</xdr:colOff>
      <xdr:row>1188</xdr:row>
      <xdr:rowOff>114300</xdr:rowOff>
    </xdr:to>
    <xdr:sp macro="" textlink="">
      <xdr:nvSpPr>
        <xdr:cNvPr id="4259" name="AutoShape 118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612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1187</xdr:row>
      <xdr:rowOff>0</xdr:rowOff>
    </xdr:from>
    <xdr:to>
      <xdr:col>5</xdr:col>
      <xdr:colOff>304800</xdr:colOff>
      <xdr:row>1188</xdr:row>
      <xdr:rowOff>114300</xdr:rowOff>
    </xdr:to>
    <xdr:sp macro="" textlink="">
      <xdr:nvSpPr>
        <xdr:cNvPr id="4260" name="AutoShape 118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612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1189</xdr:row>
      <xdr:rowOff>0</xdr:rowOff>
    </xdr:from>
    <xdr:to>
      <xdr:col>4</xdr:col>
      <xdr:colOff>304800</xdr:colOff>
      <xdr:row>1190</xdr:row>
      <xdr:rowOff>114300</xdr:rowOff>
    </xdr:to>
    <xdr:sp macro="" textlink="">
      <xdr:nvSpPr>
        <xdr:cNvPr id="4261" name="AutoShape 118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67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1189</xdr:row>
      <xdr:rowOff>0</xdr:rowOff>
    </xdr:from>
    <xdr:to>
      <xdr:col>5</xdr:col>
      <xdr:colOff>304800</xdr:colOff>
      <xdr:row>1190</xdr:row>
      <xdr:rowOff>114300</xdr:rowOff>
    </xdr:to>
    <xdr:sp macro="" textlink="">
      <xdr:nvSpPr>
        <xdr:cNvPr id="4262" name="AutoShape 11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67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1191</xdr:row>
      <xdr:rowOff>0</xdr:rowOff>
    </xdr:from>
    <xdr:to>
      <xdr:col>4</xdr:col>
      <xdr:colOff>304800</xdr:colOff>
      <xdr:row>1192</xdr:row>
      <xdr:rowOff>114300</xdr:rowOff>
    </xdr:to>
    <xdr:sp macro="" textlink="">
      <xdr:nvSpPr>
        <xdr:cNvPr id="4263" name="AutoShape 119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729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1191</xdr:row>
      <xdr:rowOff>0</xdr:rowOff>
    </xdr:from>
    <xdr:to>
      <xdr:col>5</xdr:col>
      <xdr:colOff>304800</xdr:colOff>
      <xdr:row>1192</xdr:row>
      <xdr:rowOff>114300</xdr:rowOff>
    </xdr:to>
    <xdr:sp macro="" textlink="">
      <xdr:nvSpPr>
        <xdr:cNvPr id="4264" name="AutoShape 119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729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1193</xdr:row>
      <xdr:rowOff>0</xdr:rowOff>
    </xdr:from>
    <xdr:to>
      <xdr:col>4</xdr:col>
      <xdr:colOff>304800</xdr:colOff>
      <xdr:row>1194</xdr:row>
      <xdr:rowOff>76200</xdr:rowOff>
    </xdr:to>
    <xdr:sp macro="" textlink="">
      <xdr:nvSpPr>
        <xdr:cNvPr id="4265" name="AutoShape 119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78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1193</xdr:row>
      <xdr:rowOff>0</xdr:rowOff>
    </xdr:from>
    <xdr:to>
      <xdr:col>5</xdr:col>
      <xdr:colOff>304800</xdr:colOff>
      <xdr:row>1194</xdr:row>
      <xdr:rowOff>76200</xdr:rowOff>
    </xdr:to>
    <xdr:sp macro="" textlink="">
      <xdr:nvSpPr>
        <xdr:cNvPr id="4266" name="AutoShape 119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78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1195</xdr:row>
      <xdr:rowOff>0</xdr:rowOff>
    </xdr:from>
    <xdr:to>
      <xdr:col>4</xdr:col>
      <xdr:colOff>304800</xdr:colOff>
      <xdr:row>1196</xdr:row>
      <xdr:rowOff>114300</xdr:rowOff>
    </xdr:to>
    <xdr:sp macro="" textlink="">
      <xdr:nvSpPr>
        <xdr:cNvPr id="4267" name="AutoShape 119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83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1195</xdr:row>
      <xdr:rowOff>0</xdr:rowOff>
    </xdr:from>
    <xdr:to>
      <xdr:col>5</xdr:col>
      <xdr:colOff>304800</xdr:colOff>
      <xdr:row>1196</xdr:row>
      <xdr:rowOff>114300</xdr:rowOff>
    </xdr:to>
    <xdr:sp macro="" textlink="">
      <xdr:nvSpPr>
        <xdr:cNvPr id="4268" name="AutoShape 119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83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1197</xdr:row>
      <xdr:rowOff>0</xdr:rowOff>
    </xdr:from>
    <xdr:to>
      <xdr:col>4</xdr:col>
      <xdr:colOff>304800</xdr:colOff>
      <xdr:row>1198</xdr:row>
      <xdr:rowOff>114300</xdr:rowOff>
    </xdr:to>
    <xdr:sp macro="" textlink="">
      <xdr:nvSpPr>
        <xdr:cNvPr id="4269" name="AutoShape 119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888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1197</xdr:row>
      <xdr:rowOff>0</xdr:rowOff>
    </xdr:from>
    <xdr:to>
      <xdr:col>5</xdr:col>
      <xdr:colOff>304800</xdr:colOff>
      <xdr:row>1198</xdr:row>
      <xdr:rowOff>114300</xdr:rowOff>
    </xdr:to>
    <xdr:sp macro="" textlink="">
      <xdr:nvSpPr>
        <xdr:cNvPr id="4270" name="AutoShape 11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888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1199</xdr:row>
      <xdr:rowOff>0</xdr:rowOff>
    </xdr:from>
    <xdr:to>
      <xdr:col>4</xdr:col>
      <xdr:colOff>304800</xdr:colOff>
      <xdr:row>1200</xdr:row>
      <xdr:rowOff>114300</xdr:rowOff>
    </xdr:to>
    <xdr:sp macro="" textlink="">
      <xdr:nvSpPr>
        <xdr:cNvPr id="4271" name="AutoShape 119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94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1199</xdr:row>
      <xdr:rowOff>0</xdr:rowOff>
    </xdr:from>
    <xdr:to>
      <xdr:col>5</xdr:col>
      <xdr:colOff>304800</xdr:colOff>
      <xdr:row>1200</xdr:row>
      <xdr:rowOff>114300</xdr:rowOff>
    </xdr:to>
    <xdr:sp macro="" textlink="">
      <xdr:nvSpPr>
        <xdr:cNvPr id="4272" name="AutoShape 12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94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1201</xdr:row>
      <xdr:rowOff>0</xdr:rowOff>
    </xdr:from>
    <xdr:to>
      <xdr:col>4</xdr:col>
      <xdr:colOff>304800</xdr:colOff>
      <xdr:row>1202</xdr:row>
      <xdr:rowOff>114300</xdr:rowOff>
    </xdr:to>
    <xdr:sp macro="" textlink="">
      <xdr:nvSpPr>
        <xdr:cNvPr id="4273" name="AutoShape 12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004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1201</xdr:row>
      <xdr:rowOff>0</xdr:rowOff>
    </xdr:from>
    <xdr:to>
      <xdr:col>5</xdr:col>
      <xdr:colOff>304800</xdr:colOff>
      <xdr:row>1202</xdr:row>
      <xdr:rowOff>114300</xdr:rowOff>
    </xdr:to>
    <xdr:sp macro="" textlink="">
      <xdr:nvSpPr>
        <xdr:cNvPr id="4274" name="AutoShape 120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004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1203</xdr:row>
      <xdr:rowOff>0</xdr:rowOff>
    </xdr:from>
    <xdr:to>
      <xdr:col>4</xdr:col>
      <xdr:colOff>304800</xdr:colOff>
      <xdr:row>1204</xdr:row>
      <xdr:rowOff>76200</xdr:rowOff>
    </xdr:to>
    <xdr:sp macro="" textlink="">
      <xdr:nvSpPr>
        <xdr:cNvPr id="4275" name="AutoShape 120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06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1203</xdr:row>
      <xdr:rowOff>0</xdr:rowOff>
    </xdr:from>
    <xdr:to>
      <xdr:col>5</xdr:col>
      <xdr:colOff>304800</xdr:colOff>
      <xdr:row>1204</xdr:row>
      <xdr:rowOff>76200</xdr:rowOff>
    </xdr:to>
    <xdr:sp macro="" textlink="">
      <xdr:nvSpPr>
        <xdr:cNvPr id="4276" name="AutoShape 120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06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1205</xdr:row>
      <xdr:rowOff>0</xdr:rowOff>
    </xdr:from>
    <xdr:to>
      <xdr:col>4</xdr:col>
      <xdr:colOff>304800</xdr:colOff>
      <xdr:row>1206</xdr:row>
      <xdr:rowOff>114300</xdr:rowOff>
    </xdr:to>
    <xdr:sp macro="" textlink="">
      <xdr:nvSpPr>
        <xdr:cNvPr id="4277" name="AutoShape 12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105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1205</xdr:row>
      <xdr:rowOff>0</xdr:rowOff>
    </xdr:from>
    <xdr:to>
      <xdr:col>5</xdr:col>
      <xdr:colOff>304800</xdr:colOff>
      <xdr:row>1206</xdr:row>
      <xdr:rowOff>114300</xdr:rowOff>
    </xdr:to>
    <xdr:sp macro="" textlink="">
      <xdr:nvSpPr>
        <xdr:cNvPr id="4278" name="AutoShape 120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105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1207</xdr:row>
      <xdr:rowOff>0</xdr:rowOff>
    </xdr:from>
    <xdr:to>
      <xdr:col>4</xdr:col>
      <xdr:colOff>304800</xdr:colOff>
      <xdr:row>1208</xdr:row>
      <xdr:rowOff>114300</xdr:rowOff>
    </xdr:to>
    <xdr:sp macro="" textlink="">
      <xdr:nvSpPr>
        <xdr:cNvPr id="4279" name="AutoShape 12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1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1207</xdr:row>
      <xdr:rowOff>0</xdr:rowOff>
    </xdr:from>
    <xdr:to>
      <xdr:col>5</xdr:col>
      <xdr:colOff>304800</xdr:colOff>
      <xdr:row>1208</xdr:row>
      <xdr:rowOff>114300</xdr:rowOff>
    </xdr:to>
    <xdr:sp macro="" textlink="">
      <xdr:nvSpPr>
        <xdr:cNvPr id="4280" name="AutoShape 120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1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1209</xdr:row>
      <xdr:rowOff>0</xdr:rowOff>
    </xdr:from>
    <xdr:to>
      <xdr:col>4</xdr:col>
      <xdr:colOff>304800</xdr:colOff>
      <xdr:row>1210</xdr:row>
      <xdr:rowOff>114300</xdr:rowOff>
    </xdr:to>
    <xdr:sp macro="" textlink="">
      <xdr:nvSpPr>
        <xdr:cNvPr id="4281" name="AutoShape 120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221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1209</xdr:row>
      <xdr:rowOff>0</xdr:rowOff>
    </xdr:from>
    <xdr:to>
      <xdr:col>5</xdr:col>
      <xdr:colOff>304800</xdr:colOff>
      <xdr:row>1210</xdr:row>
      <xdr:rowOff>114300</xdr:rowOff>
    </xdr:to>
    <xdr:sp macro="" textlink="">
      <xdr:nvSpPr>
        <xdr:cNvPr id="4282" name="AutoShape 121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221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1211</xdr:row>
      <xdr:rowOff>0</xdr:rowOff>
    </xdr:from>
    <xdr:to>
      <xdr:col>4</xdr:col>
      <xdr:colOff>304800</xdr:colOff>
      <xdr:row>1212</xdr:row>
      <xdr:rowOff>76200</xdr:rowOff>
    </xdr:to>
    <xdr:sp macro="" textlink="">
      <xdr:nvSpPr>
        <xdr:cNvPr id="4283" name="AutoShape 12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279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1211</xdr:row>
      <xdr:rowOff>0</xdr:rowOff>
    </xdr:from>
    <xdr:to>
      <xdr:col>5</xdr:col>
      <xdr:colOff>304800</xdr:colOff>
      <xdr:row>1212</xdr:row>
      <xdr:rowOff>76200</xdr:rowOff>
    </xdr:to>
    <xdr:sp macro="" textlink="">
      <xdr:nvSpPr>
        <xdr:cNvPr id="4284" name="AutoShape 121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279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1213</xdr:row>
      <xdr:rowOff>0</xdr:rowOff>
    </xdr:from>
    <xdr:to>
      <xdr:col>4</xdr:col>
      <xdr:colOff>304800</xdr:colOff>
      <xdr:row>1214</xdr:row>
      <xdr:rowOff>114300</xdr:rowOff>
    </xdr:to>
    <xdr:sp macro="" textlink="">
      <xdr:nvSpPr>
        <xdr:cNvPr id="4285" name="AutoShape 121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322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1213</xdr:row>
      <xdr:rowOff>0</xdr:rowOff>
    </xdr:from>
    <xdr:to>
      <xdr:col>5</xdr:col>
      <xdr:colOff>304800</xdr:colOff>
      <xdr:row>1214</xdr:row>
      <xdr:rowOff>114300</xdr:rowOff>
    </xdr:to>
    <xdr:sp macro="" textlink="">
      <xdr:nvSpPr>
        <xdr:cNvPr id="4286" name="AutoShape 121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322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1215</xdr:row>
      <xdr:rowOff>0</xdr:rowOff>
    </xdr:from>
    <xdr:to>
      <xdr:col>4</xdr:col>
      <xdr:colOff>304800</xdr:colOff>
      <xdr:row>1216</xdr:row>
      <xdr:rowOff>114300</xdr:rowOff>
    </xdr:to>
    <xdr:sp macro="" textlink="">
      <xdr:nvSpPr>
        <xdr:cNvPr id="4287" name="AutoShape 121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380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1215</xdr:row>
      <xdr:rowOff>0</xdr:rowOff>
    </xdr:from>
    <xdr:to>
      <xdr:col>5</xdr:col>
      <xdr:colOff>304800</xdr:colOff>
      <xdr:row>1216</xdr:row>
      <xdr:rowOff>114300</xdr:rowOff>
    </xdr:to>
    <xdr:sp macro="" textlink="">
      <xdr:nvSpPr>
        <xdr:cNvPr id="4288" name="AutoShape 121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380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1217</xdr:row>
      <xdr:rowOff>0</xdr:rowOff>
    </xdr:from>
    <xdr:to>
      <xdr:col>4</xdr:col>
      <xdr:colOff>304800</xdr:colOff>
      <xdr:row>1218</xdr:row>
      <xdr:rowOff>114300</xdr:rowOff>
    </xdr:to>
    <xdr:sp macro="" textlink="">
      <xdr:nvSpPr>
        <xdr:cNvPr id="4289" name="AutoShape 121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438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1217</xdr:row>
      <xdr:rowOff>0</xdr:rowOff>
    </xdr:from>
    <xdr:to>
      <xdr:col>5</xdr:col>
      <xdr:colOff>304800</xdr:colOff>
      <xdr:row>1218</xdr:row>
      <xdr:rowOff>114300</xdr:rowOff>
    </xdr:to>
    <xdr:sp macro="" textlink="">
      <xdr:nvSpPr>
        <xdr:cNvPr id="4290" name="AutoShape 121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438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1219</xdr:row>
      <xdr:rowOff>0</xdr:rowOff>
    </xdr:from>
    <xdr:to>
      <xdr:col>4</xdr:col>
      <xdr:colOff>304800</xdr:colOff>
      <xdr:row>1220</xdr:row>
      <xdr:rowOff>76200</xdr:rowOff>
    </xdr:to>
    <xdr:sp macro="" textlink="">
      <xdr:nvSpPr>
        <xdr:cNvPr id="4291" name="AutoShape 121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496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1219</xdr:row>
      <xdr:rowOff>0</xdr:rowOff>
    </xdr:from>
    <xdr:to>
      <xdr:col>5</xdr:col>
      <xdr:colOff>304800</xdr:colOff>
      <xdr:row>1220</xdr:row>
      <xdr:rowOff>76200</xdr:rowOff>
    </xdr:to>
    <xdr:sp macro="" textlink="">
      <xdr:nvSpPr>
        <xdr:cNvPr id="4292" name="AutoShape 122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496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1221</xdr:row>
      <xdr:rowOff>0</xdr:rowOff>
    </xdr:from>
    <xdr:to>
      <xdr:col>4</xdr:col>
      <xdr:colOff>304800</xdr:colOff>
      <xdr:row>1222</xdr:row>
      <xdr:rowOff>114300</xdr:rowOff>
    </xdr:to>
    <xdr:sp macro="" textlink="">
      <xdr:nvSpPr>
        <xdr:cNvPr id="4293" name="AutoShape 122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539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1221</xdr:row>
      <xdr:rowOff>0</xdr:rowOff>
    </xdr:from>
    <xdr:to>
      <xdr:col>5</xdr:col>
      <xdr:colOff>304800</xdr:colOff>
      <xdr:row>1222</xdr:row>
      <xdr:rowOff>114300</xdr:rowOff>
    </xdr:to>
    <xdr:sp macro="" textlink="">
      <xdr:nvSpPr>
        <xdr:cNvPr id="4294" name="AutoShape 122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539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1223</xdr:row>
      <xdr:rowOff>0</xdr:rowOff>
    </xdr:from>
    <xdr:to>
      <xdr:col>4</xdr:col>
      <xdr:colOff>304800</xdr:colOff>
      <xdr:row>1224</xdr:row>
      <xdr:rowOff>76200</xdr:rowOff>
    </xdr:to>
    <xdr:sp macro="" textlink="">
      <xdr:nvSpPr>
        <xdr:cNvPr id="4295" name="AutoShape 122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597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1223</xdr:row>
      <xdr:rowOff>0</xdr:rowOff>
    </xdr:from>
    <xdr:to>
      <xdr:col>5</xdr:col>
      <xdr:colOff>304800</xdr:colOff>
      <xdr:row>1224</xdr:row>
      <xdr:rowOff>76200</xdr:rowOff>
    </xdr:to>
    <xdr:sp macro="" textlink="">
      <xdr:nvSpPr>
        <xdr:cNvPr id="4296" name="AutoShape 122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597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1225</xdr:row>
      <xdr:rowOff>0</xdr:rowOff>
    </xdr:from>
    <xdr:to>
      <xdr:col>4</xdr:col>
      <xdr:colOff>304800</xdr:colOff>
      <xdr:row>1226</xdr:row>
      <xdr:rowOff>114300</xdr:rowOff>
    </xdr:to>
    <xdr:sp macro="" textlink="">
      <xdr:nvSpPr>
        <xdr:cNvPr id="4297" name="AutoShape 122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64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1225</xdr:row>
      <xdr:rowOff>0</xdr:rowOff>
    </xdr:from>
    <xdr:to>
      <xdr:col>5</xdr:col>
      <xdr:colOff>304800</xdr:colOff>
      <xdr:row>1226</xdr:row>
      <xdr:rowOff>114300</xdr:rowOff>
    </xdr:to>
    <xdr:sp macro="" textlink="">
      <xdr:nvSpPr>
        <xdr:cNvPr id="4298" name="AutoShape 122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64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1227</xdr:row>
      <xdr:rowOff>0</xdr:rowOff>
    </xdr:from>
    <xdr:to>
      <xdr:col>4</xdr:col>
      <xdr:colOff>304800</xdr:colOff>
      <xdr:row>1228</xdr:row>
      <xdr:rowOff>114300</xdr:rowOff>
    </xdr:to>
    <xdr:sp macro="" textlink="">
      <xdr:nvSpPr>
        <xdr:cNvPr id="4299" name="AutoShape 122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698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1227</xdr:row>
      <xdr:rowOff>0</xdr:rowOff>
    </xdr:from>
    <xdr:to>
      <xdr:col>5</xdr:col>
      <xdr:colOff>304800</xdr:colOff>
      <xdr:row>1228</xdr:row>
      <xdr:rowOff>114300</xdr:rowOff>
    </xdr:to>
    <xdr:sp macro="" textlink="">
      <xdr:nvSpPr>
        <xdr:cNvPr id="4300" name="AutoShape 122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698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1229</xdr:row>
      <xdr:rowOff>0</xdr:rowOff>
    </xdr:from>
    <xdr:to>
      <xdr:col>4</xdr:col>
      <xdr:colOff>304800</xdr:colOff>
      <xdr:row>1230</xdr:row>
      <xdr:rowOff>114300</xdr:rowOff>
    </xdr:to>
    <xdr:sp macro="" textlink="">
      <xdr:nvSpPr>
        <xdr:cNvPr id="4301" name="AutoShape 12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756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1229</xdr:row>
      <xdr:rowOff>0</xdr:rowOff>
    </xdr:from>
    <xdr:to>
      <xdr:col>5</xdr:col>
      <xdr:colOff>304800</xdr:colOff>
      <xdr:row>1230</xdr:row>
      <xdr:rowOff>114300</xdr:rowOff>
    </xdr:to>
    <xdr:sp macro="" textlink="">
      <xdr:nvSpPr>
        <xdr:cNvPr id="4302" name="AutoShape 123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756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3" name="AutoShape 123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815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04" name="AutoShape 123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815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1233</xdr:row>
      <xdr:rowOff>0</xdr:rowOff>
    </xdr:from>
    <xdr:to>
      <xdr:col>4</xdr:col>
      <xdr:colOff>304800</xdr:colOff>
      <xdr:row>1234</xdr:row>
      <xdr:rowOff>114300</xdr:rowOff>
    </xdr:to>
    <xdr:sp macro="" textlink="">
      <xdr:nvSpPr>
        <xdr:cNvPr id="4305" name="AutoShape 123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87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1233</xdr:row>
      <xdr:rowOff>0</xdr:rowOff>
    </xdr:from>
    <xdr:to>
      <xdr:col>5</xdr:col>
      <xdr:colOff>304800</xdr:colOff>
      <xdr:row>1234</xdr:row>
      <xdr:rowOff>114300</xdr:rowOff>
    </xdr:to>
    <xdr:sp macro="" textlink="">
      <xdr:nvSpPr>
        <xdr:cNvPr id="4306" name="AutoShape 123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87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1235</xdr:row>
      <xdr:rowOff>0</xdr:rowOff>
    </xdr:from>
    <xdr:to>
      <xdr:col>4</xdr:col>
      <xdr:colOff>304800</xdr:colOff>
      <xdr:row>1236</xdr:row>
      <xdr:rowOff>114300</xdr:rowOff>
    </xdr:to>
    <xdr:sp macro="" textlink="">
      <xdr:nvSpPr>
        <xdr:cNvPr id="4307" name="AutoShape 12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93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1235</xdr:row>
      <xdr:rowOff>0</xdr:rowOff>
    </xdr:from>
    <xdr:to>
      <xdr:col>5</xdr:col>
      <xdr:colOff>304800</xdr:colOff>
      <xdr:row>1236</xdr:row>
      <xdr:rowOff>114300</xdr:rowOff>
    </xdr:to>
    <xdr:sp macro="" textlink="">
      <xdr:nvSpPr>
        <xdr:cNvPr id="4308" name="AutoShape 123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93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1237</xdr:row>
      <xdr:rowOff>0</xdr:rowOff>
    </xdr:from>
    <xdr:to>
      <xdr:col>4</xdr:col>
      <xdr:colOff>304800</xdr:colOff>
      <xdr:row>1238</xdr:row>
      <xdr:rowOff>114300</xdr:rowOff>
    </xdr:to>
    <xdr:sp macro="" textlink="">
      <xdr:nvSpPr>
        <xdr:cNvPr id="4309" name="AutoShape 123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98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1237</xdr:row>
      <xdr:rowOff>0</xdr:rowOff>
    </xdr:from>
    <xdr:to>
      <xdr:col>5</xdr:col>
      <xdr:colOff>304800</xdr:colOff>
      <xdr:row>1238</xdr:row>
      <xdr:rowOff>114300</xdr:rowOff>
    </xdr:to>
    <xdr:sp macro="" textlink="">
      <xdr:nvSpPr>
        <xdr:cNvPr id="4310" name="AutoShape 123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98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1239</xdr:row>
      <xdr:rowOff>0</xdr:rowOff>
    </xdr:from>
    <xdr:to>
      <xdr:col>4</xdr:col>
      <xdr:colOff>304800</xdr:colOff>
      <xdr:row>1240</xdr:row>
      <xdr:rowOff>114300</xdr:rowOff>
    </xdr:to>
    <xdr:sp macro="" textlink="">
      <xdr:nvSpPr>
        <xdr:cNvPr id="4311" name="AutoShape 123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04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1239</xdr:row>
      <xdr:rowOff>0</xdr:rowOff>
    </xdr:from>
    <xdr:to>
      <xdr:col>5</xdr:col>
      <xdr:colOff>304800</xdr:colOff>
      <xdr:row>1240</xdr:row>
      <xdr:rowOff>114300</xdr:rowOff>
    </xdr:to>
    <xdr:sp macro="" textlink="">
      <xdr:nvSpPr>
        <xdr:cNvPr id="4312" name="AutoShape 124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04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1241</xdr:row>
      <xdr:rowOff>0</xdr:rowOff>
    </xdr:from>
    <xdr:to>
      <xdr:col>4</xdr:col>
      <xdr:colOff>304800</xdr:colOff>
      <xdr:row>1242</xdr:row>
      <xdr:rowOff>76200</xdr:rowOff>
    </xdr:to>
    <xdr:sp macro="" textlink="">
      <xdr:nvSpPr>
        <xdr:cNvPr id="4313" name="AutoShape 124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08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1241</xdr:row>
      <xdr:rowOff>0</xdr:rowOff>
    </xdr:from>
    <xdr:to>
      <xdr:col>5</xdr:col>
      <xdr:colOff>304800</xdr:colOff>
      <xdr:row>1242</xdr:row>
      <xdr:rowOff>76200</xdr:rowOff>
    </xdr:to>
    <xdr:sp macro="" textlink="">
      <xdr:nvSpPr>
        <xdr:cNvPr id="4314" name="AutoShape 12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08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1243</xdr:row>
      <xdr:rowOff>0</xdr:rowOff>
    </xdr:from>
    <xdr:to>
      <xdr:col>4</xdr:col>
      <xdr:colOff>304800</xdr:colOff>
      <xdr:row>1244</xdr:row>
      <xdr:rowOff>114300</xdr:rowOff>
    </xdr:to>
    <xdr:sp macro="" textlink="">
      <xdr:nvSpPr>
        <xdr:cNvPr id="4315" name="AutoShape 12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129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1243</xdr:row>
      <xdr:rowOff>0</xdr:rowOff>
    </xdr:from>
    <xdr:to>
      <xdr:col>5</xdr:col>
      <xdr:colOff>304800</xdr:colOff>
      <xdr:row>1244</xdr:row>
      <xdr:rowOff>114300</xdr:rowOff>
    </xdr:to>
    <xdr:sp macro="" textlink="">
      <xdr:nvSpPr>
        <xdr:cNvPr id="4316" name="AutoShape 124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129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1245</xdr:row>
      <xdr:rowOff>0</xdr:rowOff>
    </xdr:from>
    <xdr:to>
      <xdr:col>4</xdr:col>
      <xdr:colOff>304800</xdr:colOff>
      <xdr:row>1246</xdr:row>
      <xdr:rowOff>114300</xdr:rowOff>
    </xdr:to>
    <xdr:sp macro="" textlink="">
      <xdr:nvSpPr>
        <xdr:cNvPr id="4317" name="AutoShape 124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187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1245</xdr:row>
      <xdr:rowOff>0</xdr:rowOff>
    </xdr:from>
    <xdr:to>
      <xdr:col>5</xdr:col>
      <xdr:colOff>304800</xdr:colOff>
      <xdr:row>1246</xdr:row>
      <xdr:rowOff>114300</xdr:rowOff>
    </xdr:to>
    <xdr:sp macro="" textlink="">
      <xdr:nvSpPr>
        <xdr:cNvPr id="4318" name="AutoShape 124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187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1247</xdr:row>
      <xdr:rowOff>0</xdr:rowOff>
    </xdr:from>
    <xdr:to>
      <xdr:col>4</xdr:col>
      <xdr:colOff>304800</xdr:colOff>
      <xdr:row>1248</xdr:row>
      <xdr:rowOff>114300</xdr:rowOff>
    </xdr:to>
    <xdr:sp macro="" textlink="">
      <xdr:nvSpPr>
        <xdr:cNvPr id="4319" name="AutoShape 124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24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1247</xdr:row>
      <xdr:rowOff>0</xdr:rowOff>
    </xdr:from>
    <xdr:to>
      <xdr:col>5</xdr:col>
      <xdr:colOff>304800</xdr:colOff>
      <xdr:row>1248</xdr:row>
      <xdr:rowOff>114300</xdr:rowOff>
    </xdr:to>
    <xdr:sp macro="" textlink="">
      <xdr:nvSpPr>
        <xdr:cNvPr id="4320" name="AutoShape 124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24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1249</xdr:row>
      <xdr:rowOff>0</xdr:rowOff>
    </xdr:from>
    <xdr:to>
      <xdr:col>4</xdr:col>
      <xdr:colOff>304800</xdr:colOff>
      <xdr:row>1250</xdr:row>
      <xdr:rowOff>114300</xdr:rowOff>
    </xdr:to>
    <xdr:sp macro="" textlink="">
      <xdr:nvSpPr>
        <xdr:cNvPr id="4321" name="AutoShape 124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30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1249</xdr:row>
      <xdr:rowOff>0</xdr:rowOff>
    </xdr:from>
    <xdr:to>
      <xdr:col>5</xdr:col>
      <xdr:colOff>304800</xdr:colOff>
      <xdr:row>1250</xdr:row>
      <xdr:rowOff>114300</xdr:rowOff>
    </xdr:to>
    <xdr:sp macro="" textlink="">
      <xdr:nvSpPr>
        <xdr:cNvPr id="4322" name="AutoShape 125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30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1251</xdr:row>
      <xdr:rowOff>0</xdr:rowOff>
    </xdr:from>
    <xdr:to>
      <xdr:col>4</xdr:col>
      <xdr:colOff>304800</xdr:colOff>
      <xdr:row>1252</xdr:row>
      <xdr:rowOff>114300</xdr:rowOff>
    </xdr:to>
    <xdr:sp macro="" textlink="">
      <xdr:nvSpPr>
        <xdr:cNvPr id="4323" name="AutoShape 125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361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1251</xdr:row>
      <xdr:rowOff>0</xdr:rowOff>
    </xdr:from>
    <xdr:to>
      <xdr:col>5</xdr:col>
      <xdr:colOff>304800</xdr:colOff>
      <xdr:row>1252</xdr:row>
      <xdr:rowOff>114300</xdr:rowOff>
    </xdr:to>
    <xdr:sp macro="" textlink="">
      <xdr:nvSpPr>
        <xdr:cNvPr id="4324" name="AutoShape 125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361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1253</xdr:row>
      <xdr:rowOff>0</xdr:rowOff>
    </xdr:from>
    <xdr:to>
      <xdr:col>4</xdr:col>
      <xdr:colOff>304800</xdr:colOff>
      <xdr:row>1254</xdr:row>
      <xdr:rowOff>76200</xdr:rowOff>
    </xdr:to>
    <xdr:sp macro="" textlink="">
      <xdr:nvSpPr>
        <xdr:cNvPr id="4325" name="AutoShape 12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419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1253</xdr:row>
      <xdr:rowOff>0</xdr:rowOff>
    </xdr:from>
    <xdr:to>
      <xdr:col>5</xdr:col>
      <xdr:colOff>304800</xdr:colOff>
      <xdr:row>1254</xdr:row>
      <xdr:rowOff>76200</xdr:rowOff>
    </xdr:to>
    <xdr:sp macro="" textlink="">
      <xdr:nvSpPr>
        <xdr:cNvPr id="4326" name="AutoShape 125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419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1255</xdr:row>
      <xdr:rowOff>0</xdr:rowOff>
    </xdr:from>
    <xdr:to>
      <xdr:col>4</xdr:col>
      <xdr:colOff>304800</xdr:colOff>
      <xdr:row>1256</xdr:row>
      <xdr:rowOff>114300</xdr:rowOff>
    </xdr:to>
    <xdr:sp macro="" textlink="">
      <xdr:nvSpPr>
        <xdr:cNvPr id="4327" name="AutoShape 125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462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1255</xdr:row>
      <xdr:rowOff>0</xdr:rowOff>
    </xdr:from>
    <xdr:to>
      <xdr:col>5</xdr:col>
      <xdr:colOff>304800</xdr:colOff>
      <xdr:row>1256</xdr:row>
      <xdr:rowOff>114300</xdr:rowOff>
    </xdr:to>
    <xdr:sp macro="" textlink="">
      <xdr:nvSpPr>
        <xdr:cNvPr id="4328" name="AutoShape 125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462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1257</xdr:row>
      <xdr:rowOff>0</xdr:rowOff>
    </xdr:from>
    <xdr:to>
      <xdr:col>4</xdr:col>
      <xdr:colOff>304800</xdr:colOff>
      <xdr:row>1258</xdr:row>
      <xdr:rowOff>114300</xdr:rowOff>
    </xdr:to>
    <xdr:sp macro="" textlink="">
      <xdr:nvSpPr>
        <xdr:cNvPr id="4329" name="AutoShape 125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52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1257</xdr:row>
      <xdr:rowOff>0</xdr:rowOff>
    </xdr:from>
    <xdr:to>
      <xdr:col>5</xdr:col>
      <xdr:colOff>304800</xdr:colOff>
      <xdr:row>1258</xdr:row>
      <xdr:rowOff>114300</xdr:rowOff>
    </xdr:to>
    <xdr:sp macro="" textlink="">
      <xdr:nvSpPr>
        <xdr:cNvPr id="4330" name="AutoShape 125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52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1259</xdr:row>
      <xdr:rowOff>0</xdr:rowOff>
    </xdr:from>
    <xdr:to>
      <xdr:col>4</xdr:col>
      <xdr:colOff>304800</xdr:colOff>
      <xdr:row>1260</xdr:row>
      <xdr:rowOff>114300</xdr:rowOff>
    </xdr:to>
    <xdr:sp macro="" textlink="">
      <xdr:nvSpPr>
        <xdr:cNvPr id="4331" name="AutoShape 125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57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1259</xdr:row>
      <xdr:rowOff>0</xdr:rowOff>
    </xdr:from>
    <xdr:to>
      <xdr:col>5</xdr:col>
      <xdr:colOff>304800</xdr:colOff>
      <xdr:row>1260</xdr:row>
      <xdr:rowOff>114300</xdr:rowOff>
    </xdr:to>
    <xdr:sp macro="" textlink="">
      <xdr:nvSpPr>
        <xdr:cNvPr id="4332" name="AutoShape 126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57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1261</xdr:row>
      <xdr:rowOff>0</xdr:rowOff>
    </xdr:from>
    <xdr:to>
      <xdr:col>4</xdr:col>
      <xdr:colOff>304800</xdr:colOff>
      <xdr:row>1262</xdr:row>
      <xdr:rowOff>114300</xdr:rowOff>
    </xdr:to>
    <xdr:sp macro="" textlink="">
      <xdr:nvSpPr>
        <xdr:cNvPr id="4333" name="AutoShape 126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63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1261</xdr:row>
      <xdr:rowOff>0</xdr:rowOff>
    </xdr:from>
    <xdr:to>
      <xdr:col>5</xdr:col>
      <xdr:colOff>304800</xdr:colOff>
      <xdr:row>1262</xdr:row>
      <xdr:rowOff>114300</xdr:rowOff>
    </xdr:to>
    <xdr:sp macro="" textlink="">
      <xdr:nvSpPr>
        <xdr:cNvPr id="4334" name="AutoShape 126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63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1263</xdr:row>
      <xdr:rowOff>0</xdr:rowOff>
    </xdr:from>
    <xdr:to>
      <xdr:col>4</xdr:col>
      <xdr:colOff>304800</xdr:colOff>
      <xdr:row>1264</xdr:row>
      <xdr:rowOff>76200</xdr:rowOff>
    </xdr:to>
    <xdr:sp macro="" textlink="">
      <xdr:nvSpPr>
        <xdr:cNvPr id="4335" name="AutoShape 126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69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1263</xdr:row>
      <xdr:rowOff>0</xdr:rowOff>
    </xdr:from>
    <xdr:to>
      <xdr:col>5</xdr:col>
      <xdr:colOff>304800</xdr:colOff>
      <xdr:row>1264</xdr:row>
      <xdr:rowOff>76200</xdr:rowOff>
    </xdr:to>
    <xdr:sp macro="" textlink="">
      <xdr:nvSpPr>
        <xdr:cNvPr id="4336" name="AutoShape 126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69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1265</xdr:row>
      <xdr:rowOff>0</xdr:rowOff>
    </xdr:from>
    <xdr:to>
      <xdr:col>4</xdr:col>
      <xdr:colOff>304800</xdr:colOff>
      <xdr:row>1266</xdr:row>
      <xdr:rowOff>114300</xdr:rowOff>
    </xdr:to>
    <xdr:sp macro="" textlink="">
      <xdr:nvSpPr>
        <xdr:cNvPr id="4337" name="AutoShape 126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738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1265</xdr:row>
      <xdr:rowOff>0</xdr:rowOff>
    </xdr:from>
    <xdr:to>
      <xdr:col>5</xdr:col>
      <xdr:colOff>304800</xdr:colOff>
      <xdr:row>1266</xdr:row>
      <xdr:rowOff>114300</xdr:rowOff>
    </xdr:to>
    <xdr:sp macro="" textlink="">
      <xdr:nvSpPr>
        <xdr:cNvPr id="4338" name="AutoShape 126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738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1267</xdr:row>
      <xdr:rowOff>0</xdr:rowOff>
    </xdr:from>
    <xdr:to>
      <xdr:col>4</xdr:col>
      <xdr:colOff>304800</xdr:colOff>
      <xdr:row>1268</xdr:row>
      <xdr:rowOff>114300</xdr:rowOff>
    </xdr:to>
    <xdr:sp macro="" textlink="">
      <xdr:nvSpPr>
        <xdr:cNvPr id="4339" name="AutoShape 126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796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1267</xdr:row>
      <xdr:rowOff>0</xdr:rowOff>
    </xdr:from>
    <xdr:to>
      <xdr:col>5</xdr:col>
      <xdr:colOff>304800</xdr:colOff>
      <xdr:row>1268</xdr:row>
      <xdr:rowOff>114300</xdr:rowOff>
    </xdr:to>
    <xdr:sp macro="" textlink="">
      <xdr:nvSpPr>
        <xdr:cNvPr id="4340" name="AutoShape 126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796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1269</xdr:row>
      <xdr:rowOff>0</xdr:rowOff>
    </xdr:from>
    <xdr:to>
      <xdr:col>4</xdr:col>
      <xdr:colOff>304800</xdr:colOff>
      <xdr:row>1270</xdr:row>
      <xdr:rowOff>114300</xdr:rowOff>
    </xdr:to>
    <xdr:sp macro="" textlink="">
      <xdr:nvSpPr>
        <xdr:cNvPr id="4341" name="AutoShape 126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854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1269</xdr:row>
      <xdr:rowOff>0</xdr:rowOff>
    </xdr:from>
    <xdr:to>
      <xdr:col>5</xdr:col>
      <xdr:colOff>304800</xdr:colOff>
      <xdr:row>1270</xdr:row>
      <xdr:rowOff>114300</xdr:rowOff>
    </xdr:to>
    <xdr:sp macro="" textlink="">
      <xdr:nvSpPr>
        <xdr:cNvPr id="4342" name="AutoShape 127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854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1271</xdr:row>
      <xdr:rowOff>0</xdr:rowOff>
    </xdr:from>
    <xdr:to>
      <xdr:col>4</xdr:col>
      <xdr:colOff>304800</xdr:colOff>
      <xdr:row>1272</xdr:row>
      <xdr:rowOff>114300</xdr:rowOff>
    </xdr:to>
    <xdr:sp macro="" textlink="">
      <xdr:nvSpPr>
        <xdr:cNvPr id="4343" name="AutoShape 127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912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1271</xdr:row>
      <xdr:rowOff>0</xdr:rowOff>
    </xdr:from>
    <xdr:to>
      <xdr:col>5</xdr:col>
      <xdr:colOff>304800</xdr:colOff>
      <xdr:row>1272</xdr:row>
      <xdr:rowOff>114300</xdr:rowOff>
    </xdr:to>
    <xdr:sp macro="" textlink="">
      <xdr:nvSpPr>
        <xdr:cNvPr id="4344" name="AutoShape 12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912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1273</xdr:row>
      <xdr:rowOff>0</xdr:rowOff>
    </xdr:from>
    <xdr:to>
      <xdr:col>4</xdr:col>
      <xdr:colOff>304800</xdr:colOff>
      <xdr:row>1274</xdr:row>
      <xdr:rowOff>114300</xdr:rowOff>
    </xdr:to>
    <xdr:sp macro="" textlink="">
      <xdr:nvSpPr>
        <xdr:cNvPr id="4345" name="AutoShape 127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97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1273</xdr:row>
      <xdr:rowOff>0</xdr:rowOff>
    </xdr:from>
    <xdr:to>
      <xdr:col>5</xdr:col>
      <xdr:colOff>304800</xdr:colOff>
      <xdr:row>1274</xdr:row>
      <xdr:rowOff>114300</xdr:rowOff>
    </xdr:to>
    <xdr:sp macro="" textlink="">
      <xdr:nvSpPr>
        <xdr:cNvPr id="4346" name="AutoShape 127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97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1275</xdr:row>
      <xdr:rowOff>0</xdr:rowOff>
    </xdr:from>
    <xdr:to>
      <xdr:col>4</xdr:col>
      <xdr:colOff>304800</xdr:colOff>
      <xdr:row>1276</xdr:row>
      <xdr:rowOff>114300</xdr:rowOff>
    </xdr:to>
    <xdr:sp macro="" textlink="">
      <xdr:nvSpPr>
        <xdr:cNvPr id="4347" name="AutoShape 12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028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1275</xdr:row>
      <xdr:rowOff>0</xdr:rowOff>
    </xdr:from>
    <xdr:to>
      <xdr:col>5</xdr:col>
      <xdr:colOff>304800</xdr:colOff>
      <xdr:row>1276</xdr:row>
      <xdr:rowOff>114300</xdr:rowOff>
    </xdr:to>
    <xdr:sp macro="" textlink="">
      <xdr:nvSpPr>
        <xdr:cNvPr id="4348" name="AutoShape 127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028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1277</xdr:row>
      <xdr:rowOff>0</xdr:rowOff>
    </xdr:from>
    <xdr:to>
      <xdr:col>4</xdr:col>
      <xdr:colOff>304800</xdr:colOff>
      <xdr:row>1278</xdr:row>
      <xdr:rowOff>76200</xdr:rowOff>
    </xdr:to>
    <xdr:sp macro="" textlink="">
      <xdr:nvSpPr>
        <xdr:cNvPr id="4349" name="AutoShape 127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08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1277</xdr:row>
      <xdr:rowOff>0</xdr:rowOff>
    </xdr:from>
    <xdr:to>
      <xdr:col>5</xdr:col>
      <xdr:colOff>304800</xdr:colOff>
      <xdr:row>1278</xdr:row>
      <xdr:rowOff>76200</xdr:rowOff>
    </xdr:to>
    <xdr:sp macro="" textlink="">
      <xdr:nvSpPr>
        <xdr:cNvPr id="4350" name="AutoShape 127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08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1279</xdr:row>
      <xdr:rowOff>0</xdr:rowOff>
    </xdr:from>
    <xdr:to>
      <xdr:col>4</xdr:col>
      <xdr:colOff>304800</xdr:colOff>
      <xdr:row>1280</xdr:row>
      <xdr:rowOff>114300</xdr:rowOff>
    </xdr:to>
    <xdr:sp macro="" textlink="">
      <xdr:nvSpPr>
        <xdr:cNvPr id="4351" name="AutoShape 127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129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1279</xdr:row>
      <xdr:rowOff>0</xdr:rowOff>
    </xdr:from>
    <xdr:to>
      <xdr:col>5</xdr:col>
      <xdr:colOff>304800</xdr:colOff>
      <xdr:row>1280</xdr:row>
      <xdr:rowOff>114300</xdr:rowOff>
    </xdr:to>
    <xdr:sp macro="" textlink="">
      <xdr:nvSpPr>
        <xdr:cNvPr id="4352" name="AutoShape 128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129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1281</xdr:row>
      <xdr:rowOff>0</xdr:rowOff>
    </xdr:from>
    <xdr:to>
      <xdr:col>4</xdr:col>
      <xdr:colOff>304800</xdr:colOff>
      <xdr:row>1282</xdr:row>
      <xdr:rowOff>114300</xdr:rowOff>
    </xdr:to>
    <xdr:sp macro="" textlink="">
      <xdr:nvSpPr>
        <xdr:cNvPr id="4353" name="AutoShape 128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16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1281</xdr:row>
      <xdr:rowOff>0</xdr:rowOff>
    </xdr:from>
    <xdr:to>
      <xdr:col>5</xdr:col>
      <xdr:colOff>304800</xdr:colOff>
      <xdr:row>1282</xdr:row>
      <xdr:rowOff>114300</xdr:rowOff>
    </xdr:to>
    <xdr:sp macro="" textlink="">
      <xdr:nvSpPr>
        <xdr:cNvPr id="4354" name="AutoShape 128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16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1283</xdr:row>
      <xdr:rowOff>0</xdr:rowOff>
    </xdr:from>
    <xdr:to>
      <xdr:col>4</xdr:col>
      <xdr:colOff>304800</xdr:colOff>
      <xdr:row>1284</xdr:row>
      <xdr:rowOff>114300</xdr:rowOff>
    </xdr:to>
    <xdr:sp macro="" textlink="">
      <xdr:nvSpPr>
        <xdr:cNvPr id="4355" name="AutoShape 12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226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1283</xdr:row>
      <xdr:rowOff>0</xdr:rowOff>
    </xdr:from>
    <xdr:to>
      <xdr:col>5</xdr:col>
      <xdr:colOff>304800</xdr:colOff>
      <xdr:row>1284</xdr:row>
      <xdr:rowOff>114300</xdr:rowOff>
    </xdr:to>
    <xdr:sp macro="" textlink="">
      <xdr:nvSpPr>
        <xdr:cNvPr id="4356" name="AutoShape 128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226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1285</xdr:row>
      <xdr:rowOff>0</xdr:rowOff>
    </xdr:from>
    <xdr:to>
      <xdr:col>4</xdr:col>
      <xdr:colOff>304800</xdr:colOff>
      <xdr:row>1286</xdr:row>
      <xdr:rowOff>76200</xdr:rowOff>
    </xdr:to>
    <xdr:sp macro="" textlink="">
      <xdr:nvSpPr>
        <xdr:cNvPr id="4357" name="AutoShape 128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284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1285</xdr:row>
      <xdr:rowOff>0</xdr:rowOff>
    </xdr:from>
    <xdr:to>
      <xdr:col>5</xdr:col>
      <xdr:colOff>304800</xdr:colOff>
      <xdr:row>1286</xdr:row>
      <xdr:rowOff>76200</xdr:rowOff>
    </xdr:to>
    <xdr:sp macro="" textlink="">
      <xdr:nvSpPr>
        <xdr:cNvPr id="4358" name="AutoShape 128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284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1287</xdr:row>
      <xdr:rowOff>0</xdr:rowOff>
    </xdr:from>
    <xdr:to>
      <xdr:col>4</xdr:col>
      <xdr:colOff>304800</xdr:colOff>
      <xdr:row>1288</xdr:row>
      <xdr:rowOff>114300</xdr:rowOff>
    </xdr:to>
    <xdr:sp macro="" textlink="">
      <xdr:nvSpPr>
        <xdr:cNvPr id="4359" name="AutoShape 12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32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1287</xdr:row>
      <xdr:rowOff>0</xdr:rowOff>
    </xdr:from>
    <xdr:to>
      <xdr:col>5</xdr:col>
      <xdr:colOff>304800</xdr:colOff>
      <xdr:row>1288</xdr:row>
      <xdr:rowOff>114300</xdr:rowOff>
    </xdr:to>
    <xdr:sp macro="" textlink="">
      <xdr:nvSpPr>
        <xdr:cNvPr id="4360" name="AutoShape 128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32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1289</xdr:row>
      <xdr:rowOff>0</xdr:rowOff>
    </xdr:from>
    <xdr:to>
      <xdr:col>4</xdr:col>
      <xdr:colOff>304800</xdr:colOff>
      <xdr:row>1290</xdr:row>
      <xdr:rowOff>114300</xdr:rowOff>
    </xdr:to>
    <xdr:sp macro="" textlink="">
      <xdr:nvSpPr>
        <xdr:cNvPr id="4361" name="AutoShape 128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38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1289</xdr:row>
      <xdr:rowOff>0</xdr:rowOff>
    </xdr:from>
    <xdr:to>
      <xdr:col>5</xdr:col>
      <xdr:colOff>304800</xdr:colOff>
      <xdr:row>1290</xdr:row>
      <xdr:rowOff>114300</xdr:rowOff>
    </xdr:to>
    <xdr:sp macro="" textlink="">
      <xdr:nvSpPr>
        <xdr:cNvPr id="4362" name="AutoShape 129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38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1291</xdr:row>
      <xdr:rowOff>0</xdr:rowOff>
    </xdr:from>
    <xdr:to>
      <xdr:col>4</xdr:col>
      <xdr:colOff>304800</xdr:colOff>
      <xdr:row>1292</xdr:row>
      <xdr:rowOff>114300</xdr:rowOff>
    </xdr:to>
    <xdr:sp macro="" textlink="">
      <xdr:nvSpPr>
        <xdr:cNvPr id="4363" name="AutoShape 129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443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1291</xdr:row>
      <xdr:rowOff>0</xdr:rowOff>
    </xdr:from>
    <xdr:to>
      <xdr:col>5</xdr:col>
      <xdr:colOff>304800</xdr:colOff>
      <xdr:row>1292</xdr:row>
      <xdr:rowOff>114300</xdr:rowOff>
    </xdr:to>
    <xdr:sp macro="" textlink="">
      <xdr:nvSpPr>
        <xdr:cNvPr id="4364" name="AutoShape 129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443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1293</xdr:row>
      <xdr:rowOff>0</xdr:rowOff>
    </xdr:from>
    <xdr:to>
      <xdr:col>4</xdr:col>
      <xdr:colOff>304800</xdr:colOff>
      <xdr:row>1294</xdr:row>
      <xdr:rowOff>114300</xdr:rowOff>
    </xdr:to>
    <xdr:sp macro="" textlink="">
      <xdr:nvSpPr>
        <xdr:cNvPr id="4365" name="AutoShape 129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501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1293</xdr:row>
      <xdr:rowOff>0</xdr:rowOff>
    </xdr:from>
    <xdr:to>
      <xdr:col>5</xdr:col>
      <xdr:colOff>304800</xdr:colOff>
      <xdr:row>1294</xdr:row>
      <xdr:rowOff>114300</xdr:rowOff>
    </xdr:to>
    <xdr:sp macro="" textlink="">
      <xdr:nvSpPr>
        <xdr:cNvPr id="4366" name="AutoShape 129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501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1295</xdr:row>
      <xdr:rowOff>0</xdr:rowOff>
    </xdr:from>
    <xdr:to>
      <xdr:col>4</xdr:col>
      <xdr:colOff>304800</xdr:colOff>
      <xdr:row>1296</xdr:row>
      <xdr:rowOff>76200</xdr:rowOff>
    </xdr:to>
    <xdr:sp macro="" textlink="">
      <xdr:nvSpPr>
        <xdr:cNvPr id="4367" name="AutoShape 129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56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1295</xdr:row>
      <xdr:rowOff>0</xdr:rowOff>
    </xdr:from>
    <xdr:to>
      <xdr:col>5</xdr:col>
      <xdr:colOff>304800</xdr:colOff>
      <xdr:row>1296</xdr:row>
      <xdr:rowOff>76200</xdr:rowOff>
    </xdr:to>
    <xdr:sp macro="" textlink="">
      <xdr:nvSpPr>
        <xdr:cNvPr id="4368" name="AutoShape 129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56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1297</xdr:row>
      <xdr:rowOff>0</xdr:rowOff>
    </xdr:from>
    <xdr:to>
      <xdr:col>4</xdr:col>
      <xdr:colOff>304800</xdr:colOff>
      <xdr:row>1298</xdr:row>
      <xdr:rowOff>114300</xdr:rowOff>
    </xdr:to>
    <xdr:sp macro="" textlink="">
      <xdr:nvSpPr>
        <xdr:cNvPr id="4369" name="AutoShape 129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602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1297</xdr:row>
      <xdr:rowOff>0</xdr:rowOff>
    </xdr:from>
    <xdr:to>
      <xdr:col>5</xdr:col>
      <xdr:colOff>304800</xdr:colOff>
      <xdr:row>1298</xdr:row>
      <xdr:rowOff>114300</xdr:rowOff>
    </xdr:to>
    <xdr:sp macro="" textlink="">
      <xdr:nvSpPr>
        <xdr:cNvPr id="4370" name="AutoShape 129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602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1299</xdr:row>
      <xdr:rowOff>0</xdr:rowOff>
    </xdr:from>
    <xdr:to>
      <xdr:col>4</xdr:col>
      <xdr:colOff>304800</xdr:colOff>
      <xdr:row>1300</xdr:row>
      <xdr:rowOff>114300</xdr:rowOff>
    </xdr:to>
    <xdr:sp macro="" textlink="">
      <xdr:nvSpPr>
        <xdr:cNvPr id="4371" name="AutoShape 129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660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1299</xdr:row>
      <xdr:rowOff>0</xdr:rowOff>
    </xdr:from>
    <xdr:to>
      <xdr:col>5</xdr:col>
      <xdr:colOff>304800</xdr:colOff>
      <xdr:row>1300</xdr:row>
      <xdr:rowOff>114300</xdr:rowOff>
    </xdr:to>
    <xdr:sp macro="" textlink="">
      <xdr:nvSpPr>
        <xdr:cNvPr id="4372" name="AutoShape 130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660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1301</xdr:row>
      <xdr:rowOff>0</xdr:rowOff>
    </xdr:from>
    <xdr:to>
      <xdr:col>4</xdr:col>
      <xdr:colOff>304800</xdr:colOff>
      <xdr:row>1302</xdr:row>
      <xdr:rowOff>76200</xdr:rowOff>
    </xdr:to>
    <xdr:sp macro="" textlink="">
      <xdr:nvSpPr>
        <xdr:cNvPr id="4373" name="AutoShape 130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71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1301</xdr:row>
      <xdr:rowOff>0</xdr:rowOff>
    </xdr:from>
    <xdr:to>
      <xdr:col>5</xdr:col>
      <xdr:colOff>304800</xdr:colOff>
      <xdr:row>1302</xdr:row>
      <xdr:rowOff>76200</xdr:rowOff>
    </xdr:to>
    <xdr:sp macro="" textlink="">
      <xdr:nvSpPr>
        <xdr:cNvPr id="4374" name="AutoShape 130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71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1303</xdr:row>
      <xdr:rowOff>0</xdr:rowOff>
    </xdr:from>
    <xdr:to>
      <xdr:col>4</xdr:col>
      <xdr:colOff>304800</xdr:colOff>
      <xdr:row>1304</xdr:row>
      <xdr:rowOff>76200</xdr:rowOff>
    </xdr:to>
    <xdr:sp macro="" textlink="">
      <xdr:nvSpPr>
        <xdr:cNvPr id="4375" name="AutoShape 130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76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1303</xdr:row>
      <xdr:rowOff>0</xdr:rowOff>
    </xdr:from>
    <xdr:to>
      <xdr:col>5</xdr:col>
      <xdr:colOff>304800</xdr:colOff>
      <xdr:row>1304</xdr:row>
      <xdr:rowOff>76200</xdr:rowOff>
    </xdr:to>
    <xdr:sp macro="" textlink="">
      <xdr:nvSpPr>
        <xdr:cNvPr id="4376" name="AutoShape 130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76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1305</xdr:row>
      <xdr:rowOff>0</xdr:rowOff>
    </xdr:from>
    <xdr:to>
      <xdr:col>4</xdr:col>
      <xdr:colOff>304800</xdr:colOff>
      <xdr:row>1306</xdr:row>
      <xdr:rowOff>76200</xdr:rowOff>
    </xdr:to>
    <xdr:sp macro="" textlink="">
      <xdr:nvSpPr>
        <xdr:cNvPr id="4377" name="AutoShape 13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04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1305</xdr:row>
      <xdr:rowOff>0</xdr:rowOff>
    </xdr:from>
    <xdr:to>
      <xdr:col>5</xdr:col>
      <xdr:colOff>304800</xdr:colOff>
      <xdr:row>1306</xdr:row>
      <xdr:rowOff>76200</xdr:rowOff>
    </xdr:to>
    <xdr:sp macro="" textlink="">
      <xdr:nvSpPr>
        <xdr:cNvPr id="4378" name="AutoShape 130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04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1307</xdr:row>
      <xdr:rowOff>0</xdr:rowOff>
    </xdr:from>
    <xdr:to>
      <xdr:col>4</xdr:col>
      <xdr:colOff>304800</xdr:colOff>
      <xdr:row>1308</xdr:row>
      <xdr:rowOff>76200</xdr:rowOff>
    </xdr:to>
    <xdr:sp macro="" textlink="">
      <xdr:nvSpPr>
        <xdr:cNvPr id="4379" name="AutoShape 130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4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1307</xdr:row>
      <xdr:rowOff>0</xdr:rowOff>
    </xdr:from>
    <xdr:to>
      <xdr:col>5</xdr:col>
      <xdr:colOff>304800</xdr:colOff>
      <xdr:row>1308</xdr:row>
      <xdr:rowOff>76200</xdr:rowOff>
    </xdr:to>
    <xdr:sp macro="" textlink="">
      <xdr:nvSpPr>
        <xdr:cNvPr id="4380" name="AutoShape 130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4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1309</xdr:row>
      <xdr:rowOff>0</xdr:rowOff>
    </xdr:from>
    <xdr:to>
      <xdr:col>4</xdr:col>
      <xdr:colOff>304800</xdr:colOff>
      <xdr:row>1310</xdr:row>
      <xdr:rowOff>114300</xdr:rowOff>
    </xdr:to>
    <xdr:sp macro="" textlink="">
      <xdr:nvSpPr>
        <xdr:cNvPr id="4381" name="AutoShape 130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9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1309</xdr:row>
      <xdr:rowOff>0</xdr:rowOff>
    </xdr:from>
    <xdr:to>
      <xdr:col>5</xdr:col>
      <xdr:colOff>304800</xdr:colOff>
      <xdr:row>1310</xdr:row>
      <xdr:rowOff>114300</xdr:rowOff>
    </xdr:to>
    <xdr:sp macro="" textlink="">
      <xdr:nvSpPr>
        <xdr:cNvPr id="4382" name="AutoShape 131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9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1311</xdr:row>
      <xdr:rowOff>0</xdr:rowOff>
    </xdr:from>
    <xdr:to>
      <xdr:col>4</xdr:col>
      <xdr:colOff>304800</xdr:colOff>
      <xdr:row>1312</xdr:row>
      <xdr:rowOff>114300</xdr:rowOff>
    </xdr:to>
    <xdr:sp macro="" textlink="">
      <xdr:nvSpPr>
        <xdr:cNvPr id="4383" name="AutoShape 131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96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1311</xdr:row>
      <xdr:rowOff>0</xdr:rowOff>
    </xdr:from>
    <xdr:to>
      <xdr:col>5</xdr:col>
      <xdr:colOff>304800</xdr:colOff>
      <xdr:row>1312</xdr:row>
      <xdr:rowOff>114300</xdr:rowOff>
    </xdr:to>
    <xdr:sp macro="" textlink="">
      <xdr:nvSpPr>
        <xdr:cNvPr id="4384" name="AutoShape 131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96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1313</xdr:row>
      <xdr:rowOff>0</xdr:rowOff>
    </xdr:from>
    <xdr:to>
      <xdr:col>4</xdr:col>
      <xdr:colOff>304800</xdr:colOff>
      <xdr:row>1314</xdr:row>
      <xdr:rowOff>114300</xdr:rowOff>
    </xdr:to>
    <xdr:sp macro="" textlink="">
      <xdr:nvSpPr>
        <xdr:cNvPr id="4385" name="AutoShape 131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02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1313</xdr:row>
      <xdr:rowOff>0</xdr:rowOff>
    </xdr:from>
    <xdr:to>
      <xdr:col>5</xdr:col>
      <xdr:colOff>304800</xdr:colOff>
      <xdr:row>1314</xdr:row>
      <xdr:rowOff>114300</xdr:rowOff>
    </xdr:to>
    <xdr:sp macro="" textlink="">
      <xdr:nvSpPr>
        <xdr:cNvPr id="4386" name="AutoShape 131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02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1315</xdr:row>
      <xdr:rowOff>0</xdr:rowOff>
    </xdr:from>
    <xdr:to>
      <xdr:col>4</xdr:col>
      <xdr:colOff>304800</xdr:colOff>
      <xdr:row>1316</xdr:row>
      <xdr:rowOff>114300</xdr:rowOff>
    </xdr:to>
    <xdr:sp macro="" textlink="">
      <xdr:nvSpPr>
        <xdr:cNvPr id="4387" name="AutoShape 131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083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1315</xdr:row>
      <xdr:rowOff>0</xdr:rowOff>
    </xdr:from>
    <xdr:to>
      <xdr:col>5</xdr:col>
      <xdr:colOff>304800</xdr:colOff>
      <xdr:row>1316</xdr:row>
      <xdr:rowOff>114300</xdr:rowOff>
    </xdr:to>
    <xdr:sp macro="" textlink="">
      <xdr:nvSpPr>
        <xdr:cNvPr id="4388" name="AutoShape 131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083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1317</xdr:row>
      <xdr:rowOff>0</xdr:rowOff>
    </xdr:from>
    <xdr:to>
      <xdr:col>4</xdr:col>
      <xdr:colOff>304800</xdr:colOff>
      <xdr:row>1318</xdr:row>
      <xdr:rowOff>76200</xdr:rowOff>
    </xdr:to>
    <xdr:sp macro="" textlink="">
      <xdr:nvSpPr>
        <xdr:cNvPr id="4389" name="AutoShape 131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14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1317</xdr:row>
      <xdr:rowOff>0</xdr:rowOff>
    </xdr:from>
    <xdr:to>
      <xdr:col>5</xdr:col>
      <xdr:colOff>304800</xdr:colOff>
      <xdr:row>1318</xdr:row>
      <xdr:rowOff>76200</xdr:rowOff>
    </xdr:to>
    <xdr:sp macro="" textlink="">
      <xdr:nvSpPr>
        <xdr:cNvPr id="4390" name="AutoShape 131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14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1319</xdr:row>
      <xdr:rowOff>0</xdr:rowOff>
    </xdr:from>
    <xdr:to>
      <xdr:col>4</xdr:col>
      <xdr:colOff>304800</xdr:colOff>
      <xdr:row>1320</xdr:row>
      <xdr:rowOff>114300</xdr:rowOff>
    </xdr:to>
    <xdr:sp macro="" textlink="">
      <xdr:nvSpPr>
        <xdr:cNvPr id="4391" name="AutoShape 131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18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1319</xdr:row>
      <xdr:rowOff>0</xdr:rowOff>
    </xdr:from>
    <xdr:to>
      <xdr:col>5</xdr:col>
      <xdr:colOff>304800</xdr:colOff>
      <xdr:row>1320</xdr:row>
      <xdr:rowOff>114300</xdr:rowOff>
    </xdr:to>
    <xdr:sp macro="" textlink="">
      <xdr:nvSpPr>
        <xdr:cNvPr id="4392" name="AutoShape 13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18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1321</xdr:row>
      <xdr:rowOff>0</xdr:rowOff>
    </xdr:from>
    <xdr:to>
      <xdr:col>4</xdr:col>
      <xdr:colOff>304800</xdr:colOff>
      <xdr:row>1322</xdr:row>
      <xdr:rowOff>76200</xdr:rowOff>
    </xdr:to>
    <xdr:sp macro="" textlink="">
      <xdr:nvSpPr>
        <xdr:cNvPr id="4393" name="AutoShape 132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24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1321</xdr:row>
      <xdr:rowOff>0</xdr:rowOff>
    </xdr:from>
    <xdr:to>
      <xdr:col>5</xdr:col>
      <xdr:colOff>304800</xdr:colOff>
      <xdr:row>1322</xdr:row>
      <xdr:rowOff>76200</xdr:rowOff>
    </xdr:to>
    <xdr:sp macro="" textlink="">
      <xdr:nvSpPr>
        <xdr:cNvPr id="4394" name="AutoShape 132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24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1323</xdr:row>
      <xdr:rowOff>0</xdr:rowOff>
    </xdr:from>
    <xdr:to>
      <xdr:col>4</xdr:col>
      <xdr:colOff>304800</xdr:colOff>
      <xdr:row>1324</xdr:row>
      <xdr:rowOff>114300</xdr:rowOff>
    </xdr:to>
    <xdr:sp macro="" textlink="">
      <xdr:nvSpPr>
        <xdr:cNvPr id="4395" name="AutoShape 132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28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1323</xdr:row>
      <xdr:rowOff>0</xdr:rowOff>
    </xdr:from>
    <xdr:to>
      <xdr:col>5</xdr:col>
      <xdr:colOff>304800</xdr:colOff>
      <xdr:row>1324</xdr:row>
      <xdr:rowOff>114300</xdr:rowOff>
    </xdr:to>
    <xdr:sp macro="" textlink="">
      <xdr:nvSpPr>
        <xdr:cNvPr id="4396" name="AutoShape 132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28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1325</xdr:row>
      <xdr:rowOff>0</xdr:rowOff>
    </xdr:from>
    <xdr:to>
      <xdr:col>4</xdr:col>
      <xdr:colOff>304800</xdr:colOff>
      <xdr:row>1326</xdr:row>
      <xdr:rowOff>114300</xdr:rowOff>
    </xdr:to>
    <xdr:sp macro="" textlink="">
      <xdr:nvSpPr>
        <xdr:cNvPr id="4397" name="AutoShape 132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34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1325</xdr:row>
      <xdr:rowOff>0</xdr:rowOff>
    </xdr:from>
    <xdr:to>
      <xdr:col>5</xdr:col>
      <xdr:colOff>304800</xdr:colOff>
      <xdr:row>1326</xdr:row>
      <xdr:rowOff>114300</xdr:rowOff>
    </xdr:to>
    <xdr:sp macro="" textlink="">
      <xdr:nvSpPr>
        <xdr:cNvPr id="4398" name="AutoShape 13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34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1327</xdr:row>
      <xdr:rowOff>0</xdr:rowOff>
    </xdr:from>
    <xdr:to>
      <xdr:col>4</xdr:col>
      <xdr:colOff>304800</xdr:colOff>
      <xdr:row>1328</xdr:row>
      <xdr:rowOff>76200</xdr:rowOff>
    </xdr:to>
    <xdr:sp macro="" textlink="">
      <xdr:nvSpPr>
        <xdr:cNvPr id="4399" name="AutoShape 132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0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1327</xdr:row>
      <xdr:rowOff>0</xdr:rowOff>
    </xdr:from>
    <xdr:to>
      <xdr:col>5</xdr:col>
      <xdr:colOff>304800</xdr:colOff>
      <xdr:row>1328</xdr:row>
      <xdr:rowOff>76200</xdr:rowOff>
    </xdr:to>
    <xdr:sp macro="" textlink="">
      <xdr:nvSpPr>
        <xdr:cNvPr id="4400" name="AutoShape 13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0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1329</xdr:row>
      <xdr:rowOff>0</xdr:rowOff>
    </xdr:from>
    <xdr:to>
      <xdr:col>4</xdr:col>
      <xdr:colOff>304800</xdr:colOff>
      <xdr:row>1330</xdr:row>
      <xdr:rowOff>76200</xdr:rowOff>
    </xdr:to>
    <xdr:sp macro="" textlink="">
      <xdr:nvSpPr>
        <xdr:cNvPr id="4401" name="AutoShape 13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4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1329</xdr:row>
      <xdr:rowOff>0</xdr:rowOff>
    </xdr:from>
    <xdr:to>
      <xdr:col>5</xdr:col>
      <xdr:colOff>304800</xdr:colOff>
      <xdr:row>1330</xdr:row>
      <xdr:rowOff>76200</xdr:rowOff>
    </xdr:to>
    <xdr:sp macro="" textlink="">
      <xdr:nvSpPr>
        <xdr:cNvPr id="4402" name="AutoShape 133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4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1331</xdr:row>
      <xdr:rowOff>0</xdr:rowOff>
    </xdr:from>
    <xdr:to>
      <xdr:col>4</xdr:col>
      <xdr:colOff>304800</xdr:colOff>
      <xdr:row>1332</xdr:row>
      <xdr:rowOff>114300</xdr:rowOff>
    </xdr:to>
    <xdr:sp macro="" textlink="">
      <xdr:nvSpPr>
        <xdr:cNvPr id="4403" name="AutoShape 133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87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1331</xdr:row>
      <xdr:rowOff>0</xdr:rowOff>
    </xdr:from>
    <xdr:to>
      <xdr:col>5</xdr:col>
      <xdr:colOff>304800</xdr:colOff>
      <xdr:row>1332</xdr:row>
      <xdr:rowOff>114300</xdr:rowOff>
    </xdr:to>
    <xdr:sp macro="" textlink="">
      <xdr:nvSpPr>
        <xdr:cNvPr id="4404" name="AutoShape 133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87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1333</xdr:row>
      <xdr:rowOff>0</xdr:rowOff>
    </xdr:from>
    <xdr:to>
      <xdr:col>4</xdr:col>
      <xdr:colOff>304800</xdr:colOff>
      <xdr:row>1334</xdr:row>
      <xdr:rowOff>114300</xdr:rowOff>
    </xdr:to>
    <xdr:sp macro="" textlink="">
      <xdr:nvSpPr>
        <xdr:cNvPr id="4405" name="AutoShape 133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545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1333</xdr:row>
      <xdr:rowOff>0</xdr:rowOff>
    </xdr:from>
    <xdr:to>
      <xdr:col>5</xdr:col>
      <xdr:colOff>304800</xdr:colOff>
      <xdr:row>1334</xdr:row>
      <xdr:rowOff>114300</xdr:rowOff>
    </xdr:to>
    <xdr:sp macro="" textlink="">
      <xdr:nvSpPr>
        <xdr:cNvPr id="4406" name="AutoShape 133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545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1335</xdr:row>
      <xdr:rowOff>0</xdr:rowOff>
    </xdr:from>
    <xdr:to>
      <xdr:col>4</xdr:col>
      <xdr:colOff>304800</xdr:colOff>
      <xdr:row>1336</xdr:row>
      <xdr:rowOff>76200</xdr:rowOff>
    </xdr:to>
    <xdr:sp macro="" textlink="">
      <xdr:nvSpPr>
        <xdr:cNvPr id="4407" name="AutoShape 133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60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1335</xdr:row>
      <xdr:rowOff>0</xdr:rowOff>
    </xdr:from>
    <xdr:to>
      <xdr:col>5</xdr:col>
      <xdr:colOff>304800</xdr:colOff>
      <xdr:row>1336</xdr:row>
      <xdr:rowOff>76200</xdr:rowOff>
    </xdr:to>
    <xdr:sp macro="" textlink="">
      <xdr:nvSpPr>
        <xdr:cNvPr id="4408" name="AutoShape 133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60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1337</xdr:row>
      <xdr:rowOff>0</xdr:rowOff>
    </xdr:from>
    <xdr:to>
      <xdr:col>4</xdr:col>
      <xdr:colOff>304800</xdr:colOff>
      <xdr:row>1338</xdr:row>
      <xdr:rowOff>114300</xdr:rowOff>
    </xdr:to>
    <xdr:sp macro="" textlink="">
      <xdr:nvSpPr>
        <xdr:cNvPr id="4409" name="AutoShape 133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646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1337</xdr:row>
      <xdr:rowOff>0</xdr:rowOff>
    </xdr:from>
    <xdr:to>
      <xdr:col>5</xdr:col>
      <xdr:colOff>304800</xdr:colOff>
      <xdr:row>1338</xdr:row>
      <xdr:rowOff>114300</xdr:rowOff>
    </xdr:to>
    <xdr:sp macro="" textlink="">
      <xdr:nvSpPr>
        <xdr:cNvPr id="4410" name="AutoShape 133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646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1339</xdr:row>
      <xdr:rowOff>0</xdr:rowOff>
    </xdr:from>
    <xdr:to>
      <xdr:col>4</xdr:col>
      <xdr:colOff>304800</xdr:colOff>
      <xdr:row>1340</xdr:row>
      <xdr:rowOff>114300</xdr:rowOff>
    </xdr:to>
    <xdr:sp macro="" textlink="">
      <xdr:nvSpPr>
        <xdr:cNvPr id="4411" name="AutoShape 133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704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1339</xdr:row>
      <xdr:rowOff>0</xdr:rowOff>
    </xdr:from>
    <xdr:to>
      <xdr:col>5</xdr:col>
      <xdr:colOff>304800</xdr:colOff>
      <xdr:row>1340</xdr:row>
      <xdr:rowOff>114300</xdr:rowOff>
    </xdr:to>
    <xdr:sp macro="" textlink="">
      <xdr:nvSpPr>
        <xdr:cNvPr id="4412" name="AutoShape 134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704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1341</xdr:row>
      <xdr:rowOff>0</xdr:rowOff>
    </xdr:from>
    <xdr:to>
      <xdr:col>4</xdr:col>
      <xdr:colOff>304800</xdr:colOff>
      <xdr:row>1342</xdr:row>
      <xdr:rowOff>114300</xdr:rowOff>
    </xdr:to>
    <xdr:sp macro="" textlink="">
      <xdr:nvSpPr>
        <xdr:cNvPr id="4413" name="AutoShape 134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76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1341</xdr:row>
      <xdr:rowOff>0</xdr:rowOff>
    </xdr:from>
    <xdr:to>
      <xdr:col>5</xdr:col>
      <xdr:colOff>304800</xdr:colOff>
      <xdr:row>1342</xdr:row>
      <xdr:rowOff>114300</xdr:rowOff>
    </xdr:to>
    <xdr:sp macro="" textlink="">
      <xdr:nvSpPr>
        <xdr:cNvPr id="4414" name="AutoShape 134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76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1343</xdr:row>
      <xdr:rowOff>0</xdr:rowOff>
    </xdr:from>
    <xdr:to>
      <xdr:col>4</xdr:col>
      <xdr:colOff>304800</xdr:colOff>
      <xdr:row>1344</xdr:row>
      <xdr:rowOff>76200</xdr:rowOff>
    </xdr:to>
    <xdr:sp macro="" textlink="">
      <xdr:nvSpPr>
        <xdr:cNvPr id="4415" name="AutoShape 13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82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1343</xdr:row>
      <xdr:rowOff>0</xdr:rowOff>
    </xdr:from>
    <xdr:to>
      <xdr:col>5</xdr:col>
      <xdr:colOff>304800</xdr:colOff>
      <xdr:row>1344</xdr:row>
      <xdr:rowOff>76200</xdr:rowOff>
    </xdr:to>
    <xdr:sp macro="" textlink="">
      <xdr:nvSpPr>
        <xdr:cNvPr id="4416" name="AutoShape 134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82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1345</xdr:row>
      <xdr:rowOff>0</xdr:rowOff>
    </xdr:from>
    <xdr:to>
      <xdr:col>4</xdr:col>
      <xdr:colOff>304800</xdr:colOff>
      <xdr:row>1346</xdr:row>
      <xdr:rowOff>114300</xdr:rowOff>
    </xdr:to>
    <xdr:sp macro="" textlink="">
      <xdr:nvSpPr>
        <xdr:cNvPr id="4417" name="AutoShape 134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863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1345</xdr:row>
      <xdr:rowOff>0</xdr:rowOff>
    </xdr:from>
    <xdr:to>
      <xdr:col>5</xdr:col>
      <xdr:colOff>304800</xdr:colOff>
      <xdr:row>1346</xdr:row>
      <xdr:rowOff>114300</xdr:rowOff>
    </xdr:to>
    <xdr:sp macro="" textlink="">
      <xdr:nvSpPr>
        <xdr:cNvPr id="4418" name="AutoShape 134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863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1347</xdr:row>
      <xdr:rowOff>0</xdr:rowOff>
    </xdr:from>
    <xdr:to>
      <xdr:col>4</xdr:col>
      <xdr:colOff>304800</xdr:colOff>
      <xdr:row>1348</xdr:row>
      <xdr:rowOff>114300</xdr:rowOff>
    </xdr:to>
    <xdr:sp macro="" textlink="">
      <xdr:nvSpPr>
        <xdr:cNvPr id="4419" name="AutoShape 134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922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1347</xdr:row>
      <xdr:rowOff>0</xdr:rowOff>
    </xdr:from>
    <xdr:to>
      <xdr:col>5</xdr:col>
      <xdr:colOff>304800</xdr:colOff>
      <xdr:row>1348</xdr:row>
      <xdr:rowOff>114300</xdr:rowOff>
    </xdr:to>
    <xdr:sp macro="" textlink="">
      <xdr:nvSpPr>
        <xdr:cNvPr id="4420" name="AutoShape 134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922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1349</xdr:row>
      <xdr:rowOff>0</xdr:rowOff>
    </xdr:from>
    <xdr:to>
      <xdr:col>4</xdr:col>
      <xdr:colOff>304800</xdr:colOff>
      <xdr:row>1350</xdr:row>
      <xdr:rowOff>114300</xdr:rowOff>
    </xdr:to>
    <xdr:sp macro="" textlink="">
      <xdr:nvSpPr>
        <xdr:cNvPr id="4421" name="AutoShape 134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961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1349</xdr:row>
      <xdr:rowOff>0</xdr:rowOff>
    </xdr:from>
    <xdr:to>
      <xdr:col>5</xdr:col>
      <xdr:colOff>304800</xdr:colOff>
      <xdr:row>1350</xdr:row>
      <xdr:rowOff>114300</xdr:rowOff>
    </xdr:to>
    <xdr:sp macro="" textlink="">
      <xdr:nvSpPr>
        <xdr:cNvPr id="4422" name="AutoShape 135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961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1351</xdr:row>
      <xdr:rowOff>0</xdr:rowOff>
    </xdr:from>
    <xdr:to>
      <xdr:col>4</xdr:col>
      <xdr:colOff>304800</xdr:colOff>
      <xdr:row>1352</xdr:row>
      <xdr:rowOff>76200</xdr:rowOff>
    </xdr:to>
    <xdr:sp macro="" textlink="">
      <xdr:nvSpPr>
        <xdr:cNvPr id="4423" name="AutoShape 135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019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1351</xdr:row>
      <xdr:rowOff>0</xdr:rowOff>
    </xdr:from>
    <xdr:to>
      <xdr:col>5</xdr:col>
      <xdr:colOff>304800</xdr:colOff>
      <xdr:row>1352</xdr:row>
      <xdr:rowOff>76200</xdr:rowOff>
    </xdr:to>
    <xdr:sp macro="" textlink="">
      <xdr:nvSpPr>
        <xdr:cNvPr id="4424" name="AutoShape 135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019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1353</xdr:row>
      <xdr:rowOff>0</xdr:rowOff>
    </xdr:from>
    <xdr:to>
      <xdr:col>4</xdr:col>
      <xdr:colOff>304800</xdr:colOff>
      <xdr:row>1354</xdr:row>
      <xdr:rowOff>114300</xdr:rowOff>
    </xdr:to>
    <xdr:sp macro="" textlink="">
      <xdr:nvSpPr>
        <xdr:cNvPr id="4425" name="AutoShape 135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06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1353</xdr:row>
      <xdr:rowOff>0</xdr:rowOff>
    </xdr:from>
    <xdr:to>
      <xdr:col>5</xdr:col>
      <xdr:colOff>304800</xdr:colOff>
      <xdr:row>1354</xdr:row>
      <xdr:rowOff>114300</xdr:rowOff>
    </xdr:to>
    <xdr:sp macro="" textlink="">
      <xdr:nvSpPr>
        <xdr:cNvPr id="4426" name="AutoShape 135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06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1355</xdr:row>
      <xdr:rowOff>0</xdr:rowOff>
    </xdr:from>
    <xdr:to>
      <xdr:col>4</xdr:col>
      <xdr:colOff>304800</xdr:colOff>
      <xdr:row>1356</xdr:row>
      <xdr:rowOff>76200</xdr:rowOff>
    </xdr:to>
    <xdr:sp macro="" textlink="">
      <xdr:nvSpPr>
        <xdr:cNvPr id="4427" name="AutoShape 135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139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1355</xdr:row>
      <xdr:rowOff>0</xdr:rowOff>
    </xdr:from>
    <xdr:to>
      <xdr:col>5</xdr:col>
      <xdr:colOff>304800</xdr:colOff>
      <xdr:row>1356</xdr:row>
      <xdr:rowOff>76200</xdr:rowOff>
    </xdr:to>
    <xdr:sp macro="" textlink="">
      <xdr:nvSpPr>
        <xdr:cNvPr id="4428" name="AutoShape 135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139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1357</xdr:row>
      <xdr:rowOff>0</xdr:rowOff>
    </xdr:from>
    <xdr:to>
      <xdr:col>4</xdr:col>
      <xdr:colOff>304800</xdr:colOff>
      <xdr:row>1358</xdr:row>
      <xdr:rowOff>114300</xdr:rowOff>
    </xdr:to>
    <xdr:sp macro="" textlink="">
      <xdr:nvSpPr>
        <xdr:cNvPr id="4429" name="AutoShape 135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182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1357</xdr:row>
      <xdr:rowOff>0</xdr:rowOff>
    </xdr:from>
    <xdr:to>
      <xdr:col>5</xdr:col>
      <xdr:colOff>304800</xdr:colOff>
      <xdr:row>1358</xdr:row>
      <xdr:rowOff>114300</xdr:rowOff>
    </xdr:to>
    <xdr:sp macro="" textlink="">
      <xdr:nvSpPr>
        <xdr:cNvPr id="4430" name="AutoShape 135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182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1359</xdr:row>
      <xdr:rowOff>0</xdr:rowOff>
    </xdr:from>
    <xdr:to>
      <xdr:col>4</xdr:col>
      <xdr:colOff>304800</xdr:colOff>
      <xdr:row>1360</xdr:row>
      <xdr:rowOff>114300</xdr:rowOff>
    </xdr:to>
    <xdr:sp macro="" textlink="">
      <xdr:nvSpPr>
        <xdr:cNvPr id="4431" name="AutoShape 135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24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1359</xdr:row>
      <xdr:rowOff>0</xdr:rowOff>
    </xdr:from>
    <xdr:to>
      <xdr:col>5</xdr:col>
      <xdr:colOff>304800</xdr:colOff>
      <xdr:row>1360</xdr:row>
      <xdr:rowOff>114300</xdr:rowOff>
    </xdr:to>
    <xdr:sp macro="" textlink="">
      <xdr:nvSpPr>
        <xdr:cNvPr id="4432" name="AutoShape 136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24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1361</xdr:row>
      <xdr:rowOff>0</xdr:rowOff>
    </xdr:from>
    <xdr:to>
      <xdr:col>4</xdr:col>
      <xdr:colOff>304800</xdr:colOff>
      <xdr:row>1362</xdr:row>
      <xdr:rowOff>114300</xdr:rowOff>
    </xdr:to>
    <xdr:sp macro="" textlink="">
      <xdr:nvSpPr>
        <xdr:cNvPr id="4433" name="AutoShape 13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298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1361</xdr:row>
      <xdr:rowOff>0</xdr:rowOff>
    </xdr:from>
    <xdr:to>
      <xdr:col>5</xdr:col>
      <xdr:colOff>304800</xdr:colOff>
      <xdr:row>1362</xdr:row>
      <xdr:rowOff>114300</xdr:rowOff>
    </xdr:to>
    <xdr:sp macro="" textlink="">
      <xdr:nvSpPr>
        <xdr:cNvPr id="4434" name="AutoShape 136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298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1363</xdr:row>
      <xdr:rowOff>0</xdr:rowOff>
    </xdr:from>
    <xdr:to>
      <xdr:col>4</xdr:col>
      <xdr:colOff>304800</xdr:colOff>
      <xdr:row>1364</xdr:row>
      <xdr:rowOff>114300</xdr:rowOff>
    </xdr:to>
    <xdr:sp macro="" textlink="">
      <xdr:nvSpPr>
        <xdr:cNvPr id="4435" name="AutoShape 136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356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1363</xdr:row>
      <xdr:rowOff>0</xdr:rowOff>
    </xdr:from>
    <xdr:to>
      <xdr:col>5</xdr:col>
      <xdr:colOff>304800</xdr:colOff>
      <xdr:row>1364</xdr:row>
      <xdr:rowOff>114300</xdr:rowOff>
    </xdr:to>
    <xdr:sp macro="" textlink="">
      <xdr:nvSpPr>
        <xdr:cNvPr id="4436" name="AutoShape 136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356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1365</xdr:row>
      <xdr:rowOff>0</xdr:rowOff>
    </xdr:from>
    <xdr:to>
      <xdr:col>4</xdr:col>
      <xdr:colOff>304800</xdr:colOff>
      <xdr:row>1366</xdr:row>
      <xdr:rowOff>114300</xdr:rowOff>
    </xdr:to>
    <xdr:sp macro="" textlink="">
      <xdr:nvSpPr>
        <xdr:cNvPr id="4437" name="AutoShape 136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414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1365</xdr:row>
      <xdr:rowOff>0</xdr:rowOff>
    </xdr:from>
    <xdr:to>
      <xdr:col>5</xdr:col>
      <xdr:colOff>304800</xdr:colOff>
      <xdr:row>1366</xdr:row>
      <xdr:rowOff>114300</xdr:rowOff>
    </xdr:to>
    <xdr:sp macro="" textlink="">
      <xdr:nvSpPr>
        <xdr:cNvPr id="4438" name="AutoShape 136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414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1367</xdr:row>
      <xdr:rowOff>0</xdr:rowOff>
    </xdr:from>
    <xdr:to>
      <xdr:col>4</xdr:col>
      <xdr:colOff>304800</xdr:colOff>
      <xdr:row>1368</xdr:row>
      <xdr:rowOff>114300</xdr:rowOff>
    </xdr:to>
    <xdr:sp macro="" textlink="">
      <xdr:nvSpPr>
        <xdr:cNvPr id="4439" name="AutoShape 136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472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1367</xdr:row>
      <xdr:rowOff>0</xdr:rowOff>
    </xdr:from>
    <xdr:to>
      <xdr:col>5</xdr:col>
      <xdr:colOff>304800</xdr:colOff>
      <xdr:row>1368</xdr:row>
      <xdr:rowOff>114300</xdr:rowOff>
    </xdr:to>
    <xdr:sp macro="" textlink="">
      <xdr:nvSpPr>
        <xdr:cNvPr id="4440" name="AutoShape 13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472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1369</xdr:row>
      <xdr:rowOff>0</xdr:rowOff>
    </xdr:from>
    <xdr:to>
      <xdr:col>4</xdr:col>
      <xdr:colOff>304800</xdr:colOff>
      <xdr:row>1370</xdr:row>
      <xdr:rowOff>114300</xdr:rowOff>
    </xdr:to>
    <xdr:sp macro="" textlink="">
      <xdr:nvSpPr>
        <xdr:cNvPr id="4441" name="AutoShape 136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530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1369</xdr:row>
      <xdr:rowOff>0</xdr:rowOff>
    </xdr:from>
    <xdr:to>
      <xdr:col>5</xdr:col>
      <xdr:colOff>304800</xdr:colOff>
      <xdr:row>1370</xdr:row>
      <xdr:rowOff>114300</xdr:rowOff>
    </xdr:to>
    <xdr:sp macro="" textlink="">
      <xdr:nvSpPr>
        <xdr:cNvPr id="4442" name="AutoShape 137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530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1371</xdr:row>
      <xdr:rowOff>0</xdr:rowOff>
    </xdr:from>
    <xdr:to>
      <xdr:col>4</xdr:col>
      <xdr:colOff>304800</xdr:colOff>
      <xdr:row>1372</xdr:row>
      <xdr:rowOff>114300</xdr:rowOff>
    </xdr:to>
    <xdr:sp macro="" textlink="">
      <xdr:nvSpPr>
        <xdr:cNvPr id="4443" name="AutoShape 137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588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1371</xdr:row>
      <xdr:rowOff>0</xdr:rowOff>
    </xdr:from>
    <xdr:to>
      <xdr:col>5</xdr:col>
      <xdr:colOff>304800</xdr:colOff>
      <xdr:row>1372</xdr:row>
      <xdr:rowOff>114300</xdr:rowOff>
    </xdr:to>
    <xdr:sp macro="" textlink="">
      <xdr:nvSpPr>
        <xdr:cNvPr id="4444" name="AutoShape 13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588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1373</xdr:row>
      <xdr:rowOff>0</xdr:rowOff>
    </xdr:from>
    <xdr:to>
      <xdr:col>4</xdr:col>
      <xdr:colOff>304800</xdr:colOff>
      <xdr:row>1374</xdr:row>
      <xdr:rowOff>114300</xdr:rowOff>
    </xdr:to>
    <xdr:sp macro="" textlink="">
      <xdr:nvSpPr>
        <xdr:cNvPr id="4445" name="AutoShape 13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646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1373</xdr:row>
      <xdr:rowOff>0</xdr:rowOff>
    </xdr:from>
    <xdr:to>
      <xdr:col>5</xdr:col>
      <xdr:colOff>304800</xdr:colOff>
      <xdr:row>1374</xdr:row>
      <xdr:rowOff>114300</xdr:rowOff>
    </xdr:to>
    <xdr:sp macro="" textlink="">
      <xdr:nvSpPr>
        <xdr:cNvPr id="4446" name="AutoShape 137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646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1375</xdr:row>
      <xdr:rowOff>0</xdr:rowOff>
    </xdr:from>
    <xdr:to>
      <xdr:col>4</xdr:col>
      <xdr:colOff>304800</xdr:colOff>
      <xdr:row>1376</xdr:row>
      <xdr:rowOff>114300</xdr:rowOff>
    </xdr:to>
    <xdr:sp macro="" textlink="">
      <xdr:nvSpPr>
        <xdr:cNvPr id="4447" name="AutoShape 137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70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1375</xdr:row>
      <xdr:rowOff>0</xdr:rowOff>
    </xdr:from>
    <xdr:to>
      <xdr:col>5</xdr:col>
      <xdr:colOff>304800</xdr:colOff>
      <xdr:row>1376</xdr:row>
      <xdr:rowOff>114300</xdr:rowOff>
    </xdr:to>
    <xdr:sp macro="" textlink="">
      <xdr:nvSpPr>
        <xdr:cNvPr id="4448" name="AutoShape 137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70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1377</xdr:row>
      <xdr:rowOff>0</xdr:rowOff>
    </xdr:from>
    <xdr:to>
      <xdr:col>4</xdr:col>
      <xdr:colOff>304800</xdr:colOff>
      <xdr:row>1378</xdr:row>
      <xdr:rowOff>114300</xdr:rowOff>
    </xdr:to>
    <xdr:sp macro="" textlink="">
      <xdr:nvSpPr>
        <xdr:cNvPr id="4449" name="AutoShape 137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76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1377</xdr:row>
      <xdr:rowOff>0</xdr:rowOff>
    </xdr:from>
    <xdr:to>
      <xdr:col>5</xdr:col>
      <xdr:colOff>304800</xdr:colOff>
      <xdr:row>1378</xdr:row>
      <xdr:rowOff>114300</xdr:rowOff>
    </xdr:to>
    <xdr:sp macro="" textlink="">
      <xdr:nvSpPr>
        <xdr:cNvPr id="4450" name="AutoShape 137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76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1379</xdr:row>
      <xdr:rowOff>0</xdr:rowOff>
    </xdr:from>
    <xdr:to>
      <xdr:col>4</xdr:col>
      <xdr:colOff>304800</xdr:colOff>
      <xdr:row>1380</xdr:row>
      <xdr:rowOff>114300</xdr:rowOff>
    </xdr:to>
    <xdr:sp macro="" textlink="">
      <xdr:nvSpPr>
        <xdr:cNvPr id="4451" name="AutoShape 13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821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1379</xdr:row>
      <xdr:rowOff>0</xdr:rowOff>
    </xdr:from>
    <xdr:to>
      <xdr:col>5</xdr:col>
      <xdr:colOff>304800</xdr:colOff>
      <xdr:row>1380</xdr:row>
      <xdr:rowOff>114300</xdr:rowOff>
    </xdr:to>
    <xdr:sp macro="" textlink="">
      <xdr:nvSpPr>
        <xdr:cNvPr id="4452" name="AutoShape 138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821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1381</xdr:row>
      <xdr:rowOff>0</xdr:rowOff>
    </xdr:from>
    <xdr:to>
      <xdr:col>4</xdr:col>
      <xdr:colOff>304800</xdr:colOff>
      <xdr:row>1382</xdr:row>
      <xdr:rowOff>76200</xdr:rowOff>
    </xdr:to>
    <xdr:sp macro="" textlink="">
      <xdr:nvSpPr>
        <xdr:cNvPr id="4453" name="AutoShape 138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86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1381</xdr:row>
      <xdr:rowOff>0</xdr:rowOff>
    </xdr:from>
    <xdr:to>
      <xdr:col>5</xdr:col>
      <xdr:colOff>304800</xdr:colOff>
      <xdr:row>1382</xdr:row>
      <xdr:rowOff>76200</xdr:rowOff>
    </xdr:to>
    <xdr:sp macro="" textlink="">
      <xdr:nvSpPr>
        <xdr:cNvPr id="4454" name="AutoShape 138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86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1383</xdr:row>
      <xdr:rowOff>0</xdr:rowOff>
    </xdr:from>
    <xdr:to>
      <xdr:col>4</xdr:col>
      <xdr:colOff>304800</xdr:colOff>
      <xdr:row>1384</xdr:row>
      <xdr:rowOff>76200</xdr:rowOff>
    </xdr:to>
    <xdr:sp macro="" textlink="">
      <xdr:nvSpPr>
        <xdr:cNvPr id="4455" name="AutoShape 138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903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1383</xdr:row>
      <xdr:rowOff>0</xdr:rowOff>
    </xdr:from>
    <xdr:to>
      <xdr:col>5</xdr:col>
      <xdr:colOff>304800</xdr:colOff>
      <xdr:row>1384</xdr:row>
      <xdr:rowOff>76200</xdr:rowOff>
    </xdr:to>
    <xdr:sp macro="" textlink="">
      <xdr:nvSpPr>
        <xdr:cNvPr id="4456" name="AutoShape 138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903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1385</xdr:row>
      <xdr:rowOff>0</xdr:rowOff>
    </xdr:from>
    <xdr:to>
      <xdr:col>4</xdr:col>
      <xdr:colOff>304800</xdr:colOff>
      <xdr:row>1386</xdr:row>
      <xdr:rowOff>114300</xdr:rowOff>
    </xdr:to>
    <xdr:sp macro="" textlink="">
      <xdr:nvSpPr>
        <xdr:cNvPr id="4457" name="AutoShape 138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94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1385</xdr:row>
      <xdr:rowOff>0</xdr:rowOff>
    </xdr:from>
    <xdr:to>
      <xdr:col>5</xdr:col>
      <xdr:colOff>304800</xdr:colOff>
      <xdr:row>1386</xdr:row>
      <xdr:rowOff>114300</xdr:rowOff>
    </xdr:to>
    <xdr:sp macro="" textlink="">
      <xdr:nvSpPr>
        <xdr:cNvPr id="4458" name="AutoShape 138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94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1387</xdr:row>
      <xdr:rowOff>0</xdr:rowOff>
    </xdr:from>
    <xdr:to>
      <xdr:col>4</xdr:col>
      <xdr:colOff>304800</xdr:colOff>
      <xdr:row>1388</xdr:row>
      <xdr:rowOff>114300</xdr:rowOff>
    </xdr:to>
    <xdr:sp macro="" textlink="">
      <xdr:nvSpPr>
        <xdr:cNvPr id="4459" name="AutoShape 138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00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1387</xdr:row>
      <xdr:rowOff>0</xdr:rowOff>
    </xdr:from>
    <xdr:to>
      <xdr:col>5</xdr:col>
      <xdr:colOff>304800</xdr:colOff>
      <xdr:row>1388</xdr:row>
      <xdr:rowOff>114300</xdr:rowOff>
    </xdr:to>
    <xdr:sp macro="" textlink="">
      <xdr:nvSpPr>
        <xdr:cNvPr id="4460" name="AutoShape 138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00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1389</xdr:row>
      <xdr:rowOff>0</xdr:rowOff>
    </xdr:from>
    <xdr:to>
      <xdr:col>4</xdr:col>
      <xdr:colOff>304800</xdr:colOff>
      <xdr:row>1390</xdr:row>
      <xdr:rowOff>114300</xdr:rowOff>
    </xdr:to>
    <xdr:sp macro="" textlink="">
      <xdr:nvSpPr>
        <xdr:cNvPr id="4461" name="AutoShape 138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06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1389</xdr:row>
      <xdr:rowOff>0</xdr:rowOff>
    </xdr:from>
    <xdr:to>
      <xdr:col>5</xdr:col>
      <xdr:colOff>304800</xdr:colOff>
      <xdr:row>1390</xdr:row>
      <xdr:rowOff>114300</xdr:rowOff>
    </xdr:to>
    <xdr:sp macro="" textlink="">
      <xdr:nvSpPr>
        <xdr:cNvPr id="4462" name="AutoShape 139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06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1391</xdr:row>
      <xdr:rowOff>0</xdr:rowOff>
    </xdr:from>
    <xdr:to>
      <xdr:col>4</xdr:col>
      <xdr:colOff>304800</xdr:colOff>
      <xdr:row>1392</xdr:row>
      <xdr:rowOff>76200</xdr:rowOff>
    </xdr:to>
    <xdr:sp macro="" textlink="">
      <xdr:nvSpPr>
        <xdr:cNvPr id="4463" name="AutoShape 139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12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1391</xdr:row>
      <xdr:rowOff>0</xdr:rowOff>
    </xdr:from>
    <xdr:to>
      <xdr:col>5</xdr:col>
      <xdr:colOff>304800</xdr:colOff>
      <xdr:row>1392</xdr:row>
      <xdr:rowOff>76200</xdr:rowOff>
    </xdr:to>
    <xdr:sp macro="" textlink="">
      <xdr:nvSpPr>
        <xdr:cNvPr id="4464" name="AutoShape 139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12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1393</xdr:row>
      <xdr:rowOff>0</xdr:rowOff>
    </xdr:from>
    <xdr:to>
      <xdr:col>4</xdr:col>
      <xdr:colOff>304800</xdr:colOff>
      <xdr:row>1394</xdr:row>
      <xdr:rowOff>114300</xdr:rowOff>
    </xdr:to>
    <xdr:sp macro="" textlink="">
      <xdr:nvSpPr>
        <xdr:cNvPr id="4465" name="AutoShape 139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16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1393</xdr:row>
      <xdr:rowOff>0</xdr:rowOff>
    </xdr:from>
    <xdr:to>
      <xdr:col>5</xdr:col>
      <xdr:colOff>304800</xdr:colOff>
      <xdr:row>1394</xdr:row>
      <xdr:rowOff>114300</xdr:rowOff>
    </xdr:to>
    <xdr:sp macro="" textlink="">
      <xdr:nvSpPr>
        <xdr:cNvPr id="4466" name="AutoShape 139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16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1395</xdr:row>
      <xdr:rowOff>0</xdr:rowOff>
    </xdr:from>
    <xdr:to>
      <xdr:col>4</xdr:col>
      <xdr:colOff>304800</xdr:colOff>
      <xdr:row>1396</xdr:row>
      <xdr:rowOff>114300</xdr:rowOff>
    </xdr:to>
    <xdr:sp macro="" textlink="">
      <xdr:nvSpPr>
        <xdr:cNvPr id="4467" name="AutoShape 1395" descr="Team Toews"/>
        <xdr:cNvSpPr>
          <a:spLocks noChangeAspect="1" noChangeArrowheads="1"/>
        </xdr:cNvSpPr>
      </xdr:nvSpPr>
      <xdr:spPr bwMode="auto">
        <a:xfrm>
          <a:off x="990600" y="33304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1395</xdr:row>
      <xdr:rowOff>0</xdr:rowOff>
    </xdr:from>
    <xdr:to>
      <xdr:col>5</xdr:col>
      <xdr:colOff>304800</xdr:colOff>
      <xdr:row>1396</xdr:row>
      <xdr:rowOff>114300</xdr:rowOff>
    </xdr:to>
    <xdr:sp macro="" textlink="">
      <xdr:nvSpPr>
        <xdr:cNvPr id="4468" name="AutoShape 1396" descr="Team Foligno"/>
        <xdr:cNvSpPr>
          <a:spLocks noChangeAspect="1" noChangeArrowheads="1"/>
        </xdr:cNvSpPr>
      </xdr:nvSpPr>
      <xdr:spPr bwMode="auto">
        <a:xfrm>
          <a:off x="1714500" y="33304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1395</xdr:row>
      <xdr:rowOff>0</xdr:rowOff>
    </xdr:from>
    <xdr:to>
      <xdr:col>4</xdr:col>
      <xdr:colOff>304800</xdr:colOff>
      <xdr:row>1396</xdr:row>
      <xdr:rowOff>114300</xdr:rowOff>
    </xdr:to>
    <xdr:sp macro="" textlink="">
      <xdr:nvSpPr>
        <xdr:cNvPr id="4469" name="AutoShape 139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41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1395</xdr:row>
      <xdr:rowOff>0</xdr:rowOff>
    </xdr:from>
    <xdr:to>
      <xdr:col>5</xdr:col>
      <xdr:colOff>304800</xdr:colOff>
      <xdr:row>1396</xdr:row>
      <xdr:rowOff>114300</xdr:rowOff>
    </xdr:to>
    <xdr:sp macro="" textlink="">
      <xdr:nvSpPr>
        <xdr:cNvPr id="4470" name="AutoShape 139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41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1397</xdr:row>
      <xdr:rowOff>0</xdr:rowOff>
    </xdr:from>
    <xdr:to>
      <xdr:col>4</xdr:col>
      <xdr:colOff>304800</xdr:colOff>
      <xdr:row>1398</xdr:row>
      <xdr:rowOff>114300</xdr:rowOff>
    </xdr:to>
    <xdr:sp macro="" textlink="">
      <xdr:nvSpPr>
        <xdr:cNvPr id="4471" name="AutoShape 139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487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1397</xdr:row>
      <xdr:rowOff>0</xdr:rowOff>
    </xdr:from>
    <xdr:to>
      <xdr:col>5</xdr:col>
      <xdr:colOff>304800</xdr:colOff>
      <xdr:row>1398</xdr:row>
      <xdr:rowOff>114300</xdr:rowOff>
    </xdr:to>
    <xdr:sp macro="" textlink="">
      <xdr:nvSpPr>
        <xdr:cNvPr id="4472" name="AutoShape 14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487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1399</xdr:row>
      <xdr:rowOff>0</xdr:rowOff>
    </xdr:from>
    <xdr:to>
      <xdr:col>4</xdr:col>
      <xdr:colOff>304800</xdr:colOff>
      <xdr:row>1400</xdr:row>
      <xdr:rowOff>114300</xdr:rowOff>
    </xdr:to>
    <xdr:sp macro="" textlink="">
      <xdr:nvSpPr>
        <xdr:cNvPr id="4473" name="AutoShape 140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546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1399</xdr:row>
      <xdr:rowOff>0</xdr:rowOff>
    </xdr:from>
    <xdr:to>
      <xdr:col>5</xdr:col>
      <xdr:colOff>304800</xdr:colOff>
      <xdr:row>1400</xdr:row>
      <xdr:rowOff>114300</xdr:rowOff>
    </xdr:to>
    <xdr:sp macro="" textlink="">
      <xdr:nvSpPr>
        <xdr:cNvPr id="4474" name="AutoShape 140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546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1401</xdr:row>
      <xdr:rowOff>0</xdr:rowOff>
    </xdr:from>
    <xdr:to>
      <xdr:col>4</xdr:col>
      <xdr:colOff>304800</xdr:colOff>
      <xdr:row>1402</xdr:row>
      <xdr:rowOff>114300</xdr:rowOff>
    </xdr:to>
    <xdr:sp macro="" textlink="">
      <xdr:nvSpPr>
        <xdr:cNvPr id="4475" name="AutoShape 140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604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1401</xdr:row>
      <xdr:rowOff>0</xdr:rowOff>
    </xdr:from>
    <xdr:to>
      <xdr:col>5</xdr:col>
      <xdr:colOff>304800</xdr:colOff>
      <xdr:row>1402</xdr:row>
      <xdr:rowOff>114300</xdr:rowOff>
    </xdr:to>
    <xdr:sp macro="" textlink="">
      <xdr:nvSpPr>
        <xdr:cNvPr id="4476" name="AutoShape 140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604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1403</xdr:row>
      <xdr:rowOff>0</xdr:rowOff>
    </xdr:from>
    <xdr:to>
      <xdr:col>4</xdr:col>
      <xdr:colOff>304800</xdr:colOff>
      <xdr:row>1404</xdr:row>
      <xdr:rowOff>114300</xdr:rowOff>
    </xdr:to>
    <xdr:sp macro="" textlink="">
      <xdr:nvSpPr>
        <xdr:cNvPr id="4477" name="AutoShape 140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662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1403</xdr:row>
      <xdr:rowOff>0</xdr:rowOff>
    </xdr:from>
    <xdr:to>
      <xdr:col>5</xdr:col>
      <xdr:colOff>304800</xdr:colOff>
      <xdr:row>1404</xdr:row>
      <xdr:rowOff>114300</xdr:rowOff>
    </xdr:to>
    <xdr:sp macro="" textlink="">
      <xdr:nvSpPr>
        <xdr:cNvPr id="4478" name="AutoShape 140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662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1405</xdr:row>
      <xdr:rowOff>0</xdr:rowOff>
    </xdr:from>
    <xdr:to>
      <xdr:col>4</xdr:col>
      <xdr:colOff>304800</xdr:colOff>
      <xdr:row>1406</xdr:row>
      <xdr:rowOff>114300</xdr:rowOff>
    </xdr:to>
    <xdr:sp macro="" textlink="">
      <xdr:nvSpPr>
        <xdr:cNvPr id="4479" name="AutoShape 140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720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1405</xdr:row>
      <xdr:rowOff>0</xdr:rowOff>
    </xdr:from>
    <xdr:to>
      <xdr:col>5</xdr:col>
      <xdr:colOff>304800</xdr:colOff>
      <xdr:row>1406</xdr:row>
      <xdr:rowOff>114300</xdr:rowOff>
    </xdr:to>
    <xdr:sp macro="" textlink="">
      <xdr:nvSpPr>
        <xdr:cNvPr id="4480" name="AutoShape 1408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720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1407</xdr:row>
      <xdr:rowOff>0</xdr:rowOff>
    </xdr:from>
    <xdr:to>
      <xdr:col>4</xdr:col>
      <xdr:colOff>304800</xdr:colOff>
      <xdr:row>1408</xdr:row>
      <xdr:rowOff>76200</xdr:rowOff>
    </xdr:to>
    <xdr:sp macro="" textlink="">
      <xdr:nvSpPr>
        <xdr:cNvPr id="4481" name="AutoShape 140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77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1407</xdr:row>
      <xdr:rowOff>0</xdr:rowOff>
    </xdr:from>
    <xdr:to>
      <xdr:col>5</xdr:col>
      <xdr:colOff>304800</xdr:colOff>
      <xdr:row>1408</xdr:row>
      <xdr:rowOff>76200</xdr:rowOff>
    </xdr:to>
    <xdr:sp macro="" textlink="">
      <xdr:nvSpPr>
        <xdr:cNvPr id="4482" name="AutoShape 141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77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1409</xdr:row>
      <xdr:rowOff>0</xdr:rowOff>
    </xdr:from>
    <xdr:to>
      <xdr:col>4</xdr:col>
      <xdr:colOff>304800</xdr:colOff>
      <xdr:row>1410</xdr:row>
      <xdr:rowOff>114300</xdr:rowOff>
    </xdr:to>
    <xdr:sp macro="" textlink="">
      <xdr:nvSpPr>
        <xdr:cNvPr id="4483" name="AutoShape 141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82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1409</xdr:row>
      <xdr:rowOff>0</xdr:rowOff>
    </xdr:from>
    <xdr:to>
      <xdr:col>5</xdr:col>
      <xdr:colOff>304800</xdr:colOff>
      <xdr:row>1410</xdr:row>
      <xdr:rowOff>114300</xdr:rowOff>
    </xdr:to>
    <xdr:sp macro="" textlink="">
      <xdr:nvSpPr>
        <xdr:cNvPr id="4484" name="AutoShape 141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82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1411</xdr:row>
      <xdr:rowOff>0</xdr:rowOff>
    </xdr:from>
    <xdr:to>
      <xdr:col>4</xdr:col>
      <xdr:colOff>304800</xdr:colOff>
      <xdr:row>1412</xdr:row>
      <xdr:rowOff>76200</xdr:rowOff>
    </xdr:to>
    <xdr:sp macro="" textlink="">
      <xdr:nvSpPr>
        <xdr:cNvPr id="4485" name="AutoShape 141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87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1411</xdr:row>
      <xdr:rowOff>0</xdr:rowOff>
    </xdr:from>
    <xdr:to>
      <xdr:col>5</xdr:col>
      <xdr:colOff>304800</xdr:colOff>
      <xdr:row>1412</xdr:row>
      <xdr:rowOff>76200</xdr:rowOff>
    </xdr:to>
    <xdr:sp macro="" textlink="">
      <xdr:nvSpPr>
        <xdr:cNvPr id="4486" name="AutoShape 141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87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1413</xdr:row>
      <xdr:rowOff>0</xdr:rowOff>
    </xdr:from>
    <xdr:to>
      <xdr:col>4</xdr:col>
      <xdr:colOff>304800</xdr:colOff>
      <xdr:row>1414</xdr:row>
      <xdr:rowOff>114300</xdr:rowOff>
    </xdr:to>
    <xdr:sp macro="" textlink="">
      <xdr:nvSpPr>
        <xdr:cNvPr id="4487" name="AutoShape 141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922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1413</xdr:row>
      <xdr:rowOff>0</xdr:rowOff>
    </xdr:from>
    <xdr:to>
      <xdr:col>5</xdr:col>
      <xdr:colOff>304800</xdr:colOff>
      <xdr:row>1414</xdr:row>
      <xdr:rowOff>114300</xdr:rowOff>
    </xdr:to>
    <xdr:sp macro="" textlink="">
      <xdr:nvSpPr>
        <xdr:cNvPr id="4488" name="AutoShape 141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922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1415</xdr:row>
      <xdr:rowOff>0</xdr:rowOff>
    </xdr:from>
    <xdr:to>
      <xdr:col>4</xdr:col>
      <xdr:colOff>304800</xdr:colOff>
      <xdr:row>1416</xdr:row>
      <xdr:rowOff>114300</xdr:rowOff>
    </xdr:to>
    <xdr:sp macro="" textlink="">
      <xdr:nvSpPr>
        <xdr:cNvPr id="4489" name="AutoShape 141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980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1415</xdr:row>
      <xdr:rowOff>0</xdr:rowOff>
    </xdr:from>
    <xdr:to>
      <xdr:col>5</xdr:col>
      <xdr:colOff>304800</xdr:colOff>
      <xdr:row>1416</xdr:row>
      <xdr:rowOff>114300</xdr:rowOff>
    </xdr:to>
    <xdr:sp macro="" textlink="">
      <xdr:nvSpPr>
        <xdr:cNvPr id="4490" name="AutoShape 141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980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1417</xdr:row>
      <xdr:rowOff>0</xdr:rowOff>
    </xdr:from>
    <xdr:to>
      <xdr:col>4</xdr:col>
      <xdr:colOff>304800</xdr:colOff>
      <xdr:row>1418</xdr:row>
      <xdr:rowOff>114300</xdr:rowOff>
    </xdr:to>
    <xdr:sp macro="" textlink="">
      <xdr:nvSpPr>
        <xdr:cNvPr id="4491" name="AutoShape 141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03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1417</xdr:row>
      <xdr:rowOff>0</xdr:rowOff>
    </xdr:from>
    <xdr:to>
      <xdr:col>5</xdr:col>
      <xdr:colOff>304800</xdr:colOff>
      <xdr:row>1418</xdr:row>
      <xdr:rowOff>114300</xdr:rowOff>
    </xdr:to>
    <xdr:sp macro="" textlink="">
      <xdr:nvSpPr>
        <xdr:cNvPr id="4492" name="AutoShape 142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03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1419</xdr:row>
      <xdr:rowOff>0</xdr:rowOff>
    </xdr:from>
    <xdr:to>
      <xdr:col>4</xdr:col>
      <xdr:colOff>304800</xdr:colOff>
      <xdr:row>1420</xdr:row>
      <xdr:rowOff>114300</xdr:rowOff>
    </xdr:to>
    <xdr:sp macro="" textlink="">
      <xdr:nvSpPr>
        <xdr:cNvPr id="4493" name="AutoShape 142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096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1419</xdr:row>
      <xdr:rowOff>0</xdr:rowOff>
    </xdr:from>
    <xdr:to>
      <xdr:col>5</xdr:col>
      <xdr:colOff>304800</xdr:colOff>
      <xdr:row>1420</xdr:row>
      <xdr:rowOff>114300</xdr:rowOff>
    </xdr:to>
    <xdr:sp macro="" textlink="">
      <xdr:nvSpPr>
        <xdr:cNvPr id="4494" name="AutoShape 142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096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1421</xdr:row>
      <xdr:rowOff>0</xdr:rowOff>
    </xdr:from>
    <xdr:to>
      <xdr:col>4</xdr:col>
      <xdr:colOff>304800</xdr:colOff>
      <xdr:row>1422</xdr:row>
      <xdr:rowOff>114300</xdr:rowOff>
    </xdr:to>
    <xdr:sp macro="" textlink="">
      <xdr:nvSpPr>
        <xdr:cNvPr id="4495" name="AutoShape 142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154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1421</xdr:row>
      <xdr:rowOff>0</xdr:rowOff>
    </xdr:from>
    <xdr:to>
      <xdr:col>5</xdr:col>
      <xdr:colOff>304800</xdr:colOff>
      <xdr:row>1422</xdr:row>
      <xdr:rowOff>114300</xdr:rowOff>
    </xdr:to>
    <xdr:sp macro="" textlink="">
      <xdr:nvSpPr>
        <xdr:cNvPr id="4496" name="AutoShape 142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154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1423</xdr:row>
      <xdr:rowOff>0</xdr:rowOff>
    </xdr:from>
    <xdr:to>
      <xdr:col>4</xdr:col>
      <xdr:colOff>304800</xdr:colOff>
      <xdr:row>1424</xdr:row>
      <xdr:rowOff>114300</xdr:rowOff>
    </xdr:to>
    <xdr:sp macro="" textlink="">
      <xdr:nvSpPr>
        <xdr:cNvPr id="4497" name="AutoShape 142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212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1423</xdr:row>
      <xdr:rowOff>0</xdr:rowOff>
    </xdr:from>
    <xdr:to>
      <xdr:col>5</xdr:col>
      <xdr:colOff>304800</xdr:colOff>
      <xdr:row>1424</xdr:row>
      <xdr:rowOff>114300</xdr:rowOff>
    </xdr:to>
    <xdr:sp macro="" textlink="">
      <xdr:nvSpPr>
        <xdr:cNvPr id="4498" name="AutoShape 142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212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1425</xdr:row>
      <xdr:rowOff>0</xdr:rowOff>
    </xdr:from>
    <xdr:to>
      <xdr:col>4</xdr:col>
      <xdr:colOff>304800</xdr:colOff>
      <xdr:row>1426</xdr:row>
      <xdr:rowOff>114300</xdr:rowOff>
    </xdr:to>
    <xdr:sp macro="" textlink="">
      <xdr:nvSpPr>
        <xdr:cNvPr id="4499" name="AutoShape 142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29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1425</xdr:row>
      <xdr:rowOff>0</xdr:rowOff>
    </xdr:from>
    <xdr:to>
      <xdr:col>5</xdr:col>
      <xdr:colOff>304800</xdr:colOff>
      <xdr:row>1426</xdr:row>
      <xdr:rowOff>114300</xdr:rowOff>
    </xdr:to>
    <xdr:sp macro="" textlink="">
      <xdr:nvSpPr>
        <xdr:cNvPr id="4500" name="AutoShape 142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29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1427</xdr:row>
      <xdr:rowOff>0</xdr:rowOff>
    </xdr:from>
    <xdr:to>
      <xdr:col>4</xdr:col>
      <xdr:colOff>304800</xdr:colOff>
      <xdr:row>1428</xdr:row>
      <xdr:rowOff>114300</xdr:rowOff>
    </xdr:to>
    <xdr:sp macro="" textlink="">
      <xdr:nvSpPr>
        <xdr:cNvPr id="4501" name="AutoShape 142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34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1427</xdr:row>
      <xdr:rowOff>0</xdr:rowOff>
    </xdr:from>
    <xdr:to>
      <xdr:col>5</xdr:col>
      <xdr:colOff>304800</xdr:colOff>
      <xdr:row>1428</xdr:row>
      <xdr:rowOff>114300</xdr:rowOff>
    </xdr:to>
    <xdr:sp macro="" textlink="">
      <xdr:nvSpPr>
        <xdr:cNvPr id="4502" name="AutoShape 143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34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1429</xdr:row>
      <xdr:rowOff>0</xdr:rowOff>
    </xdr:from>
    <xdr:to>
      <xdr:col>4</xdr:col>
      <xdr:colOff>304800</xdr:colOff>
      <xdr:row>1430</xdr:row>
      <xdr:rowOff>76200</xdr:rowOff>
    </xdr:to>
    <xdr:sp macro="" textlink="">
      <xdr:nvSpPr>
        <xdr:cNvPr id="4503" name="AutoShape 143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0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1429</xdr:row>
      <xdr:rowOff>0</xdr:rowOff>
    </xdr:from>
    <xdr:to>
      <xdr:col>5</xdr:col>
      <xdr:colOff>304800</xdr:colOff>
      <xdr:row>1430</xdr:row>
      <xdr:rowOff>76200</xdr:rowOff>
    </xdr:to>
    <xdr:sp macro="" textlink="">
      <xdr:nvSpPr>
        <xdr:cNvPr id="4504" name="AutoShape 1432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0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1431</xdr:row>
      <xdr:rowOff>0</xdr:rowOff>
    </xdr:from>
    <xdr:to>
      <xdr:col>4</xdr:col>
      <xdr:colOff>304800</xdr:colOff>
      <xdr:row>1432</xdr:row>
      <xdr:rowOff>76200</xdr:rowOff>
    </xdr:to>
    <xdr:sp macro="" textlink="">
      <xdr:nvSpPr>
        <xdr:cNvPr id="4505" name="AutoShape 14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4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1431</xdr:row>
      <xdr:rowOff>0</xdr:rowOff>
    </xdr:from>
    <xdr:to>
      <xdr:col>5</xdr:col>
      <xdr:colOff>304800</xdr:colOff>
      <xdr:row>1432</xdr:row>
      <xdr:rowOff>76200</xdr:rowOff>
    </xdr:to>
    <xdr:sp macro="" textlink="">
      <xdr:nvSpPr>
        <xdr:cNvPr id="4506" name="AutoShape 143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4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1433</xdr:row>
      <xdr:rowOff>0</xdr:rowOff>
    </xdr:from>
    <xdr:to>
      <xdr:col>4</xdr:col>
      <xdr:colOff>304800</xdr:colOff>
      <xdr:row>1434</xdr:row>
      <xdr:rowOff>114300</xdr:rowOff>
    </xdr:to>
    <xdr:sp macro="" textlink="">
      <xdr:nvSpPr>
        <xdr:cNvPr id="4507" name="AutoShape 14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9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1433</xdr:row>
      <xdr:rowOff>0</xdr:rowOff>
    </xdr:from>
    <xdr:to>
      <xdr:col>5</xdr:col>
      <xdr:colOff>304800</xdr:colOff>
      <xdr:row>1434</xdr:row>
      <xdr:rowOff>114300</xdr:rowOff>
    </xdr:to>
    <xdr:sp macro="" textlink="">
      <xdr:nvSpPr>
        <xdr:cNvPr id="4508" name="AutoShape 143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9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1435</xdr:row>
      <xdr:rowOff>0</xdr:rowOff>
    </xdr:from>
    <xdr:to>
      <xdr:col>4</xdr:col>
      <xdr:colOff>304800</xdr:colOff>
      <xdr:row>1436</xdr:row>
      <xdr:rowOff>76200</xdr:rowOff>
    </xdr:to>
    <xdr:sp macro="" textlink="">
      <xdr:nvSpPr>
        <xdr:cNvPr id="4509" name="AutoShape 143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550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1435</xdr:row>
      <xdr:rowOff>0</xdr:rowOff>
    </xdr:from>
    <xdr:to>
      <xdr:col>5</xdr:col>
      <xdr:colOff>304800</xdr:colOff>
      <xdr:row>1436</xdr:row>
      <xdr:rowOff>76200</xdr:rowOff>
    </xdr:to>
    <xdr:sp macro="" textlink="">
      <xdr:nvSpPr>
        <xdr:cNvPr id="4510" name="AutoShape 143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550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1437</xdr:row>
      <xdr:rowOff>0</xdr:rowOff>
    </xdr:from>
    <xdr:to>
      <xdr:col>4</xdr:col>
      <xdr:colOff>304800</xdr:colOff>
      <xdr:row>1438</xdr:row>
      <xdr:rowOff>76200</xdr:rowOff>
    </xdr:to>
    <xdr:sp macro="" textlink="">
      <xdr:nvSpPr>
        <xdr:cNvPr id="4511" name="AutoShape 143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59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1437</xdr:row>
      <xdr:rowOff>0</xdr:rowOff>
    </xdr:from>
    <xdr:to>
      <xdr:col>5</xdr:col>
      <xdr:colOff>304800</xdr:colOff>
      <xdr:row>1438</xdr:row>
      <xdr:rowOff>76200</xdr:rowOff>
    </xdr:to>
    <xdr:sp macro="" textlink="">
      <xdr:nvSpPr>
        <xdr:cNvPr id="4512" name="AutoShape 144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59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1439</xdr:row>
      <xdr:rowOff>0</xdr:rowOff>
    </xdr:from>
    <xdr:to>
      <xdr:col>4</xdr:col>
      <xdr:colOff>304800</xdr:colOff>
      <xdr:row>1440</xdr:row>
      <xdr:rowOff>114300</xdr:rowOff>
    </xdr:to>
    <xdr:sp macro="" textlink="">
      <xdr:nvSpPr>
        <xdr:cNvPr id="4513" name="AutoShape 14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63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1439</xdr:row>
      <xdr:rowOff>0</xdr:rowOff>
    </xdr:from>
    <xdr:to>
      <xdr:col>5</xdr:col>
      <xdr:colOff>304800</xdr:colOff>
      <xdr:row>1440</xdr:row>
      <xdr:rowOff>114300</xdr:rowOff>
    </xdr:to>
    <xdr:sp macro="" textlink="">
      <xdr:nvSpPr>
        <xdr:cNvPr id="4514" name="AutoShape 144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63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1441</xdr:row>
      <xdr:rowOff>0</xdr:rowOff>
    </xdr:from>
    <xdr:to>
      <xdr:col>4</xdr:col>
      <xdr:colOff>304800</xdr:colOff>
      <xdr:row>1442</xdr:row>
      <xdr:rowOff>114300</xdr:rowOff>
    </xdr:to>
    <xdr:sp macro="" textlink="">
      <xdr:nvSpPr>
        <xdr:cNvPr id="4515" name="AutoShape 144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69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1441</xdr:row>
      <xdr:rowOff>0</xdr:rowOff>
    </xdr:from>
    <xdr:to>
      <xdr:col>5</xdr:col>
      <xdr:colOff>304800</xdr:colOff>
      <xdr:row>1442</xdr:row>
      <xdr:rowOff>114300</xdr:rowOff>
    </xdr:to>
    <xdr:sp macro="" textlink="">
      <xdr:nvSpPr>
        <xdr:cNvPr id="4516" name="AutoShape 144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69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1443</xdr:row>
      <xdr:rowOff>0</xdr:rowOff>
    </xdr:from>
    <xdr:to>
      <xdr:col>4</xdr:col>
      <xdr:colOff>304800</xdr:colOff>
      <xdr:row>1444</xdr:row>
      <xdr:rowOff>76200</xdr:rowOff>
    </xdr:to>
    <xdr:sp macro="" textlink="">
      <xdr:nvSpPr>
        <xdr:cNvPr id="4517" name="AutoShape 144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751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1443</xdr:row>
      <xdr:rowOff>0</xdr:rowOff>
    </xdr:from>
    <xdr:to>
      <xdr:col>5</xdr:col>
      <xdr:colOff>304800</xdr:colOff>
      <xdr:row>1444</xdr:row>
      <xdr:rowOff>76200</xdr:rowOff>
    </xdr:to>
    <xdr:sp macro="" textlink="">
      <xdr:nvSpPr>
        <xdr:cNvPr id="4518" name="AutoShape 144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751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1445</xdr:row>
      <xdr:rowOff>0</xdr:rowOff>
    </xdr:from>
    <xdr:to>
      <xdr:col>4</xdr:col>
      <xdr:colOff>304800</xdr:colOff>
      <xdr:row>1446</xdr:row>
      <xdr:rowOff>114300</xdr:rowOff>
    </xdr:to>
    <xdr:sp macro="" textlink="">
      <xdr:nvSpPr>
        <xdr:cNvPr id="4519" name="AutoShape 144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794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1445</xdr:row>
      <xdr:rowOff>0</xdr:rowOff>
    </xdr:from>
    <xdr:to>
      <xdr:col>5</xdr:col>
      <xdr:colOff>304800</xdr:colOff>
      <xdr:row>1446</xdr:row>
      <xdr:rowOff>114300</xdr:rowOff>
    </xdr:to>
    <xdr:sp macro="" textlink="">
      <xdr:nvSpPr>
        <xdr:cNvPr id="4520" name="AutoShape 144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794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1447</xdr:row>
      <xdr:rowOff>0</xdr:rowOff>
    </xdr:from>
    <xdr:to>
      <xdr:col>4</xdr:col>
      <xdr:colOff>304800</xdr:colOff>
      <xdr:row>1448</xdr:row>
      <xdr:rowOff>114300</xdr:rowOff>
    </xdr:to>
    <xdr:sp macro="" textlink="">
      <xdr:nvSpPr>
        <xdr:cNvPr id="4521" name="AutoShape 144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852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1447</xdr:row>
      <xdr:rowOff>0</xdr:rowOff>
    </xdr:from>
    <xdr:to>
      <xdr:col>5</xdr:col>
      <xdr:colOff>304800</xdr:colOff>
      <xdr:row>1448</xdr:row>
      <xdr:rowOff>114300</xdr:rowOff>
    </xdr:to>
    <xdr:sp macro="" textlink="">
      <xdr:nvSpPr>
        <xdr:cNvPr id="4522" name="AutoShape 145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852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1449</xdr:row>
      <xdr:rowOff>0</xdr:rowOff>
    </xdr:from>
    <xdr:to>
      <xdr:col>4</xdr:col>
      <xdr:colOff>304800</xdr:colOff>
      <xdr:row>1450</xdr:row>
      <xdr:rowOff>114300</xdr:rowOff>
    </xdr:to>
    <xdr:sp macro="" textlink="">
      <xdr:nvSpPr>
        <xdr:cNvPr id="4523" name="AutoShape 145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911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1449</xdr:row>
      <xdr:rowOff>0</xdr:rowOff>
    </xdr:from>
    <xdr:to>
      <xdr:col>5</xdr:col>
      <xdr:colOff>304800</xdr:colOff>
      <xdr:row>1450</xdr:row>
      <xdr:rowOff>114300</xdr:rowOff>
    </xdr:to>
    <xdr:sp macro="" textlink="">
      <xdr:nvSpPr>
        <xdr:cNvPr id="4524" name="AutoShape 145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911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1451</xdr:row>
      <xdr:rowOff>0</xdr:rowOff>
    </xdr:from>
    <xdr:to>
      <xdr:col>4</xdr:col>
      <xdr:colOff>304800</xdr:colOff>
      <xdr:row>1452</xdr:row>
      <xdr:rowOff>114300</xdr:rowOff>
    </xdr:to>
    <xdr:sp macro="" textlink="">
      <xdr:nvSpPr>
        <xdr:cNvPr id="4525" name="AutoShape 145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969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1451</xdr:row>
      <xdr:rowOff>0</xdr:rowOff>
    </xdr:from>
    <xdr:to>
      <xdr:col>5</xdr:col>
      <xdr:colOff>304800</xdr:colOff>
      <xdr:row>1452</xdr:row>
      <xdr:rowOff>114300</xdr:rowOff>
    </xdr:to>
    <xdr:sp macro="" textlink="">
      <xdr:nvSpPr>
        <xdr:cNvPr id="4526" name="AutoShape 145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969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1453</xdr:row>
      <xdr:rowOff>0</xdr:rowOff>
    </xdr:from>
    <xdr:to>
      <xdr:col>4</xdr:col>
      <xdr:colOff>304800</xdr:colOff>
      <xdr:row>1454</xdr:row>
      <xdr:rowOff>76200</xdr:rowOff>
    </xdr:to>
    <xdr:sp macro="" textlink="">
      <xdr:nvSpPr>
        <xdr:cNvPr id="4527" name="AutoShape 145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027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1453</xdr:row>
      <xdr:rowOff>0</xdr:rowOff>
    </xdr:from>
    <xdr:to>
      <xdr:col>5</xdr:col>
      <xdr:colOff>304800</xdr:colOff>
      <xdr:row>1454</xdr:row>
      <xdr:rowOff>76200</xdr:rowOff>
    </xdr:to>
    <xdr:sp macro="" textlink="">
      <xdr:nvSpPr>
        <xdr:cNvPr id="4528" name="AutoShape 145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027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1455</xdr:row>
      <xdr:rowOff>0</xdr:rowOff>
    </xdr:from>
    <xdr:to>
      <xdr:col>4</xdr:col>
      <xdr:colOff>304800</xdr:colOff>
      <xdr:row>1456</xdr:row>
      <xdr:rowOff>114300</xdr:rowOff>
    </xdr:to>
    <xdr:sp macro="" textlink="">
      <xdr:nvSpPr>
        <xdr:cNvPr id="4529" name="AutoShape 145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070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1455</xdr:row>
      <xdr:rowOff>0</xdr:rowOff>
    </xdr:from>
    <xdr:to>
      <xdr:col>5</xdr:col>
      <xdr:colOff>304800</xdr:colOff>
      <xdr:row>1456</xdr:row>
      <xdr:rowOff>114300</xdr:rowOff>
    </xdr:to>
    <xdr:sp macro="" textlink="">
      <xdr:nvSpPr>
        <xdr:cNvPr id="4530" name="AutoShape 1458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070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1457</xdr:row>
      <xdr:rowOff>0</xdr:rowOff>
    </xdr:from>
    <xdr:to>
      <xdr:col>4</xdr:col>
      <xdr:colOff>304800</xdr:colOff>
      <xdr:row>1458</xdr:row>
      <xdr:rowOff>114300</xdr:rowOff>
    </xdr:to>
    <xdr:sp macro="" textlink="">
      <xdr:nvSpPr>
        <xdr:cNvPr id="4531" name="AutoShape 145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12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1457</xdr:row>
      <xdr:rowOff>0</xdr:rowOff>
    </xdr:from>
    <xdr:to>
      <xdr:col>5</xdr:col>
      <xdr:colOff>304800</xdr:colOff>
      <xdr:row>1458</xdr:row>
      <xdr:rowOff>114300</xdr:rowOff>
    </xdr:to>
    <xdr:sp macro="" textlink="">
      <xdr:nvSpPr>
        <xdr:cNvPr id="4532" name="AutoShape 146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12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1459</xdr:row>
      <xdr:rowOff>0</xdr:rowOff>
    </xdr:from>
    <xdr:to>
      <xdr:col>4</xdr:col>
      <xdr:colOff>304800</xdr:colOff>
      <xdr:row>1460</xdr:row>
      <xdr:rowOff>76200</xdr:rowOff>
    </xdr:to>
    <xdr:sp macro="" textlink="">
      <xdr:nvSpPr>
        <xdr:cNvPr id="4533" name="AutoShape 146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186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1459</xdr:row>
      <xdr:rowOff>0</xdr:rowOff>
    </xdr:from>
    <xdr:to>
      <xdr:col>5</xdr:col>
      <xdr:colOff>304800</xdr:colOff>
      <xdr:row>1460</xdr:row>
      <xdr:rowOff>76200</xdr:rowOff>
    </xdr:to>
    <xdr:sp macro="" textlink="">
      <xdr:nvSpPr>
        <xdr:cNvPr id="4534" name="AutoShape 146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186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1461</xdr:row>
      <xdr:rowOff>0</xdr:rowOff>
    </xdr:from>
    <xdr:to>
      <xdr:col>4</xdr:col>
      <xdr:colOff>304800</xdr:colOff>
      <xdr:row>1462</xdr:row>
      <xdr:rowOff>114300</xdr:rowOff>
    </xdr:to>
    <xdr:sp macro="" textlink="">
      <xdr:nvSpPr>
        <xdr:cNvPr id="4535" name="AutoShape 146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22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1461</xdr:row>
      <xdr:rowOff>0</xdr:rowOff>
    </xdr:from>
    <xdr:to>
      <xdr:col>5</xdr:col>
      <xdr:colOff>304800</xdr:colOff>
      <xdr:row>1462</xdr:row>
      <xdr:rowOff>114300</xdr:rowOff>
    </xdr:to>
    <xdr:sp macro="" textlink="">
      <xdr:nvSpPr>
        <xdr:cNvPr id="4536" name="AutoShape 146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22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1463</xdr:row>
      <xdr:rowOff>0</xdr:rowOff>
    </xdr:from>
    <xdr:to>
      <xdr:col>4</xdr:col>
      <xdr:colOff>304800</xdr:colOff>
      <xdr:row>1464</xdr:row>
      <xdr:rowOff>114300</xdr:rowOff>
    </xdr:to>
    <xdr:sp macro="" textlink="">
      <xdr:nvSpPr>
        <xdr:cNvPr id="4537" name="AutoShape 146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287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1463</xdr:row>
      <xdr:rowOff>0</xdr:rowOff>
    </xdr:from>
    <xdr:to>
      <xdr:col>5</xdr:col>
      <xdr:colOff>304800</xdr:colOff>
      <xdr:row>1464</xdr:row>
      <xdr:rowOff>114300</xdr:rowOff>
    </xdr:to>
    <xdr:sp macro="" textlink="">
      <xdr:nvSpPr>
        <xdr:cNvPr id="4538" name="AutoShape 146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287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1465</xdr:row>
      <xdr:rowOff>0</xdr:rowOff>
    </xdr:from>
    <xdr:to>
      <xdr:col>4</xdr:col>
      <xdr:colOff>304800</xdr:colOff>
      <xdr:row>1466</xdr:row>
      <xdr:rowOff>114300</xdr:rowOff>
    </xdr:to>
    <xdr:sp macro="" textlink="">
      <xdr:nvSpPr>
        <xdr:cNvPr id="4539" name="AutoShape 146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34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1465</xdr:row>
      <xdr:rowOff>0</xdr:rowOff>
    </xdr:from>
    <xdr:to>
      <xdr:col>5</xdr:col>
      <xdr:colOff>304800</xdr:colOff>
      <xdr:row>1466</xdr:row>
      <xdr:rowOff>114300</xdr:rowOff>
    </xdr:to>
    <xdr:sp macro="" textlink="">
      <xdr:nvSpPr>
        <xdr:cNvPr id="4540" name="AutoShape 14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34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1467</xdr:row>
      <xdr:rowOff>0</xdr:rowOff>
    </xdr:from>
    <xdr:to>
      <xdr:col>4</xdr:col>
      <xdr:colOff>304800</xdr:colOff>
      <xdr:row>1468</xdr:row>
      <xdr:rowOff>114300</xdr:rowOff>
    </xdr:to>
    <xdr:sp macro="" textlink="">
      <xdr:nvSpPr>
        <xdr:cNvPr id="4541" name="AutoShape 146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403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1467</xdr:row>
      <xdr:rowOff>0</xdr:rowOff>
    </xdr:from>
    <xdr:to>
      <xdr:col>5</xdr:col>
      <xdr:colOff>304800</xdr:colOff>
      <xdr:row>1468</xdr:row>
      <xdr:rowOff>114300</xdr:rowOff>
    </xdr:to>
    <xdr:sp macro="" textlink="">
      <xdr:nvSpPr>
        <xdr:cNvPr id="4542" name="AutoShape 147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403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1469</xdr:row>
      <xdr:rowOff>0</xdr:rowOff>
    </xdr:from>
    <xdr:to>
      <xdr:col>4</xdr:col>
      <xdr:colOff>304800</xdr:colOff>
      <xdr:row>1470</xdr:row>
      <xdr:rowOff>114300</xdr:rowOff>
    </xdr:to>
    <xdr:sp macro="" textlink="">
      <xdr:nvSpPr>
        <xdr:cNvPr id="4543" name="AutoShape 147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461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1469</xdr:row>
      <xdr:rowOff>0</xdr:rowOff>
    </xdr:from>
    <xdr:to>
      <xdr:col>5</xdr:col>
      <xdr:colOff>304800</xdr:colOff>
      <xdr:row>1470</xdr:row>
      <xdr:rowOff>114300</xdr:rowOff>
    </xdr:to>
    <xdr:sp macro="" textlink="">
      <xdr:nvSpPr>
        <xdr:cNvPr id="4544" name="AutoShape 147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461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1471</xdr:row>
      <xdr:rowOff>0</xdr:rowOff>
    </xdr:from>
    <xdr:to>
      <xdr:col>4</xdr:col>
      <xdr:colOff>304800</xdr:colOff>
      <xdr:row>1472</xdr:row>
      <xdr:rowOff>114300</xdr:rowOff>
    </xdr:to>
    <xdr:sp macro="" textlink="">
      <xdr:nvSpPr>
        <xdr:cNvPr id="4545" name="AutoShape 147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519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1471</xdr:row>
      <xdr:rowOff>0</xdr:rowOff>
    </xdr:from>
    <xdr:to>
      <xdr:col>5</xdr:col>
      <xdr:colOff>304800</xdr:colOff>
      <xdr:row>1472</xdr:row>
      <xdr:rowOff>114300</xdr:rowOff>
    </xdr:to>
    <xdr:sp macro="" textlink="">
      <xdr:nvSpPr>
        <xdr:cNvPr id="4546" name="AutoShape 147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519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1473</xdr:row>
      <xdr:rowOff>0</xdr:rowOff>
    </xdr:from>
    <xdr:to>
      <xdr:col>4</xdr:col>
      <xdr:colOff>304800</xdr:colOff>
      <xdr:row>1474</xdr:row>
      <xdr:rowOff>114300</xdr:rowOff>
    </xdr:to>
    <xdr:sp macro="" textlink="">
      <xdr:nvSpPr>
        <xdr:cNvPr id="4547" name="AutoShape 147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577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1473</xdr:row>
      <xdr:rowOff>0</xdr:rowOff>
    </xdr:from>
    <xdr:to>
      <xdr:col>5</xdr:col>
      <xdr:colOff>304800</xdr:colOff>
      <xdr:row>1474</xdr:row>
      <xdr:rowOff>114300</xdr:rowOff>
    </xdr:to>
    <xdr:sp macro="" textlink="">
      <xdr:nvSpPr>
        <xdr:cNvPr id="4548" name="AutoShape 147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577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1475</xdr:row>
      <xdr:rowOff>0</xdr:rowOff>
    </xdr:from>
    <xdr:to>
      <xdr:col>4</xdr:col>
      <xdr:colOff>304800</xdr:colOff>
      <xdr:row>1476</xdr:row>
      <xdr:rowOff>66675</xdr:rowOff>
    </xdr:to>
    <xdr:sp macro="" textlink="">
      <xdr:nvSpPr>
        <xdr:cNvPr id="4549" name="AutoShape 147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635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1475</xdr:row>
      <xdr:rowOff>0</xdr:rowOff>
    </xdr:from>
    <xdr:to>
      <xdr:col>5</xdr:col>
      <xdr:colOff>304800</xdr:colOff>
      <xdr:row>1476</xdr:row>
      <xdr:rowOff>66675</xdr:rowOff>
    </xdr:to>
    <xdr:sp macro="" textlink="">
      <xdr:nvSpPr>
        <xdr:cNvPr id="4550" name="AutoShape 147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635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1477</xdr:row>
      <xdr:rowOff>0</xdr:rowOff>
    </xdr:from>
    <xdr:to>
      <xdr:col>4</xdr:col>
      <xdr:colOff>304800</xdr:colOff>
      <xdr:row>1478</xdr:row>
      <xdr:rowOff>114300</xdr:rowOff>
    </xdr:to>
    <xdr:sp macro="" textlink="">
      <xdr:nvSpPr>
        <xdr:cNvPr id="4551" name="AutoShape 14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67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1477</xdr:row>
      <xdr:rowOff>0</xdr:rowOff>
    </xdr:from>
    <xdr:to>
      <xdr:col>5</xdr:col>
      <xdr:colOff>304800</xdr:colOff>
      <xdr:row>1478</xdr:row>
      <xdr:rowOff>114300</xdr:rowOff>
    </xdr:to>
    <xdr:sp macro="" textlink="">
      <xdr:nvSpPr>
        <xdr:cNvPr id="4552" name="AutoShape 148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67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1479</xdr:row>
      <xdr:rowOff>0</xdr:rowOff>
    </xdr:from>
    <xdr:to>
      <xdr:col>4</xdr:col>
      <xdr:colOff>304800</xdr:colOff>
      <xdr:row>1480</xdr:row>
      <xdr:rowOff>114300</xdr:rowOff>
    </xdr:to>
    <xdr:sp macro="" textlink="">
      <xdr:nvSpPr>
        <xdr:cNvPr id="4553" name="AutoShape 14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73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1479</xdr:row>
      <xdr:rowOff>0</xdr:rowOff>
    </xdr:from>
    <xdr:to>
      <xdr:col>5</xdr:col>
      <xdr:colOff>304800</xdr:colOff>
      <xdr:row>1480</xdr:row>
      <xdr:rowOff>114300</xdr:rowOff>
    </xdr:to>
    <xdr:sp macro="" textlink="">
      <xdr:nvSpPr>
        <xdr:cNvPr id="4554" name="AutoShape 148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73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1481</xdr:row>
      <xdr:rowOff>0</xdr:rowOff>
    </xdr:from>
    <xdr:to>
      <xdr:col>4</xdr:col>
      <xdr:colOff>304800</xdr:colOff>
      <xdr:row>1482</xdr:row>
      <xdr:rowOff>114300</xdr:rowOff>
    </xdr:to>
    <xdr:sp macro="" textlink="">
      <xdr:nvSpPr>
        <xdr:cNvPr id="4555" name="AutoShape 148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79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1481</xdr:row>
      <xdr:rowOff>0</xdr:rowOff>
    </xdr:from>
    <xdr:to>
      <xdr:col>5</xdr:col>
      <xdr:colOff>304800</xdr:colOff>
      <xdr:row>1482</xdr:row>
      <xdr:rowOff>114300</xdr:rowOff>
    </xdr:to>
    <xdr:sp macro="" textlink="">
      <xdr:nvSpPr>
        <xdr:cNvPr id="4556" name="AutoShape 148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79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1483</xdr:row>
      <xdr:rowOff>0</xdr:rowOff>
    </xdr:from>
    <xdr:to>
      <xdr:col>4</xdr:col>
      <xdr:colOff>304800</xdr:colOff>
      <xdr:row>1484</xdr:row>
      <xdr:rowOff>114300</xdr:rowOff>
    </xdr:to>
    <xdr:sp macro="" textlink="">
      <xdr:nvSpPr>
        <xdr:cNvPr id="4557" name="AutoShape 14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85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1483</xdr:row>
      <xdr:rowOff>0</xdr:rowOff>
    </xdr:from>
    <xdr:to>
      <xdr:col>5</xdr:col>
      <xdr:colOff>304800</xdr:colOff>
      <xdr:row>1484</xdr:row>
      <xdr:rowOff>114300</xdr:rowOff>
    </xdr:to>
    <xdr:sp macro="" textlink="">
      <xdr:nvSpPr>
        <xdr:cNvPr id="4558" name="AutoShape 148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85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1485</xdr:row>
      <xdr:rowOff>0</xdr:rowOff>
    </xdr:from>
    <xdr:to>
      <xdr:col>4</xdr:col>
      <xdr:colOff>304800</xdr:colOff>
      <xdr:row>1486</xdr:row>
      <xdr:rowOff>114300</xdr:rowOff>
    </xdr:to>
    <xdr:sp macro="" textlink="">
      <xdr:nvSpPr>
        <xdr:cNvPr id="4559" name="AutoShape 148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91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1485</xdr:row>
      <xdr:rowOff>0</xdr:rowOff>
    </xdr:from>
    <xdr:to>
      <xdr:col>5</xdr:col>
      <xdr:colOff>304800</xdr:colOff>
      <xdr:row>1486</xdr:row>
      <xdr:rowOff>114300</xdr:rowOff>
    </xdr:to>
    <xdr:sp macro="" textlink="">
      <xdr:nvSpPr>
        <xdr:cNvPr id="4560" name="AutoShape 148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91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1487</xdr:row>
      <xdr:rowOff>0</xdr:rowOff>
    </xdr:from>
    <xdr:to>
      <xdr:col>4</xdr:col>
      <xdr:colOff>304800</xdr:colOff>
      <xdr:row>1488</xdr:row>
      <xdr:rowOff>76200</xdr:rowOff>
    </xdr:to>
    <xdr:sp macro="" textlink="">
      <xdr:nvSpPr>
        <xdr:cNvPr id="4561" name="AutoShape 148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970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1487</xdr:row>
      <xdr:rowOff>0</xdr:rowOff>
    </xdr:from>
    <xdr:to>
      <xdr:col>5</xdr:col>
      <xdr:colOff>304800</xdr:colOff>
      <xdr:row>1488</xdr:row>
      <xdr:rowOff>76200</xdr:rowOff>
    </xdr:to>
    <xdr:sp macro="" textlink="">
      <xdr:nvSpPr>
        <xdr:cNvPr id="4562" name="AutoShape 149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970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1489</xdr:row>
      <xdr:rowOff>0</xdr:rowOff>
    </xdr:from>
    <xdr:to>
      <xdr:col>4</xdr:col>
      <xdr:colOff>304800</xdr:colOff>
      <xdr:row>1490</xdr:row>
      <xdr:rowOff>114300</xdr:rowOff>
    </xdr:to>
    <xdr:sp macro="" textlink="">
      <xdr:nvSpPr>
        <xdr:cNvPr id="4563" name="AutoShape 149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013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1489</xdr:row>
      <xdr:rowOff>0</xdr:rowOff>
    </xdr:from>
    <xdr:to>
      <xdr:col>5</xdr:col>
      <xdr:colOff>304800</xdr:colOff>
      <xdr:row>1490</xdr:row>
      <xdr:rowOff>114300</xdr:rowOff>
    </xdr:to>
    <xdr:sp macro="" textlink="">
      <xdr:nvSpPr>
        <xdr:cNvPr id="4564" name="AutoShape 149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013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1491</xdr:row>
      <xdr:rowOff>0</xdr:rowOff>
    </xdr:from>
    <xdr:to>
      <xdr:col>4</xdr:col>
      <xdr:colOff>304800</xdr:colOff>
      <xdr:row>1492</xdr:row>
      <xdr:rowOff>114300</xdr:rowOff>
    </xdr:to>
    <xdr:sp macro="" textlink="">
      <xdr:nvSpPr>
        <xdr:cNvPr id="4565" name="AutoShape 149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07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1491</xdr:row>
      <xdr:rowOff>0</xdr:rowOff>
    </xdr:from>
    <xdr:to>
      <xdr:col>5</xdr:col>
      <xdr:colOff>304800</xdr:colOff>
      <xdr:row>1492</xdr:row>
      <xdr:rowOff>114300</xdr:rowOff>
    </xdr:to>
    <xdr:sp macro="" textlink="">
      <xdr:nvSpPr>
        <xdr:cNvPr id="4566" name="AutoShape 149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07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1493</xdr:row>
      <xdr:rowOff>0</xdr:rowOff>
    </xdr:from>
    <xdr:to>
      <xdr:col>4</xdr:col>
      <xdr:colOff>304800</xdr:colOff>
      <xdr:row>1494</xdr:row>
      <xdr:rowOff>114300</xdr:rowOff>
    </xdr:to>
    <xdr:sp macro="" textlink="">
      <xdr:nvSpPr>
        <xdr:cNvPr id="4567" name="AutoShape 149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129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1493</xdr:row>
      <xdr:rowOff>0</xdr:rowOff>
    </xdr:from>
    <xdr:to>
      <xdr:col>5</xdr:col>
      <xdr:colOff>304800</xdr:colOff>
      <xdr:row>1494</xdr:row>
      <xdr:rowOff>114300</xdr:rowOff>
    </xdr:to>
    <xdr:sp macro="" textlink="">
      <xdr:nvSpPr>
        <xdr:cNvPr id="4568" name="AutoShape 149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129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1495</xdr:row>
      <xdr:rowOff>0</xdr:rowOff>
    </xdr:from>
    <xdr:to>
      <xdr:col>4</xdr:col>
      <xdr:colOff>304800</xdr:colOff>
      <xdr:row>1496</xdr:row>
      <xdr:rowOff>114300</xdr:rowOff>
    </xdr:to>
    <xdr:sp macro="" textlink="">
      <xdr:nvSpPr>
        <xdr:cNvPr id="4569" name="AutoShape 149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206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1495</xdr:row>
      <xdr:rowOff>0</xdr:rowOff>
    </xdr:from>
    <xdr:to>
      <xdr:col>5</xdr:col>
      <xdr:colOff>304800</xdr:colOff>
      <xdr:row>1496</xdr:row>
      <xdr:rowOff>114300</xdr:rowOff>
    </xdr:to>
    <xdr:sp macro="" textlink="">
      <xdr:nvSpPr>
        <xdr:cNvPr id="4570" name="AutoShape 149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206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1497</xdr:row>
      <xdr:rowOff>0</xdr:rowOff>
    </xdr:from>
    <xdr:to>
      <xdr:col>4</xdr:col>
      <xdr:colOff>304800</xdr:colOff>
      <xdr:row>1498</xdr:row>
      <xdr:rowOff>114300</xdr:rowOff>
    </xdr:to>
    <xdr:sp macro="" textlink="">
      <xdr:nvSpPr>
        <xdr:cNvPr id="4571" name="AutoShape 149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26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1497</xdr:row>
      <xdr:rowOff>0</xdr:rowOff>
    </xdr:from>
    <xdr:to>
      <xdr:col>5</xdr:col>
      <xdr:colOff>304800</xdr:colOff>
      <xdr:row>1498</xdr:row>
      <xdr:rowOff>114300</xdr:rowOff>
    </xdr:to>
    <xdr:sp macro="" textlink="">
      <xdr:nvSpPr>
        <xdr:cNvPr id="4572" name="AutoShape 150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26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1499</xdr:row>
      <xdr:rowOff>0</xdr:rowOff>
    </xdr:from>
    <xdr:to>
      <xdr:col>4</xdr:col>
      <xdr:colOff>304800</xdr:colOff>
      <xdr:row>1500</xdr:row>
      <xdr:rowOff>114300</xdr:rowOff>
    </xdr:to>
    <xdr:sp macro="" textlink="">
      <xdr:nvSpPr>
        <xdr:cNvPr id="4573" name="AutoShape 15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32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1499</xdr:row>
      <xdr:rowOff>0</xdr:rowOff>
    </xdr:from>
    <xdr:to>
      <xdr:col>5</xdr:col>
      <xdr:colOff>304800</xdr:colOff>
      <xdr:row>1500</xdr:row>
      <xdr:rowOff>114300</xdr:rowOff>
    </xdr:to>
    <xdr:sp macro="" textlink="">
      <xdr:nvSpPr>
        <xdr:cNvPr id="4574" name="AutoShape 150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32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1501</xdr:row>
      <xdr:rowOff>0</xdr:rowOff>
    </xdr:from>
    <xdr:to>
      <xdr:col>4</xdr:col>
      <xdr:colOff>304800</xdr:colOff>
      <xdr:row>1502</xdr:row>
      <xdr:rowOff>114300</xdr:rowOff>
    </xdr:to>
    <xdr:sp macro="" textlink="">
      <xdr:nvSpPr>
        <xdr:cNvPr id="4575" name="AutoShape 15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380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1501</xdr:row>
      <xdr:rowOff>0</xdr:rowOff>
    </xdr:from>
    <xdr:to>
      <xdr:col>5</xdr:col>
      <xdr:colOff>304800</xdr:colOff>
      <xdr:row>1502</xdr:row>
      <xdr:rowOff>114300</xdr:rowOff>
    </xdr:to>
    <xdr:sp macro="" textlink="">
      <xdr:nvSpPr>
        <xdr:cNvPr id="4576" name="AutoShape 150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380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1503</xdr:row>
      <xdr:rowOff>0</xdr:rowOff>
    </xdr:from>
    <xdr:to>
      <xdr:col>4</xdr:col>
      <xdr:colOff>304800</xdr:colOff>
      <xdr:row>1504</xdr:row>
      <xdr:rowOff>114300</xdr:rowOff>
    </xdr:to>
    <xdr:sp macro="" textlink="">
      <xdr:nvSpPr>
        <xdr:cNvPr id="4577" name="AutoShape 150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43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1503</xdr:row>
      <xdr:rowOff>0</xdr:rowOff>
    </xdr:from>
    <xdr:to>
      <xdr:col>5</xdr:col>
      <xdr:colOff>304800</xdr:colOff>
      <xdr:row>1504</xdr:row>
      <xdr:rowOff>114300</xdr:rowOff>
    </xdr:to>
    <xdr:sp macro="" textlink="">
      <xdr:nvSpPr>
        <xdr:cNvPr id="4578" name="AutoShape 150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43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1505</xdr:row>
      <xdr:rowOff>0</xdr:rowOff>
    </xdr:from>
    <xdr:to>
      <xdr:col>4</xdr:col>
      <xdr:colOff>304800</xdr:colOff>
      <xdr:row>1506</xdr:row>
      <xdr:rowOff>114300</xdr:rowOff>
    </xdr:to>
    <xdr:sp macro="" textlink="">
      <xdr:nvSpPr>
        <xdr:cNvPr id="4579" name="AutoShape 15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496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1505</xdr:row>
      <xdr:rowOff>0</xdr:rowOff>
    </xdr:from>
    <xdr:to>
      <xdr:col>5</xdr:col>
      <xdr:colOff>304800</xdr:colOff>
      <xdr:row>1506</xdr:row>
      <xdr:rowOff>114300</xdr:rowOff>
    </xdr:to>
    <xdr:sp macro="" textlink="">
      <xdr:nvSpPr>
        <xdr:cNvPr id="4580" name="AutoShape 150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496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1507</xdr:row>
      <xdr:rowOff>0</xdr:rowOff>
    </xdr:from>
    <xdr:to>
      <xdr:col>4</xdr:col>
      <xdr:colOff>304800</xdr:colOff>
      <xdr:row>1508</xdr:row>
      <xdr:rowOff>114300</xdr:rowOff>
    </xdr:to>
    <xdr:sp macro="" textlink="">
      <xdr:nvSpPr>
        <xdr:cNvPr id="4581" name="AutoShape 150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555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1507</xdr:row>
      <xdr:rowOff>0</xdr:rowOff>
    </xdr:from>
    <xdr:to>
      <xdr:col>5</xdr:col>
      <xdr:colOff>304800</xdr:colOff>
      <xdr:row>1508</xdr:row>
      <xdr:rowOff>114300</xdr:rowOff>
    </xdr:to>
    <xdr:sp macro="" textlink="">
      <xdr:nvSpPr>
        <xdr:cNvPr id="4582" name="AutoShape 151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555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1509</xdr:row>
      <xdr:rowOff>0</xdr:rowOff>
    </xdr:from>
    <xdr:to>
      <xdr:col>4</xdr:col>
      <xdr:colOff>304800</xdr:colOff>
      <xdr:row>1510</xdr:row>
      <xdr:rowOff>114300</xdr:rowOff>
    </xdr:to>
    <xdr:sp macro="" textlink="">
      <xdr:nvSpPr>
        <xdr:cNvPr id="4583" name="AutoShape 15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613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1509</xdr:row>
      <xdr:rowOff>0</xdr:rowOff>
    </xdr:from>
    <xdr:to>
      <xdr:col>5</xdr:col>
      <xdr:colOff>304800</xdr:colOff>
      <xdr:row>1510</xdr:row>
      <xdr:rowOff>114300</xdr:rowOff>
    </xdr:to>
    <xdr:sp macro="" textlink="">
      <xdr:nvSpPr>
        <xdr:cNvPr id="4584" name="AutoShape 151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613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1511</xdr:row>
      <xdr:rowOff>0</xdr:rowOff>
    </xdr:from>
    <xdr:to>
      <xdr:col>4</xdr:col>
      <xdr:colOff>304800</xdr:colOff>
      <xdr:row>1512</xdr:row>
      <xdr:rowOff>76200</xdr:rowOff>
    </xdr:to>
    <xdr:sp macro="" textlink="">
      <xdr:nvSpPr>
        <xdr:cNvPr id="4585" name="AutoShape 151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67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1511</xdr:row>
      <xdr:rowOff>0</xdr:rowOff>
    </xdr:from>
    <xdr:to>
      <xdr:col>5</xdr:col>
      <xdr:colOff>304800</xdr:colOff>
      <xdr:row>1512</xdr:row>
      <xdr:rowOff>76200</xdr:rowOff>
    </xdr:to>
    <xdr:sp macro="" textlink="">
      <xdr:nvSpPr>
        <xdr:cNvPr id="4586" name="AutoShape 151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67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1513</xdr:row>
      <xdr:rowOff>0</xdr:rowOff>
    </xdr:from>
    <xdr:to>
      <xdr:col>4</xdr:col>
      <xdr:colOff>304800</xdr:colOff>
      <xdr:row>1514</xdr:row>
      <xdr:rowOff>114300</xdr:rowOff>
    </xdr:to>
    <xdr:sp macro="" textlink="">
      <xdr:nvSpPr>
        <xdr:cNvPr id="4587" name="AutoShape 151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71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1513</xdr:row>
      <xdr:rowOff>0</xdr:rowOff>
    </xdr:from>
    <xdr:to>
      <xdr:col>5</xdr:col>
      <xdr:colOff>304800</xdr:colOff>
      <xdr:row>1514</xdr:row>
      <xdr:rowOff>114300</xdr:rowOff>
    </xdr:to>
    <xdr:sp macro="" textlink="">
      <xdr:nvSpPr>
        <xdr:cNvPr id="4588" name="AutoShape 151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71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1515</xdr:row>
      <xdr:rowOff>0</xdr:rowOff>
    </xdr:from>
    <xdr:to>
      <xdr:col>4</xdr:col>
      <xdr:colOff>304800</xdr:colOff>
      <xdr:row>1516</xdr:row>
      <xdr:rowOff>114300</xdr:rowOff>
    </xdr:to>
    <xdr:sp macro="" textlink="">
      <xdr:nvSpPr>
        <xdr:cNvPr id="4589" name="AutoShape 151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772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1515</xdr:row>
      <xdr:rowOff>0</xdr:rowOff>
    </xdr:from>
    <xdr:to>
      <xdr:col>5</xdr:col>
      <xdr:colOff>304800</xdr:colOff>
      <xdr:row>1516</xdr:row>
      <xdr:rowOff>114300</xdr:rowOff>
    </xdr:to>
    <xdr:sp macro="" textlink="">
      <xdr:nvSpPr>
        <xdr:cNvPr id="4590" name="AutoShape 151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772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1517</xdr:row>
      <xdr:rowOff>0</xdr:rowOff>
    </xdr:from>
    <xdr:to>
      <xdr:col>4</xdr:col>
      <xdr:colOff>304800</xdr:colOff>
      <xdr:row>1518</xdr:row>
      <xdr:rowOff>76200</xdr:rowOff>
    </xdr:to>
    <xdr:sp macro="" textlink="">
      <xdr:nvSpPr>
        <xdr:cNvPr id="4591" name="AutoShape 151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830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1517</xdr:row>
      <xdr:rowOff>0</xdr:rowOff>
    </xdr:from>
    <xdr:to>
      <xdr:col>5</xdr:col>
      <xdr:colOff>304800</xdr:colOff>
      <xdr:row>1518</xdr:row>
      <xdr:rowOff>76200</xdr:rowOff>
    </xdr:to>
    <xdr:sp macro="" textlink="">
      <xdr:nvSpPr>
        <xdr:cNvPr id="4592" name="AutoShape 152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830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1519</xdr:row>
      <xdr:rowOff>0</xdr:rowOff>
    </xdr:from>
    <xdr:to>
      <xdr:col>4</xdr:col>
      <xdr:colOff>304800</xdr:colOff>
      <xdr:row>1520</xdr:row>
      <xdr:rowOff>76200</xdr:rowOff>
    </xdr:to>
    <xdr:sp macro="" textlink="">
      <xdr:nvSpPr>
        <xdr:cNvPr id="4593" name="AutoShape 152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873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1519</xdr:row>
      <xdr:rowOff>0</xdr:rowOff>
    </xdr:from>
    <xdr:to>
      <xdr:col>5</xdr:col>
      <xdr:colOff>304800</xdr:colOff>
      <xdr:row>1520</xdr:row>
      <xdr:rowOff>76200</xdr:rowOff>
    </xdr:to>
    <xdr:sp macro="" textlink="">
      <xdr:nvSpPr>
        <xdr:cNvPr id="4594" name="AutoShape 152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873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1521</xdr:row>
      <xdr:rowOff>0</xdr:rowOff>
    </xdr:from>
    <xdr:to>
      <xdr:col>4</xdr:col>
      <xdr:colOff>304800</xdr:colOff>
      <xdr:row>1522</xdr:row>
      <xdr:rowOff>114300</xdr:rowOff>
    </xdr:to>
    <xdr:sp macro="" textlink="">
      <xdr:nvSpPr>
        <xdr:cNvPr id="4595" name="AutoShape 152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916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1521</xdr:row>
      <xdr:rowOff>0</xdr:rowOff>
    </xdr:from>
    <xdr:to>
      <xdr:col>5</xdr:col>
      <xdr:colOff>304800</xdr:colOff>
      <xdr:row>1522</xdr:row>
      <xdr:rowOff>114300</xdr:rowOff>
    </xdr:to>
    <xdr:sp macro="" textlink="">
      <xdr:nvSpPr>
        <xdr:cNvPr id="4596" name="AutoShape 152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916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1523</xdr:row>
      <xdr:rowOff>0</xdr:rowOff>
    </xdr:from>
    <xdr:to>
      <xdr:col>4</xdr:col>
      <xdr:colOff>304800</xdr:colOff>
      <xdr:row>1524</xdr:row>
      <xdr:rowOff>114300</xdr:rowOff>
    </xdr:to>
    <xdr:sp macro="" textlink="">
      <xdr:nvSpPr>
        <xdr:cNvPr id="4597" name="AutoShape 152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974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1523</xdr:row>
      <xdr:rowOff>0</xdr:rowOff>
    </xdr:from>
    <xdr:to>
      <xdr:col>5</xdr:col>
      <xdr:colOff>304800</xdr:colOff>
      <xdr:row>1524</xdr:row>
      <xdr:rowOff>114300</xdr:rowOff>
    </xdr:to>
    <xdr:sp macro="" textlink="">
      <xdr:nvSpPr>
        <xdr:cNvPr id="4598" name="AutoShape 152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974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1525</xdr:row>
      <xdr:rowOff>0</xdr:rowOff>
    </xdr:from>
    <xdr:to>
      <xdr:col>4</xdr:col>
      <xdr:colOff>304800</xdr:colOff>
      <xdr:row>1526</xdr:row>
      <xdr:rowOff>114300</xdr:rowOff>
    </xdr:to>
    <xdr:sp macro="" textlink="">
      <xdr:nvSpPr>
        <xdr:cNvPr id="4599" name="AutoShape 152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032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1525</xdr:row>
      <xdr:rowOff>0</xdr:rowOff>
    </xdr:from>
    <xdr:to>
      <xdr:col>5</xdr:col>
      <xdr:colOff>304800</xdr:colOff>
      <xdr:row>1526</xdr:row>
      <xdr:rowOff>114300</xdr:rowOff>
    </xdr:to>
    <xdr:sp macro="" textlink="">
      <xdr:nvSpPr>
        <xdr:cNvPr id="4600" name="AutoShape 152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032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1527</xdr:row>
      <xdr:rowOff>0</xdr:rowOff>
    </xdr:from>
    <xdr:to>
      <xdr:col>4</xdr:col>
      <xdr:colOff>304800</xdr:colOff>
      <xdr:row>1528</xdr:row>
      <xdr:rowOff>114300</xdr:rowOff>
    </xdr:to>
    <xdr:sp macro="" textlink="">
      <xdr:nvSpPr>
        <xdr:cNvPr id="4601" name="AutoShape 152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090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1527</xdr:row>
      <xdr:rowOff>0</xdr:rowOff>
    </xdr:from>
    <xdr:to>
      <xdr:col>5</xdr:col>
      <xdr:colOff>304800</xdr:colOff>
      <xdr:row>1528</xdr:row>
      <xdr:rowOff>114300</xdr:rowOff>
    </xdr:to>
    <xdr:sp macro="" textlink="">
      <xdr:nvSpPr>
        <xdr:cNvPr id="4602" name="AutoShape 153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090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1529</xdr:row>
      <xdr:rowOff>0</xdr:rowOff>
    </xdr:from>
    <xdr:to>
      <xdr:col>4</xdr:col>
      <xdr:colOff>304800</xdr:colOff>
      <xdr:row>1530</xdr:row>
      <xdr:rowOff>114300</xdr:rowOff>
    </xdr:to>
    <xdr:sp macro="" textlink="">
      <xdr:nvSpPr>
        <xdr:cNvPr id="4603" name="AutoShape 153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14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1529</xdr:row>
      <xdr:rowOff>0</xdr:rowOff>
    </xdr:from>
    <xdr:to>
      <xdr:col>5</xdr:col>
      <xdr:colOff>304800</xdr:colOff>
      <xdr:row>1530</xdr:row>
      <xdr:rowOff>114300</xdr:rowOff>
    </xdr:to>
    <xdr:sp macro="" textlink="">
      <xdr:nvSpPr>
        <xdr:cNvPr id="4604" name="AutoShape 15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14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1531</xdr:row>
      <xdr:rowOff>0</xdr:rowOff>
    </xdr:from>
    <xdr:to>
      <xdr:col>4</xdr:col>
      <xdr:colOff>304800</xdr:colOff>
      <xdr:row>1532</xdr:row>
      <xdr:rowOff>114300</xdr:rowOff>
    </xdr:to>
    <xdr:sp macro="" textlink="">
      <xdr:nvSpPr>
        <xdr:cNvPr id="4605" name="AutoShape 153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206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1531</xdr:row>
      <xdr:rowOff>0</xdr:rowOff>
    </xdr:from>
    <xdr:to>
      <xdr:col>5</xdr:col>
      <xdr:colOff>304800</xdr:colOff>
      <xdr:row>1532</xdr:row>
      <xdr:rowOff>114300</xdr:rowOff>
    </xdr:to>
    <xdr:sp macro="" textlink="">
      <xdr:nvSpPr>
        <xdr:cNvPr id="4606" name="AutoShape 153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206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1533</xdr:row>
      <xdr:rowOff>0</xdr:rowOff>
    </xdr:from>
    <xdr:to>
      <xdr:col>4</xdr:col>
      <xdr:colOff>304800</xdr:colOff>
      <xdr:row>1534</xdr:row>
      <xdr:rowOff>76200</xdr:rowOff>
    </xdr:to>
    <xdr:sp macro="" textlink="">
      <xdr:nvSpPr>
        <xdr:cNvPr id="4607" name="AutoShape 153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26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1533</xdr:row>
      <xdr:rowOff>0</xdr:rowOff>
    </xdr:from>
    <xdr:to>
      <xdr:col>5</xdr:col>
      <xdr:colOff>304800</xdr:colOff>
      <xdr:row>1534</xdr:row>
      <xdr:rowOff>76200</xdr:rowOff>
    </xdr:to>
    <xdr:sp macro="" textlink="">
      <xdr:nvSpPr>
        <xdr:cNvPr id="4608" name="AutoShape 153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26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1535</xdr:row>
      <xdr:rowOff>0</xdr:rowOff>
    </xdr:from>
    <xdr:to>
      <xdr:col>4</xdr:col>
      <xdr:colOff>304800</xdr:colOff>
      <xdr:row>1536</xdr:row>
      <xdr:rowOff>114300</xdr:rowOff>
    </xdr:to>
    <xdr:sp macro="" textlink="">
      <xdr:nvSpPr>
        <xdr:cNvPr id="4609" name="AutoShape 153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30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1535</xdr:row>
      <xdr:rowOff>0</xdr:rowOff>
    </xdr:from>
    <xdr:to>
      <xdr:col>5</xdr:col>
      <xdr:colOff>304800</xdr:colOff>
      <xdr:row>1536</xdr:row>
      <xdr:rowOff>114300</xdr:rowOff>
    </xdr:to>
    <xdr:sp macro="" textlink="">
      <xdr:nvSpPr>
        <xdr:cNvPr id="4610" name="AutoShape 153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30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1537</xdr:row>
      <xdr:rowOff>0</xdr:rowOff>
    </xdr:from>
    <xdr:to>
      <xdr:col>4</xdr:col>
      <xdr:colOff>304800</xdr:colOff>
      <xdr:row>1538</xdr:row>
      <xdr:rowOff>114300</xdr:rowOff>
    </xdr:to>
    <xdr:sp macro="" textlink="">
      <xdr:nvSpPr>
        <xdr:cNvPr id="4611" name="AutoShape 15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365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1537</xdr:row>
      <xdr:rowOff>0</xdr:rowOff>
    </xdr:from>
    <xdr:to>
      <xdr:col>5</xdr:col>
      <xdr:colOff>304800</xdr:colOff>
      <xdr:row>1538</xdr:row>
      <xdr:rowOff>114300</xdr:rowOff>
    </xdr:to>
    <xdr:sp macro="" textlink="">
      <xdr:nvSpPr>
        <xdr:cNvPr id="4612" name="AutoShape 154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365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1539</xdr:row>
      <xdr:rowOff>0</xdr:rowOff>
    </xdr:from>
    <xdr:to>
      <xdr:col>4</xdr:col>
      <xdr:colOff>304800</xdr:colOff>
      <xdr:row>1540</xdr:row>
      <xdr:rowOff>114300</xdr:rowOff>
    </xdr:to>
    <xdr:sp macro="" textlink="">
      <xdr:nvSpPr>
        <xdr:cNvPr id="4613" name="AutoShape 154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423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1539</xdr:row>
      <xdr:rowOff>0</xdr:rowOff>
    </xdr:from>
    <xdr:to>
      <xdr:col>5</xdr:col>
      <xdr:colOff>304800</xdr:colOff>
      <xdr:row>1540</xdr:row>
      <xdr:rowOff>114300</xdr:rowOff>
    </xdr:to>
    <xdr:sp macro="" textlink="">
      <xdr:nvSpPr>
        <xdr:cNvPr id="4614" name="AutoShape 154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423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1541</xdr:row>
      <xdr:rowOff>0</xdr:rowOff>
    </xdr:from>
    <xdr:to>
      <xdr:col>4</xdr:col>
      <xdr:colOff>304800</xdr:colOff>
      <xdr:row>1542</xdr:row>
      <xdr:rowOff>114300</xdr:rowOff>
    </xdr:to>
    <xdr:sp macro="" textlink="">
      <xdr:nvSpPr>
        <xdr:cNvPr id="4615" name="AutoShape 154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481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1541</xdr:row>
      <xdr:rowOff>0</xdr:rowOff>
    </xdr:from>
    <xdr:to>
      <xdr:col>5</xdr:col>
      <xdr:colOff>304800</xdr:colOff>
      <xdr:row>1542</xdr:row>
      <xdr:rowOff>114300</xdr:rowOff>
    </xdr:to>
    <xdr:sp macro="" textlink="">
      <xdr:nvSpPr>
        <xdr:cNvPr id="4616" name="AutoShape 154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481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1543</xdr:row>
      <xdr:rowOff>0</xdr:rowOff>
    </xdr:from>
    <xdr:to>
      <xdr:col>4</xdr:col>
      <xdr:colOff>304800</xdr:colOff>
      <xdr:row>1544</xdr:row>
      <xdr:rowOff>114300</xdr:rowOff>
    </xdr:to>
    <xdr:sp macro="" textlink="">
      <xdr:nvSpPr>
        <xdr:cNvPr id="4617" name="AutoShape 154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53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1543</xdr:row>
      <xdr:rowOff>0</xdr:rowOff>
    </xdr:from>
    <xdr:to>
      <xdr:col>5</xdr:col>
      <xdr:colOff>304800</xdr:colOff>
      <xdr:row>1544</xdr:row>
      <xdr:rowOff>114300</xdr:rowOff>
    </xdr:to>
    <xdr:sp macro="" textlink="">
      <xdr:nvSpPr>
        <xdr:cNvPr id="4618" name="AutoShape 154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53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1545</xdr:row>
      <xdr:rowOff>0</xdr:rowOff>
    </xdr:from>
    <xdr:to>
      <xdr:col>4</xdr:col>
      <xdr:colOff>304800</xdr:colOff>
      <xdr:row>1546</xdr:row>
      <xdr:rowOff>114300</xdr:rowOff>
    </xdr:to>
    <xdr:sp macro="" textlink="">
      <xdr:nvSpPr>
        <xdr:cNvPr id="4619" name="AutoShape 154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59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1545</xdr:row>
      <xdr:rowOff>0</xdr:rowOff>
    </xdr:from>
    <xdr:to>
      <xdr:col>5</xdr:col>
      <xdr:colOff>304800</xdr:colOff>
      <xdr:row>1546</xdr:row>
      <xdr:rowOff>114300</xdr:rowOff>
    </xdr:to>
    <xdr:sp macro="" textlink="">
      <xdr:nvSpPr>
        <xdr:cNvPr id="4620" name="AutoShape 154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59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1547</xdr:row>
      <xdr:rowOff>0</xdr:rowOff>
    </xdr:from>
    <xdr:to>
      <xdr:col>4</xdr:col>
      <xdr:colOff>304800</xdr:colOff>
      <xdr:row>1548</xdr:row>
      <xdr:rowOff>114300</xdr:rowOff>
    </xdr:to>
    <xdr:sp macro="" textlink="">
      <xdr:nvSpPr>
        <xdr:cNvPr id="4621" name="AutoShape 154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65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1547</xdr:row>
      <xdr:rowOff>0</xdr:rowOff>
    </xdr:from>
    <xdr:to>
      <xdr:col>5</xdr:col>
      <xdr:colOff>304800</xdr:colOff>
      <xdr:row>1548</xdr:row>
      <xdr:rowOff>114300</xdr:rowOff>
    </xdr:to>
    <xdr:sp macro="" textlink="">
      <xdr:nvSpPr>
        <xdr:cNvPr id="4622" name="AutoShape 155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65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1549</xdr:row>
      <xdr:rowOff>0</xdr:rowOff>
    </xdr:from>
    <xdr:to>
      <xdr:col>4</xdr:col>
      <xdr:colOff>304800</xdr:colOff>
      <xdr:row>1550</xdr:row>
      <xdr:rowOff>114300</xdr:rowOff>
    </xdr:to>
    <xdr:sp macro="" textlink="">
      <xdr:nvSpPr>
        <xdr:cNvPr id="4623" name="AutoShape 155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71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1549</xdr:row>
      <xdr:rowOff>0</xdr:rowOff>
    </xdr:from>
    <xdr:to>
      <xdr:col>5</xdr:col>
      <xdr:colOff>304800</xdr:colOff>
      <xdr:row>1550</xdr:row>
      <xdr:rowOff>114300</xdr:rowOff>
    </xdr:to>
    <xdr:sp macro="" textlink="">
      <xdr:nvSpPr>
        <xdr:cNvPr id="4624" name="AutoShape 15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71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1551</xdr:row>
      <xdr:rowOff>0</xdr:rowOff>
    </xdr:from>
    <xdr:to>
      <xdr:col>4</xdr:col>
      <xdr:colOff>304800</xdr:colOff>
      <xdr:row>1552</xdr:row>
      <xdr:rowOff>114300</xdr:rowOff>
    </xdr:to>
    <xdr:sp macro="" textlink="">
      <xdr:nvSpPr>
        <xdr:cNvPr id="4625" name="AutoShape 15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772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1551</xdr:row>
      <xdr:rowOff>0</xdr:rowOff>
    </xdr:from>
    <xdr:to>
      <xdr:col>5</xdr:col>
      <xdr:colOff>304800</xdr:colOff>
      <xdr:row>1552</xdr:row>
      <xdr:rowOff>114300</xdr:rowOff>
    </xdr:to>
    <xdr:sp macro="" textlink="">
      <xdr:nvSpPr>
        <xdr:cNvPr id="4626" name="AutoShape 155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772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1553</xdr:row>
      <xdr:rowOff>0</xdr:rowOff>
    </xdr:from>
    <xdr:to>
      <xdr:col>4</xdr:col>
      <xdr:colOff>304800</xdr:colOff>
      <xdr:row>1554</xdr:row>
      <xdr:rowOff>76200</xdr:rowOff>
    </xdr:to>
    <xdr:sp macro="" textlink="">
      <xdr:nvSpPr>
        <xdr:cNvPr id="4627" name="AutoShape 155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830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1553</xdr:row>
      <xdr:rowOff>0</xdr:rowOff>
    </xdr:from>
    <xdr:to>
      <xdr:col>5</xdr:col>
      <xdr:colOff>304800</xdr:colOff>
      <xdr:row>1554</xdr:row>
      <xdr:rowOff>76200</xdr:rowOff>
    </xdr:to>
    <xdr:sp macro="" textlink="">
      <xdr:nvSpPr>
        <xdr:cNvPr id="4628" name="AutoShape 155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830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1555</xdr:row>
      <xdr:rowOff>0</xdr:rowOff>
    </xdr:from>
    <xdr:to>
      <xdr:col>4</xdr:col>
      <xdr:colOff>304800</xdr:colOff>
      <xdr:row>1556</xdr:row>
      <xdr:rowOff>114300</xdr:rowOff>
    </xdr:to>
    <xdr:sp macro="" textlink="">
      <xdr:nvSpPr>
        <xdr:cNvPr id="4629" name="AutoShape 155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873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1555</xdr:row>
      <xdr:rowOff>0</xdr:rowOff>
    </xdr:from>
    <xdr:to>
      <xdr:col>5</xdr:col>
      <xdr:colOff>304800</xdr:colOff>
      <xdr:row>1556</xdr:row>
      <xdr:rowOff>114300</xdr:rowOff>
    </xdr:to>
    <xdr:sp macro="" textlink="">
      <xdr:nvSpPr>
        <xdr:cNvPr id="4630" name="AutoShape 155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873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1557</xdr:row>
      <xdr:rowOff>0</xdr:rowOff>
    </xdr:from>
    <xdr:to>
      <xdr:col>4</xdr:col>
      <xdr:colOff>304800</xdr:colOff>
      <xdr:row>1558</xdr:row>
      <xdr:rowOff>114300</xdr:rowOff>
    </xdr:to>
    <xdr:sp macro="" textlink="">
      <xdr:nvSpPr>
        <xdr:cNvPr id="4631" name="AutoShape 155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931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1557</xdr:row>
      <xdr:rowOff>0</xdr:rowOff>
    </xdr:from>
    <xdr:to>
      <xdr:col>5</xdr:col>
      <xdr:colOff>304800</xdr:colOff>
      <xdr:row>1558</xdr:row>
      <xdr:rowOff>114300</xdr:rowOff>
    </xdr:to>
    <xdr:sp macro="" textlink="">
      <xdr:nvSpPr>
        <xdr:cNvPr id="4632" name="AutoShape 156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931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1559</xdr:row>
      <xdr:rowOff>0</xdr:rowOff>
    </xdr:from>
    <xdr:to>
      <xdr:col>4</xdr:col>
      <xdr:colOff>304800</xdr:colOff>
      <xdr:row>1560</xdr:row>
      <xdr:rowOff>76200</xdr:rowOff>
    </xdr:to>
    <xdr:sp macro="" textlink="">
      <xdr:nvSpPr>
        <xdr:cNvPr id="4633" name="AutoShape 15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989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1559</xdr:row>
      <xdr:rowOff>0</xdr:rowOff>
    </xdr:from>
    <xdr:to>
      <xdr:col>5</xdr:col>
      <xdr:colOff>304800</xdr:colOff>
      <xdr:row>1560</xdr:row>
      <xdr:rowOff>76200</xdr:rowOff>
    </xdr:to>
    <xdr:sp macro="" textlink="">
      <xdr:nvSpPr>
        <xdr:cNvPr id="4634" name="AutoShape 156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989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1561</xdr:row>
      <xdr:rowOff>0</xdr:rowOff>
    </xdr:from>
    <xdr:to>
      <xdr:col>4</xdr:col>
      <xdr:colOff>304800</xdr:colOff>
      <xdr:row>1562</xdr:row>
      <xdr:rowOff>114300</xdr:rowOff>
    </xdr:to>
    <xdr:sp macro="" textlink="">
      <xdr:nvSpPr>
        <xdr:cNvPr id="4635" name="AutoShape 156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032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1561</xdr:row>
      <xdr:rowOff>0</xdr:rowOff>
    </xdr:from>
    <xdr:to>
      <xdr:col>5</xdr:col>
      <xdr:colOff>304800</xdr:colOff>
      <xdr:row>1562</xdr:row>
      <xdr:rowOff>114300</xdr:rowOff>
    </xdr:to>
    <xdr:sp macro="" textlink="">
      <xdr:nvSpPr>
        <xdr:cNvPr id="4636" name="AutoShape 156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032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1563</xdr:row>
      <xdr:rowOff>0</xdr:rowOff>
    </xdr:from>
    <xdr:to>
      <xdr:col>4</xdr:col>
      <xdr:colOff>304800</xdr:colOff>
      <xdr:row>1564</xdr:row>
      <xdr:rowOff>114300</xdr:rowOff>
    </xdr:to>
    <xdr:sp macro="" textlink="">
      <xdr:nvSpPr>
        <xdr:cNvPr id="4637" name="AutoShape 15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09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1563</xdr:row>
      <xdr:rowOff>0</xdr:rowOff>
    </xdr:from>
    <xdr:to>
      <xdr:col>5</xdr:col>
      <xdr:colOff>304800</xdr:colOff>
      <xdr:row>1564</xdr:row>
      <xdr:rowOff>114300</xdr:rowOff>
    </xdr:to>
    <xdr:sp macro="" textlink="">
      <xdr:nvSpPr>
        <xdr:cNvPr id="4638" name="AutoShape 156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09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1565</xdr:row>
      <xdr:rowOff>0</xdr:rowOff>
    </xdr:from>
    <xdr:to>
      <xdr:col>4</xdr:col>
      <xdr:colOff>304800</xdr:colOff>
      <xdr:row>1566</xdr:row>
      <xdr:rowOff>114300</xdr:rowOff>
    </xdr:to>
    <xdr:sp macro="" textlink="">
      <xdr:nvSpPr>
        <xdr:cNvPr id="4639" name="AutoShape 156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129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1565</xdr:row>
      <xdr:rowOff>0</xdr:rowOff>
    </xdr:from>
    <xdr:to>
      <xdr:col>5</xdr:col>
      <xdr:colOff>304800</xdr:colOff>
      <xdr:row>1566</xdr:row>
      <xdr:rowOff>114300</xdr:rowOff>
    </xdr:to>
    <xdr:sp macro="" textlink="">
      <xdr:nvSpPr>
        <xdr:cNvPr id="4640" name="AutoShape 156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129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1567</xdr:row>
      <xdr:rowOff>0</xdr:rowOff>
    </xdr:from>
    <xdr:to>
      <xdr:col>4</xdr:col>
      <xdr:colOff>304800</xdr:colOff>
      <xdr:row>1568</xdr:row>
      <xdr:rowOff>76200</xdr:rowOff>
    </xdr:to>
    <xdr:sp macro="" textlink="">
      <xdr:nvSpPr>
        <xdr:cNvPr id="4641" name="AutoShape 15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18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1567</xdr:row>
      <xdr:rowOff>0</xdr:rowOff>
    </xdr:from>
    <xdr:to>
      <xdr:col>5</xdr:col>
      <xdr:colOff>304800</xdr:colOff>
      <xdr:row>1568</xdr:row>
      <xdr:rowOff>76200</xdr:rowOff>
    </xdr:to>
    <xdr:sp macro="" textlink="">
      <xdr:nvSpPr>
        <xdr:cNvPr id="4642" name="AutoShape 157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18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1569</xdr:row>
      <xdr:rowOff>0</xdr:rowOff>
    </xdr:from>
    <xdr:to>
      <xdr:col>4</xdr:col>
      <xdr:colOff>304800</xdr:colOff>
      <xdr:row>1570</xdr:row>
      <xdr:rowOff>76200</xdr:rowOff>
    </xdr:to>
    <xdr:sp macro="" textlink="">
      <xdr:nvSpPr>
        <xdr:cNvPr id="4643" name="AutoShape 157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23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1569</xdr:row>
      <xdr:rowOff>0</xdr:rowOff>
    </xdr:from>
    <xdr:to>
      <xdr:col>5</xdr:col>
      <xdr:colOff>304800</xdr:colOff>
      <xdr:row>1570</xdr:row>
      <xdr:rowOff>76200</xdr:rowOff>
    </xdr:to>
    <xdr:sp macro="" textlink="">
      <xdr:nvSpPr>
        <xdr:cNvPr id="4644" name="AutoShape 15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23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1571</xdr:row>
      <xdr:rowOff>0</xdr:rowOff>
    </xdr:from>
    <xdr:to>
      <xdr:col>4</xdr:col>
      <xdr:colOff>304800</xdr:colOff>
      <xdr:row>1572</xdr:row>
      <xdr:rowOff>76200</xdr:rowOff>
    </xdr:to>
    <xdr:sp macro="" textlink="">
      <xdr:nvSpPr>
        <xdr:cNvPr id="4645" name="AutoShape 15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27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1571</xdr:row>
      <xdr:rowOff>0</xdr:rowOff>
    </xdr:from>
    <xdr:to>
      <xdr:col>5</xdr:col>
      <xdr:colOff>304800</xdr:colOff>
      <xdr:row>1572</xdr:row>
      <xdr:rowOff>76200</xdr:rowOff>
    </xdr:to>
    <xdr:sp macro="" textlink="">
      <xdr:nvSpPr>
        <xdr:cNvPr id="4646" name="AutoShape 157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27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1573</xdr:row>
      <xdr:rowOff>0</xdr:rowOff>
    </xdr:from>
    <xdr:to>
      <xdr:col>4</xdr:col>
      <xdr:colOff>304800</xdr:colOff>
      <xdr:row>1574</xdr:row>
      <xdr:rowOff>114300</xdr:rowOff>
    </xdr:to>
    <xdr:sp macro="" textlink="">
      <xdr:nvSpPr>
        <xdr:cNvPr id="4647" name="AutoShape 157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316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1573</xdr:row>
      <xdr:rowOff>0</xdr:rowOff>
    </xdr:from>
    <xdr:to>
      <xdr:col>5</xdr:col>
      <xdr:colOff>304800</xdr:colOff>
      <xdr:row>1574</xdr:row>
      <xdr:rowOff>114300</xdr:rowOff>
    </xdr:to>
    <xdr:sp macro="" textlink="">
      <xdr:nvSpPr>
        <xdr:cNvPr id="4648" name="AutoShape 157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316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1575</xdr:row>
      <xdr:rowOff>0</xdr:rowOff>
    </xdr:from>
    <xdr:to>
      <xdr:col>4</xdr:col>
      <xdr:colOff>304800</xdr:colOff>
      <xdr:row>1576</xdr:row>
      <xdr:rowOff>114300</xdr:rowOff>
    </xdr:to>
    <xdr:sp macro="" textlink="">
      <xdr:nvSpPr>
        <xdr:cNvPr id="4649" name="AutoShape 157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3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1575</xdr:row>
      <xdr:rowOff>0</xdr:rowOff>
    </xdr:from>
    <xdr:to>
      <xdr:col>5</xdr:col>
      <xdr:colOff>304800</xdr:colOff>
      <xdr:row>1576</xdr:row>
      <xdr:rowOff>114300</xdr:rowOff>
    </xdr:to>
    <xdr:sp macro="" textlink="">
      <xdr:nvSpPr>
        <xdr:cNvPr id="4650" name="AutoShape 157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3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1577</xdr:row>
      <xdr:rowOff>0</xdr:rowOff>
    </xdr:from>
    <xdr:to>
      <xdr:col>4</xdr:col>
      <xdr:colOff>304800</xdr:colOff>
      <xdr:row>1578</xdr:row>
      <xdr:rowOff>114300</xdr:rowOff>
    </xdr:to>
    <xdr:sp macro="" textlink="">
      <xdr:nvSpPr>
        <xdr:cNvPr id="4651" name="AutoShape 157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4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1577</xdr:row>
      <xdr:rowOff>0</xdr:rowOff>
    </xdr:from>
    <xdr:to>
      <xdr:col>5</xdr:col>
      <xdr:colOff>304800</xdr:colOff>
      <xdr:row>1578</xdr:row>
      <xdr:rowOff>114300</xdr:rowOff>
    </xdr:to>
    <xdr:sp macro="" textlink="">
      <xdr:nvSpPr>
        <xdr:cNvPr id="4652" name="AutoShape 158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4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1579</xdr:row>
      <xdr:rowOff>0</xdr:rowOff>
    </xdr:from>
    <xdr:to>
      <xdr:col>4</xdr:col>
      <xdr:colOff>304800</xdr:colOff>
      <xdr:row>1580</xdr:row>
      <xdr:rowOff>114300</xdr:rowOff>
    </xdr:to>
    <xdr:sp macro="" textlink="">
      <xdr:nvSpPr>
        <xdr:cNvPr id="4653" name="AutoShape 158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490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1579</xdr:row>
      <xdr:rowOff>0</xdr:rowOff>
    </xdr:from>
    <xdr:to>
      <xdr:col>5</xdr:col>
      <xdr:colOff>304800</xdr:colOff>
      <xdr:row>1580</xdr:row>
      <xdr:rowOff>114300</xdr:rowOff>
    </xdr:to>
    <xdr:sp macro="" textlink="">
      <xdr:nvSpPr>
        <xdr:cNvPr id="4654" name="AutoShape 158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490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1581</xdr:row>
      <xdr:rowOff>0</xdr:rowOff>
    </xdr:from>
    <xdr:to>
      <xdr:col>4</xdr:col>
      <xdr:colOff>304800</xdr:colOff>
      <xdr:row>1582</xdr:row>
      <xdr:rowOff>114300</xdr:rowOff>
    </xdr:to>
    <xdr:sp macro="" textlink="">
      <xdr:nvSpPr>
        <xdr:cNvPr id="4655" name="AutoShape 158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5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1581</xdr:row>
      <xdr:rowOff>0</xdr:rowOff>
    </xdr:from>
    <xdr:to>
      <xdr:col>5</xdr:col>
      <xdr:colOff>304800</xdr:colOff>
      <xdr:row>1582</xdr:row>
      <xdr:rowOff>114300</xdr:rowOff>
    </xdr:to>
    <xdr:sp macro="" textlink="">
      <xdr:nvSpPr>
        <xdr:cNvPr id="4656" name="AutoShape 15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5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1583</xdr:row>
      <xdr:rowOff>0</xdr:rowOff>
    </xdr:from>
    <xdr:to>
      <xdr:col>4</xdr:col>
      <xdr:colOff>304800</xdr:colOff>
      <xdr:row>1584</xdr:row>
      <xdr:rowOff>76200</xdr:rowOff>
    </xdr:to>
    <xdr:sp macro="" textlink="">
      <xdr:nvSpPr>
        <xdr:cNvPr id="4657" name="AutoShape 158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606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1583</xdr:row>
      <xdr:rowOff>0</xdr:rowOff>
    </xdr:from>
    <xdr:to>
      <xdr:col>5</xdr:col>
      <xdr:colOff>304800</xdr:colOff>
      <xdr:row>1584</xdr:row>
      <xdr:rowOff>76200</xdr:rowOff>
    </xdr:to>
    <xdr:sp macro="" textlink="">
      <xdr:nvSpPr>
        <xdr:cNvPr id="4658" name="AutoShape 158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606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1585</xdr:row>
      <xdr:rowOff>0</xdr:rowOff>
    </xdr:from>
    <xdr:to>
      <xdr:col>4</xdr:col>
      <xdr:colOff>304800</xdr:colOff>
      <xdr:row>1586</xdr:row>
      <xdr:rowOff>114300</xdr:rowOff>
    </xdr:to>
    <xdr:sp macro="" textlink="">
      <xdr:nvSpPr>
        <xdr:cNvPr id="4659" name="AutoShape 158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649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1585</xdr:row>
      <xdr:rowOff>0</xdr:rowOff>
    </xdr:from>
    <xdr:to>
      <xdr:col>5</xdr:col>
      <xdr:colOff>304800</xdr:colOff>
      <xdr:row>1586</xdr:row>
      <xdr:rowOff>114300</xdr:rowOff>
    </xdr:to>
    <xdr:sp macro="" textlink="">
      <xdr:nvSpPr>
        <xdr:cNvPr id="4660" name="AutoShape 158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649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1587</xdr:row>
      <xdr:rowOff>0</xdr:rowOff>
    </xdr:from>
    <xdr:to>
      <xdr:col>4</xdr:col>
      <xdr:colOff>304800</xdr:colOff>
      <xdr:row>1588</xdr:row>
      <xdr:rowOff>114300</xdr:rowOff>
    </xdr:to>
    <xdr:sp macro="" textlink="">
      <xdr:nvSpPr>
        <xdr:cNvPr id="4661" name="AutoShape 158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707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1587</xdr:row>
      <xdr:rowOff>0</xdr:rowOff>
    </xdr:from>
    <xdr:to>
      <xdr:col>5</xdr:col>
      <xdr:colOff>304800</xdr:colOff>
      <xdr:row>1588</xdr:row>
      <xdr:rowOff>114300</xdr:rowOff>
    </xdr:to>
    <xdr:sp macro="" textlink="">
      <xdr:nvSpPr>
        <xdr:cNvPr id="4662" name="AutoShape 159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707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1589</xdr:row>
      <xdr:rowOff>0</xdr:rowOff>
    </xdr:from>
    <xdr:to>
      <xdr:col>4</xdr:col>
      <xdr:colOff>304800</xdr:colOff>
      <xdr:row>1590</xdr:row>
      <xdr:rowOff>114300</xdr:rowOff>
    </xdr:to>
    <xdr:sp macro="" textlink="">
      <xdr:nvSpPr>
        <xdr:cNvPr id="4663" name="AutoShape 15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765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1589</xdr:row>
      <xdr:rowOff>0</xdr:rowOff>
    </xdr:from>
    <xdr:to>
      <xdr:col>5</xdr:col>
      <xdr:colOff>304800</xdr:colOff>
      <xdr:row>1590</xdr:row>
      <xdr:rowOff>114300</xdr:rowOff>
    </xdr:to>
    <xdr:sp macro="" textlink="">
      <xdr:nvSpPr>
        <xdr:cNvPr id="4664" name="AutoShape 159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765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1591</xdr:row>
      <xdr:rowOff>0</xdr:rowOff>
    </xdr:from>
    <xdr:to>
      <xdr:col>4</xdr:col>
      <xdr:colOff>304800</xdr:colOff>
      <xdr:row>1592</xdr:row>
      <xdr:rowOff>76200</xdr:rowOff>
    </xdr:to>
    <xdr:sp macro="" textlink="">
      <xdr:nvSpPr>
        <xdr:cNvPr id="4665" name="AutoShape 15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82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1591</xdr:row>
      <xdr:rowOff>0</xdr:rowOff>
    </xdr:from>
    <xdr:to>
      <xdr:col>5</xdr:col>
      <xdr:colOff>304800</xdr:colOff>
      <xdr:row>1592</xdr:row>
      <xdr:rowOff>76200</xdr:rowOff>
    </xdr:to>
    <xdr:sp macro="" textlink="">
      <xdr:nvSpPr>
        <xdr:cNvPr id="4666" name="AutoShape 159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82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1593</xdr:row>
      <xdr:rowOff>0</xdr:rowOff>
    </xdr:from>
    <xdr:to>
      <xdr:col>4</xdr:col>
      <xdr:colOff>304800</xdr:colOff>
      <xdr:row>1594</xdr:row>
      <xdr:rowOff>76200</xdr:rowOff>
    </xdr:to>
    <xdr:sp macro="" textlink="">
      <xdr:nvSpPr>
        <xdr:cNvPr id="4667" name="AutoShape 159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866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1593</xdr:row>
      <xdr:rowOff>0</xdr:rowOff>
    </xdr:from>
    <xdr:to>
      <xdr:col>5</xdr:col>
      <xdr:colOff>304800</xdr:colOff>
      <xdr:row>1594</xdr:row>
      <xdr:rowOff>76200</xdr:rowOff>
    </xdr:to>
    <xdr:sp macro="" textlink="">
      <xdr:nvSpPr>
        <xdr:cNvPr id="4668" name="AutoShape 159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866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1595</xdr:row>
      <xdr:rowOff>0</xdr:rowOff>
    </xdr:from>
    <xdr:to>
      <xdr:col>4</xdr:col>
      <xdr:colOff>304800</xdr:colOff>
      <xdr:row>1596</xdr:row>
      <xdr:rowOff>76200</xdr:rowOff>
    </xdr:to>
    <xdr:sp macro="" textlink="">
      <xdr:nvSpPr>
        <xdr:cNvPr id="4669" name="AutoShape 159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1595</xdr:row>
      <xdr:rowOff>0</xdr:rowOff>
    </xdr:from>
    <xdr:to>
      <xdr:col>5</xdr:col>
      <xdr:colOff>304800</xdr:colOff>
      <xdr:row>1596</xdr:row>
      <xdr:rowOff>76200</xdr:rowOff>
    </xdr:to>
    <xdr:sp macro="" textlink="">
      <xdr:nvSpPr>
        <xdr:cNvPr id="4670" name="AutoShape 15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1597</xdr:row>
      <xdr:rowOff>0</xdr:rowOff>
    </xdr:from>
    <xdr:to>
      <xdr:col>4</xdr:col>
      <xdr:colOff>304800</xdr:colOff>
      <xdr:row>1598</xdr:row>
      <xdr:rowOff>76200</xdr:rowOff>
    </xdr:to>
    <xdr:sp macro="" textlink="">
      <xdr:nvSpPr>
        <xdr:cNvPr id="4671" name="AutoShape 159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1597</xdr:row>
      <xdr:rowOff>0</xdr:rowOff>
    </xdr:from>
    <xdr:to>
      <xdr:col>5</xdr:col>
      <xdr:colOff>304800</xdr:colOff>
      <xdr:row>1598</xdr:row>
      <xdr:rowOff>76200</xdr:rowOff>
    </xdr:to>
    <xdr:sp macro="" textlink="">
      <xdr:nvSpPr>
        <xdr:cNvPr id="4672" name="AutoShape 160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1599</xdr:row>
      <xdr:rowOff>0</xdr:rowOff>
    </xdr:from>
    <xdr:to>
      <xdr:col>4</xdr:col>
      <xdr:colOff>304800</xdr:colOff>
      <xdr:row>1600</xdr:row>
      <xdr:rowOff>114300</xdr:rowOff>
    </xdr:to>
    <xdr:sp macro="" textlink="">
      <xdr:nvSpPr>
        <xdr:cNvPr id="4673" name="AutoShape 160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9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1599</xdr:row>
      <xdr:rowOff>0</xdr:rowOff>
    </xdr:from>
    <xdr:to>
      <xdr:col>5</xdr:col>
      <xdr:colOff>304800</xdr:colOff>
      <xdr:row>1600</xdr:row>
      <xdr:rowOff>114300</xdr:rowOff>
    </xdr:to>
    <xdr:sp macro="" textlink="">
      <xdr:nvSpPr>
        <xdr:cNvPr id="4674" name="AutoShape 16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9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1601</xdr:row>
      <xdr:rowOff>0</xdr:rowOff>
    </xdr:from>
    <xdr:to>
      <xdr:col>4</xdr:col>
      <xdr:colOff>304800</xdr:colOff>
      <xdr:row>1602</xdr:row>
      <xdr:rowOff>114300</xdr:rowOff>
    </xdr:to>
    <xdr:sp macro="" textlink="">
      <xdr:nvSpPr>
        <xdr:cNvPr id="4675" name="AutoShape 160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07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1601</xdr:row>
      <xdr:rowOff>0</xdr:rowOff>
    </xdr:from>
    <xdr:to>
      <xdr:col>5</xdr:col>
      <xdr:colOff>304800</xdr:colOff>
      <xdr:row>1602</xdr:row>
      <xdr:rowOff>114300</xdr:rowOff>
    </xdr:to>
    <xdr:sp macro="" textlink="">
      <xdr:nvSpPr>
        <xdr:cNvPr id="4676" name="AutoShape 160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07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1603</xdr:row>
      <xdr:rowOff>0</xdr:rowOff>
    </xdr:from>
    <xdr:to>
      <xdr:col>4</xdr:col>
      <xdr:colOff>304800</xdr:colOff>
      <xdr:row>1604</xdr:row>
      <xdr:rowOff>114300</xdr:rowOff>
    </xdr:to>
    <xdr:sp macro="" textlink="">
      <xdr:nvSpPr>
        <xdr:cNvPr id="4677" name="AutoShape 160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13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1603</xdr:row>
      <xdr:rowOff>0</xdr:rowOff>
    </xdr:from>
    <xdr:to>
      <xdr:col>5</xdr:col>
      <xdr:colOff>304800</xdr:colOff>
      <xdr:row>1604</xdr:row>
      <xdr:rowOff>114300</xdr:rowOff>
    </xdr:to>
    <xdr:sp macro="" textlink="">
      <xdr:nvSpPr>
        <xdr:cNvPr id="4678" name="AutoShape 160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13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1605</xdr:row>
      <xdr:rowOff>0</xdr:rowOff>
    </xdr:from>
    <xdr:to>
      <xdr:col>4</xdr:col>
      <xdr:colOff>304800</xdr:colOff>
      <xdr:row>1606</xdr:row>
      <xdr:rowOff>76200</xdr:rowOff>
    </xdr:to>
    <xdr:sp macro="" textlink="">
      <xdr:nvSpPr>
        <xdr:cNvPr id="4679" name="AutoShape 160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188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1605</xdr:row>
      <xdr:rowOff>0</xdr:rowOff>
    </xdr:from>
    <xdr:to>
      <xdr:col>5</xdr:col>
      <xdr:colOff>304800</xdr:colOff>
      <xdr:row>1606</xdr:row>
      <xdr:rowOff>76200</xdr:rowOff>
    </xdr:to>
    <xdr:sp macro="" textlink="">
      <xdr:nvSpPr>
        <xdr:cNvPr id="4680" name="AutoShape 160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188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1607</xdr:row>
      <xdr:rowOff>0</xdr:rowOff>
    </xdr:from>
    <xdr:to>
      <xdr:col>4</xdr:col>
      <xdr:colOff>304800</xdr:colOff>
      <xdr:row>1608</xdr:row>
      <xdr:rowOff>76200</xdr:rowOff>
    </xdr:to>
    <xdr:sp macro="" textlink="">
      <xdr:nvSpPr>
        <xdr:cNvPr id="4681" name="AutoShape 160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2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1607</xdr:row>
      <xdr:rowOff>0</xdr:rowOff>
    </xdr:from>
    <xdr:to>
      <xdr:col>5</xdr:col>
      <xdr:colOff>304800</xdr:colOff>
      <xdr:row>1608</xdr:row>
      <xdr:rowOff>76200</xdr:rowOff>
    </xdr:to>
    <xdr:sp macro="" textlink="">
      <xdr:nvSpPr>
        <xdr:cNvPr id="4682" name="AutoShape 161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2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1609</xdr:row>
      <xdr:rowOff>0</xdr:rowOff>
    </xdr:from>
    <xdr:to>
      <xdr:col>4</xdr:col>
      <xdr:colOff>304800</xdr:colOff>
      <xdr:row>1610</xdr:row>
      <xdr:rowOff>114300</xdr:rowOff>
    </xdr:to>
    <xdr:sp macro="" textlink="">
      <xdr:nvSpPr>
        <xdr:cNvPr id="4683" name="AutoShape 161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27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1609</xdr:row>
      <xdr:rowOff>0</xdr:rowOff>
    </xdr:from>
    <xdr:to>
      <xdr:col>5</xdr:col>
      <xdr:colOff>304800</xdr:colOff>
      <xdr:row>1610</xdr:row>
      <xdr:rowOff>114300</xdr:rowOff>
    </xdr:to>
    <xdr:sp macro="" textlink="">
      <xdr:nvSpPr>
        <xdr:cNvPr id="4684" name="AutoShape 161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27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1611</xdr:row>
      <xdr:rowOff>0</xdr:rowOff>
    </xdr:from>
    <xdr:to>
      <xdr:col>4</xdr:col>
      <xdr:colOff>304800</xdr:colOff>
      <xdr:row>1612</xdr:row>
      <xdr:rowOff>114300</xdr:rowOff>
    </xdr:to>
    <xdr:sp macro="" textlink="">
      <xdr:nvSpPr>
        <xdr:cNvPr id="4685" name="AutoShape 161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33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1611</xdr:row>
      <xdr:rowOff>0</xdr:rowOff>
    </xdr:from>
    <xdr:to>
      <xdr:col>5</xdr:col>
      <xdr:colOff>304800</xdr:colOff>
      <xdr:row>1612</xdr:row>
      <xdr:rowOff>114300</xdr:rowOff>
    </xdr:to>
    <xdr:sp macro="" textlink="">
      <xdr:nvSpPr>
        <xdr:cNvPr id="4686" name="AutoShape 161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33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1613</xdr:row>
      <xdr:rowOff>0</xdr:rowOff>
    </xdr:from>
    <xdr:to>
      <xdr:col>4</xdr:col>
      <xdr:colOff>304800</xdr:colOff>
      <xdr:row>1614</xdr:row>
      <xdr:rowOff>114300</xdr:rowOff>
    </xdr:to>
    <xdr:sp macro="" textlink="">
      <xdr:nvSpPr>
        <xdr:cNvPr id="4687" name="AutoShape 161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39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1613</xdr:row>
      <xdr:rowOff>0</xdr:rowOff>
    </xdr:from>
    <xdr:to>
      <xdr:col>5</xdr:col>
      <xdr:colOff>304800</xdr:colOff>
      <xdr:row>1614</xdr:row>
      <xdr:rowOff>114300</xdr:rowOff>
    </xdr:to>
    <xdr:sp macro="" textlink="">
      <xdr:nvSpPr>
        <xdr:cNvPr id="4688" name="AutoShape 161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39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1615</xdr:row>
      <xdr:rowOff>0</xdr:rowOff>
    </xdr:from>
    <xdr:to>
      <xdr:col>4</xdr:col>
      <xdr:colOff>304800</xdr:colOff>
      <xdr:row>1616</xdr:row>
      <xdr:rowOff>114300</xdr:rowOff>
    </xdr:to>
    <xdr:sp macro="" textlink="">
      <xdr:nvSpPr>
        <xdr:cNvPr id="4689" name="AutoShape 161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44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1615</xdr:row>
      <xdr:rowOff>0</xdr:rowOff>
    </xdr:from>
    <xdr:to>
      <xdr:col>5</xdr:col>
      <xdr:colOff>304800</xdr:colOff>
      <xdr:row>1616</xdr:row>
      <xdr:rowOff>114300</xdr:rowOff>
    </xdr:to>
    <xdr:sp macro="" textlink="">
      <xdr:nvSpPr>
        <xdr:cNvPr id="4690" name="AutoShape 161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44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1617</xdr:row>
      <xdr:rowOff>0</xdr:rowOff>
    </xdr:from>
    <xdr:to>
      <xdr:col>4</xdr:col>
      <xdr:colOff>304800</xdr:colOff>
      <xdr:row>1618</xdr:row>
      <xdr:rowOff>114300</xdr:rowOff>
    </xdr:to>
    <xdr:sp macro="" textlink="">
      <xdr:nvSpPr>
        <xdr:cNvPr id="4691" name="AutoShape 161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506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1617</xdr:row>
      <xdr:rowOff>0</xdr:rowOff>
    </xdr:from>
    <xdr:to>
      <xdr:col>5</xdr:col>
      <xdr:colOff>304800</xdr:colOff>
      <xdr:row>1618</xdr:row>
      <xdr:rowOff>114300</xdr:rowOff>
    </xdr:to>
    <xdr:sp macro="" textlink="">
      <xdr:nvSpPr>
        <xdr:cNvPr id="4692" name="AutoShape 162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506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1619</xdr:row>
      <xdr:rowOff>0</xdr:rowOff>
    </xdr:from>
    <xdr:to>
      <xdr:col>4</xdr:col>
      <xdr:colOff>304800</xdr:colOff>
      <xdr:row>1620</xdr:row>
      <xdr:rowOff>114300</xdr:rowOff>
    </xdr:to>
    <xdr:sp macro="" textlink="">
      <xdr:nvSpPr>
        <xdr:cNvPr id="4693" name="AutoShape 162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564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1619</xdr:row>
      <xdr:rowOff>0</xdr:rowOff>
    </xdr:from>
    <xdr:to>
      <xdr:col>5</xdr:col>
      <xdr:colOff>304800</xdr:colOff>
      <xdr:row>1620</xdr:row>
      <xdr:rowOff>114300</xdr:rowOff>
    </xdr:to>
    <xdr:sp macro="" textlink="">
      <xdr:nvSpPr>
        <xdr:cNvPr id="4694" name="AutoShape 162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564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1621</xdr:row>
      <xdr:rowOff>0</xdr:rowOff>
    </xdr:from>
    <xdr:to>
      <xdr:col>4</xdr:col>
      <xdr:colOff>304800</xdr:colOff>
      <xdr:row>1622</xdr:row>
      <xdr:rowOff>114300</xdr:rowOff>
    </xdr:to>
    <xdr:sp macro="" textlink="">
      <xdr:nvSpPr>
        <xdr:cNvPr id="4695" name="AutoShape 162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642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1621</xdr:row>
      <xdr:rowOff>0</xdr:rowOff>
    </xdr:from>
    <xdr:to>
      <xdr:col>5</xdr:col>
      <xdr:colOff>304800</xdr:colOff>
      <xdr:row>1622</xdr:row>
      <xdr:rowOff>114300</xdr:rowOff>
    </xdr:to>
    <xdr:sp macro="" textlink="">
      <xdr:nvSpPr>
        <xdr:cNvPr id="4696" name="AutoShape 162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642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1623</xdr:row>
      <xdr:rowOff>0</xdr:rowOff>
    </xdr:from>
    <xdr:to>
      <xdr:col>4</xdr:col>
      <xdr:colOff>304800</xdr:colOff>
      <xdr:row>1624</xdr:row>
      <xdr:rowOff>114300</xdr:rowOff>
    </xdr:to>
    <xdr:sp macro="" textlink="">
      <xdr:nvSpPr>
        <xdr:cNvPr id="4697" name="AutoShape 162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700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1623</xdr:row>
      <xdr:rowOff>0</xdr:rowOff>
    </xdr:from>
    <xdr:to>
      <xdr:col>5</xdr:col>
      <xdr:colOff>304800</xdr:colOff>
      <xdr:row>1624</xdr:row>
      <xdr:rowOff>114300</xdr:rowOff>
    </xdr:to>
    <xdr:sp macro="" textlink="">
      <xdr:nvSpPr>
        <xdr:cNvPr id="4698" name="AutoShape 16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700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1625</xdr:row>
      <xdr:rowOff>0</xdr:rowOff>
    </xdr:from>
    <xdr:to>
      <xdr:col>4</xdr:col>
      <xdr:colOff>304800</xdr:colOff>
      <xdr:row>1626</xdr:row>
      <xdr:rowOff>114300</xdr:rowOff>
    </xdr:to>
    <xdr:sp macro="" textlink="">
      <xdr:nvSpPr>
        <xdr:cNvPr id="4699" name="AutoShape 162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758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1625</xdr:row>
      <xdr:rowOff>0</xdr:rowOff>
    </xdr:from>
    <xdr:to>
      <xdr:col>5</xdr:col>
      <xdr:colOff>304800</xdr:colOff>
      <xdr:row>1626</xdr:row>
      <xdr:rowOff>114300</xdr:rowOff>
    </xdr:to>
    <xdr:sp macro="" textlink="">
      <xdr:nvSpPr>
        <xdr:cNvPr id="4700" name="AutoShape 16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758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1627</xdr:row>
      <xdr:rowOff>0</xdr:rowOff>
    </xdr:from>
    <xdr:to>
      <xdr:col>4</xdr:col>
      <xdr:colOff>304800</xdr:colOff>
      <xdr:row>1628</xdr:row>
      <xdr:rowOff>114300</xdr:rowOff>
    </xdr:to>
    <xdr:sp macro="" textlink="">
      <xdr:nvSpPr>
        <xdr:cNvPr id="4701" name="AutoShape 162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8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1627</xdr:row>
      <xdr:rowOff>0</xdr:rowOff>
    </xdr:from>
    <xdr:to>
      <xdr:col>5</xdr:col>
      <xdr:colOff>304800</xdr:colOff>
      <xdr:row>1628</xdr:row>
      <xdr:rowOff>114300</xdr:rowOff>
    </xdr:to>
    <xdr:sp macro="" textlink="">
      <xdr:nvSpPr>
        <xdr:cNvPr id="4702" name="AutoShape 163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8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1629</xdr:row>
      <xdr:rowOff>0</xdr:rowOff>
    </xdr:from>
    <xdr:to>
      <xdr:col>4</xdr:col>
      <xdr:colOff>304800</xdr:colOff>
      <xdr:row>1630</xdr:row>
      <xdr:rowOff>114300</xdr:rowOff>
    </xdr:to>
    <xdr:sp macro="" textlink="">
      <xdr:nvSpPr>
        <xdr:cNvPr id="4703" name="AutoShape 16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874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1629</xdr:row>
      <xdr:rowOff>0</xdr:rowOff>
    </xdr:from>
    <xdr:to>
      <xdr:col>5</xdr:col>
      <xdr:colOff>304800</xdr:colOff>
      <xdr:row>1630</xdr:row>
      <xdr:rowOff>114300</xdr:rowOff>
    </xdr:to>
    <xdr:sp macro="" textlink="">
      <xdr:nvSpPr>
        <xdr:cNvPr id="4704" name="AutoShape 163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874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1631</xdr:row>
      <xdr:rowOff>0</xdr:rowOff>
    </xdr:from>
    <xdr:to>
      <xdr:col>4</xdr:col>
      <xdr:colOff>304800</xdr:colOff>
      <xdr:row>1632</xdr:row>
      <xdr:rowOff>114300</xdr:rowOff>
    </xdr:to>
    <xdr:sp macro="" textlink="">
      <xdr:nvSpPr>
        <xdr:cNvPr id="4705" name="AutoShape 163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932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1631</xdr:row>
      <xdr:rowOff>0</xdr:rowOff>
    </xdr:from>
    <xdr:to>
      <xdr:col>5</xdr:col>
      <xdr:colOff>304800</xdr:colOff>
      <xdr:row>1632</xdr:row>
      <xdr:rowOff>114300</xdr:rowOff>
    </xdr:to>
    <xdr:sp macro="" textlink="">
      <xdr:nvSpPr>
        <xdr:cNvPr id="4706" name="AutoShape 163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932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1633</xdr:row>
      <xdr:rowOff>0</xdr:rowOff>
    </xdr:from>
    <xdr:to>
      <xdr:col>4</xdr:col>
      <xdr:colOff>304800</xdr:colOff>
      <xdr:row>1634</xdr:row>
      <xdr:rowOff>114300</xdr:rowOff>
    </xdr:to>
    <xdr:sp macro="" textlink="">
      <xdr:nvSpPr>
        <xdr:cNvPr id="4707" name="AutoShape 16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990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1633</xdr:row>
      <xdr:rowOff>0</xdr:rowOff>
    </xdr:from>
    <xdr:to>
      <xdr:col>5</xdr:col>
      <xdr:colOff>304800</xdr:colOff>
      <xdr:row>1634</xdr:row>
      <xdr:rowOff>114300</xdr:rowOff>
    </xdr:to>
    <xdr:sp macro="" textlink="">
      <xdr:nvSpPr>
        <xdr:cNvPr id="4708" name="AutoShape 163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990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1635</xdr:row>
      <xdr:rowOff>0</xdr:rowOff>
    </xdr:from>
    <xdr:to>
      <xdr:col>4</xdr:col>
      <xdr:colOff>304800</xdr:colOff>
      <xdr:row>1636</xdr:row>
      <xdr:rowOff>114300</xdr:rowOff>
    </xdr:to>
    <xdr:sp macro="" textlink="">
      <xdr:nvSpPr>
        <xdr:cNvPr id="4709" name="AutoShape 163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048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1635</xdr:row>
      <xdr:rowOff>0</xdr:rowOff>
    </xdr:from>
    <xdr:to>
      <xdr:col>5</xdr:col>
      <xdr:colOff>304800</xdr:colOff>
      <xdr:row>1636</xdr:row>
      <xdr:rowOff>114300</xdr:rowOff>
    </xdr:to>
    <xdr:sp macro="" textlink="">
      <xdr:nvSpPr>
        <xdr:cNvPr id="4710" name="AutoShape 163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048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1637</xdr:row>
      <xdr:rowOff>0</xdr:rowOff>
    </xdr:from>
    <xdr:to>
      <xdr:col>4</xdr:col>
      <xdr:colOff>304800</xdr:colOff>
      <xdr:row>1638</xdr:row>
      <xdr:rowOff>114300</xdr:rowOff>
    </xdr:to>
    <xdr:sp macro="" textlink="">
      <xdr:nvSpPr>
        <xdr:cNvPr id="4711" name="AutoShape 163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106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1637</xdr:row>
      <xdr:rowOff>0</xdr:rowOff>
    </xdr:from>
    <xdr:to>
      <xdr:col>5</xdr:col>
      <xdr:colOff>304800</xdr:colOff>
      <xdr:row>1638</xdr:row>
      <xdr:rowOff>114300</xdr:rowOff>
    </xdr:to>
    <xdr:sp macro="" textlink="">
      <xdr:nvSpPr>
        <xdr:cNvPr id="4712" name="AutoShape 16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106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1639</xdr:row>
      <xdr:rowOff>0</xdr:rowOff>
    </xdr:from>
    <xdr:to>
      <xdr:col>4</xdr:col>
      <xdr:colOff>304800</xdr:colOff>
      <xdr:row>1640</xdr:row>
      <xdr:rowOff>114300</xdr:rowOff>
    </xdr:to>
    <xdr:sp macro="" textlink="">
      <xdr:nvSpPr>
        <xdr:cNvPr id="4713" name="AutoShape 164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165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1639</xdr:row>
      <xdr:rowOff>0</xdr:rowOff>
    </xdr:from>
    <xdr:to>
      <xdr:col>5</xdr:col>
      <xdr:colOff>304800</xdr:colOff>
      <xdr:row>1640</xdr:row>
      <xdr:rowOff>114300</xdr:rowOff>
    </xdr:to>
    <xdr:sp macro="" textlink="">
      <xdr:nvSpPr>
        <xdr:cNvPr id="4714" name="AutoShape 164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165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1641</xdr:row>
      <xdr:rowOff>0</xdr:rowOff>
    </xdr:from>
    <xdr:to>
      <xdr:col>4</xdr:col>
      <xdr:colOff>304800</xdr:colOff>
      <xdr:row>1642</xdr:row>
      <xdr:rowOff>76200</xdr:rowOff>
    </xdr:to>
    <xdr:sp macro="" textlink="">
      <xdr:nvSpPr>
        <xdr:cNvPr id="4715" name="AutoShape 164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223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1641</xdr:row>
      <xdr:rowOff>0</xdr:rowOff>
    </xdr:from>
    <xdr:to>
      <xdr:col>5</xdr:col>
      <xdr:colOff>304800</xdr:colOff>
      <xdr:row>1642</xdr:row>
      <xdr:rowOff>76200</xdr:rowOff>
    </xdr:to>
    <xdr:sp macro="" textlink="">
      <xdr:nvSpPr>
        <xdr:cNvPr id="4716" name="AutoShape 164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223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1643</xdr:row>
      <xdr:rowOff>0</xdr:rowOff>
    </xdr:from>
    <xdr:to>
      <xdr:col>4</xdr:col>
      <xdr:colOff>304800</xdr:colOff>
      <xdr:row>1644</xdr:row>
      <xdr:rowOff>114300</xdr:rowOff>
    </xdr:to>
    <xdr:sp macro="" textlink="">
      <xdr:nvSpPr>
        <xdr:cNvPr id="4717" name="AutoShape 164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265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1643</xdr:row>
      <xdr:rowOff>0</xdr:rowOff>
    </xdr:from>
    <xdr:to>
      <xdr:col>5</xdr:col>
      <xdr:colOff>304800</xdr:colOff>
      <xdr:row>1644</xdr:row>
      <xdr:rowOff>114300</xdr:rowOff>
    </xdr:to>
    <xdr:sp macro="" textlink="">
      <xdr:nvSpPr>
        <xdr:cNvPr id="4718" name="AutoShape 164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265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1645</xdr:row>
      <xdr:rowOff>0</xdr:rowOff>
    </xdr:from>
    <xdr:to>
      <xdr:col>4</xdr:col>
      <xdr:colOff>304800</xdr:colOff>
      <xdr:row>1646</xdr:row>
      <xdr:rowOff>114300</xdr:rowOff>
    </xdr:to>
    <xdr:sp macro="" textlink="">
      <xdr:nvSpPr>
        <xdr:cNvPr id="4719" name="AutoShape 164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305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1645</xdr:row>
      <xdr:rowOff>0</xdr:rowOff>
    </xdr:from>
    <xdr:to>
      <xdr:col>5</xdr:col>
      <xdr:colOff>304800</xdr:colOff>
      <xdr:row>1646</xdr:row>
      <xdr:rowOff>114300</xdr:rowOff>
    </xdr:to>
    <xdr:sp macro="" textlink="">
      <xdr:nvSpPr>
        <xdr:cNvPr id="4720" name="AutoShape 164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305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1647</xdr:row>
      <xdr:rowOff>0</xdr:rowOff>
    </xdr:from>
    <xdr:to>
      <xdr:col>4</xdr:col>
      <xdr:colOff>304800</xdr:colOff>
      <xdr:row>1648</xdr:row>
      <xdr:rowOff>114300</xdr:rowOff>
    </xdr:to>
    <xdr:sp macro="" textlink="">
      <xdr:nvSpPr>
        <xdr:cNvPr id="4721" name="AutoShape 164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36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1647</xdr:row>
      <xdr:rowOff>0</xdr:rowOff>
    </xdr:from>
    <xdr:to>
      <xdr:col>5</xdr:col>
      <xdr:colOff>304800</xdr:colOff>
      <xdr:row>1648</xdr:row>
      <xdr:rowOff>114300</xdr:rowOff>
    </xdr:to>
    <xdr:sp macro="" textlink="">
      <xdr:nvSpPr>
        <xdr:cNvPr id="4722" name="AutoShape 165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36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1649</xdr:row>
      <xdr:rowOff>0</xdr:rowOff>
    </xdr:from>
    <xdr:to>
      <xdr:col>4</xdr:col>
      <xdr:colOff>304800</xdr:colOff>
      <xdr:row>1650</xdr:row>
      <xdr:rowOff>114300</xdr:rowOff>
    </xdr:to>
    <xdr:sp macro="" textlink="">
      <xdr:nvSpPr>
        <xdr:cNvPr id="4723" name="AutoShape 165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421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1649</xdr:row>
      <xdr:rowOff>0</xdr:rowOff>
    </xdr:from>
    <xdr:to>
      <xdr:col>5</xdr:col>
      <xdr:colOff>304800</xdr:colOff>
      <xdr:row>1650</xdr:row>
      <xdr:rowOff>114300</xdr:rowOff>
    </xdr:to>
    <xdr:sp macro="" textlink="">
      <xdr:nvSpPr>
        <xdr:cNvPr id="4724" name="AutoShape 165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421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1651</xdr:row>
      <xdr:rowOff>0</xdr:rowOff>
    </xdr:from>
    <xdr:to>
      <xdr:col>4</xdr:col>
      <xdr:colOff>304800</xdr:colOff>
      <xdr:row>1652</xdr:row>
      <xdr:rowOff>76200</xdr:rowOff>
    </xdr:to>
    <xdr:sp macro="" textlink="">
      <xdr:nvSpPr>
        <xdr:cNvPr id="4725" name="AutoShape 16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479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1651</xdr:row>
      <xdr:rowOff>0</xdr:rowOff>
    </xdr:from>
    <xdr:to>
      <xdr:col>5</xdr:col>
      <xdr:colOff>304800</xdr:colOff>
      <xdr:row>1652</xdr:row>
      <xdr:rowOff>76200</xdr:rowOff>
    </xdr:to>
    <xdr:sp macro="" textlink="">
      <xdr:nvSpPr>
        <xdr:cNvPr id="4726" name="AutoShape 165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479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1653</xdr:row>
      <xdr:rowOff>0</xdr:rowOff>
    </xdr:from>
    <xdr:to>
      <xdr:col>4</xdr:col>
      <xdr:colOff>304800</xdr:colOff>
      <xdr:row>1654</xdr:row>
      <xdr:rowOff>114300</xdr:rowOff>
    </xdr:to>
    <xdr:sp macro="" textlink="">
      <xdr:nvSpPr>
        <xdr:cNvPr id="4727" name="AutoShape 165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522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1653</xdr:row>
      <xdr:rowOff>0</xdr:rowOff>
    </xdr:from>
    <xdr:to>
      <xdr:col>5</xdr:col>
      <xdr:colOff>304800</xdr:colOff>
      <xdr:row>1654</xdr:row>
      <xdr:rowOff>114300</xdr:rowOff>
    </xdr:to>
    <xdr:sp macro="" textlink="">
      <xdr:nvSpPr>
        <xdr:cNvPr id="4728" name="AutoShape 165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522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1655</xdr:row>
      <xdr:rowOff>0</xdr:rowOff>
    </xdr:from>
    <xdr:to>
      <xdr:col>4</xdr:col>
      <xdr:colOff>304800</xdr:colOff>
      <xdr:row>1656</xdr:row>
      <xdr:rowOff>114300</xdr:rowOff>
    </xdr:to>
    <xdr:sp macro="" textlink="">
      <xdr:nvSpPr>
        <xdr:cNvPr id="4729" name="AutoShape 165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5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1655</xdr:row>
      <xdr:rowOff>0</xdr:rowOff>
    </xdr:from>
    <xdr:to>
      <xdr:col>5</xdr:col>
      <xdr:colOff>304800</xdr:colOff>
      <xdr:row>1656</xdr:row>
      <xdr:rowOff>114300</xdr:rowOff>
    </xdr:to>
    <xdr:sp macro="" textlink="">
      <xdr:nvSpPr>
        <xdr:cNvPr id="4730" name="AutoShape 165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5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1657</xdr:row>
      <xdr:rowOff>0</xdr:rowOff>
    </xdr:from>
    <xdr:to>
      <xdr:col>4</xdr:col>
      <xdr:colOff>304800</xdr:colOff>
      <xdr:row>1658</xdr:row>
      <xdr:rowOff>114300</xdr:rowOff>
    </xdr:to>
    <xdr:sp macro="" textlink="">
      <xdr:nvSpPr>
        <xdr:cNvPr id="4731" name="AutoShape 165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657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1657</xdr:row>
      <xdr:rowOff>0</xdr:rowOff>
    </xdr:from>
    <xdr:to>
      <xdr:col>5</xdr:col>
      <xdr:colOff>304800</xdr:colOff>
      <xdr:row>1658</xdr:row>
      <xdr:rowOff>114300</xdr:rowOff>
    </xdr:to>
    <xdr:sp macro="" textlink="">
      <xdr:nvSpPr>
        <xdr:cNvPr id="4732" name="AutoShape 166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657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1659</xdr:row>
      <xdr:rowOff>0</xdr:rowOff>
    </xdr:from>
    <xdr:to>
      <xdr:col>4</xdr:col>
      <xdr:colOff>304800</xdr:colOff>
      <xdr:row>1660</xdr:row>
      <xdr:rowOff>114300</xdr:rowOff>
    </xdr:to>
    <xdr:sp macro="" textlink="">
      <xdr:nvSpPr>
        <xdr:cNvPr id="4733" name="AutoShape 16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715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1659</xdr:row>
      <xdr:rowOff>0</xdr:rowOff>
    </xdr:from>
    <xdr:to>
      <xdr:col>5</xdr:col>
      <xdr:colOff>304800</xdr:colOff>
      <xdr:row>1660</xdr:row>
      <xdr:rowOff>114300</xdr:rowOff>
    </xdr:to>
    <xdr:sp macro="" textlink="">
      <xdr:nvSpPr>
        <xdr:cNvPr id="4734" name="AutoShape 166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715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1661</xdr:row>
      <xdr:rowOff>0</xdr:rowOff>
    </xdr:from>
    <xdr:to>
      <xdr:col>4</xdr:col>
      <xdr:colOff>304800</xdr:colOff>
      <xdr:row>1662</xdr:row>
      <xdr:rowOff>114300</xdr:rowOff>
    </xdr:to>
    <xdr:sp macro="" textlink="">
      <xdr:nvSpPr>
        <xdr:cNvPr id="4735" name="AutoShape 166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773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1661</xdr:row>
      <xdr:rowOff>0</xdr:rowOff>
    </xdr:from>
    <xdr:to>
      <xdr:col>5</xdr:col>
      <xdr:colOff>304800</xdr:colOff>
      <xdr:row>1662</xdr:row>
      <xdr:rowOff>114300</xdr:rowOff>
    </xdr:to>
    <xdr:sp macro="" textlink="">
      <xdr:nvSpPr>
        <xdr:cNvPr id="4736" name="AutoShape 16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773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1663</xdr:row>
      <xdr:rowOff>0</xdr:rowOff>
    </xdr:from>
    <xdr:to>
      <xdr:col>4</xdr:col>
      <xdr:colOff>304800</xdr:colOff>
      <xdr:row>1664</xdr:row>
      <xdr:rowOff>114300</xdr:rowOff>
    </xdr:to>
    <xdr:sp macro="" textlink="">
      <xdr:nvSpPr>
        <xdr:cNvPr id="4737" name="AutoShape 166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83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1663</xdr:row>
      <xdr:rowOff>0</xdr:rowOff>
    </xdr:from>
    <xdr:to>
      <xdr:col>5</xdr:col>
      <xdr:colOff>304800</xdr:colOff>
      <xdr:row>1664</xdr:row>
      <xdr:rowOff>114300</xdr:rowOff>
    </xdr:to>
    <xdr:sp macro="" textlink="">
      <xdr:nvSpPr>
        <xdr:cNvPr id="4738" name="AutoShape 166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83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1665</xdr:row>
      <xdr:rowOff>0</xdr:rowOff>
    </xdr:from>
    <xdr:to>
      <xdr:col>4</xdr:col>
      <xdr:colOff>304800</xdr:colOff>
      <xdr:row>1666</xdr:row>
      <xdr:rowOff>114300</xdr:rowOff>
    </xdr:to>
    <xdr:sp macro="" textlink="">
      <xdr:nvSpPr>
        <xdr:cNvPr id="4739" name="AutoShape 166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889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1665</xdr:row>
      <xdr:rowOff>0</xdr:rowOff>
    </xdr:from>
    <xdr:to>
      <xdr:col>5</xdr:col>
      <xdr:colOff>304800</xdr:colOff>
      <xdr:row>1666</xdr:row>
      <xdr:rowOff>114300</xdr:rowOff>
    </xdr:to>
    <xdr:sp macro="" textlink="">
      <xdr:nvSpPr>
        <xdr:cNvPr id="4740" name="AutoShape 166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889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1667</xdr:row>
      <xdr:rowOff>0</xdr:rowOff>
    </xdr:from>
    <xdr:to>
      <xdr:col>4</xdr:col>
      <xdr:colOff>304800</xdr:colOff>
      <xdr:row>1668</xdr:row>
      <xdr:rowOff>114300</xdr:rowOff>
    </xdr:to>
    <xdr:sp macro="" textlink="">
      <xdr:nvSpPr>
        <xdr:cNvPr id="4741" name="AutoShape 166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947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1667</xdr:row>
      <xdr:rowOff>0</xdr:rowOff>
    </xdr:from>
    <xdr:to>
      <xdr:col>5</xdr:col>
      <xdr:colOff>304800</xdr:colOff>
      <xdr:row>1668</xdr:row>
      <xdr:rowOff>114300</xdr:rowOff>
    </xdr:to>
    <xdr:sp macro="" textlink="">
      <xdr:nvSpPr>
        <xdr:cNvPr id="4742" name="AutoShape 167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947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1669</xdr:row>
      <xdr:rowOff>0</xdr:rowOff>
    </xdr:from>
    <xdr:to>
      <xdr:col>4</xdr:col>
      <xdr:colOff>304800</xdr:colOff>
      <xdr:row>1670</xdr:row>
      <xdr:rowOff>76200</xdr:rowOff>
    </xdr:to>
    <xdr:sp macro="" textlink="">
      <xdr:nvSpPr>
        <xdr:cNvPr id="4743" name="AutoShape 167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006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1669</xdr:row>
      <xdr:rowOff>0</xdr:rowOff>
    </xdr:from>
    <xdr:to>
      <xdr:col>5</xdr:col>
      <xdr:colOff>304800</xdr:colOff>
      <xdr:row>1670</xdr:row>
      <xdr:rowOff>76200</xdr:rowOff>
    </xdr:to>
    <xdr:sp macro="" textlink="">
      <xdr:nvSpPr>
        <xdr:cNvPr id="4744" name="AutoShape 167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006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1671</xdr:row>
      <xdr:rowOff>0</xdr:rowOff>
    </xdr:from>
    <xdr:to>
      <xdr:col>4</xdr:col>
      <xdr:colOff>304800</xdr:colOff>
      <xdr:row>1672</xdr:row>
      <xdr:rowOff>114300</xdr:rowOff>
    </xdr:to>
    <xdr:sp macro="" textlink="">
      <xdr:nvSpPr>
        <xdr:cNvPr id="4745" name="AutoShape 167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04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1671</xdr:row>
      <xdr:rowOff>0</xdr:rowOff>
    </xdr:from>
    <xdr:to>
      <xdr:col>5</xdr:col>
      <xdr:colOff>304800</xdr:colOff>
      <xdr:row>1672</xdr:row>
      <xdr:rowOff>114300</xdr:rowOff>
    </xdr:to>
    <xdr:sp macro="" textlink="">
      <xdr:nvSpPr>
        <xdr:cNvPr id="4746" name="AutoShape 16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04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1673</xdr:row>
      <xdr:rowOff>0</xdr:rowOff>
    </xdr:from>
    <xdr:to>
      <xdr:col>4</xdr:col>
      <xdr:colOff>304800</xdr:colOff>
      <xdr:row>1674</xdr:row>
      <xdr:rowOff>114300</xdr:rowOff>
    </xdr:to>
    <xdr:sp macro="" textlink="">
      <xdr:nvSpPr>
        <xdr:cNvPr id="4747" name="AutoShape 167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10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1673</xdr:row>
      <xdr:rowOff>0</xdr:rowOff>
    </xdr:from>
    <xdr:to>
      <xdr:col>5</xdr:col>
      <xdr:colOff>304800</xdr:colOff>
      <xdr:row>1674</xdr:row>
      <xdr:rowOff>114300</xdr:rowOff>
    </xdr:to>
    <xdr:sp macro="" textlink="">
      <xdr:nvSpPr>
        <xdr:cNvPr id="4748" name="AutoShape 167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10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1675</xdr:row>
      <xdr:rowOff>0</xdr:rowOff>
    </xdr:from>
    <xdr:to>
      <xdr:col>4</xdr:col>
      <xdr:colOff>304800</xdr:colOff>
      <xdr:row>1676</xdr:row>
      <xdr:rowOff>114300</xdr:rowOff>
    </xdr:to>
    <xdr:sp macro="" textlink="">
      <xdr:nvSpPr>
        <xdr:cNvPr id="4749" name="AutoShape 167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165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1675</xdr:row>
      <xdr:rowOff>0</xdr:rowOff>
    </xdr:from>
    <xdr:to>
      <xdr:col>5</xdr:col>
      <xdr:colOff>304800</xdr:colOff>
      <xdr:row>1676</xdr:row>
      <xdr:rowOff>114300</xdr:rowOff>
    </xdr:to>
    <xdr:sp macro="" textlink="">
      <xdr:nvSpPr>
        <xdr:cNvPr id="4750" name="AutoShape 167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165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1677</xdr:row>
      <xdr:rowOff>0</xdr:rowOff>
    </xdr:from>
    <xdr:to>
      <xdr:col>4</xdr:col>
      <xdr:colOff>304800</xdr:colOff>
      <xdr:row>1678</xdr:row>
      <xdr:rowOff>114300</xdr:rowOff>
    </xdr:to>
    <xdr:sp macro="" textlink="">
      <xdr:nvSpPr>
        <xdr:cNvPr id="4751" name="AutoShape 167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223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1677</xdr:row>
      <xdr:rowOff>0</xdr:rowOff>
    </xdr:from>
    <xdr:to>
      <xdr:col>5</xdr:col>
      <xdr:colOff>304800</xdr:colOff>
      <xdr:row>1678</xdr:row>
      <xdr:rowOff>114300</xdr:rowOff>
    </xdr:to>
    <xdr:sp macro="" textlink="">
      <xdr:nvSpPr>
        <xdr:cNvPr id="4752" name="AutoShape 168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223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1679</xdr:row>
      <xdr:rowOff>0</xdr:rowOff>
    </xdr:from>
    <xdr:to>
      <xdr:col>4</xdr:col>
      <xdr:colOff>304800</xdr:colOff>
      <xdr:row>1680</xdr:row>
      <xdr:rowOff>76200</xdr:rowOff>
    </xdr:to>
    <xdr:sp macro="" textlink="">
      <xdr:nvSpPr>
        <xdr:cNvPr id="4753" name="AutoShape 168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1679</xdr:row>
      <xdr:rowOff>0</xdr:rowOff>
    </xdr:from>
    <xdr:to>
      <xdr:col>5</xdr:col>
      <xdr:colOff>304800</xdr:colOff>
      <xdr:row>1680</xdr:row>
      <xdr:rowOff>76200</xdr:rowOff>
    </xdr:to>
    <xdr:sp macro="" textlink="">
      <xdr:nvSpPr>
        <xdr:cNvPr id="4754" name="AutoShape 168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1681</xdr:row>
      <xdr:rowOff>0</xdr:rowOff>
    </xdr:from>
    <xdr:to>
      <xdr:col>4</xdr:col>
      <xdr:colOff>304800</xdr:colOff>
      <xdr:row>1682</xdr:row>
      <xdr:rowOff>76200</xdr:rowOff>
    </xdr:to>
    <xdr:sp macro="" textlink="">
      <xdr:nvSpPr>
        <xdr:cNvPr id="4755" name="AutoShape 168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43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1681</xdr:row>
      <xdr:rowOff>0</xdr:rowOff>
    </xdr:from>
    <xdr:to>
      <xdr:col>5</xdr:col>
      <xdr:colOff>304800</xdr:colOff>
      <xdr:row>1682</xdr:row>
      <xdr:rowOff>76200</xdr:rowOff>
    </xdr:to>
    <xdr:sp macro="" textlink="">
      <xdr:nvSpPr>
        <xdr:cNvPr id="4756" name="AutoShape 168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43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1683</xdr:row>
      <xdr:rowOff>0</xdr:rowOff>
    </xdr:from>
    <xdr:to>
      <xdr:col>4</xdr:col>
      <xdr:colOff>304800</xdr:colOff>
      <xdr:row>1684</xdr:row>
      <xdr:rowOff>114300</xdr:rowOff>
    </xdr:to>
    <xdr:sp macro="" textlink="">
      <xdr:nvSpPr>
        <xdr:cNvPr id="4757" name="AutoShape 168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86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1683</xdr:row>
      <xdr:rowOff>0</xdr:rowOff>
    </xdr:from>
    <xdr:to>
      <xdr:col>5</xdr:col>
      <xdr:colOff>304800</xdr:colOff>
      <xdr:row>1684</xdr:row>
      <xdr:rowOff>114300</xdr:rowOff>
    </xdr:to>
    <xdr:sp macro="" textlink="">
      <xdr:nvSpPr>
        <xdr:cNvPr id="4758" name="AutoShape 168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86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1685</xdr:row>
      <xdr:rowOff>0</xdr:rowOff>
    </xdr:from>
    <xdr:to>
      <xdr:col>4</xdr:col>
      <xdr:colOff>304800</xdr:colOff>
      <xdr:row>1686</xdr:row>
      <xdr:rowOff>114300</xdr:rowOff>
    </xdr:to>
    <xdr:sp macro="" textlink="">
      <xdr:nvSpPr>
        <xdr:cNvPr id="4759" name="AutoShape 168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444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1685</xdr:row>
      <xdr:rowOff>0</xdr:rowOff>
    </xdr:from>
    <xdr:to>
      <xdr:col>5</xdr:col>
      <xdr:colOff>304800</xdr:colOff>
      <xdr:row>1686</xdr:row>
      <xdr:rowOff>114300</xdr:rowOff>
    </xdr:to>
    <xdr:sp macro="" textlink="">
      <xdr:nvSpPr>
        <xdr:cNvPr id="4760" name="AutoShape 168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444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1687</xdr:row>
      <xdr:rowOff>0</xdr:rowOff>
    </xdr:from>
    <xdr:to>
      <xdr:col>4</xdr:col>
      <xdr:colOff>304800</xdr:colOff>
      <xdr:row>1688</xdr:row>
      <xdr:rowOff>76200</xdr:rowOff>
    </xdr:to>
    <xdr:sp macro="" textlink="">
      <xdr:nvSpPr>
        <xdr:cNvPr id="4761" name="AutoShape 168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50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1687</xdr:row>
      <xdr:rowOff>0</xdr:rowOff>
    </xdr:from>
    <xdr:to>
      <xdr:col>5</xdr:col>
      <xdr:colOff>304800</xdr:colOff>
      <xdr:row>1688</xdr:row>
      <xdr:rowOff>76200</xdr:rowOff>
    </xdr:to>
    <xdr:sp macro="" textlink="">
      <xdr:nvSpPr>
        <xdr:cNvPr id="4762" name="AutoShape 169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50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1689</xdr:row>
      <xdr:rowOff>0</xdr:rowOff>
    </xdr:from>
    <xdr:to>
      <xdr:col>4</xdr:col>
      <xdr:colOff>304800</xdr:colOff>
      <xdr:row>1690</xdr:row>
      <xdr:rowOff>114300</xdr:rowOff>
    </xdr:to>
    <xdr:sp macro="" textlink="">
      <xdr:nvSpPr>
        <xdr:cNvPr id="4763" name="AutoShape 169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545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1689</xdr:row>
      <xdr:rowOff>0</xdr:rowOff>
    </xdr:from>
    <xdr:to>
      <xdr:col>5</xdr:col>
      <xdr:colOff>304800</xdr:colOff>
      <xdr:row>1690</xdr:row>
      <xdr:rowOff>114300</xdr:rowOff>
    </xdr:to>
    <xdr:sp macro="" textlink="">
      <xdr:nvSpPr>
        <xdr:cNvPr id="4764" name="AutoShape 169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545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1691</xdr:row>
      <xdr:rowOff>0</xdr:rowOff>
    </xdr:from>
    <xdr:to>
      <xdr:col>4</xdr:col>
      <xdr:colOff>304800</xdr:colOff>
      <xdr:row>1692</xdr:row>
      <xdr:rowOff>114300</xdr:rowOff>
    </xdr:to>
    <xdr:sp macro="" textlink="">
      <xdr:nvSpPr>
        <xdr:cNvPr id="4765" name="AutoShape 169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603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1691</xdr:row>
      <xdr:rowOff>0</xdr:rowOff>
    </xdr:from>
    <xdr:to>
      <xdr:col>5</xdr:col>
      <xdr:colOff>304800</xdr:colOff>
      <xdr:row>1692</xdr:row>
      <xdr:rowOff>114300</xdr:rowOff>
    </xdr:to>
    <xdr:sp macro="" textlink="">
      <xdr:nvSpPr>
        <xdr:cNvPr id="4766" name="AutoShape 169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603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1693</xdr:row>
      <xdr:rowOff>0</xdr:rowOff>
    </xdr:from>
    <xdr:to>
      <xdr:col>4</xdr:col>
      <xdr:colOff>304800</xdr:colOff>
      <xdr:row>1694</xdr:row>
      <xdr:rowOff>114300</xdr:rowOff>
    </xdr:to>
    <xdr:sp macro="" textlink="">
      <xdr:nvSpPr>
        <xdr:cNvPr id="4767" name="AutoShape 169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6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1693</xdr:row>
      <xdr:rowOff>0</xdr:rowOff>
    </xdr:from>
    <xdr:to>
      <xdr:col>5</xdr:col>
      <xdr:colOff>304800</xdr:colOff>
      <xdr:row>1694</xdr:row>
      <xdr:rowOff>114300</xdr:rowOff>
    </xdr:to>
    <xdr:sp macro="" textlink="">
      <xdr:nvSpPr>
        <xdr:cNvPr id="4768" name="AutoShape 169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6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1695</xdr:row>
      <xdr:rowOff>0</xdr:rowOff>
    </xdr:from>
    <xdr:to>
      <xdr:col>4</xdr:col>
      <xdr:colOff>304800</xdr:colOff>
      <xdr:row>1696</xdr:row>
      <xdr:rowOff>114300</xdr:rowOff>
    </xdr:to>
    <xdr:sp macro="" textlink="">
      <xdr:nvSpPr>
        <xdr:cNvPr id="4769" name="AutoShape 169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719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1695</xdr:row>
      <xdr:rowOff>0</xdr:rowOff>
    </xdr:from>
    <xdr:to>
      <xdr:col>5</xdr:col>
      <xdr:colOff>304800</xdr:colOff>
      <xdr:row>1696</xdr:row>
      <xdr:rowOff>114300</xdr:rowOff>
    </xdr:to>
    <xdr:sp macro="" textlink="">
      <xdr:nvSpPr>
        <xdr:cNvPr id="4770" name="AutoShape 169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719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1697</xdr:row>
      <xdr:rowOff>0</xdr:rowOff>
    </xdr:from>
    <xdr:to>
      <xdr:col>4</xdr:col>
      <xdr:colOff>304800</xdr:colOff>
      <xdr:row>1698</xdr:row>
      <xdr:rowOff>114300</xdr:rowOff>
    </xdr:to>
    <xdr:sp macro="" textlink="">
      <xdr:nvSpPr>
        <xdr:cNvPr id="4771" name="AutoShape 169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777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1697</xdr:row>
      <xdr:rowOff>0</xdr:rowOff>
    </xdr:from>
    <xdr:to>
      <xdr:col>5</xdr:col>
      <xdr:colOff>304800</xdr:colOff>
      <xdr:row>1698</xdr:row>
      <xdr:rowOff>114300</xdr:rowOff>
    </xdr:to>
    <xdr:sp macro="" textlink="">
      <xdr:nvSpPr>
        <xdr:cNvPr id="4772" name="AutoShape 170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777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1699</xdr:row>
      <xdr:rowOff>0</xdr:rowOff>
    </xdr:from>
    <xdr:to>
      <xdr:col>4</xdr:col>
      <xdr:colOff>304800</xdr:colOff>
      <xdr:row>1700</xdr:row>
      <xdr:rowOff>114300</xdr:rowOff>
    </xdr:to>
    <xdr:sp macro="" textlink="">
      <xdr:nvSpPr>
        <xdr:cNvPr id="4773" name="AutoShape 17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83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1699</xdr:row>
      <xdr:rowOff>0</xdr:rowOff>
    </xdr:from>
    <xdr:to>
      <xdr:col>5</xdr:col>
      <xdr:colOff>304800</xdr:colOff>
      <xdr:row>1700</xdr:row>
      <xdr:rowOff>114300</xdr:rowOff>
    </xdr:to>
    <xdr:sp macro="" textlink="">
      <xdr:nvSpPr>
        <xdr:cNvPr id="4774" name="AutoShape 170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83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1701</xdr:row>
      <xdr:rowOff>0</xdr:rowOff>
    </xdr:from>
    <xdr:to>
      <xdr:col>4</xdr:col>
      <xdr:colOff>304800</xdr:colOff>
      <xdr:row>1702</xdr:row>
      <xdr:rowOff>76200</xdr:rowOff>
    </xdr:to>
    <xdr:sp macro="" textlink="">
      <xdr:nvSpPr>
        <xdr:cNvPr id="4775" name="AutoShape 170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893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1701</xdr:row>
      <xdr:rowOff>0</xdr:rowOff>
    </xdr:from>
    <xdr:to>
      <xdr:col>5</xdr:col>
      <xdr:colOff>304800</xdr:colOff>
      <xdr:row>1702</xdr:row>
      <xdr:rowOff>76200</xdr:rowOff>
    </xdr:to>
    <xdr:sp macro="" textlink="">
      <xdr:nvSpPr>
        <xdr:cNvPr id="4776" name="AutoShape 170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893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1703</xdr:row>
      <xdr:rowOff>0</xdr:rowOff>
    </xdr:from>
    <xdr:to>
      <xdr:col>4</xdr:col>
      <xdr:colOff>304800</xdr:colOff>
      <xdr:row>1704</xdr:row>
      <xdr:rowOff>76200</xdr:rowOff>
    </xdr:to>
    <xdr:sp macro="" textlink="">
      <xdr:nvSpPr>
        <xdr:cNvPr id="4777" name="AutoShape 17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9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1703</xdr:row>
      <xdr:rowOff>0</xdr:rowOff>
    </xdr:from>
    <xdr:to>
      <xdr:col>5</xdr:col>
      <xdr:colOff>304800</xdr:colOff>
      <xdr:row>1704</xdr:row>
      <xdr:rowOff>76200</xdr:rowOff>
    </xdr:to>
    <xdr:sp macro="" textlink="">
      <xdr:nvSpPr>
        <xdr:cNvPr id="4778" name="AutoShape 170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9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1705</xdr:row>
      <xdr:rowOff>0</xdr:rowOff>
    </xdr:from>
    <xdr:to>
      <xdr:col>4</xdr:col>
      <xdr:colOff>304800</xdr:colOff>
      <xdr:row>1706</xdr:row>
      <xdr:rowOff>114300</xdr:rowOff>
    </xdr:to>
    <xdr:sp macro="" textlink="">
      <xdr:nvSpPr>
        <xdr:cNvPr id="4779" name="AutoShape 170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979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1705</xdr:row>
      <xdr:rowOff>0</xdr:rowOff>
    </xdr:from>
    <xdr:to>
      <xdr:col>5</xdr:col>
      <xdr:colOff>304800</xdr:colOff>
      <xdr:row>1706</xdr:row>
      <xdr:rowOff>114300</xdr:rowOff>
    </xdr:to>
    <xdr:sp macro="" textlink="">
      <xdr:nvSpPr>
        <xdr:cNvPr id="4780" name="AutoShape 170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979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1707</xdr:row>
      <xdr:rowOff>0</xdr:rowOff>
    </xdr:from>
    <xdr:to>
      <xdr:col>4</xdr:col>
      <xdr:colOff>304800</xdr:colOff>
      <xdr:row>1708</xdr:row>
      <xdr:rowOff>76200</xdr:rowOff>
    </xdr:to>
    <xdr:sp macro="" textlink="">
      <xdr:nvSpPr>
        <xdr:cNvPr id="4781" name="AutoShape 170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037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1707</xdr:row>
      <xdr:rowOff>0</xdr:rowOff>
    </xdr:from>
    <xdr:to>
      <xdr:col>5</xdr:col>
      <xdr:colOff>304800</xdr:colOff>
      <xdr:row>1708</xdr:row>
      <xdr:rowOff>76200</xdr:rowOff>
    </xdr:to>
    <xdr:sp macro="" textlink="">
      <xdr:nvSpPr>
        <xdr:cNvPr id="4782" name="AutoShape 171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037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1709</xdr:row>
      <xdr:rowOff>0</xdr:rowOff>
    </xdr:from>
    <xdr:to>
      <xdr:col>4</xdr:col>
      <xdr:colOff>304800</xdr:colOff>
      <xdr:row>1710</xdr:row>
      <xdr:rowOff>76200</xdr:rowOff>
    </xdr:to>
    <xdr:sp macro="" textlink="">
      <xdr:nvSpPr>
        <xdr:cNvPr id="4783" name="AutoShape 17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080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1709</xdr:row>
      <xdr:rowOff>0</xdr:rowOff>
    </xdr:from>
    <xdr:to>
      <xdr:col>5</xdr:col>
      <xdr:colOff>304800</xdr:colOff>
      <xdr:row>1710</xdr:row>
      <xdr:rowOff>76200</xdr:rowOff>
    </xdr:to>
    <xdr:sp macro="" textlink="">
      <xdr:nvSpPr>
        <xdr:cNvPr id="4784" name="AutoShape 171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080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1711</xdr:row>
      <xdr:rowOff>0</xdr:rowOff>
    </xdr:from>
    <xdr:to>
      <xdr:col>4</xdr:col>
      <xdr:colOff>304800</xdr:colOff>
      <xdr:row>1712</xdr:row>
      <xdr:rowOff>114300</xdr:rowOff>
    </xdr:to>
    <xdr:sp macro="" textlink="">
      <xdr:nvSpPr>
        <xdr:cNvPr id="4785" name="AutoShape 171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1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1711</xdr:row>
      <xdr:rowOff>0</xdr:rowOff>
    </xdr:from>
    <xdr:to>
      <xdr:col>5</xdr:col>
      <xdr:colOff>304800</xdr:colOff>
      <xdr:row>1712</xdr:row>
      <xdr:rowOff>114300</xdr:rowOff>
    </xdr:to>
    <xdr:sp macro="" textlink="">
      <xdr:nvSpPr>
        <xdr:cNvPr id="4786" name="AutoShape 171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1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1713</xdr:row>
      <xdr:rowOff>0</xdr:rowOff>
    </xdr:from>
    <xdr:to>
      <xdr:col>4</xdr:col>
      <xdr:colOff>304800</xdr:colOff>
      <xdr:row>1714</xdr:row>
      <xdr:rowOff>114300</xdr:rowOff>
    </xdr:to>
    <xdr:sp macro="" textlink="">
      <xdr:nvSpPr>
        <xdr:cNvPr id="4787" name="AutoShape 171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181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1713</xdr:row>
      <xdr:rowOff>0</xdr:rowOff>
    </xdr:from>
    <xdr:to>
      <xdr:col>5</xdr:col>
      <xdr:colOff>304800</xdr:colOff>
      <xdr:row>1714</xdr:row>
      <xdr:rowOff>114300</xdr:rowOff>
    </xdr:to>
    <xdr:sp macro="" textlink="">
      <xdr:nvSpPr>
        <xdr:cNvPr id="4788" name="AutoShape 171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181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1715</xdr:row>
      <xdr:rowOff>0</xdr:rowOff>
    </xdr:from>
    <xdr:to>
      <xdr:col>4</xdr:col>
      <xdr:colOff>304800</xdr:colOff>
      <xdr:row>1716</xdr:row>
      <xdr:rowOff>114300</xdr:rowOff>
    </xdr:to>
    <xdr:sp macro="" textlink="">
      <xdr:nvSpPr>
        <xdr:cNvPr id="4789" name="AutoShape 171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239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1715</xdr:row>
      <xdr:rowOff>0</xdr:rowOff>
    </xdr:from>
    <xdr:to>
      <xdr:col>5</xdr:col>
      <xdr:colOff>304800</xdr:colOff>
      <xdr:row>1716</xdr:row>
      <xdr:rowOff>114300</xdr:rowOff>
    </xdr:to>
    <xdr:sp macro="" textlink="">
      <xdr:nvSpPr>
        <xdr:cNvPr id="4790" name="AutoShape 171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239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1717</xdr:row>
      <xdr:rowOff>0</xdr:rowOff>
    </xdr:from>
    <xdr:to>
      <xdr:col>4</xdr:col>
      <xdr:colOff>304800</xdr:colOff>
      <xdr:row>1718</xdr:row>
      <xdr:rowOff>114300</xdr:rowOff>
    </xdr:to>
    <xdr:sp macro="" textlink="">
      <xdr:nvSpPr>
        <xdr:cNvPr id="4791" name="AutoShape 171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297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1717</xdr:row>
      <xdr:rowOff>0</xdr:rowOff>
    </xdr:from>
    <xdr:to>
      <xdr:col>5</xdr:col>
      <xdr:colOff>304800</xdr:colOff>
      <xdr:row>1718</xdr:row>
      <xdr:rowOff>114300</xdr:rowOff>
    </xdr:to>
    <xdr:sp macro="" textlink="">
      <xdr:nvSpPr>
        <xdr:cNvPr id="4792" name="AutoShape 17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297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1719</xdr:row>
      <xdr:rowOff>0</xdr:rowOff>
    </xdr:from>
    <xdr:to>
      <xdr:col>4</xdr:col>
      <xdr:colOff>304800</xdr:colOff>
      <xdr:row>1720</xdr:row>
      <xdr:rowOff>114300</xdr:rowOff>
    </xdr:to>
    <xdr:sp macro="" textlink="">
      <xdr:nvSpPr>
        <xdr:cNvPr id="4793" name="AutoShape 172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35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1719</xdr:row>
      <xdr:rowOff>0</xdr:rowOff>
    </xdr:from>
    <xdr:to>
      <xdr:col>5</xdr:col>
      <xdr:colOff>304800</xdr:colOff>
      <xdr:row>1720</xdr:row>
      <xdr:rowOff>114300</xdr:rowOff>
    </xdr:to>
    <xdr:sp macro="" textlink="">
      <xdr:nvSpPr>
        <xdr:cNvPr id="4794" name="AutoShape 172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35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1721</xdr:row>
      <xdr:rowOff>0</xdr:rowOff>
    </xdr:from>
    <xdr:to>
      <xdr:col>4</xdr:col>
      <xdr:colOff>304800</xdr:colOff>
      <xdr:row>1722</xdr:row>
      <xdr:rowOff>114300</xdr:rowOff>
    </xdr:to>
    <xdr:sp macro="" textlink="">
      <xdr:nvSpPr>
        <xdr:cNvPr id="4795" name="AutoShape 17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432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1721</xdr:row>
      <xdr:rowOff>0</xdr:rowOff>
    </xdr:from>
    <xdr:to>
      <xdr:col>5</xdr:col>
      <xdr:colOff>304800</xdr:colOff>
      <xdr:row>1722</xdr:row>
      <xdr:rowOff>114300</xdr:rowOff>
    </xdr:to>
    <xdr:sp macro="" textlink="">
      <xdr:nvSpPr>
        <xdr:cNvPr id="4796" name="AutoShape 172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432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1723</xdr:row>
      <xdr:rowOff>0</xdr:rowOff>
    </xdr:from>
    <xdr:to>
      <xdr:col>4</xdr:col>
      <xdr:colOff>304800</xdr:colOff>
      <xdr:row>1724</xdr:row>
      <xdr:rowOff>114300</xdr:rowOff>
    </xdr:to>
    <xdr:sp macro="" textlink="">
      <xdr:nvSpPr>
        <xdr:cNvPr id="4797" name="AutoShape 172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491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1723</xdr:row>
      <xdr:rowOff>0</xdr:rowOff>
    </xdr:from>
    <xdr:to>
      <xdr:col>5</xdr:col>
      <xdr:colOff>304800</xdr:colOff>
      <xdr:row>1724</xdr:row>
      <xdr:rowOff>114300</xdr:rowOff>
    </xdr:to>
    <xdr:sp macro="" textlink="">
      <xdr:nvSpPr>
        <xdr:cNvPr id="4798" name="AutoShape 172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491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1725</xdr:row>
      <xdr:rowOff>0</xdr:rowOff>
    </xdr:from>
    <xdr:to>
      <xdr:col>4</xdr:col>
      <xdr:colOff>304800</xdr:colOff>
      <xdr:row>1726</xdr:row>
      <xdr:rowOff>114300</xdr:rowOff>
    </xdr:to>
    <xdr:sp macro="" textlink="">
      <xdr:nvSpPr>
        <xdr:cNvPr id="4799" name="AutoShape 172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549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1725</xdr:row>
      <xdr:rowOff>0</xdr:rowOff>
    </xdr:from>
    <xdr:to>
      <xdr:col>5</xdr:col>
      <xdr:colOff>304800</xdr:colOff>
      <xdr:row>1726</xdr:row>
      <xdr:rowOff>114300</xdr:rowOff>
    </xdr:to>
    <xdr:sp macro="" textlink="">
      <xdr:nvSpPr>
        <xdr:cNvPr id="4800" name="AutoShape 172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549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1727</xdr:row>
      <xdr:rowOff>0</xdr:rowOff>
    </xdr:from>
    <xdr:to>
      <xdr:col>4</xdr:col>
      <xdr:colOff>304800</xdr:colOff>
      <xdr:row>1728</xdr:row>
      <xdr:rowOff>114300</xdr:rowOff>
    </xdr:to>
    <xdr:sp macro="" textlink="">
      <xdr:nvSpPr>
        <xdr:cNvPr id="4801" name="AutoShape 172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607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1727</xdr:row>
      <xdr:rowOff>0</xdr:rowOff>
    </xdr:from>
    <xdr:to>
      <xdr:col>5</xdr:col>
      <xdr:colOff>304800</xdr:colOff>
      <xdr:row>1728</xdr:row>
      <xdr:rowOff>114300</xdr:rowOff>
    </xdr:to>
    <xdr:sp macro="" textlink="">
      <xdr:nvSpPr>
        <xdr:cNvPr id="4802" name="AutoShape 173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607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1729</xdr:row>
      <xdr:rowOff>0</xdr:rowOff>
    </xdr:from>
    <xdr:to>
      <xdr:col>4</xdr:col>
      <xdr:colOff>304800</xdr:colOff>
      <xdr:row>1730</xdr:row>
      <xdr:rowOff>114300</xdr:rowOff>
    </xdr:to>
    <xdr:sp macro="" textlink="">
      <xdr:nvSpPr>
        <xdr:cNvPr id="4803" name="AutoShape 173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665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1729</xdr:row>
      <xdr:rowOff>0</xdr:rowOff>
    </xdr:from>
    <xdr:to>
      <xdr:col>5</xdr:col>
      <xdr:colOff>304800</xdr:colOff>
      <xdr:row>1730</xdr:row>
      <xdr:rowOff>114300</xdr:rowOff>
    </xdr:to>
    <xdr:sp macro="" textlink="">
      <xdr:nvSpPr>
        <xdr:cNvPr id="4804" name="AutoShape 173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665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1731</xdr:row>
      <xdr:rowOff>0</xdr:rowOff>
    </xdr:from>
    <xdr:to>
      <xdr:col>4</xdr:col>
      <xdr:colOff>304800</xdr:colOff>
      <xdr:row>1732</xdr:row>
      <xdr:rowOff>76200</xdr:rowOff>
    </xdr:to>
    <xdr:sp macro="" textlink="">
      <xdr:nvSpPr>
        <xdr:cNvPr id="4805" name="AutoShape 173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723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1731</xdr:row>
      <xdr:rowOff>0</xdr:rowOff>
    </xdr:from>
    <xdr:to>
      <xdr:col>5</xdr:col>
      <xdr:colOff>304800</xdr:colOff>
      <xdr:row>1732</xdr:row>
      <xdr:rowOff>76200</xdr:rowOff>
    </xdr:to>
    <xdr:sp macro="" textlink="">
      <xdr:nvSpPr>
        <xdr:cNvPr id="4806" name="AutoShape 173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723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1733</xdr:row>
      <xdr:rowOff>0</xdr:rowOff>
    </xdr:from>
    <xdr:to>
      <xdr:col>4</xdr:col>
      <xdr:colOff>304800</xdr:colOff>
      <xdr:row>1734</xdr:row>
      <xdr:rowOff>114300</xdr:rowOff>
    </xdr:to>
    <xdr:sp macro="" textlink="">
      <xdr:nvSpPr>
        <xdr:cNvPr id="4807" name="AutoShape 17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7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1733</xdr:row>
      <xdr:rowOff>0</xdr:rowOff>
    </xdr:from>
    <xdr:to>
      <xdr:col>5</xdr:col>
      <xdr:colOff>304800</xdr:colOff>
      <xdr:row>1734</xdr:row>
      <xdr:rowOff>114300</xdr:rowOff>
    </xdr:to>
    <xdr:sp macro="" textlink="">
      <xdr:nvSpPr>
        <xdr:cNvPr id="4808" name="AutoShape 173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7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1735</xdr:row>
      <xdr:rowOff>0</xdr:rowOff>
    </xdr:from>
    <xdr:to>
      <xdr:col>4</xdr:col>
      <xdr:colOff>304800</xdr:colOff>
      <xdr:row>1736</xdr:row>
      <xdr:rowOff>114300</xdr:rowOff>
    </xdr:to>
    <xdr:sp macro="" textlink="">
      <xdr:nvSpPr>
        <xdr:cNvPr id="4809" name="AutoShape 173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82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1735</xdr:row>
      <xdr:rowOff>0</xdr:rowOff>
    </xdr:from>
    <xdr:to>
      <xdr:col>5</xdr:col>
      <xdr:colOff>304800</xdr:colOff>
      <xdr:row>1736</xdr:row>
      <xdr:rowOff>114300</xdr:rowOff>
    </xdr:to>
    <xdr:sp macro="" textlink="">
      <xdr:nvSpPr>
        <xdr:cNvPr id="4810" name="AutoShape 17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82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1737</xdr:row>
      <xdr:rowOff>0</xdr:rowOff>
    </xdr:from>
    <xdr:to>
      <xdr:col>4</xdr:col>
      <xdr:colOff>304800</xdr:colOff>
      <xdr:row>1738</xdr:row>
      <xdr:rowOff>114300</xdr:rowOff>
    </xdr:to>
    <xdr:sp macro="" textlink="">
      <xdr:nvSpPr>
        <xdr:cNvPr id="4811" name="AutoShape 17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88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1737</xdr:row>
      <xdr:rowOff>0</xdr:rowOff>
    </xdr:from>
    <xdr:to>
      <xdr:col>5</xdr:col>
      <xdr:colOff>304800</xdr:colOff>
      <xdr:row>1738</xdr:row>
      <xdr:rowOff>114300</xdr:rowOff>
    </xdr:to>
    <xdr:sp macro="" textlink="">
      <xdr:nvSpPr>
        <xdr:cNvPr id="4812" name="AutoShape 17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88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1739</xdr:row>
      <xdr:rowOff>0</xdr:rowOff>
    </xdr:from>
    <xdr:to>
      <xdr:col>4</xdr:col>
      <xdr:colOff>304800</xdr:colOff>
      <xdr:row>1740</xdr:row>
      <xdr:rowOff>76200</xdr:rowOff>
    </xdr:to>
    <xdr:sp macro="" textlink="">
      <xdr:nvSpPr>
        <xdr:cNvPr id="4813" name="AutoShape 174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94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1739</xdr:row>
      <xdr:rowOff>0</xdr:rowOff>
    </xdr:from>
    <xdr:to>
      <xdr:col>5</xdr:col>
      <xdr:colOff>304800</xdr:colOff>
      <xdr:row>1740</xdr:row>
      <xdr:rowOff>76200</xdr:rowOff>
    </xdr:to>
    <xdr:sp macro="" textlink="">
      <xdr:nvSpPr>
        <xdr:cNvPr id="4814" name="AutoShape 17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94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1741</xdr:row>
      <xdr:rowOff>0</xdr:rowOff>
    </xdr:from>
    <xdr:to>
      <xdr:col>4</xdr:col>
      <xdr:colOff>304800</xdr:colOff>
      <xdr:row>1742</xdr:row>
      <xdr:rowOff>114300</xdr:rowOff>
    </xdr:to>
    <xdr:sp macro="" textlink="">
      <xdr:nvSpPr>
        <xdr:cNvPr id="4815" name="AutoShape 174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983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1741</xdr:row>
      <xdr:rowOff>0</xdr:rowOff>
    </xdr:from>
    <xdr:to>
      <xdr:col>5</xdr:col>
      <xdr:colOff>304800</xdr:colOff>
      <xdr:row>1742</xdr:row>
      <xdr:rowOff>114300</xdr:rowOff>
    </xdr:to>
    <xdr:sp macro="" textlink="">
      <xdr:nvSpPr>
        <xdr:cNvPr id="4816" name="AutoShape 174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983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1743</xdr:row>
      <xdr:rowOff>0</xdr:rowOff>
    </xdr:from>
    <xdr:to>
      <xdr:col>4</xdr:col>
      <xdr:colOff>304800</xdr:colOff>
      <xdr:row>1744</xdr:row>
      <xdr:rowOff>76200</xdr:rowOff>
    </xdr:to>
    <xdr:sp macro="" textlink="">
      <xdr:nvSpPr>
        <xdr:cNvPr id="4817" name="AutoShape 174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04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1743</xdr:row>
      <xdr:rowOff>0</xdr:rowOff>
    </xdr:from>
    <xdr:to>
      <xdr:col>5</xdr:col>
      <xdr:colOff>304800</xdr:colOff>
      <xdr:row>1744</xdr:row>
      <xdr:rowOff>76200</xdr:rowOff>
    </xdr:to>
    <xdr:sp macro="" textlink="">
      <xdr:nvSpPr>
        <xdr:cNvPr id="4818" name="AutoShape 174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04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1745</xdr:row>
      <xdr:rowOff>0</xdr:rowOff>
    </xdr:from>
    <xdr:to>
      <xdr:col>4</xdr:col>
      <xdr:colOff>304800</xdr:colOff>
      <xdr:row>1746</xdr:row>
      <xdr:rowOff>114300</xdr:rowOff>
    </xdr:to>
    <xdr:sp macro="" textlink="">
      <xdr:nvSpPr>
        <xdr:cNvPr id="4819" name="AutoShape 174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08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1745</xdr:row>
      <xdr:rowOff>0</xdr:rowOff>
    </xdr:from>
    <xdr:to>
      <xdr:col>5</xdr:col>
      <xdr:colOff>304800</xdr:colOff>
      <xdr:row>1746</xdr:row>
      <xdr:rowOff>114300</xdr:rowOff>
    </xdr:to>
    <xdr:sp macro="" textlink="">
      <xdr:nvSpPr>
        <xdr:cNvPr id="4820" name="AutoShape 174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08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1747</xdr:row>
      <xdr:rowOff>0</xdr:rowOff>
    </xdr:from>
    <xdr:to>
      <xdr:col>4</xdr:col>
      <xdr:colOff>304800</xdr:colOff>
      <xdr:row>1748</xdr:row>
      <xdr:rowOff>114300</xdr:rowOff>
    </xdr:to>
    <xdr:sp macro="" textlink="">
      <xdr:nvSpPr>
        <xdr:cNvPr id="4821" name="AutoShape 174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14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1747</xdr:row>
      <xdr:rowOff>0</xdr:rowOff>
    </xdr:from>
    <xdr:to>
      <xdr:col>5</xdr:col>
      <xdr:colOff>304800</xdr:colOff>
      <xdr:row>1748</xdr:row>
      <xdr:rowOff>114300</xdr:rowOff>
    </xdr:to>
    <xdr:sp macro="" textlink="">
      <xdr:nvSpPr>
        <xdr:cNvPr id="4822" name="AutoShape 175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14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1749</xdr:row>
      <xdr:rowOff>0</xdr:rowOff>
    </xdr:from>
    <xdr:to>
      <xdr:col>4</xdr:col>
      <xdr:colOff>304800</xdr:colOff>
      <xdr:row>1750</xdr:row>
      <xdr:rowOff>114300</xdr:rowOff>
    </xdr:to>
    <xdr:sp macro="" textlink="">
      <xdr:nvSpPr>
        <xdr:cNvPr id="4823" name="AutoShape 175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2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1749</xdr:row>
      <xdr:rowOff>0</xdr:rowOff>
    </xdr:from>
    <xdr:to>
      <xdr:col>5</xdr:col>
      <xdr:colOff>304800</xdr:colOff>
      <xdr:row>1750</xdr:row>
      <xdr:rowOff>114300</xdr:rowOff>
    </xdr:to>
    <xdr:sp macro="" textlink="">
      <xdr:nvSpPr>
        <xdr:cNvPr id="4824" name="AutoShape 175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2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1751</xdr:row>
      <xdr:rowOff>0</xdr:rowOff>
    </xdr:from>
    <xdr:to>
      <xdr:col>4</xdr:col>
      <xdr:colOff>304800</xdr:colOff>
      <xdr:row>1752</xdr:row>
      <xdr:rowOff>76200</xdr:rowOff>
    </xdr:to>
    <xdr:sp macro="" textlink="">
      <xdr:nvSpPr>
        <xdr:cNvPr id="4825" name="AutoShape 17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25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1751</xdr:row>
      <xdr:rowOff>0</xdr:rowOff>
    </xdr:from>
    <xdr:to>
      <xdr:col>5</xdr:col>
      <xdr:colOff>304800</xdr:colOff>
      <xdr:row>1752</xdr:row>
      <xdr:rowOff>76200</xdr:rowOff>
    </xdr:to>
    <xdr:sp macro="" textlink="">
      <xdr:nvSpPr>
        <xdr:cNvPr id="4826" name="AutoShape 175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25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1753</xdr:row>
      <xdr:rowOff>0</xdr:rowOff>
    </xdr:from>
    <xdr:to>
      <xdr:col>4</xdr:col>
      <xdr:colOff>304800</xdr:colOff>
      <xdr:row>1754</xdr:row>
      <xdr:rowOff>114300</xdr:rowOff>
    </xdr:to>
    <xdr:sp macro="" textlink="">
      <xdr:nvSpPr>
        <xdr:cNvPr id="4827" name="AutoShape 175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301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1753</xdr:row>
      <xdr:rowOff>0</xdr:rowOff>
    </xdr:from>
    <xdr:to>
      <xdr:col>5</xdr:col>
      <xdr:colOff>304800</xdr:colOff>
      <xdr:row>1754</xdr:row>
      <xdr:rowOff>114300</xdr:rowOff>
    </xdr:to>
    <xdr:sp macro="" textlink="">
      <xdr:nvSpPr>
        <xdr:cNvPr id="4828" name="AutoShape 175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301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1755</xdr:row>
      <xdr:rowOff>0</xdr:rowOff>
    </xdr:from>
    <xdr:to>
      <xdr:col>4</xdr:col>
      <xdr:colOff>304800</xdr:colOff>
      <xdr:row>1756</xdr:row>
      <xdr:rowOff>76200</xdr:rowOff>
    </xdr:to>
    <xdr:sp macro="" textlink="">
      <xdr:nvSpPr>
        <xdr:cNvPr id="4829" name="AutoShape 175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3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1755</xdr:row>
      <xdr:rowOff>0</xdr:rowOff>
    </xdr:from>
    <xdr:to>
      <xdr:col>5</xdr:col>
      <xdr:colOff>304800</xdr:colOff>
      <xdr:row>1756</xdr:row>
      <xdr:rowOff>76200</xdr:rowOff>
    </xdr:to>
    <xdr:sp macro="" textlink="">
      <xdr:nvSpPr>
        <xdr:cNvPr id="4830" name="AutoShape 17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3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1757</xdr:row>
      <xdr:rowOff>0</xdr:rowOff>
    </xdr:from>
    <xdr:to>
      <xdr:col>4</xdr:col>
      <xdr:colOff>304800</xdr:colOff>
      <xdr:row>1758</xdr:row>
      <xdr:rowOff>114300</xdr:rowOff>
    </xdr:to>
    <xdr:sp macro="" textlink="">
      <xdr:nvSpPr>
        <xdr:cNvPr id="4831" name="AutoShape 175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402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1757</xdr:row>
      <xdr:rowOff>0</xdr:rowOff>
    </xdr:from>
    <xdr:to>
      <xdr:col>5</xdr:col>
      <xdr:colOff>304800</xdr:colOff>
      <xdr:row>1758</xdr:row>
      <xdr:rowOff>114300</xdr:rowOff>
    </xdr:to>
    <xdr:sp macro="" textlink="">
      <xdr:nvSpPr>
        <xdr:cNvPr id="4832" name="AutoShape 176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402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1759</xdr:row>
      <xdr:rowOff>0</xdr:rowOff>
    </xdr:from>
    <xdr:to>
      <xdr:col>4</xdr:col>
      <xdr:colOff>304800</xdr:colOff>
      <xdr:row>1760</xdr:row>
      <xdr:rowOff>114300</xdr:rowOff>
    </xdr:to>
    <xdr:sp macro="" textlink="">
      <xdr:nvSpPr>
        <xdr:cNvPr id="4833" name="AutoShape 176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46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1759</xdr:row>
      <xdr:rowOff>0</xdr:rowOff>
    </xdr:from>
    <xdr:to>
      <xdr:col>5</xdr:col>
      <xdr:colOff>304800</xdr:colOff>
      <xdr:row>1760</xdr:row>
      <xdr:rowOff>114300</xdr:rowOff>
    </xdr:to>
    <xdr:sp macro="" textlink="">
      <xdr:nvSpPr>
        <xdr:cNvPr id="4834" name="AutoShape 176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46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1761</xdr:row>
      <xdr:rowOff>0</xdr:rowOff>
    </xdr:from>
    <xdr:to>
      <xdr:col>4</xdr:col>
      <xdr:colOff>304800</xdr:colOff>
      <xdr:row>1762</xdr:row>
      <xdr:rowOff>114300</xdr:rowOff>
    </xdr:to>
    <xdr:sp macro="" textlink="">
      <xdr:nvSpPr>
        <xdr:cNvPr id="4835" name="AutoShape 176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518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1761</xdr:row>
      <xdr:rowOff>0</xdr:rowOff>
    </xdr:from>
    <xdr:to>
      <xdr:col>5</xdr:col>
      <xdr:colOff>304800</xdr:colOff>
      <xdr:row>1762</xdr:row>
      <xdr:rowOff>114300</xdr:rowOff>
    </xdr:to>
    <xdr:sp macro="" textlink="">
      <xdr:nvSpPr>
        <xdr:cNvPr id="4836" name="AutoShape 176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518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1763</xdr:row>
      <xdr:rowOff>0</xdr:rowOff>
    </xdr:from>
    <xdr:to>
      <xdr:col>4</xdr:col>
      <xdr:colOff>304800</xdr:colOff>
      <xdr:row>1764</xdr:row>
      <xdr:rowOff>76200</xdr:rowOff>
    </xdr:to>
    <xdr:sp macro="" textlink="">
      <xdr:nvSpPr>
        <xdr:cNvPr id="4837" name="AutoShape 17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576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1763</xdr:row>
      <xdr:rowOff>0</xdr:rowOff>
    </xdr:from>
    <xdr:to>
      <xdr:col>5</xdr:col>
      <xdr:colOff>304800</xdr:colOff>
      <xdr:row>1764</xdr:row>
      <xdr:rowOff>76200</xdr:rowOff>
    </xdr:to>
    <xdr:sp macro="" textlink="">
      <xdr:nvSpPr>
        <xdr:cNvPr id="4838" name="AutoShape 176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576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1765</xdr:row>
      <xdr:rowOff>0</xdr:rowOff>
    </xdr:from>
    <xdr:to>
      <xdr:col>4</xdr:col>
      <xdr:colOff>304800</xdr:colOff>
      <xdr:row>1766</xdr:row>
      <xdr:rowOff>114300</xdr:rowOff>
    </xdr:to>
    <xdr:sp macro="" textlink="">
      <xdr:nvSpPr>
        <xdr:cNvPr id="4839" name="AutoShape 176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619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1765</xdr:row>
      <xdr:rowOff>0</xdr:rowOff>
    </xdr:from>
    <xdr:to>
      <xdr:col>5</xdr:col>
      <xdr:colOff>304800</xdr:colOff>
      <xdr:row>1766</xdr:row>
      <xdr:rowOff>114300</xdr:rowOff>
    </xdr:to>
    <xdr:sp macro="" textlink="">
      <xdr:nvSpPr>
        <xdr:cNvPr id="4840" name="AutoShape 176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619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1767</xdr:row>
      <xdr:rowOff>0</xdr:rowOff>
    </xdr:from>
    <xdr:to>
      <xdr:col>4</xdr:col>
      <xdr:colOff>304800</xdr:colOff>
      <xdr:row>1768</xdr:row>
      <xdr:rowOff>114300</xdr:rowOff>
    </xdr:to>
    <xdr:sp macro="" textlink="">
      <xdr:nvSpPr>
        <xdr:cNvPr id="4841" name="AutoShape 176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74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1767</xdr:row>
      <xdr:rowOff>0</xdr:rowOff>
    </xdr:from>
    <xdr:to>
      <xdr:col>5</xdr:col>
      <xdr:colOff>304800</xdr:colOff>
      <xdr:row>1768</xdr:row>
      <xdr:rowOff>114300</xdr:rowOff>
    </xdr:to>
    <xdr:sp macro="" textlink="">
      <xdr:nvSpPr>
        <xdr:cNvPr id="4842" name="AutoShape 177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74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1769</xdr:row>
      <xdr:rowOff>0</xdr:rowOff>
    </xdr:from>
    <xdr:to>
      <xdr:col>4</xdr:col>
      <xdr:colOff>304800</xdr:colOff>
      <xdr:row>1770</xdr:row>
      <xdr:rowOff>114300</xdr:rowOff>
    </xdr:to>
    <xdr:sp macro="" textlink="">
      <xdr:nvSpPr>
        <xdr:cNvPr id="4843" name="AutoShape 177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8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1769</xdr:row>
      <xdr:rowOff>0</xdr:rowOff>
    </xdr:from>
    <xdr:to>
      <xdr:col>5</xdr:col>
      <xdr:colOff>304800</xdr:colOff>
      <xdr:row>1770</xdr:row>
      <xdr:rowOff>114300</xdr:rowOff>
    </xdr:to>
    <xdr:sp macro="" textlink="">
      <xdr:nvSpPr>
        <xdr:cNvPr id="4844" name="AutoShape 17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8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1771</xdr:row>
      <xdr:rowOff>0</xdr:rowOff>
    </xdr:from>
    <xdr:to>
      <xdr:col>4</xdr:col>
      <xdr:colOff>304800</xdr:colOff>
      <xdr:row>1772</xdr:row>
      <xdr:rowOff>114300</xdr:rowOff>
    </xdr:to>
    <xdr:sp macro="" textlink="">
      <xdr:nvSpPr>
        <xdr:cNvPr id="4845" name="AutoShape 177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8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1771</xdr:row>
      <xdr:rowOff>0</xdr:rowOff>
    </xdr:from>
    <xdr:to>
      <xdr:col>5</xdr:col>
      <xdr:colOff>304800</xdr:colOff>
      <xdr:row>1772</xdr:row>
      <xdr:rowOff>114300</xdr:rowOff>
    </xdr:to>
    <xdr:sp macro="" textlink="">
      <xdr:nvSpPr>
        <xdr:cNvPr id="4846" name="AutoShape 177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8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1773</xdr:row>
      <xdr:rowOff>0</xdr:rowOff>
    </xdr:from>
    <xdr:to>
      <xdr:col>4</xdr:col>
      <xdr:colOff>304800</xdr:colOff>
      <xdr:row>1774</xdr:row>
      <xdr:rowOff>76200</xdr:rowOff>
    </xdr:to>
    <xdr:sp macro="" textlink="">
      <xdr:nvSpPr>
        <xdr:cNvPr id="4847" name="AutoShape 17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935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1773</xdr:row>
      <xdr:rowOff>0</xdr:rowOff>
    </xdr:from>
    <xdr:to>
      <xdr:col>5</xdr:col>
      <xdr:colOff>304800</xdr:colOff>
      <xdr:row>1774</xdr:row>
      <xdr:rowOff>76200</xdr:rowOff>
    </xdr:to>
    <xdr:sp macro="" textlink="">
      <xdr:nvSpPr>
        <xdr:cNvPr id="4848" name="AutoShape 177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935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1775</xdr:row>
      <xdr:rowOff>0</xdr:rowOff>
    </xdr:from>
    <xdr:to>
      <xdr:col>4</xdr:col>
      <xdr:colOff>304800</xdr:colOff>
      <xdr:row>1776</xdr:row>
      <xdr:rowOff>114300</xdr:rowOff>
    </xdr:to>
    <xdr:sp macro="" textlink="">
      <xdr:nvSpPr>
        <xdr:cNvPr id="4849" name="AutoShape 177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978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1775</xdr:row>
      <xdr:rowOff>0</xdr:rowOff>
    </xdr:from>
    <xdr:to>
      <xdr:col>5</xdr:col>
      <xdr:colOff>304800</xdr:colOff>
      <xdr:row>1776</xdr:row>
      <xdr:rowOff>114300</xdr:rowOff>
    </xdr:to>
    <xdr:sp macro="" textlink="">
      <xdr:nvSpPr>
        <xdr:cNvPr id="4850" name="AutoShape 177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978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1777</xdr:row>
      <xdr:rowOff>0</xdr:rowOff>
    </xdr:from>
    <xdr:to>
      <xdr:col>4</xdr:col>
      <xdr:colOff>304800</xdr:colOff>
      <xdr:row>1778</xdr:row>
      <xdr:rowOff>114300</xdr:rowOff>
    </xdr:to>
    <xdr:sp macro="" textlink="">
      <xdr:nvSpPr>
        <xdr:cNvPr id="4851" name="AutoShape 177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0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1777</xdr:row>
      <xdr:rowOff>0</xdr:rowOff>
    </xdr:from>
    <xdr:to>
      <xdr:col>5</xdr:col>
      <xdr:colOff>304800</xdr:colOff>
      <xdr:row>1778</xdr:row>
      <xdr:rowOff>114300</xdr:rowOff>
    </xdr:to>
    <xdr:sp macro="" textlink="">
      <xdr:nvSpPr>
        <xdr:cNvPr id="4852" name="AutoShape 17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0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1779</xdr:row>
      <xdr:rowOff>0</xdr:rowOff>
    </xdr:from>
    <xdr:to>
      <xdr:col>4</xdr:col>
      <xdr:colOff>304800</xdr:colOff>
      <xdr:row>1780</xdr:row>
      <xdr:rowOff>114300</xdr:rowOff>
    </xdr:to>
    <xdr:sp macro="" textlink="">
      <xdr:nvSpPr>
        <xdr:cNvPr id="4853" name="AutoShape 178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1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1779</xdr:row>
      <xdr:rowOff>0</xdr:rowOff>
    </xdr:from>
    <xdr:to>
      <xdr:col>5</xdr:col>
      <xdr:colOff>304800</xdr:colOff>
      <xdr:row>1780</xdr:row>
      <xdr:rowOff>114300</xdr:rowOff>
    </xdr:to>
    <xdr:sp macro="" textlink="">
      <xdr:nvSpPr>
        <xdr:cNvPr id="4854" name="AutoShape 178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1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1781</xdr:row>
      <xdr:rowOff>0</xdr:rowOff>
    </xdr:from>
    <xdr:to>
      <xdr:col>4</xdr:col>
      <xdr:colOff>304800</xdr:colOff>
      <xdr:row>1782</xdr:row>
      <xdr:rowOff>114300</xdr:rowOff>
    </xdr:to>
    <xdr:sp macro="" textlink="">
      <xdr:nvSpPr>
        <xdr:cNvPr id="4855" name="AutoShape 178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1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1781</xdr:row>
      <xdr:rowOff>0</xdr:rowOff>
    </xdr:from>
    <xdr:to>
      <xdr:col>5</xdr:col>
      <xdr:colOff>304800</xdr:colOff>
      <xdr:row>1782</xdr:row>
      <xdr:rowOff>114300</xdr:rowOff>
    </xdr:to>
    <xdr:sp macro="" textlink="">
      <xdr:nvSpPr>
        <xdr:cNvPr id="4856" name="AutoShape 178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1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1783</xdr:row>
      <xdr:rowOff>0</xdr:rowOff>
    </xdr:from>
    <xdr:to>
      <xdr:col>4</xdr:col>
      <xdr:colOff>304800</xdr:colOff>
      <xdr:row>1784</xdr:row>
      <xdr:rowOff>114300</xdr:rowOff>
    </xdr:to>
    <xdr:sp macro="" textlink="">
      <xdr:nvSpPr>
        <xdr:cNvPr id="4857" name="AutoShape 178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2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1783</xdr:row>
      <xdr:rowOff>0</xdr:rowOff>
    </xdr:from>
    <xdr:to>
      <xdr:col>5</xdr:col>
      <xdr:colOff>304800</xdr:colOff>
      <xdr:row>1784</xdr:row>
      <xdr:rowOff>114300</xdr:rowOff>
    </xdr:to>
    <xdr:sp macro="" textlink="">
      <xdr:nvSpPr>
        <xdr:cNvPr id="4858" name="AutoShape 178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2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1785</xdr:row>
      <xdr:rowOff>0</xdr:rowOff>
    </xdr:from>
    <xdr:to>
      <xdr:col>4</xdr:col>
      <xdr:colOff>304800</xdr:colOff>
      <xdr:row>1786</xdr:row>
      <xdr:rowOff>114300</xdr:rowOff>
    </xdr:to>
    <xdr:sp macro="" textlink="">
      <xdr:nvSpPr>
        <xdr:cNvPr id="4859" name="AutoShape 178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2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1785</xdr:row>
      <xdr:rowOff>0</xdr:rowOff>
    </xdr:from>
    <xdr:to>
      <xdr:col>5</xdr:col>
      <xdr:colOff>304800</xdr:colOff>
      <xdr:row>1786</xdr:row>
      <xdr:rowOff>114300</xdr:rowOff>
    </xdr:to>
    <xdr:sp macro="" textlink="">
      <xdr:nvSpPr>
        <xdr:cNvPr id="4860" name="AutoShape 178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2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1787</xdr:row>
      <xdr:rowOff>0</xdr:rowOff>
    </xdr:from>
    <xdr:to>
      <xdr:col>4</xdr:col>
      <xdr:colOff>304800</xdr:colOff>
      <xdr:row>1788</xdr:row>
      <xdr:rowOff>76200</xdr:rowOff>
    </xdr:to>
    <xdr:sp macro="" textlink="">
      <xdr:nvSpPr>
        <xdr:cNvPr id="4861" name="AutoShape 178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3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1787</xdr:row>
      <xdr:rowOff>0</xdr:rowOff>
    </xdr:from>
    <xdr:to>
      <xdr:col>5</xdr:col>
      <xdr:colOff>304800</xdr:colOff>
      <xdr:row>1788</xdr:row>
      <xdr:rowOff>76200</xdr:rowOff>
    </xdr:to>
    <xdr:sp macro="" textlink="">
      <xdr:nvSpPr>
        <xdr:cNvPr id="4862" name="AutoShape 179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3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1789</xdr:row>
      <xdr:rowOff>0</xdr:rowOff>
    </xdr:from>
    <xdr:to>
      <xdr:col>4</xdr:col>
      <xdr:colOff>304800</xdr:colOff>
      <xdr:row>1790</xdr:row>
      <xdr:rowOff>114300</xdr:rowOff>
    </xdr:to>
    <xdr:sp macro="" textlink="">
      <xdr:nvSpPr>
        <xdr:cNvPr id="4863" name="AutoShape 17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389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1789</xdr:row>
      <xdr:rowOff>0</xdr:rowOff>
    </xdr:from>
    <xdr:to>
      <xdr:col>5</xdr:col>
      <xdr:colOff>304800</xdr:colOff>
      <xdr:row>1790</xdr:row>
      <xdr:rowOff>114300</xdr:rowOff>
    </xdr:to>
    <xdr:sp macro="" textlink="">
      <xdr:nvSpPr>
        <xdr:cNvPr id="4864" name="AutoShape 179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389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1791</xdr:row>
      <xdr:rowOff>0</xdr:rowOff>
    </xdr:from>
    <xdr:to>
      <xdr:col>4</xdr:col>
      <xdr:colOff>304800</xdr:colOff>
      <xdr:row>1792</xdr:row>
      <xdr:rowOff>114300</xdr:rowOff>
    </xdr:to>
    <xdr:sp macro="" textlink="">
      <xdr:nvSpPr>
        <xdr:cNvPr id="4865" name="AutoShape 17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4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1791</xdr:row>
      <xdr:rowOff>0</xdr:rowOff>
    </xdr:from>
    <xdr:to>
      <xdr:col>5</xdr:col>
      <xdr:colOff>304800</xdr:colOff>
      <xdr:row>1792</xdr:row>
      <xdr:rowOff>114300</xdr:rowOff>
    </xdr:to>
    <xdr:sp macro="" textlink="">
      <xdr:nvSpPr>
        <xdr:cNvPr id="4866" name="AutoShape 179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4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1793</xdr:row>
      <xdr:rowOff>0</xdr:rowOff>
    </xdr:from>
    <xdr:to>
      <xdr:col>4</xdr:col>
      <xdr:colOff>304800</xdr:colOff>
      <xdr:row>1794</xdr:row>
      <xdr:rowOff>114300</xdr:rowOff>
    </xdr:to>
    <xdr:sp macro="" textlink="">
      <xdr:nvSpPr>
        <xdr:cNvPr id="4867" name="AutoShape 179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524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1793</xdr:row>
      <xdr:rowOff>0</xdr:rowOff>
    </xdr:from>
    <xdr:to>
      <xdr:col>5</xdr:col>
      <xdr:colOff>304800</xdr:colOff>
      <xdr:row>1794</xdr:row>
      <xdr:rowOff>114300</xdr:rowOff>
    </xdr:to>
    <xdr:sp macro="" textlink="">
      <xdr:nvSpPr>
        <xdr:cNvPr id="4868" name="AutoShape 179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524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1795</xdr:row>
      <xdr:rowOff>0</xdr:rowOff>
    </xdr:from>
    <xdr:to>
      <xdr:col>4</xdr:col>
      <xdr:colOff>304800</xdr:colOff>
      <xdr:row>1796</xdr:row>
      <xdr:rowOff>114300</xdr:rowOff>
    </xdr:to>
    <xdr:sp macro="" textlink="">
      <xdr:nvSpPr>
        <xdr:cNvPr id="4869" name="AutoShape 179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582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1795</xdr:row>
      <xdr:rowOff>0</xdr:rowOff>
    </xdr:from>
    <xdr:to>
      <xdr:col>5</xdr:col>
      <xdr:colOff>304800</xdr:colOff>
      <xdr:row>1796</xdr:row>
      <xdr:rowOff>114300</xdr:rowOff>
    </xdr:to>
    <xdr:sp macro="" textlink="">
      <xdr:nvSpPr>
        <xdr:cNvPr id="4870" name="AutoShape 179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582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1797</xdr:row>
      <xdr:rowOff>0</xdr:rowOff>
    </xdr:from>
    <xdr:to>
      <xdr:col>4</xdr:col>
      <xdr:colOff>304800</xdr:colOff>
      <xdr:row>1798</xdr:row>
      <xdr:rowOff>114300</xdr:rowOff>
    </xdr:to>
    <xdr:sp macro="" textlink="">
      <xdr:nvSpPr>
        <xdr:cNvPr id="4871" name="AutoShape 179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640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1797</xdr:row>
      <xdr:rowOff>0</xdr:rowOff>
    </xdr:from>
    <xdr:to>
      <xdr:col>5</xdr:col>
      <xdr:colOff>304800</xdr:colOff>
      <xdr:row>1798</xdr:row>
      <xdr:rowOff>114300</xdr:rowOff>
    </xdr:to>
    <xdr:sp macro="" textlink="">
      <xdr:nvSpPr>
        <xdr:cNvPr id="4872" name="AutoShape 180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640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1799</xdr:row>
      <xdr:rowOff>0</xdr:rowOff>
    </xdr:from>
    <xdr:to>
      <xdr:col>4</xdr:col>
      <xdr:colOff>304800</xdr:colOff>
      <xdr:row>1800</xdr:row>
      <xdr:rowOff>76200</xdr:rowOff>
    </xdr:to>
    <xdr:sp macro="" textlink="">
      <xdr:nvSpPr>
        <xdr:cNvPr id="4873" name="AutoShape 180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69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1799</xdr:row>
      <xdr:rowOff>0</xdr:rowOff>
    </xdr:from>
    <xdr:to>
      <xdr:col>5</xdr:col>
      <xdr:colOff>304800</xdr:colOff>
      <xdr:row>1800</xdr:row>
      <xdr:rowOff>76200</xdr:rowOff>
    </xdr:to>
    <xdr:sp macro="" textlink="">
      <xdr:nvSpPr>
        <xdr:cNvPr id="4874" name="AutoShape 180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69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1801</xdr:row>
      <xdr:rowOff>0</xdr:rowOff>
    </xdr:from>
    <xdr:to>
      <xdr:col>4</xdr:col>
      <xdr:colOff>304800</xdr:colOff>
      <xdr:row>1802</xdr:row>
      <xdr:rowOff>114300</xdr:rowOff>
    </xdr:to>
    <xdr:sp macro="" textlink="">
      <xdr:nvSpPr>
        <xdr:cNvPr id="4875" name="AutoShape 180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741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1801</xdr:row>
      <xdr:rowOff>0</xdr:rowOff>
    </xdr:from>
    <xdr:to>
      <xdr:col>5</xdr:col>
      <xdr:colOff>304800</xdr:colOff>
      <xdr:row>1802</xdr:row>
      <xdr:rowOff>114300</xdr:rowOff>
    </xdr:to>
    <xdr:sp macro="" textlink="">
      <xdr:nvSpPr>
        <xdr:cNvPr id="4876" name="AutoShape 180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741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1803</xdr:row>
      <xdr:rowOff>0</xdr:rowOff>
    </xdr:from>
    <xdr:to>
      <xdr:col>4</xdr:col>
      <xdr:colOff>304800</xdr:colOff>
      <xdr:row>1804</xdr:row>
      <xdr:rowOff>114300</xdr:rowOff>
    </xdr:to>
    <xdr:sp macro="" textlink="">
      <xdr:nvSpPr>
        <xdr:cNvPr id="4877" name="AutoShape 180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799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1803</xdr:row>
      <xdr:rowOff>0</xdr:rowOff>
    </xdr:from>
    <xdr:to>
      <xdr:col>5</xdr:col>
      <xdr:colOff>304800</xdr:colOff>
      <xdr:row>1804</xdr:row>
      <xdr:rowOff>114300</xdr:rowOff>
    </xdr:to>
    <xdr:sp macro="" textlink="">
      <xdr:nvSpPr>
        <xdr:cNvPr id="4878" name="AutoShape 180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799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1805</xdr:row>
      <xdr:rowOff>0</xdr:rowOff>
    </xdr:from>
    <xdr:to>
      <xdr:col>4</xdr:col>
      <xdr:colOff>304800</xdr:colOff>
      <xdr:row>1806</xdr:row>
      <xdr:rowOff>114300</xdr:rowOff>
    </xdr:to>
    <xdr:sp macro="" textlink="">
      <xdr:nvSpPr>
        <xdr:cNvPr id="4879" name="AutoShape 180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857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1805</xdr:row>
      <xdr:rowOff>0</xdr:rowOff>
    </xdr:from>
    <xdr:to>
      <xdr:col>5</xdr:col>
      <xdr:colOff>304800</xdr:colOff>
      <xdr:row>1806</xdr:row>
      <xdr:rowOff>114300</xdr:rowOff>
    </xdr:to>
    <xdr:sp macro="" textlink="">
      <xdr:nvSpPr>
        <xdr:cNvPr id="4880" name="AutoShape 180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857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1807</xdr:row>
      <xdr:rowOff>0</xdr:rowOff>
    </xdr:from>
    <xdr:to>
      <xdr:col>4</xdr:col>
      <xdr:colOff>304800</xdr:colOff>
      <xdr:row>1808</xdr:row>
      <xdr:rowOff>76200</xdr:rowOff>
    </xdr:to>
    <xdr:sp macro="" textlink="">
      <xdr:nvSpPr>
        <xdr:cNvPr id="4881" name="AutoShape 180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916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1807</xdr:row>
      <xdr:rowOff>0</xdr:rowOff>
    </xdr:from>
    <xdr:to>
      <xdr:col>5</xdr:col>
      <xdr:colOff>304800</xdr:colOff>
      <xdr:row>1808</xdr:row>
      <xdr:rowOff>76200</xdr:rowOff>
    </xdr:to>
    <xdr:sp macro="" textlink="">
      <xdr:nvSpPr>
        <xdr:cNvPr id="4882" name="AutoShape 181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916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1809</xdr:row>
      <xdr:rowOff>0</xdr:rowOff>
    </xdr:from>
    <xdr:to>
      <xdr:col>4</xdr:col>
      <xdr:colOff>304800</xdr:colOff>
      <xdr:row>1810</xdr:row>
      <xdr:rowOff>114300</xdr:rowOff>
    </xdr:to>
    <xdr:sp macro="" textlink="">
      <xdr:nvSpPr>
        <xdr:cNvPr id="4883" name="AutoShape 18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958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1809</xdr:row>
      <xdr:rowOff>0</xdr:rowOff>
    </xdr:from>
    <xdr:to>
      <xdr:col>5</xdr:col>
      <xdr:colOff>304800</xdr:colOff>
      <xdr:row>1810</xdr:row>
      <xdr:rowOff>114300</xdr:rowOff>
    </xdr:to>
    <xdr:sp macro="" textlink="">
      <xdr:nvSpPr>
        <xdr:cNvPr id="4884" name="AutoShape 181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958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1811</xdr:row>
      <xdr:rowOff>0</xdr:rowOff>
    </xdr:from>
    <xdr:to>
      <xdr:col>4</xdr:col>
      <xdr:colOff>304800</xdr:colOff>
      <xdr:row>1812</xdr:row>
      <xdr:rowOff>114300</xdr:rowOff>
    </xdr:to>
    <xdr:sp macro="" textlink="">
      <xdr:nvSpPr>
        <xdr:cNvPr id="4885" name="AutoShape 181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017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1811</xdr:row>
      <xdr:rowOff>0</xdr:rowOff>
    </xdr:from>
    <xdr:to>
      <xdr:col>5</xdr:col>
      <xdr:colOff>304800</xdr:colOff>
      <xdr:row>1812</xdr:row>
      <xdr:rowOff>114300</xdr:rowOff>
    </xdr:to>
    <xdr:sp macro="" textlink="">
      <xdr:nvSpPr>
        <xdr:cNvPr id="4886" name="AutoShape 181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017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1813</xdr:row>
      <xdr:rowOff>0</xdr:rowOff>
    </xdr:from>
    <xdr:to>
      <xdr:col>4</xdr:col>
      <xdr:colOff>304800</xdr:colOff>
      <xdr:row>1814</xdr:row>
      <xdr:rowOff>114300</xdr:rowOff>
    </xdr:to>
    <xdr:sp macro="" textlink="">
      <xdr:nvSpPr>
        <xdr:cNvPr id="4887" name="AutoShape 181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075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1813</xdr:row>
      <xdr:rowOff>0</xdr:rowOff>
    </xdr:from>
    <xdr:to>
      <xdr:col>5</xdr:col>
      <xdr:colOff>304800</xdr:colOff>
      <xdr:row>1814</xdr:row>
      <xdr:rowOff>114300</xdr:rowOff>
    </xdr:to>
    <xdr:sp macro="" textlink="">
      <xdr:nvSpPr>
        <xdr:cNvPr id="4888" name="AutoShape 181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075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1815</xdr:row>
      <xdr:rowOff>0</xdr:rowOff>
    </xdr:from>
    <xdr:to>
      <xdr:col>4</xdr:col>
      <xdr:colOff>304800</xdr:colOff>
      <xdr:row>1816</xdr:row>
      <xdr:rowOff>76200</xdr:rowOff>
    </xdr:to>
    <xdr:sp macro="" textlink="">
      <xdr:nvSpPr>
        <xdr:cNvPr id="4889" name="AutoShape 181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133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1815</xdr:row>
      <xdr:rowOff>0</xdr:rowOff>
    </xdr:from>
    <xdr:to>
      <xdr:col>5</xdr:col>
      <xdr:colOff>304800</xdr:colOff>
      <xdr:row>1816</xdr:row>
      <xdr:rowOff>76200</xdr:rowOff>
    </xdr:to>
    <xdr:sp macro="" textlink="">
      <xdr:nvSpPr>
        <xdr:cNvPr id="4890" name="AutoShape 181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133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1817</xdr:row>
      <xdr:rowOff>0</xdr:rowOff>
    </xdr:from>
    <xdr:to>
      <xdr:col>4</xdr:col>
      <xdr:colOff>304800</xdr:colOff>
      <xdr:row>1818</xdr:row>
      <xdr:rowOff>114300</xdr:rowOff>
    </xdr:to>
    <xdr:sp macro="" textlink="">
      <xdr:nvSpPr>
        <xdr:cNvPr id="4891" name="AutoShape 181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1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1817</xdr:row>
      <xdr:rowOff>0</xdr:rowOff>
    </xdr:from>
    <xdr:to>
      <xdr:col>5</xdr:col>
      <xdr:colOff>304800</xdr:colOff>
      <xdr:row>1818</xdr:row>
      <xdr:rowOff>114300</xdr:rowOff>
    </xdr:to>
    <xdr:sp macro="" textlink="">
      <xdr:nvSpPr>
        <xdr:cNvPr id="4892" name="AutoShape 182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1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1819</xdr:row>
      <xdr:rowOff>0</xdr:rowOff>
    </xdr:from>
    <xdr:to>
      <xdr:col>4</xdr:col>
      <xdr:colOff>304800</xdr:colOff>
      <xdr:row>1820</xdr:row>
      <xdr:rowOff>114300</xdr:rowOff>
    </xdr:to>
    <xdr:sp macro="" textlink="">
      <xdr:nvSpPr>
        <xdr:cNvPr id="4893" name="AutoShape 182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23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1819</xdr:row>
      <xdr:rowOff>0</xdr:rowOff>
    </xdr:from>
    <xdr:to>
      <xdr:col>5</xdr:col>
      <xdr:colOff>304800</xdr:colOff>
      <xdr:row>1820</xdr:row>
      <xdr:rowOff>114300</xdr:rowOff>
    </xdr:to>
    <xdr:sp macro="" textlink="">
      <xdr:nvSpPr>
        <xdr:cNvPr id="4894" name="AutoShape 182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23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1821</xdr:row>
      <xdr:rowOff>0</xdr:rowOff>
    </xdr:from>
    <xdr:to>
      <xdr:col>4</xdr:col>
      <xdr:colOff>304800</xdr:colOff>
      <xdr:row>1822</xdr:row>
      <xdr:rowOff>114300</xdr:rowOff>
    </xdr:to>
    <xdr:sp macro="" textlink="">
      <xdr:nvSpPr>
        <xdr:cNvPr id="4895" name="AutoShape 182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292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1821</xdr:row>
      <xdr:rowOff>0</xdr:rowOff>
    </xdr:from>
    <xdr:to>
      <xdr:col>5</xdr:col>
      <xdr:colOff>304800</xdr:colOff>
      <xdr:row>1822</xdr:row>
      <xdr:rowOff>114300</xdr:rowOff>
    </xdr:to>
    <xdr:sp macro="" textlink="">
      <xdr:nvSpPr>
        <xdr:cNvPr id="4896" name="AutoShape 182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292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1823</xdr:row>
      <xdr:rowOff>0</xdr:rowOff>
    </xdr:from>
    <xdr:to>
      <xdr:col>4</xdr:col>
      <xdr:colOff>304800</xdr:colOff>
      <xdr:row>1824</xdr:row>
      <xdr:rowOff>114300</xdr:rowOff>
    </xdr:to>
    <xdr:sp macro="" textlink="">
      <xdr:nvSpPr>
        <xdr:cNvPr id="4897" name="AutoShape 182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35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1823</xdr:row>
      <xdr:rowOff>0</xdr:rowOff>
    </xdr:from>
    <xdr:to>
      <xdr:col>5</xdr:col>
      <xdr:colOff>304800</xdr:colOff>
      <xdr:row>1824</xdr:row>
      <xdr:rowOff>114300</xdr:rowOff>
    </xdr:to>
    <xdr:sp macro="" textlink="">
      <xdr:nvSpPr>
        <xdr:cNvPr id="4898" name="AutoShape 182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35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1825</xdr:row>
      <xdr:rowOff>0</xdr:rowOff>
    </xdr:from>
    <xdr:to>
      <xdr:col>4</xdr:col>
      <xdr:colOff>304800</xdr:colOff>
      <xdr:row>1826</xdr:row>
      <xdr:rowOff>76200</xdr:rowOff>
    </xdr:to>
    <xdr:sp macro="" textlink="">
      <xdr:nvSpPr>
        <xdr:cNvPr id="4899" name="AutoShape 182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40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1825</xdr:row>
      <xdr:rowOff>0</xdr:rowOff>
    </xdr:from>
    <xdr:to>
      <xdr:col>5</xdr:col>
      <xdr:colOff>304800</xdr:colOff>
      <xdr:row>1826</xdr:row>
      <xdr:rowOff>76200</xdr:rowOff>
    </xdr:to>
    <xdr:sp macro="" textlink="">
      <xdr:nvSpPr>
        <xdr:cNvPr id="4900" name="AutoShape 182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40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1827</xdr:row>
      <xdr:rowOff>0</xdr:rowOff>
    </xdr:from>
    <xdr:to>
      <xdr:col>4</xdr:col>
      <xdr:colOff>304800</xdr:colOff>
      <xdr:row>1828</xdr:row>
      <xdr:rowOff>114300</xdr:rowOff>
    </xdr:to>
    <xdr:sp macro="" textlink="">
      <xdr:nvSpPr>
        <xdr:cNvPr id="4901" name="AutoShape 182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4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1827</xdr:row>
      <xdr:rowOff>0</xdr:rowOff>
    </xdr:from>
    <xdr:to>
      <xdr:col>5</xdr:col>
      <xdr:colOff>304800</xdr:colOff>
      <xdr:row>1828</xdr:row>
      <xdr:rowOff>114300</xdr:rowOff>
    </xdr:to>
    <xdr:sp macro="" textlink="">
      <xdr:nvSpPr>
        <xdr:cNvPr id="4902" name="AutoShape 183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4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1829</xdr:row>
      <xdr:rowOff>0</xdr:rowOff>
    </xdr:from>
    <xdr:to>
      <xdr:col>4</xdr:col>
      <xdr:colOff>304800</xdr:colOff>
      <xdr:row>1830</xdr:row>
      <xdr:rowOff>114300</xdr:rowOff>
    </xdr:to>
    <xdr:sp macro="" textlink="">
      <xdr:nvSpPr>
        <xdr:cNvPr id="4903" name="AutoShape 183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509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1829</xdr:row>
      <xdr:rowOff>0</xdr:rowOff>
    </xdr:from>
    <xdr:to>
      <xdr:col>5</xdr:col>
      <xdr:colOff>304800</xdr:colOff>
      <xdr:row>1830</xdr:row>
      <xdr:rowOff>114300</xdr:rowOff>
    </xdr:to>
    <xdr:sp macro="" textlink="">
      <xdr:nvSpPr>
        <xdr:cNvPr id="4904" name="AutoShape 183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509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1831</xdr:row>
      <xdr:rowOff>0</xdr:rowOff>
    </xdr:from>
    <xdr:to>
      <xdr:col>4</xdr:col>
      <xdr:colOff>304800</xdr:colOff>
      <xdr:row>1832</xdr:row>
      <xdr:rowOff>114300</xdr:rowOff>
    </xdr:to>
    <xdr:sp macro="" textlink="">
      <xdr:nvSpPr>
        <xdr:cNvPr id="4905" name="AutoShape 18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56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1831</xdr:row>
      <xdr:rowOff>0</xdr:rowOff>
    </xdr:from>
    <xdr:to>
      <xdr:col>5</xdr:col>
      <xdr:colOff>304800</xdr:colOff>
      <xdr:row>1832</xdr:row>
      <xdr:rowOff>114300</xdr:rowOff>
    </xdr:to>
    <xdr:sp macro="" textlink="">
      <xdr:nvSpPr>
        <xdr:cNvPr id="4906" name="AutoShape 183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56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1833</xdr:row>
      <xdr:rowOff>0</xdr:rowOff>
    </xdr:from>
    <xdr:to>
      <xdr:col>4</xdr:col>
      <xdr:colOff>304800</xdr:colOff>
      <xdr:row>1834</xdr:row>
      <xdr:rowOff>76200</xdr:rowOff>
    </xdr:to>
    <xdr:sp macro="" textlink="">
      <xdr:nvSpPr>
        <xdr:cNvPr id="4907" name="AutoShape 18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62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1833</xdr:row>
      <xdr:rowOff>0</xdr:rowOff>
    </xdr:from>
    <xdr:to>
      <xdr:col>5</xdr:col>
      <xdr:colOff>304800</xdr:colOff>
      <xdr:row>1834</xdr:row>
      <xdr:rowOff>76200</xdr:rowOff>
    </xdr:to>
    <xdr:sp macro="" textlink="">
      <xdr:nvSpPr>
        <xdr:cNvPr id="4908" name="AutoShape 18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62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1835</xdr:row>
      <xdr:rowOff>0</xdr:rowOff>
    </xdr:from>
    <xdr:to>
      <xdr:col>4</xdr:col>
      <xdr:colOff>304800</xdr:colOff>
      <xdr:row>1836</xdr:row>
      <xdr:rowOff>114300</xdr:rowOff>
    </xdr:to>
    <xdr:sp macro="" textlink="">
      <xdr:nvSpPr>
        <xdr:cNvPr id="4909" name="AutoShape 183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668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1835</xdr:row>
      <xdr:rowOff>0</xdr:rowOff>
    </xdr:from>
    <xdr:to>
      <xdr:col>5</xdr:col>
      <xdr:colOff>304800</xdr:colOff>
      <xdr:row>1836</xdr:row>
      <xdr:rowOff>114300</xdr:rowOff>
    </xdr:to>
    <xdr:sp macro="" textlink="">
      <xdr:nvSpPr>
        <xdr:cNvPr id="4910" name="AutoShape 18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668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1837</xdr:row>
      <xdr:rowOff>0</xdr:rowOff>
    </xdr:from>
    <xdr:to>
      <xdr:col>4</xdr:col>
      <xdr:colOff>304800</xdr:colOff>
      <xdr:row>1838</xdr:row>
      <xdr:rowOff>114300</xdr:rowOff>
    </xdr:to>
    <xdr:sp macro="" textlink="">
      <xdr:nvSpPr>
        <xdr:cNvPr id="4911" name="AutoShape 183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7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1837</xdr:row>
      <xdr:rowOff>0</xdr:rowOff>
    </xdr:from>
    <xdr:to>
      <xdr:col>5</xdr:col>
      <xdr:colOff>304800</xdr:colOff>
      <xdr:row>1838</xdr:row>
      <xdr:rowOff>114300</xdr:rowOff>
    </xdr:to>
    <xdr:sp macro="" textlink="">
      <xdr:nvSpPr>
        <xdr:cNvPr id="4912" name="AutoShape 184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7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1839</xdr:row>
      <xdr:rowOff>0</xdr:rowOff>
    </xdr:from>
    <xdr:to>
      <xdr:col>4</xdr:col>
      <xdr:colOff>304800</xdr:colOff>
      <xdr:row>1840</xdr:row>
      <xdr:rowOff>114300</xdr:rowOff>
    </xdr:to>
    <xdr:sp macro="" textlink="">
      <xdr:nvSpPr>
        <xdr:cNvPr id="4913" name="AutoShape 18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80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1839</xdr:row>
      <xdr:rowOff>0</xdr:rowOff>
    </xdr:from>
    <xdr:to>
      <xdr:col>5</xdr:col>
      <xdr:colOff>304800</xdr:colOff>
      <xdr:row>1840</xdr:row>
      <xdr:rowOff>114300</xdr:rowOff>
    </xdr:to>
    <xdr:sp macro="" textlink="">
      <xdr:nvSpPr>
        <xdr:cNvPr id="4914" name="AutoShape 184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80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1841</xdr:row>
      <xdr:rowOff>0</xdr:rowOff>
    </xdr:from>
    <xdr:to>
      <xdr:col>4</xdr:col>
      <xdr:colOff>304800</xdr:colOff>
      <xdr:row>1842</xdr:row>
      <xdr:rowOff>114300</xdr:rowOff>
    </xdr:to>
    <xdr:sp macro="" textlink="">
      <xdr:nvSpPr>
        <xdr:cNvPr id="4915" name="AutoShape 184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86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1841</xdr:row>
      <xdr:rowOff>0</xdr:rowOff>
    </xdr:from>
    <xdr:to>
      <xdr:col>5</xdr:col>
      <xdr:colOff>304800</xdr:colOff>
      <xdr:row>1842</xdr:row>
      <xdr:rowOff>114300</xdr:rowOff>
    </xdr:to>
    <xdr:sp macro="" textlink="">
      <xdr:nvSpPr>
        <xdr:cNvPr id="4916" name="AutoShape 184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86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1843</xdr:row>
      <xdr:rowOff>0</xdr:rowOff>
    </xdr:from>
    <xdr:to>
      <xdr:col>4</xdr:col>
      <xdr:colOff>304800</xdr:colOff>
      <xdr:row>1844</xdr:row>
      <xdr:rowOff>114300</xdr:rowOff>
    </xdr:to>
    <xdr:sp macro="" textlink="">
      <xdr:nvSpPr>
        <xdr:cNvPr id="4917" name="AutoShape 1845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92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1843</xdr:row>
      <xdr:rowOff>0</xdr:rowOff>
    </xdr:from>
    <xdr:to>
      <xdr:col>5</xdr:col>
      <xdr:colOff>304800</xdr:colOff>
      <xdr:row>1844</xdr:row>
      <xdr:rowOff>114300</xdr:rowOff>
    </xdr:to>
    <xdr:sp macro="" textlink="">
      <xdr:nvSpPr>
        <xdr:cNvPr id="4918" name="AutoShape 184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92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1845</xdr:row>
      <xdr:rowOff>0</xdr:rowOff>
    </xdr:from>
    <xdr:to>
      <xdr:col>4</xdr:col>
      <xdr:colOff>304800</xdr:colOff>
      <xdr:row>1846</xdr:row>
      <xdr:rowOff>114300</xdr:rowOff>
    </xdr:to>
    <xdr:sp macro="" textlink="">
      <xdr:nvSpPr>
        <xdr:cNvPr id="4919" name="AutoShape 184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97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1845</xdr:row>
      <xdr:rowOff>0</xdr:rowOff>
    </xdr:from>
    <xdr:to>
      <xdr:col>5</xdr:col>
      <xdr:colOff>304800</xdr:colOff>
      <xdr:row>1846</xdr:row>
      <xdr:rowOff>114300</xdr:rowOff>
    </xdr:to>
    <xdr:sp macro="" textlink="">
      <xdr:nvSpPr>
        <xdr:cNvPr id="4920" name="AutoShape 184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97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1847</xdr:row>
      <xdr:rowOff>0</xdr:rowOff>
    </xdr:from>
    <xdr:to>
      <xdr:col>4</xdr:col>
      <xdr:colOff>304800</xdr:colOff>
      <xdr:row>1848</xdr:row>
      <xdr:rowOff>76200</xdr:rowOff>
    </xdr:to>
    <xdr:sp macro="" textlink="">
      <xdr:nvSpPr>
        <xdr:cNvPr id="4921" name="AutoShape 184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03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1847</xdr:row>
      <xdr:rowOff>0</xdr:rowOff>
    </xdr:from>
    <xdr:to>
      <xdr:col>5</xdr:col>
      <xdr:colOff>304800</xdr:colOff>
      <xdr:row>1848</xdr:row>
      <xdr:rowOff>76200</xdr:rowOff>
    </xdr:to>
    <xdr:sp macro="" textlink="">
      <xdr:nvSpPr>
        <xdr:cNvPr id="4922" name="AutoShape 185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03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1849</xdr:row>
      <xdr:rowOff>0</xdr:rowOff>
    </xdr:from>
    <xdr:to>
      <xdr:col>4</xdr:col>
      <xdr:colOff>304800</xdr:colOff>
      <xdr:row>1850</xdr:row>
      <xdr:rowOff>114300</xdr:rowOff>
    </xdr:to>
    <xdr:sp macro="" textlink="">
      <xdr:nvSpPr>
        <xdr:cNvPr id="4923" name="AutoShape 185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07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1849</xdr:row>
      <xdr:rowOff>0</xdr:rowOff>
    </xdr:from>
    <xdr:to>
      <xdr:col>5</xdr:col>
      <xdr:colOff>304800</xdr:colOff>
      <xdr:row>1850</xdr:row>
      <xdr:rowOff>114300</xdr:rowOff>
    </xdr:to>
    <xdr:sp macro="" textlink="">
      <xdr:nvSpPr>
        <xdr:cNvPr id="4924" name="AutoShape 185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07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1851</xdr:row>
      <xdr:rowOff>0</xdr:rowOff>
    </xdr:from>
    <xdr:to>
      <xdr:col>4</xdr:col>
      <xdr:colOff>304800</xdr:colOff>
      <xdr:row>1852</xdr:row>
      <xdr:rowOff>114300</xdr:rowOff>
    </xdr:to>
    <xdr:sp macro="" textlink="">
      <xdr:nvSpPr>
        <xdr:cNvPr id="4925" name="AutoShape 185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13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1851</xdr:row>
      <xdr:rowOff>0</xdr:rowOff>
    </xdr:from>
    <xdr:to>
      <xdr:col>5</xdr:col>
      <xdr:colOff>304800</xdr:colOff>
      <xdr:row>1852</xdr:row>
      <xdr:rowOff>114300</xdr:rowOff>
    </xdr:to>
    <xdr:sp macro="" textlink="">
      <xdr:nvSpPr>
        <xdr:cNvPr id="4926" name="AutoShape 185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13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1853</xdr:row>
      <xdr:rowOff>0</xdr:rowOff>
    </xdr:from>
    <xdr:to>
      <xdr:col>4</xdr:col>
      <xdr:colOff>304800</xdr:colOff>
      <xdr:row>1854</xdr:row>
      <xdr:rowOff>114300</xdr:rowOff>
    </xdr:to>
    <xdr:sp macro="" textlink="">
      <xdr:nvSpPr>
        <xdr:cNvPr id="4927" name="AutoShape 185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21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1853</xdr:row>
      <xdr:rowOff>0</xdr:rowOff>
    </xdr:from>
    <xdr:to>
      <xdr:col>5</xdr:col>
      <xdr:colOff>304800</xdr:colOff>
      <xdr:row>1854</xdr:row>
      <xdr:rowOff>114300</xdr:rowOff>
    </xdr:to>
    <xdr:sp macro="" textlink="">
      <xdr:nvSpPr>
        <xdr:cNvPr id="4928" name="AutoShape 185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21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1855</xdr:row>
      <xdr:rowOff>0</xdr:rowOff>
    </xdr:from>
    <xdr:to>
      <xdr:col>4</xdr:col>
      <xdr:colOff>304800</xdr:colOff>
      <xdr:row>1856</xdr:row>
      <xdr:rowOff>76200</xdr:rowOff>
    </xdr:to>
    <xdr:sp macro="" textlink="">
      <xdr:nvSpPr>
        <xdr:cNvPr id="4929" name="AutoShape 185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27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1855</xdr:row>
      <xdr:rowOff>0</xdr:rowOff>
    </xdr:from>
    <xdr:to>
      <xdr:col>5</xdr:col>
      <xdr:colOff>304800</xdr:colOff>
      <xdr:row>1856</xdr:row>
      <xdr:rowOff>76200</xdr:rowOff>
    </xdr:to>
    <xdr:sp macro="" textlink="">
      <xdr:nvSpPr>
        <xdr:cNvPr id="4930" name="AutoShape 185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27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1857</xdr:row>
      <xdr:rowOff>0</xdr:rowOff>
    </xdr:from>
    <xdr:to>
      <xdr:col>4</xdr:col>
      <xdr:colOff>304800</xdr:colOff>
      <xdr:row>1858</xdr:row>
      <xdr:rowOff>114300</xdr:rowOff>
    </xdr:to>
    <xdr:sp macro="" textlink="">
      <xdr:nvSpPr>
        <xdr:cNvPr id="4931" name="AutoShape 185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31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1857</xdr:row>
      <xdr:rowOff>0</xdr:rowOff>
    </xdr:from>
    <xdr:to>
      <xdr:col>5</xdr:col>
      <xdr:colOff>304800</xdr:colOff>
      <xdr:row>1858</xdr:row>
      <xdr:rowOff>114300</xdr:rowOff>
    </xdr:to>
    <xdr:sp macro="" textlink="">
      <xdr:nvSpPr>
        <xdr:cNvPr id="4932" name="AutoShape 186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31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1859</xdr:row>
      <xdr:rowOff>0</xdr:rowOff>
    </xdr:from>
    <xdr:to>
      <xdr:col>4</xdr:col>
      <xdr:colOff>304800</xdr:colOff>
      <xdr:row>1860</xdr:row>
      <xdr:rowOff>114300</xdr:rowOff>
    </xdr:to>
    <xdr:sp macro="" textlink="">
      <xdr:nvSpPr>
        <xdr:cNvPr id="4933" name="AutoShape 18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37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1859</xdr:row>
      <xdr:rowOff>0</xdr:rowOff>
    </xdr:from>
    <xdr:to>
      <xdr:col>5</xdr:col>
      <xdr:colOff>304800</xdr:colOff>
      <xdr:row>1860</xdr:row>
      <xdr:rowOff>114300</xdr:rowOff>
    </xdr:to>
    <xdr:sp macro="" textlink="">
      <xdr:nvSpPr>
        <xdr:cNvPr id="4934" name="AutoShape 186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37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1861</xdr:row>
      <xdr:rowOff>0</xdr:rowOff>
    </xdr:from>
    <xdr:to>
      <xdr:col>4</xdr:col>
      <xdr:colOff>304800</xdr:colOff>
      <xdr:row>1862</xdr:row>
      <xdr:rowOff>114300</xdr:rowOff>
    </xdr:to>
    <xdr:sp macro="" textlink="">
      <xdr:nvSpPr>
        <xdr:cNvPr id="4935" name="AutoShape 186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431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1861</xdr:row>
      <xdr:rowOff>0</xdr:rowOff>
    </xdr:from>
    <xdr:to>
      <xdr:col>5</xdr:col>
      <xdr:colOff>304800</xdr:colOff>
      <xdr:row>1862</xdr:row>
      <xdr:rowOff>114300</xdr:rowOff>
    </xdr:to>
    <xdr:sp macro="" textlink="">
      <xdr:nvSpPr>
        <xdr:cNvPr id="4936" name="AutoShape 18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431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1863</xdr:row>
      <xdr:rowOff>0</xdr:rowOff>
    </xdr:from>
    <xdr:to>
      <xdr:col>4</xdr:col>
      <xdr:colOff>304800</xdr:colOff>
      <xdr:row>1864</xdr:row>
      <xdr:rowOff>114300</xdr:rowOff>
    </xdr:to>
    <xdr:sp macro="" textlink="">
      <xdr:nvSpPr>
        <xdr:cNvPr id="4937" name="AutoShape 18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489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1863</xdr:row>
      <xdr:rowOff>0</xdr:rowOff>
    </xdr:from>
    <xdr:to>
      <xdr:col>5</xdr:col>
      <xdr:colOff>304800</xdr:colOff>
      <xdr:row>1864</xdr:row>
      <xdr:rowOff>114300</xdr:rowOff>
    </xdr:to>
    <xdr:sp macro="" textlink="">
      <xdr:nvSpPr>
        <xdr:cNvPr id="4938" name="AutoShape 186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489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1865</xdr:row>
      <xdr:rowOff>0</xdr:rowOff>
    </xdr:from>
    <xdr:to>
      <xdr:col>4</xdr:col>
      <xdr:colOff>304800</xdr:colOff>
      <xdr:row>1866</xdr:row>
      <xdr:rowOff>66675</xdr:rowOff>
    </xdr:to>
    <xdr:sp macro="" textlink="">
      <xdr:nvSpPr>
        <xdr:cNvPr id="4939" name="AutoShape 186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547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1865</xdr:row>
      <xdr:rowOff>0</xdr:rowOff>
    </xdr:from>
    <xdr:to>
      <xdr:col>5</xdr:col>
      <xdr:colOff>304800</xdr:colOff>
      <xdr:row>1866</xdr:row>
      <xdr:rowOff>66675</xdr:rowOff>
    </xdr:to>
    <xdr:sp macro="" textlink="">
      <xdr:nvSpPr>
        <xdr:cNvPr id="4940" name="AutoShape 186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547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1867</xdr:row>
      <xdr:rowOff>0</xdr:rowOff>
    </xdr:from>
    <xdr:to>
      <xdr:col>4</xdr:col>
      <xdr:colOff>304800</xdr:colOff>
      <xdr:row>1868</xdr:row>
      <xdr:rowOff>114300</xdr:rowOff>
    </xdr:to>
    <xdr:sp macro="" textlink="">
      <xdr:nvSpPr>
        <xdr:cNvPr id="2048" name="AutoShape 43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1867</xdr:row>
      <xdr:rowOff>0</xdr:rowOff>
    </xdr:from>
    <xdr:to>
      <xdr:col>5</xdr:col>
      <xdr:colOff>304800</xdr:colOff>
      <xdr:row>1868</xdr:row>
      <xdr:rowOff>114300</xdr:rowOff>
    </xdr:to>
    <xdr:sp macro="" textlink="">
      <xdr:nvSpPr>
        <xdr:cNvPr id="2049" name="AutoShape 43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1869</xdr:row>
      <xdr:rowOff>0</xdr:rowOff>
    </xdr:from>
    <xdr:to>
      <xdr:col>4</xdr:col>
      <xdr:colOff>304800</xdr:colOff>
      <xdr:row>1870</xdr:row>
      <xdr:rowOff>114300</xdr:rowOff>
    </xdr:to>
    <xdr:sp macro="" textlink="">
      <xdr:nvSpPr>
        <xdr:cNvPr id="2050" name="AutoShape 435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1869</xdr:row>
      <xdr:rowOff>0</xdr:rowOff>
    </xdr:from>
    <xdr:to>
      <xdr:col>5</xdr:col>
      <xdr:colOff>304800</xdr:colOff>
      <xdr:row>1870</xdr:row>
      <xdr:rowOff>114300</xdr:rowOff>
    </xdr:to>
    <xdr:sp macro="" textlink="">
      <xdr:nvSpPr>
        <xdr:cNvPr id="2051" name="AutoShape 43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1871</xdr:row>
      <xdr:rowOff>0</xdr:rowOff>
    </xdr:from>
    <xdr:to>
      <xdr:col>4</xdr:col>
      <xdr:colOff>304800</xdr:colOff>
      <xdr:row>1872</xdr:row>
      <xdr:rowOff>114300</xdr:rowOff>
    </xdr:to>
    <xdr:sp macro="" textlink="">
      <xdr:nvSpPr>
        <xdr:cNvPr id="2052" name="AutoShape 437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8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1871</xdr:row>
      <xdr:rowOff>0</xdr:rowOff>
    </xdr:from>
    <xdr:to>
      <xdr:col>5</xdr:col>
      <xdr:colOff>304800</xdr:colOff>
      <xdr:row>1872</xdr:row>
      <xdr:rowOff>114300</xdr:rowOff>
    </xdr:to>
    <xdr:sp macro="" textlink="">
      <xdr:nvSpPr>
        <xdr:cNvPr id="2053" name="AutoShape 438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8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1873</xdr:row>
      <xdr:rowOff>0</xdr:rowOff>
    </xdr:from>
    <xdr:to>
      <xdr:col>4</xdr:col>
      <xdr:colOff>304800</xdr:colOff>
      <xdr:row>1874</xdr:row>
      <xdr:rowOff>114300</xdr:rowOff>
    </xdr:to>
    <xdr:sp macro="" textlink="">
      <xdr:nvSpPr>
        <xdr:cNvPr id="2054" name="AutoShape 439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7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1873</xdr:row>
      <xdr:rowOff>0</xdr:rowOff>
    </xdr:from>
    <xdr:to>
      <xdr:col>5</xdr:col>
      <xdr:colOff>304800</xdr:colOff>
      <xdr:row>1874</xdr:row>
      <xdr:rowOff>114300</xdr:rowOff>
    </xdr:to>
    <xdr:sp macro="" textlink="">
      <xdr:nvSpPr>
        <xdr:cNvPr id="2055" name="AutoShape 440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7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1875</xdr:row>
      <xdr:rowOff>0</xdr:rowOff>
    </xdr:from>
    <xdr:to>
      <xdr:col>4</xdr:col>
      <xdr:colOff>304800</xdr:colOff>
      <xdr:row>1876</xdr:row>
      <xdr:rowOff>114300</xdr:rowOff>
    </xdr:to>
    <xdr:sp macro="" textlink="">
      <xdr:nvSpPr>
        <xdr:cNvPr id="2056" name="AutoShape 441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6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1875</xdr:row>
      <xdr:rowOff>0</xdr:rowOff>
    </xdr:from>
    <xdr:to>
      <xdr:col>5</xdr:col>
      <xdr:colOff>304800</xdr:colOff>
      <xdr:row>1876</xdr:row>
      <xdr:rowOff>114300</xdr:rowOff>
    </xdr:to>
    <xdr:sp macro="" textlink="">
      <xdr:nvSpPr>
        <xdr:cNvPr id="2057" name="AutoShape 44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6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1877</xdr:row>
      <xdr:rowOff>0</xdr:rowOff>
    </xdr:from>
    <xdr:to>
      <xdr:col>4</xdr:col>
      <xdr:colOff>304800</xdr:colOff>
      <xdr:row>1878</xdr:row>
      <xdr:rowOff>114300</xdr:rowOff>
    </xdr:to>
    <xdr:sp macro="" textlink="">
      <xdr:nvSpPr>
        <xdr:cNvPr id="2058" name="AutoShape 44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1877</xdr:row>
      <xdr:rowOff>0</xdr:rowOff>
    </xdr:from>
    <xdr:to>
      <xdr:col>5</xdr:col>
      <xdr:colOff>304800</xdr:colOff>
      <xdr:row>1878</xdr:row>
      <xdr:rowOff>114300</xdr:rowOff>
    </xdr:to>
    <xdr:sp macro="" textlink="">
      <xdr:nvSpPr>
        <xdr:cNvPr id="2059" name="AutoShape 444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1879</xdr:row>
      <xdr:rowOff>0</xdr:rowOff>
    </xdr:from>
    <xdr:to>
      <xdr:col>4</xdr:col>
      <xdr:colOff>304800</xdr:colOff>
      <xdr:row>1880</xdr:row>
      <xdr:rowOff>114300</xdr:rowOff>
    </xdr:to>
    <xdr:sp macro="" textlink="">
      <xdr:nvSpPr>
        <xdr:cNvPr id="2060" name="AutoShape 44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1879</xdr:row>
      <xdr:rowOff>0</xdr:rowOff>
    </xdr:from>
    <xdr:to>
      <xdr:col>5</xdr:col>
      <xdr:colOff>304800</xdr:colOff>
      <xdr:row>1880</xdr:row>
      <xdr:rowOff>114300</xdr:rowOff>
    </xdr:to>
    <xdr:sp macro="" textlink="">
      <xdr:nvSpPr>
        <xdr:cNvPr id="2061" name="AutoShape 44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1881</xdr:row>
      <xdr:rowOff>0</xdr:rowOff>
    </xdr:from>
    <xdr:to>
      <xdr:col>4</xdr:col>
      <xdr:colOff>304800</xdr:colOff>
      <xdr:row>1882</xdr:row>
      <xdr:rowOff>114300</xdr:rowOff>
    </xdr:to>
    <xdr:sp macro="" textlink="">
      <xdr:nvSpPr>
        <xdr:cNvPr id="2062" name="AutoShape 44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3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1881</xdr:row>
      <xdr:rowOff>0</xdr:rowOff>
    </xdr:from>
    <xdr:to>
      <xdr:col>5</xdr:col>
      <xdr:colOff>304800</xdr:colOff>
      <xdr:row>1882</xdr:row>
      <xdr:rowOff>114300</xdr:rowOff>
    </xdr:to>
    <xdr:sp macro="" textlink="">
      <xdr:nvSpPr>
        <xdr:cNvPr id="2063" name="AutoShape 448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3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1883</xdr:row>
      <xdr:rowOff>0</xdr:rowOff>
    </xdr:from>
    <xdr:to>
      <xdr:col>4</xdr:col>
      <xdr:colOff>304800</xdr:colOff>
      <xdr:row>1884</xdr:row>
      <xdr:rowOff>152400</xdr:rowOff>
    </xdr:to>
    <xdr:sp macro="" textlink="">
      <xdr:nvSpPr>
        <xdr:cNvPr id="2064" name="AutoShape 44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1883</xdr:row>
      <xdr:rowOff>0</xdr:rowOff>
    </xdr:from>
    <xdr:to>
      <xdr:col>5</xdr:col>
      <xdr:colOff>304800</xdr:colOff>
      <xdr:row>1884</xdr:row>
      <xdr:rowOff>152400</xdr:rowOff>
    </xdr:to>
    <xdr:sp macro="" textlink="">
      <xdr:nvSpPr>
        <xdr:cNvPr id="2065" name="AutoShape 450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1885</xdr:row>
      <xdr:rowOff>0</xdr:rowOff>
    </xdr:from>
    <xdr:to>
      <xdr:col>4</xdr:col>
      <xdr:colOff>304800</xdr:colOff>
      <xdr:row>1886</xdr:row>
      <xdr:rowOff>114300</xdr:rowOff>
    </xdr:to>
    <xdr:sp macro="" textlink="">
      <xdr:nvSpPr>
        <xdr:cNvPr id="2066" name="AutoShape 451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1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1885</xdr:row>
      <xdr:rowOff>0</xdr:rowOff>
    </xdr:from>
    <xdr:to>
      <xdr:col>5</xdr:col>
      <xdr:colOff>304800</xdr:colOff>
      <xdr:row>1886</xdr:row>
      <xdr:rowOff>114300</xdr:rowOff>
    </xdr:to>
    <xdr:sp macro="" textlink="">
      <xdr:nvSpPr>
        <xdr:cNvPr id="2067" name="AutoShape 45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1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1887</xdr:row>
      <xdr:rowOff>0</xdr:rowOff>
    </xdr:from>
    <xdr:to>
      <xdr:col>4</xdr:col>
      <xdr:colOff>304800</xdr:colOff>
      <xdr:row>1888</xdr:row>
      <xdr:rowOff>114300</xdr:rowOff>
    </xdr:to>
    <xdr:sp macro="" textlink="">
      <xdr:nvSpPr>
        <xdr:cNvPr id="2068" name="AutoShape 453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1887</xdr:row>
      <xdr:rowOff>0</xdr:rowOff>
    </xdr:from>
    <xdr:to>
      <xdr:col>5</xdr:col>
      <xdr:colOff>304800</xdr:colOff>
      <xdr:row>1888</xdr:row>
      <xdr:rowOff>114300</xdr:rowOff>
    </xdr:to>
    <xdr:sp macro="" textlink="">
      <xdr:nvSpPr>
        <xdr:cNvPr id="2069" name="AutoShape 45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1889</xdr:row>
      <xdr:rowOff>0</xdr:rowOff>
    </xdr:from>
    <xdr:to>
      <xdr:col>4</xdr:col>
      <xdr:colOff>304800</xdr:colOff>
      <xdr:row>1890</xdr:row>
      <xdr:rowOff>114300</xdr:rowOff>
    </xdr:to>
    <xdr:sp macro="" textlink="">
      <xdr:nvSpPr>
        <xdr:cNvPr id="2070" name="AutoShape 45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9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1889</xdr:row>
      <xdr:rowOff>0</xdr:rowOff>
    </xdr:from>
    <xdr:to>
      <xdr:col>5</xdr:col>
      <xdr:colOff>304800</xdr:colOff>
      <xdr:row>1890</xdr:row>
      <xdr:rowOff>114300</xdr:rowOff>
    </xdr:to>
    <xdr:sp macro="" textlink="">
      <xdr:nvSpPr>
        <xdr:cNvPr id="2071" name="AutoShape 456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9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1891</xdr:row>
      <xdr:rowOff>0</xdr:rowOff>
    </xdr:from>
    <xdr:to>
      <xdr:col>4</xdr:col>
      <xdr:colOff>304800</xdr:colOff>
      <xdr:row>1892</xdr:row>
      <xdr:rowOff>152400</xdr:rowOff>
    </xdr:to>
    <xdr:sp macro="" textlink="">
      <xdr:nvSpPr>
        <xdr:cNvPr id="2072" name="AutoShape 457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8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1891</xdr:row>
      <xdr:rowOff>0</xdr:rowOff>
    </xdr:from>
    <xdr:to>
      <xdr:col>5</xdr:col>
      <xdr:colOff>304800</xdr:colOff>
      <xdr:row>1892</xdr:row>
      <xdr:rowOff>152400</xdr:rowOff>
    </xdr:to>
    <xdr:sp macro="" textlink="">
      <xdr:nvSpPr>
        <xdr:cNvPr id="2073" name="AutoShape 45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8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1893</xdr:row>
      <xdr:rowOff>0</xdr:rowOff>
    </xdr:from>
    <xdr:to>
      <xdr:col>4</xdr:col>
      <xdr:colOff>304800</xdr:colOff>
      <xdr:row>1894</xdr:row>
      <xdr:rowOff>114300</xdr:rowOff>
    </xdr:to>
    <xdr:sp macro="" textlink="">
      <xdr:nvSpPr>
        <xdr:cNvPr id="2074" name="AutoShape 459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7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1893</xdr:row>
      <xdr:rowOff>0</xdr:rowOff>
    </xdr:from>
    <xdr:to>
      <xdr:col>5</xdr:col>
      <xdr:colOff>304800</xdr:colOff>
      <xdr:row>1894</xdr:row>
      <xdr:rowOff>114300</xdr:rowOff>
    </xdr:to>
    <xdr:sp macro="" textlink="">
      <xdr:nvSpPr>
        <xdr:cNvPr id="2075" name="AutoShape 46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7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1895</xdr:row>
      <xdr:rowOff>0</xdr:rowOff>
    </xdr:from>
    <xdr:to>
      <xdr:col>4</xdr:col>
      <xdr:colOff>304800</xdr:colOff>
      <xdr:row>1896</xdr:row>
      <xdr:rowOff>114300</xdr:rowOff>
    </xdr:to>
    <xdr:sp macro="" textlink="">
      <xdr:nvSpPr>
        <xdr:cNvPr id="2076" name="AutoShape 46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1895</xdr:row>
      <xdr:rowOff>0</xdr:rowOff>
    </xdr:from>
    <xdr:to>
      <xdr:col>5</xdr:col>
      <xdr:colOff>304800</xdr:colOff>
      <xdr:row>1896</xdr:row>
      <xdr:rowOff>114300</xdr:rowOff>
    </xdr:to>
    <xdr:sp macro="" textlink="">
      <xdr:nvSpPr>
        <xdr:cNvPr id="2077" name="AutoShape 46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1897</xdr:row>
      <xdr:rowOff>0</xdr:rowOff>
    </xdr:from>
    <xdr:to>
      <xdr:col>4</xdr:col>
      <xdr:colOff>304800</xdr:colOff>
      <xdr:row>1898</xdr:row>
      <xdr:rowOff>114300</xdr:rowOff>
    </xdr:to>
    <xdr:sp macro="" textlink="">
      <xdr:nvSpPr>
        <xdr:cNvPr id="2078" name="AutoShape 463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1897</xdr:row>
      <xdr:rowOff>0</xdr:rowOff>
    </xdr:from>
    <xdr:to>
      <xdr:col>5</xdr:col>
      <xdr:colOff>304800</xdr:colOff>
      <xdr:row>1898</xdr:row>
      <xdr:rowOff>114300</xdr:rowOff>
    </xdr:to>
    <xdr:sp macro="" textlink="">
      <xdr:nvSpPr>
        <xdr:cNvPr id="2079" name="AutoShape 464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1899</xdr:row>
      <xdr:rowOff>0</xdr:rowOff>
    </xdr:from>
    <xdr:to>
      <xdr:col>4</xdr:col>
      <xdr:colOff>304800</xdr:colOff>
      <xdr:row>1900</xdr:row>
      <xdr:rowOff>114300</xdr:rowOff>
    </xdr:to>
    <xdr:sp macro="" textlink="">
      <xdr:nvSpPr>
        <xdr:cNvPr id="2080" name="AutoShape 465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4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1899</xdr:row>
      <xdr:rowOff>0</xdr:rowOff>
    </xdr:from>
    <xdr:to>
      <xdr:col>5</xdr:col>
      <xdr:colOff>304800</xdr:colOff>
      <xdr:row>1900</xdr:row>
      <xdr:rowOff>114300</xdr:rowOff>
    </xdr:to>
    <xdr:sp macro="" textlink="">
      <xdr:nvSpPr>
        <xdr:cNvPr id="2081" name="AutoShape 466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4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1901</xdr:row>
      <xdr:rowOff>0</xdr:rowOff>
    </xdr:from>
    <xdr:to>
      <xdr:col>4</xdr:col>
      <xdr:colOff>304800</xdr:colOff>
      <xdr:row>1902</xdr:row>
      <xdr:rowOff>114300</xdr:rowOff>
    </xdr:to>
    <xdr:sp macro="" textlink="">
      <xdr:nvSpPr>
        <xdr:cNvPr id="2082" name="AutoShape 46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3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1901</xdr:row>
      <xdr:rowOff>0</xdr:rowOff>
    </xdr:from>
    <xdr:to>
      <xdr:col>5</xdr:col>
      <xdr:colOff>304800</xdr:colOff>
      <xdr:row>1902</xdr:row>
      <xdr:rowOff>114300</xdr:rowOff>
    </xdr:to>
    <xdr:sp macro="" textlink="">
      <xdr:nvSpPr>
        <xdr:cNvPr id="2083" name="AutoShape 468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3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1903</xdr:row>
      <xdr:rowOff>0</xdr:rowOff>
    </xdr:from>
    <xdr:to>
      <xdr:col>4</xdr:col>
      <xdr:colOff>304800</xdr:colOff>
      <xdr:row>1904</xdr:row>
      <xdr:rowOff>114300</xdr:rowOff>
    </xdr:to>
    <xdr:sp macro="" textlink="">
      <xdr:nvSpPr>
        <xdr:cNvPr id="2084" name="AutoShape 46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2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1903</xdr:row>
      <xdr:rowOff>0</xdr:rowOff>
    </xdr:from>
    <xdr:to>
      <xdr:col>5</xdr:col>
      <xdr:colOff>304800</xdr:colOff>
      <xdr:row>1904</xdr:row>
      <xdr:rowOff>114300</xdr:rowOff>
    </xdr:to>
    <xdr:sp macro="" textlink="">
      <xdr:nvSpPr>
        <xdr:cNvPr id="2085" name="AutoShape 47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2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1905</xdr:row>
      <xdr:rowOff>0</xdr:rowOff>
    </xdr:from>
    <xdr:to>
      <xdr:col>4</xdr:col>
      <xdr:colOff>304800</xdr:colOff>
      <xdr:row>1906</xdr:row>
      <xdr:rowOff>114300</xdr:rowOff>
    </xdr:to>
    <xdr:sp macro="" textlink="">
      <xdr:nvSpPr>
        <xdr:cNvPr id="2086" name="AutoShape 47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1905</xdr:row>
      <xdr:rowOff>0</xdr:rowOff>
    </xdr:from>
    <xdr:to>
      <xdr:col>5</xdr:col>
      <xdr:colOff>304800</xdr:colOff>
      <xdr:row>1906</xdr:row>
      <xdr:rowOff>114300</xdr:rowOff>
    </xdr:to>
    <xdr:sp macro="" textlink="">
      <xdr:nvSpPr>
        <xdr:cNvPr id="2087" name="AutoShape 47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1907</xdr:row>
      <xdr:rowOff>0</xdr:rowOff>
    </xdr:from>
    <xdr:to>
      <xdr:col>4</xdr:col>
      <xdr:colOff>304800</xdr:colOff>
      <xdr:row>1908</xdr:row>
      <xdr:rowOff>114300</xdr:rowOff>
    </xdr:to>
    <xdr:sp macro="" textlink="">
      <xdr:nvSpPr>
        <xdr:cNvPr id="2088" name="AutoShape 47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1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1907</xdr:row>
      <xdr:rowOff>0</xdr:rowOff>
    </xdr:from>
    <xdr:to>
      <xdr:col>5</xdr:col>
      <xdr:colOff>304800</xdr:colOff>
      <xdr:row>1908</xdr:row>
      <xdr:rowOff>114300</xdr:rowOff>
    </xdr:to>
    <xdr:sp macro="" textlink="">
      <xdr:nvSpPr>
        <xdr:cNvPr id="2089" name="AutoShape 474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1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1909</xdr:row>
      <xdr:rowOff>0</xdr:rowOff>
    </xdr:from>
    <xdr:to>
      <xdr:col>4</xdr:col>
      <xdr:colOff>304800</xdr:colOff>
      <xdr:row>1910</xdr:row>
      <xdr:rowOff>114300</xdr:rowOff>
    </xdr:to>
    <xdr:sp macro="" textlink="">
      <xdr:nvSpPr>
        <xdr:cNvPr id="2090" name="AutoShape 47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0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1909</xdr:row>
      <xdr:rowOff>0</xdr:rowOff>
    </xdr:from>
    <xdr:to>
      <xdr:col>5</xdr:col>
      <xdr:colOff>304800</xdr:colOff>
      <xdr:row>1910</xdr:row>
      <xdr:rowOff>114300</xdr:rowOff>
    </xdr:to>
    <xdr:sp macro="" textlink="">
      <xdr:nvSpPr>
        <xdr:cNvPr id="2091" name="AutoShape 47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0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1911</xdr:row>
      <xdr:rowOff>0</xdr:rowOff>
    </xdr:from>
    <xdr:to>
      <xdr:col>4</xdr:col>
      <xdr:colOff>304800</xdr:colOff>
      <xdr:row>1912</xdr:row>
      <xdr:rowOff>114300</xdr:rowOff>
    </xdr:to>
    <xdr:sp macro="" textlink="">
      <xdr:nvSpPr>
        <xdr:cNvPr id="2092" name="AutoShape 47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79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1911</xdr:row>
      <xdr:rowOff>0</xdr:rowOff>
    </xdr:from>
    <xdr:to>
      <xdr:col>5</xdr:col>
      <xdr:colOff>304800</xdr:colOff>
      <xdr:row>1912</xdr:row>
      <xdr:rowOff>114300</xdr:rowOff>
    </xdr:to>
    <xdr:sp macro="" textlink="">
      <xdr:nvSpPr>
        <xdr:cNvPr id="2093" name="AutoShape 478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79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1913</xdr:row>
      <xdr:rowOff>0</xdr:rowOff>
    </xdr:from>
    <xdr:to>
      <xdr:col>4</xdr:col>
      <xdr:colOff>304800</xdr:colOff>
      <xdr:row>1914</xdr:row>
      <xdr:rowOff>76200</xdr:rowOff>
    </xdr:to>
    <xdr:sp macro="" textlink="">
      <xdr:nvSpPr>
        <xdr:cNvPr id="2094" name="AutoShape 47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1913</xdr:row>
      <xdr:rowOff>0</xdr:rowOff>
    </xdr:from>
    <xdr:to>
      <xdr:col>5</xdr:col>
      <xdr:colOff>304800</xdr:colOff>
      <xdr:row>1914</xdr:row>
      <xdr:rowOff>76200</xdr:rowOff>
    </xdr:to>
    <xdr:sp macro="" textlink="">
      <xdr:nvSpPr>
        <xdr:cNvPr id="2095" name="AutoShape 48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1915</xdr:row>
      <xdr:rowOff>0</xdr:rowOff>
    </xdr:from>
    <xdr:to>
      <xdr:col>4</xdr:col>
      <xdr:colOff>304800</xdr:colOff>
      <xdr:row>1916</xdr:row>
      <xdr:rowOff>114300</xdr:rowOff>
    </xdr:to>
    <xdr:sp macro="" textlink="">
      <xdr:nvSpPr>
        <xdr:cNvPr id="2096" name="AutoShape 48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61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1915</xdr:row>
      <xdr:rowOff>0</xdr:rowOff>
    </xdr:from>
    <xdr:to>
      <xdr:col>5</xdr:col>
      <xdr:colOff>304800</xdr:colOff>
      <xdr:row>1916</xdr:row>
      <xdr:rowOff>114300</xdr:rowOff>
    </xdr:to>
    <xdr:sp macro="" textlink="">
      <xdr:nvSpPr>
        <xdr:cNvPr id="2097" name="AutoShape 482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61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1917</xdr:row>
      <xdr:rowOff>0</xdr:rowOff>
    </xdr:from>
    <xdr:to>
      <xdr:col>4</xdr:col>
      <xdr:colOff>304800</xdr:colOff>
      <xdr:row>1918</xdr:row>
      <xdr:rowOff>152400</xdr:rowOff>
    </xdr:to>
    <xdr:sp macro="" textlink="">
      <xdr:nvSpPr>
        <xdr:cNvPr id="2098" name="AutoShape 48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00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1917</xdr:row>
      <xdr:rowOff>0</xdr:rowOff>
    </xdr:from>
    <xdr:to>
      <xdr:col>5</xdr:col>
      <xdr:colOff>304800</xdr:colOff>
      <xdr:row>1918</xdr:row>
      <xdr:rowOff>152400</xdr:rowOff>
    </xdr:to>
    <xdr:sp macro="" textlink="">
      <xdr:nvSpPr>
        <xdr:cNvPr id="2099" name="AutoShape 48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00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1919</xdr:row>
      <xdr:rowOff>0</xdr:rowOff>
    </xdr:from>
    <xdr:to>
      <xdr:col>4</xdr:col>
      <xdr:colOff>304800</xdr:colOff>
      <xdr:row>1920</xdr:row>
      <xdr:rowOff>114300</xdr:rowOff>
    </xdr:to>
    <xdr:sp macro="" textlink="">
      <xdr:nvSpPr>
        <xdr:cNvPr id="2100" name="AutoShape 485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39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1919</xdr:row>
      <xdr:rowOff>0</xdr:rowOff>
    </xdr:from>
    <xdr:to>
      <xdr:col>5</xdr:col>
      <xdr:colOff>304800</xdr:colOff>
      <xdr:row>1920</xdr:row>
      <xdr:rowOff>114300</xdr:rowOff>
    </xdr:to>
    <xdr:sp macro="" textlink="">
      <xdr:nvSpPr>
        <xdr:cNvPr id="2101" name="AutoShape 48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39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1921</xdr:row>
      <xdr:rowOff>0</xdr:rowOff>
    </xdr:from>
    <xdr:to>
      <xdr:col>4</xdr:col>
      <xdr:colOff>304800</xdr:colOff>
      <xdr:row>1922</xdr:row>
      <xdr:rowOff>76200</xdr:rowOff>
    </xdr:to>
    <xdr:sp macro="" textlink="">
      <xdr:nvSpPr>
        <xdr:cNvPr id="2102" name="AutoShape 487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78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1921</xdr:row>
      <xdr:rowOff>0</xdr:rowOff>
    </xdr:from>
    <xdr:to>
      <xdr:col>5</xdr:col>
      <xdr:colOff>304800</xdr:colOff>
      <xdr:row>1922</xdr:row>
      <xdr:rowOff>76200</xdr:rowOff>
    </xdr:to>
    <xdr:sp macro="" textlink="">
      <xdr:nvSpPr>
        <xdr:cNvPr id="2103" name="AutoShape 48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78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1923</xdr:row>
      <xdr:rowOff>0</xdr:rowOff>
    </xdr:from>
    <xdr:to>
      <xdr:col>4</xdr:col>
      <xdr:colOff>304800</xdr:colOff>
      <xdr:row>1924</xdr:row>
      <xdr:rowOff>114300</xdr:rowOff>
    </xdr:to>
    <xdr:sp macro="" textlink="">
      <xdr:nvSpPr>
        <xdr:cNvPr id="2104" name="AutoShape 48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21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1923</xdr:row>
      <xdr:rowOff>0</xdr:rowOff>
    </xdr:from>
    <xdr:to>
      <xdr:col>5</xdr:col>
      <xdr:colOff>304800</xdr:colOff>
      <xdr:row>1924</xdr:row>
      <xdr:rowOff>114300</xdr:rowOff>
    </xdr:to>
    <xdr:sp macro="" textlink="">
      <xdr:nvSpPr>
        <xdr:cNvPr id="2105" name="AutoShape 49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21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1925</xdr:row>
      <xdr:rowOff>0</xdr:rowOff>
    </xdr:from>
    <xdr:to>
      <xdr:col>4</xdr:col>
      <xdr:colOff>304800</xdr:colOff>
      <xdr:row>1926</xdr:row>
      <xdr:rowOff>114300</xdr:rowOff>
    </xdr:to>
    <xdr:sp macro="" textlink="">
      <xdr:nvSpPr>
        <xdr:cNvPr id="2106" name="AutoShape 49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6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1925</xdr:row>
      <xdr:rowOff>0</xdr:rowOff>
    </xdr:from>
    <xdr:to>
      <xdr:col>5</xdr:col>
      <xdr:colOff>304800</xdr:colOff>
      <xdr:row>1926</xdr:row>
      <xdr:rowOff>114300</xdr:rowOff>
    </xdr:to>
    <xdr:sp macro="" textlink="">
      <xdr:nvSpPr>
        <xdr:cNvPr id="2107" name="AutoShape 49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6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1927</xdr:row>
      <xdr:rowOff>0</xdr:rowOff>
    </xdr:from>
    <xdr:to>
      <xdr:col>4</xdr:col>
      <xdr:colOff>304800</xdr:colOff>
      <xdr:row>1928</xdr:row>
      <xdr:rowOff>114300</xdr:rowOff>
    </xdr:to>
    <xdr:sp macro="" textlink="">
      <xdr:nvSpPr>
        <xdr:cNvPr id="2108" name="AutoShape 49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9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1927</xdr:row>
      <xdr:rowOff>0</xdr:rowOff>
    </xdr:from>
    <xdr:to>
      <xdr:col>5</xdr:col>
      <xdr:colOff>304800</xdr:colOff>
      <xdr:row>1928</xdr:row>
      <xdr:rowOff>114300</xdr:rowOff>
    </xdr:to>
    <xdr:sp macro="" textlink="">
      <xdr:nvSpPr>
        <xdr:cNvPr id="2109" name="AutoShape 49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9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1929</xdr:row>
      <xdr:rowOff>0</xdr:rowOff>
    </xdr:from>
    <xdr:to>
      <xdr:col>4</xdr:col>
      <xdr:colOff>304800</xdr:colOff>
      <xdr:row>1930</xdr:row>
      <xdr:rowOff>114300</xdr:rowOff>
    </xdr:to>
    <xdr:sp macro="" textlink="">
      <xdr:nvSpPr>
        <xdr:cNvPr id="2110" name="AutoShape 49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3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1929</xdr:row>
      <xdr:rowOff>0</xdr:rowOff>
    </xdr:from>
    <xdr:to>
      <xdr:col>5</xdr:col>
      <xdr:colOff>304800</xdr:colOff>
      <xdr:row>1930</xdr:row>
      <xdr:rowOff>114300</xdr:rowOff>
    </xdr:to>
    <xdr:sp macro="" textlink="">
      <xdr:nvSpPr>
        <xdr:cNvPr id="2111" name="AutoShape 496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23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1931</xdr:row>
      <xdr:rowOff>0</xdr:rowOff>
    </xdr:from>
    <xdr:to>
      <xdr:col>4</xdr:col>
      <xdr:colOff>304800</xdr:colOff>
      <xdr:row>1932</xdr:row>
      <xdr:rowOff>114300</xdr:rowOff>
    </xdr:to>
    <xdr:sp macro="" textlink="">
      <xdr:nvSpPr>
        <xdr:cNvPr id="2112" name="AutoShape 49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77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1931</xdr:row>
      <xdr:rowOff>0</xdr:rowOff>
    </xdr:from>
    <xdr:to>
      <xdr:col>5</xdr:col>
      <xdr:colOff>304800</xdr:colOff>
      <xdr:row>1932</xdr:row>
      <xdr:rowOff>114300</xdr:rowOff>
    </xdr:to>
    <xdr:sp macro="" textlink="">
      <xdr:nvSpPr>
        <xdr:cNvPr id="2113" name="AutoShape 49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277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1933</xdr:row>
      <xdr:rowOff>0</xdr:rowOff>
    </xdr:from>
    <xdr:to>
      <xdr:col>4</xdr:col>
      <xdr:colOff>304800</xdr:colOff>
      <xdr:row>1934</xdr:row>
      <xdr:rowOff>76200</xdr:rowOff>
    </xdr:to>
    <xdr:sp macro="" textlink="">
      <xdr:nvSpPr>
        <xdr:cNvPr id="2114" name="AutoShape 49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16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1933</xdr:row>
      <xdr:rowOff>0</xdr:rowOff>
    </xdr:from>
    <xdr:to>
      <xdr:col>5</xdr:col>
      <xdr:colOff>304800</xdr:colOff>
      <xdr:row>1934</xdr:row>
      <xdr:rowOff>76200</xdr:rowOff>
    </xdr:to>
    <xdr:sp macro="" textlink="">
      <xdr:nvSpPr>
        <xdr:cNvPr id="2115" name="AutoShape 500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16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1935</xdr:row>
      <xdr:rowOff>0</xdr:rowOff>
    </xdr:from>
    <xdr:to>
      <xdr:col>4</xdr:col>
      <xdr:colOff>304800</xdr:colOff>
      <xdr:row>1936</xdr:row>
      <xdr:rowOff>76200</xdr:rowOff>
    </xdr:to>
    <xdr:sp macro="" textlink="">
      <xdr:nvSpPr>
        <xdr:cNvPr id="2116" name="AutoShape 50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59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1935</xdr:row>
      <xdr:rowOff>0</xdr:rowOff>
    </xdr:from>
    <xdr:to>
      <xdr:col>5</xdr:col>
      <xdr:colOff>304800</xdr:colOff>
      <xdr:row>1936</xdr:row>
      <xdr:rowOff>76200</xdr:rowOff>
    </xdr:to>
    <xdr:sp macro="" textlink="">
      <xdr:nvSpPr>
        <xdr:cNvPr id="2117" name="AutoShape 502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59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1937</xdr:row>
      <xdr:rowOff>0</xdr:rowOff>
    </xdr:from>
    <xdr:to>
      <xdr:col>4</xdr:col>
      <xdr:colOff>304800</xdr:colOff>
      <xdr:row>1938</xdr:row>
      <xdr:rowOff>114300</xdr:rowOff>
    </xdr:to>
    <xdr:sp macro="" textlink="">
      <xdr:nvSpPr>
        <xdr:cNvPr id="2118" name="AutoShape 503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1937</xdr:row>
      <xdr:rowOff>0</xdr:rowOff>
    </xdr:from>
    <xdr:to>
      <xdr:col>5</xdr:col>
      <xdr:colOff>304800</xdr:colOff>
      <xdr:row>1938</xdr:row>
      <xdr:rowOff>114300</xdr:rowOff>
    </xdr:to>
    <xdr:sp macro="" textlink="">
      <xdr:nvSpPr>
        <xdr:cNvPr id="2119" name="AutoShape 50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1939</xdr:row>
      <xdr:rowOff>0</xdr:rowOff>
    </xdr:from>
    <xdr:to>
      <xdr:col>4</xdr:col>
      <xdr:colOff>304800</xdr:colOff>
      <xdr:row>1940</xdr:row>
      <xdr:rowOff>152400</xdr:rowOff>
    </xdr:to>
    <xdr:sp macro="" textlink="">
      <xdr:nvSpPr>
        <xdr:cNvPr id="2120" name="AutoShape 50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1939</xdr:row>
      <xdr:rowOff>0</xdr:rowOff>
    </xdr:from>
    <xdr:to>
      <xdr:col>5</xdr:col>
      <xdr:colOff>304800</xdr:colOff>
      <xdr:row>1940</xdr:row>
      <xdr:rowOff>152400</xdr:rowOff>
    </xdr:to>
    <xdr:sp macro="" textlink="">
      <xdr:nvSpPr>
        <xdr:cNvPr id="2121" name="AutoShape 5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1941</xdr:row>
      <xdr:rowOff>0</xdr:rowOff>
    </xdr:from>
    <xdr:to>
      <xdr:col>4</xdr:col>
      <xdr:colOff>304800</xdr:colOff>
      <xdr:row>1942</xdr:row>
      <xdr:rowOff>114300</xdr:rowOff>
    </xdr:to>
    <xdr:sp macro="" textlink="">
      <xdr:nvSpPr>
        <xdr:cNvPr id="2122" name="AutoShape 50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80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1941</xdr:row>
      <xdr:rowOff>0</xdr:rowOff>
    </xdr:from>
    <xdr:to>
      <xdr:col>5</xdr:col>
      <xdr:colOff>304800</xdr:colOff>
      <xdr:row>1942</xdr:row>
      <xdr:rowOff>114300</xdr:rowOff>
    </xdr:to>
    <xdr:sp macro="" textlink="">
      <xdr:nvSpPr>
        <xdr:cNvPr id="2123" name="AutoShape 508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80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1943</xdr:row>
      <xdr:rowOff>0</xdr:rowOff>
    </xdr:from>
    <xdr:to>
      <xdr:col>4</xdr:col>
      <xdr:colOff>304800</xdr:colOff>
      <xdr:row>1944</xdr:row>
      <xdr:rowOff>114300</xdr:rowOff>
    </xdr:to>
    <xdr:sp macro="" textlink="">
      <xdr:nvSpPr>
        <xdr:cNvPr id="2124" name="AutoShape 509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19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1943</xdr:row>
      <xdr:rowOff>0</xdr:rowOff>
    </xdr:from>
    <xdr:to>
      <xdr:col>5</xdr:col>
      <xdr:colOff>304800</xdr:colOff>
      <xdr:row>1944</xdr:row>
      <xdr:rowOff>114300</xdr:rowOff>
    </xdr:to>
    <xdr:sp macro="" textlink="">
      <xdr:nvSpPr>
        <xdr:cNvPr id="2125" name="AutoShape 51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19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1945</xdr:row>
      <xdr:rowOff>0</xdr:rowOff>
    </xdr:from>
    <xdr:to>
      <xdr:col>4</xdr:col>
      <xdr:colOff>304800</xdr:colOff>
      <xdr:row>1946</xdr:row>
      <xdr:rowOff>114300</xdr:rowOff>
    </xdr:to>
    <xdr:sp macro="" textlink="">
      <xdr:nvSpPr>
        <xdr:cNvPr id="2126" name="AutoShape 51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5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1945</xdr:row>
      <xdr:rowOff>0</xdr:rowOff>
    </xdr:from>
    <xdr:to>
      <xdr:col>5</xdr:col>
      <xdr:colOff>304800</xdr:colOff>
      <xdr:row>1946</xdr:row>
      <xdr:rowOff>114300</xdr:rowOff>
    </xdr:to>
    <xdr:sp macro="" textlink="">
      <xdr:nvSpPr>
        <xdr:cNvPr id="2127" name="AutoShape 512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5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1947</xdr:row>
      <xdr:rowOff>0</xdr:rowOff>
    </xdr:from>
    <xdr:to>
      <xdr:col>4</xdr:col>
      <xdr:colOff>304800</xdr:colOff>
      <xdr:row>1948</xdr:row>
      <xdr:rowOff>114300</xdr:rowOff>
    </xdr:to>
    <xdr:sp macro="" textlink="">
      <xdr:nvSpPr>
        <xdr:cNvPr id="2128" name="AutoShape 513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97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1947</xdr:row>
      <xdr:rowOff>0</xdr:rowOff>
    </xdr:from>
    <xdr:to>
      <xdr:col>5</xdr:col>
      <xdr:colOff>304800</xdr:colOff>
      <xdr:row>1948</xdr:row>
      <xdr:rowOff>114300</xdr:rowOff>
    </xdr:to>
    <xdr:sp macro="" textlink="">
      <xdr:nvSpPr>
        <xdr:cNvPr id="2129" name="AutoShape 514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97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1949</xdr:row>
      <xdr:rowOff>0</xdr:rowOff>
    </xdr:from>
    <xdr:to>
      <xdr:col>4</xdr:col>
      <xdr:colOff>304800</xdr:colOff>
      <xdr:row>1950</xdr:row>
      <xdr:rowOff>114300</xdr:rowOff>
    </xdr:to>
    <xdr:sp macro="" textlink="">
      <xdr:nvSpPr>
        <xdr:cNvPr id="2130" name="AutoShape 515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36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1949</xdr:row>
      <xdr:rowOff>0</xdr:rowOff>
    </xdr:from>
    <xdr:to>
      <xdr:col>5</xdr:col>
      <xdr:colOff>304800</xdr:colOff>
      <xdr:row>1950</xdr:row>
      <xdr:rowOff>114300</xdr:rowOff>
    </xdr:to>
    <xdr:sp macro="" textlink="">
      <xdr:nvSpPr>
        <xdr:cNvPr id="2131" name="AutoShape 51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636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1951</xdr:row>
      <xdr:rowOff>0</xdr:rowOff>
    </xdr:from>
    <xdr:to>
      <xdr:col>4</xdr:col>
      <xdr:colOff>304800</xdr:colOff>
      <xdr:row>1952</xdr:row>
      <xdr:rowOff>114300</xdr:rowOff>
    </xdr:to>
    <xdr:sp macro="" textlink="">
      <xdr:nvSpPr>
        <xdr:cNvPr id="2132" name="AutoShape 51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75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1951</xdr:row>
      <xdr:rowOff>0</xdr:rowOff>
    </xdr:from>
    <xdr:to>
      <xdr:col>5</xdr:col>
      <xdr:colOff>304800</xdr:colOff>
      <xdr:row>1952</xdr:row>
      <xdr:rowOff>114300</xdr:rowOff>
    </xdr:to>
    <xdr:sp macro="" textlink="">
      <xdr:nvSpPr>
        <xdr:cNvPr id="2133" name="AutoShape 518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675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1953</xdr:row>
      <xdr:rowOff>0</xdr:rowOff>
    </xdr:from>
    <xdr:to>
      <xdr:col>4</xdr:col>
      <xdr:colOff>304800</xdr:colOff>
      <xdr:row>1954</xdr:row>
      <xdr:rowOff>114300</xdr:rowOff>
    </xdr:to>
    <xdr:sp macro="" textlink="">
      <xdr:nvSpPr>
        <xdr:cNvPr id="2134" name="AutoShape 519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14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1953</xdr:row>
      <xdr:rowOff>0</xdr:rowOff>
    </xdr:from>
    <xdr:to>
      <xdr:col>5</xdr:col>
      <xdr:colOff>304800</xdr:colOff>
      <xdr:row>1954</xdr:row>
      <xdr:rowOff>114300</xdr:rowOff>
    </xdr:to>
    <xdr:sp macro="" textlink="">
      <xdr:nvSpPr>
        <xdr:cNvPr id="2135" name="AutoShape 5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14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1955</xdr:row>
      <xdr:rowOff>0</xdr:rowOff>
    </xdr:from>
    <xdr:to>
      <xdr:col>4</xdr:col>
      <xdr:colOff>304800</xdr:colOff>
      <xdr:row>1956</xdr:row>
      <xdr:rowOff>114300</xdr:rowOff>
    </xdr:to>
    <xdr:sp macro="" textlink="">
      <xdr:nvSpPr>
        <xdr:cNvPr id="2136" name="AutoShape 521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53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1955</xdr:row>
      <xdr:rowOff>0</xdr:rowOff>
    </xdr:from>
    <xdr:to>
      <xdr:col>5</xdr:col>
      <xdr:colOff>304800</xdr:colOff>
      <xdr:row>1956</xdr:row>
      <xdr:rowOff>114300</xdr:rowOff>
    </xdr:to>
    <xdr:sp macro="" textlink="">
      <xdr:nvSpPr>
        <xdr:cNvPr id="2137" name="AutoShape 5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53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1957</xdr:row>
      <xdr:rowOff>0</xdr:rowOff>
    </xdr:from>
    <xdr:to>
      <xdr:col>4</xdr:col>
      <xdr:colOff>304800</xdr:colOff>
      <xdr:row>1958</xdr:row>
      <xdr:rowOff>114300</xdr:rowOff>
    </xdr:to>
    <xdr:sp macro="" textlink="">
      <xdr:nvSpPr>
        <xdr:cNvPr id="2138" name="AutoShape 52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9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1957</xdr:row>
      <xdr:rowOff>0</xdr:rowOff>
    </xdr:from>
    <xdr:to>
      <xdr:col>5</xdr:col>
      <xdr:colOff>304800</xdr:colOff>
      <xdr:row>1958</xdr:row>
      <xdr:rowOff>114300</xdr:rowOff>
    </xdr:to>
    <xdr:sp macro="" textlink="">
      <xdr:nvSpPr>
        <xdr:cNvPr id="2139" name="AutoShape 52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9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1959</xdr:row>
      <xdr:rowOff>0</xdr:rowOff>
    </xdr:from>
    <xdr:to>
      <xdr:col>4</xdr:col>
      <xdr:colOff>304800</xdr:colOff>
      <xdr:row>1960</xdr:row>
      <xdr:rowOff>114300</xdr:rowOff>
    </xdr:to>
    <xdr:sp macro="" textlink="">
      <xdr:nvSpPr>
        <xdr:cNvPr id="2140" name="AutoShape 525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3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1959</xdr:row>
      <xdr:rowOff>0</xdr:rowOff>
    </xdr:from>
    <xdr:to>
      <xdr:col>5</xdr:col>
      <xdr:colOff>304800</xdr:colOff>
      <xdr:row>1960</xdr:row>
      <xdr:rowOff>114300</xdr:rowOff>
    </xdr:to>
    <xdr:sp macro="" textlink="">
      <xdr:nvSpPr>
        <xdr:cNvPr id="2141" name="AutoShape 52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83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1961</xdr:row>
      <xdr:rowOff>0</xdr:rowOff>
    </xdr:from>
    <xdr:to>
      <xdr:col>4</xdr:col>
      <xdr:colOff>304800</xdr:colOff>
      <xdr:row>1962</xdr:row>
      <xdr:rowOff>114300</xdr:rowOff>
    </xdr:to>
    <xdr:sp macro="" textlink="">
      <xdr:nvSpPr>
        <xdr:cNvPr id="2142" name="AutoShape 5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1961</xdr:row>
      <xdr:rowOff>0</xdr:rowOff>
    </xdr:from>
    <xdr:to>
      <xdr:col>5</xdr:col>
      <xdr:colOff>304800</xdr:colOff>
      <xdr:row>1962</xdr:row>
      <xdr:rowOff>114300</xdr:rowOff>
    </xdr:to>
    <xdr:sp macro="" textlink="">
      <xdr:nvSpPr>
        <xdr:cNvPr id="2143" name="AutoShape 528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1963</xdr:row>
      <xdr:rowOff>0</xdr:rowOff>
    </xdr:from>
    <xdr:to>
      <xdr:col>4</xdr:col>
      <xdr:colOff>304800</xdr:colOff>
      <xdr:row>1964</xdr:row>
      <xdr:rowOff>152400</xdr:rowOff>
    </xdr:to>
    <xdr:sp macro="" textlink="">
      <xdr:nvSpPr>
        <xdr:cNvPr id="2144" name="AutoShape 529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1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1963</xdr:row>
      <xdr:rowOff>0</xdr:rowOff>
    </xdr:from>
    <xdr:to>
      <xdr:col>5</xdr:col>
      <xdr:colOff>304800</xdr:colOff>
      <xdr:row>1964</xdr:row>
      <xdr:rowOff>152400</xdr:rowOff>
    </xdr:to>
    <xdr:sp macro="" textlink="">
      <xdr:nvSpPr>
        <xdr:cNvPr id="2145" name="AutoShape 530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1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1965</xdr:row>
      <xdr:rowOff>0</xdr:rowOff>
    </xdr:from>
    <xdr:to>
      <xdr:col>4</xdr:col>
      <xdr:colOff>304800</xdr:colOff>
      <xdr:row>1966</xdr:row>
      <xdr:rowOff>114300</xdr:rowOff>
    </xdr:to>
    <xdr:sp macro="" textlink="">
      <xdr:nvSpPr>
        <xdr:cNvPr id="2146" name="AutoShape 531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5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1965</xdr:row>
      <xdr:rowOff>0</xdr:rowOff>
    </xdr:from>
    <xdr:to>
      <xdr:col>5</xdr:col>
      <xdr:colOff>304800</xdr:colOff>
      <xdr:row>1966</xdr:row>
      <xdr:rowOff>114300</xdr:rowOff>
    </xdr:to>
    <xdr:sp macro="" textlink="">
      <xdr:nvSpPr>
        <xdr:cNvPr id="2147" name="AutoShape 53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5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1967</xdr:row>
      <xdr:rowOff>0</xdr:rowOff>
    </xdr:from>
    <xdr:to>
      <xdr:col>4</xdr:col>
      <xdr:colOff>304800</xdr:colOff>
      <xdr:row>1968</xdr:row>
      <xdr:rowOff>114300</xdr:rowOff>
    </xdr:to>
    <xdr:sp macro="" textlink="">
      <xdr:nvSpPr>
        <xdr:cNvPr id="2148" name="AutoShape 5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1967</xdr:row>
      <xdr:rowOff>0</xdr:rowOff>
    </xdr:from>
    <xdr:to>
      <xdr:col>5</xdr:col>
      <xdr:colOff>304800</xdr:colOff>
      <xdr:row>1968</xdr:row>
      <xdr:rowOff>114300</xdr:rowOff>
    </xdr:to>
    <xdr:sp macro="" textlink="">
      <xdr:nvSpPr>
        <xdr:cNvPr id="2149" name="AutoShape 53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1969</xdr:row>
      <xdr:rowOff>0</xdr:rowOff>
    </xdr:from>
    <xdr:to>
      <xdr:col>4</xdr:col>
      <xdr:colOff>304800</xdr:colOff>
      <xdr:row>1970</xdr:row>
      <xdr:rowOff>76200</xdr:rowOff>
    </xdr:to>
    <xdr:sp macro="" textlink="">
      <xdr:nvSpPr>
        <xdr:cNvPr id="2150" name="AutoShape 535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30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1969</xdr:row>
      <xdr:rowOff>0</xdr:rowOff>
    </xdr:from>
    <xdr:to>
      <xdr:col>5</xdr:col>
      <xdr:colOff>304800</xdr:colOff>
      <xdr:row>1970</xdr:row>
      <xdr:rowOff>76200</xdr:rowOff>
    </xdr:to>
    <xdr:sp macro="" textlink="">
      <xdr:nvSpPr>
        <xdr:cNvPr id="2151" name="AutoShape 53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30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1971</xdr:row>
      <xdr:rowOff>0</xdr:rowOff>
    </xdr:from>
    <xdr:to>
      <xdr:col>4</xdr:col>
      <xdr:colOff>304800</xdr:colOff>
      <xdr:row>1972</xdr:row>
      <xdr:rowOff>114300</xdr:rowOff>
    </xdr:to>
    <xdr:sp macro="" textlink="">
      <xdr:nvSpPr>
        <xdr:cNvPr id="2152" name="AutoShape 537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73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1971</xdr:row>
      <xdr:rowOff>0</xdr:rowOff>
    </xdr:from>
    <xdr:to>
      <xdr:col>5</xdr:col>
      <xdr:colOff>304800</xdr:colOff>
      <xdr:row>1972</xdr:row>
      <xdr:rowOff>114300</xdr:rowOff>
    </xdr:to>
    <xdr:sp macro="" textlink="">
      <xdr:nvSpPr>
        <xdr:cNvPr id="2153" name="AutoShape 538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73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1973</xdr:row>
      <xdr:rowOff>0</xdr:rowOff>
    </xdr:from>
    <xdr:to>
      <xdr:col>4</xdr:col>
      <xdr:colOff>304800</xdr:colOff>
      <xdr:row>1974</xdr:row>
      <xdr:rowOff>114300</xdr:rowOff>
    </xdr:to>
    <xdr:sp macro="" textlink="">
      <xdr:nvSpPr>
        <xdr:cNvPr id="2154" name="AutoShape 53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12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1973</xdr:row>
      <xdr:rowOff>0</xdr:rowOff>
    </xdr:from>
    <xdr:to>
      <xdr:col>5</xdr:col>
      <xdr:colOff>304800</xdr:colOff>
      <xdr:row>1974</xdr:row>
      <xdr:rowOff>114300</xdr:rowOff>
    </xdr:to>
    <xdr:sp macro="" textlink="">
      <xdr:nvSpPr>
        <xdr:cNvPr id="2155" name="AutoShape 54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12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1975</xdr:row>
      <xdr:rowOff>0</xdr:rowOff>
    </xdr:from>
    <xdr:to>
      <xdr:col>4</xdr:col>
      <xdr:colOff>304800</xdr:colOff>
      <xdr:row>1976</xdr:row>
      <xdr:rowOff>114300</xdr:rowOff>
    </xdr:to>
    <xdr:sp macro="" textlink="">
      <xdr:nvSpPr>
        <xdr:cNvPr id="2156" name="AutoShape 54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51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1975</xdr:row>
      <xdr:rowOff>0</xdr:rowOff>
    </xdr:from>
    <xdr:to>
      <xdr:col>5</xdr:col>
      <xdr:colOff>304800</xdr:colOff>
      <xdr:row>1976</xdr:row>
      <xdr:rowOff>114300</xdr:rowOff>
    </xdr:to>
    <xdr:sp macro="" textlink="">
      <xdr:nvSpPr>
        <xdr:cNvPr id="2157" name="AutoShape 542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51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1977</xdr:row>
      <xdr:rowOff>0</xdr:rowOff>
    </xdr:from>
    <xdr:to>
      <xdr:col>4</xdr:col>
      <xdr:colOff>304800</xdr:colOff>
      <xdr:row>1978</xdr:row>
      <xdr:rowOff>114300</xdr:rowOff>
    </xdr:to>
    <xdr:sp macro="" textlink="">
      <xdr:nvSpPr>
        <xdr:cNvPr id="2158" name="AutoShape 54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9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1977</xdr:row>
      <xdr:rowOff>0</xdr:rowOff>
    </xdr:from>
    <xdr:to>
      <xdr:col>5</xdr:col>
      <xdr:colOff>304800</xdr:colOff>
      <xdr:row>1978</xdr:row>
      <xdr:rowOff>114300</xdr:rowOff>
    </xdr:to>
    <xdr:sp macro="" textlink="">
      <xdr:nvSpPr>
        <xdr:cNvPr id="2159" name="AutoShape 544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9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1979</xdr:row>
      <xdr:rowOff>0</xdr:rowOff>
    </xdr:from>
    <xdr:to>
      <xdr:col>4</xdr:col>
      <xdr:colOff>304800</xdr:colOff>
      <xdr:row>1980</xdr:row>
      <xdr:rowOff>114300</xdr:rowOff>
    </xdr:to>
    <xdr:sp macro="" textlink="">
      <xdr:nvSpPr>
        <xdr:cNvPr id="2160" name="AutoShape 54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2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1979</xdr:row>
      <xdr:rowOff>0</xdr:rowOff>
    </xdr:from>
    <xdr:to>
      <xdr:col>5</xdr:col>
      <xdr:colOff>304800</xdr:colOff>
      <xdr:row>1980</xdr:row>
      <xdr:rowOff>114300</xdr:rowOff>
    </xdr:to>
    <xdr:sp macro="" textlink="">
      <xdr:nvSpPr>
        <xdr:cNvPr id="2161" name="AutoShape 546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22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1981</xdr:row>
      <xdr:rowOff>0</xdr:rowOff>
    </xdr:from>
    <xdr:to>
      <xdr:col>4</xdr:col>
      <xdr:colOff>304800</xdr:colOff>
      <xdr:row>1982</xdr:row>
      <xdr:rowOff>152400</xdr:rowOff>
    </xdr:to>
    <xdr:sp macro="" textlink="">
      <xdr:nvSpPr>
        <xdr:cNvPr id="2162" name="AutoShape 54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68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1981</xdr:row>
      <xdr:rowOff>0</xdr:rowOff>
    </xdr:from>
    <xdr:to>
      <xdr:col>5</xdr:col>
      <xdr:colOff>304800</xdr:colOff>
      <xdr:row>1982</xdr:row>
      <xdr:rowOff>152400</xdr:rowOff>
    </xdr:to>
    <xdr:sp macro="" textlink="">
      <xdr:nvSpPr>
        <xdr:cNvPr id="2163" name="AutoShape 54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268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1983</xdr:row>
      <xdr:rowOff>0</xdr:rowOff>
    </xdr:from>
    <xdr:to>
      <xdr:col>4</xdr:col>
      <xdr:colOff>304800</xdr:colOff>
      <xdr:row>1984</xdr:row>
      <xdr:rowOff>114300</xdr:rowOff>
    </xdr:to>
    <xdr:sp macro="" textlink="">
      <xdr:nvSpPr>
        <xdr:cNvPr id="2164" name="AutoShape 54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07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1983</xdr:row>
      <xdr:rowOff>0</xdr:rowOff>
    </xdr:from>
    <xdr:to>
      <xdr:col>5</xdr:col>
      <xdr:colOff>304800</xdr:colOff>
      <xdr:row>1984</xdr:row>
      <xdr:rowOff>114300</xdr:rowOff>
    </xdr:to>
    <xdr:sp macro="" textlink="">
      <xdr:nvSpPr>
        <xdr:cNvPr id="2165" name="AutoShape 5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07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1985</xdr:row>
      <xdr:rowOff>0</xdr:rowOff>
    </xdr:from>
    <xdr:to>
      <xdr:col>4</xdr:col>
      <xdr:colOff>304800</xdr:colOff>
      <xdr:row>1986</xdr:row>
      <xdr:rowOff>114300</xdr:rowOff>
    </xdr:to>
    <xdr:sp macro="" textlink="">
      <xdr:nvSpPr>
        <xdr:cNvPr id="2166" name="AutoShape 55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4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1985</xdr:row>
      <xdr:rowOff>0</xdr:rowOff>
    </xdr:from>
    <xdr:to>
      <xdr:col>5</xdr:col>
      <xdr:colOff>304800</xdr:colOff>
      <xdr:row>1986</xdr:row>
      <xdr:rowOff>114300</xdr:rowOff>
    </xdr:to>
    <xdr:sp macro="" textlink="">
      <xdr:nvSpPr>
        <xdr:cNvPr id="2167" name="AutoShape 552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4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1987</xdr:row>
      <xdr:rowOff>0</xdr:rowOff>
    </xdr:from>
    <xdr:to>
      <xdr:col>4</xdr:col>
      <xdr:colOff>304800</xdr:colOff>
      <xdr:row>1988</xdr:row>
      <xdr:rowOff>114300</xdr:rowOff>
    </xdr:to>
    <xdr:sp macro="" textlink="">
      <xdr:nvSpPr>
        <xdr:cNvPr id="2168" name="AutoShape 553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8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1987</xdr:row>
      <xdr:rowOff>0</xdr:rowOff>
    </xdr:from>
    <xdr:to>
      <xdr:col>5</xdr:col>
      <xdr:colOff>304800</xdr:colOff>
      <xdr:row>1988</xdr:row>
      <xdr:rowOff>114300</xdr:rowOff>
    </xdr:to>
    <xdr:sp macro="" textlink="">
      <xdr:nvSpPr>
        <xdr:cNvPr id="2169" name="AutoShape 55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8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1989</xdr:row>
      <xdr:rowOff>0</xdr:rowOff>
    </xdr:from>
    <xdr:to>
      <xdr:col>4</xdr:col>
      <xdr:colOff>304800</xdr:colOff>
      <xdr:row>1990</xdr:row>
      <xdr:rowOff>114300</xdr:rowOff>
    </xdr:to>
    <xdr:sp macro="" textlink="">
      <xdr:nvSpPr>
        <xdr:cNvPr id="2170" name="AutoShape 555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25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1989</xdr:row>
      <xdr:rowOff>0</xdr:rowOff>
    </xdr:from>
    <xdr:to>
      <xdr:col>5</xdr:col>
      <xdr:colOff>304800</xdr:colOff>
      <xdr:row>1990</xdr:row>
      <xdr:rowOff>114300</xdr:rowOff>
    </xdr:to>
    <xdr:sp macro="" textlink="">
      <xdr:nvSpPr>
        <xdr:cNvPr id="2171" name="AutoShape 55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425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1991</xdr:row>
      <xdr:rowOff>0</xdr:rowOff>
    </xdr:from>
    <xdr:to>
      <xdr:col>4</xdr:col>
      <xdr:colOff>304800</xdr:colOff>
      <xdr:row>1992</xdr:row>
      <xdr:rowOff>76200</xdr:rowOff>
    </xdr:to>
    <xdr:sp macro="" textlink="">
      <xdr:nvSpPr>
        <xdr:cNvPr id="2172" name="AutoShape 55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64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1991</xdr:row>
      <xdr:rowOff>0</xdr:rowOff>
    </xdr:from>
    <xdr:to>
      <xdr:col>5</xdr:col>
      <xdr:colOff>304800</xdr:colOff>
      <xdr:row>1992</xdr:row>
      <xdr:rowOff>76200</xdr:rowOff>
    </xdr:to>
    <xdr:sp macro="" textlink="">
      <xdr:nvSpPr>
        <xdr:cNvPr id="2173" name="AutoShape 55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464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1993</xdr:row>
      <xdr:rowOff>0</xdr:rowOff>
    </xdr:from>
    <xdr:to>
      <xdr:col>4</xdr:col>
      <xdr:colOff>304800</xdr:colOff>
      <xdr:row>1994</xdr:row>
      <xdr:rowOff>152400</xdr:rowOff>
    </xdr:to>
    <xdr:sp macro="" textlink="">
      <xdr:nvSpPr>
        <xdr:cNvPr id="2174" name="AutoShape 559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1993</xdr:row>
      <xdr:rowOff>0</xdr:rowOff>
    </xdr:from>
    <xdr:to>
      <xdr:col>5</xdr:col>
      <xdr:colOff>304800</xdr:colOff>
      <xdr:row>1994</xdr:row>
      <xdr:rowOff>152400</xdr:rowOff>
    </xdr:to>
    <xdr:sp macro="" textlink="">
      <xdr:nvSpPr>
        <xdr:cNvPr id="2175" name="AutoShape 56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1995</xdr:row>
      <xdr:rowOff>0</xdr:rowOff>
    </xdr:from>
    <xdr:to>
      <xdr:col>4</xdr:col>
      <xdr:colOff>304800</xdr:colOff>
      <xdr:row>1996</xdr:row>
      <xdr:rowOff>114300</xdr:rowOff>
    </xdr:to>
    <xdr:sp macro="" textlink="">
      <xdr:nvSpPr>
        <xdr:cNvPr id="2176" name="AutoShape 56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46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1995</xdr:row>
      <xdr:rowOff>0</xdr:rowOff>
    </xdr:from>
    <xdr:to>
      <xdr:col>5</xdr:col>
      <xdr:colOff>304800</xdr:colOff>
      <xdr:row>1996</xdr:row>
      <xdr:rowOff>114300</xdr:rowOff>
    </xdr:to>
    <xdr:sp macro="" textlink="">
      <xdr:nvSpPr>
        <xdr:cNvPr id="2177" name="AutoShape 56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46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1997</xdr:row>
      <xdr:rowOff>0</xdr:rowOff>
    </xdr:from>
    <xdr:to>
      <xdr:col>4</xdr:col>
      <xdr:colOff>304800</xdr:colOff>
      <xdr:row>1998</xdr:row>
      <xdr:rowOff>114300</xdr:rowOff>
    </xdr:to>
    <xdr:sp macro="" textlink="">
      <xdr:nvSpPr>
        <xdr:cNvPr id="2178" name="AutoShape 56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85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1997</xdr:row>
      <xdr:rowOff>0</xdr:rowOff>
    </xdr:from>
    <xdr:to>
      <xdr:col>5</xdr:col>
      <xdr:colOff>304800</xdr:colOff>
      <xdr:row>1998</xdr:row>
      <xdr:rowOff>114300</xdr:rowOff>
    </xdr:to>
    <xdr:sp macro="" textlink="">
      <xdr:nvSpPr>
        <xdr:cNvPr id="2179" name="AutoShape 564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85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1999</xdr:row>
      <xdr:rowOff>0</xdr:rowOff>
    </xdr:from>
    <xdr:to>
      <xdr:col>4</xdr:col>
      <xdr:colOff>304800</xdr:colOff>
      <xdr:row>2000</xdr:row>
      <xdr:rowOff>114300</xdr:rowOff>
    </xdr:to>
    <xdr:sp macro="" textlink="">
      <xdr:nvSpPr>
        <xdr:cNvPr id="2180" name="AutoShape 565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24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1999</xdr:row>
      <xdr:rowOff>0</xdr:rowOff>
    </xdr:from>
    <xdr:to>
      <xdr:col>5</xdr:col>
      <xdr:colOff>304800</xdr:colOff>
      <xdr:row>2000</xdr:row>
      <xdr:rowOff>114300</xdr:rowOff>
    </xdr:to>
    <xdr:sp macro="" textlink="">
      <xdr:nvSpPr>
        <xdr:cNvPr id="2181" name="AutoShape 56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624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2001</xdr:row>
      <xdr:rowOff>0</xdr:rowOff>
    </xdr:from>
    <xdr:to>
      <xdr:col>4</xdr:col>
      <xdr:colOff>304800</xdr:colOff>
      <xdr:row>2002</xdr:row>
      <xdr:rowOff>114300</xdr:rowOff>
    </xdr:to>
    <xdr:sp macro="" textlink="">
      <xdr:nvSpPr>
        <xdr:cNvPr id="2182" name="AutoShape 567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63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2001</xdr:row>
      <xdr:rowOff>0</xdr:rowOff>
    </xdr:from>
    <xdr:to>
      <xdr:col>5</xdr:col>
      <xdr:colOff>304800</xdr:colOff>
      <xdr:row>2002</xdr:row>
      <xdr:rowOff>114300</xdr:rowOff>
    </xdr:to>
    <xdr:sp macro="" textlink="">
      <xdr:nvSpPr>
        <xdr:cNvPr id="2183" name="AutoShape 56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663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2003</xdr:row>
      <xdr:rowOff>0</xdr:rowOff>
    </xdr:from>
    <xdr:to>
      <xdr:col>4</xdr:col>
      <xdr:colOff>304800</xdr:colOff>
      <xdr:row>2004</xdr:row>
      <xdr:rowOff>114300</xdr:rowOff>
    </xdr:to>
    <xdr:sp macro="" textlink="">
      <xdr:nvSpPr>
        <xdr:cNvPr id="2184" name="AutoShape 56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02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2003</xdr:row>
      <xdr:rowOff>0</xdr:rowOff>
    </xdr:from>
    <xdr:to>
      <xdr:col>5</xdr:col>
      <xdr:colOff>304800</xdr:colOff>
      <xdr:row>2004</xdr:row>
      <xdr:rowOff>114300</xdr:rowOff>
    </xdr:to>
    <xdr:sp macro="" textlink="">
      <xdr:nvSpPr>
        <xdr:cNvPr id="2185" name="AutoShape 570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02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2005</xdr:row>
      <xdr:rowOff>0</xdr:rowOff>
    </xdr:from>
    <xdr:to>
      <xdr:col>4</xdr:col>
      <xdr:colOff>304800</xdr:colOff>
      <xdr:row>2006</xdr:row>
      <xdr:rowOff>114300</xdr:rowOff>
    </xdr:to>
    <xdr:sp macro="" textlink="">
      <xdr:nvSpPr>
        <xdr:cNvPr id="2186" name="AutoShape 571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4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2005</xdr:row>
      <xdr:rowOff>0</xdr:rowOff>
    </xdr:from>
    <xdr:to>
      <xdr:col>5</xdr:col>
      <xdr:colOff>304800</xdr:colOff>
      <xdr:row>2006</xdr:row>
      <xdr:rowOff>114300</xdr:rowOff>
    </xdr:to>
    <xdr:sp macro="" textlink="">
      <xdr:nvSpPr>
        <xdr:cNvPr id="2187" name="AutoShape 572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4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2007</xdr:row>
      <xdr:rowOff>0</xdr:rowOff>
    </xdr:from>
    <xdr:to>
      <xdr:col>4</xdr:col>
      <xdr:colOff>304800</xdr:colOff>
      <xdr:row>2008</xdr:row>
      <xdr:rowOff>114300</xdr:rowOff>
    </xdr:to>
    <xdr:sp macro="" textlink="">
      <xdr:nvSpPr>
        <xdr:cNvPr id="2188" name="AutoShape 573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8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2007</xdr:row>
      <xdr:rowOff>0</xdr:rowOff>
    </xdr:from>
    <xdr:to>
      <xdr:col>5</xdr:col>
      <xdr:colOff>304800</xdr:colOff>
      <xdr:row>2008</xdr:row>
      <xdr:rowOff>114300</xdr:rowOff>
    </xdr:to>
    <xdr:sp macro="" textlink="">
      <xdr:nvSpPr>
        <xdr:cNvPr id="2189" name="AutoShape 57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8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2009</xdr:row>
      <xdr:rowOff>0</xdr:rowOff>
    </xdr:from>
    <xdr:to>
      <xdr:col>4</xdr:col>
      <xdr:colOff>304800</xdr:colOff>
      <xdr:row>2010</xdr:row>
      <xdr:rowOff>114300</xdr:rowOff>
    </xdr:to>
    <xdr:sp macro="" textlink="">
      <xdr:nvSpPr>
        <xdr:cNvPr id="2190" name="AutoShape 57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19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2009</xdr:row>
      <xdr:rowOff>0</xdr:rowOff>
    </xdr:from>
    <xdr:to>
      <xdr:col>5</xdr:col>
      <xdr:colOff>304800</xdr:colOff>
      <xdr:row>2010</xdr:row>
      <xdr:rowOff>114300</xdr:rowOff>
    </xdr:to>
    <xdr:sp macro="" textlink="">
      <xdr:nvSpPr>
        <xdr:cNvPr id="2191" name="AutoShape 57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19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2011</xdr:row>
      <xdr:rowOff>0</xdr:rowOff>
    </xdr:from>
    <xdr:to>
      <xdr:col>4</xdr:col>
      <xdr:colOff>304800</xdr:colOff>
      <xdr:row>2012</xdr:row>
      <xdr:rowOff>114300</xdr:rowOff>
    </xdr:to>
    <xdr:sp macro="" textlink="">
      <xdr:nvSpPr>
        <xdr:cNvPr id="2192" name="AutoShape 57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5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2011</xdr:row>
      <xdr:rowOff>0</xdr:rowOff>
    </xdr:from>
    <xdr:to>
      <xdr:col>5</xdr:col>
      <xdr:colOff>304800</xdr:colOff>
      <xdr:row>2012</xdr:row>
      <xdr:rowOff>114300</xdr:rowOff>
    </xdr:to>
    <xdr:sp macro="" textlink="">
      <xdr:nvSpPr>
        <xdr:cNvPr id="2193" name="AutoShape 578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5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2013</xdr:row>
      <xdr:rowOff>0</xdr:rowOff>
    </xdr:from>
    <xdr:to>
      <xdr:col>4</xdr:col>
      <xdr:colOff>304800</xdr:colOff>
      <xdr:row>2014</xdr:row>
      <xdr:rowOff>114300</xdr:rowOff>
    </xdr:to>
    <xdr:sp macro="" textlink="">
      <xdr:nvSpPr>
        <xdr:cNvPr id="2194" name="AutoShape 57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97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2013</xdr:row>
      <xdr:rowOff>0</xdr:rowOff>
    </xdr:from>
    <xdr:to>
      <xdr:col>5</xdr:col>
      <xdr:colOff>304800</xdr:colOff>
      <xdr:row>2014</xdr:row>
      <xdr:rowOff>114300</xdr:rowOff>
    </xdr:to>
    <xdr:sp macro="" textlink="">
      <xdr:nvSpPr>
        <xdr:cNvPr id="2195" name="AutoShape 58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97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2015</xdr:row>
      <xdr:rowOff>0</xdr:rowOff>
    </xdr:from>
    <xdr:to>
      <xdr:col>4</xdr:col>
      <xdr:colOff>304800</xdr:colOff>
      <xdr:row>2016</xdr:row>
      <xdr:rowOff>114300</xdr:rowOff>
    </xdr:to>
    <xdr:sp macro="" textlink="">
      <xdr:nvSpPr>
        <xdr:cNvPr id="2196" name="AutoShape 58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36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2015</xdr:row>
      <xdr:rowOff>0</xdr:rowOff>
    </xdr:from>
    <xdr:to>
      <xdr:col>5</xdr:col>
      <xdr:colOff>304800</xdr:colOff>
      <xdr:row>2016</xdr:row>
      <xdr:rowOff>114300</xdr:rowOff>
    </xdr:to>
    <xdr:sp macro="" textlink="">
      <xdr:nvSpPr>
        <xdr:cNvPr id="2197" name="AutoShape 582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36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2017</xdr:row>
      <xdr:rowOff>0</xdr:rowOff>
    </xdr:from>
    <xdr:to>
      <xdr:col>4</xdr:col>
      <xdr:colOff>304800</xdr:colOff>
      <xdr:row>2018</xdr:row>
      <xdr:rowOff>114300</xdr:rowOff>
    </xdr:to>
    <xdr:sp macro="" textlink="">
      <xdr:nvSpPr>
        <xdr:cNvPr id="2198" name="AutoShape 58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75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2017</xdr:row>
      <xdr:rowOff>0</xdr:rowOff>
    </xdr:from>
    <xdr:to>
      <xdr:col>5</xdr:col>
      <xdr:colOff>304800</xdr:colOff>
      <xdr:row>2018</xdr:row>
      <xdr:rowOff>114300</xdr:rowOff>
    </xdr:to>
    <xdr:sp macro="" textlink="">
      <xdr:nvSpPr>
        <xdr:cNvPr id="2199" name="AutoShape 584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75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2019</xdr:row>
      <xdr:rowOff>0</xdr:rowOff>
    </xdr:from>
    <xdr:to>
      <xdr:col>4</xdr:col>
      <xdr:colOff>304800</xdr:colOff>
      <xdr:row>2020</xdr:row>
      <xdr:rowOff>114300</xdr:rowOff>
    </xdr:to>
    <xdr:sp macro="" textlink="">
      <xdr:nvSpPr>
        <xdr:cNvPr id="2200" name="AutoShape 58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14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2019</xdr:row>
      <xdr:rowOff>0</xdr:rowOff>
    </xdr:from>
    <xdr:to>
      <xdr:col>5</xdr:col>
      <xdr:colOff>304800</xdr:colOff>
      <xdr:row>2020</xdr:row>
      <xdr:rowOff>114300</xdr:rowOff>
    </xdr:to>
    <xdr:sp macro="" textlink="">
      <xdr:nvSpPr>
        <xdr:cNvPr id="2201" name="AutoShape 58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14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2021</xdr:row>
      <xdr:rowOff>0</xdr:rowOff>
    </xdr:from>
    <xdr:to>
      <xdr:col>4</xdr:col>
      <xdr:colOff>304800</xdr:colOff>
      <xdr:row>2022</xdr:row>
      <xdr:rowOff>114300</xdr:rowOff>
    </xdr:to>
    <xdr:sp macro="" textlink="">
      <xdr:nvSpPr>
        <xdr:cNvPr id="2202" name="AutoShape 58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53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2021</xdr:row>
      <xdr:rowOff>0</xdr:rowOff>
    </xdr:from>
    <xdr:to>
      <xdr:col>5</xdr:col>
      <xdr:colOff>304800</xdr:colOff>
      <xdr:row>2022</xdr:row>
      <xdr:rowOff>114300</xdr:rowOff>
    </xdr:to>
    <xdr:sp macro="" textlink="">
      <xdr:nvSpPr>
        <xdr:cNvPr id="2203" name="AutoShape 58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53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2023</xdr:row>
      <xdr:rowOff>0</xdr:rowOff>
    </xdr:from>
    <xdr:to>
      <xdr:col>4</xdr:col>
      <xdr:colOff>304800</xdr:colOff>
      <xdr:row>2024</xdr:row>
      <xdr:rowOff>114300</xdr:rowOff>
    </xdr:to>
    <xdr:sp macro="" textlink="">
      <xdr:nvSpPr>
        <xdr:cNvPr id="2204" name="AutoShape 589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2023</xdr:row>
      <xdr:rowOff>0</xdr:rowOff>
    </xdr:from>
    <xdr:to>
      <xdr:col>5</xdr:col>
      <xdr:colOff>304800</xdr:colOff>
      <xdr:row>2024</xdr:row>
      <xdr:rowOff>114300</xdr:rowOff>
    </xdr:to>
    <xdr:sp macro="" textlink="">
      <xdr:nvSpPr>
        <xdr:cNvPr id="2205" name="AutoShape 59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2025</xdr:row>
      <xdr:rowOff>0</xdr:rowOff>
    </xdr:from>
    <xdr:to>
      <xdr:col>4</xdr:col>
      <xdr:colOff>304800</xdr:colOff>
      <xdr:row>2026</xdr:row>
      <xdr:rowOff>114300</xdr:rowOff>
    </xdr:to>
    <xdr:sp macro="" textlink="">
      <xdr:nvSpPr>
        <xdr:cNvPr id="2206" name="AutoShape 591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31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2025</xdr:row>
      <xdr:rowOff>0</xdr:rowOff>
    </xdr:from>
    <xdr:to>
      <xdr:col>5</xdr:col>
      <xdr:colOff>304800</xdr:colOff>
      <xdr:row>2026</xdr:row>
      <xdr:rowOff>114300</xdr:rowOff>
    </xdr:to>
    <xdr:sp macro="" textlink="">
      <xdr:nvSpPr>
        <xdr:cNvPr id="2207" name="AutoShape 59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131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2027</xdr:row>
      <xdr:rowOff>0</xdr:rowOff>
    </xdr:from>
    <xdr:to>
      <xdr:col>4</xdr:col>
      <xdr:colOff>304800</xdr:colOff>
      <xdr:row>2028</xdr:row>
      <xdr:rowOff>114300</xdr:rowOff>
    </xdr:to>
    <xdr:sp macro="" textlink="">
      <xdr:nvSpPr>
        <xdr:cNvPr id="2208" name="AutoShape 59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70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2027</xdr:row>
      <xdr:rowOff>0</xdr:rowOff>
    </xdr:from>
    <xdr:to>
      <xdr:col>5</xdr:col>
      <xdr:colOff>304800</xdr:colOff>
      <xdr:row>2028</xdr:row>
      <xdr:rowOff>114300</xdr:rowOff>
    </xdr:to>
    <xdr:sp macro="" textlink="">
      <xdr:nvSpPr>
        <xdr:cNvPr id="2209" name="AutoShape 59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170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2029</xdr:row>
      <xdr:rowOff>0</xdr:rowOff>
    </xdr:from>
    <xdr:to>
      <xdr:col>4</xdr:col>
      <xdr:colOff>304800</xdr:colOff>
      <xdr:row>2030</xdr:row>
      <xdr:rowOff>114300</xdr:rowOff>
    </xdr:to>
    <xdr:sp macro="" textlink="">
      <xdr:nvSpPr>
        <xdr:cNvPr id="2210" name="AutoShape 59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09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2029</xdr:row>
      <xdr:rowOff>0</xdr:rowOff>
    </xdr:from>
    <xdr:to>
      <xdr:col>5</xdr:col>
      <xdr:colOff>304800</xdr:colOff>
      <xdr:row>2030</xdr:row>
      <xdr:rowOff>114300</xdr:rowOff>
    </xdr:to>
    <xdr:sp macro="" textlink="">
      <xdr:nvSpPr>
        <xdr:cNvPr id="2211" name="AutoShape 59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09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2031</xdr:row>
      <xdr:rowOff>0</xdr:rowOff>
    </xdr:from>
    <xdr:to>
      <xdr:col>4</xdr:col>
      <xdr:colOff>304800</xdr:colOff>
      <xdr:row>2032</xdr:row>
      <xdr:rowOff>114300</xdr:rowOff>
    </xdr:to>
    <xdr:sp macro="" textlink="">
      <xdr:nvSpPr>
        <xdr:cNvPr id="2212" name="AutoShape 597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48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2031</xdr:row>
      <xdr:rowOff>0</xdr:rowOff>
    </xdr:from>
    <xdr:to>
      <xdr:col>5</xdr:col>
      <xdr:colOff>304800</xdr:colOff>
      <xdr:row>2032</xdr:row>
      <xdr:rowOff>114300</xdr:rowOff>
    </xdr:to>
    <xdr:sp macro="" textlink="">
      <xdr:nvSpPr>
        <xdr:cNvPr id="2213" name="AutoShape 598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48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2033</xdr:row>
      <xdr:rowOff>0</xdr:rowOff>
    </xdr:from>
    <xdr:to>
      <xdr:col>4</xdr:col>
      <xdr:colOff>304800</xdr:colOff>
      <xdr:row>2034</xdr:row>
      <xdr:rowOff>114300</xdr:rowOff>
    </xdr:to>
    <xdr:sp macro="" textlink="">
      <xdr:nvSpPr>
        <xdr:cNvPr id="2214" name="AutoShape 59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8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2033</xdr:row>
      <xdr:rowOff>0</xdr:rowOff>
    </xdr:from>
    <xdr:to>
      <xdr:col>5</xdr:col>
      <xdr:colOff>304800</xdr:colOff>
      <xdr:row>2034</xdr:row>
      <xdr:rowOff>114300</xdr:rowOff>
    </xdr:to>
    <xdr:sp macro="" textlink="">
      <xdr:nvSpPr>
        <xdr:cNvPr id="2215" name="AutoShape 600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8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2035</xdr:row>
      <xdr:rowOff>0</xdr:rowOff>
    </xdr:from>
    <xdr:to>
      <xdr:col>4</xdr:col>
      <xdr:colOff>304800</xdr:colOff>
      <xdr:row>2036</xdr:row>
      <xdr:rowOff>114300</xdr:rowOff>
    </xdr:to>
    <xdr:sp macro="" textlink="">
      <xdr:nvSpPr>
        <xdr:cNvPr id="2216" name="AutoShape 6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27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2035</xdr:row>
      <xdr:rowOff>0</xdr:rowOff>
    </xdr:from>
    <xdr:to>
      <xdr:col>5</xdr:col>
      <xdr:colOff>304800</xdr:colOff>
      <xdr:row>2036</xdr:row>
      <xdr:rowOff>114300</xdr:rowOff>
    </xdr:to>
    <xdr:sp macro="" textlink="">
      <xdr:nvSpPr>
        <xdr:cNvPr id="2217" name="AutoShape 602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27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2037</xdr:row>
      <xdr:rowOff>0</xdr:rowOff>
    </xdr:from>
    <xdr:to>
      <xdr:col>4</xdr:col>
      <xdr:colOff>304800</xdr:colOff>
      <xdr:row>2038</xdr:row>
      <xdr:rowOff>114300</xdr:rowOff>
    </xdr:to>
    <xdr:sp macro="" textlink="">
      <xdr:nvSpPr>
        <xdr:cNvPr id="2218" name="AutoShape 60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6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2037</xdr:row>
      <xdr:rowOff>0</xdr:rowOff>
    </xdr:from>
    <xdr:to>
      <xdr:col>5</xdr:col>
      <xdr:colOff>304800</xdr:colOff>
      <xdr:row>2038</xdr:row>
      <xdr:rowOff>114300</xdr:rowOff>
    </xdr:to>
    <xdr:sp macro="" textlink="">
      <xdr:nvSpPr>
        <xdr:cNvPr id="2219" name="AutoShape 60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6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2039</xdr:row>
      <xdr:rowOff>0</xdr:rowOff>
    </xdr:from>
    <xdr:to>
      <xdr:col>4</xdr:col>
      <xdr:colOff>304800</xdr:colOff>
      <xdr:row>2040</xdr:row>
      <xdr:rowOff>114300</xdr:rowOff>
    </xdr:to>
    <xdr:sp macro="" textlink="">
      <xdr:nvSpPr>
        <xdr:cNvPr id="2220" name="AutoShape 60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05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2039</xdr:row>
      <xdr:rowOff>0</xdr:rowOff>
    </xdr:from>
    <xdr:to>
      <xdr:col>5</xdr:col>
      <xdr:colOff>304800</xdr:colOff>
      <xdr:row>2040</xdr:row>
      <xdr:rowOff>114300</xdr:rowOff>
    </xdr:to>
    <xdr:sp macro="" textlink="">
      <xdr:nvSpPr>
        <xdr:cNvPr id="2221" name="AutoShape 60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05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2041</xdr:row>
      <xdr:rowOff>0</xdr:rowOff>
    </xdr:from>
    <xdr:to>
      <xdr:col>4</xdr:col>
      <xdr:colOff>304800</xdr:colOff>
      <xdr:row>2042</xdr:row>
      <xdr:rowOff>114300</xdr:rowOff>
    </xdr:to>
    <xdr:sp macro="" textlink="">
      <xdr:nvSpPr>
        <xdr:cNvPr id="2222" name="AutoShape 60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4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2041</xdr:row>
      <xdr:rowOff>0</xdr:rowOff>
    </xdr:from>
    <xdr:to>
      <xdr:col>5</xdr:col>
      <xdr:colOff>304800</xdr:colOff>
      <xdr:row>2042</xdr:row>
      <xdr:rowOff>114300</xdr:rowOff>
    </xdr:to>
    <xdr:sp macro="" textlink="">
      <xdr:nvSpPr>
        <xdr:cNvPr id="2223" name="AutoShape 60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4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2043</xdr:row>
      <xdr:rowOff>0</xdr:rowOff>
    </xdr:from>
    <xdr:to>
      <xdr:col>4</xdr:col>
      <xdr:colOff>304800</xdr:colOff>
      <xdr:row>2044</xdr:row>
      <xdr:rowOff>114300</xdr:rowOff>
    </xdr:to>
    <xdr:sp macro="" textlink="">
      <xdr:nvSpPr>
        <xdr:cNvPr id="2224" name="AutoShape 60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83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2043</xdr:row>
      <xdr:rowOff>0</xdr:rowOff>
    </xdr:from>
    <xdr:to>
      <xdr:col>5</xdr:col>
      <xdr:colOff>304800</xdr:colOff>
      <xdr:row>2044</xdr:row>
      <xdr:rowOff>114300</xdr:rowOff>
    </xdr:to>
    <xdr:sp macro="" textlink="">
      <xdr:nvSpPr>
        <xdr:cNvPr id="2225" name="AutoShape 610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83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2045</xdr:row>
      <xdr:rowOff>0</xdr:rowOff>
    </xdr:from>
    <xdr:to>
      <xdr:col>4</xdr:col>
      <xdr:colOff>304800</xdr:colOff>
      <xdr:row>2046</xdr:row>
      <xdr:rowOff>114300</xdr:rowOff>
    </xdr:to>
    <xdr:sp macro="" textlink="">
      <xdr:nvSpPr>
        <xdr:cNvPr id="2226" name="AutoShape 61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22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2045</xdr:row>
      <xdr:rowOff>0</xdr:rowOff>
    </xdr:from>
    <xdr:to>
      <xdr:col>5</xdr:col>
      <xdr:colOff>304800</xdr:colOff>
      <xdr:row>2046</xdr:row>
      <xdr:rowOff>114300</xdr:rowOff>
    </xdr:to>
    <xdr:sp macro="" textlink="">
      <xdr:nvSpPr>
        <xdr:cNvPr id="2227" name="AutoShape 612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522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2047</xdr:row>
      <xdr:rowOff>0</xdr:rowOff>
    </xdr:from>
    <xdr:to>
      <xdr:col>4</xdr:col>
      <xdr:colOff>304800</xdr:colOff>
      <xdr:row>2048</xdr:row>
      <xdr:rowOff>114300</xdr:rowOff>
    </xdr:to>
    <xdr:sp macro="" textlink="">
      <xdr:nvSpPr>
        <xdr:cNvPr id="2228" name="AutoShape 61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2047</xdr:row>
      <xdr:rowOff>0</xdr:rowOff>
    </xdr:from>
    <xdr:to>
      <xdr:col>5</xdr:col>
      <xdr:colOff>304800</xdr:colOff>
      <xdr:row>2048</xdr:row>
      <xdr:rowOff>114300</xdr:rowOff>
    </xdr:to>
    <xdr:sp macro="" textlink="">
      <xdr:nvSpPr>
        <xdr:cNvPr id="2229" name="AutoShape 61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5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2049</xdr:row>
      <xdr:rowOff>0</xdr:rowOff>
    </xdr:from>
    <xdr:to>
      <xdr:col>4</xdr:col>
      <xdr:colOff>304800</xdr:colOff>
      <xdr:row>2050</xdr:row>
      <xdr:rowOff>114300</xdr:rowOff>
    </xdr:to>
    <xdr:sp macro="" textlink="">
      <xdr:nvSpPr>
        <xdr:cNvPr id="2230" name="AutoShape 615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2049</xdr:row>
      <xdr:rowOff>0</xdr:rowOff>
    </xdr:from>
    <xdr:to>
      <xdr:col>5</xdr:col>
      <xdr:colOff>304800</xdr:colOff>
      <xdr:row>2050</xdr:row>
      <xdr:rowOff>114300</xdr:rowOff>
    </xdr:to>
    <xdr:sp macro="" textlink="">
      <xdr:nvSpPr>
        <xdr:cNvPr id="2231" name="AutoShape 61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2051</xdr:row>
      <xdr:rowOff>0</xdr:rowOff>
    </xdr:from>
    <xdr:to>
      <xdr:col>4</xdr:col>
      <xdr:colOff>304800</xdr:colOff>
      <xdr:row>2052</xdr:row>
      <xdr:rowOff>114300</xdr:rowOff>
    </xdr:to>
    <xdr:sp macro="" textlink="">
      <xdr:nvSpPr>
        <xdr:cNvPr id="2232" name="AutoShape 617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39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2051</xdr:row>
      <xdr:rowOff>0</xdr:rowOff>
    </xdr:from>
    <xdr:to>
      <xdr:col>5</xdr:col>
      <xdr:colOff>304800</xdr:colOff>
      <xdr:row>2052</xdr:row>
      <xdr:rowOff>114300</xdr:rowOff>
    </xdr:to>
    <xdr:sp macro="" textlink="">
      <xdr:nvSpPr>
        <xdr:cNvPr id="2233" name="AutoShape 61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39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2053</xdr:row>
      <xdr:rowOff>0</xdr:rowOff>
    </xdr:from>
    <xdr:to>
      <xdr:col>4</xdr:col>
      <xdr:colOff>304800</xdr:colOff>
      <xdr:row>2054</xdr:row>
      <xdr:rowOff>114300</xdr:rowOff>
    </xdr:to>
    <xdr:sp macro="" textlink="">
      <xdr:nvSpPr>
        <xdr:cNvPr id="2234" name="AutoShape 6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78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2053</xdr:row>
      <xdr:rowOff>0</xdr:rowOff>
    </xdr:from>
    <xdr:to>
      <xdr:col>5</xdr:col>
      <xdr:colOff>304800</xdr:colOff>
      <xdr:row>2054</xdr:row>
      <xdr:rowOff>114300</xdr:rowOff>
    </xdr:to>
    <xdr:sp macro="" textlink="">
      <xdr:nvSpPr>
        <xdr:cNvPr id="2235" name="AutoShape 6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78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2055</xdr:row>
      <xdr:rowOff>0</xdr:rowOff>
    </xdr:from>
    <xdr:to>
      <xdr:col>4</xdr:col>
      <xdr:colOff>304800</xdr:colOff>
      <xdr:row>2056</xdr:row>
      <xdr:rowOff>114300</xdr:rowOff>
    </xdr:to>
    <xdr:sp macro="" textlink="">
      <xdr:nvSpPr>
        <xdr:cNvPr id="2236" name="AutoShape 62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17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2055</xdr:row>
      <xdr:rowOff>0</xdr:rowOff>
    </xdr:from>
    <xdr:to>
      <xdr:col>5</xdr:col>
      <xdr:colOff>304800</xdr:colOff>
      <xdr:row>2056</xdr:row>
      <xdr:rowOff>114300</xdr:rowOff>
    </xdr:to>
    <xdr:sp macro="" textlink="">
      <xdr:nvSpPr>
        <xdr:cNvPr id="2237" name="AutoShape 6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17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2057</xdr:row>
      <xdr:rowOff>0</xdr:rowOff>
    </xdr:from>
    <xdr:to>
      <xdr:col>4</xdr:col>
      <xdr:colOff>304800</xdr:colOff>
      <xdr:row>2058</xdr:row>
      <xdr:rowOff>114300</xdr:rowOff>
    </xdr:to>
    <xdr:sp macro="" textlink="">
      <xdr:nvSpPr>
        <xdr:cNvPr id="2238" name="AutoShape 623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2057</xdr:row>
      <xdr:rowOff>0</xdr:rowOff>
    </xdr:from>
    <xdr:to>
      <xdr:col>5</xdr:col>
      <xdr:colOff>304800</xdr:colOff>
      <xdr:row>2058</xdr:row>
      <xdr:rowOff>114300</xdr:rowOff>
    </xdr:to>
    <xdr:sp macro="" textlink="">
      <xdr:nvSpPr>
        <xdr:cNvPr id="2239" name="AutoShape 624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2059</xdr:row>
      <xdr:rowOff>0</xdr:rowOff>
    </xdr:from>
    <xdr:to>
      <xdr:col>4</xdr:col>
      <xdr:colOff>304800</xdr:colOff>
      <xdr:row>2060</xdr:row>
      <xdr:rowOff>114300</xdr:rowOff>
    </xdr:to>
    <xdr:sp macro="" textlink="">
      <xdr:nvSpPr>
        <xdr:cNvPr id="2240" name="AutoShape 62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95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2059</xdr:row>
      <xdr:rowOff>0</xdr:rowOff>
    </xdr:from>
    <xdr:to>
      <xdr:col>5</xdr:col>
      <xdr:colOff>304800</xdr:colOff>
      <xdr:row>2060</xdr:row>
      <xdr:rowOff>114300</xdr:rowOff>
    </xdr:to>
    <xdr:sp macro="" textlink="">
      <xdr:nvSpPr>
        <xdr:cNvPr id="2241" name="AutoShape 6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95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2061</xdr:row>
      <xdr:rowOff>0</xdr:rowOff>
    </xdr:from>
    <xdr:to>
      <xdr:col>4</xdr:col>
      <xdr:colOff>304800</xdr:colOff>
      <xdr:row>2062</xdr:row>
      <xdr:rowOff>114300</xdr:rowOff>
    </xdr:to>
    <xdr:sp macro="" textlink="">
      <xdr:nvSpPr>
        <xdr:cNvPr id="2242" name="AutoShape 6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34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2061</xdr:row>
      <xdr:rowOff>0</xdr:rowOff>
    </xdr:from>
    <xdr:to>
      <xdr:col>5</xdr:col>
      <xdr:colOff>304800</xdr:colOff>
      <xdr:row>2062</xdr:row>
      <xdr:rowOff>114300</xdr:rowOff>
    </xdr:to>
    <xdr:sp macro="" textlink="">
      <xdr:nvSpPr>
        <xdr:cNvPr id="2243" name="AutoShape 628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834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2063</xdr:row>
      <xdr:rowOff>0</xdr:rowOff>
    </xdr:from>
    <xdr:to>
      <xdr:col>4</xdr:col>
      <xdr:colOff>304800</xdr:colOff>
      <xdr:row>2064</xdr:row>
      <xdr:rowOff>114300</xdr:rowOff>
    </xdr:to>
    <xdr:sp macro="" textlink="">
      <xdr:nvSpPr>
        <xdr:cNvPr id="2244" name="AutoShape 629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73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2063</xdr:row>
      <xdr:rowOff>0</xdr:rowOff>
    </xdr:from>
    <xdr:to>
      <xdr:col>5</xdr:col>
      <xdr:colOff>304800</xdr:colOff>
      <xdr:row>2064</xdr:row>
      <xdr:rowOff>114300</xdr:rowOff>
    </xdr:to>
    <xdr:sp macro="" textlink="">
      <xdr:nvSpPr>
        <xdr:cNvPr id="2245" name="AutoShape 63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873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2065</xdr:row>
      <xdr:rowOff>0</xdr:rowOff>
    </xdr:from>
    <xdr:to>
      <xdr:col>4</xdr:col>
      <xdr:colOff>304800</xdr:colOff>
      <xdr:row>2066</xdr:row>
      <xdr:rowOff>114300</xdr:rowOff>
    </xdr:to>
    <xdr:sp macro="" textlink="">
      <xdr:nvSpPr>
        <xdr:cNvPr id="2246" name="AutoShape 631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2065</xdr:row>
      <xdr:rowOff>0</xdr:rowOff>
    </xdr:from>
    <xdr:to>
      <xdr:col>5</xdr:col>
      <xdr:colOff>304800</xdr:colOff>
      <xdr:row>2066</xdr:row>
      <xdr:rowOff>114300</xdr:rowOff>
    </xdr:to>
    <xdr:sp macro="" textlink="">
      <xdr:nvSpPr>
        <xdr:cNvPr id="2247" name="AutoShape 6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2067</xdr:row>
      <xdr:rowOff>0</xdr:rowOff>
    </xdr:from>
    <xdr:to>
      <xdr:col>4</xdr:col>
      <xdr:colOff>304800</xdr:colOff>
      <xdr:row>2068</xdr:row>
      <xdr:rowOff>76200</xdr:rowOff>
    </xdr:to>
    <xdr:sp macro="" textlink="">
      <xdr:nvSpPr>
        <xdr:cNvPr id="2248" name="AutoShape 63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5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2067</xdr:row>
      <xdr:rowOff>0</xdr:rowOff>
    </xdr:from>
    <xdr:to>
      <xdr:col>5</xdr:col>
      <xdr:colOff>304800</xdr:colOff>
      <xdr:row>2068</xdr:row>
      <xdr:rowOff>76200</xdr:rowOff>
    </xdr:to>
    <xdr:sp macro="" textlink="">
      <xdr:nvSpPr>
        <xdr:cNvPr id="2249" name="AutoShape 634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5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2069</xdr:row>
      <xdr:rowOff>0</xdr:rowOff>
    </xdr:from>
    <xdr:to>
      <xdr:col>4</xdr:col>
      <xdr:colOff>304800</xdr:colOff>
      <xdr:row>2070</xdr:row>
      <xdr:rowOff>114300</xdr:rowOff>
    </xdr:to>
    <xdr:sp macro="" textlink="">
      <xdr:nvSpPr>
        <xdr:cNvPr id="2250" name="AutoShape 635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9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2069</xdr:row>
      <xdr:rowOff>0</xdr:rowOff>
    </xdr:from>
    <xdr:to>
      <xdr:col>5</xdr:col>
      <xdr:colOff>304800</xdr:colOff>
      <xdr:row>2070</xdr:row>
      <xdr:rowOff>114300</xdr:rowOff>
    </xdr:to>
    <xdr:sp macro="" textlink="">
      <xdr:nvSpPr>
        <xdr:cNvPr id="2251" name="AutoShape 63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9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2071</xdr:row>
      <xdr:rowOff>0</xdr:rowOff>
    </xdr:from>
    <xdr:to>
      <xdr:col>4</xdr:col>
      <xdr:colOff>304800</xdr:colOff>
      <xdr:row>2072</xdr:row>
      <xdr:rowOff>114300</xdr:rowOff>
    </xdr:to>
    <xdr:sp macro="" textlink="">
      <xdr:nvSpPr>
        <xdr:cNvPr id="2252" name="AutoShape 63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33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2071</xdr:row>
      <xdr:rowOff>0</xdr:rowOff>
    </xdr:from>
    <xdr:to>
      <xdr:col>5</xdr:col>
      <xdr:colOff>304800</xdr:colOff>
      <xdr:row>2072</xdr:row>
      <xdr:rowOff>114300</xdr:rowOff>
    </xdr:to>
    <xdr:sp macro="" textlink="">
      <xdr:nvSpPr>
        <xdr:cNvPr id="2253" name="AutoShape 63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033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2073</xdr:row>
      <xdr:rowOff>0</xdr:rowOff>
    </xdr:from>
    <xdr:to>
      <xdr:col>4</xdr:col>
      <xdr:colOff>304800</xdr:colOff>
      <xdr:row>2074</xdr:row>
      <xdr:rowOff>114300</xdr:rowOff>
    </xdr:to>
    <xdr:sp macro="" textlink="">
      <xdr:nvSpPr>
        <xdr:cNvPr id="2254" name="AutoShape 639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7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2073</xdr:row>
      <xdr:rowOff>0</xdr:rowOff>
    </xdr:from>
    <xdr:to>
      <xdr:col>5</xdr:col>
      <xdr:colOff>304800</xdr:colOff>
      <xdr:row>2074</xdr:row>
      <xdr:rowOff>114300</xdr:rowOff>
    </xdr:to>
    <xdr:sp macro="" textlink="">
      <xdr:nvSpPr>
        <xdr:cNvPr id="2255" name="AutoShape 640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07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2075</xdr:row>
      <xdr:rowOff>0</xdr:rowOff>
    </xdr:from>
    <xdr:to>
      <xdr:col>4</xdr:col>
      <xdr:colOff>304800</xdr:colOff>
      <xdr:row>2076</xdr:row>
      <xdr:rowOff>114300</xdr:rowOff>
    </xdr:to>
    <xdr:sp macro="" textlink="">
      <xdr:nvSpPr>
        <xdr:cNvPr id="2256" name="AutoShape 64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2075</xdr:row>
      <xdr:rowOff>0</xdr:rowOff>
    </xdr:from>
    <xdr:to>
      <xdr:col>5</xdr:col>
      <xdr:colOff>304800</xdr:colOff>
      <xdr:row>2076</xdr:row>
      <xdr:rowOff>114300</xdr:rowOff>
    </xdr:to>
    <xdr:sp macro="" textlink="">
      <xdr:nvSpPr>
        <xdr:cNvPr id="2257" name="AutoShape 64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2077</xdr:row>
      <xdr:rowOff>0</xdr:rowOff>
    </xdr:from>
    <xdr:to>
      <xdr:col>4</xdr:col>
      <xdr:colOff>304800</xdr:colOff>
      <xdr:row>2078</xdr:row>
      <xdr:rowOff>114300</xdr:rowOff>
    </xdr:to>
    <xdr:sp macro="" textlink="">
      <xdr:nvSpPr>
        <xdr:cNvPr id="2258" name="AutoShape 64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50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2077</xdr:row>
      <xdr:rowOff>0</xdr:rowOff>
    </xdr:from>
    <xdr:to>
      <xdr:col>5</xdr:col>
      <xdr:colOff>304800</xdr:colOff>
      <xdr:row>2078</xdr:row>
      <xdr:rowOff>114300</xdr:rowOff>
    </xdr:to>
    <xdr:sp macro="" textlink="">
      <xdr:nvSpPr>
        <xdr:cNvPr id="2259" name="AutoShape 64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50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2079</xdr:row>
      <xdr:rowOff>0</xdr:rowOff>
    </xdr:from>
    <xdr:to>
      <xdr:col>4</xdr:col>
      <xdr:colOff>304800</xdr:colOff>
      <xdr:row>2080</xdr:row>
      <xdr:rowOff>114300</xdr:rowOff>
    </xdr:to>
    <xdr:sp macro="" textlink="">
      <xdr:nvSpPr>
        <xdr:cNvPr id="2260" name="AutoShape 645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2079</xdr:row>
      <xdr:rowOff>0</xdr:rowOff>
    </xdr:from>
    <xdr:to>
      <xdr:col>5</xdr:col>
      <xdr:colOff>304800</xdr:colOff>
      <xdr:row>2080</xdr:row>
      <xdr:rowOff>114300</xdr:rowOff>
    </xdr:to>
    <xdr:sp macro="" textlink="">
      <xdr:nvSpPr>
        <xdr:cNvPr id="2261" name="AutoShape 64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2081</xdr:row>
      <xdr:rowOff>0</xdr:rowOff>
    </xdr:from>
    <xdr:to>
      <xdr:col>4</xdr:col>
      <xdr:colOff>304800</xdr:colOff>
      <xdr:row>2082</xdr:row>
      <xdr:rowOff>114300</xdr:rowOff>
    </xdr:to>
    <xdr:sp macro="" textlink="">
      <xdr:nvSpPr>
        <xdr:cNvPr id="2262" name="AutoShape 64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2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2081</xdr:row>
      <xdr:rowOff>0</xdr:rowOff>
    </xdr:from>
    <xdr:to>
      <xdr:col>5</xdr:col>
      <xdr:colOff>304800</xdr:colOff>
      <xdr:row>2082</xdr:row>
      <xdr:rowOff>114300</xdr:rowOff>
    </xdr:to>
    <xdr:sp macro="" textlink="">
      <xdr:nvSpPr>
        <xdr:cNvPr id="2263" name="AutoShape 648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22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2083</xdr:row>
      <xdr:rowOff>0</xdr:rowOff>
    </xdr:from>
    <xdr:to>
      <xdr:col>4</xdr:col>
      <xdr:colOff>304800</xdr:colOff>
      <xdr:row>2084</xdr:row>
      <xdr:rowOff>114300</xdr:rowOff>
    </xdr:to>
    <xdr:sp macro="" textlink="">
      <xdr:nvSpPr>
        <xdr:cNvPr id="2264" name="AutoShape 64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68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2083</xdr:row>
      <xdr:rowOff>0</xdr:rowOff>
    </xdr:from>
    <xdr:to>
      <xdr:col>5</xdr:col>
      <xdr:colOff>304800</xdr:colOff>
      <xdr:row>2084</xdr:row>
      <xdr:rowOff>114300</xdr:rowOff>
    </xdr:to>
    <xdr:sp macro="" textlink="">
      <xdr:nvSpPr>
        <xdr:cNvPr id="2265" name="AutoShape 65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268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2085</xdr:row>
      <xdr:rowOff>0</xdr:rowOff>
    </xdr:from>
    <xdr:to>
      <xdr:col>4</xdr:col>
      <xdr:colOff>304800</xdr:colOff>
      <xdr:row>2086</xdr:row>
      <xdr:rowOff>114300</xdr:rowOff>
    </xdr:to>
    <xdr:sp macro="" textlink="">
      <xdr:nvSpPr>
        <xdr:cNvPr id="2266" name="AutoShape 65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2085</xdr:row>
      <xdr:rowOff>0</xdr:rowOff>
    </xdr:from>
    <xdr:to>
      <xdr:col>5</xdr:col>
      <xdr:colOff>304800</xdr:colOff>
      <xdr:row>2086</xdr:row>
      <xdr:rowOff>114300</xdr:rowOff>
    </xdr:to>
    <xdr:sp macro="" textlink="">
      <xdr:nvSpPr>
        <xdr:cNvPr id="2267" name="AutoShape 6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2087</xdr:row>
      <xdr:rowOff>0</xdr:rowOff>
    </xdr:from>
    <xdr:to>
      <xdr:col>4</xdr:col>
      <xdr:colOff>304800</xdr:colOff>
      <xdr:row>2088</xdr:row>
      <xdr:rowOff>76200</xdr:rowOff>
    </xdr:to>
    <xdr:sp macro="" textlink="">
      <xdr:nvSpPr>
        <xdr:cNvPr id="2268" name="AutoShape 653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46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2087</xdr:row>
      <xdr:rowOff>0</xdr:rowOff>
    </xdr:from>
    <xdr:to>
      <xdr:col>5</xdr:col>
      <xdr:colOff>304800</xdr:colOff>
      <xdr:row>2088</xdr:row>
      <xdr:rowOff>76200</xdr:rowOff>
    </xdr:to>
    <xdr:sp macro="" textlink="">
      <xdr:nvSpPr>
        <xdr:cNvPr id="2269" name="AutoShape 65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46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2089</xdr:row>
      <xdr:rowOff>0</xdr:rowOff>
    </xdr:from>
    <xdr:to>
      <xdr:col>4</xdr:col>
      <xdr:colOff>304800</xdr:colOff>
      <xdr:row>2090</xdr:row>
      <xdr:rowOff>152400</xdr:rowOff>
    </xdr:to>
    <xdr:sp macro="" textlink="">
      <xdr:nvSpPr>
        <xdr:cNvPr id="2270" name="AutoShape 65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8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2089</xdr:row>
      <xdr:rowOff>0</xdr:rowOff>
    </xdr:from>
    <xdr:to>
      <xdr:col>5</xdr:col>
      <xdr:colOff>304800</xdr:colOff>
      <xdr:row>2090</xdr:row>
      <xdr:rowOff>152400</xdr:rowOff>
    </xdr:to>
    <xdr:sp macro="" textlink="">
      <xdr:nvSpPr>
        <xdr:cNvPr id="2271" name="AutoShape 65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8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2091</xdr:row>
      <xdr:rowOff>0</xdr:rowOff>
    </xdr:from>
    <xdr:to>
      <xdr:col>4</xdr:col>
      <xdr:colOff>304800</xdr:colOff>
      <xdr:row>2092</xdr:row>
      <xdr:rowOff>114300</xdr:rowOff>
    </xdr:to>
    <xdr:sp macro="" textlink="">
      <xdr:nvSpPr>
        <xdr:cNvPr id="2272" name="AutoShape 65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28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2091</xdr:row>
      <xdr:rowOff>0</xdr:rowOff>
    </xdr:from>
    <xdr:to>
      <xdr:col>5</xdr:col>
      <xdr:colOff>304800</xdr:colOff>
      <xdr:row>2092</xdr:row>
      <xdr:rowOff>114300</xdr:rowOff>
    </xdr:to>
    <xdr:sp macro="" textlink="">
      <xdr:nvSpPr>
        <xdr:cNvPr id="2273" name="AutoShape 658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28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2093</xdr:row>
      <xdr:rowOff>0</xdr:rowOff>
    </xdr:from>
    <xdr:to>
      <xdr:col>4</xdr:col>
      <xdr:colOff>304800</xdr:colOff>
      <xdr:row>2094</xdr:row>
      <xdr:rowOff>114300</xdr:rowOff>
    </xdr:to>
    <xdr:sp macro="" textlink="">
      <xdr:nvSpPr>
        <xdr:cNvPr id="2274" name="AutoShape 65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67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2093</xdr:row>
      <xdr:rowOff>0</xdr:rowOff>
    </xdr:from>
    <xdr:to>
      <xdr:col>5</xdr:col>
      <xdr:colOff>304800</xdr:colOff>
      <xdr:row>2094</xdr:row>
      <xdr:rowOff>114300</xdr:rowOff>
    </xdr:to>
    <xdr:sp macro="" textlink="">
      <xdr:nvSpPr>
        <xdr:cNvPr id="2275" name="AutoShape 660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67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2095</xdr:row>
      <xdr:rowOff>0</xdr:rowOff>
    </xdr:from>
    <xdr:to>
      <xdr:col>4</xdr:col>
      <xdr:colOff>304800</xdr:colOff>
      <xdr:row>2096</xdr:row>
      <xdr:rowOff>152400</xdr:rowOff>
    </xdr:to>
    <xdr:sp macro="" textlink="">
      <xdr:nvSpPr>
        <xdr:cNvPr id="2276" name="AutoShape 661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0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2095</xdr:row>
      <xdr:rowOff>0</xdr:rowOff>
    </xdr:from>
    <xdr:to>
      <xdr:col>5</xdr:col>
      <xdr:colOff>304800</xdr:colOff>
      <xdr:row>2096</xdr:row>
      <xdr:rowOff>152400</xdr:rowOff>
    </xdr:to>
    <xdr:sp macro="" textlink="">
      <xdr:nvSpPr>
        <xdr:cNvPr id="2277" name="AutoShape 66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0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2097</xdr:row>
      <xdr:rowOff>0</xdr:rowOff>
    </xdr:from>
    <xdr:to>
      <xdr:col>4</xdr:col>
      <xdr:colOff>304800</xdr:colOff>
      <xdr:row>2098</xdr:row>
      <xdr:rowOff>76200</xdr:rowOff>
    </xdr:to>
    <xdr:sp macro="" textlink="">
      <xdr:nvSpPr>
        <xdr:cNvPr id="2278" name="AutoShape 66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45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2097</xdr:row>
      <xdr:rowOff>0</xdr:rowOff>
    </xdr:from>
    <xdr:to>
      <xdr:col>5</xdr:col>
      <xdr:colOff>304800</xdr:colOff>
      <xdr:row>2098</xdr:row>
      <xdr:rowOff>76200</xdr:rowOff>
    </xdr:to>
    <xdr:sp macro="" textlink="">
      <xdr:nvSpPr>
        <xdr:cNvPr id="2279" name="AutoShape 66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45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2099</xdr:row>
      <xdr:rowOff>0</xdr:rowOff>
    </xdr:from>
    <xdr:to>
      <xdr:col>4</xdr:col>
      <xdr:colOff>304800</xdr:colOff>
      <xdr:row>2100</xdr:row>
      <xdr:rowOff>114300</xdr:rowOff>
    </xdr:to>
    <xdr:sp macro="" textlink="">
      <xdr:nvSpPr>
        <xdr:cNvPr id="2280" name="AutoShape 665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2099</xdr:row>
      <xdr:rowOff>0</xdr:rowOff>
    </xdr:from>
    <xdr:to>
      <xdr:col>5</xdr:col>
      <xdr:colOff>304800</xdr:colOff>
      <xdr:row>2100</xdr:row>
      <xdr:rowOff>114300</xdr:rowOff>
    </xdr:to>
    <xdr:sp macro="" textlink="">
      <xdr:nvSpPr>
        <xdr:cNvPr id="2281" name="AutoShape 666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2101</xdr:row>
      <xdr:rowOff>0</xdr:rowOff>
    </xdr:from>
    <xdr:to>
      <xdr:col>4</xdr:col>
      <xdr:colOff>304800</xdr:colOff>
      <xdr:row>2102</xdr:row>
      <xdr:rowOff>114300</xdr:rowOff>
    </xdr:to>
    <xdr:sp macro="" textlink="">
      <xdr:nvSpPr>
        <xdr:cNvPr id="2282" name="AutoShape 66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27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2101</xdr:row>
      <xdr:rowOff>0</xdr:rowOff>
    </xdr:from>
    <xdr:to>
      <xdr:col>5</xdr:col>
      <xdr:colOff>304800</xdr:colOff>
      <xdr:row>2102</xdr:row>
      <xdr:rowOff>114300</xdr:rowOff>
    </xdr:to>
    <xdr:sp macro="" textlink="">
      <xdr:nvSpPr>
        <xdr:cNvPr id="2283" name="AutoShape 66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627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2103</xdr:row>
      <xdr:rowOff>0</xdr:rowOff>
    </xdr:from>
    <xdr:to>
      <xdr:col>4</xdr:col>
      <xdr:colOff>304800</xdr:colOff>
      <xdr:row>2104</xdr:row>
      <xdr:rowOff>114300</xdr:rowOff>
    </xdr:to>
    <xdr:sp macro="" textlink="">
      <xdr:nvSpPr>
        <xdr:cNvPr id="2284" name="AutoShape 66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2103</xdr:row>
      <xdr:rowOff>0</xdr:rowOff>
    </xdr:from>
    <xdr:to>
      <xdr:col>5</xdr:col>
      <xdr:colOff>304800</xdr:colOff>
      <xdr:row>2104</xdr:row>
      <xdr:rowOff>114300</xdr:rowOff>
    </xdr:to>
    <xdr:sp macro="" textlink="">
      <xdr:nvSpPr>
        <xdr:cNvPr id="2285" name="AutoShape 67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6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2105</xdr:row>
      <xdr:rowOff>0</xdr:rowOff>
    </xdr:from>
    <xdr:to>
      <xdr:col>4</xdr:col>
      <xdr:colOff>304800</xdr:colOff>
      <xdr:row>2106</xdr:row>
      <xdr:rowOff>114300</xdr:rowOff>
    </xdr:to>
    <xdr:sp macro="" textlink="">
      <xdr:nvSpPr>
        <xdr:cNvPr id="2286" name="AutoShape 671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0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2105</xdr:row>
      <xdr:rowOff>0</xdr:rowOff>
    </xdr:from>
    <xdr:to>
      <xdr:col>5</xdr:col>
      <xdr:colOff>304800</xdr:colOff>
      <xdr:row>2106</xdr:row>
      <xdr:rowOff>114300</xdr:rowOff>
    </xdr:to>
    <xdr:sp macro="" textlink="">
      <xdr:nvSpPr>
        <xdr:cNvPr id="2287" name="AutoShape 672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0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2107</xdr:row>
      <xdr:rowOff>0</xdr:rowOff>
    </xdr:from>
    <xdr:to>
      <xdr:col>4</xdr:col>
      <xdr:colOff>304800</xdr:colOff>
      <xdr:row>2108</xdr:row>
      <xdr:rowOff>114300</xdr:rowOff>
    </xdr:to>
    <xdr:sp macro="" textlink="">
      <xdr:nvSpPr>
        <xdr:cNvPr id="2288" name="AutoShape 67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2107</xdr:row>
      <xdr:rowOff>0</xdr:rowOff>
    </xdr:from>
    <xdr:to>
      <xdr:col>5</xdr:col>
      <xdr:colOff>304800</xdr:colOff>
      <xdr:row>2108</xdr:row>
      <xdr:rowOff>114300</xdr:rowOff>
    </xdr:to>
    <xdr:sp macro="" textlink="">
      <xdr:nvSpPr>
        <xdr:cNvPr id="2289" name="AutoShape 674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2109</xdr:row>
      <xdr:rowOff>0</xdr:rowOff>
    </xdr:from>
    <xdr:to>
      <xdr:col>4</xdr:col>
      <xdr:colOff>304800</xdr:colOff>
      <xdr:row>2110</xdr:row>
      <xdr:rowOff>114300</xdr:rowOff>
    </xdr:to>
    <xdr:sp macro="" textlink="">
      <xdr:nvSpPr>
        <xdr:cNvPr id="2290" name="AutoShape 675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83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2109</xdr:row>
      <xdr:rowOff>0</xdr:rowOff>
    </xdr:from>
    <xdr:to>
      <xdr:col>5</xdr:col>
      <xdr:colOff>304800</xdr:colOff>
      <xdr:row>2110</xdr:row>
      <xdr:rowOff>114300</xdr:rowOff>
    </xdr:to>
    <xdr:sp macro="" textlink="">
      <xdr:nvSpPr>
        <xdr:cNvPr id="2291" name="AutoShape 67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83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2111</xdr:row>
      <xdr:rowOff>0</xdr:rowOff>
    </xdr:from>
    <xdr:to>
      <xdr:col>4</xdr:col>
      <xdr:colOff>304800</xdr:colOff>
      <xdr:row>2112</xdr:row>
      <xdr:rowOff>76200</xdr:rowOff>
    </xdr:to>
    <xdr:sp macro="" textlink="">
      <xdr:nvSpPr>
        <xdr:cNvPr id="2292" name="AutoShape 67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22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2111</xdr:row>
      <xdr:rowOff>0</xdr:rowOff>
    </xdr:from>
    <xdr:to>
      <xdr:col>5</xdr:col>
      <xdr:colOff>304800</xdr:colOff>
      <xdr:row>2112</xdr:row>
      <xdr:rowOff>76200</xdr:rowOff>
    </xdr:to>
    <xdr:sp macro="" textlink="">
      <xdr:nvSpPr>
        <xdr:cNvPr id="2293" name="AutoShape 67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22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2113</xdr:row>
      <xdr:rowOff>0</xdr:rowOff>
    </xdr:from>
    <xdr:to>
      <xdr:col>4</xdr:col>
      <xdr:colOff>304800</xdr:colOff>
      <xdr:row>2114</xdr:row>
      <xdr:rowOff>76200</xdr:rowOff>
    </xdr:to>
    <xdr:sp macro="" textlink="">
      <xdr:nvSpPr>
        <xdr:cNvPr id="2294" name="AutoShape 679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6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2113</xdr:row>
      <xdr:rowOff>0</xdr:rowOff>
    </xdr:from>
    <xdr:to>
      <xdr:col>5</xdr:col>
      <xdr:colOff>304800</xdr:colOff>
      <xdr:row>2114</xdr:row>
      <xdr:rowOff>76200</xdr:rowOff>
    </xdr:to>
    <xdr:sp macro="" textlink="">
      <xdr:nvSpPr>
        <xdr:cNvPr id="2295" name="AutoShape 68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6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2115</xdr:row>
      <xdr:rowOff>0</xdr:rowOff>
    </xdr:from>
    <xdr:to>
      <xdr:col>4</xdr:col>
      <xdr:colOff>304800</xdr:colOff>
      <xdr:row>2116</xdr:row>
      <xdr:rowOff>114300</xdr:rowOff>
    </xdr:to>
    <xdr:sp macro="" textlink="">
      <xdr:nvSpPr>
        <xdr:cNvPr id="2296" name="AutoShape 68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08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2115</xdr:row>
      <xdr:rowOff>0</xdr:rowOff>
    </xdr:from>
    <xdr:to>
      <xdr:col>5</xdr:col>
      <xdr:colOff>304800</xdr:colOff>
      <xdr:row>2116</xdr:row>
      <xdr:rowOff>114300</xdr:rowOff>
    </xdr:to>
    <xdr:sp macro="" textlink="">
      <xdr:nvSpPr>
        <xdr:cNvPr id="2297" name="AutoShape 68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08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2117</xdr:row>
      <xdr:rowOff>0</xdr:rowOff>
    </xdr:from>
    <xdr:to>
      <xdr:col>4</xdr:col>
      <xdr:colOff>304800</xdr:colOff>
      <xdr:row>2118</xdr:row>
      <xdr:rowOff>114300</xdr:rowOff>
    </xdr:to>
    <xdr:sp macro="" textlink="">
      <xdr:nvSpPr>
        <xdr:cNvPr id="2298" name="AutoShape 68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47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2117</xdr:row>
      <xdr:rowOff>0</xdr:rowOff>
    </xdr:from>
    <xdr:to>
      <xdr:col>5</xdr:col>
      <xdr:colOff>304800</xdr:colOff>
      <xdr:row>2118</xdr:row>
      <xdr:rowOff>114300</xdr:rowOff>
    </xdr:to>
    <xdr:sp macro="" textlink="">
      <xdr:nvSpPr>
        <xdr:cNvPr id="2299" name="AutoShape 68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47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2119</xdr:row>
      <xdr:rowOff>0</xdr:rowOff>
    </xdr:from>
    <xdr:to>
      <xdr:col>4</xdr:col>
      <xdr:colOff>304800</xdr:colOff>
      <xdr:row>2120</xdr:row>
      <xdr:rowOff>114300</xdr:rowOff>
    </xdr:to>
    <xdr:sp macro="" textlink="">
      <xdr:nvSpPr>
        <xdr:cNvPr id="2300" name="AutoShape 68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86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2119</xdr:row>
      <xdr:rowOff>0</xdr:rowOff>
    </xdr:from>
    <xdr:to>
      <xdr:col>5</xdr:col>
      <xdr:colOff>304800</xdr:colOff>
      <xdr:row>2120</xdr:row>
      <xdr:rowOff>114300</xdr:rowOff>
    </xdr:to>
    <xdr:sp macro="" textlink="">
      <xdr:nvSpPr>
        <xdr:cNvPr id="2301" name="AutoShape 68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86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2121</xdr:row>
      <xdr:rowOff>0</xdr:rowOff>
    </xdr:from>
    <xdr:to>
      <xdr:col>4</xdr:col>
      <xdr:colOff>304800</xdr:colOff>
      <xdr:row>2122</xdr:row>
      <xdr:rowOff>114300</xdr:rowOff>
    </xdr:to>
    <xdr:sp macro="" textlink="">
      <xdr:nvSpPr>
        <xdr:cNvPr id="2302" name="AutoShape 68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025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2121</xdr:row>
      <xdr:rowOff>0</xdr:rowOff>
    </xdr:from>
    <xdr:to>
      <xdr:col>5</xdr:col>
      <xdr:colOff>304800</xdr:colOff>
      <xdr:row>2122</xdr:row>
      <xdr:rowOff>114300</xdr:rowOff>
    </xdr:to>
    <xdr:sp macro="" textlink="">
      <xdr:nvSpPr>
        <xdr:cNvPr id="2303" name="AutoShape 68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025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2123</xdr:row>
      <xdr:rowOff>0</xdr:rowOff>
    </xdr:from>
    <xdr:to>
      <xdr:col>4</xdr:col>
      <xdr:colOff>304800</xdr:colOff>
      <xdr:row>2124</xdr:row>
      <xdr:rowOff>114300</xdr:rowOff>
    </xdr:to>
    <xdr:sp macro="" textlink="">
      <xdr:nvSpPr>
        <xdr:cNvPr id="2304" name="AutoShape 68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064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2123</xdr:row>
      <xdr:rowOff>0</xdr:rowOff>
    </xdr:from>
    <xdr:to>
      <xdr:col>5</xdr:col>
      <xdr:colOff>304800</xdr:colOff>
      <xdr:row>2124</xdr:row>
      <xdr:rowOff>114300</xdr:rowOff>
    </xdr:to>
    <xdr:sp macro="" textlink="">
      <xdr:nvSpPr>
        <xdr:cNvPr id="2305" name="AutoShape 69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064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2125</xdr:row>
      <xdr:rowOff>0</xdr:rowOff>
    </xdr:from>
    <xdr:to>
      <xdr:col>4</xdr:col>
      <xdr:colOff>304800</xdr:colOff>
      <xdr:row>2126</xdr:row>
      <xdr:rowOff>114300</xdr:rowOff>
    </xdr:to>
    <xdr:sp macro="" textlink="">
      <xdr:nvSpPr>
        <xdr:cNvPr id="2306" name="AutoShape 69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03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2125</xdr:row>
      <xdr:rowOff>0</xdr:rowOff>
    </xdr:from>
    <xdr:to>
      <xdr:col>5</xdr:col>
      <xdr:colOff>304800</xdr:colOff>
      <xdr:row>2126</xdr:row>
      <xdr:rowOff>114300</xdr:rowOff>
    </xdr:to>
    <xdr:sp macro="" textlink="">
      <xdr:nvSpPr>
        <xdr:cNvPr id="2307" name="AutoShape 69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03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2127</xdr:row>
      <xdr:rowOff>0</xdr:rowOff>
    </xdr:from>
    <xdr:to>
      <xdr:col>4</xdr:col>
      <xdr:colOff>304800</xdr:colOff>
      <xdr:row>2128</xdr:row>
      <xdr:rowOff>114300</xdr:rowOff>
    </xdr:to>
    <xdr:sp macro="" textlink="">
      <xdr:nvSpPr>
        <xdr:cNvPr id="2308" name="AutoShape 69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42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2127</xdr:row>
      <xdr:rowOff>0</xdr:rowOff>
    </xdr:from>
    <xdr:to>
      <xdr:col>5</xdr:col>
      <xdr:colOff>304800</xdr:colOff>
      <xdr:row>2128</xdr:row>
      <xdr:rowOff>114300</xdr:rowOff>
    </xdr:to>
    <xdr:sp macro="" textlink="">
      <xdr:nvSpPr>
        <xdr:cNvPr id="2309" name="AutoShape 69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42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2129</xdr:row>
      <xdr:rowOff>0</xdr:rowOff>
    </xdr:from>
    <xdr:to>
      <xdr:col>4</xdr:col>
      <xdr:colOff>304800</xdr:colOff>
      <xdr:row>2130</xdr:row>
      <xdr:rowOff>152400</xdr:rowOff>
    </xdr:to>
    <xdr:sp macro="" textlink="">
      <xdr:nvSpPr>
        <xdr:cNvPr id="2310" name="AutoShape 695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2129</xdr:row>
      <xdr:rowOff>0</xdr:rowOff>
    </xdr:from>
    <xdr:to>
      <xdr:col>5</xdr:col>
      <xdr:colOff>304800</xdr:colOff>
      <xdr:row>2130</xdr:row>
      <xdr:rowOff>152400</xdr:rowOff>
    </xdr:to>
    <xdr:sp macro="" textlink="">
      <xdr:nvSpPr>
        <xdr:cNvPr id="2311" name="AutoShape 69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2131</xdr:row>
      <xdr:rowOff>0</xdr:rowOff>
    </xdr:from>
    <xdr:to>
      <xdr:col>4</xdr:col>
      <xdr:colOff>304800</xdr:colOff>
      <xdr:row>2132</xdr:row>
      <xdr:rowOff>114300</xdr:rowOff>
    </xdr:to>
    <xdr:sp macro="" textlink="">
      <xdr:nvSpPr>
        <xdr:cNvPr id="2312" name="AutoShape 69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20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2131</xdr:row>
      <xdr:rowOff>0</xdr:rowOff>
    </xdr:from>
    <xdr:to>
      <xdr:col>5</xdr:col>
      <xdr:colOff>304800</xdr:colOff>
      <xdr:row>2132</xdr:row>
      <xdr:rowOff>114300</xdr:rowOff>
    </xdr:to>
    <xdr:sp macro="" textlink="">
      <xdr:nvSpPr>
        <xdr:cNvPr id="2313" name="AutoShape 698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20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2133</xdr:row>
      <xdr:rowOff>0</xdr:rowOff>
    </xdr:from>
    <xdr:to>
      <xdr:col>4</xdr:col>
      <xdr:colOff>304800</xdr:colOff>
      <xdr:row>2134</xdr:row>
      <xdr:rowOff>114300</xdr:rowOff>
    </xdr:to>
    <xdr:sp macro="" textlink="">
      <xdr:nvSpPr>
        <xdr:cNvPr id="2314" name="AutoShape 699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2133</xdr:row>
      <xdr:rowOff>0</xdr:rowOff>
    </xdr:from>
    <xdr:to>
      <xdr:col>5</xdr:col>
      <xdr:colOff>304800</xdr:colOff>
      <xdr:row>2134</xdr:row>
      <xdr:rowOff>114300</xdr:rowOff>
    </xdr:to>
    <xdr:sp macro="" textlink="">
      <xdr:nvSpPr>
        <xdr:cNvPr id="2315" name="AutoShape 700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2135</xdr:row>
      <xdr:rowOff>0</xdr:rowOff>
    </xdr:from>
    <xdr:to>
      <xdr:col>4</xdr:col>
      <xdr:colOff>304800</xdr:colOff>
      <xdr:row>2136</xdr:row>
      <xdr:rowOff>114300</xdr:rowOff>
    </xdr:to>
    <xdr:sp macro="" textlink="">
      <xdr:nvSpPr>
        <xdr:cNvPr id="2316" name="AutoShape 701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98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2135</xdr:row>
      <xdr:rowOff>0</xdr:rowOff>
    </xdr:from>
    <xdr:to>
      <xdr:col>5</xdr:col>
      <xdr:colOff>304800</xdr:colOff>
      <xdr:row>2136</xdr:row>
      <xdr:rowOff>114300</xdr:rowOff>
    </xdr:to>
    <xdr:sp macro="" textlink="">
      <xdr:nvSpPr>
        <xdr:cNvPr id="2317" name="AutoShape 702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98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2137</xdr:row>
      <xdr:rowOff>0</xdr:rowOff>
    </xdr:from>
    <xdr:to>
      <xdr:col>4</xdr:col>
      <xdr:colOff>304800</xdr:colOff>
      <xdr:row>2138</xdr:row>
      <xdr:rowOff>114300</xdr:rowOff>
    </xdr:to>
    <xdr:sp macro="" textlink="">
      <xdr:nvSpPr>
        <xdr:cNvPr id="2318" name="AutoShape 70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337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2137</xdr:row>
      <xdr:rowOff>0</xdr:rowOff>
    </xdr:from>
    <xdr:to>
      <xdr:col>5</xdr:col>
      <xdr:colOff>304800</xdr:colOff>
      <xdr:row>2138</xdr:row>
      <xdr:rowOff>114300</xdr:rowOff>
    </xdr:to>
    <xdr:sp macro="" textlink="">
      <xdr:nvSpPr>
        <xdr:cNvPr id="2319" name="AutoShape 70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337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2139</xdr:row>
      <xdr:rowOff>0</xdr:rowOff>
    </xdr:from>
    <xdr:to>
      <xdr:col>4</xdr:col>
      <xdr:colOff>304800</xdr:colOff>
      <xdr:row>2140</xdr:row>
      <xdr:rowOff>114300</xdr:rowOff>
    </xdr:to>
    <xdr:sp macro="" textlink="">
      <xdr:nvSpPr>
        <xdr:cNvPr id="2320" name="AutoShape 70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37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2139</xdr:row>
      <xdr:rowOff>0</xdr:rowOff>
    </xdr:from>
    <xdr:to>
      <xdr:col>5</xdr:col>
      <xdr:colOff>304800</xdr:colOff>
      <xdr:row>2140</xdr:row>
      <xdr:rowOff>114300</xdr:rowOff>
    </xdr:to>
    <xdr:sp macro="" textlink="">
      <xdr:nvSpPr>
        <xdr:cNvPr id="2321" name="AutoShape 70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37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2141</xdr:row>
      <xdr:rowOff>0</xdr:rowOff>
    </xdr:from>
    <xdr:to>
      <xdr:col>4</xdr:col>
      <xdr:colOff>304800</xdr:colOff>
      <xdr:row>2142</xdr:row>
      <xdr:rowOff>152400</xdr:rowOff>
    </xdr:to>
    <xdr:sp macro="" textlink="">
      <xdr:nvSpPr>
        <xdr:cNvPr id="2322" name="AutoShape 707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15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2141</xdr:row>
      <xdr:rowOff>0</xdr:rowOff>
    </xdr:from>
    <xdr:to>
      <xdr:col>5</xdr:col>
      <xdr:colOff>304800</xdr:colOff>
      <xdr:row>2142</xdr:row>
      <xdr:rowOff>152400</xdr:rowOff>
    </xdr:to>
    <xdr:sp macro="" textlink="">
      <xdr:nvSpPr>
        <xdr:cNvPr id="2323" name="AutoShape 70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15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2143</xdr:row>
      <xdr:rowOff>0</xdr:rowOff>
    </xdr:from>
    <xdr:to>
      <xdr:col>4</xdr:col>
      <xdr:colOff>304800</xdr:colOff>
      <xdr:row>2144</xdr:row>
      <xdr:rowOff>76200</xdr:rowOff>
    </xdr:to>
    <xdr:sp macro="" textlink="">
      <xdr:nvSpPr>
        <xdr:cNvPr id="2324" name="AutoShape 709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54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2143</xdr:row>
      <xdr:rowOff>0</xdr:rowOff>
    </xdr:from>
    <xdr:to>
      <xdr:col>5</xdr:col>
      <xdr:colOff>304800</xdr:colOff>
      <xdr:row>2144</xdr:row>
      <xdr:rowOff>76200</xdr:rowOff>
    </xdr:to>
    <xdr:sp macro="" textlink="">
      <xdr:nvSpPr>
        <xdr:cNvPr id="2325" name="AutoShape 71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54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2145</xdr:row>
      <xdr:rowOff>0</xdr:rowOff>
    </xdr:from>
    <xdr:to>
      <xdr:col>4</xdr:col>
      <xdr:colOff>304800</xdr:colOff>
      <xdr:row>2146</xdr:row>
      <xdr:rowOff>114300</xdr:rowOff>
    </xdr:to>
    <xdr:sp macro="" textlink="">
      <xdr:nvSpPr>
        <xdr:cNvPr id="2326" name="AutoShape 711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97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2145</xdr:row>
      <xdr:rowOff>0</xdr:rowOff>
    </xdr:from>
    <xdr:to>
      <xdr:col>5</xdr:col>
      <xdr:colOff>304800</xdr:colOff>
      <xdr:row>2146</xdr:row>
      <xdr:rowOff>114300</xdr:rowOff>
    </xdr:to>
    <xdr:sp macro="" textlink="">
      <xdr:nvSpPr>
        <xdr:cNvPr id="2327" name="AutoShape 71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97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2147</xdr:row>
      <xdr:rowOff>0</xdr:rowOff>
    </xdr:from>
    <xdr:to>
      <xdr:col>4</xdr:col>
      <xdr:colOff>304800</xdr:colOff>
      <xdr:row>2148</xdr:row>
      <xdr:rowOff>152400</xdr:rowOff>
    </xdr:to>
    <xdr:sp macro="" textlink="">
      <xdr:nvSpPr>
        <xdr:cNvPr id="2328" name="AutoShape 71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536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2147</xdr:row>
      <xdr:rowOff>0</xdr:rowOff>
    </xdr:from>
    <xdr:to>
      <xdr:col>5</xdr:col>
      <xdr:colOff>304800</xdr:colOff>
      <xdr:row>2148</xdr:row>
      <xdr:rowOff>152400</xdr:rowOff>
    </xdr:to>
    <xdr:sp macro="" textlink="">
      <xdr:nvSpPr>
        <xdr:cNvPr id="2329" name="AutoShape 71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536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2149</xdr:row>
      <xdr:rowOff>0</xdr:rowOff>
    </xdr:from>
    <xdr:to>
      <xdr:col>4</xdr:col>
      <xdr:colOff>304800</xdr:colOff>
      <xdr:row>2150</xdr:row>
      <xdr:rowOff>114300</xdr:rowOff>
    </xdr:to>
    <xdr:sp macro="" textlink="">
      <xdr:nvSpPr>
        <xdr:cNvPr id="2330" name="AutoShape 71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575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2149</xdr:row>
      <xdr:rowOff>0</xdr:rowOff>
    </xdr:from>
    <xdr:to>
      <xdr:col>5</xdr:col>
      <xdr:colOff>304800</xdr:colOff>
      <xdr:row>2150</xdr:row>
      <xdr:rowOff>114300</xdr:rowOff>
    </xdr:to>
    <xdr:sp macro="" textlink="">
      <xdr:nvSpPr>
        <xdr:cNvPr id="2331" name="AutoShape 716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575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2151</xdr:row>
      <xdr:rowOff>0</xdr:rowOff>
    </xdr:from>
    <xdr:to>
      <xdr:col>4</xdr:col>
      <xdr:colOff>304800</xdr:colOff>
      <xdr:row>2152</xdr:row>
      <xdr:rowOff>152400</xdr:rowOff>
    </xdr:to>
    <xdr:sp macro="" textlink="">
      <xdr:nvSpPr>
        <xdr:cNvPr id="2332" name="AutoShape 717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14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2151</xdr:row>
      <xdr:rowOff>0</xdr:rowOff>
    </xdr:from>
    <xdr:to>
      <xdr:col>5</xdr:col>
      <xdr:colOff>304800</xdr:colOff>
      <xdr:row>2152</xdr:row>
      <xdr:rowOff>152400</xdr:rowOff>
    </xdr:to>
    <xdr:sp macro="" textlink="">
      <xdr:nvSpPr>
        <xdr:cNvPr id="2333" name="AutoShape 718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14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2153</xdr:row>
      <xdr:rowOff>0</xdr:rowOff>
    </xdr:from>
    <xdr:to>
      <xdr:col>4</xdr:col>
      <xdr:colOff>304800</xdr:colOff>
      <xdr:row>2154</xdr:row>
      <xdr:rowOff>76200</xdr:rowOff>
    </xdr:to>
    <xdr:sp macro="" textlink="">
      <xdr:nvSpPr>
        <xdr:cNvPr id="2334" name="AutoShape 719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54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2153</xdr:row>
      <xdr:rowOff>0</xdr:rowOff>
    </xdr:from>
    <xdr:to>
      <xdr:col>5</xdr:col>
      <xdr:colOff>304800</xdr:colOff>
      <xdr:row>2154</xdr:row>
      <xdr:rowOff>76200</xdr:rowOff>
    </xdr:to>
    <xdr:sp macro="" textlink="">
      <xdr:nvSpPr>
        <xdr:cNvPr id="2335" name="AutoShape 720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54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2155</xdr:row>
      <xdr:rowOff>0</xdr:rowOff>
    </xdr:from>
    <xdr:to>
      <xdr:col>4</xdr:col>
      <xdr:colOff>304800</xdr:colOff>
      <xdr:row>2156</xdr:row>
      <xdr:rowOff>114300</xdr:rowOff>
    </xdr:to>
    <xdr:sp macro="" textlink="">
      <xdr:nvSpPr>
        <xdr:cNvPr id="2336" name="AutoShape 721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9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2155</xdr:row>
      <xdr:rowOff>0</xdr:rowOff>
    </xdr:from>
    <xdr:to>
      <xdr:col>5</xdr:col>
      <xdr:colOff>304800</xdr:colOff>
      <xdr:row>2156</xdr:row>
      <xdr:rowOff>114300</xdr:rowOff>
    </xdr:to>
    <xdr:sp macro="" textlink="">
      <xdr:nvSpPr>
        <xdr:cNvPr id="2337" name="AutoShape 7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9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2157</xdr:row>
      <xdr:rowOff>0</xdr:rowOff>
    </xdr:from>
    <xdr:to>
      <xdr:col>4</xdr:col>
      <xdr:colOff>304800</xdr:colOff>
      <xdr:row>2158</xdr:row>
      <xdr:rowOff>114300</xdr:rowOff>
    </xdr:to>
    <xdr:sp macro="" textlink="">
      <xdr:nvSpPr>
        <xdr:cNvPr id="2338" name="AutoShape 72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735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2157</xdr:row>
      <xdr:rowOff>0</xdr:rowOff>
    </xdr:from>
    <xdr:to>
      <xdr:col>5</xdr:col>
      <xdr:colOff>304800</xdr:colOff>
      <xdr:row>2158</xdr:row>
      <xdr:rowOff>114300</xdr:rowOff>
    </xdr:to>
    <xdr:sp macro="" textlink="">
      <xdr:nvSpPr>
        <xdr:cNvPr id="2339" name="AutoShape 724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735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2159</xdr:row>
      <xdr:rowOff>0</xdr:rowOff>
    </xdr:from>
    <xdr:to>
      <xdr:col>4</xdr:col>
      <xdr:colOff>304800</xdr:colOff>
      <xdr:row>2160</xdr:row>
      <xdr:rowOff>76200</xdr:rowOff>
    </xdr:to>
    <xdr:sp macro="" textlink="">
      <xdr:nvSpPr>
        <xdr:cNvPr id="2340" name="AutoShape 725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77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2159</xdr:row>
      <xdr:rowOff>0</xdr:rowOff>
    </xdr:from>
    <xdr:to>
      <xdr:col>5</xdr:col>
      <xdr:colOff>304800</xdr:colOff>
      <xdr:row>2160</xdr:row>
      <xdr:rowOff>76200</xdr:rowOff>
    </xdr:to>
    <xdr:sp macro="" textlink="">
      <xdr:nvSpPr>
        <xdr:cNvPr id="2341" name="AutoShape 72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77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2161</xdr:row>
      <xdr:rowOff>0</xdr:rowOff>
    </xdr:from>
    <xdr:to>
      <xdr:col>4</xdr:col>
      <xdr:colOff>304800</xdr:colOff>
      <xdr:row>2162</xdr:row>
      <xdr:rowOff>114300</xdr:rowOff>
    </xdr:to>
    <xdr:sp macro="" textlink="">
      <xdr:nvSpPr>
        <xdr:cNvPr id="2342" name="AutoShape 72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1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2161</xdr:row>
      <xdr:rowOff>0</xdr:rowOff>
    </xdr:from>
    <xdr:to>
      <xdr:col>5</xdr:col>
      <xdr:colOff>304800</xdr:colOff>
      <xdr:row>2162</xdr:row>
      <xdr:rowOff>114300</xdr:rowOff>
    </xdr:to>
    <xdr:sp macro="" textlink="">
      <xdr:nvSpPr>
        <xdr:cNvPr id="2343" name="AutoShape 72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1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2163</xdr:row>
      <xdr:rowOff>0</xdr:rowOff>
    </xdr:from>
    <xdr:to>
      <xdr:col>4</xdr:col>
      <xdr:colOff>304800</xdr:colOff>
      <xdr:row>2164</xdr:row>
      <xdr:rowOff>114300</xdr:rowOff>
    </xdr:to>
    <xdr:sp macro="" textlink="">
      <xdr:nvSpPr>
        <xdr:cNvPr id="2344" name="AutoShape 72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56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2163</xdr:row>
      <xdr:rowOff>0</xdr:rowOff>
    </xdr:from>
    <xdr:to>
      <xdr:col>5</xdr:col>
      <xdr:colOff>304800</xdr:colOff>
      <xdr:row>2164</xdr:row>
      <xdr:rowOff>114300</xdr:rowOff>
    </xdr:to>
    <xdr:sp macro="" textlink="">
      <xdr:nvSpPr>
        <xdr:cNvPr id="2345" name="AutoShape 73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56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2165</xdr:row>
      <xdr:rowOff>0</xdr:rowOff>
    </xdr:from>
    <xdr:to>
      <xdr:col>4</xdr:col>
      <xdr:colOff>304800</xdr:colOff>
      <xdr:row>2166</xdr:row>
      <xdr:rowOff>114300</xdr:rowOff>
    </xdr:to>
    <xdr:sp macro="" textlink="">
      <xdr:nvSpPr>
        <xdr:cNvPr id="2346" name="AutoShape 73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95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2165</xdr:row>
      <xdr:rowOff>0</xdr:rowOff>
    </xdr:from>
    <xdr:to>
      <xdr:col>5</xdr:col>
      <xdr:colOff>304800</xdr:colOff>
      <xdr:row>2166</xdr:row>
      <xdr:rowOff>114300</xdr:rowOff>
    </xdr:to>
    <xdr:sp macro="" textlink="">
      <xdr:nvSpPr>
        <xdr:cNvPr id="2347" name="AutoShape 73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95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2167</xdr:row>
      <xdr:rowOff>0</xdr:rowOff>
    </xdr:from>
    <xdr:to>
      <xdr:col>4</xdr:col>
      <xdr:colOff>304800</xdr:colOff>
      <xdr:row>2168</xdr:row>
      <xdr:rowOff>114300</xdr:rowOff>
    </xdr:to>
    <xdr:sp macro="" textlink="">
      <xdr:nvSpPr>
        <xdr:cNvPr id="2348" name="AutoShape 73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35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2167</xdr:row>
      <xdr:rowOff>0</xdr:rowOff>
    </xdr:from>
    <xdr:to>
      <xdr:col>5</xdr:col>
      <xdr:colOff>304800</xdr:colOff>
      <xdr:row>2168</xdr:row>
      <xdr:rowOff>114300</xdr:rowOff>
    </xdr:to>
    <xdr:sp macro="" textlink="">
      <xdr:nvSpPr>
        <xdr:cNvPr id="2349" name="AutoShape 73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35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2169</xdr:row>
      <xdr:rowOff>0</xdr:rowOff>
    </xdr:from>
    <xdr:to>
      <xdr:col>4</xdr:col>
      <xdr:colOff>304800</xdr:colOff>
      <xdr:row>2170</xdr:row>
      <xdr:rowOff>152400</xdr:rowOff>
    </xdr:to>
    <xdr:sp macro="" textlink="">
      <xdr:nvSpPr>
        <xdr:cNvPr id="2350" name="AutoShape 735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7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2169</xdr:row>
      <xdr:rowOff>0</xdr:rowOff>
    </xdr:from>
    <xdr:to>
      <xdr:col>5</xdr:col>
      <xdr:colOff>304800</xdr:colOff>
      <xdr:row>2170</xdr:row>
      <xdr:rowOff>152400</xdr:rowOff>
    </xdr:to>
    <xdr:sp macro="" textlink="">
      <xdr:nvSpPr>
        <xdr:cNvPr id="2351" name="AutoShape 73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7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2171</xdr:row>
      <xdr:rowOff>0</xdr:rowOff>
    </xdr:from>
    <xdr:to>
      <xdr:col>4</xdr:col>
      <xdr:colOff>304800</xdr:colOff>
      <xdr:row>2172</xdr:row>
      <xdr:rowOff>152400</xdr:rowOff>
    </xdr:to>
    <xdr:sp macro="" textlink="">
      <xdr:nvSpPr>
        <xdr:cNvPr id="2352" name="AutoShape 73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1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2171</xdr:row>
      <xdr:rowOff>0</xdr:rowOff>
    </xdr:from>
    <xdr:to>
      <xdr:col>5</xdr:col>
      <xdr:colOff>304800</xdr:colOff>
      <xdr:row>2172</xdr:row>
      <xdr:rowOff>152400</xdr:rowOff>
    </xdr:to>
    <xdr:sp macro="" textlink="">
      <xdr:nvSpPr>
        <xdr:cNvPr id="2353" name="AutoShape 738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1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2173</xdr:row>
      <xdr:rowOff>0</xdr:rowOff>
    </xdr:from>
    <xdr:to>
      <xdr:col>4</xdr:col>
      <xdr:colOff>304800</xdr:colOff>
      <xdr:row>2174</xdr:row>
      <xdr:rowOff>114300</xdr:rowOff>
    </xdr:to>
    <xdr:sp macro="" textlink="">
      <xdr:nvSpPr>
        <xdr:cNvPr id="2354" name="AutoShape 7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52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2173</xdr:row>
      <xdr:rowOff>0</xdr:rowOff>
    </xdr:from>
    <xdr:to>
      <xdr:col>5</xdr:col>
      <xdr:colOff>304800</xdr:colOff>
      <xdr:row>2174</xdr:row>
      <xdr:rowOff>114300</xdr:rowOff>
    </xdr:to>
    <xdr:sp macro="" textlink="">
      <xdr:nvSpPr>
        <xdr:cNvPr id="2355" name="AutoShape 740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52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2175</xdr:row>
      <xdr:rowOff>0</xdr:rowOff>
    </xdr:from>
    <xdr:to>
      <xdr:col>4</xdr:col>
      <xdr:colOff>304800</xdr:colOff>
      <xdr:row>2176</xdr:row>
      <xdr:rowOff>76200</xdr:rowOff>
    </xdr:to>
    <xdr:sp macro="" textlink="">
      <xdr:nvSpPr>
        <xdr:cNvPr id="2356" name="AutoShape 74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9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2175</xdr:row>
      <xdr:rowOff>0</xdr:rowOff>
    </xdr:from>
    <xdr:to>
      <xdr:col>5</xdr:col>
      <xdr:colOff>304800</xdr:colOff>
      <xdr:row>2176</xdr:row>
      <xdr:rowOff>76200</xdr:rowOff>
    </xdr:to>
    <xdr:sp macro="" textlink="">
      <xdr:nvSpPr>
        <xdr:cNvPr id="2357" name="AutoShape 74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9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2177</xdr:row>
      <xdr:rowOff>0</xdr:rowOff>
    </xdr:from>
    <xdr:to>
      <xdr:col>4</xdr:col>
      <xdr:colOff>304800</xdr:colOff>
      <xdr:row>2178</xdr:row>
      <xdr:rowOff>114300</xdr:rowOff>
    </xdr:to>
    <xdr:sp macro="" textlink="">
      <xdr:nvSpPr>
        <xdr:cNvPr id="2358" name="AutoShape 74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134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2177</xdr:row>
      <xdr:rowOff>0</xdr:rowOff>
    </xdr:from>
    <xdr:to>
      <xdr:col>5</xdr:col>
      <xdr:colOff>304800</xdr:colOff>
      <xdr:row>2178</xdr:row>
      <xdr:rowOff>114300</xdr:rowOff>
    </xdr:to>
    <xdr:sp macro="" textlink="">
      <xdr:nvSpPr>
        <xdr:cNvPr id="2359" name="AutoShape 74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134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2179</xdr:row>
      <xdr:rowOff>0</xdr:rowOff>
    </xdr:from>
    <xdr:to>
      <xdr:col>4</xdr:col>
      <xdr:colOff>304800</xdr:colOff>
      <xdr:row>2180</xdr:row>
      <xdr:rowOff>114300</xdr:rowOff>
    </xdr:to>
    <xdr:sp macro="" textlink="">
      <xdr:nvSpPr>
        <xdr:cNvPr id="2360" name="AutoShape 745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173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2179</xdr:row>
      <xdr:rowOff>0</xdr:rowOff>
    </xdr:from>
    <xdr:to>
      <xdr:col>5</xdr:col>
      <xdr:colOff>304800</xdr:colOff>
      <xdr:row>2180</xdr:row>
      <xdr:rowOff>114300</xdr:rowOff>
    </xdr:to>
    <xdr:sp macro="" textlink="">
      <xdr:nvSpPr>
        <xdr:cNvPr id="2361" name="AutoShape 74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173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2181</xdr:row>
      <xdr:rowOff>0</xdr:rowOff>
    </xdr:from>
    <xdr:to>
      <xdr:col>4</xdr:col>
      <xdr:colOff>304800</xdr:colOff>
      <xdr:row>2182</xdr:row>
      <xdr:rowOff>114300</xdr:rowOff>
    </xdr:to>
    <xdr:sp macro="" textlink="">
      <xdr:nvSpPr>
        <xdr:cNvPr id="2362" name="AutoShape 74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12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2181</xdr:row>
      <xdr:rowOff>0</xdr:rowOff>
    </xdr:from>
    <xdr:to>
      <xdr:col>5</xdr:col>
      <xdr:colOff>304800</xdr:colOff>
      <xdr:row>2182</xdr:row>
      <xdr:rowOff>114300</xdr:rowOff>
    </xdr:to>
    <xdr:sp macro="" textlink="">
      <xdr:nvSpPr>
        <xdr:cNvPr id="2363" name="AutoShape 748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12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2183</xdr:row>
      <xdr:rowOff>0</xdr:rowOff>
    </xdr:from>
    <xdr:to>
      <xdr:col>4</xdr:col>
      <xdr:colOff>304800</xdr:colOff>
      <xdr:row>2184</xdr:row>
      <xdr:rowOff>114300</xdr:rowOff>
    </xdr:to>
    <xdr:sp macro="" textlink="">
      <xdr:nvSpPr>
        <xdr:cNvPr id="2364" name="AutoShape 74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51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2183</xdr:row>
      <xdr:rowOff>0</xdr:rowOff>
    </xdr:from>
    <xdr:to>
      <xdr:col>5</xdr:col>
      <xdr:colOff>304800</xdr:colOff>
      <xdr:row>2184</xdr:row>
      <xdr:rowOff>114300</xdr:rowOff>
    </xdr:to>
    <xdr:sp macro="" textlink="">
      <xdr:nvSpPr>
        <xdr:cNvPr id="2365" name="AutoShape 75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51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2185</xdr:row>
      <xdr:rowOff>0</xdr:rowOff>
    </xdr:from>
    <xdr:to>
      <xdr:col>4</xdr:col>
      <xdr:colOff>304800</xdr:colOff>
      <xdr:row>2186</xdr:row>
      <xdr:rowOff>114300</xdr:rowOff>
    </xdr:to>
    <xdr:sp macro="" textlink="">
      <xdr:nvSpPr>
        <xdr:cNvPr id="2366" name="AutoShape 75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90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2185</xdr:row>
      <xdr:rowOff>0</xdr:rowOff>
    </xdr:from>
    <xdr:to>
      <xdr:col>5</xdr:col>
      <xdr:colOff>304800</xdr:colOff>
      <xdr:row>2186</xdr:row>
      <xdr:rowOff>114300</xdr:rowOff>
    </xdr:to>
    <xdr:sp macro="" textlink="">
      <xdr:nvSpPr>
        <xdr:cNvPr id="2367" name="AutoShape 752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90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2187</xdr:row>
      <xdr:rowOff>0</xdr:rowOff>
    </xdr:from>
    <xdr:to>
      <xdr:col>4</xdr:col>
      <xdr:colOff>304800</xdr:colOff>
      <xdr:row>2188</xdr:row>
      <xdr:rowOff>114300</xdr:rowOff>
    </xdr:to>
    <xdr:sp macro="" textlink="">
      <xdr:nvSpPr>
        <xdr:cNvPr id="2368" name="AutoShape 75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329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2187</xdr:row>
      <xdr:rowOff>0</xdr:rowOff>
    </xdr:from>
    <xdr:to>
      <xdr:col>5</xdr:col>
      <xdr:colOff>304800</xdr:colOff>
      <xdr:row>2188</xdr:row>
      <xdr:rowOff>114300</xdr:rowOff>
    </xdr:to>
    <xdr:sp macro="" textlink="">
      <xdr:nvSpPr>
        <xdr:cNvPr id="2369" name="AutoShape 754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329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2189</xdr:row>
      <xdr:rowOff>0</xdr:rowOff>
    </xdr:from>
    <xdr:to>
      <xdr:col>4</xdr:col>
      <xdr:colOff>304800</xdr:colOff>
      <xdr:row>2190</xdr:row>
      <xdr:rowOff>76200</xdr:rowOff>
    </xdr:to>
    <xdr:sp macro="" textlink="">
      <xdr:nvSpPr>
        <xdr:cNvPr id="2370" name="AutoShape 75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36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2189</xdr:row>
      <xdr:rowOff>0</xdr:rowOff>
    </xdr:from>
    <xdr:to>
      <xdr:col>5</xdr:col>
      <xdr:colOff>304800</xdr:colOff>
      <xdr:row>2190</xdr:row>
      <xdr:rowOff>76200</xdr:rowOff>
    </xdr:to>
    <xdr:sp macro="" textlink="">
      <xdr:nvSpPr>
        <xdr:cNvPr id="2371" name="AutoShape 75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36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2191</xdr:row>
      <xdr:rowOff>0</xdr:rowOff>
    </xdr:from>
    <xdr:to>
      <xdr:col>4</xdr:col>
      <xdr:colOff>304800</xdr:colOff>
      <xdr:row>2192</xdr:row>
      <xdr:rowOff>114300</xdr:rowOff>
    </xdr:to>
    <xdr:sp macro="" textlink="">
      <xdr:nvSpPr>
        <xdr:cNvPr id="2372" name="AutoShape 757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11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2191</xdr:row>
      <xdr:rowOff>0</xdr:rowOff>
    </xdr:from>
    <xdr:to>
      <xdr:col>5</xdr:col>
      <xdr:colOff>304800</xdr:colOff>
      <xdr:row>2192</xdr:row>
      <xdr:rowOff>114300</xdr:rowOff>
    </xdr:to>
    <xdr:sp macro="" textlink="">
      <xdr:nvSpPr>
        <xdr:cNvPr id="2373" name="AutoShape 75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11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2193</xdr:row>
      <xdr:rowOff>0</xdr:rowOff>
    </xdr:from>
    <xdr:to>
      <xdr:col>4</xdr:col>
      <xdr:colOff>304800</xdr:colOff>
      <xdr:row>2194</xdr:row>
      <xdr:rowOff>152400</xdr:rowOff>
    </xdr:to>
    <xdr:sp macro="" textlink="">
      <xdr:nvSpPr>
        <xdr:cNvPr id="2374" name="AutoShape 75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5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2193</xdr:row>
      <xdr:rowOff>0</xdr:rowOff>
    </xdr:from>
    <xdr:to>
      <xdr:col>5</xdr:col>
      <xdr:colOff>304800</xdr:colOff>
      <xdr:row>2194</xdr:row>
      <xdr:rowOff>152400</xdr:rowOff>
    </xdr:to>
    <xdr:sp macro="" textlink="">
      <xdr:nvSpPr>
        <xdr:cNvPr id="2375" name="AutoShape 76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5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2195</xdr:row>
      <xdr:rowOff>0</xdr:rowOff>
    </xdr:from>
    <xdr:to>
      <xdr:col>4</xdr:col>
      <xdr:colOff>304800</xdr:colOff>
      <xdr:row>2196</xdr:row>
      <xdr:rowOff>114300</xdr:rowOff>
    </xdr:to>
    <xdr:sp macro="" textlink="">
      <xdr:nvSpPr>
        <xdr:cNvPr id="2376" name="AutoShape 76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2195</xdr:row>
      <xdr:rowOff>0</xdr:rowOff>
    </xdr:from>
    <xdr:to>
      <xdr:col>5</xdr:col>
      <xdr:colOff>304800</xdr:colOff>
      <xdr:row>2196</xdr:row>
      <xdr:rowOff>114300</xdr:rowOff>
    </xdr:to>
    <xdr:sp macro="" textlink="">
      <xdr:nvSpPr>
        <xdr:cNvPr id="2377" name="AutoShape 7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2197</xdr:row>
      <xdr:rowOff>0</xdr:rowOff>
    </xdr:from>
    <xdr:to>
      <xdr:col>4</xdr:col>
      <xdr:colOff>304800</xdr:colOff>
      <xdr:row>2198</xdr:row>
      <xdr:rowOff>114300</xdr:rowOff>
    </xdr:to>
    <xdr:sp macro="" textlink="">
      <xdr:nvSpPr>
        <xdr:cNvPr id="2378" name="AutoShape 763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528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2197</xdr:row>
      <xdr:rowOff>0</xdr:rowOff>
    </xdr:from>
    <xdr:to>
      <xdr:col>5</xdr:col>
      <xdr:colOff>304800</xdr:colOff>
      <xdr:row>2198</xdr:row>
      <xdr:rowOff>114300</xdr:rowOff>
    </xdr:to>
    <xdr:sp macro="" textlink="">
      <xdr:nvSpPr>
        <xdr:cNvPr id="2379" name="AutoShape 7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528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2199</xdr:row>
      <xdr:rowOff>0</xdr:rowOff>
    </xdr:from>
    <xdr:to>
      <xdr:col>4</xdr:col>
      <xdr:colOff>304800</xdr:colOff>
      <xdr:row>2200</xdr:row>
      <xdr:rowOff>114300</xdr:rowOff>
    </xdr:to>
    <xdr:sp macro="" textlink="">
      <xdr:nvSpPr>
        <xdr:cNvPr id="2380" name="AutoShape 765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56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2199</xdr:row>
      <xdr:rowOff>0</xdr:rowOff>
    </xdr:from>
    <xdr:to>
      <xdr:col>5</xdr:col>
      <xdr:colOff>304800</xdr:colOff>
      <xdr:row>2200</xdr:row>
      <xdr:rowOff>114300</xdr:rowOff>
    </xdr:to>
    <xdr:sp macro="" textlink="">
      <xdr:nvSpPr>
        <xdr:cNvPr id="2381" name="AutoShape 76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56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2201</xdr:row>
      <xdr:rowOff>0</xdr:rowOff>
    </xdr:from>
    <xdr:to>
      <xdr:col>4</xdr:col>
      <xdr:colOff>304800</xdr:colOff>
      <xdr:row>2202</xdr:row>
      <xdr:rowOff>76200</xdr:rowOff>
    </xdr:to>
    <xdr:sp macro="" textlink="">
      <xdr:nvSpPr>
        <xdr:cNvPr id="2382" name="AutoShape 767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2201</xdr:row>
      <xdr:rowOff>0</xdr:rowOff>
    </xdr:from>
    <xdr:to>
      <xdr:col>5</xdr:col>
      <xdr:colOff>304800</xdr:colOff>
      <xdr:row>2202</xdr:row>
      <xdr:rowOff>76200</xdr:rowOff>
    </xdr:to>
    <xdr:sp macro="" textlink="">
      <xdr:nvSpPr>
        <xdr:cNvPr id="2383" name="AutoShape 76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2203</xdr:row>
      <xdr:rowOff>0</xdr:rowOff>
    </xdr:from>
    <xdr:to>
      <xdr:col>4</xdr:col>
      <xdr:colOff>304800</xdr:colOff>
      <xdr:row>2204</xdr:row>
      <xdr:rowOff>152400</xdr:rowOff>
    </xdr:to>
    <xdr:sp macro="" textlink="">
      <xdr:nvSpPr>
        <xdr:cNvPr id="2384" name="AutoShape 76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49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2203</xdr:row>
      <xdr:rowOff>0</xdr:rowOff>
    </xdr:from>
    <xdr:to>
      <xdr:col>5</xdr:col>
      <xdr:colOff>304800</xdr:colOff>
      <xdr:row>2204</xdr:row>
      <xdr:rowOff>152400</xdr:rowOff>
    </xdr:to>
    <xdr:sp macro="" textlink="">
      <xdr:nvSpPr>
        <xdr:cNvPr id="2385" name="AutoShape 77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49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2205</xdr:row>
      <xdr:rowOff>0</xdr:rowOff>
    </xdr:from>
    <xdr:to>
      <xdr:col>4</xdr:col>
      <xdr:colOff>304800</xdr:colOff>
      <xdr:row>2206</xdr:row>
      <xdr:rowOff>76200</xdr:rowOff>
    </xdr:to>
    <xdr:sp macro="" textlink="">
      <xdr:nvSpPr>
        <xdr:cNvPr id="2386" name="AutoShape 771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88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2205</xdr:row>
      <xdr:rowOff>0</xdr:rowOff>
    </xdr:from>
    <xdr:to>
      <xdr:col>5</xdr:col>
      <xdr:colOff>304800</xdr:colOff>
      <xdr:row>2206</xdr:row>
      <xdr:rowOff>76200</xdr:rowOff>
    </xdr:to>
    <xdr:sp macro="" textlink="">
      <xdr:nvSpPr>
        <xdr:cNvPr id="2387" name="AutoShape 77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88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2207</xdr:row>
      <xdr:rowOff>0</xdr:rowOff>
    </xdr:from>
    <xdr:to>
      <xdr:col>4</xdr:col>
      <xdr:colOff>304800</xdr:colOff>
      <xdr:row>2208</xdr:row>
      <xdr:rowOff>114300</xdr:rowOff>
    </xdr:to>
    <xdr:sp macro="" textlink="">
      <xdr:nvSpPr>
        <xdr:cNvPr id="2388" name="AutoShape 77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731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2207</xdr:row>
      <xdr:rowOff>0</xdr:rowOff>
    </xdr:from>
    <xdr:to>
      <xdr:col>5</xdr:col>
      <xdr:colOff>304800</xdr:colOff>
      <xdr:row>2208</xdr:row>
      <xdr:rowOff>114300</xdr:rowOff>
    </xdr:to>
    <xdr:sp macro="" textlink="">
      <xdr:nvSpPr>
        <xdr:cNvPr id="2389" name="AutoShape 77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731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2209</xdr:row>
      <xdr:rowOff>0</xdr:rowOff>
    </xdr:from>
    <xdr:to>
      <xdr:col>4</xdr:col>
      <xdr:colOff>304800</xdr:colOff>
      <xdr:row>2210</xdr:row>
      <xdr:rowOff>152400</xdr:rowOff>
    </xdr:to>
    <xdr:sp macro="" textlink="">
      <xdr:nvSpPr>
        <xdr:cNvPr id="2390" name="AutoShape 77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77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2209</xdr:row>
      <xdr:rowOff>0</xdr:rowOff>
    </xdr:from>
    <xdr:to>
      <xdr:col>5</xdr:col>
      <xdr:colOff>304800</xdr:colOff>
      <xdr:row>2210</xdr:row>
      <xdr:rowOff>152400</xdr:rowOff>
    </xdr:to>
    <xdr:sp macro="" textlink="">
      <xdr:nvSpPr>
        <xdr:cNvPr id="2391" name="AutoShape 77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77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2211</xdr:row>
      <xdr:rowOff>0</xdr:rowOff>
    </xdr:from>
    <xdr:to>
      <xdr:col>4</xdr:col>
      <xdr:colOff>304800</xdr:colOff>
      <xdr:row>2212</xdr:row>
      <xdr:rowOff>114300</xdr:rowOff>
    </xdr:to>
    <xdr:sp macro="" textlink="">
      <xdr:nvSpPr>
        <xdr:cNvPr id="2392" name="AutoShape 77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09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2211</xdr:row>
      <xdr:rowOff>0</xdr:rowOff>
    </xdr:from>
    <xdr:to>
      <xdr:col>5</xdr:col>
      <xdr:colOff>304800</xdr:colOff>
      <xdr:row>2212</xdr:row>
      <xdr:rowOff>114300</xdr:rowOff>
    </xdr:to>
    <xdr:sp macro="" textlink="">
      <xdr:nvSpPr>
        <xdr:cNvPr id="2393" name="AutoShape 77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09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2213</xdr:row>
      <xdr:rowOff>0</xdr:rowOff>
    </xdr:from>
    <xdr:to>
      <xdr:col>4</xdr:col>
      <xdr:colOff>304800</xdr:colOff>
      <xdr:row>2214</xdr:row>
      <xdr:rowOff>114300</xdr:rowOff>
    </xdr:to>
    <xdr:sp macro="" textlink="">
      <xdr:nvSpPr>
        <xdr:cNvPr id="2394" name="AutoShape 779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48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2213</xdr:row>
      <xdr:rowOff>0</xdr:rowOff>
    </xdr:from>
    <xdr:to>
      <xdr:col>5</xdr:col>
      <xdr:colOff>304800</xdr:colOff>
      <xdr:row>2214</xdr:row>
      <xdr:rowOff>114300</xdr:rowOff>
    </xdr:to>
    <xdr:sp macro="" textlink="">
      <xdr:nvSpPr>
        <xdr:cNvPr id="2395" name="AutoShape 78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48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2215</xdr:row>
      <xdr:rowOff>0</xdr:rowOff>
    </xdr:from>
    <xdr:to>
      <xdr:col>4</xdr:col>
      <xdr:colOff>304800</xdr:colOff>
      <xdr:row>2216</xdr:row>
      <xdr:rowOff>114300</xdr:rowOff>
    </xdr:to>
    <xdr:sp macro="" textlink="">
      <xdr:nvSpPr>
        <xdr:cNvPr id="2396" name="AutoShape 78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87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2215</xdr:row>
      <xdr:rowOff>0</xdr:rowOff>
    </xdr:from>
    <xdr:to>
      <xdr:col>5</xdr:col>
      <xdr:colOff>304800</xdr:colOff>
      <xdr:row>2216</xdr:row>
      <xdr:rowOff>114300</xdr:rowOff>
    </xdr:to>
    <xdr:sp macro="" textlink="">
      <xdr:nvSpPr>
        <xdr:cNvPr id="2397" name="AutoShape 782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87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2217</xdr:row>
      <xdr:rowOff>0</xdr:rowOff>
    </xdr:from>
    <xdr:to>
      <xdr:col>4</xdr:col>
      <xdr:colOff>304800</xdr:colOff>
      <xdr:row>2218</xdr:row>
      <xdr:rowOff>114300</xdr:rowOff>
    </xdr:to>
    <xdr:sp macro="" textlink="">
      <xdr:nvSpPr>
        <xdr:cNvPr id="2398" name="AutoShape 78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926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2217</xdr:row>
      <xdr:rowOff>0</xdr:rowOff>
    </xdr:from>
    <xdr:to>
      <xdr:col>5</xdr:col>
      <xdr:colOff>304800</xdr:colOff>
      <xdr:row>2218</xdr:row>
      <xdr:rowOff>114300</xdr:rowOff>
    </xdr:to>
    <xdr:sp macro="" textlink="">
      <xdr:nvSpPr>
        <xdr:cNvPr id="2399" name="AutoShape 784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926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2219</xdr:row>
      <xdr:rowOff>0</xdr:rowOff>
    </xdr:from>
    <xdr:to>
      <xdr:col>4</xdr:col>
      <xdr:colOff>304800</xdr:colOff>
      <xdr:row>2220</xdr:row>
      <xdr:rowOff>114300</xdr:rowOff>
    </xdr:to>
    <xdr:sp macro="" textlink="">
      <xdr:nvSpPr>
        <xdr:cNvPr id="2400" name="AutoShape 78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965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2219</xdr:row>
      <xdr:rowOff>0</xdr:rowOff>
    </xdr:from>
    <xdr:to>
      <xdr:col>5</xdr:col>
      <xdr:colOff>304800</xdr:colOff>
      <xdr:row>2220</xdr:row>
      <xdr:rowOff>114300</xdr:rowOff>
    </xdr:to>
    <xdr:sp macro="" textlink="">
      <xdr:nvSpPr>
        <xdr:cNvPr id="2401" name="AutoShape 78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965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2221</xdr:row>
      <xdr:rowOff>0</xdr:rowOff>
    </xdr:from>
    <xdr:to>
      <xdr:col>4</xdr:col>
      <xdr:colOff>304800</xdr:colOff>
      <xdr:row>2222</xdr:row>
      <xdr:rowOff>152400</xdr:rowOff>
    </xdr:to>
    <xdr:sp macro="" textlink="">
      <xdr:nvSpPr>
        <xdr:cNvPr id="2402" name="AutoShape 78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0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2221</xdr:row>
      <xdr:rowOff>0</xdr:rowOff>
    </xdr:from>
    <xdr:to>
      <xdr:col>5</xdr:col>
      <xdr:colOff>304800</xdr:colOff>
      <xdr:row>2222</xdr:row>
      <xdr:rowOff>152400</xdr:rowOff>
    </xdr:to>
    <xdr:sp macro="" textlink="">
      <xdr:nvSpPr>
        <xdr:cNvPr id="2403" name="AutoShape 78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0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2223</xdr:row>
      <xdr:rowOff>0</xdr:rowOff>
    </xdr:from>
    <xdr:to>
      <xdr:col>4</xdr:col>
      <xdr:colOff>304800</xdr:colOff>
      <xdr:row>2224</xdr:row>
      <xdr:rowOff>114300</xdr:rowOff>
    </xdr:to>
    <xdr:sp macro="" textlink="">
      <xdr:nvSpPr>
        <xdr:cNvPr id="2404" name="AutoShape 789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2223</xdr:row>
      <xdr:rowOff>0</xdr:rowOff>
    </xdr:from>
    <xdr:to>
      <xdr:col>5</xdr:col>
      <xdr:colOff>304800</xdr:colOff>
      <xdr:row>2224</xdr:row>
      <xdr:rowOff>114300</xdr:rowOff>
    </xdr:to>
    <xdr:sp macro="" textlink="">
      <xdr:nvSpPr>
        <xdr:cNvPr id="2405" name="AutoShape 79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2225</xdr:row>
      <xdr:rowOff>0</xdr:rowOff>
    </xdr:from>
    <xdr:to>
      <xdr:col>4</xdr:col>
      <xdr:colOff>304800</xdr:colOff>
      <xdr:row>2226</xdr:row>
      <xdr:rowOff>114300</xdr:rowOff>
    </xdr:to>
    <xdr:sp macro="" textlink="">
      <xdr:nvSpPr>
        <xdr:cNvPr id="2406" name="AutoShape 79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82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2225</xdr:row>
      <xdr:rowOff>0</xdr:rowOff>
    </xdr:from>
    <xdr:to>
      <xdr:col>5</xdr:col>
      <xdr:colOff>304800</xdr:colOff>
      <xdr:row>2226</xdr:row>
      <xdr:rowOff>114300</xdr:rowOff>
    </xdr:to>
    <xdr:sp macro="" textlink="">
      <xdr:nvSpPr>
        <xdr:cNvPr id="2407" name="AutoShape 79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82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2227</xdr:row>
      <xdr:rowOff>0</xdr:rowOff>
    </xdr:from>
    <xdr:to>
      <xdr:col>4</xdr:col>
      <xdr:colOff>304800</xdr:colOff>
      <xdr:row>2228</xdr:row>
      <xdr:rowOff>114300</xdr:rowOff>
    </xdr:to>
    <xdr:sp macro="" textlink="">
      <xdr:nvSpPr>
        <xdr:cNvPr id="2408" name="AutoShape 793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21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2227</xdr:row>
      <xdr:rowOff>0</xdr:rowOff>
    </xdr:from>
    <xdr:to>
      <xdr:col>5</xdr:col>
      <xdr:colOff>304800</xdr:colOff>
      <xdr:row>2228</xdr:row>
      <xdr:rowOff>114300</xdr:rowOff>
    </xdr:to>
    <xdr:sp macro="" textlink="">
      <xdr:nvSpPr>
        <xdr:cNvPr id="2409" name="AutoShape 7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21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2229</xdr:row>
      <xdr:rowOff>0</xdr:rowOff>
    </xdr:from>
    <xdr:to>
      <xdr:col>4</xdr:col>
      <xdr:colOff>304800</xdr:colOff>
      <xdr:row>2230</xdr:row>
      <xdr:rowOff>114300</xdr:rowOff>
    </xdr:to>
    <xdr:sp macro="" textlink="">
      <xdr:nvSpPr>
        <xdr:cNvPr id="2410" name="AutoShape 79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60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2229</xdr:row>
      <xdr:rowOff>0</xdr:rowOff>
    </xdr:from>
    <xdr:to>
      <xdr:col>5</xdr:col>
      <xdr:colOff>304800</xdr:colOff>
      <xdr:row>2230</xdr:row>
      <xdr:rowOff>114300</xdr:rowOff>
    </xdr:to>
    <xdr:sp macro="" textlink="">
      <xdr:nvSpPr>
        <xdr:cNvPr id="2411" name="AutoShape 79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60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2231</xdr:row>
      <xdr:rowOff>0</xdr:rowOff>
    </xdr:from>
    <xdr:to>
      <xdr:col>4</xdr:col>
      <xdr:colOff>304800</xdr:colOff>
      <xdr:row>2232</xdr:row>
      <xdr:rowOff>114300</xdr:rowOff>
    </xdr:to>
    <xdr:sp macro="" textlink="">
      <xdr:nvSpPr>
        <xdr:cNvPr id="2412" name="AutoShape 797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99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2231</xdr:row>
      <xdr:rowOff>0</xdr:rowOff>
    </xdr:from>
    <xdr:to>
      <xdr:col>5</xdr:col>
      <xdr:colOff>304800</xdr:colOff>
      <xdr:row>2232</xdr:row>
      <xdr:rowOff>114300</xdr:rowOff>
    </xdr:to>
    <xdr:sp macro="" textlink="">
      <xdr:nvSpPr>
        <xdr:cNvPr id="2413" name="AutoShape 79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99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2233</xdr:row>
      <xdr:rowOff>0</xdr:rowOff>
    </xdr:from>
    <xdr:to>
      <xdr:col>4</xdr:col>
      <xdr:colOff>304800</xdr:colOff>
      <xdr:row>2234</xdr:row>
      <xdr:rowOff>152400</xdr:rowOff>
    </xdr:to>
    <xdr:sp macro="" textlink="">
      <xdr:nvSpPr>
        <xdr:cNvPr id="2414" name="AutoShape 79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39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2233</xdr:row>
      <xdr:rowOff>0</xdr:rowOff>
    </xdr:from>
    <xdr:to>
      <xdr:col>5</xdr:col>
      <xdr:colOff>304800</xdr:colOff>
      <xdr:row>2234</xdr:row>
      <xdr:rowOff>152400</xdr:rowOff>
    </xdr:to>
    <xdr:sp macro="" textlink="">
      <xdr:nvSpPr>
        <xdr:cNvPr id="2415" name="AutoShape 80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39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2235</xdr:row>
      <xdr:rowOff>0</xdr:rowOff>
    </xdr:from>
    <xdr:to>
      <xdr:col>4</xdr:col>
      <xdr:colOff>304800</xdr:colOff>
      <xdr:row>2236</xdr:row>
      <xdr:rowOff>114300</xdr:rowOff>
    </xdr:to>
    <xdr:sp macro="" textlink="">
      <xdr:nvSpPr>
        <xdr:cNvPr id="2416" name="AutoShape 801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78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2235</xdr:row>
      <xdr:rowOff>0</xdr:rowOff>
    </xdr:from>
    <xdr:to>
      <xdr:col>5</xdr:col>
      <xdr:colOff>304800</xdr:colOff>
      <xdr:row>2236</xdr:row>
      <xdr:rowOff>114300</xdr:rowOff>
    </xdr:to>
    <xdr:sp macro="" textlink="">
      <xdr:nvSpPr>
        <xdr:cNvPr id="2417" name="AutoShape 802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78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2237</xdr:row>
      <xdr:rowOff>0</xdr:rowOff>
    </xdr:from>
    <xdr:to>
      <xdr:col>4</xdr:col>
      <xdr:colOff>304800</xdr:colOff>
      <xdr:row>2238</xdr:row>
      <xdr:rowOff>114300</xdr:rowOff>
    </xdr:to>
    <xdr:sp macro="" textlink="">
      <xdr:nvSpPr>
        <xdr:cNvPr id="2418" name="AutoShape 80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17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2237</xdr:row>
      <xdr:rowOff>0</xdr:rowOff>
    </xdr:from>
    <xdr:to>
      <xdr:col>5</xdr:col>
      <xdr:colOff>304800</xdr:colOff>
      <xdr:row>2238</xdr:row>
      <xdr:rowOff>114300</xdr:rowOff>
    </xdr:to>
    <xdr:sp macro="" textlink="">
      <xdr:nvSpPr>
        <xdr:cNvPr id="2419" name="AutoShape 80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17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2239</xdr:row>
      <xdr:rowOff>0</xdr:rowOff>
    </xdr:from>
    <xdr:to>
      <xdr:col>4</xdr:col>
      <xdr:colOff>304800</xdr:colOff>
      <xdr:row>2240</xdr:row>
      <xdr:rowOff>114300</xdr:rowOff>
    </xdr:to>
    <xdr:sp macro="" textlink="">
      <xdr:nvSpPr>
        <xdr:cNvPr id="2420" name="AutoShape 80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5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2239</xdr:row>
      <xdr:rowOff>0</xdr:rowOff>
    </xdr:from>
    <xdr:to>
      <xdr:col>5</xdr:col>
      <xdr:colOff>304800</xdr:colOff>
      <xdr:row>2240</xdr:row>
      <xdr:rowOff>114300</xdr:rowOff>
    </xdr:to>
    <xdr:sp macro="" textlink="">
      <xdr:nvSpPr>
        <xdr:cNvPr id="2421" name="AutoShape 80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5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2241</xdr:row>
      <xdr:rowOff>0</xdr:rowOff>
    </xdr:from>
    <xdr:to>
      <xdr:col>4</xdr:col>
      <xdr:colOff>304800</xdr:colOff>
      <xdr:row>2242</xdr:row>
      <xdr:rowOff>114300</xdr:rowOff>
    </xdr:to>
    <xdr:sp macro="" textlink="">
      <xdr:nvSpPr>
        <xdr:cNvPr id="2422" name="AutoShape 80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95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2241</xdr:row>
      <xdr:rowOff>0</xdr:rowOff>
    </xdr:from>
    <xdr:to>
      <xdr:col>5</xdr:col>
      <xdr:colOff>304800</xdr:colOff>
      <xdr:row>2242</xdr:row>
      <xdr:rowOff>114300</xdr:rowOff>
    </xdr:to>
    <xdr:sp macro="" textlink="">
      <xdr:nvSpPr>
        <xdr:cNvPr id="2423" name="AutoShape 808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95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2243</xdr:row>
      <xdr:rowOff>0</xdr:rowOff>
    </xdr:from>
    <xdr:to>
      <xdr:col>4</xdr:col>
      <xdr:colOff>304800</xdr:colOff>
      <xdr:row>2244</xdr:row>
      <xdr:rowOff>114300</xdr:rowOff>
    </xdr:to>
    <xdr:sp macro="" textlink="">
      <xdr:nvSpPr>
        <xdr:cNvPr id="2424" name="AutoShape 80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434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2243</xdr:row>
      <xdr:rowOff>0</xdr:rowOff>
    </xdr:from>
    <xdr:to>
      <xdr:col>5</xdr:col>
      <xdr:colOff>304800</xdr:colOff>
      <xdr:row>2244</xdr:row>
      <xdr:rowOff>114300</xdr:rowOff>
    </xdr:to>
    <xdr:sp macro="" textlink="">
      <xdr:nvSpPr>
        <xdr:cNvPr id="2425" name="AutoShape 81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434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2245</xdr:row>
      <xdr:rowOff>0</xdr:rowOff>
    </xdr:from>
    <xdr:to>
      <xdr:col>4</xdr:col>
      <xdr:colOff>304800</xdr:colOff>
      <xdr:row>2246</xdr:row>
      <xdr:rowOff>114300</xdr:rowOff>
    </xdr:to>
    <xdr:sp macro="" textlink="">
      <xdr:nvSpPr>
        <xdr:cNvPr id="2426" name="AutoShape 811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473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2245</xdr:row>
      <xdr:rowOff>0</xdr:rowOff>
    </xdr:from>
    <xdr:to>
      <xdr:col>5</xdr:col>
      <xdr:colOff>304800</xdr:colOff>
      <xdr:row>2246</xdr:row>
      <xdr:rowOff>114300</xdr:rowOff>
    </xdr:to>
    <xdr:sp macro="" textlink="">
      <xdr:nvSpPr>
        <xdr:cNvPr id="2427" name="AutoShape 8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473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2247</xdr:row>
      <xdr:rowOff>0</xdr:rowOff>
    </xdr:from>
    <xdr:to>
      <xdr:col>4</xdr:col>
      <xdr:colOff>304800</xdr:colOff>
      <xdr:row>2248</xdr:row>
      <xdr:rowOff>114300</xdr:rowOff>
    </xdr:to>
    <xdr:sp macro="" textlink="">
      <xdr:nvSpPr>
        <xdr:cNvPr id="2428" name="AutoShape 8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1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2247</xdr:row>
      <xdr:rowOff>0</xdr:rowOff>
    </xdr:from>
    <xdr:to>
      <xdr:col>5</xdr:col>
      <xdr:colOff>304800</xdr:colOff>
      <xdr:row>2248</xdr:row>
      <xdr:rowOff>114300</xdr:rowOff>
    </xdr:to>
    <xdr:sp macro="" textlink="">
      <xdr:nvSpPr>
        <xdr:cNvPr id="2429" name="AutoShape 81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1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2249</xdr:row>
      <xdr:rowOff>0</xdr:rowOff>
    </xdr:from>
    <xdr:to>
      <xdr:col>4</xdr:col>
      <xdr:colOff>304800</xdr:colOff>
      <xdr:row>2250</xdr:row>
      <xdr:rowOff>114300</xdr:rowOff>
    </xdr:to>
    <xdr:sp macro="" textlink="">
      <xdr:nvSpPr>
        <xdr:cNvPr id="2430" name="AutoShape 81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2249</xdr:row>
      <xdr:rowOff>0</xdr:rowOff>
    </xdr:from>
    <xdr:to>
      <xdr:col>5</xdr:col>
      <xdr:colOff>304800</xdr:colOff>
      <xdr:row>2250</xdr:row>
      <xdr:rowOff>114300</xdr:rowOff>
    </xdr:to>
    <xdr:sp macro="" textlink="">
      <xdr:nvSpPr>
        <xdr:cNvPr id="2431" name="AutoShape 816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2251</xdr:row>
      <xdr:rowOff>0</xdr:rowOff>
    </xdr:from>
    <xdr:to>
      <xdr:col>4</xdr:col>
      <xdr:colOff>304800</xdr:colOff>
      <xdr:row>2252</xdr:row>
      <xdr:rowOff>152400</xdr:rowOff>
    </xdr:to>
    <xdr:sp macro="" textlink="">
      <xdr:nvSpPr>
        <xdr:cNvPr id="2432" name="AutoShape 81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2251</xdr:row>
      <xdr:rowOff>0</xdr:rowOff>
    </xdr:from>
    <xdr:to>
      <xdr:col>5</xdr:col>
      <xdr:colOff>304800</xdr:colOff>
      <xdr:row>2252</xdr:row>
      <xdr:rowOff>152400</xdr:rowOff>
    </xdr:to>
    <xdr:sp macro="" textlink="">
      <xdr:nvSpPr>
        <xdr:cNvPr id="2433" name="AutoShape 81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2253</xdr:row>
      <xdr:rowOff>0</xdr:rowOff>
    </xdr:from>
    <xdr:to>
      <xdr:col>4</xdr:col>
      <xdr:colOff>304800</xdr:colOff>
      <xdr:row>2254</xdr:row>
      <xdr:rowOff>114300</xdr:rowOff>
    </xdr:to>
    <xdr:sp macro="" textlink="">
      <xdr:nvSpPr>
        <xdr:cNvPr id="2434" name="AutoShape 81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2253</xdr:row>
      <xdr:rowOff>0</xdr:rowOff>
    </xdr:from>
    <xdr:to>
      <xdr:col>5</xdr:col>
      <xdr:colOff>304800</xdr:colOff>
      <xdr:row>2254</xdr:row>
      <xdr:rowOff>114300</xdr:rowOff>
    </xdr:to>
    <xdr:sp macro="" textlink="">
      <xdr:nvSpPr>
        <xdr:cNvPr id="2435" name="AutoShape 820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2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2255</xdr:row>
      <xdr:rowOff>0</xdr:rowOff>
    </xdr:from>
    <xdr:to>
      <xdr:col>4</xdr:col>
      <xdr:colOff>304800</xdr:colOff>
      <xdr:row>2256</xdr:row>
      <xdr:rowOff>114300</xdr:rowOff>
    </xdr:to>
    <xdr:sp macro="" textlink="">
      <xdr:nvSpPr>
        <xdr:cNvPr id="2436" name="AutoShape 82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6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2255</xdr:row>
      <xdr:rowOff>0</xdr:rowOff>
    </xdr:from>
    <xdr:to>
      <xdr:col>5</xdr:col>
      <xdr:colOff>304800</xdr:colOff>
      <xdr:row>2256</xdr:row>
      <xdr:rowOff>114300</xdr:rowOff>
    </xdr:to>
    <xdr:sp macro="" textlink="">
      <xdr:nvSpPr>
        <xdr:cNvPr id="2437" name="AutoShape 82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6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2257</xdr:row>
      <xdr:rowOff>0</xdr:rowOff>
    </xdr:from>
    <xdr:to>
      <xdr:col>4</xdr:col>
      <xdr:colOff>304800</xdr:colOff>
      <xdr:row>2258</xdr:row>
      <xdr:rowOff>114300</xdr:rowOff>
    </xdr:to>
    <xdr:sp macro="" textlink="">
      <xdr:nvSpPr>
        <xdr:cNvPr id="2438" name="AutoShape 823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2257</xdr:row>
      <xdr:rowOff>0</xdr:rowOff>
    </xdr:from>
    <xdr:to>
      <xdr:col>5</xdr:col>
      <xdr:colOff>304800</xdr:colOff>
      <xdr:row>2258</xdr:row>
      <xdr:rowOff>114300</xdr:rowOff>
    </xdr:to>
    <xdr:sp macro="" textlink="">
      <xdr:nvSpPr>
        <xdr:cNvPr id="2439" name="AutoShape 824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2259</xdr:row>
      <xdr:rowOff>0</xdr:rowOff>
    </xdr:from>
    <xdr:to>
      <xdr:col>4</xdr:col>
      <xdr:colOff>304800</xdr:colOff>
      <xdr:row>2260</xdr:row>
      <xdr:rowOff>76200</xdr:rowOff>
    </xdr:to>
    <xdr:sp macro="" textlink="">
      <xdr:nvSpPr>
        <xdr:cNvPr id="2440" name="AutoShape 825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46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2259</xdr:row>
      <xdr:rowOff>0</xdr:rowOff>
    </xdr:from>
    <xdr:to>
      <xdr:col>5</xdr:col>
      <xdr:colOff>304800</xdr:colOff>
      <xdr:row>2260</xdr:row>
      <xdr:rowOff>76200</xdr:rowOff>
    </xdr:to>
    <xdr:sp macro="" textlink="">
      <xdr:nvSpPr>
        <xdr:cNvPr id="2441" name="AutoShape 82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46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2261</xdr:row>
      <xdr:rowOff>0</xdr:rowOff>
    </xdr:from>
    <xdr:to>
      <xdr:col>4</xdr:col>
      <xdr:colOff>304800</xdr:colOff>
      <xdr:row>2262</xdr:row>
      <xdr:rowOff>114300</xdr:rowOff>
    </xdr:to>
    <xdr:sp macro="" textlink="">
      <xdr:nvSpPr>
        <xdr:cNvPr id="2442" name="AutoShape 8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89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2261</xdr:row>
      <xdr:rowOff>0</xdr:rowOff>
    </xdr:from>
    <xdr:to>
      <xdr:col>5</xdr:col>
      <xdr:colOff>304800</xdr:colOff>
      <xdr:row>2262</xdr:row>
      <xdr:rowOff>114300</xdr:rowOff>
    </xdr:to>
    <xdr:sp macro="" textlink="">
      <xdr:nvSpPr>
        <xdr:cNvPr id="2443" name="AutoShape 828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89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2263</xdr:row>
      <xdr:rowOff>0</xdr:rowOff>
    </xdr:from>
    <xdr:to>
      <xdr:col>4</xdr:col>
      <xdr:colOff>304800</xdr:colOff>
      <xdr:row>2264</xdr:row>
      <xdr:rowOff>114300</xdr:rowOff>
    </xdr:to>
    <xdr:sp macro="" textlink="">
      <xdr:nvSpPr>
        <xdr:cNvPr id="2444" name="AutoShape 829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828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2263</xdr:row>
      <xdr:rowOff>0</xdr:rowOff>
    </xdr:from>
    <xdr:to>
      <xdr:col>5</xdr:col>
      <xdr:colOff>304800</xdr:colOff>
      <xdr:row>2264</xdr:row>
      <xdr:rowOff>114300</xdr:rowOff>
    </xdr:to>
    <xdr:sp macro="" textlink="">
      <xdr:nvSpPr>
        <xdr:cNvPr id="2445" name="AutoShape 830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828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2265</xdr:row>
      <xdr:rowOff>0</xdr:rowOff>
    </xdr:from>
    <xdr:to>
      <xdr:col>4</xdr:col>
      <xdr:colOff>304800</xdr:colOff>
      <xdr:row>2266</xdr:row>
      <xdr:rowOff>114300</xdr:rowOff>
    </xdr:to>
    <xdr:sp macro="" textlink="">
      <xdr:nvSpPr>
        <xdr:cNvPr id="2446" name="AutoShape 83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86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2265</xdr:row>
      <xdr:rowOff>0</xdr:rowOff>
    </xdr:from>
    <xdr:to>
      <xdr:col>5</xdr:col>
      <xdr:colOff>304800</xdr:colOff>
      <xdr:row>2266</xdr:row>
      <xdr:rowOff>114300</xdr:rowOff>
    </xdr:to>
    <xdr:sp macro="" textlink="">
      <xdr:nvSpPr>
        <xdr:cNvPr id="2447" name="AutoShape 832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86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2267</xdr:row>
      <xdr:rowOff>0</xdr:rowOff>
    </xdr:from>
    <xdr:to>
      <xdr:col>4</xdr:col>
      <xdr:colOff>304800</xdr:colOff>
      <xdr:row>2268</xdr:row>
      <xdr:rowOff>152400</xdr:rowOff>
    </xdr:to>
    <xdr:sp macro="" textlink="">
      <xdr:nvSpPr>
        <xdr:cNvPr id="2448" name="AutoShape 83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0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2267</xdr:row>
      <xdr:rowOff>0</xdr:rowOff>
    </xdr:from>
    <xdr:to>
      <xdr:col>5</xdr:col>
      <xdr:colOff>304800</xdr:colOff>
      <xdr:row>2268</xdr:row>
      <xdr:rowOff>152400</xdr:rowOff>
    </xdr:to>
    <xdr:sp macro="" textlink="">
      <xdr:nvSpPr>
        <xdr:cNvPr id="2449" name="AutoShape 83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0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2269</xdr:row>
      <xdr:rowOff>0</xdr:rowOff>
    </xdr:from>
    <xdr:to>
      <xdr:col>4</xdr:col>
      <xdr:colOff>304800</xdr:colOff>
      <xdr:row>2270</xdr:row>
      <xdr:rowOff>152400</xdr:rowOff>
    </xdr:to>
    <xdr:sp macro="" textlink="">
      <xdr:nvSpPr>
        <xdr:cNvPr id="2450" name="AutoShape 83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45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2269</xdr:row>
      <xdr:rowOff>0</xdr:rowOff>
    </xdr:from>
    <xdr:to>
      <xdr:col>5</xdr:col>
      <xdr:colOff>304800</xdr:colOff>
      <xdr:row>2270</xdr:row>
      <xdr:rowOff>152400</xdr:rowOff>
    </xdr:to>
    <xdr:sp macro="" textlink="">
      <xdr:nvSpPr>
        <xdr:cNvPr id="2451" name="AutoShape 83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45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2271</xdr:row>
      <xdr:rowOff>0</xdr:rowOff>
    </xdr:from>
    <xdr:to>
      <xdr:col>4</xdr:col>
      <xdr:colOff>304800</xdr:colOff>
      <xdr:row>2272</xdr:row>
      <xdr:rowOff>114300</xdr:rowOff>
    </xdr:to>
    <xdr:sp macro="" textlink="">
      <xdr:nvSpPr>
        <xdr:cNvPr id="2452" name="AutoShape 83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84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2271</xdr:row>
      <xdr:rowOff>0</xdr:rowOff>
    </xdr:from>
    <xdr:to>
      <xdr:col>5</xdr:col>
      <xdr:colOff>304800</xdr:colOff>
      <xdr:row>2272</xdr:row>
      <xdr:rowOff>114300</xdr:rowOff>
    </xdr:to>
    <xdr:sp macro="" textlink="">
      <xdr:nvSpPr>
        <xdr:cNvPr id="2453" name="AutoShape 8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84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2273</xdr:row>
      <xdr:rowOff>0</xdr:rowOff>
    </xdr:from>
    <xdr:to>
      <xdr:col>4</xdr:col>
      <xdr:colOff>304800</xdr:colOff>
      <xdr:row>2274</xdr:row>
      <xdr:rowOff>114300</xdr:rowOff>
    </xdr:to>
    <xdr:sp macro="" textlink="">
      <xdr:nvSpPr>
        <xdr:cNvPr id="2454" name="AutoShape 839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2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2273</xdr:row>
      <xdr:rowOff>0</xdr:rowOff>
    </xdr:from>
    <xdr:to>
      <xdr:col>5</xdr:col>
      <xdr:colOff>304800</xdr:colOff>
      <xdr:row>2274</xdr:row>
      <xdr:rowOff>114300</xdr:rowOff>
    </xdr:to>
    <xdr:sp macro="" textlink="">
      <xdr:nvSpPr>
        <xdr:cNvPr id="2455" name="AutoShape 840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2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2275</xdr:row>
      <xdr:rowOff>0</xdr:rowOff>
    </xdr:from>
    <xdr:to>
      <xdr:col>4</xdr:col>
      <xdr:colOff>304800</xdr:colOff>
      <xdr:row>2276</xdr:row>
      <xdr:rowOff>114300</xdr:rowOff>
    </xdr:to>
    <xdr:sp macro="" textlink="">
      <xdr:nvSpPr>
        <xdr:cNvPr id="2456" name="AutoShape 8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6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2275</xdr:row>
      <xdr:rowOff>0</xdr:rowOff>
    </xdr:from>
    <xdr:to>
      <xdr:col>5</xdr:col>
      <xdr:colOff>304800</xdr:colOff>
      <xdr:row>2276</xdr:row>
      <xdr:rowOff>114300</xdr:rowOff>
    </xdr:to>
    <xdr:sp macro="" textlink="">
      <xdr:nvSpPr>
        <xdr:cNvPr id="2457" name="AutoShape 8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6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2277</xdr:row>
      <xdr:rowOff>0</xdr:rowOff>
    </xdr:from>
    <xdr:to>
      <xdr:col>4</xdr:col>
      <xdr:colOff>304800</xdr:colOff>
      <xdr:row>2278</xdr:row>
      <xdr:rowOff>152400</xdr:rowOff>
    </xdr:to>
    <xdr:sp macro="" textlink="">
      <xdr:nvSpPr>
        <xdr:cNvPr id="2458" name="AutoShape 84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2277</xdr:row>
      <xdr:rowOff>0</xdr:rowOff>
    </xdr:from>
    <xdr:to>
      <xdr:col>5</xdr:col>
      <xdr:colOff>304800</xdr:colOff>
      <xdr:row>2278</xdr:row>
      <xdr:rowOff>152400</xdr:rowOff>
    </xdr:to>
    <xdr:sp macro="" textlink="">
      <xdr:nvSpPr>
        <xdr:cNvPr id="2459" name="AutoShape 84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2279</xdr:row>
      <xdr:rowOff>0</xdr:rowOff>
    </xdr:from>
    <xdr:to>
      <xdr:col>4</xdr:col>
      <xdr:colOff>304800</xdr:colOff>
      <xdr:row>2280</xdr:row>
      <xdr:rowOff>76200</xdr:rowOff>
    </xdr:to>
    <xdr:sp macro="" textlink="">
      <xdr:nvSpPr>
        <xdr:cNvPr id="2460" name="AutoShape 845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41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2279</xdr:row>
      <xdr:rowOff>0</xdr:rowOff>
    </xdr:from>
    <xdr:to>
      <xdr:col>5</xdr:col>
      <xdr:colOff>304800</xdr:colOff>
      <xdr:row>2280</xdr:row>
      <xdr:rowOff>76200</xdr:rowOff>
    </xdr:to>
    <xdr:sp macro="" textlink="">
      <xdr:nvSpPr>
        <xdr:cNvPr id="2461" name="AutoShape 84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41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2281</xdr:row>
      <xdr:rowOff>0</xdr:rowOff>
    </xdr:from>
    <xdr:to>
      <xdr:col>4</xdr:col>
      <xdr:colOff>304800</xdr:colOff>
      <xdr:row>2282</xdr:row>
      <xdr:rowOff>114300</xdr:rowOff>
    </xdr:to>
    <xdr:sp macro="" textlink="">
      <xdr:nvSpPr>
        <xdr:cNvPr id="2462" name="AutoShape 847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8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2281</xdr:row>
      <xdr:rowOff>0</xdr:rowOff>
    </xdr:from>
    <xdr:to>
      <xdr:col>5</xdr:col>
      <xdr:colOff>304800</xdr:colOff>
      <xdr:row>2282</xdr:row>
      <xdr:rowOff>114300</xdr:rowOff>
    </xdr:to>
    <xdr:sp macro="" textlink="">
      <xdr:nvSpPr>
        <xdr:cNvPr id="2463" name="AutoShape 84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8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2283</xdr:row>
      <xdr:rowOff>0</xdr:rowOff>
    </xdr:from>
    <xdr:to>
      <xdr:col>4</xdr:col>
      <xdr:colOff>304800</xdr:colOff>
      <xdr:row>2284</xdr:row>
      <xdr:rowOff>114300</xdr:rowOff>
    </xdr:to>
    <xdr:sp macro="" textlink="">
      <xdr:nvSpPr>
        <xdr:cNvPr id="2464" name="AutoShape 8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222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2283</xdr:row>
      <xdr:rowOff>0</xdr:rowOff>
    </xdr:from>
    <xdr:to>
      <xdr:col>5</xdr:col>
      <xdr:colOff>304800</xdr:colOff>
      <xdr:row>2284</xdr:row>
      <xdr:rowOff>114300</xdr:rowOff>
    </xdr:to>
    <xdr:sp macro="" textlink="">
      <xdr:nvSpPr>
        <xdr:cNvPr id="2465" name="AutoShape 85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222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2285</xdr:row>
      <xdr:rowOff>0</xdr:rowOff>
    </xdr:from>
    <xdr:to>
      <xdr:col>4</xdr:col>
      <xdr:colOff>304800</xdr:colOff>
      <xdr:row>2286</xdr:row>
      <xdr:rowOff>114300</xdr:rowOff>
    </xdr:to>
    <xdr:sp macro="" textlink="">
      <xdr:nvSpPr>
        <xdr:cNvPr id="2466" name="AutoShape 851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261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2285</xdr:row>
      <xdr:rowOff>0</xdr:rowOff>
    </xdr:from>
    <xdr:to>
      <xdr:col>5</xdr:col>
      <xdr:colOff>304800</xdr:colOff>
      <xdr:row>2286</xdr:row>
      <xdr:rowOff>114300</xdr:rowOff>
    </xdr:to>
    <xdr:sp macro="" textlink="">
      <xdr:nvSpPr>
        <xdr:cNvPr id="2467" name="AutoShape 852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261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2287</xdr:row>
      <xdr:rowOff>0</xdr:rowOff>
    </xdr:from>
    <xdr:to>
      <xdr:col>4</xdr:col>
      <xdr:colOff>304800</xdr:colOff>
      <xdr:row>2288</xdr:row>
      <xdr:rowOff>152400</xdr:rowOff>
    </xdr:to>
    <xdr:sp macro="" textlink="">
      <xdr:nvSpPr>
        <xdr:cNvPr id="2468" name="AutoShape 85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04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2287</xdr:row>
      <xdr:rowOff>0</xdr:rowOff>
    </xdr:from>
    <xdr:to>
      <xdr:col>5</xdr:col>
      <xdr:colOff>304800</xdr:colOff>
      <xdr:row>2288</xdr:row>
      <xdr:rowOff>152400</xdr:rowOff>
    </xdr:to>
    <xdr:sp macro="" textlink="">
      <xdr:nvSpPr>
        <xdr:cNvPr id="2469" name="AutoShape 85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04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2289</xdr:row>
      <xdr:rowOff>0</xdr:rowOff>
    </xdr:from>
    <xdr:to>
      <xdr:col>4</xdr:col>
      <xdr:colOff>304800</xdr:colOff>
      <xdr:row>2290</xdr:row>
      <xdr:rowOff>114300</xdr:rowOff>
    </xdr:to>
    <xdr:sp macro="" textlink="">
      <xdr:nvSpPr>
        <xdr:cNvPr id="2470" name="AutoShape 85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4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2289</xdr:row>
      <xdr:rowOff>0</xdr:rowOff>
    </xdr:from>
    <xdr:to>
      <xdr:col>5</xdr:col>
      <xdr:colOff>304800</xdr:colOff>
      <xdr:row>2290</xdr:row>
      <xdr:rowOff>114300</xdr:rowOff>
    </xdr:to>
    <xdr:sp macro="" textlink="">
      <xdr:nvSpPr>
        <xdr:cNvPr id="2471" name="AutoShape 856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4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2291</xdr:row>
      <xdr:rowOff>0</xdr:rowOff>
    </xdr:from>
    <xdr:to>
      <xdr:col>4</xdr:col>
      <xdr:colOff>304800</xdr:colOff>
      <xdr:row>2292</xdr:row>
      <xdr:rowOff>114300</xdr:rowOff>
    </xdr:to>
    <xdr:sp macro="" textlink="">
      <xdr:nvSpPr>
        <xdr:cNvPr id="2472" name="AutoShape 85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8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2291</xdr:row>
      <xdr:rowOff>0</xdr:rowOff>
    </xdr:from>
    <xdr:to>
      <xdr:col>5</xdr:col>
      <xdr:colOff>304800</xdr:colOff>
      <xdr:row>2292</xdr:row>
      <xdr:rowOff>114300</xdr:rowOff>
    </xdr:to>
    <xdr:sp macro="" textlink="">
      <xdr:nvSpPr>
        <xdr:cNvPr id="2473" name="AutoShape 858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8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2293</xdr:row>
      <xdr:rowOff>0</xdr:rowOff>
    </xdr:from>
    <xdr:to>
      <xdr:col>4</xdr:col>
      <xdr:colOff>304800</xdr:colOff>
      <xdr:row>2294</xdr:row>
      <xdr:rowOff>114300</xdr:rowOff>
    </xdr:to>
    <xdr:sp macro="" textlink="">
      <xdr:nvSpPr>
        <xdr:cNvPr id="2474" name="AutoShape 85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2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2293</xdr:row>
      <xdr:rowOff>0</xdr:rowOff>
    </xdr:from>
    <xdr:to>
      <xdr:col>5</xdr:col>
      <xdr:colOff>304800</xdr:colOff>
      <xdr:row>2294</xdr:row>
      <xdr:rowOff>114300</xdr:rowOff>
    </xdr:to>
    <xdr:sp macro="" textlink="">
      <xdr:nvSpPr>
        <xdr:cNvPr id="2475" name="AutoShape 86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2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2295</xdr:row>
      <xdr:rowOff>0</xdr:rowOff>
    </xdr:from>
    <xdr:to>
      <xdr:col>4</xdr:col>
      <xdr:colOff>304800</xdr:colOff>
      <xdr:row>2296</xdr:row>
      <xdr:rowOff>114300</xdr:rowOff>
    </xdr:to>
    <xdr:sp macro="" textlink="">
      <xdr:nvSpPr>
        <xdr:cNvPr id="2476" name="AutoShape 86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64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2295</xdr:row>
      <xdr:rowOff>0</xdr:rowOff>
    </xdr:from>
    <xdr:to>
      <xdr:col>5</xdr:col>
      <xdr:colOff>304800</xdr:colOff>
      <xdr:row>2296</xdr:row>
      <xdr:rowOff>114300</xdr:rowOff>
    </xdr:to>
    <xdr:sp macro="" textlink="">
      <xdr:nvSpPr>
        <xdr:cNvPr id="2477" name="AutoShape 862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64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2297</xdr:row>
      <xdr:rowOff>0</xdr:rowOff>
    </xdr:from>
    <xdr:to>
      <xdr:col>4</xdr:col>
      <xdr:colOff>304800</xdr:colOff>
      <xdr:row>2298</xdr:row>
      <xdr:rowOff>114300</xdr:rowOff>
    </xdr:to>
    <xdr:sp macro="" textlink="">
      <xdr:nvSpPr>
        <xdr:cNvPr id="2478" name="AutoShape 86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50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2297</xdr:row>
      <xdr:rowOff>0</xdr:rowOff>
    </xdr:from>
    <xdr:to>
      <xdr:col>5</xdr:col>
      <xdr:colOff>304800</xdr:colOff>
      <xdr:row>2298</xdr:row>
      <xdr:rowOff>114300</xdr:rowOff>
    </xdr:to>
    <xdr:sp macro="" textlink="">
      <xdr:nvSpPr>
        <xdr:cNvPr id="2479" name="AutoShape 86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50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2299</xdr:row>
      <xdr:rowOff>0</xdr:rowOff>
    </xdr:from>
    <xdr:to>
      <xdr:col>4</xdr:col>
      <xdr:colOff>304800</xdr:colOff>
      <xdr:row>2300</xdr:row>
      <xdr:rowOff>123825</xdr:rowOff>
    </xdr:to>
    <xdr:sp macro="" textlink="">
      <xdr:nvSpPr>
        <xdr:cNvPr id="2480" name="AutoShape 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2299</xdr:row>
      <xdr:rowOff>0</xdr:rowOff>
    </xdr:from>
    <xdr:to>
      <xdr:col>5</xdr:col>
      <xdr:colOff>304800</xdr:colOff>
      <xdr:row>2300</xdr:row>
      <xdr:rowOff>123825</xdr:rowOff>
    </xdr:to>
    <xdr:sp macro="" textlink="">
      <xdr:nvSpPr>
        <xdr:cNvPr id="2481" name="AutoShape 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2301</xdr:row>
      <xdr:rowOff>0</xdr:rowOff>
    </xdr:from>
    <xdr:to>
      <xdr:col>4</xdr:col>
      <xdr:colOff>304800</xdr:colOff>
      <xdr:row>2302</xdr:row>
      <xdr:rowOff>123825</xdr:rowOff>
    </xdr:to>
    <xdr:sp macro="" textlink="">
      <xdr:nvSpPr>
        <xdr:cNvPr id="2482" name="AutoShape 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2301</xdr:row>
      <xdr:rowOff>0</xdr:rowOff>
    </xdr:from>
    <xdr:to>
      <xdr:col>5</xdr:col>
      <xdr:colOff>304800</xdr:colOff>
      <xdr:row>2302</xdr:row>
      <xdr:rowOff>123825</xdr:rowOff>
    </xdr:to>
    <xdr:sp macro="" textlink="">
      <xdr:nvSpPr>
        <xdr:cNvPr id="2483" name="AutoShape 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2303</xdr:row>
      <xdr:rowOff>0</xdr:rowOff>
    </xdr:from>
    <xdr:to>
      <xdr:col>4</xdr:col>
      <xdr:colOff>304800</xdr:colOff>
      <xdr:row>2304</xdr:row>
      <xdr:rowOff>180975</xdr:rowOff>
    </xdr:to>
    <xdr:sp macro="" textlink="">
      <xdr:nvSpPr>
        <xdr:cNvPr id="2484" name="AutoShape 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2303</xdr:row>
      <xdr:rowOff>0</xdr:rowOff>
    </xdr:from>
    <xdr:to>
      <xdr:col>5</xdr:col>
      <xdr:colOff>304800</xdr:colOff>
      <xdr:row>2304</xdr:row>
      <xdr:rowOff>180975</xdr:rowOff>
    </xdr:to>
    <xdr:sp macro="" textlink="">
      <xdr:nvSpPr>
        <xdr:cNvPr id="2485" name="AutoShape 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2305</xdr:row>
      <xdr:rowOff>0</xdr:rowOff>
    </xdr:from>
    <xdr:to>
      <xdr:col>4</xdr:col>
      <xdr:colOff>304800</xdr:colOff>
      <xdr:row>2307</xdr:row>
      <xdr:rowOff>0</xdr:rowOff>
    </xdr:to>
    <xdr:sp macro="" textlink="">
      <xdr:nvSpPr>
        <xdr:cNvPr id="2486" name="AutoShape 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2305</xdr:row>
      <xdr:rowOff>0</xdr:rowOff>
    </xdr:from>
    <xdr:to>
      <xdr:col>5</xdr:col>
      <xdr:colOff>304800</xdr:colOff>
      <xdr:row>2307</xdr:row>
      <xdr:rowOff>0</xdr:rowOff>
    </xdr:to>
    <xdr:sp macro="" textlink="">
      <xdr:nvSpPr>
        <xdr:cNvPr id="2487" name="AutoShape 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2307</xdr:row>
      <xdr:rowOff>0</xdr:rowOff>
    </xdr:from>
    <xdr:to>
      <xdr:col>4</xdr:col>
      <xdr:colOff>304800</xdr:colOff>
      <xdr:row>2308</xdr:row>
      <xdr:rowOff>123825</xdr:rowOff>
    </xdr:to>
    <xdr:sp macro="" textlink="">
      <xdr:nvSpPr>
        <xdr:cNvPr id="2488" name="AutoShape 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2307</xdr:row>
      <xdr:rowOff>0</xdr:rowOff>
    </xdr:from>
    <xdr:to>
      <xdr:col>5</xdr:col>
      <xdr:colOff>304800</xdr:colOff>
      <xdr:row>2308</xdr:row>
      <xdr:rowOff>123825</xdr:rowOff>
    </xdr:to>
    <xdr:sp macro="" textlink="">
      <xdr:nvSpPr>
        <xdr:cNvPr id="2489" name="AutoShape 1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2309</xdr:row>
      <xdr:rowOff>0</xdr:rowOff>
    </xdr:from>
    <xdr:to>
      <xdr:col>4</xdr:col>
      <xdr:colOff>304800</xdr:colOff>
      <xdr:row>2310</xdr:row>
      <xdr:rowOff>123825</xdr:rowOff>
    </xdr:to>
    <xdr:sp macro="" textlink="">
      <xdr:nvSpPr>
        <xdr:cNvPr id="2490" name="AutoShape 1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2309</xdr:row>
      <xdr:rowOff>0</xdr:rowOff>
    </xdr:from>
    <xdr:to>
      <xdr:col>5</xdr:col>
      <xdr:colOff>304800</xdr:colOff>
      <xdr:row>2310</xdr:row>
      <xdr:rowOff>123825</xdr:rowOff>
    </xdr:to>
    <xdr:sp macro="" textlink="">
      <xdr:nvSpPr>
        <xdr:cNvPr id="2491" name="AutoShape 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2311</xdr:row>
      <xdr:rowOff>0</xdr:rowOff>
    </xdr:from>
    <xdr:to>
      <xdr:col>4</xdr:col>
      <xdr:colOff>304800</xdr:colOff>
      <xdr:row>2313</xdr:row>
      <xdr:rowOff>123825</xdr:rowOff>
    </xdr:to>
    <xdr:sp macro="" textlink="">
      <xdr:nvSpPr>
        <xdr:cNvPr id="2492" name="AutoShape 13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2311</xdr:row>
      <xdr:rowOff>0</xdr:rowOff>
    </xdr:from>
    <xdr:to>
      <xdr:col>5</xdr:col>
      <xdr:colOff>304800</xdr:colOff>
      <xdr:row>2313</xdr:row>
      <xdr:rowOff>123825</xdr:rowOff>
    </xdr:to>
    <xdr:sp macro="" textlink="">
      <xdr:nvSpPr>
        <xdr:cNvPr id="2493" name="AutoShape 14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2313</xdr:row>
      <xdr:rowOff>0</xdr:rowOff>
    </xdr:from>
    <xdr:to>
      <xdr:col>4</xdr:col>
      <xdr:colOff>304800</xdr:colOff>
      <xdr:row>2314</xdr:row>
      <xdr:rowOff>85725</xdr:rowOff>
    </xdr:to>
    <xdr:sp macro="" textlink="">
      <xdr:nvSpPr>
        <xdr:cNvPr id="2494" name="AutoShape 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2313</xdr:row>
      <xdr:rowOff>0</xdr:rowOff>
    </xdr:from>
    <xdr:to>
      <xdr:col>5</xdr:col>
      <xdr:colOff>304800</xdr:colOff>
      <xdr:row>2314</xdr:row>
      <xdr:rowOff>85725</xdr:rowOff>
    </xdr:to>
    <xdr:sp macro="" textlink="">
      <xdr:nvSpPr>
        <xdr:cNvPr id="2495" name="AutoShape 1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2315</xdr:row>
      <xdr:rowOff>0</xdr:rowOff>
    </xdr:from>
    <xdr:to>
      <xdr:col>4</xdr:col>
      <xdr:colOff>304800</xdr:colOff>
      <xdr:row>2317</xdr:row>
      <xdr:rowOff>123825</xdr:rowOff>
    </xdr:to>
    <xdr:sp macro="" textlink="">
      <xdr:nvSpPr>
        <xdr:cNvPr id="2496" name="AutoShape 1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2315</xdr:row>
      <xdr:rowOff>0</xdr:rowOff>
    </xdr:from>
    <xdr:to>
      <xdr:col>5</xdr:col>
      <xdr:colOff>304800</xdr:colOff>
      <xdr:row>2317</xdr:row>
      <xdr:rowOff>123825</xdr:rowOff>
    </xdr:to>
    <xdr:sp macro="" textlink="">
      <xdr:nvSpPr>
        <xdr:cNvPr id="2497" name="AutoShape 1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2317</xdr:row>
      <xdr:rowOff>0</xdr:rowOff>
    </xdr:from>
    <xdr:to>
      <xdr:col>4</xdr:col>
      <xdr:colOff>304800</xdr:colOff>
      <xdr:row>2318</xdr:row>
      <xdr:rowOff>85725</xdr:rowOff>
    </xdr:to>
    <xdr:sp macro="" textlink="">
      <xdr:nvSpPr>
        <xdr:cNvPr id="2498" name="AutoShape 1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2317</xdr:row>
      <xdr:rowOff>0</xdr:rowOff>
    </xdr:from>
    <xdr:to>
      <xdr:col>5</xdr:col>
      <xdr:colOff>304800</xdr:colOff>
      <xdr:row>2318</xdr:row>
      <xdr:rowOff>85725</xdr:rowOff>
    </xdr:to>
    <xdr:sp macro="" textlink="">
      <xdr:nvSpPr>
        <xdr:cNvPr id="2499" name="AutoShape 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2319</xdr:row>
      <xdr:rowOff>0</xdr:rowOff>
    </xdr:from>
    <xdr:to>
      <xdr:col>4</xdr:col>
      <xdr:colOff>304800</xdr:colOff>
      <xdr:row>2320</xdr:row>
      <xdr:rowOff>123825</xdr:rowOff>
    </xdr:to>
    <xdr:sp macro="" textlink="">
      <xdr:nvSpPr>
        <xdr:cNvPr id="2500" name="AutoShape 2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2319</xdr:row>
      <xdr:rowOff>0</xdr:rowOff>
    </xdr:from>
    <xdr:to>
      <xdr:col>5</xdr:col>
      <xdr:colOff>304800</xdr:colOff>
      <xdr:row>2320</xdr:row>
      <xdr:rowOff>123825</xdr:rowOff>
    </xdr:to>
    <xdr:sp macro="" textlink="">
      <xdr:nvSpPr>
        <xdr:cNvPr id="2501" name="AutoShape 2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2321</xdr:row>
      <xdr:rowOff>0</xdr:rowOff>
    </xdr:from>
    <xdr:to>
      <xdr:col>4</xdr:col>
      <xdr:colOff>304800</xdr:colOff>
      <xdr:row>2322</xdr:row>
      <xdr:rowOff>123825</xdr:rowOff>
    </xdr:to>
    <xdr:sp macro="" textlink="">
      <xdr:nvSpPr>
        <xdr:cNvPr id="2502" name="AutoShape 2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2321</xdr:row>
      <xdr:rowOff>0</xdr:rowOff>
    </xdr:from>
    <xdr:to>
      <xdr:col>5</xdr:col>
      <xdr:colOff>304800</xdr:colOff>
      <xdr:row>2322</xdr:row>
      <xdr:rowOff>123825</xdr:rowOff>
    </xdr:to>
    <xdr:sp macro="" textlink="">
      <xdr:nvSpPr>
        <xdr:cNvPr id="2503" name="AutoShape 2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2323</xdr:row>
      <xdr:rowOff>0</xdr:rowOff>
    </xdr:from>
    <xdr:to>
      <xdr:col>4</xdr:col>
      <xdr:colOff>304800</xdr:colOff>
      <xdr:row>2324</xdr:row>
      <xdr:rowOff>123825</xdr:rowOff>
    </xdr:to>
    <xdr:sp macro="" textlink="">
      <xdr:nvSpPr>
        <xdr:cNvPr id="2504" name="AutoShape 2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2323</xdr:row>
      <xdr:rowOff>0</xdr:rowOff>
    </xdr:from>
    <xdr:to>
      <xdr:col>5</xdr:col>
      <xdr:colOff>304800</xdr:colOff>
      <xdr:row>2324</xdr:row>
      <xdr:rowOff>123825</xdr:rowOff>
    </xdr:to>
    <xdr:sp macro="" textlink="">
      <xdr:nvSpPr>
        <xdr:cNvPr id="2505" name="AutoShape 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2325</xdr:row>
      <xdr:rowOff>0</xdr:rowOff>
    </xdr:from>
    <xdr:to>
      <xdr:col>4</xdr:col>
      <xdr:colOff>304800</xdr:colOff>
      <xdr:row>2326</xdr:row>
      <xdr:rowOff>85725</xdr:rowOff>
    </xdr:to>
    <xdr:sp macro="" textlink="">
      <xdr:nvSpPr>
        <xdr:cNvPr id="2506" name="AutoShape 2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2325</xdr:row>
      <xdr:rowOff>0</xdr:rowOff>
    </xdr:from>
    <xdr:to>
      <xdr:col>5</xdr:col>
      <xdr:colOff>304800</xdr:colOff>
      <xdr:row>2326</xdr:row>
      <xdr:rowOff>85725</xdr:rowOff>
    </xdr:to>
    <xdr:sp macro="" textlink="">
      <xdr:nvSpPr>
        <xdr:cNvPr id="2507" name="AutoShape 28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2327</xdr:row>
      <xdr:rowOff>0</xdr:rowOff>
    </xdr:from>
    <xdr:to>
      <xdr:col>4</xdr:col>
      <xdr:colOff>304800</xdr:colOff>
      <xdr:row>2328</xdr:row>
      <xdr:rowOff>123825</xdr:rowOff>
    </xdr:to>
    <xdr:sp macro="" textlink="">
      <xdr:nvSpPr>
        <xdr:cNvPr id="2508" name="AutoShape 2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2327</xdr:row>
      <xdr:rowOff>0</xdr:rowOff>
    </xdr:from>
    <xdr:to>
      <xdr:col>5</xdr:col>
      <xdr:colOff>304800</xdr:colOff>
      <xdr:row>2328</xdr:row>
      <xdr:rowOff>123825</xdr:rowOff>
    </xdr:to>
    <xdr:sp macro="" textlink="">
      <xdr:nvSpPr>
        <xdr:cNvPr id="2509" name="AutoShape 3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2329</xdr:row>
      <xdr:rowOff>0</xdr:rowOff>
    </xdr:from>
    <xdr:to>
      <xdr:col>4</xdr:col>
      <xdr:colOff>304800</xdr:colOff>
      <xdr:row>2330</xdr:row>
      <xdr:rowOff>85725</xdr:rowOff>
    </xdr:to>
    <xdr:sp macro="" textlink="">
      <xdr:nvSpPr>
        <xdr:cNvPr id="2510" name="AutoShape 3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2329</xdr:row>
      <xdr:rowOff>0</xdr:rowOff>
    </xdr:from>
    <xdr:to>
      <xdr:col>5</xdr:col>
      <xdr:colOff>304800</xdr:colOff>
      <xdr:row>2330</xdr:row>
      <xdr:rowOff>85725</xdr:rowOff>
    </xdr:to>
    <xdr:sp macro="" textlink="">
      <xdr:nvSpPr>
        <xdr:cNvPr id="2511" name="AutoShape 3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2331</xdr:row>
      <xdr:rowOff>0</xdr:rowOff>
    </xdr:from>
    <xdr:to>
      <xdr:col>4</xdr:col>
      <xdr:colOff>304800</xdr:colOff>
      <xdr:row>2332</xdr:row>
      <xdr:rowOff>123825</xdr:rowOff>
    </xdr:to>
    <xdr:sp macro="" textlink="">
      <xdr:nvSpPr>
        <xdr:cNvPr id="2512" name="AutoShape 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2331</xdr:row>
      <xdr:rowOff>0</xdr:rowOff>
    </xdr:from>
    <xdr:to>
      <xdr:col>5</xdr:col>
      <xdr:colOff>304800</xdr:colOff>
      <xdr:row>2332</xdr:row>
      <xdr:rowOff>123825</xdr:rowOff>
    </xdr:to>
    <xdr:sp macro="" textlink="">
      <xdr:nvSpPr>
        <xdr:cNvPr id="2513" name="AutoShape 34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2333</xdr:row>
      <xdr:rowOff>0</xdr:rowOff>
    </xdr:from>
    <xdr:to>
      <xdr:col>4</xdr:col>
      <xdr:colOff>304800</xdr:colOff>
      <xdr:row>2334</xdr:row>
      <xdr:rowOff>123825</xdr:rowOff>
    </xdr:to>
    <xdr:sp macro="" textlink="">
      <xdr:nvSpPr>
        <xdr:cNvPr id="2514" name="AutoShape 3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2333</xdr:row>
      <xdr:rowOff>0</xdr:rowOff>
    </xdr:from>
    <xdr:to>
      <xdr:col>5</xdr:col>
      <xdr:colOff>304800</xdr:colOff>
      <xdr:row>2334</xdr:row>
      <xdr:rowOff>123825</xdr:rowOff>
    </xdr:to>
    <xdr:sp macro="" textlink="">
      <xdr:nvSpPr>
        <xdr:cNvPr id="2515" name="AutoShape 3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2335</xdr:row>
      <xdr:rowOff>0</xdr:rowOff>
    </xdr:from>
    <xdr:to>
      <xdr:col>4</xdr:col>
      <xdr:colOff>304800</xdr:colOff>
      <xdr:row>2336</xdr:row>
      <xdr:rowOff>123825</xdr:rowOff>
    </xdr:to>
    <xdr:sp macro="" textlink="">
      <xdr:nvSpPr>
        <xdr:cNvPr id="2516" name="AutoShape 3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2335</xdr:row>
      <xdr:rowOff>0</xdr:rowOff>
    </xdr:from>
    <xdr:to>
      <xdr:col>5</xdr:col>
      <xdr:colOff>304800</xdr:colOff>
      <xdr:row>2336</xdr:row>
      <xdr:rowOff>123825</xdr:rowOff>
    </xdr:to>
    <xdr:sp macro="" textlink="">
      <xdr:nvSpPr>
        <xdr:cNvPr id="2517" name="AutoShape 3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2337</xdr:row>
      <xdr:rowOff>0</xdr:rowOff>
    </xdr:from>
    <xdr:to>
      <xdr:col>4</xdr:col>
      <xdr:colOff>304800</xdr:colOff>
      <xdr:row>2338</xdr:row>
      <xdr:rowOff>123825</xdr:rowOff>
    </xdr:to>
    <xdr:sp macro="" textlink="">
      <xdr:nvSpPr>
        <xdr:cNvPr id="2518" name="AutoShape 3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2337</xdr:row>
      <xdr:rowOff>0</xdr:rowOff>
    </xdr:from>
    <xdr:to>
      <xdr:col>5</xdr:col>
      <xdr:colOff>304800</xdr:colOff>
      <xdr:row>2338</xdr:row>
      <xdr:rowOff>123825</xdr:rowOff>
    </xdr:to>
    <xdr:sp macro="" textlink="">
      <xdr:nvSpPr>
        <xdr:cNvPr id="2519" name="AutoShape 4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2339</xdr:row>
      <xdr:rowOff>0</xdr:rowOff>
    </xdr:from>
    <xdr:to>
      <xdr:col>4</xdr:col>
      <xdr:colOff>304800</xdr:colOff>
      <xdr:row>2340</xdr:row>
      <xdr:rowOff>123825</xdr:rowOff>
    </xdr:to>
    <xdr:sp macro="" textlink="">
      <xdr:nvSpPr>
        <xdr:cNvPr id="2520" name="AutoShape 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2339</xdr:row>
      <xdr:rowOff>0</xdr:rowOff>
    </xdr:from>
    <xdr:to>
      <xdr:col>5</xdr:col>
      <xdr:colOff>304800</xdr:colOff>
      <xdr:row>2340</xdr:row>
      <xdr:rowOff>123825</xdr:rowOff>
    </xdr:to>
    <xdr:sp macro="" textlink="">
      <xdr:nvSpPr>
        <xdr:cNvPr id="2521" name="AutoShape 4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2341</xdr:row>
      <xdr:rowOff>0</xdr:rowOff>
    </xdr:from>
    <xdr:to>
      <xdr:col>4</xdr:col>
      <xdr:colOff>304800</xdr:colOff>
      <xdr:row>2342</xdr:row>
      <xdr:rowOff>123825</xdr:rowOff>
    </xdr:to>
    <xdr:sp macro="" textlink="">
      <xdr:nvSpPr>
        <xdr:cNvPr id="2522" name="AutoShape 43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2341</xdr:row>
      <xdr:rowOff>0</xdr:rowOff>
    </xdr:from>
    <xdr:to>
      <xdr:col>5</xdr:col>
      <xdr:colOff>304800</xdr:colOff>
      <xdr:row>2342</xdr:row>
      <xdr:rowOff>123825</xdr:rowOff>
    </xdr:to>
    <xdr:sp macro="" textlink="">
      <xdr:nvSpPr>
        <xdr:cNvPr id="2523" name="AutoShape 4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2343</xdr:row>
      <xdr:rowOff>0</xdr:rowOff>
    </xdr:from>
    <xdr:to>
      <xdr:col>4</xdr:col>
      <xdr:colOff>304800</xdr:colOff>
      <xdr:row>2344</xdr:row>
      <xdr:rowOff>123825</xdr:rowOff>
    </xdr:to>
    <xdr:sp macro="" textlink="">
      <xdr:nvSpPr>
        <xdr:cNvPr id="2524" name="AutoShape 4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2343</xdr:row>
      <xdr:rowOff>0</xdr:rowOff>
    </xdr:from>
    <xdr:to>
      <xdr:col>5</xdr:col>
      <xdr:colOff>304800</xdr:colOff>
      <xdr:row>2344</xdr:row>
      <xdr:rowOff>123825</xdr:rowOff>
    </xdr:to>
    <xdr:sp macro="" textlink="">
      <xdr:nvSpPr>
        <xdr:cNvPr id="2525" name="AutoShape 4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2345</xdr:row>
      <xdr:rowOff>0</xdr:rowOff>
    </xdr:from>
    <xdr:to>
      <xdr:col>4</xdr:col>
      <xdr:colOff>304800</xdr:colOff>
      <xdr:row>2346</xdr:row>
      <xdr:rowOff>123825</xdr:rowOff>
    </xdr:to>
    <xdr:sp macro="" textlink="">
      <xdr:nvSpPr>
        <xdr:cNvPr id="2526" name="AutoShape 4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2345</xdr:row>
      <xdr:rowOff>0</xdr:rowOff>
    </xdr:from>
    <xdr:to>
      <xdr:col>5</xdr:col>
      <xdr:colOff>304800</xdr:colOff>
      <xdr:row>2346</xdr:row>
      <xdr:rowOff>123825</xdr:rowOff>
    </xdr:to>
    <xdr:sp macro="" textlink="">
      <xdr:nvSpPr>
        <xdr:cNvPr id="2527" name="AutoShape 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2347</xdr:row>
      <xdr:rowOff>0</xdr:rowOff>
    </xdr:from>
    <xdr:to>
      <xdr:col>4</xdr:col>
      <xdr:colOff>304800</xdr:colOff>
      <xdr:row>2349</xdr:row>
      <xdr:rowOff>123825</xdr:rowOff>
    </xdr:to>
    <xdr:sp macro="" textlink="">
      <xdr:nvSpPr>
        <xdr:cNvPr id="2528" name="AutoShape 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2347</xdr:row>
      <xdr:rowOff>0</xdr:rowOff>
    </xdr:from>
    <xdr:to>
      <xdr:col>5</xdr:col>
      <xdr:colOff>304800</xdr:colOff>
      <xdr:row>2349</xdr:row>
      <xdr:rowOff>123825</xdr:rowOff>
    </xdr:to>
    <xdr:sp macro="" textlink="">
      <xdr:nvSpPr>
        <xdr:cNvPr id="2529" name="AutoShape 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2349</xdr:row>
      <xdr:rowOff>0</xdr:rowOff>
    </xdr:from>
    <xdr:to>
      <xdr:col>4</xdr:col>
      <xdr:colOff>304800</xdr:colOff>
      <xdr:row>2350</xdr:row>
      <xdr:rowOff>123825</xdr:rowOff>
    </xdr:to>
    <xdr:sp macro="" textlink="">
      <xdr:nvSpPr>
        <xdr:cNvPr id="2530" name="AutoShape 5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2349</xdr:row>
      <xdr:rowOff>0</xdr:rowOff>
    </xdr:from>
    <xdr:to>
      <xdr:col>5</xdr:col>
      <xdr:colOff>304800</xdr:colOff>
      <xdr:row>2350</xdr:row>
      <xdr:rowOff>123825</xdr:rowOff>
    </xdr:to>
    <xdr:sp macro="" textlink="">
      <xdr:nvSpPr>
        <xdr:cNvPr id="2531" name="AutoShape 52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2351</xdr:row>
      <xdr:rowOff>0</xdr:rowOff>
    </xdr:from>
    <xdr:to>
      <xdr:col>4</xdr:col>
      <xdr:colOff>304800</xdr:colOff>
      <xdr:row>2352</xdr:row>
      <xdr:rowOff>123825</xdr:rowOff>
    </xdr:to>
    <xdr:sp macro="" textlink="">
      <xdr:nvSpPr>
        <xdr:cNvPr id="2532" name="AutoShape 5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2351</xdr:row>
      <xdr:rowOff>0</xdr:rowOff>
    </xdr:from>
    <xdr:to>
      <xdr:col>5</xdr:col>
      <xdr:colOff>304800</xdr:colOff>
      <xdr:row>2352</xdr:row>
      <xdr:rowOff>123825</xdr:rowOff>
    </xdr:to>
    <xdr:sp macro="" textlink="">
      <xdr:nvSpPr>
        <xdr:cNvPr id="2533" name="AutoShape 5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2353</xdr:row>
      <xdr:rowOff>0</xdr:rowOff>
    </xdr:from>
    <xdr:to>
      <xdr:col>4</xdr:col>
      <xdr:colOff>304800</xdr:colOff>
      <xdr:row>2354</xdr:row>
      <xdr:rowOff>123825</xdr:rowOff>
    </xdr:to>
    <xdr:sp macro="" textlink="">
      <xdr:nvSpPr>
        <xdr:cNvPr id="2534" name="AutoShape 5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2353</xdr:row>
      <xdr:rowOff>0</xdr:rowOff>
    </xdr:from>
    <xdr:to>
      <xdr:col>5</xdr:col>
      <xdr:colOff>304800</xdr:colOff>
      <xdr:row>2354</xdr:row>
      <xdr:rowOff>123825</xdr:rowOff>
    </xdr:to>
    <xdr:sp macro="" textlink="">
      <xdr:nvSpPr>
        <xdr:cNvPr id="2535" name="AutoShape 56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2355</xdr:row>
      <xdr:rowOff>0</xdr:rowOff>
    </xdr:from>
    <xdr:to>
      <xdr:col>4</xdr:col>
      <xdr:colOff>304800</xdr:colOff>
      <xdr:row>2356</xdr:row>
      <xdr:rowOff>123825</xdr:rowOff>
    </xdr:to>
    <xdr:sp macro="" textlink="">
      <xdr:nvSpPr>
        <xdr:cNvPr id="2536" name="AutoShape 57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2355</xdr:row>
      <xdr:rowOff>0</xdr:rowOff>
    </xdr:from>
    <xdr:to>
      <xdr:col>5</xdr:col>
      <xdr:colOff>304800</xdr:colOff>
      <xdr:row>2356</xdr:row>
      <xdr:rowOff>123825</xdr:rowOff>
    </xdr:to>
    <xdr:sp macro="" textlink="">
      <xdr:nvSpPr>
        <xdr:cNvPr id="2537" name="AutoShape 58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2357</xdr:row>
      <xdr:rowOff>0</xdr:rowOff>
    </xdr:from>
    <xdr:to>
      <xdr:col>4</xdr:col>
      <xdr:colOff>304800</xdr:colOff>
      <xdr:row>2358</xdr:row>
      <xdr:rowOff>123825</xdr:rowOff>
    </xdr:to>
    <xdr:sp macro="" textlink="">
      <xdr:nvSpPr>
        <xdr:cNvPr id="2538" name="AutoShape 5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2357</xdr:row>
      <xdr:rowOff>0</xdr:rowOff>
    </xdr:from>
    <xdr:to>
      <xdr:col>5</xdr:col>
      <xdr:colOff>304800</xdr:colOff>
      <xdr:row>2358</xdr:row>
      <xdr:rowOff>123825</xdr:rowOff>
    </xdr:to>
    <xdr:sp macro="" textlink="">
      <xdr:nvSpPr>
        <xdr:cNvPr id="2539" name="AutoShape 6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2359</xdr:row>
      <xdr:rowOff>0</xdr:rowOff>
    </xdr:from>
    <xdr:to>
      <xdr:col>4</xdr:col>
      <xdr:colOff>304800</xdr:colOff>
      <xdr:row>2360</xdr:row>
      <xdr:rowOff>123825</xdr:rowOff>
    </xdr:to>
    <xdr:sp macro="" textlink="">
      <xdr:nvSpPr>
        <xdr:cNvPr id="2540" name="AutoShape 6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2359</xdr:row>
      <xdr:rowOff>0</xdr:rowOff>
    </xdr:from>
    <xdr:to>
      <xdr:col>5</xdr:col>
      <xdr:colOff>304800</xdr:colOff>
      <xdr:row>2360</xdr:row>
      <xdr:rowOff>123825</xdr:rowOff>
    </xdr:to>
    <xdr:sp macro="" textlink="">
      <xdr:nvSpPr>
        <xdr:cNvPr id="2541" name="AutoShape 62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2361</xdr:row>
      <xdr:rowOff>0</xdr:rowOff>
    </xdr:from>
    <xdr:to>
      <xdr:col>4</xdr:col>
      <xdr:colOff>304800</xdr:colOff>
      <xdr:row>2362</xdr:row>
      <xdr:rowOff>123825</xdr:rowOff>
    </xdr:to>
    <xdr:sp macro="" textlink="">
      <xdr:nvSpPr>
        <xdr:cNvPr id="2542" name="AutoShape 6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2361</xdr:row>
      <xdr:rowOff>0</xdr:rowOff>
    </xdr:from>
    <xdr:to>
      <xdr:col>5</xdr:col>
      <xdr:colOff>304800</xdr:colOff>
      <xdr:row>2362</xdr:row>
      <xdr:rowOff>123825</xdr:rowOff>
    </xdr:to>
    <xdr:sp macro="" textlink="">
      <xdr:nvSpPr>
        <xdr:cNvPr id="2543" name="AutoShape 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2363</xdr:row>
      <xdr:rowOff>0</xdr:rowOff>
    </xdr:from>
    <xdr:to>
      <xdr:col>4</xdr:col>
      <xdr:colOff>304800</xdr:colOff>
      <xdr:row>2364</xdr:row>
      <xdr:rowOff>123825</xdr:rowOff>
    </xdr:to>
    <xdr:sp macro="" textlink="">
      <xdr:nvSpPr>
        <xdr:cNvPr id="2544" name="AutoShape 6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2363</xdr:row>
      <xdr:rowOff>0</xdr:rowOff>
    </xdr:from>
    <xdr:to>
      <xdr:col>5</xdr:col>
      <xdr:colOff>304800</xdr:colOff>
      <xdr:row>2364</xdr:row>
      <xdr:rowOff>123825</xdr:rowOff>
    </xdr:to>
    <xdr:sp macro="" textlink="">
      <xdr:nvSpPr>
        <xdr:cNvPr id="2545" name="AutoShape 6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2365</xdr:row>
      <xdr:rowOff>0</xdr:rowOff>
    </xdr:from>
    <xdr:to>
      <xdr:col>4</xdr:col>
      <xdr:colOff>304800</xdr:colOff>
      <xdr:row>2366</xdr:row>
      <xdr:rowOff>123825</xdr:rowOff>
    </xdr:to>
    <xdr:sp macro="" textlink="">
      <xdr:nvSpPr>
        <xdr:cNvPr id="2546" name="AutoShape 6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2365</xdr:row>
      <xdr:rowOff>0</xdr:rowOff>
    </xdr:from>
    <xdr:to>
      <xdr:col>5</xdr:col>
      <xdr:colOff>304800</xdr:colOff>
      <xdr:row>2366</xdr:row>
      <xdr:rowOff>123825</xdr:rowOff>
    </xdr:to>
    <xdr:sp macro="" textlink="">
      <xdr:nvSpPr>
        <xdr:cNvPr id="2547" name="AutoShape 6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2367</xdr:row>
      <xdr:rowOff>0</xdr:rowOff>
    </xdr:from>
    <xdr:to>
      <xdr:col>4</xdr:col>
      <xdr:colOff>304800</xdr:colOff>
      <xdr:row>2368</xdr:row>
      <xdr:rowOff>123825</xdr:rowOff>
    </xdr:to>
    <xdr:sp macro="" textlink="">
      <xdr:nvSpPr>
        <xdr:cNvPr id="2548" name="AutoShape 6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2367</xdr:row>
      <xdr:rowOff>0</xdr:rowOff>
    </xdr:from>
    <xdr:to>
      <xdr:col>5</xdr:col>
      <xdr:colOff>304800</xdr:colOff>
      <xdr:row>2368</xdr:row>
      <xdr:rowOff>123825</xdr:rowOff>
    </xdr:to>
    <xdr:sp macro="" textlink="">
      <xdr:nvSpPr>
        <xdr:cNvPr id="2549" name="AutoShape 7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2369</xdr:row>
      <xdr:rowOff>0</xdr:rowOff>
    </xdr:from>
    <xdr:to>
      <xdr:col>4</xdr:col>
      <xdr:colOff>304800</xdr:colOff>
      <xdr:row>2370</xdr:row>
      <xdr:rowOff>123825</xdr:rowOff>
    </xdr:to>
    <xdr:sp macro="" textlink="">
      <xdr:nvSpPr>
        <xdr:cNvPr id="2550" name="AutoShape 7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2369</xdr:row>
      <xdr:rowOff>0</xdr:rowOff>
    </xdr:from>
    <xdr:to>
      <xdr:col>5</xdr:col>
      <xdr:colOff>304800</xdr:colOff>
      <xdr:row>2370</xdr:row>
      <xdr:rowOff>123825</xdr:rowOff>
    </xdr:to>
    <xdr:sp macro="" textlink="">
      <xdr:nvSpPr>
        <xdr:cNvPr id="2551" name="AutoShape 7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2371</xdr:row>
      <xdr:rowOff>0</xdr:rowOff>
    </xdr:from>
    <xdr:to>
      <xdr:col>4</xdr:col>
      <xdr:colOff>304800</xdr:colOff>
      <xdr:row>2372</xdr:row>
      <xdr:rowOff>123825</xdr:rowOff>
    </xdr:to>
    <xdr:sp macro="" textlink="">
      <xdr:nvSpPr>
        <xdr:cNvPr id="2552" name="AutoShape 7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2371</xdr:row>
      <xdr:rowOff>0</xdr:rowOff>
    </xdr:from>
    <xdr:to>
      <xdr:col>5</xdr:col>
      <xdr:colOff>304800</xdr:colOff>
      <xdr:row>2372</xdr:row>
      <xdr:rowOff>123825</xdr:rowOff>
    </xdr:to>
    <xdr:sp macro="" textlink="">
      <xdr:nvSpPr>
        <xdr:cNvPr id="2553" name="AutoShape 7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2373</xdr:row>
      <xdr:rowOff>0</xdr:rowOff>
    </xdr:from>
    <xdr:to>
      <xdr:col>4</xdr:col>
      <xdr:colOff>304800</xdr:colOff>
      <xdr:row>2374</xdr:row>
      <xdr:rowOff>123825</xdr:rowOff>
    </xdr:to>
    <xdr:sp macro="" textlink="">
      <xdr:nvSpPr>
        <xdr:cNvPr id="2554" name="AutoShape 7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2373</xdr:row>
      <xdr:rowOff>0</xdr:rowOff>
    </xdr:from>
    <xdr:to>
      <xdr:col>5</xdr:col>
      <xdr:colOff>304800</xdr:colOff>
      <xdr:row>2374</xdr:row>
      <xdr:rowOff>123825</xdr:rowOff>
    </xdr:to>
    <xdr:sp macro="" textlink="">
      <xdr:nvSpPr>
        <xdr:cNvPr id="2555" name="AutoShape 7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2375</xdr:row>
      <xdr:rowOff>0</xdr:rowOff>
    </xdr:from>
    <xdr:to>
      <xdr:col>4</xdr:col>
      <xdr:colOff>304800</xdr:colOff>
      <xdr:row>2376</xdr:row>
      <xdr:rowOff>123825</xdr:rowOff>
    </xdr:to>
    <xdr:sp macro="" textlink="">
      <xdr:nvSpPr>
        <xdr:cNvPr id="2556" name="AutoShape 77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2375</xdr:row>
      <xdr:rowOff>0</xdr:rowOff>
    </xdr:from>
    <xdr:to>
      <xdr:col>5</xdr:col>
      <xdr:colOff>304800</xdr:colOff>
      <xdr:row>2376</xdr:row>
      <xdr:rowOff>123825</xdr:rowOff>
    </xdr:to>
    <xdr:sp macro="" textlink="">
      <xdr:nvSpPr>
        <xdr:cNvPr id="2557" name="AutoShape 7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2377</xdr:row>
      <xdr:rowOff>0</xdr:rowOff>
    </xdr:from>
    <xdr:to>
      <xdr:col>4</xdr:col>
      <xdr:colOff>304800</xdr:colOff>
      <xdr:row>2378</xdr:row>
      <xdr:rowOff>123825</xdr:rowOff>
    </xdr:to>
    <xdr:sp macro="" textlink="">
      <xdr:nvSpPr>
        <xdr:cNvPr id="2558" name="AutoShape 7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2377</xdr:row>
      <xdr:rowOff>0</xdr:rowOff>
    </xdr:from>
    <xdr:to>
      <xdr:col>5</xdr:col>
      <xdr:colOff>304800</xdr:colOff>
      <xdr:row>2378</xdr:row>
      <xdr:rowOff>123825</xdr:rowOff>
    </xdr:to>
    <xdr:sp macro="" textlink="">
      <xdr:nvSpPr>
        <xdr:cNvPr id="2559" name="AutoShape 8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2379</xdr:row>
      <xdr:rowOff>0</xdr:rowOff>
    </xdr:from>
    <xdr:to>
      <xdr:col>4</xdr:col>
      <xdr:colOff>304800</xdr:colOff>
      <xdr:row>2381</xdr:row>
      <xdr:rowOff>123825</xdr:rowOff>
    </xdr:to>
    <xdr:sp macro="" textlink="">
      <xdr:nvSpPr>
        <xdr:cNvPr id="2560" name="AutoShape 8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2379</xdr:row>
      <xdr:rowOff>0</xdr:rowOff>
    </xdr:from>
    <xdr:to>
      <xdr:col>5</xdr:col>
      <xdr:colOff>304800</xdr:colOff>
      <xdr:row>2381</xdr:row>
      <xdr:rowOff>123825</xdr:rowOff>
    </xdr:to>
    <xdr:sp macro="" textlink="">
      <xdr:nvSpPr>
        <xdr:cNvPr id="2561" name="AutoShape 8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2381</xdr:row>
      <xdr:rowOff>0</xdr:rowOff>
    </xdr:from>
    <xdr:to>
      <xdr:col>4</xdr:col>
      <xdr:colOff>304800</xdr:colOff>
      <xdr:row>2383</xdr:row>
      <xdr:rowOff>123825</xdr:rowOff>
    </xdr:to>
    <xdr:sp macro="" textlink="">
      <xdr:nvSpPr>
        <xdr:cNvPr id="2562" name="AutoShape 8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2381</xdr:row>
      <xdr:rowOff>0</xdr:rowOff>
    </xdr:from>
    <xdr:to>
      <xdr:col>5</xdr:col>
      <xdr:colOff>304800</xdr:colOff>
      <xdr:row>2383</xdr:row>
      <xdr:rowOff>123825</xdr:rowOff>
    </xdr:to>
    <xdr:sp macro="" textlink="">
      <xdr:nvSpPr>
        <xdr:cNvPr id="2563" name="AutoShape 8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2383</xdr:row>
      <xdr:rowOff>0</xdr:rowOff>
    </xdr:from>
    <xdr:to>
      <xdr:col>4</xdr:col>
      <xdr:colOff>304800</xdr:colOff>
      <xdr:row>2384</xdr:row>
      <xdr:rowOff>123825</xdr:rowOff>
    </xdr:to>
    <xdr:sp macro="" textlink="">
      <xdr:nvSpPr>
        <xdr:cNvPr id="2564" name="AutoShape 85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2383</xdr:row>
      <xdr:rowOff>0</xdr:rowOff>
    </xdr:from>
    <xdr:to>
      <xdr:col>5</xdr:col>
      <xdr:colOff>304800</xdr:colOff>
      <xdr:row>2384</xdr:row>
      <xdr:rowOff>123825</xdr:rowOff>
    </xdr:to>
    <xdr:sp macro="" textlink="">
      <xdr:nvSpPr>
        <xdr:cNvPr id="2565" name="AutoShape 86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2385</xdr:row>
      <xdr:rowOff>0</xdr:rowOff>
    </xdr:from>
    <xdr:to>
      <xdr:col>4</xdr:col>
      <xdr:colOff>304800</xdr:colOff>
      <xdr:row>2386</xdr:row>
      <xdr:rowOff>123825</xdr:rowOff>
    </xdr:to>
    <xdr:sp macro="" textlink="">
      <xdr:nvSpPr>
        <xdr:cNvPr id="2566" name="AutoShape 8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2385</xdr:row>
      <xdr:rowOff>0</xdr:rowOff>
    </xdr:from>
    <xdr:to>
      <xdr:col>5</xdr:col>
      <xdr:colOff>304800</xdr:colOff>
      <xdr:row>2386</xdr:row>
      <xdr:rowOff>123825</xdr:rowOff>
    </xdr:to>
    <xdr:sp macro="" textlink="">
      <xdr:nvSpPr>
        <xdr:cNvPr id="2567" name="AutoShape 8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2387</xdr:row>
      <xdr:rowOff>0</xdr:rowOff>
    </xdr:from>
    <xdr:to>
      <xdr:col>4</xdr:col>
      <xdr:colOff>304800</xdr:colOff>
      <xdr:row>2388</xdr:row>
      <xdr:rowOff>123825</xdr:rowOff>
    </xdr:to>
    <xdr:sp macro="" textlink="">
      <xdr:nvSpPr>
        <xdr:cNvPr id="2568" name="AutoShape 8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2387</xdr:row>
      <xdr:rowOff>0</xdr:rowOff>
    </xdr:from>
    <xdr:to>
      <xdr:col>5</xdr:col>
      <xdr:colOff>304800</xdr:colOff>
      <xdr:row>2388</xdr:row>
      <xdr:rowOff>123825</xdr:rowOff>
    </xdr:to>
    <xdr:sp macro="" textlink="">
      <xdr:nvSpPr>
        <xdr:cNvPr id="2569" name="AutoShape 9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2389</xdr:row>
      <xdr:rowOff>0</xdr:rowOff>
    </xdr:from>
    <xdr:to>
      <xdr:col>4</xdr:col>
      <xdr:colOff>304800</xdr:colOff>
      <xdr:row>2390</xdr:row>
      <xdr:rowOff>123825</xdr:rowOff>
    </xdr:to>
    <xdr:sp macro="" textlink="">
      <xdr:nvSpPr>
        <xdr:cNvPr id="2570" name="AutoShape 9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2389</xdr:row>
      <xdr:rowOff>0</xdr:rowOff>
    </xdr:from>
    <xdr:to>
      <xdr:col>5</xdr:col>
      <xdr:colOff>304800</xdr:colOff>
      <xdr:row>2390</xdr:row>
      <xdr:rowOff>123825</xdr:rowOff>
    </xdr:to>
    <xdr:sp macro="" textlink="">
      <xdr:nvSpPr>
        <xdr:cNvPr id="2571" name="AutoShape 9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2391</xdr:row>
      <xdr:rowOff>0</xdr:rowOff>
    </xdr:from>
    <xdr:to>
      <xdr:col>4</xdr:col>
      <xdr:colOff>304800</xdr:colOff>
      <xdr:row>2392</xdr:row>
      <xdr:rowOff>123825</xdr:rowOff>
    </xdr:to>
    <xdr:sp macro="" textlink="">
      <xdr:nvSpPr>
        <xdr:cNvPr id="2572" name="AutoShape 9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2391</xdr:row>
      <xdr:rowOff>0</xdr:rowOff>
    </xdr:from>
    <xdr:to>
      <xdr:col>5</xdr:col>
      <xdr:colOff>304800</xdr:colOff>
      <xdr:row>2392</xdr:row>
      <xdr:rowOff>123825</xdr:rowOff>
    </xdr:to>
    <xdr:sp macro="" textlink="">
      <xdr:nvSpPr>
        <xdr:cNvPr id="2573" name="AutoShape 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2393</xdr:row>
      <xdr:rowOff>0</xdr:rowOff>
    </xdr:from>
    <xdr:to>
      <xdr:col>4</xdr:col>
      <xdr:colOff>304800</xdr:colOff>
      <xdr:row>2394</xdr:row>
      <xdr:rowOff>123825</xdr:rowOff>
    </xdr:to>
    <xdr:sp macro="" textlink="">
      <xdr:nvSpPr>
        <xdr:cNvPr id="2574" name="AutoShape 9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2393</xdr:row>
      <xdr:rowOff>0</xdr:rowOff>
    </xdr:from>
    <xdr:to>
      <xdr:col>5</xdr:col>
      <xdr:colOff>304800</xdr:colOff>
      <xdr:row>2394</xdr:row>
      <xdr:rowOff>123825</xdr:rowOff>
    </xdr:to>
    <xdr:sp macro="" textlink="">
      <xdr:nvSpPr>
        <xdr:cNvPr id="2575" name="AutoShape 9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2395</xdr:row>
      <xdr:rowOff>0</xdr:rowOff>
    </xdr:from>
    <xdr:to>
      <xdr:col>4</xdr:col>
      <xdr:colOff>304800</xdr:colOff>
      <xdr:row>2396</xdr:row>
      <xdr:rowOff>85725</xdr:rowOff>
    </xdr:to>
    <xdr:sp macro="" textlink="">
      <xdr:nvSpPr>
        <xdr:cNvPr id="2576" name="AutoShape 9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2395</xdr:row>
      <xdr:rowOff>0</xdr:rowOff>
    </xdr:from>
    <xdr:to>
      <xdr:col>5</xdr:col>
      <xdr:colOff>304800</xdr:colOff>
      <xdr:row>2396</xdr:row>
      <xdr:rowOff>85725</xdr:rowOff>
    </xdr:to>
    <xdr:sp macro="" textlink="">
      <xdr:nvSpPr>
        <xdr:cNvPr id="2577" name="AutoShape 9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2397</xdr:row>
      <xdr:rowOff>0</xdr:rowOff>
    </xdr:from>
    <xdr:to>
      <xdr:col>4</xdr:col>
      <xdr:colOff>304800</xdr:colOff>
      <xdr:row>2398</xdr:row>
      <xdr:rowOff>123825</xdr:rowOff>
    </xdr:to>
    <xdr:sp macro="" textlink="">
      <xdr:nvSpPr>
        <xdr:cNvPr id="2578" name="AutoShape 9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2397</xdr:row>
      <xdr:rowOff>0</xdr:rowOff>
    </xdr:from>
    <xdr:to>
      <xdr:col>5</xdr:col>
      <xdr:colOff>304800</xdr:colOff>
      <xdr:row>2398</xdr:row>
      <xdr:rowOff>123825</xdr:rowOff>
    </xdr:to>
    <xdr:sp macro="" textlink="">
      <xdr:nvSpPr>
        <xdr:cNvPr id="2579" name="AutoShape 10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2399</xdr:row>
      <xdr:rowOff>0</xdr:rowOff>
    </xdr:from>
    <xdr:to>
      <xdr:col>4</xdr:col>
      <xdr:colOff>304800</xdr:colOff>
      <xdr:row>2400</xdr:row>
      <xdr:rowOff>123825</xdr:rowOff>
    </xdr:to>
    <xdr:sp macro="" textlink="">
      <xdr:nvSpPr>
        <xdr:cNvPr id="2580" name="AutoShape 1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2399</xdr:row>
      <xdr:rowOff>0</xdr:rowOff>
    </xdr:from>
    <xdr:to>
      <xdr:col>5</xdr:col>
      <xdr:colOff>304800</xdr:colOff>
      <xdr:row>2400</xdr:row>
      <xdr:rowOff>123825</xdr:rowOff>
    </xdr:to>
    <xdr:sp macro="" textlink="">
      <xdr:nvSpPr>
        <xdr:cNvPr id="2581" name="AutoShape 10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2401</xdr:row>
      <xdr:rowOff>0</xdr:rowOff>
    </xdr:from>
    <xdr:to>
      <xdr:col>4</xdr:col>
      <xdr:colOff>304800</xdr:colOff>
      <xdr:row>2402</xdr:row>
      <xdr:rowOff>123825</xdr:rowOff>
    </xdr:to>
    <xdr:sp macro="" textlink="">
      <xdr:nvSpPr>
        <xdr:cNvPr id="2582" name="AutoShape 10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2401</xdr:row>
      <xdr:rowOff>0</xdr:rowOff>
    </xdr:from>
    <xdr:to>
      <xdr:col>5</xdr:col>
      <xdr:colOff>304800</xdr:colOff>
      <xdr:row>2402</xdr:row>
      <xdr:rowOff>123825</xdr:rowOff>
    </xdr:to>
    <xdr:sp macro="" textlink="">
      <xdr:nvSpPr>
        <xdr:cNvPr id="2583" name="AutoShape 10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2403</xdr:row>
      <xdr:rowOff>0</xdr:rowOff>
    </xdr:from>
    <xdr:to>
      <xdr:col>4</xdr:col>
      <xdr:colOff>304800</xdr:colOff>
      <xdr:row>2404</xdr:row>
      <xdr:rowOff>123825</xdr:rowOff>
    </xdr:to>
    <xdr:sp macro="" textlink="">
      <xdr:nvSpPr>
        <xdr:cNvPr id="2584" name="AutoShape 10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2403</xdr:row>
      <xdr:rowOff>0</xdr:rowOff>
    </xdr:from>
    <xdr:to>
      <xdr:col>5</xdr:col>
      <xdr:colOff>304800</xdr:colOff>
      <xdr:row>2404</xdr:row>
      <xdr:rowOff>123825</xdr:rowOff>
    </xdr:to>
    <xdr:sp macro="" textlink="">
      <xdr:nvSpPr>
        <xdr:cNvPr id="2585" name="AutoShape 1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2405</xdr:row>
      <xdr:rowOff>0</xdr:rowOff>
    </xdr:from>
    <xdr:to>
      <xdr:col>4</xdr:col>
      <xdr:colOff>304800</xdr:colOff>
      <xdr:row>2407</xdr:row>
      <xdr:rowOff>123825</xdr:rowOff>
    </xdr:to>
    <xdr:sp macro="" textlink="">
      <xdr:nvSpPr>
        <xdr:cNvPr id="2586" name="AutoShape 10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2405</xdr:row>
      <xdr:rowOff>0</xdr:rowOff>
    </xdr:from>
    <xdr:to>
      <xdr:col>5</xdr:col>
      <xdr:colOff>304800</xdr:colOff>
      <xdr:row>2407</xdr:row>
      <xdr:rowOff>123825</xdr:rowOff>
    </xdr:to>
    <xdr:sp macro="" textlink="">
      <xdr:nvSpPr>
        <xdr:cNvPr id="2587" name="AutoShape 10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2407</xdr:row>
      <xdr:rowOff>0</xdr:rowOff>
    </xdr:from>
    <xdr:to>
      <xdr:col>4</xdr:col>
      <xdr:colOff>304800</xdr:colOff>
      <xdr:row>2408</xdr:row>
      <xdr:rowOff>123825</xdr:rowOff>
    </xdr:to>
    <xdr:sp macro="" textlink="">
      <xdr:nvSpPr>
        <xdr:cNvPr id="2588" name="AutoShape 10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2407</xdr:row>
      <xdr:rowOff>0</xdr:rowOff>
    </xdr:from>
    <xdr:to>
      <xdr:col>5</xdr:col>
      <xdr:colOff>304800</xdr:colOff>
      <xdr:row>2408</xdr:row>
      <xdr:rowOff>123825</xdr:rowOff>
    </xdr:to>
    <xdr:sp macro="" textlink="">
      <xdr:nvSpPr>
        <xdr:cNvPr id="2589" name="AutoShape 110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2409</xdr:row>
      <xdr:rowOff>0</xdr:rowOff>
    </xdr:from>
    <xdr:to>
      <xdr:col>4</xdr:col>
      <xdr:colOff>304800</xdr:colOff>
      <xdr:row>2410</xdr:row>
      <xdr:rowOff>123825</xdr:rowOff>
    </xdr:to>
    <xdr:sp macro="" textlink="">
      <xdr:nvSpPr>
        <xdr:cNvPr id="2590" name="AutoShape 11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2409</xdr:row>
      <xdr:rowOff>0</xdr:rowOff>
    </xdr:from>
    <xdr:to>
      <xdr:col>5</xdr:col>
      <xdr:colOff>304800</xdr:colOff>
      <xdr:row>2410</xdr:row>
      <xdr:rowOff>123825</xdr:rowOff>
    </xdr:to>
    <xdr:sp macro="" textlink="">
      <xdr:nvSpPr>
        <xdr:cNvPr id="2591" name="AutoShape 1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2411</xdr:row>
      <xdr:rowOff>0</xdr:rowOff>
    </xdr:from>
    <xdr:to>
      <xdr:col>4</xdr:col>
      <xdr:colOff>304800</xdr:colOff>
      <xdr:row>2412</xdr:row>
      <xdr:rowOff>123825</xdr:rowOff>
    </xdr:to>
    <xdr:sp macro="" textlink="">
      <xdr:nvSpPr>
        <xdr:cNvPr id="2592" name="AutoShape 1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2411</xdr:row>
      <xdr:rowOff>0</xdr:rowOff>
    </xdr:from>
    <xdr:to>
      <xdr:col>5</xdr:col>
      <xdr:colOff>304800</xdr:colOff>
      <xdr:row>2412</xdr:row>
      <xdr:rowOff>123825</xdr:rowOff>
    </xdr:to>
    <xdr:sp macro="" textlink="">
      <xdr:nvSpPr>
        <xdr:cNvPr id="2593" name="AutoShape 11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2413</xdr:row>
      <xdr:rowOff>0</xdr:rowOff>
    </xdr:from>
    <xdr:to>
      <xdr:col>4</xdr:col>
      <xdr:colOff>304800</xdr:colOff>
      <xdr:row>2414</xdr:row>
      <xdr:rowOff>85725</xdr:rowOff>
    </xdr:to>
    <xdr:sp macro="" textlink="">
      <xdr:nvSpPr>
        <xdr:cNvPr id="2594" name="AutoShape 1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2413</xdr:row>
      <xdr:rowOff>0</xdr:rowOff>
    </xdr:from>
    <xdr:to>
      <xdr:col>5</xdr:col>
      <xdr:colOff>304800</xdr:colOff>
      <xdr:row>2414</xdr:row>
      <xdr:rowOff>85725</xdr:rowOff>
    </xdr:to>
    <xdr:sp macro="" textlink="">
      <xdr:nvSpPr>
        <xdr:cNvPr id="2595" name="AutoShape 11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2415</xdr:row>
      <xdr:rowOff>0</xdr:rowOff>
    </xdr:from>
    <xdr:to>
      <xdr:col>4</xdr:col>
      <xdr:colOff>304800</xdr:colOff>
      <xdr:row>2416</xdr:row>
      <xdr:rowOff>85725</xdr:rowOff>
    </xdr:to>
    <xdr:sp macro="" textlink="">
      <xdr:nvSpPr>
        <xdr:cNvPr id="2596" name="AutoShape 11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2415</xdr:row>
      <xdr:rowOff>0</xdr:rowOff>
    </xdr:from>
    <xdr:to>
      <xdr:col>5</xdr:col>
      <xdr:colOff>304800</xdr:colOff>
      <xdr:row>2416</xdr:row>
      <xdr:rowOff>85725</xdr:rowOff>
    </xdr:to>
    <xdr:sp macro="" textlink="">
      <xdr:nvSpPr>
        <xdr:cNvPr id="2597" name="AutoShape 118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2417</xdr:row>
      <xdr:rowOff>0</xdr:rowOff>
    </xdr:from>
    <xdr:to>
      <xdr:col>4</xdr:col>
      <xdr:colOff>304800</xdr:colOff>
      <xdr:row>2418</xdr:row>
      <xdr:rowOff>123825</xdr:rowOff>
    </xdr:to>
    <xdr:sp macro="" textlink="">
      <xdr:nvSpPr>
        <xdr:cNvPr id="2598" name="AutoShape 1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2417</xdr:row>
      <xdr:rowOff>0</xdr:rowOff>
    </xdr:from>
    <xdr:to>
      <xdr:col>5</xdr:col>
      <xdr:colOff>304800</xdr:colOff>
      <xdr:row>2418</xdr:row>
      <xdr:rowOff>123825</xdr:rowOff>
    </xdr:to>
    <xdr:sp macro="" textlink="">
      <xdr:nvSpPr>
        <xdr:cNvPr id="2599" name="AutoShape 1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2419</xdr:row>
      <xdr:rowOff>0</xdr:rowOff>
    </xdr:from>
    <xdr:to>
      <xdr:col>4</xdr:col>
      <xdr:colOff>304800</xdr:colOff>
      <xdr:row>2420</xdr:row>
      <xdr:rowOff>123825</xdr:rowOff>
    </xdr:to>
    <xdr:sp macro="" textlink="">
      <xdr:nvSpPr>
        <xdr:cNvPr id="2600" name="AutoShape 12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2419</xdr:row>
      <xdr:rowOff>0</xdr:rowOff>
    </xdr:from>
    <xdr:to>
      <xdr:col>5</xdr:col>
      <xdr:colOff>304800</xdr:colOff>
      <xdr:row>2420</xdr:row>
      <xdr:rowOff>123825</xdr:rowOff>
    </xdr:to>
    <xdr:sp macro="" textlink="">
      <xdr:nvSpPr>
        <xdr:cNvPr id="2601" name="AutoShape 122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2421</xdr:row>
      <xdr:rowOff>0</xdr:rowOff>
    </xdr:from>
    <xdr:to>
      <xdr:col>4</xdr:col>
      <xdr:colOff>304800</xdr:colOff>
      <xdr:row>2422</xdr:row>
      <xdr:rowOff>123825</xdr:rowOff>
    </xdr:to>
    <xdr:sp macro="" textlink="">
      <xdr:nvSpPr>
        <xdr:cNvPr id="2602" name="AutoShape 12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2421</xdr:row>
      <xdr:rowOff>0</xdr:rowOff>
    </xdr:from>
    <xdr:to>
      <xdr:col>5</xdr:col>
      <xdr:colOff>304800</xdr:colOff>
      <xdr:row>2422</xdr:row>
      <xdr:rowOff>123825</xdr:rowOff>
    </xdr:to>
    <xdr:sp macro="" textlink="">
      <xdr:nvSpPr>
        <xdr:cNvPr id="2603" name="AutoShape 12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2423</xdr:row>
      <xdr:rowOff>0</xdr:rowOff>
    </xdr:from>
    <xdr:to>
      <xdr:col>4</xdr:col>
      <xdr:colOff>304800</xdr:colOff>
      <xdr:row>2424</xdr:row>
      <xdr:rowOff>123825</xdr:rowOff>
    </xdr:to>
    <xdr:sp macro="" textlink="">
      <xdr:nvSpPr>
        <xdr:cNvPr id="2604" name="AutoShape 12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2423</xdr:row>
      <xdr:rowOff>0</xdr:rowOff>
    </xdr:from>
    <xdr:to>
      <xdr:col>5</xdr:col>
      <xdr:colOff>304800</xdr:colOff>
      <xdr:row>2424</xdr:row>
      <xdr:rowOff>123825</xdr:rowOff>
    </xdr:to>
    <xdr:sp macro="" textlink="">
      <xdr:nvSpPr>
        <xdr:cNvPr id="2605" name="AutoShape 12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2425</xdr:row>
      <xdr:rowOff>0</xdr:rowOff>
    </xdr:from>
    <xdr:to>
      <xdr:col>4</xdr:col>
      <xdr:colOff>304800</xdr:colOff>
      <xdr:row>2426</xdr:row>
      <xdr:rowOff>123825</xdr:rowOff>
    </xdr:to>
    <xdr:sp macro="" textlink="">
      <xdr:nvSpPr>
        <xdr:cNvPr id="2606" name="AutoShape 12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2425</xdr:row>
      <xdr:rowOff>0</xdr:rowOff>
    </xdr:from>
    <xdr:to>
      <xdr:col>5</xdr:col>
      <xdr:colOff>304800</xdr:colOff>
      <xdr:row>2426</xdr:row>
      <xdr:rowOff>123825</xdr:rowOff>
    </xdr:to>
    <xdr:sp macro="" textlink="">
      <xdr:nvSpPr>
        <xdr:cNvPr id="2607" name="AutoShape 12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2427</xdr:row>
      <xdr:rowOff>0</xdr:rowOff>
    </xdr:from>
    <xdr:to>
      <xdr:col>4</xdr:col>
      <xdr:colOff>304800</xdr:colOff>
      <xdr:row>2428</xdr:row>
      <xdr:rowOff>123825</xdr:rowOff>
    </xdr:to>
    <xdr:sp macro="" textlink="">
      <xdr:nvSpPr>
        <xdr:cNvPr id="2608" name="AutoShape 12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2427</xdr:row>
      <xdr:rowOff>0</xdr:rowOff>
    </xdr:from>
    <xdr:to>
      <xdr:col>5</xdr:col>
      <xdr:colOff>304800</xdr:colOff>
      <xdr:row>2428</xdr:row>
      <xdr:rowOff>123825</xdr:rowOff>
    </xdr:to>
    <xdr:sp macro="" textlink="">
      <xdr:nvSpPr>
        <xdr:cNvPr id="2609" name="AutoShape 130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2429</xdr:row>
      <xdr:rowOff>0</xdr:rowOff>
    </xdr:from>
    <xdr:to>
      <xdr:col>4</xdr:col>
      <xdr:colOff>304800</xdr:colOff>
      <xdr:row>2430</xdr:row>
      <xdr:rowOff>123825</xdr:rowOff>
    </xdr:to>
    <xdr:sp macro="" textlink="">
      <xdr:nvSpPr>
        <xdr:cNvPr id="2610" name="AutoShape 13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2429</xdr:row>
      <xdr:rowOff>0</xdr:rowOff>
    </xdr:from>
    <xdr:to>
      <xdr:col>5</xdr:col>
      <xdr:colOff>304800</xdr:colOff>
      <xdr:row>2430</xdr:row>
      <xdr:rowOff>123825</xdr:rowOff>
    </xdr:to>
    <xdr:sp macro="" textlink="">
      <xdr:nvSpPr>
        <xdr:cNvPr id="2611" name="AutoShape 1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2431</xdr:row>
      <xdr:rowOff>0</xdr:rowOff>
    </xdr:from>
    <xdr:to>
      <xdr:col>4</xdr:col>
      <xdr:colOff>304800</xdr:colOff>
      <xdr:row>2432</xdr:row>
      <xdr:rowOff>123825</xdr:rowOff>
    </xdr:to>
    <xdr:sp macro="" textlink="">
      <xdr:nvSpPr>
        <xdr:cNvPr id="2612" name="AutoShape 13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2431</xdr:row>
      <xdr:rowOff>0</xdr:rowOff>
    </xdr:from>
    <xdr:to>
      <xdr:col>5</xdr:col>
      <xdr:colOff>304800</xdr:colOff>
      <xdr:row>2432</xdr:row>
      <xdr:rowOff>123825</xdr:rowOff>
    </xdr:to>
    <xdr:sp macro="" textlink="">
      <xdr:nvSpPr>
        <xdr:cNvPr id="2613" name="AutoShape 13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2433</xdr:row>
      <xdr:rowOff>0</xdr:rowOff>
    </xdr:from>
    <xdr:to>
      <xdr:col>4</xdr:col>
      <xdr:colOff>304800</xdr:colOff>
      <xdr:row>2434</xdr:row>
      <xdr:rowOff>123825</xdr:rowOff>
    </xdr:to>
    <xdr:sp macro="" textlink="">
      <xdr:nvSpPr>
        <xdr:cNvPr id="2614" name="AutoShape 135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2433</xdr:row>
      <xdr:rowOff>0</xdr:rowOff>
    </xdr:from>
    <xdr:to>
      <xdr:col>5</xdr:col>
      <xdr:colOff>304800</xdr:colOff>
      <xdr:row>2434</xdr:row>
      <xdr:rowOff>123825</xdr:rowOff>
    </xdr:to>
    <xdr:sp macro="" textlink="">
      <xdr:nvSpPr>
        <xdr:cNvPr id="2615" name="AutoShape 13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2435</xdr:row>
      <xdr:rowOff>0</xdr:rowOff>
    </xdr:from>
    <xdr:to>
      <xdr:col>4</xdr:col>
      <xdr:colOff>304800</xdr:colOff>
      <xdr:row>2436</xdr:row>
      <xdr:rowOff>123825</xdr:rowOff>
    </xdr:to>
    <xdr:sp macro="" textlink="">
      <xdr:nvSpPr>
        <xdr:cNvPr id="2616" name="AutoShape 137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2435</xdr:row>
      <xdr:rowOff>0</xdr:rowOff>
    </xdr:from>
    <xdr:to>
      <xdr:col>5</xdr:col>
      <xdr:colOff>304800</xdr:colOff>
      <xdr:row>2436</xdr:row>
      <xdr:rowOff>123825</xdr:rowOff>
    </xdr:to>
    <xdr:sp macro="" textlink="">
      <xdr:nvSpPr>
        <xdr:cNvPr id="2617" name="AutoShape 1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2437</xdr:row>
      <xdr:rowOff>0</xdr:rowOff>
    </xdr:from>
    <xdr:to>
      <xdr:col>4</xdr:col>
      <xdr:colOff>304800</xdr:colOff>
      <xdr:row>2438</xdr:row>
      <xdr:rowOff>123825</xdr:rowOff>
    </xdr:to>
    <xdr:sp macro="" textlink="">
      <xdr:nvSpPr>
        <xdr:cNvPr id="2618" name="AutoShape 1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2437</xdr:row>
      <xdr:rowOff>0</xdr:rowOff>
    </xdr:from>
    <xdr:to>
      <xdr:col>5</xdr:col>
      <xdr:colOff>304800</xdr:colOff>
      <xdr:row>2438</xdr:row>
      <xdr:rowOff>123825</xdr:rowOff>
    </xdr:to>
    <xdr:sp macro="" textlink="">
      <xdr:nvSpPr>
        <xdr:cNvPr id="2619" name="AutoShape 140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2439</xdr:row>
      <xdr:rowOff>0</xdr:rowOff>
    </xdr:from>
    <xdr:to>
      <xdr:col>4</xdr:col>
      <xdr:colOff>304800</xdr:colOff>
      <xdr:row>2441</xdr:row>
      <xdr:rowOff>123825</xdr:rowOff>
    </xdr:to>
    <xdr:sp macro="" textlink="">
      <xdr:nvSpPr>
        <xdr:cNvPr id="2620" name="AutoShape 141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2439</xdr:row>
      <xdr:rowOff>0</xdr:rowOff>
    </xdr:from>
    <xdr:to>
      <xdr:col>5</xdr:col>
      <xdr:colOff>304800</xdr:colOff>
      <xdr:row>2441</xdr:row>
      <xdr:rowOff>123825</xdr:rowOff>
    </xdr:to>
    <xdr:sp macro="" textlink="">
      <xdr:nvSpPr>
        <xdr:cNvPr id="2621" name="AutoShape 1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2441</xdr:row>
      <xdr:rowOff>0</xdr:rowOff>
    </xdr:from>
    <xdr:to>
      <xdr:col>4</xdr:col>
      <xdr:colOff>304800</xdr:colOff>
      <xdr:row>2442</xdr:row>
      <xdr:rowOff>123825</xdr:rowOff>
    </xdr:to>
    <xdr:sp macro="" textlink="">
      <xdr:nvSpPr>
        <xdr:cNvPr id="2622" name="AutoShape 14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2441</xdr:row>
      <xdr:rowOff>0</xdr:rowOff>
    </xdr:from>
    <xdr:to>
      <xdr:col>5</xdr:col>
      <xdr:colOff>304800</xdr:colOff>
      <xdr:row>2442</xdr:row>
      <xdr:rowOff>123825</xdr:rowOff>
    </xdr:to>
    <xdr:sp macro="" textlink="">
      <xdr:nvSpPr>
        <xdr:cNvPr id="2623" name="AutoShape 14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2443</xdr:row>
      <xdr:rowOff>0</xdr:rowOff>
    </xdr:from>
    <xdr:to>
      <xdr:col>4</xdr:col>
      <xdr:colOff>304800</xdr:colOff>
      <xdr:row>2444</xdr:row>
      <xdr:rowOff>123825</xdr:rowOff>
    </xdr:to>
    <xdr:sp macro="" textlink="">
      <xdr:nvSpPr>
        <xdr:cNvPr id="2624" name="AutoShape 14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2443</xdr:row>
      <xdr:rowOff>0</xdr:rowOff>
    </xdr:from>
    <xdr:to>
      <xdr:col>5</xdr:col>
      <xdr:colOff>304800</xdr:colOff>
      <xdr:row>2444</xdr:row>
      <xdr:rowOff>123825</xdr:rowOff>
    </xdr:to>
    <xdr:sp macro="" textlink="">
      <xdr:nvSpPr>
        <xdr:cNvPr id="2625" name="AutoShape 14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2445</xdr:row>
      <xdr:rowOff>0</xdr:rowOff>
    </xdr:from>
    <xdr:to>
      <xdr:col>4</xdr:col>
      <xdr:colOff>304800</xdr:colOff>
      <xdr:row>2446</xdr:row>
      <xdr:rowOff>123825</xdr:rowOff>
    </xdr:to>
    <xdr:sp macro="" textlink="">
      <xdr:nvSpPr>
        <xdr:cNvPr id="2626" name="AutoShape 147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2445</xdr:row>
      <xdr:rowOff>0</xdr:rowOff>
    </xdr:from>
    <xdr:to>
      <xdr:col>5</xdr:col>
      <xdr:colOff>304800</xdr:colOff>
      <xdr:row>2446</xdr:row>
      <xdr:rowOff>123825</xdr:rowOff>
    </xdr:to>
    <xdr:sp macro="" textlink="">
      <xdr:nvSpPr>
        <xdr:cNvPr id="2627" name="AutoShape 1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2447</xdr:row>
      <xdr:rowOff>0</xdr:rowOff>
    </xdr:from>
    <xdr:to>
      <xdr:col>4</xdr:col>
      <xdr:colOff>304800</xdr:colOff>
      <xdr:row>2448</xdr:row>
      <xdr:rowOff>123825</xdr:rowOff>
    </xdr:to>
    <xdr:sp macro="" textlink="">
      <xdr:nvSpPr>
        <xdr:cNvPr id="2628" name="AutoShape 14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2447</xdr:row>
      <xdr:rowOff>0</xdr:rowOff>
    </xdr:from>
    <xdr:to>
      <xdr:col>5</xdr:col>
      <xdr:colOff>304800</xdr:colOff>
      <xdr:row>2448</xdr:row>
      <xdr:rowOff>123825</xdr:rowOff>
    </xdr:to>
    <xdr:sp macro="" textlink="">
      <xdr:nvSpPr>
        <xdr:cNvPr id="2629" name="AutoShape 1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2449</xdr:row>
      <xdr:rowOff>0</xdr:rowOff>
    </xdr:from>
    <xdr:to>
      <xdr:col>4</xdr:col>
      <xdr:colOff>304800</xdr:colOff>
      <xdr:row>2450</xdr:row>
      <xdr:rowOff>123825</xdr:rowOff>
    </xdr:to>
    <xdr:sp macro="" textlink="">
      <xdr:nvSpPr>
        <xdr:cNvPr id="2630" name="AutoShape 15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2449</xdr:row>
      <xdr:rowOff>0</xdr:rowOff>
    </xdr:from>
    <xdr:to>
      <xdr:col>5</xdr:col>
      <xdr:colOff>304800</xdr:colOff>
      <xdr:row>2450</xdr:row>
      <xdr:rowOff>123825</xdr:rowOff>
    </xdr:to>
    <xdr:sp macro="" textlink="">
      <xdr:nvSpPr>
        <xdr:cNvPr id="2631" name="AutoShape 1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2451</xdr:row>
      <xdr:rowOff>0</xdr:rowOff>
    </xdr:from>
    <xdr:to>
      <xdr:col>4</xdr:col>
      <xdr:colOff>304800</xdr:colOff>
      <xdr:row>2452</xdr:row>
      <xdr:rowOff>123825</xdr:rowOff>
    </xdr:to>
    <xdr:sp macro="" textlink="">
      <xdr:nvSpPr>
        <xdr:cNvPr id="2632" name="AutoShape 15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2451</xdr:row>
      <xdr:rowOff>0</xdr:rowOff>
    </xdr:from>
    <xdr:to>
      <xdr:col>5</xdr:col>
      <xdr:colOff>304800</xdr:colOff>
      <xdr:row>2452</xdr:row>
      <xdr:rowOff>123825</xdr:rowOff>
    </xdr:to>
    <xdr:sp macro="" textlink="">
      <xdr:nvSpPr>
        <xdr:cNvPr id="2633" name="AutoShape 15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2453</xdr:row>
      <xdr:rowOff>0</xdr:rowOff>
    </xdr:from>
    <xdr:to>
      <xdr:col>4</xdr:col>
      <xdr:colOff>304800</xdr:colOff>
      <xdr:row>2454</xdr:row>
      <xdr:rowOff>123825</xdr:rowOff>
    </xdr:to>
    <xdr:sp macro="" textlink="">
      <xdr:nvSpPr>
        <xdr:cNvPr id="2634" name="AutoShape 15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2453</xdr:row>
      <xdr:rowOff>0</xdr:rowOff>
    </xdr:from>
    <xdr:to>
      <xdr:col>5</xdr:col>
      <xdr:colOff>304800</xdr:colOff>
      <xdr:row>2454</xdr:row>
      <xdr:rowOff>123825</xdr:rowOff>
    </xdr:to>
    <xdr:sp macro="" textlink="">
      <xdr:nvSpPr>
        <xdr:cNvPr id="2635" name="AutoShape 15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2455</xdr:row>
      <xdr:rowOff>0</xdr:rowOff>
    </xdr:from>
    <xdr:to>
      <xdr:col>4</xdr:col>
      <xdr:colOff>304800</xdr:colOff>
      <xdr:row>2456</xdr:row>
      <xdr:rowOff>123825</xdr:rowOff>
    </xdr:to>
    <xdr:sp macro="" textlink="">
      <xdr:nvSpPr>
        <xdr:cNvPr id="2636" name="AutoShape 15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2455</xdr:row>
      <xdr:rowOff>0</xdr:rowOff>
    </xdr:from>
    <xdr:to>
      <xdr:col>5</xdr:col>
      <xdr:colOff>304800</xdr:colOff>
      <xdr:row>2456</xdr:row>
      <xdr:rowOff>123825</xdr:rowOff>
    </xdr:to>
    <xdr:sp macro="" textlink="">
      <xdr:nvSpPr>
        <xdr:cNvPr id="2637" name="AutoShape 15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2457</xdr:row>
      <xdr:rowOff>0</xdr:rowOff>
    </xdr:from>
    <xdr:to>
      <xdr:col>4</xdr:col>
      <xdr:colOff>304800</xdr:colOff>
      <xdr:row>2458</xdr:row>
      <xdr:rowOff>123825</xdr:rowOff>
    </xdr:to>
    <xdr:sp macro="" textlink="">
      <xdr:nvSpPr>
        <xdr:cNvPr id="2638" name="AutoShape 15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2457</xdr:row>
      <xdr:rowOff>0</xdr:rowOff>
    </xdr:from>
    <xdr:to>
      <xdr:col>5</xdr:col>
      <xdr:colOff>304800</xdr:colOff>
      <xdr:row>2458</xdr:row>
      <xdr:rowOff>123825</xdr:rowOff>
    </xdr:to>
    <xdr:sp macro="" textlink="">
      <xdr:nvSpPr>
        <xdr:cNvPr id="2639" name="AutoShape 16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2459</xdr:row>
      <xdr:rowOff>0</xdr:rowOff>
    </xdr:from>
    <xdr:to>
      <xdr:col>4</xdr:col>
      <xdr:colOff>304800</xdr:colOff>
      <xdr:row>2460</xdr:row>
      <xdr:rowOff>123825</xdr:rowOff>
    </xdr:to>
    <xdr:sp macro="" textlink="">
      <xdr:nvSpPr>
        <xdr:cNvPr id="2640" name="AutoShape 16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2459</xdr:row>
      <xdr:rowOff>0</xdr:rowOff>
    </xdr:from>
    <xdr:to>
      <xdr:col>5</xdr:col>
      <xdr:colOff>304800</xdr:colOff>
      <xdr:row>2460</xdr:row>
      <xdr:rowOff>123825</xdr:rowOff>
    </xdr:to>
    <xdr:sp macro="" textlink="">
      <xdr:nvSpPr>
        <xdr:cNvPr id="2641" name="AutoShape 1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114300</xdr:rowOff>
    </xdr:to>
    <xdr:sp macro="" textlink="">
      <xdr:nvSpPr>
        <xdr:cNvPr id="2049" name="AutoShape 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114300</xdr:rowOff>
    </xdr:to>
    <xdr:sp macro="" textlink="">
      <xdr:nvSpPr>
        <xdr:cNvPr id="2050" name="AutoShape 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304800</xdr:colOff>
      <xdr:row>3</xdr:row>
      <xdr:rowOff>114300</xdr:rowOff>
    </xdr:to>
    <xdr:sp macro="" textlink="">
      <xdr:nvSpPr>
        <xdr:cNvPr id="2051" name="AutoShape 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304800</xdr:colOff>
      <xdr:row>3</xdr:row>
      <xdr:rowOff>114300</xdr:rowOff>
    </xdr:to>
    <xdr:sp macro="" textlink="">
      <xdr:nvSpPr>
        <xdr:cNvPr id="2052" name="AutoShape 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114300</xdr:rowOff>
    </xdr:to>
    <xdr:sp macro="" textlink="">
      <xdr:nvSpPr>
        <xdr:cNvPr id="2053" name="AutoShape 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114300</xdr:rowOff>
    </xdr:to>
    <xdr:sp macro="" textlink="">
      <xdr:nvSpPr>
        <xdr:cNvPr id="2054" name="AutoShape 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114300</xdr:rowOff>
    </xdr:to>
    <xdr:sp macro="" textlink="">
      <xdr:nvSpPr>
        <xdr:cNvPr id="2055" name="AutoShape 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114300</xdr:rowOff>
    </xdr:to>
    <xdr:sp macro="" textlink="">
      <xdr:nvSpPr>
        <xdr:cNvPr id="2056" name="AutoShape 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114300</xdr:rowOff>
    </xdr:to>
    <xdr:sp macro="" textlink="">
      <xdr:nvSpPr>
        <xdr:cNvPr id="2057" name="AutoShape 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114300</xdr:rowOff>
    </xdr:to>
    <xdr:sp macro="" textlink="">
      <xdr:nvSpPr>
        <xdr:cNvPr id="2058" name="AutoShape 1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304800</xdr:colOff>
      <xdr:row>5</xdr:row>
      <xdr:rowOff>114300</xdr:rowOff>
    </xdr:to>
    <xdr:sp macro="" textlink="">
      <xdr:nvSpPr>
        <xdr:cNvPr id="2059" name="AutoShape 1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304800</xdr:colOff>
      <xdr:row>5</xdr:row>
      <xdr:rowOff>114300</xdr:rowOff>
    </xdr:to>
    <xdr:sp macro="" textlink="">
      <xdr:nvSpPr>
        <xdr:cNvPr id="2060" name="AutoShape 1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114300</xdr:rowOff>
    </xdr:to>
    <xdr:sp macro="" textlink="">
      <xdr:nvSpPr>
        <xdr:cNvPr id="2061" name="AutoShape 1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114300</xdr:rowOff>
    </xdr:to>
    <xdr:sp macro="" textlink="">
      <xdr:nvSpPr>
        <xdr:cNvPr id="2062" name="AutoShape 1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304800</xdr:colOff>
      <xdr:row>7</xdr:row>
      <xdr:rowOff>114300</xdr:rowOff>
    </xdr:to>
    <xdr:sp macro="" textlink="">
      <xdr:nvSpPr>
        <xdr:cNvPr id="2063" name="AutoShape 1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304800</xdr:colOff>
      <xdr:row>7</xdr:row>
      <xdr:rowOff>114300</xdr:rowOff>
    </xdr:to>
    <xdr:sp macro="" textlink="">
      <xdr:nvSpPr>
        <xdr:cNvPr id="2064" name="AutoShape 1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304800</xdr:colOff>
      <xdr:row>7</xdr:row>
      <xdr:rowOff>114300</xdr:rowOff>
    </xdr:to>
    <xdr:sp macro="" textlink="">
      <xdr:nvSpPr>
        <xdr:cNvPr id="2065" name="AutoShape 1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304800</xdr:colOff>
      <xdr:row>7</xdr:row>
      <xdr:rowOff>114300</xdr:rowOff>
    </xdr:to>
    <xdr:sp macro="" textlink="">
      <xdr:nvSpPr>
        <xdr:cNvPr id="2066" name="AutoShape 1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76200</xdr:rowOff>
    </xdr:to>
    <xdr:sp macro="" textlink="">
      <xdr:nvSpPr>
        <xdr:cNvPr id="2067" name="AutoShape 1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76200</xdr:rowOff>
    </xdr:to>
    <xdr:sp macro="" textlink="">
      <xdr:nvSpPr>
        <xdr:cNvPr id="2068" name="AutoShape 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114300</xdr:rowOff>
    </xdr:to>
    <xdr:sp macro="" textlink="">
      <xdr:nvSpPr>
        <xdr:cNvPr id="2069" name="AutoShape 2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114300</xdr:rowOff>
    </xdr:to>
    <xdr:sp macro="" textlink="">
      <xdr:nvSpPr>
        <xdr:cNvPr id="2070" name="AutoShape 2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114300</xdr:rowOff>
    </xdr:to>
    <xdr:sp macro="" textlink="">
      <xdr:nvSpPr>
        <xdr:cNvPr id="2071" name="AutoShape 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114300</xdr:rowOff>
    </xdr:to>
    <xdr:sp macro="" textlink="">
      <xdr:nvSpPr>
        <xdr:cNvPr id="2072" name="AutoShape 2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114300</xdr:rowOff>
    </xdr:to>
    <xdr:sp macro="" textlink="">
      <xdr:nvSpPr>
        <xdr:cNvPr id="2073" name="AutoShape 2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114300</xdr:rowOff>
    </xdr:to>
    <xdr:sp macro="" textlink="">
      <xdr:nvSpPr>
        <xdr:cNvPr id="2074" name="AutoShape 2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304800</xdr:colOff>
      <xdr:row>13</xdr:row>
      <xdr:rowOff>76200</xdr:rowOff>
    </xdr:to>
    <xdr:sp macro="" textlink="">
      <xdr:nvSpPr>
        <xdr:cNvPr id="2075" name="AutoShape 2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304800</xdr:colOff>
      <xdr:row>13</xdr:row>
      <xdr:rowOff>76200</xdr:rowOff>
    </xdr:to>
    <xdr:sp macro="" textlink="">
      <xdr:nvSpPr>
        <xdr:cNvPr id="2076" name="AutoShape 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114300</xdr:rowOff>
    </xdr:to>
    <xdr:sp macro="" textlink="">
      <xdr:nvSpPr>
        <xdr:cNvPr id="2077" name="AutoShape 2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114300</xdr:rowOff>
    </xdr:to>
    <xdr:sp macro="" textlink="">
      <xdr:nvSpPr>
        <xdr:cNvPr id="2078" name="AutoShape 3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304800</xdr:colOff>
      <xdr:row>15</xdr:row>
      <xdr:rowOff>76200</xdr:rowOff>
    </xdr:to>
    <xdr:sp macro="" textlink="">
      <xdr:nvSpPr>
        <xdr:cNvPr id="2079" name="AutoShape 3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304800</xdr:colOff>
      <xdr:row>15</xdr:row>
      <xdr:rowOff>76200</xdr:rowOff>
    </xdr:to>
    <xdr:sp macro="" textlink="">
      <xdr:nvSpPr>
        <xdr:cNvPr id="2080" name="AutoShape 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114300</xdr:rowOff>
    </xdr:to>
    <xdr:sp macro="" textlink="">
      <xdr:nvSpPr>
        <xdr:cNvPr id="2081" name="AutoShape 3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114300</xdr:rowOff>
    </xdr:to>
    <xdr:sp macro="" textlink="">
      <xdr:nvSpPr>
        <xdr:cNvPr id="2082" name="AutoShape 3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114300</xdr:rowOff>
    </xdr:to>
    <xdr:sp macro="" textlink="">
      <xdr:nvSpPr>
        <xdr:cNvPr id="2083" name="AutoShape 3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114300</xdr:rowOff>
    </xdr:to>
    <xdr:sp macro="" textlink="">
      <xdr:nvSpPr>
        <xdr:cNvPr id="2084" name="AutoShape 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304800</xdr:colOff>
      <xdr:row>19</xdr:row>
      <xdr:rowOff>114300</xdr:rowOff>
    </xdr:to>
    <xdr:sp macro="" textlink="">
      <xdr:nvSpPr>
        <xdr:cNvPr id="2085" name="AutoShape 3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304800</xdr:colOff>
      <xdr:row>19</xdr:row>
      <xdr:rowOff>114300</xdr:rowOff>
    </xdr:to>
    <xdr:sp macro="" textlink="">
      <xdr:nvSpPr>
        <xdr:cNvPr id="2086" name="AutoShape 3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114300</xdr:rowOff>
    </xdr:to>
    <xdr:sp macro="" textlink="">
      <xdr:nvSpPr>
        <xdr:cNvPr id="2087" name="AutoShape 3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114300</xdr:rowOff>
    </xdr:to>
    <xdr:sp macro="" textlink="">
      <xdr:nvSpPr>
        <xdr:cNvPr id="2088" name="AutoShape 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304800</xdr:colOff>
      <xdr:row>21</xdr:row>
      <xdr:rowOff>114300</xdr:rowOff>
    </xdr:to>
    <xdr:sp macro="" textlink="">
      <xdr:nvSpPr>
        <xdr:cNvPr id="2089" name="AutoShape 4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304800</xdr:colOff>
      <xdr:row>21</xdr:row>
      <xdr:rowOff>114300</xdr:rowOff>
    </xdr:to>
    <xdr:sp macro="" textlink="">
      <xdr:nvSpPr>
        <xdr:cNvPr id="2090" name="AutoShape 4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304800</xdr:colOff>
      <xdr:row>21</xdr:row>
      <xdr:rowOff>114300</xdr:rowOff>
    </xdr:to>
    <xdr:sp macro="" textlink="">
      <xdr:nvSpPr>
        <xdr:cNvPr id="2091" name="AutoShape 4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304800</xdr:colOff>
      <xdr:row>21</xdr:row>
      <xdr:rowOff>114300</xdr:rowOff>
    </xdr:to>
    <xdr:sp macro="" textlink="">
      <xdr:nvSpPr>
        <xdr:cNvPr id="2092" name="AutoShape 4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114300</xdr:rowOff>
    </xdr:to>
    <xdr:sp macro="" textlink="">
      <xdr:nvSpPr>
        <xdr:cNvPr id="2093" name="AutoShape 4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114300</xdr:rowOff>
    </xdr:to>
    <xdr:sp macro="" textlink="">
      <xdr:nvSpPr>
        <xdr:cNvPr id="2094" name="AutoShape 4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304800</xdr:colOff>
      <xdr:row>23</xdr:row>
      <xdr:rowOff>114300</xdr:rowOff>
    </xdr:to>
    <xdr:sp macro="" textlink="">
      <xdr:nvSpPr>
        <xdr:cNvPr id="2095" name="AutoShape 4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304800</xdr:colOff>
      <xdr:row>23</xdr:row>
      <xdr:rowOff>114300</xdr:rowOff>
    </xdr:to>
    <xdr:sp macro="" textlink="">
      <xdr:nvSpPr>
        <xdr:cNvPr id="2096" name="AutoShape 4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114300</xdr:rowOff>
    </xdr:to>
    <xdr:sp macro="" textlink="">
      <xdr:nvSpPr>
        <xdr:cNvPr id="2097" name="AutoShape 4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114300</xdr:rowOff>
    </xdr:to>
    <xdr:sp macro="" textlink="">
      <xdr:nvSpPr>
        <xdr:cNvPr id="2098" name="AutoShape 5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304800</xdr:colOff>
      <xdr:row>25</xdr:row>
      <xdr:rowOff>114300</xdr:rowOff>
    </xdr:to>
    <xdr:sp macro="" textlink="">
      <xdr:nvSpPr>
        <xdr:cNvPr id="2099" name="AutoShape 5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304800</xdr:colOff>
      <xdr:row>25</xdr:row>
      <xdr:rowOff>114300</xdr:rowOff>
    </xdr:to>
    <xdr:sp macro="" textlink="">
      <xdr:nvSpPr>
        <xdr:cNvPr id="2100" name="AutoShape 5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304800</xdr:colOff>
      <xdr:row>25</xdr:row>
      <xdr:rowOff>114300</xdr:rowOff>
    </xdr:to>
    <xdr:sp macro="" textlink="">
      <xdr:nvSpPr>
        <xdr:cNvPr id="2101" name="AutoShape 5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304800</xdr:colOff>
      <xdr:row>25</xdr:row>
      <xdr:rowOff>114300</xdr:rowOff>
    </xdr:to>
    <xdr:sp macro="" textlink="">
      <xdr:nvSpPr>
        <xdr:cNvPr id="2102" name="AutoShape 5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304800</xdr:colOff>
      <xdr:row>25</xdr:row>
      <xdr:rowOff>114300</xdr:rowOff>
    </xdr:to>
    <xdr:sp macro="" textlink="">
      <xdr:nvSpPr>
        <xdr:cNvPr id="2103" name="AutoShape 5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304800</xdr:colOff>
      <xdr:row>25</xdr:row>
      <xdr:rowOff>114300</xdr:rowOff>
    </xdr:to>
    <xdr:sp macro="" textlink="">
      <xdr:nvSpPr>
        <xdr:cNvPr id="2104" name="AutoShape 5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114300</xdr:rowOff>
    </xdr:to>
    <xdr:sp macro="" textlink="">
      <xdr:nvSpPr>
        <xdr:cNvPr id="2105" name="AutoShape 5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114300</xdr:rowOff>
    </xdr:to>
    <xdr:sp macro="" textlink="">
      <xdr:nvSpPr>
        <xdr:cNvPr id="2106" name="AutoShape 5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114300</xdr:rowOff>
    </xdr:to>
    <xdr:sp macro="" textlink="">
      <xdr:nvSpPr>
        <xdr:cNvPr id="2107" name="AutoShape 5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114300</xdr:rowOff>
    </xdr:to>
    <xdr:sp macro="" textlink="">
      <xdr:nvSpPr>
        <xdr:cNvPr id="2108" name="AutoShape 6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114300</xdr:rowOff>
    </xdr:to>
    <xdr:sp macro="" textlink="">
      <xdr:nvSpPr>
        <xdr:cNvPr id="2109" name="AutoShape 6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114300</xdr:rowOff>
    </xdr:to>
    <xdr:sp macro="" textlink="">
      <xdr:nvSpPr>
        <xdr:cNvPr id="2110" name="AutoShape 6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304800</xdr:colOff>
      <xdr:row>27</xdr:row>
      <xdr:rowOff>114300</xdr:rowOff>
    </xdr:to>
    <xdr:sp macro="" textlink="">
      <xdr:nvSpPr>
        <xdr:cNvPr id="2111" name="AutoShape 6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304800</xdr:colOff>
      <xdr:row>27</xdr:row>
      <xdr:rowOff>114300</xdr:rowOff>
    </xdr:to>
    <xdr:sp macro="" textlink="">
      <xdr:nvSpPr>
        <xdr:cNvPr id="2112" name="AutoShape 6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304800</xdr:colOff>
      <xdr:row>27</xdr:row>
      <xdr:rowOff>114300</xdr:rowOff>
    </xdr:to>
    <xdr:sp macro="" textlink="">
      <xdr:nvSpPr>
        <xdr:cNvPr id="2113" name="AutoShape 6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304800</xdr:colOff>
      <xdr:row>27</xdr:row>
      <xdr:rowOff>114300</xdr:rowOff>
    </xdr:to>
    <xdr:sp macro="" textlink="">
      <xdr:nvSpPr>
        <xdr:cNvPr id="2114" name="AutoShape 6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114300</xdr:rowOff>
    </xdr:to>
    <xdr:sp macro="" textlink="">
      <xdr:nvSpPr>
        <xdr:cNvPr id="2115" name="AutoShape 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114300</xdr:rowOff>
    </xdr:to>
    <xdr:sp macro="" textlink="">
      <xdr:nvSpPr>
        <xdr:cNvPr id="2116" name="AutoShape 6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304800</xdr:colOff>
      <xdr:row>29</xdr:row>
      <xdr:rowOff>114300</xdr:rowOff>
    </xdr:to>
    <xdr:sp macro="" textlink="">
      <xdr:nvSpPr>
        <xdr:cNvPr id="2117" name="AutoShape 6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304800</xdr:colOff>
      <xdr:row>29</xdr:row>
      <xdr:rowOff>114300</xdr:rowOff>
    </xdr:to>
    <xdr:sp macro="" textlink="">
      <xdr:nvSpPr>
        <xdr:cNvPr id="2118" name="AutoShape 7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114300</xdr:rowOff>
    </xdr:to>
    <xdr:sp macro="" textlink="">
      <xdr:nvSpPr>
        <xdr:cNvPr id="2119" name="AutoShape 7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114300</xdr:rowOff>
    </xdr:to>
    <xdr:sp macro="" textlink="">
      <xdr:nvSpPr>
        <xdr:cNvPr id="2120" name="AutoShape 7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304800</xdr:colOff>
      <xdr:row>31</xdr:row>
      <xdr:rowOff>114300</xdr:rowOff>
    </xdr:to>
    <xdr:sp macro="" textlink="">
      <xdr:nvSpPr>
        <xdr:cNvPr id="2121" name="AutoShape 7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304800</xdr:colOff>
      <xdr:row>31</xdr:row>
      <xdr:rowOff>114300</xdr:rowOff>
    </xdr:to>
    <xdr:sp macro="" textlink="">
      <xdr:nvSpPr>
        <xdr:cNvPr id="2122" name="AutoShape 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114300</xdr:rowOff>
    </xdr:to>
    <xdr:sp macro="" textlink="">
      <xdr:nvSpPr>
        <xdr:cNvPr id="2123" name="AutoShape 7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114300</xdr:rowOff>
    </xdr:to>
    <xdr:sp macro="" textlink="">
      <xdr:nvSpPr>
        <xdr:cNvPr id="2124" name="AutoShape 7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304800</xdr:colOff>
      <xdr:row>33</xdr:row>
      <xdr:rowOff>114300</xdr:rowOff>
    </xdr:to>
    <xdr:sp macro="" textlink="">
      <xdr:nvSpPr>
        <xdr:cNvPr id="2125" name="AutoShape 7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304800</xdr:colOff>
      <xdr:row>33</xdr:row>
      <xdr:rowOff>114300</xdr:rowOff>
    </xdr:to>
    <xdr:sp macro="" textlink="">
      <xdr:nvSpPr>
        <xdr:cNvPr id="2126" name="AutoShape 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114300</xdr:rowOff>
    </xdr:to>
    <xdr:sp macro="" textlink="">
      <xdr:nvSpPr>
        <xdr:cNvPr id="2127" name="AutoShape 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114300</xdr:rowOff>
    </xdr:to>
    <xdr:sp macro="" textlink="">
      <xdr:nvSpPr>
        <xdr:cNvPr id="2128" name="AutoShape 8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304800</xdr:colOff>
      <xdr:row>35</xdr:row>
      <xdr:rowOff>114300</xdr:rowOff>
    </xdr:to>
    <xdr:sp macro="" textlink="">
      <xdr:nvSpPr>
        <xdr:cNvPr id="2129" name="AutoShape 8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304800</xdr:colOff>
      <xdr:row>35</xdr:row>
      <xdr:rowOff>114300</xdr:rowOff>
    </xdr:to>
    <xdr:sp macro="" textlink="">
      <xdr:nvSpPr>
        <xdr:cNvPr id="2130" name="AutoShape 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304800</xdr:colOff>
      <xdr:row>37</xdr:row>
      <xdr:rowOff>114300</xdr:rowOff>
    </xdr:to>
    <xdr:sp macro="" textlink="">
      <xdr:nvSpPr>
        <xdr:cNvPr id="2131" name="AutoShape 8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304800</xdr:colOff>
      <xdr:row>37</xdr:row>
      <xdr:rowOff>114300</xdr:rowOff>
    </xdr:to>
    <xdr:sp macro="" textlink="">
      <xdr:nvSpPr>
        <xdr:cNvPr id="2132" name="AutoShape 8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304800</xdr:colOff>
      <xdr:row>39</xdr:row>
      <xdr:rowOff>114300</xdr:rowOff>
    </xdr:to>
    <xdr:sp macro="" textlink="">
      <xdr:nvSpPr>
        <xdr:cNvPr id="2133" name="AutoShape 8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304800</xdr:colOff>
      <xdr:row>39</xdr:row>
      <xdr:rowOff>114300</xdr:rowOff>
    </xdr:to>
    <xdr:sp macro="" textlink="">
      <xdr:nvSpPr>
        <xdr:cNvPr id="2134" name="AutoShape 8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304800</xdr:colOff>
      <xdr:row>41</xdr:row>
      <xdr:rowOff>114300</xdr:rowOff>
    </xdr:to>
    <xdr:sp macro="" textlink="">
      <xdr:nvSpPr>
        <xdr:cNvPr id="2135" name="AutoShape 8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304800</xdr:colOff>
      <xdr:row>41</xdr:row>
      <xdr:rowOff>114300</xdr:rowOff>
    </xdr:to>
    <xdr:sp macro="" textlink="">
      <xdr:nvSpPr>
        <xdr:cNvPr id="2136" name="AutoShape 8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114300</xdr:rowOff>
    </xdr:to>
    <xdr:sp macro="" textlink="">
      <xdr:nvSpPr>
        <xdr:cNvPr id="2137" name="AutoShape 8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114300</xdr:rowOff>
    </xdr:to>
    <xdr:sp macro="" textlink="">
      <xdr:nvSpPr>
        <xdr:cNvPr id="2138" name="AutoShape 9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114300</xdr:rowOff>
    </xdr:to>
    <xdr:sp macro="" textlink="">
      <xdr:nvSpPr>
        <xdr:cNvPr id="2139" name="AutoShape 9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114300</xdr:rowOff>
    </xdr:to>
    <xdr:sp macro="" textlink="">
      <xdr:nvSpPr>
        <xdr:cNvPr id="2140" name="AutoShape 9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114300</xdr:rowOff>
    </xdr:to>
    <xdr:sp macro="" textlink="">
      <xdr:nvSpPr>
        <xdr:cNvPr id="2141" name="AutoShape 9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114300</xdr:rowOff>
    </xdr:to>
    <xdr:sp macro="" textlink="">
      <xdr:nvSpPr>
        <xdr:cNvPr id="2142" name="AutoShape 9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114300</xdr:rowOff>
    </xdr:to>
    <xdr:sp macro="" textlink="">
      <xdr:nvSpPr>
        <xdr:cNvPr id="2143" name="AutoShape 9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114300</xdr:rowOff>
    </xdr:to>
    <xdr:sp macro="" textlink="">
      <xdr:nvSpPr>
        <xdr:cNvPr id="2144" name="AutoShape 9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114300</xdr:rowOff>
    </xdr:to>
    <xdr:sp macro="" textlink="">
      <xdr:nvSpPr>
        <xdr:cNvPr id="2145" name="AutoShape 9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114300</xdr:rowOff>
    </xdr:to>
    <xdr:sp macro="" textlink="">
      <xdr:nvSpPr>
        <xdr:cNvPr id="2146" name="AutoShape 9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114300</xdr:rowOff>
    </xdr:to>
    <xdr:sp macro="" textlink="">
      <xdr:nvSpPr>
        <xdr:cNvPr id="2147" name="AutoShape 9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114300</xdr:rowOff>
    </xdr:to>
    <xdr:sp macro="" textlink="">
      <xdr:nvSpPr>
        <xdr:cNvPr id="2148" name="AutoShape 10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114300</xdr:rowOff>
    </xdr:to>
    <xdr:sp macro="" textlink="">
      <xdr:nvSpPr>
        <xdr:cNvPr id="2149" name="AutoShape 10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114300</xdr:rowOff>
    </xdr:to>
    <xdr:sp macro="" textlink="">
      <xdr:nvSpPr>
        <xdr:cNvPr id="2150" name="AutoShape 10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304800</xdr:colOff>
      <xdr:row>47</xdr:row>
      <xdr:rowOff>114300</xdr:rowOff>
    </xdr:to>
    <xdr:sp macro="" textlink="">
      <xdr:nvSpPr>
        <xdr:cNvPr id="2151" name="AutoShape 10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304800</xdr:colOff>
      <xdr:row>47</xdr:row>
      <xdr:rowOff>114300</xdr:rowOff>
    </xdr:to>
    <xdr:sp macro="" textlink="">
      <xdr:nvSpPr>
        <xdr:cNvPr id="2152" name="AutoShape 10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304800</xdr:colOff>
      <xdr:row>47</xdr:row>
      <xdr:rowOff>114300</xdr:rowOff>
    </xdr:to>
    <xdr:sp macro="" textlink="">
      <xdr:nvSpPr>
        <xdr:cNvPr id="2153" name="AutoShape 1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304800</xdr:colOff>
      <xdr:row>47</xdr:row>
      <xdr:rowOff>114300</xdr:rowOff>
    </xdr:to>
    <xdr:sp macro="" textlink="">
      <xdr:nvSpPr>
        <xdr:cNvPr id="2154" name="AutoShape 10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304800</xdr:colOff>
      <xdr:row>47</xdr:row>
      <xdr:rowOff>114300</xdr:rowOff>
    </xdr:to>
    <xdr:sp macro="" textlink="">
      <xdr:nvSpPr>
        <xdr:cNvPr id="2155" name="AutoShape 10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304800</xdr:colOff>
      <xdr:row>47</xdr:row>
      <xdr:rowOff>114300</xdr:rowOff>
    </xdr:to>
    <xdr:sp macro="" textlink="">
      <xdr:nvSpPr>
        <xdr:cNvPr id="2156" name="AutoShape 10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114300</xdr:rowOff>
    </xdr:to>
    <xdr:sp macro="" textlink="">
      <xdr:nvSpPr>
        <xdr:cNvPr id="2157" name="AutoShape 10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114300</xdr:rowOff>
    </xdr:to>
    <xdr:sp macro="" textlink="">
      <xdr:nvSpPr>
        <xdr:cNvPr id="2158" name="AutoShape 11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304800</xdr:colOff>
      <xdr:row>49</xdr:row>
      <xdr:rowOff>114300</xdr:rowOff>
    </xdr:to>
    <xdr:sp macro="" textlink="">
      <xdr:nvSpPr>
        <xdr:cNvPr id="2159" name="AutoShape 1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304800</xdr:colOff>
      <xdr:row>49</xdr:row>
      <xdr:rowOff>114300</xdr:rowOff>
    </xdr:to>
    <xdr:sp macro="" textlink="">
      <xdr:nvSpPr>
        <xdr:cNvPr id="2160" name="AutoShape 11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114300</xdr:rowOff>
    </xdr:to>
    <xdr:sp macro="" textlink="">
      <xdr:nvSpPr>
        <xdr:cNvPr id="2161" name="AutoShape 11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114300</xdr:rowOff>
    </xdr:to>
    <xdr:sp macro="" textlink="">
      <xdr:nvSpPr>
        <xdr:cNvPr id="2162" name="AutoShape 11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114300</xdr:rowOff>
    </xdr:to>
    <xdr:sp macro="" textlink="">
      <xdr:nvSpPr>
        <xdr:cNvPr id="2163" name="AutoShape 11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114300</xdr:rowOff>
    </xdr:to>
    <xdr:sp macro="" textlink="">
      <xdr:nvSpPr>
        <xdr:cNvPr id="2164" name="AutoShape 11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304800</xdr:colOff>
      <xdr:row>53</xdr:row>
      <xdr:rowOff>114300</xdr:rowOff>
    </xdr:to>
    <xdr:sp macro="" textlink="">
      <xdr:nvSpPr>
        <xdr:cNvPr id="2165" name="AutoShape 11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304800</xdr:colOff>
      <xdr:row>53</xdr:row>
      <xdr:rowOff>114300</xdr:rowOff>
    </xdr:to>
    <xdr:sp macro="" textlink="">
      <xdr:nvSpPr>
        <xdr:cNvPr id="2166" name="AutoShape 1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114300</xdr:rowOff>
    </xdr:to>
    <xdr:sp macro="" textlink="">
      <xdr:nvSpPr>
        <xdr:cNvPr id="2167" name="AutoShape 11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114300</xdr:rowOff>
    </xdr:to>
    <xdr:sp macro="" textlink="">
      <xdr:nvSpPr>
        <xdr:cNvPr id="2168" name="AutoShape 12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114300</xdr:rowOff>
    </xdr:to>
    <xdr:sp macro="" textlink="">
      <xdr:nvSpPr>
        <xdr:cNvPr id="2169" name="AutoShape 12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114300</xdr:rowOff>
    </xdr:to>
    <xdr:sp macro="" textlink="">
      <xdr:nvSpPr>
        <xdr:cNvPr id="2170" name="AutoShape 12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</xdr:row>
      <xdr:rowOff>0</xdr:rowOff>
    </xdr:from>
    <xdr:to>
      <xdr:col>0</xdr:col>
      <xdr:colOff>304800</xdr:colOff>
      <xdr:row>57</xdr:row>
      <xdr:rowOff>114300</xdr:rowOff>
    </xdr:to>
    <xdr:sp macro="" textlink="">
      <xdr:nvSpPr>
        <xdr:cNvPr id="2171" name="AutoShape 12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56</xdr:row>
      <xdr:rowOff>0</xdr:rowOff>
    </xdr:from>
    <xdr:to>
      <xdr:col>0</xdr:col>
      <xdr:colOff>304800</xdr:colOff>
      <xdr:row>57</xdr:row>
      <xdr:rowOff>114300</xdr:rowOff>
    </xdr:to>
    <xdr:sp macro="" textlink="">
      <xdr:nvSpPr>
        <xdr:cNvPr id="2172" name="AutoShape 12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114300</xdr:rowOff>
    </xdr:to>
    <xdr:sp macro="" textlink="">
      <xdr:nvSpPr>
        <xdr:cNvPr id="2173" name="AutoShape 12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114300</xdr:rowOff>
    </xdr:to>
    <xdr:sp macro="" textlink="">
      <xdr:nvSpPr>
        <xdr:cNvPr id="2174" name="AutoShape 12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114300</xdr:rowOff>
    </xdr:to>
    <xdr:sp macro="" textlink="">
      <xdr:nvSpPr>
        <xdr:cNvPr id="2175" name="AutoShape 12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114300</xdr:rowOff>
    </xdr:to>
    <xdr:sp macro="" textlink="">
      <xdr:nvSpPr>
        <xdr:cNvPr id="2176" name="AutoShape 12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</xdr:row>
      <xdr:rowOff>0</xdr:rowOff>
    </xdr:from>
    <xdr:to>
      <xdr:col>0</xdr:col>
      <xdr:colOff>304800</xdr:colOff>
      <xdr:row>59</xdr:row>
      <xdr:rowOff>114300</xdr:rowOff>
    </xdr:to>
    <xdr:sp macro="" textlink="">
      <xdr:nvSpPr>
        <xdr:cNvPr id="2177" name="AutoShape 1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58</xdr:row>
      <xdr:rowOff>0</xdr:rowOff>
    </xdr:from>
    <xdr:to>
      <xdr:col>0</xdr:col>
      <xdr:colOff>304800</xdr:colOff>
      <xdr:row>59</xdr:row>
      <xdr:rowOff>114300</xdr:rowOff>
    </xdr:to>
    <xdr:sp macro="" textlink="">
      <xdr:nvSpPr>
        <xdr:cNvPr id="2178" name="AutoShape 13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114300</xdr:rowOff>
    </xdr:to>
    <xdr:sp macro="" textlink="">
      <xdr:nvSpPr>
        <xdr:cNvPr id="2179" name="AutoShape 13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114300</xdr:rowOff>
    </xdr:to>
    <xdr:sp macro="" textlink="">
      <xdr:nvSpPr>
        <xdr:cNvPr id="2180" name="AutoShape 13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304800</xdr:colOff>
      <xdr:row>61</xdr:row>
      <xdr:rowOff>114300</xdr:rowOff>
    </xdr:to>
    <xdr:sp macro="" textlink="">
      <xdr:nvSpPr>
        <xdr:cNvPr id="2181" name="AutoShape 1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304800</xdr:colOff>
      <xdr:row>61</xdr:row>
      <xdr:rowOff>114300</xdr:rowOff>
    </xdr:to>
    <xdr:sp macro="" textlink="">
      <xdr:nvSpPr>
        <xdr:cNvPr id="2182" name="AutoShape 13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304800</xdr:colOff>
      <xdr:row>61</xdr:row>
      <xdr:rowOff>114300</xdr:rowOff>
    </xdr:to>
    <xdr:sp macro="" textlink="">
      <xdr:nvSpPr>
        <xdr:cNvPr id="2183" name="AutoShape 1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304800</xdr:colOff>
      <xdr:row>61</xdr:row>
      <xdr:rowOff>114300</xdr:rowOff>
    </xdr:to>
    <xdr:sp macro="" textlink="">
      <xdr:nvSpPr>
        <xdr:cNvPr id="2184" name="AutoShape 13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304800</xdr:colOff>
      <xdr:row>61</xdr:row>
      <xdr:rowOff>114300</xdr:rowOff>
    </xdr:to>
    <xdr:sp macro="" textlink="">
      <xdr:nvSpPr>
        <xdr:cNvPr id="2185" name="AutoShape 13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304800</xdr:colOff>
      <xdr:row>61</xdr:row>
      <xdr:rowOff>114300</xdr:rowOff>
    </xdr:to>
    <xdr:sp macro="" textlink="">
      <xdr:nvSpPr>
        <xdr:cNvPr id="2186" name="AutoShape 13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114300</xdr:rowOff>
    </xdr:to>
    <xdr:sp macro="" textlink="">
      <xdr:nvSpPr>
        <xdr:cNvPr id="2187" name="AutoShape 13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114300</xdr:rowOff>
    </xdr:to>
    <xdr:sp macro="" textlink="">
      <xdr:nvSpPr>
        <xdr:cNvPr id="2188" name="AutoShape 14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62</xdr:row>
      <xdr:rowOff>0</xdr:rowOff>
    </xdr:from>
    <xdr:to>
      <xdr:col>0</xdr:col>
      <xdr:colOff>304800</xdr:colOff>
      <xdr:row>63</xdr:row>
      <xdr:rowOff>114300</xdr:rowOff>
    </xdr:to>
    <xdr:sp macro="" textlink="">
      <xdr:nvSpPr>
        <xdr:cNvPr id="2189" name="AutoShape 1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62</xdr:row>
      <xdr:rowOff>0</xdr:rowOff>
    </xdr:from>
    <xdr:to>
      <xdr:col>0</xdr:col>
      <xdr:colOff>304800</xdr:colOff>
      <xdr:row>63</xdr:row>
      <xdr:rowOff>114300</xdr:rowOff>
    </xdr:to>
    <xdr:sp macro="" textlink="">
      <xdr:nvSpPr>
        <xdr:cNvPr id="2190" name="AutoShape 1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114300</xdr:rowOff>
    </xdr:to>
    <xdr:sp macro="" textlink="">
      <xdr:nvSpPr>
        <xdr:cNvPr id="2191" name="AutoShape 14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114300</xdr:rowOff>
    </xdr:to>
    <xdr:sp macro="" textlink="">
      <xdr:nvSpPr>
        <xdr:cNvPr id="2192" name="AutoShape 14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64</xdr:row>
      <xdr:rowOff>0</xdr:rowOff>
    </xdr:from>
    <xdr:to>
      <xdr:col>0</xdr:col>
      <xdr:colOff>304800</xdr:colOff>
      <xdr:row>65</xdr:row>
      <xdr:rowOff>114300</xdr:rowOff>
    </xdr:to>
    <xdr:sp macro="" textlink="">
      <xdr:nvSpPr>
        <xdr:cNvPr id="2193" name="AutoShape 14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64</xdr:row>
      <xdr:rowOff>0</xdr:rowOff>
    </xdr:from>
    <xdr:to>
      <xdr:col>0</xdr:col>
      <xdr:colOff>304800</xdr:colOff>
      <xdr:row>65</xdr:row>
      <xdr:rowOff>114300</xdr:rowOff>
    </xdr:to>
    <xdr:sp macro="" textlink="">
      <xdr:nvSpPr>
        <xdr:cNvPr id="2194" name="AutoShape 14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</xdr:row>
      <xdr:rowOff>0</xdr:rowOff>
    </xdr:from>
    <xdr:to>
      <xdr:col>0</xdr:col>
      <xdr:colOff>304800</xdr:colOff>
      <xdr:row>66</xdr:row>
      <xdr:rowOff>114300</xdr:rowOff>
    </xdr:to>
    <xdr:sp macro="" textlink="">
      <xdr:nvSpPr>
        <xdr:cNvPr id="2195" name="AutoShape 14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</xdr:row>
      <xdr:rowOff>0</xdr:rowOff>
    </xdr:from>
    <xdr:to>
      <xdr:col>0</xdr:col>
      <xdr:colOff>304800</xdr:colOff>
      <xdr:row>66</xdr:row>
      <xdr:rowOff>114300</xdr:rowOff>
    </xdr:to>
    <xdr:sp macro="" textlink="">
      <xdr:nvSpPr>
        <xdr:cNvPr id="2196" name="AutoShape 14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304800</xdr:colOff>
      <xdr:row>67</xdr:row>
      <xdr:rowOff>114300</xdr:rowOff>
    </xdr:to>
    <xdr:sp macro="" textlink="">
      <xdr:nvSpPr>
        <xdr:cNvPr id="2197" name="AutoShape 14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304800</xdr:colOff>
      <xdr:row>67</xdr:row>
      <xdr:rowOff>114300</xdr:rowOff>
    </xdr:to>
    <xdr:sp macro="" textlink="">
      <xdr:nvSpPr>
        <xdr:cNvPr id="2198" name="AutoShape 15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304800</xdr:colOff>
      <xdr:row>67</xdr:row>
      <xdr:rowOff>114300</xdr:rowOff>
    </xdr:to>
    <xdr:sp macro="" textlink="">
      <xdr:nvSpPr>
        <xdr:cNvPr id="2199" name="AutoShape 15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304800</xdr:colOff>
      <xdr:row>67</xdr:row>
      <xdr:rowOff>114300</xdr:rowOff>
    </xdr:to>
    <xdr:sp macro="" textlink="">
      <xdr:nvSpPr>
        <xdr:cNvPr id="2200" name="AutoShape 15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304800</xdr:colOff>
      <xdr:row>68</xdr:row>
      <xdr:rowOff>114300</xdr:rowOff>
    </xdr:to>
    <xdr:sp macro="" textlink="">
      <xdr:nvSpPr>
        <xdr:cNvPr id="2201" name="AutoShape 15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304800</xdr:colOff>
      <xdr:row>68</xdr:row>
      <xdr:rowOff>114300</xdr:rowOff>
    </xdr:to>
    <xdr:sp macro="" textlink="">
      <xdr:nvSpPr>
        <xdr:cNvPr id="2202" name="AutoShape 15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304800</xdr:colOff>
      <xdr:row>68</xdr:row>
      <xdr:rowOff>114300</xdr:rowOff>
    </xdr:to>
    <xdr:sp macro="" textlink="">
      <xdr:nvSpPr>
        <xdr:cNvPr id="2203" name="AutoShape 15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304800</xdr:colOff>
      <xdr:row>68</xdr:row>
      <xdr:rowOff>114300</xdr:rowOff>
    </xdr:to>
    <xdr:sp macro="" textlink="">
      <xdr:nvSpPr>
        <xdr:cNvPr id="2204" name="AutoShape 15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304800</xdr:colOff>
      <xdr:row>68</xdr:row>
      <xdr:rowOff>114300</xdr:rowOff>
    </xdr:to>
    <xdr:sp macro="" textlink="">
      <xdr:nvSpPr>
        <xdr:cNvPr id="2205" name="AutoShape 15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304800</xdr:colOff>
      <xdr:row>68</xdr:row>
      <xdr:rowOff>114300</xdr:rowOff>
    </xdr:to>
    <xdr:sp macro="" textlink="">
      <xdr:nvSpPr>
        <xdr:cNvPr id="2206" name="AutoShape 15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304800</xdr:colOff>
      <xdr:row>68</xdr:row>
      <xdr:rowOff>114300</xdr:rowOff>
    </xdr:to>
    <xdr:sp macro="" textlink="">
      <xdr:nvSpPr>
        <xdr:cNvPr id="2207" name="AutoShape 15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304800</xdr:colOff>
      <xdr:row>68</xdr:row>
      <xdr:rowOff>114300</xdr:rowOff>
    </xdr:to>
    <xdr:sp macro="" textlink="">
      <xdr:nvSpPr>
        <xdr:cNvPr id="2208" name="AutoShape 1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69</xdr:row>
      <xdr:rowOff>0</xdr:rowOff>
    </xdr:from>
    <xdr:to>
      <xdr:col>0</xdr:col>
      <xdr:colOff>304800</xdr:colOff>
      <xdr:row>70</xdr:row>
      <xdr:rowOff>114300</xdr:rowOff>
    </xdr:to>
    <xdr:sp macro="" textlink="">
      <xdr:nvSpPr>
        <xdr:cNvPr id="2209" name="AutoShape 16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69</xdr:row>
      <xdr:rowOff>0</xdr:rowOff>
    </xdr:from>
    <xdr:to>
      <xdr:col>0</xdr:col>
      <xdr:colOff>304800</xdr:colOff>
      <xdr:row>70</xdr:row>
      <xdr:rowOff>114300</xdr:rowOff>
    </xdr:to>
    <xdr:sp macro="" textlink="">
      <xdr:nvSpPr>
        <xdr:cNvPr id="2210" name="AutoShape 1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javascript:void(0);" TargetMode="External"/><Relationship Id="rId1827" Type="http://schemas.openxmlformats.org/officeDocument/2006/relationships/hyperlink" Target="javascript:void(0);" TargetMode="External"/><Relationship Id="rId21" Type="http://schemas.openxmlformats.org/officeDocument/2006/relationships/hyperlink" Target="javascript:void(0);" TargetMode="External"/><Relationship Id="rId2089" Type="http://schemas.openxmlformats.org/officeDocument/2006/relationships/hyperlink" Target="javascript:void(0);" TargetMode="External"/><Relationship Id="rId170" Type="http://schemas.openxmlformats.org/officeDocument/2006/relationships/hyperlink" Target="javascript:void(0);" TargetMode="External"/><Relationship Id="rId2296" Type="http://schemas.openxmlformats.org/officeDocument/2006/relationships/hyperlink" Target="javascript:void(0);" TargetMode="External"/><Relationship Id="rId268" Type="http://schemas.openxmlformats.org/officeDocument/2006/relationships/hyperlink" Target="javascript:void(0);" TargetMode="External"/><Relationship Id="rId475" Type="http://schemas.openxmlformats.org/officeDocument/2006/relationships/hyperlink" Target="javascript:void(0);" TargetMode="External"/><Relationship Id="rId682" Type="http://schemas.openxmlformats.org/officeDocument/2006/relationships/hyperlink" Target="javascript:void(0);" TargetMode="External"/><Relationship Id="rId2156" Type="http://schemas.openxmlformats.org/officeDocument/2006/relationships/hyperlink" Target="javascript:void(0);" TargetMode="External"/><Relationship Id="rId2363" Type="http://schemas.openxmlformats.org/officeDocument/2006/relationships/hyperlink" Target="javascript:void(0);" TargetMode="External"/><Relationship Id="rId128" Type="http://schemas.openxmlformats.org/officeDocument/2006/relationships/hyperlink" Target="javascript:void(0);" TargetMode="External"/><Relationship Id="rId335" Type="http://schemas.openxmlformats.org/officeDocument/2006/relationships/hyperlink" Target="javascript:void(0);" TargetMode="External"/><Relationship Id="rId542" Type="http://schemas.openxmlformats.org/officeDocument/2006/relationships/hyperlink" Target="javascript:void(0);" TargetMode="External"/><Relationship Id="rId987" Type="http://schemas.openxmlformats.org/officeDocument/2006/relationships/hyperlink" Target="javascript:void(0);" TargetMode="External"/><Relationship Id="rId1172" Type="http://schemas.openxmlformats.org/officeDocument/2006/relationships/hyperlink" Target="javascript:void(0);" TargetMode="External"/><Relationship Id="rId2016" Type="http://schemas.openxmlformats.org/officeDocument/2006/relationships/hyperlink" Target="javascript:void(0);" TargetMode="External"/><Relationship Id="rId2223" Type="http://schemas.openxmlformats.org/officeDocument/2006/relationships/hyperlink" Target="javascript:void(0);" TargetMode="External"/><Relationship Id="rId2430" Type="http://schemas.openxmlformats.org/officeDocument/2006/relationships/hyperlink" Target="javascript:void(0);" TargetMode="External"/><Relationship Id="rId402" Type="http://schemas.openxmlformats.org/officeDocument/2006/relationships/hyperlink" Target="javascript:void(0);" TargetMode="External"/><Relationship Id="rId847" Type="http://schemas.openxmlformats.org/officeDocument/2006/relationships/hyperlink" Target="javascript:void(0);" TargetMode="External"/><Relationship Id="rId1032" Type="http://schemas.openxmlformats.org/officeDocument/2006/relationships/hyperlink" Target="javascript:void(0);" TargetMode="External"/><Relationship Id="rId1477" Type="http://schemas.openxmlformats.org/officeDocument/2006/relationships/hyperlink" Target="javascript:void(0);" TargetMode="External"/><Relationship Id="rId1684" Type="http://schemas.openxmlformats.org/officeDocument/2006/relationships/hyperlink" Target="javascript:void(0);" TargetMode="External"/><Relationship Id="rId1891" Type="http://schemas.openxmlformats.org/officeDocument/2006/relationships/hyperlink" Target="javascript:void(0);" TargetMode="External"/><Relationship Id="rId707" Type="http://schemas.openxmlformats.org/officeDocument/2006/relationships/hyperlink" Target="javascript:void(0);" TargetMode="External"/><Relationship Id="rId914" Type="http://schemas.openxmlformats.org/officeDocument/2006/relationships/hyperlink" Target="javascript:void(0);" TargetMode="External"/><Relationship Id="rId1337" Type="http://schemas.openxmlformats.org/officeDocument/2006/relationships/hyperlink" Target="javascript:void(0);" TargetMode="External"/><Relationship Id="rId1544" Type="http://schemas.openxmlformats.org/officeDocument/2006/relationships/hyperlink" Target="javascript:void(0);" TargetMode="External"/><Relationship Id="rId1751" Type="http://schemas.openxmlformats.org/officeDocument/2006/relationships/hyperlink" Target="javascript:void(0);" TargetMode="External"/><Relationship Id="rId1989" Type="http://schemas.openxmlformats.org/officeDocument/2006/relationships/hyperlink" Target="javascript:void(0);" TargetMode="External"/><Relationship Id="rId43" Type="http://schemas.openxmlformats.org/officeDocument/2006/relationships/hyperlink" Target="javascript:void(0);" TargetMode="External"/><Relationship Id="rId1404" Type="http://schemas.openxmlformats.org/officeDocument/2006/relationships/hyperlink" Target="javascript:void(0);" TargetMode="External"/><Relationship Id="rId1611" Type="http://schemas.openxmlformats.org/officeDocument/2006/relationships/hyperlink" Target="javascript:void(0);" TargetMode="External"/><Relationship Id="rId1849" Type="http://schemas.openxmlformats.org/officeDocument/2006/relationships/hyperlink" Target="javascript:void(0);" TargetMode="External"/><Relationship Id="rId192" Type="http://schemas.openxmlformats.org/officeDocument/2006/relationships/hyperlink" Target="javascript:void(0);" TargetMode="External"/><Relationship Id="rId1709" Type="http://schemas.openxmlformats.org/officeDocument/2006/relationships/hyperlink" Target="javascript:void(0);" TargetMode="External"/><Relationship Id="rId1916" Type="http://schemas.openxmlformats.org/officeDocument/2006/relationships/hyperlink" Target="javascript:void(0);" TargetMode="External"/><Relationship Id="rId497" Type="http://schemas.openxmlformats.org/officeDocument/2006/relationships/hyperlink" Target="javascript:void(0);" TargetMode="External"/><Relationship Id="rId2080" Type="http://schemas.openxmlformats.org/officeDocument/2006/relationships/hyperlink" Target="javascript:void(0);" TargetMode="External"/><Relationship Id="rId2178" Type="http://schemas.openxmlformats.org/officeDocument/2006/relationships/hyperlink" Target="javascript:void(0);" TargetMode="External"/><Relationship Id="rId2385" Type="http://schemas.openxmlformats.org/officeDocument/2006/relationships/hyperlink" Target="javascript:void(0);" TargetMode="External"/><Relationship Id="rId357" Type="http://schemas.openxmlformats.org/officeDocument/2006/relationships/hyperlink" Target="javascript:void(0);" TargetMode="External"/><Relationship Id="rId1194" Type="http://schemas.openxmlformats.org/officeDocument/2006/relationships/hyperlink" Target="javascript:void(0);" TargetMode="External"/><Relationship Id="rId2038" Type="http://schemas.openxmlformats.org/officeDocument/2006/relationships/hyperlink" Target="javascript:void(0);" TargetMode="External"/><Relationship Id="rId217" Type="http://schemas.openxmlformats.org/officeDocument/2006/relationships/hyperlink" Target="javascript:void(0);" TargetMode="External"/><Relationship Id="rId564" Type="http://schemas.openxmlformats.org/officeDocument/2006/relationships/hyperlink" Target="javascript:void(0);" TargetMode="External"/><Relationship Id="rId771" Type="http://schemas.openxmlformats.org/officeDocument/2006/relationships/hyperlink" Target="javascript:void(0);" TargetMode="External"/><Relationship Id="rId869" Type="http://schemas.openxmlformats.org/officeDocument/2006/relationships/hyperlink" Target="javascript:void(0);" TargetMode="External"/><Relationship Id="rId1499" Type="http://schemas.openxmlformats.org/officeDocument/2006/relationships/hyperlink" Target="javascript:void(0);" TargetMode="External"/><Relationship Id="rId2245" Type="http://schemas.openxmlformats.org/officeDocument/2006/relationships/hyperlink" Target="javascript:void(0);" TargetMode="External"/><Relationship Id="rId2452" Type="http://schemas.openxmlformats.org/officeDocument/2006/relationships/hyperlink" Target="javascript:void(0);" TargetMode="External"/><Relationship Id="rId424" Type="http://schemas.openxmlformats.org/officeDocument/2006/relationships/hyperlink" Target="javascript:void(0);" TargetMode="External"/><Relationship Id="rId631" Type="http://schemas.openxmlformats.org/officeDocument/2006/relationships/hyperlink" Target="javascript:void(0);" TargetMode="External"/><Relationship Id="rId729" Type="http://schemas.openxmlformats.org/officeDocument/2006/relationships/hyperlink" Target="javascript:void(0);" TargetMode="External"/><Relationship Id="rId1054" Type="http://schemas.openxmlformats.org/officeDocument/2006/relationships/hyperlink" Target="javascript:void(0);" TargetMode="External"/><Relationship Id="rId1261" Type="http://schemas.openxmlformats.org/officeDocument/2006/relationships/hyperlink" Target="javascript:void(0);" TargetMode="External"/><Relationship Id="rId1359" Type="http://schemas.openxmlformats.org/officeDocument/2006/relationships/hyperlink" Target="javascript:void(0);" TargetMode="External"/><Relationship Id="rId2105" Type="http://schemas.openxmlformats.org/officeDocument/2006/relationships/hyperlink" Target="javascript:void(0);" TargetMode="External"/><Relationship Id="rId2312" Type="http://schemas.openxmlformats.org/officeDocument/2006/relationships/hyperlink" Target="javascript:void(0);" TargetMode="External"/><Relationship Id="rId936" Type="http://schemas.openxmlformats.org/officeDocument/2006/relationships/hyperlink" Target="javascript:void(0);" TargetMode="External"/><Relationship Id="rId1121" Type="http://schemas.openxmlformats.org/officeDocument/2006/relationships/hyperlink" Target="javascript:void(0);" TargetMode="External"/><Relationship Id="rId1219" Type="http://schemas.openxmlformats.org/officeDocument/2006/relationships/hyperlink" Target="javascript:void(0);" TargetMode="External"/><Relationship Id="rId1566" Type="http://schemas.openxmlformats.org/officeDocument/2006/relationships/hyperlink" Target="javascript:void(0);" TargetMode="External"/><Relationship Id="rId1773" Type="http://schemas.openxmlformats.org/officeDocument/2006/relationships/hyperlink" Target="javascript:void(0);" TargetMode="External"/><Relationship Id="rId1980" Type="http://schemas.openxmlformats.org/officeDocument/2006/relationships/hyperlink" Target="javascript:void(0);" TargetMode="External"/><Relationship Id="rId65" Type="http://schemas.openxmlformats.org/officeDocument/2006/relationships/hyperlink" Target="javascript:void(0);" TargetMode="External"/><Relationship Id="rId1426" Type="http://schemas.openxmlformats.org/officeDocument/2006/relationships/hyperlink" Target="javascript:void(0);" TargetMode="External"/><Relationship Id="rId1633" Type="http://schemas.openxmlformats.org/officeDocument/2006/relationships/hyperlink" Target="javascript:void(0);" TargetMode="External"/><Relationship Id="rId1840" Type="http://schemas.openxmlformats.org/officeDocument/2006/relationships/hyperlink" Target="javascript:void(0);" TargetMode="External"/><Relationship Id="rId1700" Type="http://schemas.openxmlformats.org/officeDocument/2006/relationships/hyperlink" Target="javascript:void(0);" TargetMode="External"/><Relationship Id="rId1938" Type="http://schemas.openxmlformats.org/officeDocument/2006/relationships/hyperlink" Target="javascript:void(0);" TargetMode="External"/><Relationship Id="rId281" Type="http://schemas.openxmlformats.org/officeDocument/2006/relationships/hyperlink" Target="javascript:void(0);" TargetMode="External"/><Relationship Id="rId141" Type="http://schemas.openxmlformats.org/officeDocument/2006/relationships/hyperlink" Target="javascript:void(0);" TargetMode="External"/><Relationship Id="rId379" Type="http://schemas.openxmlformats.org/officeDocument/2006/relationships/hyperlink" Target="javascript:void(0);" TargetMode="External"/><Relationship Id="rId586" Type="http://schemas.openxmlformats.org/officeDocument/2006/relationships/hyperlink" Target="javascript:void(0);" TargetMode="External"/><Relationship Id="rId793" Type="http://schemas.openxmlformats.org/officeDocument/2006/relationships/hyperlink" Target="javascript:void(0);" TargetMode="External"/><Relationship Id="rId2267" Type="http://schemas.openxmlformats.org/officeDocument/2006/relationships/hyperlink" Target="javascript:void(0);" TargetMode="External"/><Relationship Id="rId7" Type="http://schemas.openxmlformats.org/officeDocument/2006/relationships/hyperlink" Target="javascript:void(0);" TargetMode="External"/><Relationship Id="rId239" Type="http://schemas.openxmlformats.org/officeDocument/2006/relationships/hyperlink" Target="javascript:void(0);" TargetMode="External"/><Relationship Id="rId446" Type="http://schemas.openxmlformats.org/officeDocument/2006/relationships/hyperlink" Target="javascript:void(0);" TargetMode="External"/><Relationship Id="rId653" Type="http://schemas.openxmlformats.org/officeDocument/2006/relationships/hyperlink" Target="javascript:void(0);" TargetMode="External"/><Relationship Id="rId1076" Type="http://schemas.openxmlformats.org/officeDocument/2006/relationships/hyperlink" Target="javascript:void(0);" TargetMode="External"/><Relationship Id="rId1283" Type="http://schemas.openxmlformats.org/officeDocument/2006/relationships/hyperlink" Target="javascript:void(0);" TargetMode="External"/><Relationship Id="rId1490" Type="http://schemas.openxmlformats.org/officeDocument/2006/relationships/hyperlink" Target="javascript:void(0);" TargetMode="External"/><Relationship Id="rId2127" Type="http://schemas.openxmlformats.org/officeDocument/2006/relationships/hyperlink" Target="javascript:void(0);" TargetMode="External"/><Relationship Id="rId2334" Type="http://schemas.openxmlformats.org/officeDocument/2006/relationships/hyperlink" Target="javascript:void(0);" TargetMode="External"/><Relationship Id="rId306" Type="http://schemas.openxmlformats.org/officeDocument/2006/relationships/hyperlink" Target="javascript:void(0);" TargetMode="External"/><Relationship Id="rId860" Type="http://schemas.openxmlformats.org/officeDocument/2006/relationships/hyperlink" Target="javascript:void(0);" TargetMode="External"/><Relationship Id="rId958" Type="http://schemas.openxmlformats.org/officeDocument/2006/relationships/hyperlink" Target="javascript:void(0);" TargetMode="External"/><Relationship Id="rId1143" Type="http://schemas.openxmlformats.org/officeDocument/2006/relationships/hyperlink" Target="javascript:void(0);" TargetMode="External"/><Relationship Id="rId1588" Type="http://schemas.openxmlformats.org/officeDocument/2006/relationships/hyperlink" Target="javascript:void(0);" TargetMode="External"/><Relationship Id="rId1795" Type="http://schemas.openxmlformats.org/officeDocument/2006/relationships/hyperlink" Target="javascript:void(0);" TargetMode="External"/><Relationship Id="rId87" Type="http://schemas.openxmlformats.org/officeDocument/2006/relationships/hyperlink" Target="javascript:void(0);" TargetMode="External"/><Relationship Id="rId513" Type="http://schemas.openxmlformats.org/officeDocument/2006/relationships/hyperlink" Target="javascript:void(0);" TargetMode="External"/><Relationship Id="rId720" Type="http://schemas.openxmlformats.org/officeDocument/2006/relationships/hyperlink" Target="javascript:void(0);" TargetMode="External"/><Relationship Id="rId818" Type="http://schemas.openxmlformats.org/officeDocument/2006/relationships/hyperlink" Target="javascript:void(0);" TargetMode="External"/><Relationship Id="rId1350" Type="http://schemas.openxmlformats.org/officeDocument/2006/relationships/hyperlink" Target="javascript:void(0);" TargetMode="External"/><Relationship Id="rId1448" Type="http://schemas.openxmlformats.org/officeDocument/2006/relationships/hyperlink" Target="javascript:void(0);" TargetMode="External"/><Relationship Id="rId1655" Type="http://schemas.openxmlformats.org/officeDocument/2006/relationships/hyperlink" Target="javascript:void(0);" TargetMode="External"/><Relationship Id="rId2401" Type="http://schemas.openxmlformats.org/officeDocument/2006/relationships/hyperlink" Target="javascript:void(0);" TargetMode="External"/><Relationship Id="rId1003" Type="http://schemas.openxmlformats.org/officeDocument/2006/relationships/hyperlink" Target="javascript:void(0);" TargetMode="External"/><Relationship Id="rId1210" Type="http://schemas.openxmlformats.org/officeDocument/2006/relationships/hyperlink" Target="javascript:void(0);" TargetMode="External"/><Relationship Id="rId1308" Type="http://schemas.openxmlformats.org/officeDocument/2006/relationships/hyperlink" Target="javascript:void(0);" TargetMode="External"/><Relationship Id="rId1862" Type="http://schemas.openxmlformats.org/officeDocument/2006/relationships/hyperlink" Target="javascript:void(0);" TargetMode="External"/><Relationship Id="rId1515" Type="http://schemas.openxmlformats.org/officeDocument/2006/relationships/hyperlink" Target="javascript:void(0);" TargetMode="External"/><Relationship Id="rId1722" Type="http://schemas.openxmlformats.org/officeDocument/2006/relationships/hyperlink" Target="javascript:void(0);" TargetMode="External"/><Relationship Id="rId14" Type="http://schemas.openxmlformats.org/officeDocument/2006/relationships/hyperlink" Target="javascript:void(0);" TargetMode="External"/><Relationship Id="rId2191" Type="http://schemas.openxmlformats.org/officeDocument/2006/relationships/hyperlink" Target="javascript:void(0);" TargetMode="External"/><Relationship Id="rId163" Type="http://schemas.openxmlformats.org/officeDocument/2006/relationships/hyperlink" Target="javascript:void(0);" TargetMode="External"/><Relationship Id="rId370" Type="http://schemas.openxmlformats.org/officeDocument/2006/relationships/hyperlink" Target="javascript:void(0);" TargetMode="External"/><Relationship Id="rId2051" Type="http://schemas.openxmlformats.org/officeDocument/2006/relationships/hyperlink" Target="javascript:void(0);" TargetMode="External"/><Relationship Id="rId2289" Type="http://schemas.openxmlformats.org/officeDocument/2006/relationships/hyperlink" Target="javascript:void(0);" TargetMode="External"/><Relationship Id="rId230" Type="http://schemas.openxmlformats.org/officeDocument/2006/relationships/hyperlink" Target="javascript:void(0);" TargetMode="External"/><Relationship Id="rId468" Type="http://schemas.openxmlformats.org/officeDocument/2006/relationships/hyperlink" Target="javascript:void(0);" TargetMode="External"/><Relationship Id="rId675" Type="http://schemas.openxmlformats.org/officeDocument/2006/relationships/hyperlink" Target="javascript:void(0);" TargetMode="External"/><Relationship Id="rId882" Type="http://schemas.openxmlformats.org/officeDocument/2006/relationships/hyperlink" Target="javascript:void(0);" TargetMode="External"/><Relationship Id="rId1098" Type="http://schemas.openxmlformats.org/officeDocument/2006/relationships/hyperlink" Target="javascript:void(0);" TargetMode="External"/><Relationship Id="rId2149" Type="http://schemas.openxmlformats.org/officeDocument/2006/relationships/hyperlink" Target="javascript:void(0);" TargetMode="External"/><Relationship Id="rId2356" Type="http://schemas.openxmlformats.org/officeDocument/2006/relationships/hyperlink" Target="javascript:void(0);" TargetMode="External"/><Relationship Id="rId328" Type="http://schemas.openxmlformats.org/officeDocument/2006/relationships/hyperlink" Target="javascript:void(0);" TargetMode="External"/><Relationship Id="rId535" Type="http://schemas.openxmlformats.org/officeDocument/2006/relationships/hyperlink" Target="javascript:void(0);" TargetMode="External"/><Relationship Id="rId742" Type="http://schemas.openxmlformats.org/officeDocument/2006/relationships/hyperlink" Target="javascript:void(0);" TargetMode="External"/><Relationship Id="rId1165" Type="http://schemas.openxmlformats.org/officeDocument/2006/relationships/hyperlink" Target="javascript:void(0);" TargetMode="External"/><Relationship Id="rId1372" Type="http://schemas.openxmlformats.org/officeDocument/2006/relationships/hyperlink" Target="javascript:void(0);" TargetMode="External"/><Relationship Id="rId2009" Type="http://schemas.openxmlformats.org/officeDocument/2006/relationships/hyperlink" Target="javascript:void(0);" TargetMode="External"/><Relationship Id="rId2216" Type="http://schemas.openxmlformats.org/officeDocument/2006/relationships/hyperlink" Target="javascript:void(0);" TargetMode="External"/><Relationship Id="rId2423" Type="http://schemas.openxmlformats.org/officeDocument/2006/relationships/hyperlink" Target="javascript:void(0);" TargetMode="External"/><Relationship Id="rId602" Type="http://schemas.openxmlformats.org/officeDocument/2006/relationships/hyperlink" Target="javascript:void(0);" TargetMode="External"/><Relationship Id="rId1025" Type="http://schemas.openxmlformats.org/officeDocument/2006/relationships/hyperlink" Target="javascript:void(0);" TargetMode="External"/><Relationship Id="rId1232" Type="http://schemas.openxmlformats.org/officeDocument/2006/relationships/hyperlink" Target="javascript:void(0);" TargetMode="External"/><Relationship Id="rId1677" Type="http://schemas.openxmlformats.org/officeDocument/2006/relationships/hyperlink" Target="javascript:void(0);" TargetMode="External"/><Relationship Id="rId1884" Type="http://schemas.openxmlformats.org/officeDocument/2006/relationships/hyperlink" Target="javascript:void(0);" TargetMode="External"/><Relationship Id="rId907" Type="http://schemas.openxmlformats.org/officeDocument/2006/relationships/hyperlink" Target="javascript:void(0);" TargetMode="External"/><Relationship Id="rId1537" Type="http://schemas.openxmlformats.org/officeDocument/2006/relationships/hyperlink" Target="javascript:void(0);" TargetMode="External"/><Relationship Id="rId1744" Type="http://schemas.openxmlformats.org/officeDocument/2006/relationships/hyperlink" Target="javascript:void(0);" TargetMode="External"/><Relationship Id="rId1951" Type="http://schemas.openxmlformats.org/officeDocument/2006/relationships/hyperlink" Target="javascript:void(0);" TargetMode="External"/><Relationship Id="rId36" Type="http://schemas.openxmlformats.org/officeDocument/2006/relationships/hyperlink" Target="javascript:void(0);" TargetMode="External"/><Relationship Id="rId1604" Type="http://schemas.openxmlformats.org/officeDocument/2006/relationships/hyperlink" Target="javascript:void(0);" TargetMode="External"/><Relationship Id="rId185" Type="http://schemas.openxmlformats.org/officeDocument/2006/relationships/hyperlink" Target="javascript:void(0);" TargetMode="External"/><Relationship Id="rId1811" Type="http://schemas.openxmlformats.org/officeDocument/2006/relationships/hyperlink" Target="javascript:void(0);" TargetMode="External"/><Relationship Id="rId1909" Type="http://schemas.openxmlformats.org/officeDocument/2006/relationships/hyperlink" Target="javascript:void(0);" TargetMode="External"/><Relationship Id="rId392" Type="http://schemas.openxmlformats.org/officeDocument/2006/relationships/hyperlink" Target="javascript:void(0);" TargetMode="External"/><Relationship Id="rId697" Type="http://schemas.openxmlformats.org/officeDocument/2006/relationships/hyperlink" Target="javascript:void(0);" TargetMode="External"/><Relationship Id="rId2073" Type="http://schemas.openxmlformats.org/officeDocument/2006/relationships/hyperlink" Target="javascript:void(0);" TargetMode="External"/><Relationship Id="rId2280" Type="http://schemas.openxmlformats.org/officeDocument/2006/relationships/hyperlink" Target="javascript:void(0);" TargetMode="External"/><Relationship Id="rId2378" Type="http://schemas.openxmlformats.org/officeDocument/2006/relationships/hyperlink" Target="javascript:void(0);" TargetMode="External"/><Relationship Id="rId252" Type="http://schemas.openxmlformats.org/officeDocument/2006/relationships/hyperlink" Target="javascript:void(0);" TargetMode="External"/><Relationship Id="rId1187" Type="http://schemas.openxmlformats.org/officeDocument/2006/relationships/hyperlink" Target="javascript:void(0);" TargetMode="External"/><Relationship Id="rId2140" Type="http://schemas.openxmlformats.org/officeDocument/2006/relationships/hyperlink" Target="javascript:void(0);" TargetMode="External"/><Relationship Id="rId112" Type="http://schemas.openxmlformats.org/officeDocument/2006/relationships/hyperlink" Target="javascript:void(0);" TargetMode="External"/><Relationship Id="rId557" Type="http://schemas.openxmlformats.org/officeDocument/2006/relationships/hyperlink" Target="javascript:void(0);" TargetMode="External"/><Relationship Id="rId764" Type="http://schemas.openxmlformats.org/officeDocument/2006/relationships/hyperlink" Target="javascript:void(0);" TargetMode="External"/><Relationship Id="rId971" Type="http://schemas.openxmlformats.org/officeDocument/2006/relationships/hyperlink" Target="javascript:void(0);" TargetMode="External"/><Relationship Id="rId1394" Type="http://schemas.openxmlformats.org/officeDocument/2006/relationships/hyperlink" Target="javascript:void(0);" TargetMode="External"/><Relationship Id="rId1699" Type="http://schemas.openxmlformats.org/officeDocument/2006/relationships/hyperlink" Target="javascript:void(0);" TargetMode="External"/><Relationship Id="rId2000" Type="http://schemas.openxmlformats.org/officeDocument/2006/relationships/hyperlink" Target="javascript:void(0);" TargetMode="External"/><Relationship Id="rId2238" Type="http://schemas.openxmlformats.org/officeDocument/2006/relationships/hyperlink" Target="javascript:void(0);" TargetMode="External"/><Relationship Id="rId2445" Type="http://schemas.openxmlformats.org/officeDocument/2006/relationships/hyperlink" Target="javascript:void(0);" TargetMode="External"/><Relationship Id="rId417" Type="http://schemas.openxmlformats.org/officeDocument/2006/relationships/hyperlink" Target="javascript:void(0);" TargetMode="External"/><Relationship Id="rId624" Type="http://schemas.openxmlformats.org/officeDocument/2006/relationships/hyperlink" Target="javascript:void(0);" TargetMode="External"/><Relationship Id="rId831" Type="http://schemas.openxmlformats.org/officeDocument/2006/relationships/hyperlink" Target="javascript:void(0);" TargetMode="External"/><Relationship Id="rId1047" Type="http://schemas.openxmlformats.org/officeDocument/2006/relationships/hyperlink" Target="javascript:void(0);" TargetMode="External"/><Relationship Id="rId1254" Type="http://schemas.openxmlformats.org/officeDocument/2006/relationships/hyperlink" Target="javascript:void(0);" TargetMode="External"/><Relationship Id="rId1461" Type="http://schemas.openxmlformats.org/officeDocument/2006/relationships/hyperlink" Target="javascript:void(0);" TargetMode="External"/><Relationship Id="rId2305" Type="http://schemas.openxmlformats.org/officeDocument/2006/relationships/hyperlink" Target="javascript:void(0);" TargetMode="External"/><Relationship Id="rId929" Type="http://schemas.openxmlformats.org/officeDocument/2006/relationships/hyperlink" Target="javascript:void(0);" TargetMode="External"/><Relationship Id="rId1114" Type="http://schemas.openxmlformats.org/officeDocument/2006/relationships/hyperlink" Target="javascript:void(0);" TargetMode="External"/><Relationship Id="rId1321" Type="http://schemas.openxmlformats.org/officeDocument/2006/relationships/hyperlink" Target="javascript:void(0);" TargetMode="External"/><Relationship Id="rId1559" Type="http://schemas.openxmlformats.org/officeDocument/2006/relationships/hyperlink" Target="javascript:void(0);" TargetMode="External"/><Relationship Id="rId1766" Type="http://schemas.openxmlformats.org/officeDocument/2006/relationships/hyperlink" Target="javascript:void(0);" TargetMode="External"/><Relationship Id="rId1973" Type="http://schemas.openxmlformats.org/officeDocument/2006/relationships/hyperlink" Target="javascript:void(0);" TargetMode="External"/><Relationship Id="rId58" Type="http://schemas.openxmlformats.org/officeDocument/2006/relationships/hyperlink" Target="javascript:void(0);" TargetMode="External"/><Relationship Id="rId1419" Type="http://schemas.openxmlformats.org/officeDocument/2006/relationships/hyperlink" Target="javascript:void(0);" TargetMode="External"/><Relationship Id="rId1626" Type="http://schemas.openxmlformats.org/officeDocument/2006/relationships/hyperlink" Target="javascript:void(0);" TargetMode="External"/><Relationship Id="rId1833" Type="http://schemas.openxmlformats.org/officeDocument/2006/relationships/hyperlink" Target="javascript:void(0);" TargetMode="External"/><Relationship Id="rId1900" Type="http://schemas.openxmlformats.org/officeDocument/2006/relationships/hyperlink" Target="javascript:void(0);" TargetMode="External"/><Relationship Id="rId2095" Type="http://schemas.openxmlformats.org/officeDocument/2006/relationships/hyperlink" Target="javascript:void(0);" TargetMode="External"/><Relationship Id="rId274" Type="http://schemas.openxmlformats.org/officeDocument/2006/relationships/hyperlink" Target="javascript:void(0);" TargetMode="External"/><Relationship Id="rId481" Type="http://schemas.openxmlformats.org/officeDocument/2006/relationships/hyperlink" Target="javascript:void(0);" TargetMode="External"/><Relationship Id="rId2162" Type="http://schemas.openxmlformats.org/officeDocument/2006/relationships/hyperlink" Target="javascript:void(0);" TargetMode="External"/><Relationship Id="rId134" Type="http://schemas.openxmlformats.org/officeDocument/2006/relationships/hyperlink" Target="javascript:void(0);" TargetMode="External"/><Relationship Id="rId579" Type="http://schemas.openxmlformats.org/officeDocument/2006/relationships/hyperlink" Target="javascript:void(0);" TargetMode="External"/><Relationship Id="rId786" Type="http://schemas.openxmlformats.org/officeDocument/2006/relationships/hyperlink" Target="javascript:void(0);" TargetMode="External"/><Relationship Id="rId993" Type="http://schemas.openxmlformats.org/officeDocument/2006/relationships/hyperlink" Target="javascript:void(0);" TargetMode="External"/><Relationship Id="rId341" Type="http://schemas.openxmlformats.org/officeDocument/2006/relationships/hyperlink" Target="javascript:void(0);" TargetMode="External"/><Relationship Id="rId439" Type="http://schemas.openxmlformats.org/officeDocument/2006/relationships/hyperlink" Target="javascript:void(0);" TargetMode="External"/><Relationship Id="rId646" Type="http://schemas.openxmlformats.org/officeDocument/2006/relationships/hyperlink" Target="javascript:void(0);" TargetMode="External"/><Relationship Id="rId1069" Type="http://schemas.openxmlformats.org/officeDocument/2006/relationships/hyperlink" Target="javascript:void(0);" TargetMode="External"/><Relationship Id="rId1276" Type="http://schemas.openxmlformats.org/officeDocument/2006/relationships/hyperlink" Target="javascript:void(0);" TargetMode="External"/><Relationship Id="rId1483" Type="http://schemas.openxmlformats.org/officeDocument/2006/relationships/hyperlink" Target="javascript:void(0);" TargetMode="External"/><Relationship Id="rId2022" Type="http://schemas.openxmlformats.org/officeDocument/2006/relationships/hyperlink" Target="javascript:void(0);" TargetMode="External"/><Relationship Id="rId2327" Type="http://schemas.openxmlformats.org/officeDocument/2006/relationships/hyperlink" Target="javascript:void(0);" TargetMode="External"/><Relationship Id="rId201" Type="http://schemas.openxmlformats.org/officeDocument/2006/relationships/hyperlink" Target="javascript:void(0);" TargetMode="External"/><Relationship Id="rId506" Type="http://schemas.openxmlformats.org/officeDocument/2006/relationships/hyperlink" Target="javascript:void(0);" TargetMode="External"/><Relationship Id="rId853" Type="http://schemas.openxmlformats.org/officeDocument/2006/relationships/hyperlink" Target="javascript:void(0);" TargetMode="External"/><Relationship Id="rId1136" Type="http://schemas.openxmlformats.org/officeDocument/2006/relationships/hyperlink" Target="javascript:void(0);" TargetMode="External"/><Relationship Id="rId1690" Type="http://schemas.openxmlformats.org/officeDocument/2006/relationships/hyperlink" Target="javascript:void(0);" TargetMode="External"/><Relationship Id="rId1788" Type="http://schemas.openxmlformats.org/officeDocument/2006/relationships/hyperlink" Target="javascript:void(0);" TargetMode="External"/><Relationship Id="rId1995" Type="http://schemas.openxmlformats.org/officeDocument/2006/relationships/hyperlink" Target="javascript:void(0);" TargetMode="External"/><Relationship Id="rId713" Type="http://schemas.openxmlformats.org/officeDocument/2006/relationships/hyperlink" Target="javascript:void(0);" TargetMode="External"/><Relationship Id="rId920" Type="http://schemas.openxmlformats.org/officeDocument/2006/relationships/hyperlink" Target="javascript:void(0);" TargetMode="External"/><Relationship Id="rId1343" Type="http://schemas.openxmlformats.org/officeDocument/2006/relationships/hyperlink" Target="javascript:void(0);" TargetMode="External"/><Relationship Id="rId1550" Type="http://schemas.openxmlformats.org/officeDocument/2006/relationships/hyperlink" Target="javascript:void(0);" TargetMode="External"/><Relationship Id="rId1648" Type="http://schemas.openxmlformats.org/officeDocument/2006/relationships/hyperlink" Target="javascript:void(0);" TargetMode="External"/><Relationship Id="rId1203" Type="http://schemas.openxmlformats.org/officeDocument/2006/relationships/hyperlink" Target="javascript:void(0);" TargetMode="External"/><Relationship Id="rId1410" Type="http://schemas.openxmlformats.org/officeDocument/2006/relationships/hyperlink" Target="javascript:void(0);" TargetMode="External"/><Relationship Id="rId1508" Type="http://schemas.openxmlformats.org/officeDocument/2006/relationships/hyperlink" Target="javascript:void(0);" TargetMode="External"/><Relationship Id="rId1855" Type="http://schemas.openxmlformats.org/officeDocument/2006/relationships/hyperlink" Target="javascript:void(0);" TargetMode="External"/><Relationship Id="rId1715" Type="http://schemas.openxmlformats.org/officeDocument/2006/relationships/hyperlink" Target="javascript:void(0);" TargetMode="External"/><Relationship Id="rId1922" Type="http://schemas.openxmlformats.org/officeDocument/2006/relationships/hyperlink" Target="javascript:void(0);" TargetMode="External"/><Relationship Id="rId296" Type="http://schemas.openxmlformats.org/officeDocument/2006/relationships/hyperlink" Target="javascript:void(0);" TargetMode="External"/><Relationship Id="rId2184" Type="http://schemas.openxmlformats.org/officeDocument/2006/relationships/hyperlink" Target="javascript:void(0);" TargetMode="External"/><Relationship Id="rId2391" Type="http://schemas.openxmlformats.org/officeDocument/2006/relationships/hyperlink" Target="javascript:void(0);" TargetMode="External"/><Relationship Id="rId156" Type="http://schemas.openxmlformats.org/officeDocument/2006/relationships/hyperlink" Target="javascript:void(0);" TargetMode="External"/><Relationship Id="rId363" Type="http://schemas.openxmlformats.org/officeDocument/2006/relationships/hyperlink" Target="javascript:void(0);" TargetMode="External"/><Relationship Id="rId570" Type="http://schemas.openxmlformats.org/officeDocument/2006/relationships/hyperlink" Target="javascript:void(0);" TargetMode="External"/><Relationship Id="rId2044" Type="http://schemas.openxmlformats.org/officeDocument/2006/relationships/hyperlink" Target="javascript:void(0);" TargetMode="External"/><Relationship Id="rId2251" Type="http://schemas.openxmlformats.org/officeDocument/2006/relationships/hyperlink" Target="javascript:void(0);" TargetMode="External"/><Relationship Id="rId223" Type="http://schemas.openxmlformats.org/officeDocument/2006/relationships/hyperlink" Target="javascript:void(0);" TargetMode="External"/><Relationship Id="rId430" Type="http://schemas.openxmlformats.org/officeDocument/2006/relationships/hyperlink" Target="javascript:void(0);" TargetMode="External"/><Relationship Id="rId668" Type="http://schemas.openxmlformats.org/officeDocument/2006/relationships/hyperlink" Target="javascript:void(0);" TargetMode="External"/><Relationship Id="rId875" Type="http://schemas.openxmlformats.org/officeDocument/2006/relationships/hyperlink" Target="javascript:void(0);" TargetMode="External"/><Relationship Id="rId1060" Type="http://schemas.openxmlformats.org/officeDocument/2006/relationships/hyperlink" Target="javascript:void(0);" TargetMode="External"/><Relationship Id="rId1298" Type="http://schemas.openxmlformats.org/officeDocument/2006/relationships/hyperlink" Target="javascript:void(0);" TargetMode="External"/><Relationship Id="rId2111" Type="http://schemas.openxmlformats.org/officeDocument/2006/relationships/hyperlink" Target="javascript:void(0);" TargetMode="External"/><Relationship Id="rId2349" Type="http://schemas.openxmlformats.org/officeDocument/2006/relationships/hyperlink" Target="javascript:void(0);" TargetMode="External"/><Relationship Id="rId528" Type="http://schemas.openxmlformats.org/officeDocument/2006/relationships/hyperlink" Target="javascript:void(0);" TargetMode="External"/><Relationship Id="rId735" Type="http://schemas.openxmlformats.org/officeDocument/2006/relationships/hyperlink" Target="javascript:void(0);" TargetMode="External"/><Relationship Id="rId942" Type="http://schemas.openxmlformats.org/officeDocument/2006/relationships/hyperlink" Target="javascript:void(0);" TargetMode="External"/><Relationship Id="rId1158" Type="http://schemas.openxmlformats.org/officeDocument/2006/relationships/hyperlink" Target="javascript:void(0);" TargetMode="External"/><Relationship Id="rId1365" Type="http://schemas.openxmlformats.org/officeDocument/2006/relationships/hyperlink" Target="javascript:void(0);" TargetMode="External"/><Relationship Id="rId1572" Type="http://schemas.openxmlformats.org/officeDocument/2006/relationships/hyperlink" Target="javascript:void(0);" TargetMode="External"/><Relationship Id="rId2209" Type="http://schemas.openxmlformats.org/officeDocument/2006/relationships/hyperlink" Target="javascript:void(0);" TargetMode="External"/><Relationship Id="rId2416" Type="http://schemas.openxmlformats.org/officeDocument/2006/relationships/hyperlink" Target="javascript:void(0);" TargetMode="External"/><Relationship Id="rId1018" Type="http://schemas.openxmlformats.org/officeDocument/2006/relationships/hyperlink" Target="javascript:void(0);" TargetMode="External"/><Relationship Id="rId1225" Type="http://schemas.openxmlformats.org/officeDocument/2006/relationships/hyperlink" Target="javascript:void(0);" TargetMode="External"/><Relationship Id="rId1432" Type="http://schemas.openxmlformats.org/officeDocument/2006/relationships/hyperlink" Target="javascript:void(0);" TargetMode="External"/><Relationship Id="rId1877" Type="http://schemas.openxmlformats.org/officeDocument/2006/relationships/hyperlink" Target="javascript:void(0);" TargetMode="External"/><Relationship Id="rId71" Type="http://schemas.openxmlformats.org/officeDocument/2006/relationships/hyperlink" Target="javascript:void(0);" TargetMode="External"/><Relationship Id="rId802" Type="http://schemas.openxmlformats.org/officeDocument/2006/relationships/hyperlink" Target="javascript:void(0);" TargetMode="External"/><Relationship Id="rId1737" Type="http://schemas.openxmlformats.org/officeDocument/2006/relationships/hyperlink" Target="javascript:void(0);" TargetMode="External"/><Relationship Id="rId1944" Type="http://schemas.openxmlformats.org/officeDocument/2006/relationships/hyperlink" Target="javascript:void(0);" TargetMode="External"/><Relationship Id="rId29" Type="http://schemas.openxmlformats.org/officeDocument/2006/relationships/hyperlink" Target="javascript:void(0);" TargetMode="External"/><Relationship Id="rId178" Type="http://schemas.openxmlformats.org/officeDocument/2006/relationships/hyperlink" Target="javascript:void(0);" TargetMode="External"/><Relationship Id="rId1804" Type="http://schemas.openxmlformats.org/officeDocument/2006/relationships/hyperlink" Target="javascript:void(0);" TargetMode="External"/><Relationship Id="rId385" Type="http://schemas.openxmlformats.org/officeDocument/2006/relationships/hyperlink" Target="javascript:void(0);" TargetMode="External"/><Relationship Id="rId592" Type="http://schemas.openxmlformats.org/officeDocument/2006/relationships/hyperlink" Target="javascript:void(0);" TargetMode="External"/><Relationship Id="rId2066" Type="http://schemas.openxmlformats.org/officeDocument/2006/relationships/hyperlink" Target="javascript:void(0);" TargetMode="External"/><Relationship Id="rId2273" Type="http://schemas.openxmlformats.org/officeDocument/2006/relationships/hyperlink" Target="javascript:void(0);" TargetMode="External"/><Relationship Id="rId245" Type="http://schemas.openxmlformats.org/officeDocument/2006/relationships/hyperlink" Target="javascript:void(0);" TargetMode="External"/><Relationship Id="rId452" Type="http://schemas.openxmlformats.org/officeDocument/2006/relationships/hyperlink" Target="javascript:void(0);" TargetMode="External"/><Relationship Id="rId897" Type="http://schemas.openxmlformats.org/officeDocument/2006/relationships/hyperlink" Target="javascript:void(0);" TargetMode="External"/><Relationship Id="rId1082" Type="http://schemas.openxmlformats.org/officeDocument/2006/relationships/hyperlink" Target="javascript:void(0);" TargetMode="External"/><Relationship Id="rId2133" Type="http://schemas.openxmlformats.org/officeDocument/2006/relationships/hyperlink" Target="javascript:void(0);" TargetMode="External"/><Relationship Id="rId2340" Type="http://schemas.openxmlformats.org/officeDocument/2006/relationships/hyperlink" Target="javascript:void(0);" TargetMode="External"/><Relationship Id="rId105" Type="http://schemas.openxmlformats.org/officeDocument/2006/relationships/hyperlink" Target="javascript:void(0);" TargetMode="External"/><Relationship Id="rId312" Type="http://schemas.openxmlformats.org/officeDocument/2006/relationships/hyperlink" Target="javascript:void(0);" TargetMode="External"/><Relationship Id="rId757" Type="http://schemas.openxmlformats.org/officeDocument/2006/relationships/hyperlink" Target="javascript:void(0);" TargetMode="External"/><Relationship Id="rId964" Type="http://schemas.openxmlformats.org/officeDocument/2006/relationships/hyperlink" Target="javascript:void(0);" TargetMode="External"/><Relationship Id="rId1387" Type="http://schemas.openxmlformats.org/officeDocument/2006/relationships/hyperlink" Target="javascript:void(0);" TargetMode="External"/><Relationship Id="rId1594" Type="http://schemas.openxmlformats.org/officeDocument/2006/relationships/hyperlink" Target="javascript:void(0);" TargetMode="External"/><Relationship Id="rId2200" Type="http://schemas.openxmlformats.org/officeDocument/2006/relationships/hyperlink" Target="javascript:void(0);" TargetMode="External"/><Relationship Id="rId2438" Type="http://schemas.openxmlformats.org/officeDocument/2006/relationships/hyperlink" Target="javascript:void(0);" TargetMode="External"/><Relationship Id="rId93" Type="http://schemas.openxmlformats.org/officeDocument/2006/relationships/hyperlink" Target="javascript:void(0);" TargetMode="External"/><Relationship Id="rId617" Type="http://schemas.openxmlformats.org/officeDocument/2006/relationships/hyperlink" Target="javascript:void(0);" TargetMode="External"/><Relationship Id="rId824" Type="http://schemas.openxmlformats.org/officeDocument/2006/relationships/hyperlink" Target="javascript:void(0);" TargetMode="External"/><Relationship Id="rId1247" Type="http://schemas.openxmlformats.org/officeDocument/2006/relationships/hyperlink" Target="javascript:void(0);" TargetMode="External"/><Relationship Id="rId1454" Type="http://schemas.openxmlformats.org/officeDocument/2006/relationships/hyperlink" Target="javascript:void(0);" TargetMode="External"/><Relationship Id="rId1661" Type="http://schemas.openxmlformats.org/officeDocument/2006/relationships/hyperlink" Target="javascript:void(0);" TargetMode="External"/><Relationship Id="rId1899" Type="http://schemas.openxmlformats.org/officeDocument/2006/relationships/hyperlink" Target="javascript:void(0);" TargetMode="External"/><Relationship Id="rId1107" Type="http://schemas.openxmlformats.org/officeDocument/2006/relationships/hyperlink" Target="javascript:void(0);" TargetMode="External"/><Relationship Id="rId1314" Type="http://schemas.openxmlformats.org/officeDocument/2006/relationships/hyperlink" Target="javascript:void(0);" TargetMode="External"/><Relationship Id="rId1521" Type="http://schemas.openxmlformats.org/officeDocument/2006/relationships/hyperlink" Target="javascript:void(0);" TargetMode="External"/><Relationship Id="rId1759" Type="http://schemas.openxmlformats.org/officeDocument/2006/relationships/hyperlink" Target="javascript:void(0);" TargetMode="External"/><Relationship Id="rId1966" Type="http://schemas.openxmlformats.org/officeDocument/2006/relationships/hyperlink" Target="javascript:void(0);" TargetMode="External"/><Relationship Id="rId1619" Type="http://schemas.openxmlformats.org/officeDocument/2006/relationships/hyperlink" Target="javascript:void(0);" TargetMode="External"/><Relationship Id="rId1826" Type="http://schemas.openxmlformats.org/officeDocument/2006/relationships/hyperlink" Target="javascript:void(0);" TargetMode="External"/><Relationship Id="rId20" Type="http://schemas.openxmlformats.org/officeDocument/2006/relationships/hyperlink" Target="javascript:void(0);" TargetMode="External"/><Relationship Id="rId2088" Type="http://schemas.openxmlformats.org/officeDocument/2006/relationships/hyperlink" Target="javascript:void(0);" TargetMode="External"/><Relationship Id="rId2295" Type="http://schemas.openxmlformats.org/officeDocument/2006/relationships/hyperlink" Target="javascript:void(0);" TargetMode="External"/><Relationship Id="rId267" Type="http://schemas.openxmlformats.org/officeDocument/2006/relationships/hyperlink" Target="javascript:void(0);" TargetMode="External"/><Relationship Id="rId474" Type="http://schemas.openxmlformats.org/officeDocument/2006/relationships/hyperlink" Target="javascript:void(0);" TargetMode="External"/><Relationship Id="rId2155" Type="http://schemas.openxmlformats.org/officeDocument/2006/relationships/hyperlink" Target="javascript:void(0);" TargetMode="External"/><Relationship Id="rId127" Type="http://schemas.openxmlformats.org/officeDocument/2006/relationships/hyperlink" Target="javascript:void(0);" TargetMode="External"/><Relationship Id="rId681" Type="http://schemas.openxmlformats.org/officeDocument/2006/relationships/hyperlink" Target="javascript:void(0);" TargetMode="External"/><Relationship Id="rId779" Type="http://schemas.openxmlformats.org/officeDocument/2006/relationships/hyperlink" Target="javascript:void(0);" TargetMode="External"/><Relationship Id="rId986" Type="http://schemas.openxmlformats.org/officeDocument/2006/relationships/hyperlink" Target="javascript:void(0);" TargetMode="External"/><Relationship Id="rId2362" Type="http://schemas.openxmlformats.org/officeDocument/2006/relationships/hyperlink" Target="javascript:void(0);" TargetMode="External"/><Relationship Id="rId334" Type="http://schemas.openxmlformats.org/officeDocument/2006/relationships/hyperlink" Target="javascript:void(0);" TargetMode="External"/><Relationship Id="rId541" Type="http://schemas.openxmlformats.org/officeDocument/2006/relationships/hyperlink" Target="javascript:void(0);" TargetMode="External"/><Relationship Id="rId639" Type="http://schemas.openxmlformats.org/officeDocument/2006/relationships/hyperlink" Target="javascript:void(0);" TargetMode="External"/><Relationship Id="rId1171" Type="http://schemas.openxmlformats.org/officeDocument/2006/relationships/hyperlink" Target="javascript:void(0);" TargetMode="External"/><Relationship Id="rId1269" Type="http://schemas.openxmlformats.org/officeDocument/2006/relationships/hyperlink" Target="javascript:void(0);" TargetMode="External"/><Relationship Id="rId1476" Type="http://schemas.openxmlformats.org/officeDocument/2006/relationships/hyperlink" Target="javascript:void(0);" TargetMode="External"/><Relationship Id="rId2015" Type="http://schemas.openxmlformats.org/officeDocument/2006/relationships/hyperlink" Target="javascript:void(0);" TargetMode="External"/><Relationship Id="rId2222" Type="http://schemas.openxmlformats.org/officeDocument/2006/relationships/hyperlink" Target="javascript:void(0);" TargetMode="External"/><Relationship Id="rId401" Type="http://schemas.openxmlformats.org/officeDocument/2006/relationships/hyperlink" Target="javascript:void(0);" TargetMode="External"/><Relationship Id="rId846" Type="http://schemas.openxmlformats.org/officeDocument/2006/relationships/hyperlink" Target="javascript:void(0);" TargetMode="External"/><Relationship Id="rId1031" Type="http://schemas.openxmlformats.org/officeDocument/2006/relationships/hyperlink" Target="javascript:void(0);" TargetMode="External"/><Relationship Id="rId1129" Type="http://schemas.openxmlformats.org/officeDocument/2006/relationships/hyperlink" Target="javascript:void(0);" TargetMode="External"/><Relationship Id="rId1683" Type="http://schemas.openxmlformats.org/officeDocument/2006/relationships/hyperlink" Target="javascript:void(0);" TargetMode="External"/><Relationship Id="rId1890" Type="http://schemas.openxmlformats.org/officeDocument/2006/relationships/hyperlink" Target="javascript:void(0);" TargetMode="External"/><Relationship Id="rId1988" Type="http://schemas.openxmlformats.org/officeDocument/2006/relationships/hyperlink" Target="javascript:void(0);" TargetMode="External"/><Relationship Id="rId706" Type="http://schemas.openxmlformats.org/officeDocument/2006/relationships/hyperlink" Target="javascript:void(0);" TargetMode="External"/><Relationship Id="rId913" Type="http://schemas.openxmlformats.org/officeDocument/2006/relationships/hyperlink" Target="javascript:void(0);" TargetMode="External"/><Relationship Id="rId1336" Type="http://schemas.openxmlformats.org/officeDocument/2006/relationships/hyperlink" Target="javascript:void(0);" TargetMode="External"/><Relationship Id="rId1543" Type="http://schemas.openxmlformats.org/officeDocument/2006/relationships/hyperlink" Target="javascript:void(0);" TargetMode="External"/><Relationship Id="rId1750" Type="http://schemas.openxmlformats.org/officeDocument/2006/relationships/hyperlink" Target="javascript:void(0);" TargetMode="External"/><Relationship Id="rId42" Type="http://schemas.openxmlformats.org/officeDocument/2006/relationships/hyperlink" Target="javascript:void(0);" TargetMode="External"/><Relationship Id="rId1403" Type="http://schemas.openxmlformats.org/officeDocument/2006/relationships/hyperlink" Target="javascript:void(0);" TargetMode="External"/><Relationship Id="rId1610" Type="http://schemas.openxmlformats.org/officeDocument/2006/relationships/hyperlink" Target="javascript:void(0);" TargetMode="External"/><Relationship Id="rId1848" Type="http://schemas.openxmlformats.org/officeDocument/2006/relationships/hyperlink" Target="javascript:void(0);" TargetMode="External"/><Relationship Id="rId191" Type="http://schemas.openxmlformats.org/officeDocument/2006/relationships/hyperlink" Target="javascript:void(0);" TargetMode="External"/><Relationship Id="rId1708" Type="http://schemas.openxmlformats.org/officeDocument/2006/relationships/hyperlink" Target="javascript:void(0);" TargetMode="External"/><Relationship Id="rId1915" Type="http://schemas.openxmlformats.org/officeDocument/2006/relationships/hyperlink" Target="javascript:void(0);" TargetMode="External"/><Relationship Id="rId289" Type="http://schemas.openxmlformats.org/officeDocument/2006/relationships/hyperlink" Target="javascript:void(0);" TargetMode="External"/><Relationship Id="rId496" Type="http://schemas.openxmlformats.org/officeDocument/2006/relationships/hyperlink" Target="javascript:void(0);" TargetMode="External"/><Relationship Id="rId2177" Type="http://schemas.openxmlformats.org/officeDocument/2006/relationships/hyperlink" Target="javascript:void(0);" TargetMode="External"/><Relationship Id="rId2384" Type="http://schemas.openxmlformats.org/officeDocument/2006/relationships/hyperlink" Target="javascript:void(0);" TargetMode="External"/><Relationship Id="rId149" Type="http://schemas.openxmlformats.org/officeDocument/2006/relationships/hyperlink" Target="javascript:void(0);" TargetMode="External"/><Relationship Id="rId356" Type="http://schemas.openxmlformats.org/officeDocument/2006/relationships/hyperlink" Target="javascript:void(0);" TargetMode="External"/><Relationship Id="rId563" Type="http://schemas.openxmlformats.org/officeDocument/2006/relationships/hyperlink" Target="javascript:void(0);" TargetMode="External"/><Relationship Id="rId770" Type="http://schemas.openxmlformats.org/officeDocument/2006/relationships/hyperlink" Target="javascript:void(0);" TargetMode="External"/><Relationship Id="rId1193" Type="http://schemas.openxmlformats.org/officeDocument/2006/relationships/hyperlink" Target="javascript:void(0);" TargetMode="External"/><Relationship Id="rId2037" Type="http://schemas.openxmlformats.org/officeDocument/2006/relationships/hyperlink" Target="javascript:void(0);" TargetMode="External"/><Relationship Id="rId2244" Type="http://schemas.openxmlformats.org/officeDocument/2006/relationships/hyperlink" Target="javascript:void(0);" TargetMode="External"/><Relationship Id="rId2451" Type="http://schemas.openxmlformats.org/officeDocument/2006/relationships/hyperlink" Target="javascript:void(0);" TargetMode="External"/><Relationship Id="rId216" Type="http://schemas.openxmlformats.org/officeDocument/2006/relationships/hyperlink" Target="javascript:void(0);" TargetMode="External"/><Relationship Id="rId423" Type="http://schemas.openxmlformats.org/officeDocument/2006/relationships/hyperlink" Target="javascript:void(0);" TargetMode="External"/><Relationship Id="rId868" Type="http://schemas.openxmlformats.org/officeDocument/2006/relationships/hyperlink" Target="javascript:void(0);" TargetMode="External"/><Relationship Id="rId1053" Type="http://schemas.openxmlformats.org/officeDocument/2006/relationships/hyperlink" Target="javascript:void(0);" TargetMode="External"/><Relationship Id="rId1260" Type="http://schemas.openxmlformats.org/officeDocument/2006/relationships/hyperlink" Target="javascript:void(0);" TargetMode="External"/><Relationship Id="rId1498" Type="http://schemas.openxmlformats.org/officeDocument/2006/relationships/hyperlink" Target="javascript:void(0);" TargetMode="External"/><Relationship Id="rId2104" Type="http://schemas.openxmlformats.org/officeDocument/2006/relationships/hyperlink" Target="javascript:void(0);" TargetMode="External"/><Relationship Id="rId630" Type="http://schemas.openxmlformats.org/officeDocument/2006/relationships/hyperlink" Target="javascript:void(0);" TargetMode="External"/><Relationship Id="rId728" Type="http://schemas.openxmlformats.org/officeDocument/2006/relationships/hyperlink" Target="javascript:void(0);" TargetMode="External"/><Relationship Id="rId935" Type="http://schemas.openxmlformats.org/officeDocument/2006/relationships/hyperlink" Target="javascript:void(0);" TargetMode="External"/><Relationship Id="rId1358" Type="http://schemas.openxmlformats.org/officeDocument/2006/relationships/hyperlink" Target="javascript:void(0);" TargetMode="External"/><Relationship Id="rId1565" Type="http://schemas.openxmlformats.org/officeDocument/2006/relationships/hyperlink" Target="javascript:void(0);" TargetMode="External"/><Relationship Id="rId1772" Type="http://schemas.openxmlformats.org/officeDocument/2006/relationships/hyperlink" Target="javascript:void(0);" TargetMode="External"/><Relationship Id="rId2311" Type="http://schemas.openxmlformats.org/officeDocument/2006/relationships/hyperlink" Target="javascript:void(0);" TargetMode="External"/><Relationship Id="rId2409" Type="http://schemas.openxmlformats.org/officeDocument/2006/relationships/hyperlink" Target="javascript:void(0);" TargetMode="External"/><Relationship Id="rId64" Type="http://schemas.openxmlformats.org/officeDocument/2006/relationships/hyperlink" Target="javascript:void(0);" TargetMode="External"/><Relationship Id="rId1120" Type="http://schemas.openxmlformats.org/officeDocument/2006/relationships/hyperlink" Target="javascript:void(0);" TargetMode="External"/><Relationship Id="rId1218" Type="http://schemas.openxmlformats.org/officeDocument/2006/relationships/hyperlink" Target="javascript:void(0);" TargetMode="External"/><Relationship Id="rId1425" Type="http://schemas.openxmlformats.org/officeDocument/2006/relationships/hyperlink" Target="javascript:void(0);" TargetMode="External"/><Relationship Id="rId1632" Type="http://schemas.openxmlformats.org/officeDocument/2006/relationships/hyperlink" Target="javascript:void(0);" TargetMode="External"/><Relationship Id="rId1937" Type="http://schemas.openxmlformats.org/officeDocument/2006/relationships/hyperlink" Target="javascript:void(0);" TargetMode="External"/><Relationship Id="rId2199" Type="http://schemas.openxmlformats.org/officeDocument/2006/relationships/hyperlink" Target="javascript:void(0);" TargetMode="External"/><Relationship Id="rId280" Type="http://schemas.openxmlformats.org/officeDocument/2006/relationships/hyperlink" Target="javascript:void(0);" TargetMode="External"/><Relationship Id="rId140" Type="http://schemas.openxmlformats.org/officeDocument/2006/relationships/hyperlink" Target="javascript:void(0);" TargetMode="External"/><Relationship Id="rId378" Type="http://schemas.openxmlformats.org/officeDocument/2006/relationships/hyperlink" Target="javascript:void(0);" TargetMode="External"/><Relationship Id="rId585" Type="http://schemas.openxmlformats.org/officeDocument/2006/relationships/hyperlink" Target="javascript:void(0);" TargetMode="External"/><Relationship Id="rId792" Type="http://schemas.openxmlformats.org/officeDocument/2006/relationships/hyperlink" Target="javascript:void(0);" TargetMode="External"/><Relationship Id="rId2059" Type="http://schemas.openxmlformats.org/officeDocument/2006/relationships/hyperlink" Target="javascript:void(0);" TargetMode="External"/><Relationship Id="rId2266" Type="http://schemas.openxmlformats.org/officeDocument/2006/relationships/hyperlink" Target="javascript:void(0);" TargetMode="External"/><Relationship Id="rId6" Type="http://schemas.openxmlformats.org/officeDocument/2006/relationships/hyperlink" Target="javascript:void(0);" TargetMode="External"/><Relationship Id="rId238" Type="http://schemas.openxmlformats.org/officeDocument/2006/relationships/hyperlink" Target="javascript:void(0);" TargetMode="External"/><Relationship Id="rId445" Type="http://schemas.openxmlformats.org/officeDocument/2006/relationships/hyperlink" Target="javascript:void(0);" TargetMode="External"/><Relationship Id="rId652" Type="http://schemas.openxmlformats.org/officeDocument/2006/relationships/hyperlink" Target="javascript:void(0);" TargetMode="External"/><Relationship Id="rId1075" Type="http://schemas.openxmlformats.org/officeDocument/2006/relationships/hyperlink" Target="javascript:void(0);" TargetMode="External"/><Relationship Id="rId1282" Type="http://schemas.openxmlformats.org/officeDocument/2006/relationships/hyperlink" Target="javascript:void(0);" TargetMode="External"/><Relationship Id="rId2126" Type="http://schemas.openxmlformats.org/officeDocument/2006/relationships/hyperlink" Target="javascript:void(0);" TargetMode="External"/><Relationship Id="rId2333" Type="http://schemas.openxmlformats.org/officeDocument/2006/relationships/hyperlink" Target="javascript:void(0);" TargetMode="External"/><Relationship Id="rId305" Type="http://schemas.openxmlformats.org/officeDocument/2006/relationships/hyperlink" Target="javascript:void(0);" TargetMode="External"/><Relationship Id="rId512" Type="http://schemas.openxmlformats.org/officeDocument/2006/relationships/hyperlink" Target="javascript:void(0);" TargetMode="External"/><Relationship Id="rId957" Type="http://schemas.openxmlformats.org/officeDocument/2006/relationships/hyperlink" Target="javascript:void(0);" TargetMode="External"/><Relationship Id="rId1142" Type="http://schemas.openxmlformats.org/officeDocument/2006/relationships/hyperlink" Target="javascript:void(0);" TargetMode="External"/><Relationship Id="rId1587" Type="http://schemas.openxmlformats.org/officeDocument/2006/relationships/hyperlink" Target="javascript:void(0);" TargetMode="External"/><Relationship Id="rId1794" Type="http://schemas.openxmlformats.org/officeDocument/2006/relationships/hyperlink" Target="javascript:void(0);" TargetMode="External"/><Relationship Id="rId2400" Type="http://schemas.openxmlformats.org/officeDocument/2006/relationships/hyperlink" Target="javascript:void(0);" TargetMode="External"/><Relationship Id="rId86" Type="http://schemas.openxmlformats.org/officeDocument/2006/relationships/hyperlink" Target="javascript:void(0);" TargetMode="External"/><Relationship Id="rId817" Type="http://schemas.openxmlformats.org/officeDocument/2006/relationships/hyperlink" Target="javascript:void(0);" TargetMode="External"/><Relationship Id="rId1002" Type="http://schemas.openxmlformats.org/officeDocument/2006/relationships/hyperlink" Target="javascript:void(0);" TargetMode="External"/><Relationship Id="rId1447" Type="http://schemas.openxmlformats.org/officeDocument/2006/relationships/hyperlink" Target="javascript:void(0);" TargetMode="External"/><Relationship Id="rId1654" Type="http://schemas.openxmlformats.org/officeDocument/2006/relationships/hyperlink" Target="javascript:void(0);" TargetMode="External"/><Relationship Id="rId1861" Type="http://schemas.openxmlformats.org/officeDocument/2006/relationships/hyperlink" Target="javascript:void(0);" TargetMode="External"/><Relationship Id="rId1307" Type="http://schemas.openxmlformats.org/officeDocument/2006/relationships/hyperlink" Target="javascript:void(0);" TargetMode="External"/><Relationship Id="rId1514" Type="http://schemas.openxmlformats.org/officeDocument/2006/relationships/hyperlink" Target="javascript:void(0);" TargetMode="External"/><Relationship Id="rId1721" Type="http://schemas.openxmlformats.org/officeDocument/2006/relationships/hyperlink" Target="javascript:void(0);" TargetMode="External"/><Relationship Id="rId1959" Type="http://schemas.openxmlformats.org/officeDocument/2006/relationships/hyperlink" Target="javascript:void(0);" TargetMode="External"/><Relationship Id="rId13" Type="http://schemas.openxmlformats.org/officeDocument/2006/relationships/hyperlink" Target="javascript:void(0);" TargetMode="External"/><Relationship Id="rId1819" Type="http://schemas.openxmlformats.org/officeDocument/2006/relationships/hyperlink" Target="javascript:void(0);" TargetMode="External"/><Relationship Id="rId2190" Type="http://schemas.openxmlformats.org/officeDocument/2006/relationships/hyperlink" Target="javascript:void(0);" TargetMode="External"/><Relationship Id="rId2288" Type="http://schemas.openxmlformats.org/officeDocument/2006/relationships/hyperlink" Target="javascript:void(0);" TargetMode="External"/><Relationship Id="rId162" Type="http://schemas.openxmlformats.org/officeDocument/2006/relationships/hyperlink" Target="javascript:void(0);" TargetMode="External"/><Relationship Id="rId467" Type="http://schemas.openxmlformats.org/officeDocument/2006/relationships/hyperlink" Target="javascript:void(0);" TargetMode="External"/><Relationship Id="rId1097" Type="http://schemas.openxmlformats.org/officeDocument/2006/relationships/hyperlink" Target="javascript:void(0);" TargetMode="External"/><Relationship Id="rId2050" Type="http://schemas.openxmlformats.org/officeDocument/2006/relationships/hyperlink" Target="javascript:void(0);" TargetMode="External"/><Relationship Id="rId2148" Type="http://schemas.openxmlformats.org/officeDocument/2006/relationships/hyperlink" Target="javascript:void(0);" TargetMode="External"/><Relationship Id="rId674" Type="http://schemas.openxmlformats.org/officeDocument/2006/relationships/hyperlink" Target="javascript:void(0);" TargetMode="External"/><Relationship Id="rId881" Type="http://schemas.openxmlformats.org/officeDocument/2006/relationships/hyperlink" Target="javascript:void(0);" TargetMode="External"/><Relationship Id="rId979" Type="http://schemas.openxmlformats.org/officeDocument/2006/relationships/hyperlink" Target="javascript:void(0);" TargetMode="External"/><Relationship Id="rId2355" Type="http://schemas.openxmlformats.org/officeDocument/2006/relationships/hyperlink" Target="javascript:void(0);" TargetMode="External"/><Relationship Id="rId327" Type="http://schemas.openxmlformats.org/officeDocument/2006/relationships/hyperlink" Target="javascript:void(0);" TargetMode="External"/><Relationship Id="rId534" Type="http://schemas.openxmlformats.org/officeDocument/2006/relationships/hyperlink" Target="javascript:void(0);" TargetMode="External"/><Relationship Id="rId741" Type="http://schemas.openxmlformats.org/officeDocument/2006/relationships/hyperlink" Target="javascript:void(0);" TargetMode="External"/><Relationship Id="rId839" Type="http://schemas.openxmlformats.org/officeDocument/2006/relationships/hyperlink" Target="javascript:void(0);" TargetMode="External"/><Relationship Id="rId1164" Type="http://schemas.openxmlformats.org/officeDocument/2006/relationships/hyperlink" Target="javascript:void(0);" TargetMode="External"/><Relationship Id="rId1371" Type="http://schemas.openxmlformats.org/officeDocument/2006/relationships/hyperlink" Target="javascript:void(0);" TargetMode="External"/><Relationship Id="rId1469" Type="http://schemas.openxmlformats.org/officeDocument/2006/relationships/hyperlink" Target="javascript:void(0);" TargetMode="External"/><Relationship Id="rId2008" Type="http://schemas.openxmlformats.org/officeDocument/2006/relationships/hyperlink" Target="javascript:void(0);" TargetMode="External"/><Relationship Id="rId2215" Type="http://schemas.openxmlformats.org/officeDocument/2006/relationships/hyperlink" Target="javascript:void(0);" TargetMode="External"/><Relationship Id="rId2422" Type="http://schemas.openxmlformats.org/officeDocument/2006/relationships/hyperlink" Target="javascript:void(0);" TargetMode="External"/><Relationship Id="rId601" Type="http://schemas.openxmlformats.org/officeDocument/2006/relationships/hyperlink" Target="javascript:void(0);" TargetMode="External"/><Relationship Id="rId1024" Type="http://schemas.openxmlformats.org/officeDocument/2006/relationships/hyperlink" Target="javascript:void(0);" TargetMode="External"/><Relationship Id="rId1231" Type="http://schemas.openxmlformats.org/officeDocument/2006/relationships/hyperlink" Target="javascript:void(0);" TargetMode="External"/><Relationship Id="rId1676" Type="http://schemas.openxmlformats.org/officeDocument/2006/relationships/hyperlink" Target="javascript:void(0);" TargetMode="External"/><Relationship Id="rId1883" Type="http://schemas.openxmlformats.org/officeDocument/2006/relationships/hyperlink" Target="javascript:void(0);" TargetMode="External"/><Relationship Id="rId906" Type="http://schemas.openxmlformats.org/officeDocument/2006/relationships/hyperlink" Target="javascript:void(0);" TargetMode="External"/><Relationship Id="rId1329" Type="http://schemas.openxmlformats.org/officeDocument/2006/relationships/hyperlink" Target="javascript:void(0);" TargetMode="External"/><Relationship Id="rId1536" Type="http://schemas.openxmlformats.org/officeDocument/2006/relationships/hyperlink" Target="javascript:void(0);" TargetMode="External"/><Relationship Id="rId1743" Type="http://schemas.openxmlformats.org/officeDocument/2006/relationships/hyperlink" Target="javascript:void(0);" TargetMode="External"/><Relationship Id="rId1950" Type="http://schemas.openxmlformats.org/officeDocument/2006/relationships/hyperlink" Target="javascript:void(0);" TargetMode="External"/><Relationship Id="rId35" Type="http://schemas.openxmlformats.org/officeDocument/2006/relationships/hyperlink" Target="javascript:void(0);" TargetMode="External"/><Relationship Id="rId1603" Type="http://schemas.openxmlformats.org/officeDocument/2006/relationships/hyperlink" Target="javascript:void(0);" TargetMode="External"/><Relationship Id="rId1810" Type="http://schemas.openxmlformats.org/officeDocument/2006/relationships/hyperlink" Target="javascript:void(0);" TargetMode="External"/><Relationship Id="rId184" Type="http://schemas.openxmlformats.org/officeDocument/2006/relationships/hyperlink" Target="javascript:void(0);" TargetMode="External"/><Relationship Id="rId391" Type="http://schemas.openxmlformats.org/officeDocument/2006/relationships/hyperlink" Target="javascript:void(0);" TargetMode="External"/><Relationship Id="rId1908" Type="http://schemas.openxmlformats.org/officeDocument/2006/relationships/hyperlink" Target="javascript:void(0);" TargetMode="External"/><Relationship Id="rId2072" Type="http://schemas.openxmlformats.org/officeDocument/2006/relationships/hyperlink" Target="javascript:void(0);" TargetMode="External"/><Relationship Id="rId251" Type="http://schemas.openxmlformats.org/officeDocument/2006/relationships/hyperlink" Target="javascript:void(0);" TargetMode="External"/><Relationship Id="rId489" Type="http://schemas.openxmlformats.org/officeDocument/2006/relationships/hyperlink" Target="javascript:void(0);" TargetMode="External"/><Relationship Id="rId696" Type="http://schemas.openxmlformats.org/officeDocument/2006/relationships/hyperlink" Target="javascript:void(0);" TargetMode="External"/><Relationship Id="rId2377" Type="http://schemas.openxmlformats.org/officeDocument/2006/relationships/hyperlink" Target="javascript:void(0);" TargetMode="External"/><Relationship Id="rId349" Type="http://schemas.openxmlformats.org/officeDocument/2006/relationships/hyperlink" Target="javascript:void(0);" TargetMode="External"/><Relationship Id="rId556" Type="http://schemas.openxmlformats.org/officeDocument/2006/relationships/hyperlink" Target="javascript:void(0);" TargetMode="External"/><Relationship Id="rId763" Type="http://schemas.openxmlformats.org/officeDocument/2006/relationships/hyperlink" Target="javascript:void(0);" TargetMode="External"/><Relationship Id="rId1186" Type="http://schemas.openxmlformats.org/officeDocument/2006/relationships/hyperlink" Target="javascript:void(0);" TargetMode="External"/><Relationship Id="rId1393" Type="http://schemas.openxmlformats.org/officeDocument/2006/relationships/hyperlink" Target="javascript:void(0);" TargetMode="External"/><Relationship Id="rId2237" Type="http://schemas.openxmlformats.org/officeDocument/2006/relationships/hyperlink" Target="javascript:void(0);" TargetMode="External"/><Relationship Id="rId2444" Type="http://schemas.openxmlformats.org/officeDocument/2006/relationships/hyperlink" Target="javascript:void(0);" TargetMode="External"/><Relationship Id="rId111" Type="http://schemas.openxmlformats.org/officeDocument/2006/relationships/hyperlink" Target="javascript:void(0);" TargetMode="External"/><Relationship Id="rId209" Type="http://schemas.openxmlformats.org/officeDocument/2006/relationships/hyperlink" Target="javascript:void(0);" TargetMode="External"/><Relationship Id="rId416" Type="http://schemas.openxmlformats.org/officeDocument/2006/relationships/hyperlink" Target="javascript:void(0);" TargetMode="External"/><Relationship Id="rId970" Type="http://schemas.openxmlformats.org/officeDocument/2006/relationships/hyperlink" Target="javascript:void(0);" TargetMode="External"/><Relationship Id="rId1046" Type="http://schemas.openxmlformats.org/officeDocument/2006/relationships/hyperlink" Target="javascript:void(0);" TargetMode="External"/><Relationship Id="rId1253" Type="http://schemas.openxmlformats.org/officeDocument/2006/relationships/hyperlink" Target="javascript:void(0);" TargetMode="External"/><Relationship Id="rId1698" Type="http://schemas.openxmlformats.org/officeDocument/2006/relationships/hyperlink" Target="javascript:void(0);" TargetMode="External"/><Relationship Id="rId623" Type="http://schemas.openxmlformats.org/officeDocument/2006/relationships/hyperlink" Target="javascript:void(0);" TargetMode="External"/><Relationship Id="rId830" Type="http://schemas.openxmlformats.org/officeDocument/2006/relationships/hyperlink" Target="javascript:void(0);" TargetMode="External"/><Relationship Id="rId928" Type="http://schemas.openxmlformats.org/officeDocument/2006/relationships/hyperlink" Target="javascript:void(0);" TargetMode="External"/><Relationship Id="rId1460" Type="http://schemas.openxmlformats.org/officeDocument/2006/relationships/hyperlink" Target="javascript:void(0);" TargetMode="External"/><Relationship Id="rId1558" Type="http://schemas.openxmlformats.org/officeDocument/2006/relationships/hyperlink" Target="javascript:void(0);" TargetMode="External"/><Relationship Id="rId1765" Type="http://schemas.openxmlformats.org/officeDocument/2006/relationships/hyperlink" Target="javascript:void(0);" TargetMode="External"/><Relationship Id="rId2304" Type="http://schemas.openxmlformats.org/officeDocument/2006/relationships/hyperlink" Target="javascript:void(0);" TargetMode="External"/><Relationship Id="rId57" Type="http://schemas.openxmlformats.org/officeDocument/2006/relationships/hyperlink" Target="javascript:void(0);" TargetMode="External"/><Relationship Id="rId1113" Type="http://schemas.openxmlformats.org/officeDocument/2006/relationships/hyperlink" Target="javascript:void(0);" TargetMode="External"/><Relationship Id="rId1320" Type="http://schemas.openxmlformats.org/officeDocument/2006/relationships/hyperlink" Target="javascript:void(0);" TargetMode="External"/><Relationship Id="rId1418" Type="http://schemas.openxmlformats.org/officeDocument/2006/relationships/hyperlink" Target="javascript:void(0);" TargetMode="External"/><Relationship Id="rId1972" Type="http://schemas.openxmlformats.org/officeDocument/2006/relationships/hyperlink" Target="javascript:void(0);" TargetMode="External"/><Relationship Id="rId1625" Type="http://schemas.openxmlformats.org/officeDocument/2006/relationships/hyperlink" Target="javascript:void(0);" TargetMode="External"/><Relationship Id="rId1832" Type="http://schemas.openxmlformats.org/officeDocument/2006/relationships/hyperlink" Target="javascript:void(0);" TargetMode="External"/><Relationship Id="rId2094" Type="http://schemas.openxmlformats.org/officeDocument/2006/relationships/hyperlink" Target="javascript:void(0);" TargetMode="External"/><Relationship Id="rId273" Type="http://schemas.openxmlformats.org/officeDocument/2006/relationships/hyperlink" Target="javascript:void(0);" TargetMode="External"/><Relationship Id="rId480" Type="http://schemas.openxmlformats.org/officeDocument/2006/relationships/hyperlink" Target="javascript:void(0);" TargetMode="External"/><Relationship Id="rId2161" Type="http://schemas.openxmlformats.org/officeDocument/2006/relationships/hyperlink" Target="javascript:void(0);" TargetMode="External"/><Relationship Id="rId2399" Type="http://schemas.openxmlformats.org/officeDocument/2006/relationships/hyperlink" Target="javascript:void(0);" TargetMode="External"/><Relationship Id="rId133" Type="http://schemas.openxmlformats.org/officeDocument/2006/relationships/hyperlink" Target="javascript:void(0);" TargetMode="External"/><Relationship Id="rId340" Type="http://schemas.openxmlformats.org/officeDocument/2006/relationships/hyperlink" Target="javascript:void(0);" TargetMode="External"/><Relationship Id="rId578" Type="http://schemas.openxmlformats.org/officeDocument/2006/relationships/hyperlink" Target="javascript:void(0);" TargetMode="External"/><Relationship Id="rId785" Type="http://schemas.openxmlformats.org/officeDocument/2006/relationships/hyperlink" Target="javascript:void(0);" TargetMode="External"/><Relationship Id="rId992" Type="http://schemas.openxmlformats.org/officeDocument/2006/relationships/hyperlink" Target="javascript:void(0);" TargetMode="External"/><Relationship Id="rId2021" Type="http://schemas.openxmlformats.org/officeDocument/2006/relationships/hyperlink" Target="javascript:void(0);" TargetMode="External"/><Relationship Id="rId2259" Type="http://schemas.openxmlformats.org/officeDocument/2006/relationships/hyperlink" Target="javascript:void(0);" TargetMode="External"/><Relationship Id="rId200" Type="http://schemas.openxmlformats.org/officeDocument/2006/relationships/hyperlink" Target="javascript:void(0);" TargetMode="External"/><Relationship Id="rId438" Type="http://schemas.openxmlformats.org/officeDocument/2006/relationships/hyperlink" Target="javascript:void(0);" TargetMode="External"/><Relationship Id="rId645" Type="http://schemas.openxmlformats.org/officeDocument/2006/relationships/hyperlink" Target="javascript:void(0);" TargetMode="External"/><Relationship Id="rId852" Type="http://schemas.openxmlformats.org/officeDocument/2006/relationships/hyperlink" Target="javascript:void(0);" TargetMode="External"/><Relationship Id="rId1068" Type="http://schemas.openxmlformats.org/officeDocument/2006/relationships/hyperlink" Target="javascript:void(0);" TargetMode="External"/><Relationship Id="rId1275" Type="http://schemas.openxmlformats.org/officeDocument/2006/relationships/hyperlink" Target="javascript:void(0);" TargetMode="External"/><Relationship Id="rId1482" Type="http://schemas.openxmlformats.org/officeDocument/2006/relationships/hyperlink" Target="javascript:void(0);" TargetMode="External"/><Relationship Id="rId2119" Type="http://schemas.openxmlformats.org/officeDocument/2006/relationships/hyperlink" Target="javascript:void(0);" TargetMode="External"/><Relationship Id="rId2326" Type="http://schemas.openxmlformats.org/officeDocument/2006/relationships/hyperlink" Target="javascript:void(0);" TargetMode="External"/><Relationship Id="rId505" Type="http://schemas.openxmlformats.org/officeDocument/2006/relationships/hyperlink" Target="javascript:void(0);" TargetMode="External"/><Relationship Id="rId712" Type="http://schemas.openxmlformats.org/officeDocument/2006/relationships/hyperlink" Target="javascript:void(0);" TargetMode="External"/><Relationship Id="rId1135" Type="http://schemas.openxmlformats.org/officeDocument/2006/relationships/hyperlink" Target="javascript:void(0);" TargetMode="External"/><Relationship Id="rId1342" Type="http://schemas.openxmlformats.org/officeDocument/2006/relationships/hyperlink" Target="javascript:void(0);" TargetMode="External"/><Relationship Id="rId1787" Type="http://schemas.openxmlformats.org/officeDocument/2006/relationships/hyperlink" Target="javascript:void(0);" TargetMode="External"/><Relationship Id="rId1994" Type="http://schemas.openxmlformats.org/officeDocument/2006/relationships/hyperlink" Target="javascript:void(0);" TargetMode="External"/><Relationship Id="rId79" Type="http://schemas.openxmlformats.org/officeDocument/2006/relationships/hyperlink" Target="javascript:void(0);" TargetMode="External"/><Relationship Id="rId1202" Type="http://schemas.openxmlformats.org/officeDocument/2006/relationships/hyperlink" Target="javascript:void(0);" TargetMode="External"/><Relationship Id="rId1647" Type="http://schemas.openxmlformats.org/officeDocument/2006/relationships/hyperlink" Target="javascript:void(0);" TargetMode="External"/><Relationship Id="rId1854" Type="http://schemas.openxmlformats.org/officeDocument/2006/relationships/hyperlink" Target="javascript:void(0);" TargetMode="External"/><Relationship Id="rId1507" Type="http://schemas.openxmlformats.org/officeDocument/2006/relationships/hyperlink" Target="javascript:void(0);" TargetMode="External"/><Relationship Id="rId1714" Type="http://schemas.openxmlformats.org/officeDocument/2006/relationships/hyperlink" Target="javascript:void(0);" TargetMode="External"/><Relationship Id="rId295" Type="http://schemas.openxmlformats.org/officeDocument/2006/relationships/hyperlink" Target="javascript:void(0);" TargetMode="External"/><Relationship Id="rId1921" Type="http://schemas.openxmlformats.org/officeDocument/2006/relationships/hyperlink" Target="javascript:void(0);" TargetMode="External"/><Relationship Id="rId2183" Type="http://schemas.openxmlformats.org/officeDocument/2006/relationships/hyperlink" Target="javascript:void(0);" TargetMode="External"/><Relationship Id="rId2390" Type="http://schemas.openxmlformats.org/officeDocument/2006/relationships/hyperlink" Target="javascript:void(0);" TargetMode="External"/><Relationship Id="rId155" Type="http://schemas.openxmlformats.org/officeDocument/2006/relationships/hyperlink" Target="javascript:void(0);" TargetMode="External"/><Relationship Id="rId362" Type="http://schemas.openxmlformats.org/officeDocument/2006/relationships/hyperlink" Target="javascript:void(0);" TargetMode="External"/><Relationship Id="rId1297" Type="http://schemas.openxmlformats.org/officeDocument/2006/relationships/hyperlink" Target="javascript:void(0);" TargetMode="External"/><Relationship Id="rId2043" Type="http://schemas.openxmlformats.org/officeDocument/2006/relationships/hyperlink" Target="javascript:void(0);" TargetMode="External"/><Relationship Id="rId2250" Type="http://schemas.openxmlformats.org/officeDocument/2006/relationships/hyperlink" Target="javascript:void(0);" TargetMode="External"/><Relationship Id="rId222" Type="http://schemas.openxmlformats.org/officeDocument/2006/relationships/hyperlink" Target="javascript:void(0);" TargetMode="External"/><Relationship Id="rId667" Type="http://schemas.openxmlformats.org/officeDocument/2006/relationships/hyperlink" Target="javascript:void(0);" TargetMode="External"/><Relationship Id="rId874" Type="http://schemas.openxmlformats.org/officeDocument/2006/relationships/hyperlink" Target="javascript:void(0);" TargetMode="External"/><Relationship Id="rId2110" Type="http://schemas.openxmlformats.org/officeDocument/2006/relationships/hyperlink" Target="javascript:void(0);" TargetMode="External"/><Relationship Id="rId2348" Type="http://schemas.openxmlformats.org/officeDocument/2006/relationships/hyperlink" Target="javascript:void(0);" TargetMode="External"/><Relationship Id="rId527" Type="http://schemas.openxmlformats.org/officeDocument/2006/relationships/hyperlink" Target="javascript:void(0);" TargetMode="External"/><Relationship Id="rId734" Type="http://schemas.openxmlformats.org/officeDocument/2006/relationships/hyperlink" Target="javascript:void(0);" TargetMode="External"/><Relationship Id="rId941" Type="http://schemas.openxmlformats.org/officeDocument/2006/relationships/hyperlink" Target="javascript:void(0);" TargetMode="External"/><Relationship Id="rId1157" Type="http://schemas.openxmlformats.org/officeDocument/2006/relationships/hyperlink" Target="javascript:void(0);" TargetMode="External"/><Relationship Id="rId1364" Type="http://schemas.openxmlformats.org/officeDocument/2006/relationships/hyperlink" Target="javascript:void(0);" TargetMode="External"/><Relationship Id="rId1571" Type="http://schemas.openxmlformats.org/officeDocument/2006/relationships/hyperlink" Target="javascript:void(0);" TargetMode="External"/><Relationship Id="rId2208" Type="http://schemas.openxmlformats.org/officeDocument/2006/relationships/hyperlink" Target="javascript:void(0);" TargetMode="External"/><Relationship Id="rId2415" Type="http://schemas.openxmlformats.org/officeDocument/2006/relationships/hyperlink" Target="javascript:void(0);" TargetMode="External"/><Relationship Id="rId70" Type="http://schemas.openxmlformats.org/officeDocument/2006/relationships/hyperlink" Target="javascript:void(0);" TargetMode="External"/><Relationship Id="rId801" Type="http://schemas.openxmlformats.org/officeDocument/2006/relationships/hyperlink" Target="javascript:void(0);" TargetMode="External"/><Relationship Id="rId1017" Type="http://schemas.openxmlformats.org/officeDocument/2006/relationships/hyperlink" Target="javascript:void(0);" TargetMode="External"/><Relationship Id="rId1224" Type="http://schemas.openxmlformats.org/officeDocument/2006/relationships/hyperlink" Target="javascript:void(0);" TargetMode="External"/><Relationship Id="rId1431" Type="http://schemas.openxmlformats.org/officeDocument/2006/relationships/hyperlink" Target="javascript:void(0);" TargetMode="External"/><Relationship Id="rId1669" Type="http://schemas.openxmlformats.org/officeDocument/2006/relationships/hyperlink" Target="javascript:void(0);" TargetMode="External"/><Relationship Id="rId1876" Type="http://schemas.openxmlformats.org/officeDocument/2006/relationships/hyperlink" Target="javascript:void(0);" TargetMode="External"/><Relationship Id="rId1529" Type="http://schemas.openxmlformats.org/officeDocument/2006/relationships/hyperlink" Target="javascript:void(0);" TargetMode="External"/><Relationship Id="rId1736" Type="http://schemas.openxmlformats.org/officeDocument/2006/relationships/hyperlink" Target="javascript:void(0);" TargetMode="External"/><Relationship Id="rId1943" Type="http://schemas.openxmlformats.org/officeDocument/2006/relationships/hyperlink" Target="javascript:void(0);" TargetMode="External"/><Relationship Id="rId28" Type="http://schemas.openxmlformats.org/officeDocument/2006/relationships/hyperlink" Target="javascript:void(0);" TargetMode="External"/><Relationship Id="rId1803" Type="http://schemas.openxmlformats.org/officeDocument/2006/relationships/hyperlink" Target="javascript:void(0);" TargetMode="External"/><Relationship Id="rId177" Type="http://schemas.openxmlformats.org/officeDocument/2006/relationships/hyperlink" Target="javascript:void(0);" TargetMode="External"/><Relationship Id="rId384" Type="http://schemas.openxmlformats.org/officeDocument/2006/relationships/hyperlink" Target="javascript:void(0);" TargetMode="External"/><Relationship Id="rId591" Type="http://schemas.openxmlformats.org/officeDocument/2006/relationships/hyperlink" Target="javascript:void(0);" TargetMode="External"/><Relationship Id="rId2065" Type="http://schemas.openxmlformats.org/officeDocument/2006/relationships/hyperlink" Target="javascript:void(0);" TargetMode="External"/><Relationship Id="rId2272" Type="http://schemas.openxmlformats.org/officeDocument/2006/relationships/hyperlink" Target="javascript:void(0);" TargetMode="External"/><Relationship Id="rId244" Type="http://schemas.openxmlformats.org/officeDocument/2006/relationships/hyperlink" Target="javascript:void(0);" TargetMode="External"/><Relationship Id="rId689" Type="http://schemas.openxmlformats.org/officeDocument/2006/relationships/hyperlink" Target="javascript:void(0);" TargetMode="External"/><Relationship Id="rId896" Type="http://schemas.openxmlformats.org/officeDocument/2006/relationships/hyperlink" Target="javascript:void(0);" TargetMode="External"/><Relationship Id="rId1081" Type="http://schemas.openxmlformats.org/officeDocument/2006/relationships/hyperlink" Target="javascript:void(0);" TargetMode="External"/><Relationship Id="rId451" Type="http://schemas.openxmlformats.org/officeDocument/2006/relationships/hyperlink" Target="javascript:void(0);" TargetMode="External"/><Relationship Id="rId549" Type="http://schemas.openxmlformats.org/officeDocument/2006/relationships/hyperlink" Target="javascript:void(0);" TargetMode="External"/><Relationship Id="rId756" Type="http://schemas.openxmlformats.org/officeDocument/2006/relationships/hyperlink" Target="javascript:void(0);" TargetMode="External"/><Relationship Id="rId1179" Type="http://schemas.openxmlformats.org/officeDocument/2006/relationships/hyperlink" Target="javascript:void(0);" TargetMode="External"/><Relationship Id="rId1386" Type="http://schemas.openxmlformats.org/officeDocument/2006/relationships/hyperlink" Target="javascript:void(0);" TargetMode="External"/><Relationship Id="rId1593" Type="http://schemas.openxmlformats.org/officeDocument/2006/relationships/hyperlink" Target="javascript:void(0);" TargetMode="External"/><Relationship Id="rId2132" Type="http://schemas.openxmlformats.org/officeDocument/2006/relationships/hyperlink" Target="javascript:void(0);" TargetMode="External"/><Relationship Id="rId2437" Type="http://schemas.openxmlformats.org/officeDocument/2006/relationships/hyperlink" Target="javascript:void(0);" TargetMode="External"/><Relationship Id="rId104" Type="http://schemas.openxmlformats.org/officeDocument/2006/relationships/hyperlink" Target="javascript:void(0);" TargetMode="External"/><Relationship Id="rId311" Type="http://schemas.openxmlformats.org/officeDocument/2006/relationships/hyperlink" Target="javascript:void(0);" TargetMode="External"/><Relationship Id="rId409" Type="http://schemas.openxmlformats.org/officeDocument/2006/relationships/hyperlink" Target="javascript:void(0);" TargetMode="External"/><Relationship Id="rId963" Type="http://schemas.openxmlformats.org/officeDocument/2006/relationships/hyperlink" Target="javascript:void(0);" TargetMode="External"/><Relationship Id="rId1039" Type="http://schemas.openxmlformats.org/officeDocument/2006/relationships/hyperlink" Target="javascript:void(0);" TargetMode="External"/><Relationship Id="rId1246" Type="http://schemas.openxmlformats.org/officeDocument/2006/relationships/hyperlink" Target="javascript:void(0);" TargetMode="External"/><Relationship Id="rId1898" Type="http://schemas.openxmlformats.org/officeDocument/2006/relationships/hyperlink" Target="javascript:void(0);" TargetMode="External"/><Relationship Id="rId92" Type="http://schemas.openxmlformats.org/officeDocument/2006/relationships/hyperlink" Target="javascript:void(0);" TargetMode="External"/><Relationship Id="rId616" Type="http://schemas.openxmlformats.org/officeDocument/2006/relationships/hyperlink" Target="javascript:void(0);" TargetMode="External"/><Relationship Id="rId823" Type="http://schemas.openxmlformats.org/officeDocument/2006/relationships/hyperlink" Target="javascript:void(0);" TargetMode="External"/><Relationship Id="rId1453" Type="http://schemas.openxmlformats.org/officeDocument/2006/relationships/hyperlink" Target="javascript:void(0);" TargetMode="External"/><Relationship Id="rId1660" Type="http://schemas.openxmlformats.org/officeDocument/2006/relationships/hyperlink" Target="javascript:void(0);" TargetMode="External"/><Relationship Id="rId1758" Type="http://schemas.openxmlformats.org/officeDocument/2006/relationships/hyperlink" Target="javascript:void(0);" TargetMode="External"/><Relationship Id="rId1106" Type="http://schemas.openxmlformats.org/officeDocument/2006/relationships/hyperlink" Target="javascript:void(0);" TargetMode="External"/><Relationship Id="rId1313" Type="http://schemas.openxmlformats.org/officeDocument/2006/relationships/hyperlink" Target="javascript:void(0);" TargetMode="External"/><Relationship Id="rId1520" Type="http://schemas.openxmlformats.org/officeDocument/2006/relationships/hyperlink" Target="javascript:void(0);" TargetMode="External"/><Relationship Id="rId1965" Type="http://schemas.openxmlformats.org/officeDocument/2006/relationships/hyperlink" Target="javascript:void(0);" TargetMode="External"/><Relationship Id="rId1618" Type="http://schemas.openxmlformats.org/officeDocument/2006/relationships/hyperlink" Target="javascript:void(0);" TargetMode="External"/><Relationship Id="rId1825" Type="http://schemas.openxmlformats.org/officeDocument/2006/relationships/hyperlink" Target="javascript:void(0);" TargetMode="External"/><Relationship Id="rId199" Type="http://schemas.openxmlformats.org/officeDocument/2006/relationships/hyperlink" Target="javascript:void(0);" TargetMode="External"/><Relationship Id="rId2087" Type="http://schemas.openxmlformats.org/officeDocument/2006/relationships/hyperlink" Target="javascript:void(0);" TargetMode="External"/><Relationship Id="rId2294" Type="http://schemas.openxmlformats.org/officeDocument/2006/relationships/hyperlink" Target="javascript:void(0);" TargetMode="External"/><Relationship Id="rId266" Type="http://schemas.openxmlformats.org/officeDocument/2006/relationships/hyperlink" Target="javascript:void(0);" TargetMode="External"/><Relationship Id="rId473" Type="http://schemas.openxmlformats.org/officeDocument/2006/relationships/hyperlink" Target="javascript:void(0);" TargetMode="External"/><Relationship Id="rId680" Type="http://schemas.openxmlformats.org/officeDocument/2006/relationships/hyperlink" Target="javascript:void(0);" TargetMode="External"/><Relationship Id="rId2154" Type="http://schemas.openxmlformats.org/officeDocument/2006/relationships/hyperlink" Target="javascript:void(0);" TargetMode="External"/><Relationship Id="rId2361" Type="http://schemas.openxmlformats.org/officeDocument/2006/relationships/hyperlink" Target="javascript:void(0);" TargetMode="External"/><Relationship Id="rId126" Type="http://schemas.openxmlformats.org/officeDocument/2006/relationships/hyperlink" Target="javascript:void(0);" TargetMode="External"/><Relationship Id="rId333" Type="http://schemas.openxmlformats.org/officeDocument/2006/relationships/hyperlink" Target="javascript:void(0);" TargetMode="External"/><Relationship Id="rId540" Type="http://schemas.openxmlformats.org/officeDocument/2006/relationships/hyperlink" Target="javascript:void(0);" TargetMode="External"/><Relationship Id="rId778" Type="http://schemas.openxmlformats.org/officeDocument/2006/relationships/hyperlink" Target="javascript:void(0);" TargetMode="External"/><Relationship Id="rId985" Type="http://schemas.openxmlformats.org/officeDocument/2006/relationships/hyperlink" Target="javascript:void(0);" TargetMode="External"/><Relationship Id="rId1170" Type="http://schemas.openxmlformats.org/officeDocument/2006/relationships/hyperlink" Target="javascript:void(0);" TargetMode="External"/><Relationship Id="rId2014" Type="http://schemas.openxmlformats.org/officeDocument/2006/relationships/hyperlink" Target="javascript:void(0);" TargetMode="External"/><Relationship Id="rId2221" Type="http://schemas.openxmlformats.org/officeDocument/2006/relationships/hyperlink" Target="javascript:void(0);" TargetMode="External"/><Relationship Id="rId2459" Type="http://schemas.openxmlformats.org/officeDocument/2006/relationships/hyperlink" Target="javascript:void(0);" TargetMode="External"/><Relationship Id="rId638" Type="http://schemas.openxmlformats.org/officeDocument/2006/relationships/hyperlink" Target="javascript:void(0);" TargetMode="External"/><Relationship Id="rId845" Type="http://schemas.openxmlformats.org/officeDocument/2006/relationships/hyperlink" Target="javascript:void(0);" TargetMode="External"/><Relationship Id="rId1030" Type="http://schemas.openxmlformats.org/officeDocument/2006/relationships/hyperlink" Target="javascript:void(0);" TargetMode="External"/><Relationship Id="rId1268" Type="http://schemas.openxmlformats.org/officeDocument/2006/relationships/hyperlink" Target="javascript:void(0);" TargetMode="External"/><Relationship Id="rId1475" Type="http://schemas.openxmlformats.org/officeDocument/2006/relationships/hyperlink" Target="javascript:void(0);" TargetMode="External"/><Relationship Id="rId1682" Type="http://schemas.openxmlformats.org/officeDocument/2006/relationships/hyperlink" Target="javascript:void(0);" TargetMode="External"/><Relationship Id="rId2319" Type="http://schemas.openxmlformats.org/officeDocument/2006/relationships/hyperlink" Target="javascript:void(0);" TargetMode="External"/><Relationship Id="rId400" Type="http://schemas.openxmlformats.org/officeDocument/2006/relationships/hyperlink" Target="javascript:void(0);" TargetMode="External"/><Relationship Id="rId705" Type="http://schemas.openxmlformats.org/officeDocument/2006/relationships/hyperlink" Target="javascript:void(0);" TargetMode="External"/><Relationship Id="rId1128" Type="http://schemas.openxmlformats.org/officeDocument/2006/relationships/hyperlink" Target="javascript:void(0);" TargetMode="External"/><Relationship Id="rId1335" Type="http://schemas.openxmlformats.org/officeDocument/2006/relationships/hyperlink" Target="javascript:void(0);" TargetMode="External"/><Relationship Id="rId1542" Type="http://schemas.openxmlformats.org/officeDocument/2006/relationships/hyperlink" Target="javascript:void(0);" TargetMode="External"/><Relationship Id="rId1987" Type="http://schemas.openxmlformats.org/officeDocument/2006/relationships/hyperlink" Target="javascript:void(0);" TargetMode="External"/><Relationship Id="rId912" Type="http://schemas.openxmlformats.org/officeDocument/2006/relationships/hyperlink" Target="javascript:void(0);" TargetMode="External"/><Relationship Id="rId1847" Type="http://schemas.openxmlformats.org/officeDocument/2006/relationships/hyperlink" Target="javascript:void(0);" TargetMode="External"/><Relationship Id="rId41" Type="http://schemas.openxmlformats.org/officeDocument/2006/relationships/hyperlink" Target="javascript:void(0);" TargetMode="External"/><Relationship Id="rId1402" Type="http://schemas.openxmlformats.org/officeDocument/2006/relationships/hyperlink" Target="javascript:void(0);" TargetMode="External"/><Relationship Id="rId1707" Type="http://schemas.openxmlformats.org/officeDocument/2006/relationships/hyperlink" Target="javascript:void(0);" TargetMode="External"/><Relationship Id="rId190" Type="http://schemas.openxmlformats.org/officeDocument/2006/relationships/hyperlink" Target="javascript:void(0);" TargetMode="External"/><Relationship Id="rId288" Type="http://schemas.openxmlformats.org/officeDocument/2006/relationships/hyperlink" Target="javascript:void(0);" TargetMode="External"/><Relationship Id="rId1914" Type="http://schemas.openxmlformats.org/officeDocument/2006/relationships/hyperlink" Target="javascript:void(0);" TargetMode="External"/><Relationship Id="rId495" Type="http://schemas.openxmlformats.org/officeDocument/2006/relationships/hyperlink" Target="javascript:void(0);" TargetMode="External"/><Relationship Id="rId2176" Type="http://schemas.openxmlformats.org/officeDocument/2006/relationships/hyperlink" Target="javascript:void(0);" TargetMode="External"/><Relationship Id="rId2383" Type="http://schemas.openxmlformats.org/officeDocument/2006/relationships/hyperlink" Target="javascript:void(0);" TargetMode="External"/><Relationship Id="rId148" Type="http://schemas.openxmlformats.org/officeDocument/2006/relationships/hyperlink" Target="javascript:void(0);" TargetMode="External"/><Relationship Id="rId355" Type="http://schemas.openxmlformats.org/officeDocument/2006/relationships/hyperlink" Target="javascript:void(0);" TargetMode="External"/><Relationship Id="rId562" Type="http://schemas.openxmlformats.org/officeDocument/2006/relationships/hyperlink" Target="javascript:void(0);" TargetMode="External"/><Relationship Id="rId1192" Type="http://schemas.openxmlformats.org/officeDocument/2006/relationships/hyperlink" Target="javascript:void(0);" TargetMode="External"/><Relationship Id="rId2036" Type="http://schemas.openxmlformats.org/officeDocument/2006/relationships/hyperlink" Target="javascript:void(0);" TargetMode="External"/><Relationship Id="rId2243" Type="http://schemas.openxmlformats.org/officeDocument/2006/relationships/hyperlink" Target="javascript:void(0);" TargetMode="External"/><Relationship Id="rId2450" Type="http://schemas.openxmlformats.org/officeDocument/2006/relationships/hyperlink" Target="javascript:void(0);" TargetMode="External"/><Relationship Id="rId215" Type="http://schemas.openxmlformats.org/officeDocument/2006/relationships/hyperlink" Target="javascript:void(0);" TargetMode="External"/><Relationship Id="rId422" Type="http://schemas.openxmlformats.org/officeDocument/2006/relationships/hyperlink" Target="javascript:void(0);" TargetMode="External"/><Relationship Id="rId867" Type="http://schemas.openxmlformats.org/officeDocument/2006/relationships/hyperlink" Target="javascript:void(0);" TargetMode="External"/><Relationship Id="rId1052" Type="http://schemas.openxmlformats.org/officeDocument/2006/relationships/hyperlink" Target="javascript:void(0);" TargetMode="External"/><Relationship Id="rId1497" Type="http://schemas.openxmlformats.org/officeDocument/2006/relationships/hyperlink" Target="javascript:void(0);" TargetMode="External"/><Relationship Id="rId2103" Type="http://schemas.openxmlformats.org/officeDocument/2006/relationships/hyperlink" Target="javascript:void(0);" TargetMode="External"/><Relationship Id="rId2310" Type="http://schemas.openxmlformats.org/officeDocument/2006/relationships/hyperlink" Target="javascript:void(0);" TargetMode="External"/><Relationship Id="rId727" Type="http://schemas.openxmlformats.org/officeDocument/2006/relationships/hyperlink" Target="javascript:void(0);" TargetMode="External"/><Relationship Id="rId934" Type="http://schemas.openxmlformats.org/officeDocument/2006/relationships/hyperlink" Target="javascript:void(0);" TargetMode="External"/><Relationship Id="rId1357" Type="http://schemas.openxmlformats.org/officeDocument/2006/relationships/hyperlink" Target="javascript:void(0);" TargetMode="External"/><Relationship Id="rId1564" Type="http://schemas.openxmlformats.org/officeDocument/2006/relationships/hyperlink" Target="javascript:void(0);" TargetMode="External"/><Relationship Id="rId1771" Type="http://schemas.openxmlformats.org/officeDocument/2006/relationships/hyperlink" Target="javascript:void(0);" TargetMode="External"/><Relationship Id="rId2408" Type="http://schemas.openxmlformats.org/officeDocument/2006/relationships/hyperlink" Target="javascript:void(0);" TargetMode="External"/><Relationship Id="rId63" Type="http://schemas.openxmlformats.org/officeDocument/2006/relationships/hyperlink" Target="javascript:void(0);" TargetMode="External"/><Relationship Id="rId1217" Type="http://schemas.openxmlformats.org/officeDocument/2006/relationships/hyperlink" Target="javascript:void(0);" TargetMode="External"/><Relationship Id="rId1424" Type="http://schemas.openxmlformats.org/officeDocument/2006/relationships/hyperlink" Target="javascript:void(0);" TargetMode="External"/><Relationship Id="rId1631" Type="http://schemas.openxmlformats.org/officeDocument/2006/relationships/hyperlink" Target="javascript:void(0);" TargetMode="External"/><Relationship Id="rId1869" Type="http://schemas.openxmlformats.org/officeDocument/2006/relationships/hyperlink" Target="javascript:void(0);" TargetMode="External"/><Relationship Id="rId1729" Type="http://schemas.openxmlformats.org/officeDocument/2006/relationships/hyperlink" Target="javascript:void(0);" TargetMode="External"/><Relationship Id="rId1936" Type="http://schemas.openxmlformats.org/officeDocument/2006/relationships/hyperlink" Target="javascript:void(0);" TargetMode="External"/><Relationship Id="rId2198" Type="http://schemas.openxmlformats.org/officeDocument/2006/relationships/hyperlink" Target="javascript:void(0);" TargetMode="External"/><Relationship Id="rId377" Type="http://schemas.openxmlformats.org/officeDocument/2006/relationships/hyperlink" Target="javascript:void(0);" TargetMode="External"/><Relationship Id="rId584" Type="http://schemas.openxmlformats.org/officeDocument/2006/relationships/hyperlink" Target="javascript:void(0);" TargetMode="External"/><Relationship Id="rId2058" Type="http://schemas.openxmlformats.org/officeDocument/2006/relationships/hyperlink" Target="javascript:void(0);" TargetMode="External"/><Relationship Id="rId2265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237" Type="http://schemas.openxmlformats.org/officeDocument/2006/relationships/hyperlink" Target="javascript:void(0);" TargetMode="External"/><Relationship Id="rId791" Type="http://schemas.openxmlformats.org/officeDocument/2006/relationships/hyperlink" Target="javascript:void(0);" TargetMode="External"/><Relationship Id="rId889" Type="http://schemas.openxmlformats.org/officeDocument/2006/relationships/hyperlink" Target="javascript:void(0);" TargetMode="External"/><Relationship Id="rId1074" Type="http://schemas.openxmlformats.org/officeDocument/2006/relationships/hyperlink" Target="javascript:void(0);" TargetMode="External"/><Relationship Id="rId444" Type="http://schemas.openxmlformats.org/officeDocument/2006/relationships/hyperlink" Target="javascript:void(0);" TargetMode="External"/><Relationship Id="rId651" Type="http://schemas.openxmlformats.org/officeDocument/2006/relationships/hyperlink" Target="javascript:void(0);" TargetMode="External"/><Relationship Id="rId749" Type="http://schemas.openxmlformats.org/officeDocument/2006/relationships/hyperlink" Target="javascript:void(0);" TargetMode="External"/><Relationship Id="rId1281" Type="http://schemas.openxmlformats.org/officeDocument/2006/relationships/hyperlink" Target="javascript:void(0);" TargetMode="External"/><Relationship Id="rId1379" Type="http://schemas.openxmlformats.org/officeDocument/2006/relationships/hyperlink" Target="javascript:void(0);" TargetMode="External"/><Relationship Id="rId1586" Type="http://schemas.openxmlformats.org/officeDocument/2006/relationships/hyperlink" Target="javascript:void(0);" TargetMode="External"/><Relationship Id="rId2125" Type="http://schemas.openxmlformats.org/officeDocument/2006/relationships/hyperlink" Target="javascript:void(0);" TargetMode="External"/><Relationship Id="rId2332" Type="http://schemas.openxmlformats.org/officeDocument/2006/relationships/hyperlink" Target="javascript:void(0);" TargetMode="External"/><Relationship Id="rId304" Type="http://schemas.openxmlformats.org/officeDocument/2006/relationships/hyperlink" Target="javascript:void(0);" TargetMode="External"/><Relationship Id="rId511" Type="http://schemas.openxmlformats.org/officeDocument/2006/relationships/hyperlink" Target="javascript:void(0);" TargetMode="External"/><Relationship Id="rId609" Type="http://schemas.openxmlformats.org/officeDocument/2006/relationships/hyperlink" Target="javascript:void(0);" TargetMode="External"/><Relationship Id="rId956" Type="http://schemas.openxmlformats.org/officeDocument/2006/relationships/hyperlink" Target="javascript:void(0);" TargetMode="External"/><Relationship Id="rId1141" Type="http://schemas.openxmlformats.org/officeDocument/2006/relationships/hyperlink" Target="javascript:void(0);" TargetMode="External"/><Relationship Id="rId1239" Type="http://schemas.openxmlformats.org/officeDocument/2006/relationships/hyperlink" Target="javascript:void(0);" TargetMode="External"/><Relationship Id="rId1793" Type="http://schemas.openxmlformats.org/officeDocument/2006/relationships/hyperlink" Target="javascript:void(0);" TargetMode="External"/><Relationship Id="rId85" Type="http://schemas.openxmlformats.org/officeDocument/2006/relationships/hyperlink" Target="javascript:void(0);" TargetMode="External"/><Relationship Id="rId816" Type="http://schemas.openxmlformats.org/officeDocument/2006/relationships/hyperlink" Target="javascript:void(0);" TargetMode="External"/><Relationship Id="rId1001" Type="http://schemas.openxmlformats.org/officeDocument/2006/relationships/hyperlink" Target="javascript:void(0);" TargetMode="External"/><Relationship Id="rId1446" Type="http://schemas.openxmlformats.org/officeDocument/2006/relationships/hyperlink" Target="javascript:void(0);" TargetMode="External"/><Relationship Id="rId1653" Type="http://schemas.openxmlformats.org/officeDocument/2006/relationships/hyperlink" Target="javascript:void(0);" TargetMode="External"/><Relationship Id="rId1860" Type="http://schemas.openxmlformats.org/officeDocument/2006/relationships/hyperlink" Target="javascript:void(0);" TargetMode="External"/><Relationship Id="rId1306" Type="http://schemas.openxmlformats.org/officeDocument/2006/relationships/hyperlink" Target="javascript:void(0);" TargetMode="External"/><Relationship Id="rId1513" Type="http://schemas.openxmlformats.org/officeDocument/2006/relationships/hyperlink" Target="javascript:void(0);" TargetMode="External"/><Relationship Id="rId1720" Type="http://schemas.openxmlformats.org/officeDocument/2006/relationships/hyperlink" Target="javascript:void(0);" TargetMode="External"/><Relationship Id="rId1958" Type="http://schemas.openxmlformats.org/officeDocument/2006/relationships/hyperlink" Target="javascript:void(0);" TargetMode="External"/><Relationship Id="rId12" Type="http://schemas.openxmlformats.org/officeDocument/2006/relationships/hyperlink" Target="javascript:void(0);" TargetMode="External"/><Relationship Id="rId1818" Type="http://schemas.openxmlformats.org/officeDocument/2006/relationships/hyperlink" Target="javascript:void(0);" TargetMode="External"/><Relationship Id="rId161" Type="http://schemas.openxmlformats.org/officeDocument/2006/relationships/hyperlink" Target="javascript:void(0);" TargetMode="External"/><Relationship Id="rId399" Type="http://schemas.openxmlformats.org/officeDocument/2006/relationships/hyperlink" Target="javascript:void(0);" TargetMode="External"/><Relationship Id="rId2287" Type="http://schemas.openxmlformats.org/officeDocument/2006/relationships/hyperlink" Target="javascript:void(0);" TargetMode="External"/><Relationship Id="rId259" Type="http://schemas.openxmlformats.org/officeDocument/2006/relationships/hyperlink" Target="javascript:void(0);" TargetMode="External"/><Relationship Id="rId466" Type="http://schemas.openxmlformats.org/officeDocument/2006/relationships/hyperlink" Target="javascript:void(0);" TargetMode="External"/><Relationship Id="rId673" Type="http://schemas.openxmlformats.org/officeDocument/2006/relationships/hyperlink" Target="javascript:void(0);" TargetMode="External"/><Relationship Id="rId880" Type="http://schemas.openxmlformats.org/officeDocument/2006/relationships/hyperlink" Target="javascript:void(0);" TargetMode="External"/><Relationship Id="rId1096" Type="http://schemas.openxmlformats.org/officeDocument/2006/relationships/hyperlink" Target="javascript:void(0);" TargetMode="External"/><Relationship Id="rId2147" Type="http://schemas.openxmlformats.org/officeDocument/2006/relationships/hyperlink" Target="javascript:void(0);" TargetMode="External"/><Relationship Id="rId2354" Type="http://schemas.openxmlformats.org/officeDocument/2006/relationships/hyperlink" Target="javascript:void(0);" TargetMode="External"/><Relationship Id="rId119" Type="http://schemas.openxmlformats.org/officeDocument/2006/relationships/hyperlink" Target="javascript:void(0);" TargetMode="External"/><Relationship Id="rId326" Type="http://schemas.openxmlformats.org/officeDocument/2006/relationships/hyperlink" Target="javascript:void(0);" TargetMode="External"/><Relationship Id="rId533" Type="http://schemas.openxmlformats.org/officeDocument/2006/relationships/hyperlink" Target="javascript:void(0);" TargetMode="External"/><Relationship Id="rId978" Type="http://schemas.openxmlformats.org/officeDocument/2006/relationships/hyperlink" Target="javascript:void(0);" TargetMode="External"/><Relationship Id="rId1163" Type="http://schemas.openxmlformats.org/officeDocument/2006/relationships/hyperlink" Target="javascript:void(0);" TargetMode="External"/><Relationship Id="rId1370" Type="http://schemas.openxmlformats.org/officeDocument/2006/relationships/hyperlink" Target="javascript:void(0);" TargetMode="External"/><Relationship Id="rId2007" Type="http://schemas.openxmlformats.org/officeDocument/2006/relationships/hyperlink" Target="javascript:void(0);" TargetMode="External"/><Relationship Id="rId2214" Type="http://schemas.openxmlformats.org/officeDocument/2006/relationships/hyperlink" Target="javascript:void(0);" TargetMode="External"/><Relationship Id="rId740" Type="http://schemas.openxmlformats.org/officeDocument/2006/relationships/hyperlink" Target="javascript:void(0);" TargetMode="External"/><Relationship Id="rId838" Type="http://schemas.openxmlformats.org/officeDocument/2006/relationships/hyperlink" Target="javascript:void(0);" TargetMode="External"/><Relationship Id="rId1023" Type="http://schemas.openxmlformats.org/officeDocument/2006/relationships/hyperlink" Target="javascript:void(0);" TargetMode="External"/><Relationship Id="rId1468" Type="http://schemas.openxmlformats.org/officeDocument/2006/relationships/hyperlink" Target="javascript:void(0);" TargetMode="External"/><Relationship Id="rId1675" Type="http://schemas.openxmlformats.org/officeDocument/2006/relationships/hyperlink" Target="javascript:void(0);" TargetMode="External"/><Relationship Id="rId1882" Type="http://schemas.openxmlformats.org/officeDocument/2006/relationships/hyperlink" Target="javascript:void(0);" TargetMode="External"/><Relationship Id="rId2421" Type="http://schemas.openxmlformats.org/officeDocument/2006/relationships/hyperlink" Target="javascript:void(0);" TargetMode="External"/><Relationship Id="rId600" Type="http://schemas.openxmlformats.org/officeDocument/2006/relationships/hyperlink" Target="javascript:void(0);" TargetMode="External"/><Relationship Id="rId1230" Type="http://schemas.openxmlformats.org/officeDocument/2006/relationships/hyperlink" Target="javascript:void(0);" TargetMode="External"/><Relationship Id="rId1328" Type="http://schemas.openxmlformats.org/officeDocument/2006/relationships/hyperlink" Target="javascript:void(0);" TargetMode="External"/><Relationship Id="rId1535" Type="http://schemas.openxmlformats.org/officeDocument/2006/relationships/hyperlink" Target="javascript:void(0);" TargetMode="External"/><Relationship Id="rId905" Type="http://schemas.openxmlformats.org/officeDocument/2006/relationships/hyperlink" Target="javascript:void(0);" TargetMode="External"/><Relationship Id="rId1742" Type="http://schemas.openxmlformats.org/officeDocument/2006/relationships/hyperlink" Target="javascript:void(0);" TargetMode="External"/><Relationship Id="rId34" Type="http://schemas.openxmlformats.org/officeDocument/2006/relationships/hyperlink" Target="javascript:void(0);" TargetMode="External"/><Relationship Id="rId1602" Type="http://schemas.openxmlformats.org/officeDocument/2006/relationships/hyperlink" Target="javascript:void(0);" TargetMode="External"/><Relationship Id="rId183" Type="http://schemas.openxmlformats.org/officeDocument/2006/relationships/hyperlink" Target="javascript:void(0);" TargetMode="External"/><Relationship Id="rId390" Type="http://schemas.openxmlformats.org/officeDocument/2006/relationships/hyperlink" Target="javascript:void(0);" TargetMode="External"/><Relationship Id="rId1907" Type="http://schemas.openxmlformats.org/officeDocument/2006/relationships/hyperlink" Target="javascript:void(0);" TargetMode="External"/><Relationship Id="rId2071" Type="http://schemas.openxmlformats.org/officeDocument/2006/relationships/hyperlink" Target="javascript:void(0);" TargetMode="External"/><Relationship Id="rId250" Type="http://schemas.openxmlformats.org/officeDocument/2006/relationships/hyperlink" Target="javascript:void(0);" TargetMode="External"/><Relationship Id="rId488" Type="http://schemas.openxmlformats.org/officeDocument/2006/relationships/hyperlink" Target="javascript:void(0);" TargetMode="External"/><Relationship Id="rId695" Type="http://schemas.openxmlformats.org/officeDocument/2006/relationships/hyperlink" Target="javascript:void(0);" TargetMode="External"/><Relationship Id="rId2169" Type="http://schemas.openxmlformats.org/officeDocument/2006/relationships/hyperlink" Target="javascript:void(0);" TargetMode="External"/><Relationship Id="rId2376" Type="http://schemas.openxmlformats.org/officeDocument/2006/relationships/hyperlink" Target="javascript:void(0);" TargetMode="External"/><Relationship Id="rId110" Type="http://schemas.openxmlformats.org/officeDocument/2006/relationships/hyperlink" Target="javascript:void(0);" TargetMode="External"/><Relationship Id="rId348" Type="http://schemas.openxmlformats.org/officeDocument/2006/relationships/hyperlink" Target="javascript:void(0);" TargetMode="External"/><Relationship Id="rId555" Type="http://schemas.openxmlformats.org/officeDocument/2006/relationships/hyperlink" Target="javascript:void(0);" TargetMode="External"/><Relationship Id="rId762" Type="http://schemas.openxmlformats.org/officeDocument/2006/relationships/hyperlink" Target="javascript:void(0);" TargetMode="External"/><Relationship Id="rId1185" Type="http://schemas.openxmlformats.org/officeDocument/2006/relationships/hyperlink" Target="javascript:void(0);" TargetMode="External"/><Relationship Id="rId1392" Type="http://schemas.openxmlformats.org/officeDocument/2006/relationships/hyperlink" Target="javascript:void(0);" TargetMode="External"/><Relationship Id="rId2029" Type="http://schemas.openxmlformats.org/officeDocument/2006/relationships/hyperlink" Target="javascript:void(0);" TargetMode="External"/><Relationship Id="rId2236" Type="http://schemas.openxmlformats.org/officeDocument/2006/relationships/hyperlink" Target="javascript:void(0);" TargetMode="External"/><Relationship Id="rId2443" Type="http://schemas.openxmlformats.org/officeDocument/2006/relationships/hyperlink" Target="javascript:void(0);" TargetMode="External"/><Relationship Id="rId208" Type="http://schemas.openxmlformats.org/officeDocument/2006/relationships/hyperlink" Target="javascript:void(0);" TargetMode="External"/><Relationship Id="rId415" Type="http://schemas.openxmlformats.org/officeDocument/2006/relationships/hyperlink" Target="javascript:void(0);" TargetMode="External"/><Relationship Id="rId622" Type="http://schemas.openxmlformats.org/officeDocument/2006/relationships/hyperlink" Target="javascript:void(0);" TargetMode="External"/><Relationship Id="rId1045" Type="http://schemas.openxmlformats.org/officeDocument/2006/relationships/hyperlink" Target="javascript:void(0);" TargetMode="External"/><Relationship Id="rId1252" Type="http://schemas.openxmlformats.org/officeDocument/2006/relationships/hyperlink" Target="javascript:void(0);" TargetMode="External"/><Relationship Id="rId1697" Type="http://schemas.openxmlformats.org/officeDocument/2006/relationships/hyperlink" Target="javascript:void(0);" TargetMode="External"/><Relationship Id="rId2303" Type="http://schemas.openxmlformats.org/officeDocument/2006/relationships/hyperlink" Target="javascript:void(0);" TargetMode="External"/><Relationship Id="rId927" Type="http://schemas.openxmlformats.org/officeDocument/2006/relationships/hyperlink" Target="javascript:void(0);" TargetMode="External"/><Relationship Id="rId1112" Type="http://schemas.openxmlformats.org/officeDocument/2006/relationships/hyperlink" Target="javascript:void(0);" TargetMode="External"/><Relationship Id="rId1557" Type="http://schemas.openxmlformats.org/officeDocument/2006/relationships/hyperlink" Target="javascript:void(0);" TargetMode="External"/><Relationship Id="rId1764" Type="http://schemas.openxmlformats.org/officeDocument/2006/relationships/hyperlink" Target="javascript:void(0);" TargetMode="External"/><Relationship Id="rId1971" Type="http://schemas.openxmlformats.org/officeDocument/2006/relationships/hyperlink" Target="javascript:void(0);" TargetMode="External"/><Relationship Id="rId56" Type="http://schemas.openxmlformats.org/officeDocument/2006/relationships/hyperlink" Target="javascript:void(0);" TargetMode="External"/><Relationship Id="rId1417" Type="http://schemas.openxmlformats.org/officeDocument/2006/relationships/hyperlink" Target="javascript:void(0);" TargetMode="External"/><Relationship Id="rId1624" Type="http://schemas.openxmlformats.org/officeDocument/2006/relationships/hyperlink" Target="javascript:void(0);" TargetMode="External"/><Relationship Id="rId1831" Type="http://schemas.openxmlformats.org/officeDocument/2006/relationships/hyperlink" Target="javascript:void(0);" TargetMode="External"/><Relationship Id="rId1929" Type="http://schemas.openxmlformats.org/officeDocument/2006/relationships/hyperlink" Target="javascript:void(0);" TargetMode="External"/><Relationship Id="rId2093" Type="http://schemas.openxmlformats.org/officeDocument/2006/relationships/hyperlink" Target="javascript:void(0);" TargetMode="External"/><Relationship Id="rId2398" Type="http://schemas.openxmlformats.org/officeDocument/2006/relationships/hyperlink" Target="javascript:void(0);" TargetMode="External"/><Relationship Id="rId272" Type="http://schemas.openxmlformats.org/officeDocument/2006/relationships/hyperlink" Target="javascript:void(0);" TargetMode="External"/><Relationship Id="rId577" Type="http://schemas.openxmlformats.org/officeDocument/2006/relationships/hyperlink" Target="javascript:void(0);" TargetMode="External"/><Relationship Id="rId2160" Type="http://schemas.openxmlformats.org/officeDocument/2006/relationships/hyperlink" Target="javascript:void(0);" TargetMode="External"/><Relationship Id="rId2258" Type="http://schemas.openxmlformats.org/officeDocument/2006/relationships/hyperlink" Target="javascript:void(0);" TargetMode="External"/><Relationship Id="rId132" Type="http://schemas.openxmlformats.org/officeDocument/2006/relationships/hyperlink" Target="javascript:void(0);" TargetMode="External"/><Relationship Id="rId784" Type="http://schemas.openxmlformats.org/officeDocument/2006/relationships/hyperlink" Target="javascript:void(0);" TargetMode="External"/><Relationship Id="rId991" Type="http://schemas.openxmlformats.org/officeDocument/2006/relationships/hyperlink" Target="javascript:void(0);" TargetMode="External"/><Relationship Id="rId1067" Type="http://schemas.openxmlformats.org/officeDocument/2006/relationships/hyperlink" Target="javascript:void(0);" TargetMode="External"/><Relationship Id="rId1842" Type="http://schemas.openxmlformats.org/officeDocument/2006/relationships/hyperlink" Target="javascript:void(0);" TargetMode="External"/><Relationship Id="rId2020" Type="http://schemas.openxmlformats.org/officeDocument/2006/relationships/hyperlink" Target="javascript:void(0);" TargetMode="External"/><Relationship Id="rId437" Type="http://schemas.openxmlformats.org/officeDocument/2006/relationships/hyperlink" Target="javascript:void(0);" TargetMode="External"/><Relationship Id="rId644" Type="http://schemas.openxmlformats.org/officeDocument/2006/relationships/hyperlink" Target="javascript:void(0);" TargetMode="External"/><Relationship Id="rId851" Type="http://schemas.openxmlformats.org/officeDocument/2006/relationships/hyperlink" Target="javascript:void(0);" TargetMode="External"/><Relationship Id="rId1274" Type="http://schemas.openxmlformats.org/officeDocument/2006/relationships/hyperlink" Target="javascript:void(0);" TargetMode="External"/><Relationship Id="rId1481" Type="http://schemas.openxmlformats.org/officeDocument/2006/relationships/hyperlink" Target="javascript:void(0);" TargetMode="External"/><Relationship Id="rId1579" Type="http://schemas.openxmlformats.org/officeDocument/2006/relationships/hyperlink" Target="javascript:void(0);" TargetMode="External"/><Relationship Id="rId1702" Type="http://schemas.openxmlformats.org/officeDocument/2006/relationships/hyperlink" Target="javascript:void(0);" TargetMode="External"/><Relationship Id="rId2118" Type="http://schemas.openxmlformats.org/officeDocument/2006/relationships/hyperlink" Target="javascript:void(0);" TargetMode="External"/><Relationship Id="rId2325" Type="http://schemas.openxmlformats.org/officeDocument/2006/relationships/hyperlink" Target="javascript:void(0);" TargetMode="External"/><Relationship Id="rId283" Type="http://schemas.openxmlformats.org/officeDocument/2006/relationships/hyperlink" Target="javascript:void(0);" TargetMode="External"/><Relationship Id="rId490" Type="http://schemas.openxmlformats.org/officeDocument/2006/relationships/hyperlink" Target="javascript:void(0);" TargetMode="External"/><Relationship Id="rId504" Type="http://schemas.openxmlformats.org/officeDocument/2006/relationships/hyperlink" Target="javascript:void(0);" TargetMode="External"/><Relationship Id="rId711" Type="http://schemas.openxmlformats.org/officeDocument/2006/relationships/hyperlink" Target="javascript:void(0);" TargetMode="External"/><Relationship Id="rId949" Type="http://schemas.openxmlformats.org/officeDocument/2006/relationships/hyperlink" Target="javascript:void(0);" TargetMode="External"/><Relationship Id="rId1134" Type="http://schemas.openxmlformats.org/officeDocument/2006/relationships/hyperlink" Target="javascript:void(0);" TargetMode="External"/><Relationship Id="rId1341" Type="http://schemas.openxmlformats.org/officeDocument/2006/relationships/hyperlink" Target="javascript:void(0);" TargetMode="External"/><Relationship Id="rId1786" Type="http://schemas.openxmlformats.org/officeDocument/2006/relationships/hyperlink" Target="javascript:void(0);" TargetMode="External"/><Relationship Id="rId1993" Type="http://schemas.openxmlformats.org/officeDocument/2006/relationships/hyperlink" Target="javascript:void(0);" TargetMode="External"/><Relationship Id="rId2171" Type="http://schemas.openxmlformats.org/officeDocument/2006/relationships/hyperlink" Target="javascript:void(0);" TargetMode="External"/><Relationship Id="rId78" Type="http://schemas.openxmlformats.org/officeDocument/2006/relationships/hyperlink" Target="javascript:void(0);" TargetMode="External"/><Relationship Id="rId143" Type="http://schemas.openxmlformats.org/officeDocument/2006/relationships/hyperlink" Target="javascript:void(0);" TargetMode="External"/><Relationship Id="rId350" Type="http://schemas.openxmlformats.org/officeDocument/2006/relationships/hyperlink" Target="javascript:void(0);" TargetMode="External"/><Relationship Id="rId588" Type="http://schemas.openxmlformats.org/officeDocument/2006/relationships/hyperlink" Target="javascript:void(0);" TargetMode="External"/><Relationship Id="rId795" Type="http://schemas.openxmlformats.org/officeDocument/2006/relationships/hyperlink" Target="javascript:void(0);" TargetMode="External"/><Relationship Id="rId809" Type="http://schemas.openxmlformats.org/officeDocument/2006/relationships/hyperlink" Target="javascript:void(0);" TargetMode="External"/><Relationship Id="rId1201" Type="http://schemas.openxmlformats.org/officeDocument/2006/relationships/hyperlink" Target="javascript:void(0);" TargetMode="External"/><Relationship Id="rId1439" Type="http://schemas.openxmlformats.org/officeDocument/2006/relationships/hyperlink" Target="javascript:void(0);" TargetMode="External"/><Relationship Id="rId1646" Type="http://schemas.openxmlformats.org/officeDocument/2006/relationships/hyperlink" Target="javascript:void(0);" TargetMode="External"/><Relationship Id="rId1853" Type="http://schemas.openxmlformats.org/officeDocument/2006/relationships/hyperlink" Target="javascript:void(0);" TargetMode="External"/><Relationship Id="rId2031" Type="http://schemas.openxmlformats.org/officeDocument/2006/relationships/hyperlink" Target="javascript:void(0);" TargetMode="External"/><Relationship Id="rId2269" Type="http://schemas.openxmlformats.org/officeDocument/2006/relationships/hyperlink" Target="javascript:void(0);" TargetMode="External"/><Relationship Id="rId9" Type="http://schemas.openxmlformats.org/officeDocument/2006/relationships/hyperlink" Target="javascript:void(0);" TargetMode="External"/><Relationship Id="rId210" Type="http://schemas.openxmlformats.org/officeDocument/2006/relationships/hyperlink" Target="javascript:void(0);" TargetMode="External"/><Relationship Id="rId448" Type="http://schemas.openxmlformats.org/officeDocument/2006/relationships/hyperlink" Target="javascript:void(0);" TargetMode="External"/><Relationship Id="rId655" Type="http://schemas.openxmlformats.org/officeDocument/2006/relationships/hyperlink" Target="javascript:void(0);" TargetMode="External"/><Relationship Id="rId862" Type="http://schemas.openxmlformats.org/officeDocument/2006/relationships/hyperlink" Target="javascript:void(0);" TargetMode="External"/><Relationship Id="rId1078" Type="http://schemas.openxmlformats.org/officeDocument/2006/relationships/hyperlink" Target="javascript:void(0);" TargetMode="External"/><Relationship Id="rId1285" Type="http://schemas.openxmlformats.org/officeDocument/2006/relationships/hyperlink" Target="javascript:void(0);" TargetMode="External"/><Relationship Id="rId1492" Type="http://schemas.openxmlformats.org/officeDocument/2006/relationships/hyperlink" Target="javascript:void(0);" TargetMode="External"/><Relationship Id="rId1506" Type="http://schemas.openxmlformats.org/officeDocument/2006/relationships/hyperlink" Target="javascript:void(0);" TargetMode="External"/><Relationship Id="rId1713" Type="http://schemas.openxmlformats.org/officeDocument/2006/relationships/hyperlink" Target="javascript:void(0);" TargetMode="External"/><Relationship Id="rId1920" Type="http://schemas.openxmlformats.org/officeDocument/2006/relationships/hyperlink" Target="javascript:void(0);" TargetMode="External"/><Relationship Id="rId2129" Type="http://schemas.openxmlformats.org/officeDocument/2006/relationships/hyperlink" Target="javascript:void(0);" TargetMode="External"/><Relationship Id="rId2336" Type="http://schemas.openxmlformats.org/officeDocument/2006/relationships/hyperlink" Target="javascript:void(0);" TargetMode="External"/><Relationship Id="rId294" Type="http://schemas.openxmlformats.org/officeDocument/2006/relationships/hyperlink" Target="javascript:void(0);" TargetMode="External"/><Relationship Id="rId308" Type="http://schemas.openxmlformats.org/officeDocument/2006/relationships/hyperlink" Target="javascript:void(0);" TargetMode="External"/><Relationship Id="rId515" Type="http://schemas.openxmlformats.org/officeDocument/2006/relationships/hyperlink" Target="javascript:void(0);" TargetMode="External"/><Relationship Id="rId722" Type="http://schemas.openxmlformats.org/officeDocument/2006/relationships/hyperlink" Target="javascript:void(0);" TargetMode="External"/><Relationship Id="rId1145" Type="http://schemas.openxmlformats.org/officeDocument/2006/relationships/hyperlink" Target="javascript:void(0);" TargetMode="External"/><Relationship Id="rId1352" Type="http://schemas.openxmlformats.org/officeDocument/2006/relationships/hyperlink" Target="javascript:void(0);" TargetMode="External"/><Relationship Id="rId1797" Type="http://schemas.openxmlformats.org/officeDocument/2006/relationships/hyperlink" Target="javascript:void(0);" TargetMode="External"/><Relationship Id="rId2182" Type="http://schemas.openxmlformats.org/officeDocument/2006/relationships/hyperlink" Target="javascript:void(0);" TargetMode="External"/><Relationship Id="rId2403" Type="http://schemas.openxmlformats.org/officeDocument/2006/relationships/hyperlink" Target="javascript:void(0);" TargetMode="External"/><Relationship Id="rId89" Type="http://schemas.openxmlformats.org/officeDocument/2006/relationships/hyperlink" Target="javascript:void(0);" TargetMode="External"/><Relationship Id="rId154" Type="http://schemas.openxmlformats.org/officeDocument/2006/relationships/hyperlink" Target="javascript:void(0);" TargetMode="External"/><Relationship Id="rId361" Type="http://schemas.openxmlformats.org/officeDocument/2006/relationships/hyperlink" Target="javascript:void(0);" TargetMode="External"/><Relationship Id="rId599" Type="http://schemas.openxmlformats.org/officeDocument/2006/relationships/hyperlink" Target="javascript:void(0);" TargetMode="External"/><Relationship Id="rId1005" Type="http://schemas.openxmlformats.org/officeDocument/2006/relationships/hyperlink" Target="javascript:void(0);" TargetMode="External"/><Relationship Id="rId1212" Type="http://schemas.openxmlformats.org/officeDocument/2006/relationships/hyperlink" Target="javascript:void(0);" TargetMode="External"/><Relationship Id="rId1657" Type="http://schemas.openxmlformats.org/officeDocument/2006/relationships/hyperlink" Target="javascript:void(0);" TargetMode="External"/><Relationship Id="rId1864" Type="http://schemas.openxmlformats.org/officeDocument/2006/relationships/hyperlink" Target="javascript:void(0);" TargetMode="External"/><Relationship Id="rId2042" Type="http://schemas.openxmlformats.org/officeDocument/2006/relationships/hyperlink" Target="javascript:void(0);" TargetMode="External"/><Relationship Id="rId459" Type="http://schemas.openxmlformats.org/officeDocument/2006/relationships/hyperlink" Target="javascript:void(0);" TargetMode="External"/><Relationship Id="rId666" Type="http://schemas.openxmlformats.org/officeDocument/2006/relationships/hyperlink" Target="javascript:void(0);" TargetMode="External"/><Relationship Id="rId873" Type="http://schemas.openxmlformats.org/officeDocument/2006/relationships/hyperlink" Target="javascript:void(0);" TargetMode="External"/><Relationship Id="rId1089" Type="http://schemas.openxmlformats.org/officeDocument/2006/relationships/hyperlink" Target="javascript:void(0);" TargetMode="External"/><Relationship Id="rId1296" Type="http://schemas.openxmlformats.org/officeDocument/2006/relationships/hyperlink" Target="javascript:void(0);" TargetMode="External"/><Relationship Id="rId1517" Type="http://schemas.openxmlformats.org/officeDocument/2006/relationships/hyperlink" Target="javascript:void(0);" TargetMode="External"/><Relationship Id="rId1724" Type="http://schemas.openxmlformats.org/officeDocument/2006/relationships/hyperlink" Target="javascript:void(0);" TargetMode="External"/><Relationship Id="rId2347" Type="http://schemas.openxmlformats.org/officeDocument/2006/relationships/hyperlink" Target="javascript:void(0);" TargetMode="External"/><Relationship Id="rId16" Type="http://schemas.openxmlformats.org/officeDocument/2006/relationships/hyperlink" Target="javascript:void(0);" TargetMode="External"/><Relationship Id="rId221" Type="http://schemas.openxmlformats.org/officeDocument/2006/relationships/hyperlink" Target="javascript:void(0);" TargetMode="External"/><Relationship Id="rId319" Type="http://schemas.openxmlformats.org/officeDocument/2006/relationships/hyperlink" Target="javascript:void(0);" TargetMode="External"/><Relationship Id="rId526" Type="http://schemas.openxmlformats.org/officeDocument/2006/relationships/hyperlink" Target="javascript:void(0);" TargetMode="External"/><Relationship Id="rId1156" Type="http://schemas.openxmlformats.org/officeDocument/2006/relationships/hyperlink" Target="javascript:void(0);" TargetMode="External"/><Relationship Id="rId1363" Type="http://schemas.openxmlformats.org/officeDocument/2006/relationships/hyperlink" Target="javascript:void(0);" TargetMode="External"/><Relationship Id="rId1931" Type="http://schemas.openxmlformats.org/officeDocument/2006/relationships/hyperlink" Target="javascript:void(0);" TargetMode="External"/><Relationship Id="rId2207" Type="http://schemas.openxmlformats.org/officeDocument/2006/relationships/hyperlink" Target="javascript:void(0);" TargetMode="External"/><Relationship Id="rId733" Type="http://schemas.openxmlformats.org/officeDocument/2006/relationships/hyperlink" Target="javascript:void(0);" TargetMode="External"/><Relationship Id="rId940" Type="http://schemas.openxmlformats.org/officeDocument/2006/relationships/hyperlink" Target="javascript:void(0);" TargetMode="External"/><Relationship Id="rId1016" Type="http://schemas.openxmlformats.org/officeDocument/2006/relationships/hyperlink" Target="javascript:void(0);" TargetMode="External"/><Relationship Id="rId1570" Type="http://schemas.openxmlformats.org/officeDocument/2006/relationships/hyperlink" Target="javascript:void(0);" TargetMode="External"/><Relationship Id="rId1668" Type="http://schemas.openxmlformats.org/officeDocument/2006/relationships/hyperlink" Target="javascript:void(0);" TargetMode="External"/><Relationship Id="rId1875" Type="http://schemas.openxmlformats.org/officeDocument/2006/relationships/hyperlink" Target="javascript:void(0);" TargetMode="External"/><Relationship Id="rId2193" Type="http://schemas.openxmlformats.org/officeDocument/2006/relationships/hyperlink" Target="javascript:void(0);" TargetMode="External"/><Relationship Id="rId2414" Type="http://schemas.openxmlformats.org/officeDocument/2006/relationships/hyperlink" Target="javascript:void(0);" TargetMode="External"/><Relationship Id="rId165" Type="http://schemas.openxmlformats.org/officeDocument/2006/relationships/hyperlink" Target="javascript:void(0);" TargetMode="External"/><Relationship Id="rId372" Type="http://schemas.openxmlformats.org/officeDocument/2006/relationships/hyperlink" Target="javascript:void(0);" TargetMode="External"/><Relationship Id="rId677" Type="http://schemas.openxmlformats.org/officeDocument/2006/relationships/hyperlink" Target="javascript:void(0);" TargetMode="External"/><Relationship Id="rId800" Type="http://schemas.openxmlformats.org/officeDocument/2006/relationships/hyperlink" Target="javascript:void(0);" TargetMode="External"/><Relationship Id="rId1223" Type="http://schemas.openxmlformats.org/officeDocument/2006/relationships/hyperlink" Target="javascript:void(0);" TargetMode="External"/><Relationship Id="rId1430" Type="http://schemas.openxmlformats.org/officeDocument/2006/relationships/hyperlink" Target="javascript:void(0);" TargetMode="External"/><Relationship Id="rId1528" Type="http://schemas.openxmlformats.org/officeDocument/2006/relationships/hyperlink" Target="javascript:void(0);" TargetMode="External"/><Relationship Id="rId2053" Type="http://schemas.openxmlformats.org/officeDocument/2006/relationships/hyperlink" Target="javascript:void(0);" TargetMode="External"/><Relationship Id="rId2260" Type="http://schemas.openxmlformats.org/officeDocument/2006/relationships/hyperlink" Target="javascript:void(0);" TargetMode="External"/><Relationship Id="rId2358" Type="http://schemas.openxmlformats.org/officeDocument/2006/relationships/hyperlink" Target="javascript:void(0);" TargetMode="External"/><Relationship Id="rId232" Type="http://schemas.openxmlformats.org/officeDocument/2006/relationships/hyperlink" Target="javascript:void(0);" TargetMode="External"/><Relationship Id="rId884" Type="http://schemas.openxmlformats.org/officeDocument/2006/relationships/hyperlink" Target="javascript:void(0);" TargetMode="External"/><Relationship Id="rId1735" Type="http://schemas.openxmlformats.org/officeDocument/2006/relationships/hyperlink" Target="javascript:void(0);" TargetMode="External"/><Relationship Id="rId1942" Type="http://schemas.openxmlformats.org/officeDocument/2006/relationships/hyperlink" Target="javascript:void(0);" TargetMode="External"/><Relationship Id="rId2120" Type="http://schemas.openxmlformats.org/officeDocument/2006/relationships/hyperlink" Target="javascript:void(0);" TargetMode="External"/><Relationship Id="rId27" Type="http://schemas.openxmlformats.org/officeDocument/2006/relationships/hyperlink" Target="javascript:void(0);" TargetMode="External"/><Relationship Id="rId537" Type="http://schemas.openxmlformats.org/officeDocument/2006/relationships/hyperlink" Target="javascript:void(0);" TargetMode="External"/><Relationship Id="rId744" Type="http://schemas.openxmlformats.org/officeDocument/2006/relationships/hyperlink" Target="javascript:void(0);" TargetMode="External"/><Relationship Id="rId951" Type="http://schemas.openxmlformats.org/officeDocument/2006/relationships/hyperlink" Target="javascript:void(0);" TargetMode="External"/><Relationship Id="rId1167" Type="http://schemas.openxmlformats.org/officeDocument/2006/relationships/hyperlink" Target="javascript:void(0);" TargetMode="External"/><Relationship Id="rId1374" Type="http://schemas.openxmlformats.org/officeDocument/2006/relationships/hyperlink" Target="javascript:void(0);" TargetMode="External"/><Relationship Id="rId1581" Type="http://schemas.openxmlformats.org/officeDocument/2006/relationships/hyperlink" Target="javascript:void(0);" TargetMode="External"/><Relationship Id="rId1679" Type="http://schemas.openxmlformats.org/officeDocument/2006/relationships/hyperlink" Target="javascript:void(0);" TargetMode="External"/><Relationship Id="rId1802" Type="http://schemas.openxmlformats.org/officeDocument/2006/relationships/hyperlink" Target="javascript:void(0);" TargetMode="External"/><Relationship Id="rId2218" Type="http://schemas.openxmlformats.org/officeDocument/2006/relationships/hyperlink" Target="javascript:void(0);" TargetMode="External"/><Relationship Id="rId2425" Type="http://schemas.openxmlformats.org/officeDocument/2006/relationships/hyperlink" Target="javascript:void(0);" TargetMode="External"/><Relationship Id="rId80" Type="http://schemas.openxmlformats.org/officeDocument/2006/relationships/hyperlink" Target="javascript:void(0);" TargetMode="External"/><Relationship Id="rId176" Type="http://schemas.openxmlformats.org/officeDocument/2006/relationships/hyperlink" Target="javascript:void(0);" TargetMode="External"/><Relationship Id="rId383" Type="http://schemas.openxmlformats.org/officeDocument/2006/relationships/hyperlink" Target="javascript:void(0);" TargetMode="External"/><Relationship Id="rId590" Type="http://schemas.openxmlformats.org/officeDocument/2006/relationships/hyperlink" Target="javascript:void(0);" TargetMode="External"/><Relationship Id="rId604" Type="http://schemas.openxmlformats.org/officeDocument/2006/relationships/hyperlink" Target="javascript:void(0);" TargetMode="External"/><Relationship Id="rId811" Type="http://schemas.openxmlformats.org/officeDocument/2006/relationships/hyperlink" Target="javascript:void(0);" TargetMode="External"/><Relationship Id="rId1027" Type="http://schemas.openxmlformats.org/officeDocument/2006/relationships/hyperlink" Target="javascript:void(0);" TargetMode="External"/><Relationship Id="rId1234" Type="http://schemas.openxmlformats.org/officeDocument/2006/relationships/hyperlink" Target="javascript:void(0);" TargetMode="External"/><Relationship Id="rId1441" Type="http://schemas.openxmlformats.org/officeDocument/2006/relationships/hyperlink" Target="javascript:void(0);" TargetMode="External"/><Relationship Id="rId1886" Type="http://schemas.openxmlformats.org/officeDocument/2006/relationships/hyperlink" Target="javascript:void(0);" TargetMode="External"/><Relationship Id="rId2064" Type="http://schemas.openxmlformats.org/officeDocument/2006/relationships/hyperlink" Target="javascript:void(0);" TargetMode="External"/><Relationship Id="rId2271" Type="http://schemas.openxmlformats.org/officeDocument/2006/relationships/hyperlink" Target="javascript:void(0);" TargetMode="External"/><Relationship Id="rId243" Type="http://schemas.openxmlformats.org/officeDocument/2006/relationships/hyperlink" Target="javascript:void(0);" TargetMode="External"/><Relationship Id="rId450" Type="http://schemas.openxmlformats.org/officeDocument/2006/relationships/hyperlink" Target="javascript:void(0);" TargetMode="External"/><Relationship Id="rId688" Type="http://schemas.openxmlformats.org/officeDocument/2006/relationships/hyperlink" Target="javascript:void(0);" TargetMode="External"/><Relationship Id="rId895" Type="http://schemas.openxmlformats.org/officeDocument/2006/relationships/hyperlink" Target="javascript:void(0);" TargetMode="External"/><Relationship Id="rId909" Type="http://schemas.openxmlformats.org/officeDocument/2006/relationships/hyperlink" Target="javascript:void(0);" TargetMode="External"/><Relationship Id="rId1080" Type="http://schemas.openxmlformats.org/officeDocument/2006/relationships/hyperlink" Target="javascript:void(0);" TargetMode="External"/><Relationship Id="rId1301" Type="http://schemas.openxmlformats.org/officeDocument/2006/relationships/hyperlink" Target="javascript:void(0);" TargetMode="External"/><Relationship Id="rId1539" Type="http://schemas.openxmlformats.org/officeDocument/2006/relationships/hyperlink" Target="javascript:void(0);" TargetMode="External"/><Relationship Id="rId1746" Type="http://schemas.openxmlformats.org/officeDocument/2006/relationships/hyperlink" Target="javascript:void(0);" TargetMode="External"/><Relationship Id="rId1953" Type="http://schemas.openxmlformats.org/officeDocument/2006/relationships/hyperlink" Target="javascript:void(0);" TargetMode="External"/><Relationship Id="rId2131" Type="http://schemas.openxmlformats.org/officeDocument/2006/relationships/hyperlink" Target="javascript:void(0);" TargetMode="External"/><Relationship Id="rId2369" Type="http://schemas.openxmlformats.org/officeDocument/2006/relationships/hyperlink" Target="javascript:void(0);" TargetMode="External"/><Relationship Id="rId38" Type="http://schemas.openxmlformats.org/officeDocument/2006/relationships/hyperlink" Target="javascript:void(0);" TargetMode="External"/><Relationship Id="rId103" Type="http://schemas.openxmlformats.org/officeDocument/2006/relationships/hyperlink" Target="javascript:void(0);" TargetMode="External"/><Relationship Id="rId310" Type="http://schemas.openxmlformats.org/officeDocument/2006/relationships/hyperlink" Target="javascript:void(0);" TargetMode="External"/><Relationship Id="rId548" Type="http://schemas.openxmlformats.org/officeDocument/2006/relationships/hyperlink" Target="javascript:void(0);" TargetMode="External"/><Relationship Id="rId755" Type="http://schemas.openxmlformats.org/officeDocument/2006/relationships/hyperlink" Target="javascript:void(0);" TargetMode="External"/><Relationship Id="rId962" Type="http://schemas.openxmlformats.org/officeDocument/2006/relationships/hyperlink" Target="javascript:void(0);" TargetMode="External"/><Relationship Id="rId1178" Type="http://schemas.openxmlformats.org/officeDocument/2006/relationships/hyperlink" Target="javascript:void(0);" TargetMode="External"/><Relationship Id="rId1385" Type="http://schemas.openxmlformats.org/officeDocument/2006/relationships/hyperlink" Target="javascript:void(0);" TargetMode="External"/><Relationship Id="rId1592" Type="http://schemas.openxmlformats.org/officeDocument/2006/relationships/hyperlink" Target="javascript:void(0);" TargetMode="External"/><Relationship Id="rId1606" Type="http://schemas.openxmlformats.org/officeDocument/2006/relationships/hyperlink" Target="javascript:void(0);" TargetMode="External"/><Relationship Id="rId1813" Type="http://schemas.openxmlformats.org/officeDocument/2006/relationships/hyperlink" Target="javascript:void(0);" TargetMode="External"/><Relationship Id="rId2229" Type="http://schemas.openxmlformats.org/officeDocument/2006/relationships/hyperlink" Target="javascript:void(0);" TargetMode="External"/><Relationship Id="rId2436" Type="http://schemas.openxmlformats.org/officeDocument/2006/relationships/hyperlink" Target="javascript:void(0);" TargetMode="External"/><Relationship Id="rId91" Type="http://schemas.openxmlformats.org/officeDocument/2006/relationships/hyperlink" Target="javascript:void(0);" TargetMode="External"/><Relationship Id="rId187" Type="http://schemas.openxmlformats.org/officeDocument/2006/relationships/hyperlink" Target="javascript:void(0);" TargetMode="External"/><Relationship Id="rId394" Type="http://schemas.openxmlformats.org/officeDocument/2006/relationships/hyperlink" Target="javascript:void(0);" TargetMode="External"/><Relationship Id="rId408" Type="http://schemas.openxmlformats.org/officeDocument/2006/relationships/hyperlink" Target="javascript:void(0);" TargetMode="External"/><Relationship Id="rId615" Type="http://schemas.openxmlformats.org/officeDocument/2006/relationships/hyperlink" Target="javascript:void(0);" TargetMode="External"/><Relationship Id="rId822" Type="http://schemas.openxmlformats.org/officeDocument/2006/relationships/hyperlink" Target="javascript:void(0);" TargetMode="External"/><Relationship Id="rId1038" Type="http://schemas.openxmlformats.org/officeDocument/2006/relationships/hyperlink" Target="javascript:void(0);" TargetMode="External"/><Relationship Id="rId1245" Type="http://schemas.openxmlformats.org/officeDocument/2006/relationships/hyperlink" Target="javascript:void(0);" TargetMode="External"/><Relationship Id="rId1452" Type="http://schemas.openxmlformats.org/officeDocument/2006/relationships/hyperlink" Target="javascript:void(0);" TargetMode="External"/><Relationship Id="rId1897" Type="http://schemas.openxmlformats.org/officeDocument/2006/relationships/hyperlink" Target="javascript:void(0);" TargetMode="External"/><Relationship Id="rId2075" Type="http://schemas.openxmlformats.org/officeDocument/2006/relationships/hyperlink" Target="javascript:void(0);" TargetMode="External"/><Relationship Id="rId2282" Type="http://schemas.openxmlformats.org/officeDocument/2006/relationships/hyperlink" Target="javascript:void(0);" TargetMode="External"/><Relationship Id="rId254" Type="http://schemas.openxmlformats.org/officeDocument/2006/relationships/hyperlink" Target="javascript:void(0);" TargetMode="External"/><Relationship Id="rId699" Type="http://schemas.openxmlformats.org/officeDocument/2006/relationships/hyperlink" Target="javascript:void(0);" TargetMode="External"/><Relationship Id="rId1091" Type="http://schemas.openxmlformats.org/officeDocument/2006/relationships/hyperlink" Target="javascript:void(0);" TargetMode="External"/><Relationship Id="rId1105" Type="http://schemas.openxmlformats.org/officeDocument/2006/relationships/hyperlink" Target="javascript:void(0);" TargetMode="External"/><Relationship Id="rId1312" Type="http://schemas.openxmlformats.org/officeDocument/2006/relationships/hyperlink" Target="javascript:void(0);" TargetMode="External"/><Relationship Id="rId1757" Type="http://schemas.openxmlformats.org/officeDocument/2006/relationships/hyperlink" Target="javascript:void(0);" TargetMode="External"/><Relationship Id="rId1964" Type="http://schemas.openxmlformats.org/officeDocument/2006/relationships/hyperlink" Target="javascript:void(0);" TargetMode="External"/><Relationship Id="rId49" Type="http://schemas.openxmlformats.org/officeDocument/2006/relationships/hyperlink" Target="javascript:void(0);" TargetMode="External"/><Relationship Id="rId114" Type="http://schemas.openxmlformats.org/officeDocument/2006/relationships/hyperlink" Target="javascript:void(0);" TargetMode="External"/><Relationship Id="rId461" Type="http://schemas.openxmlformats.org/officeDocument/2006/relationships/hyperlink" Target="javascript:void(0);" TargetMode="External"/><Relationship Id="rId559" Type="http://schemas.openxmlformats.org/officeDocument/2006/relationships/hyperlink" Target="javascript:void(0);" TargetMode="External"/><Relationship Id="rId766" Type="http://schemas.openxmlformats.org/officeDocument/2006/relationships/hyperlink" Target="javascript:void(0);" TargetMode="External"/><Relationship Id="rId1189" Type="http://schemas.openxmlformats.org/officeDocument/2006/relationships/hyperlink" Target="javascript:void(0);" TargetMode="External"/><Relationship Id="rId1396" Type="http://schemas.openxmlformats.org/officeDocument/2006/relationships/hyperlink" Target="javascript:void(0);" TargetMode="External"/><Relationship Id="rId1617" Type="http://schemas.openxmlformats.org/officeDocument/2006/relationships/hyperlink" Target="javascript:void(0);" TargetMode="External"/><Relationship Id="rId1824" Type="http://schemas.openxmlformats.org/officeDocument/2006/relationships/hyperlink" Target="javascript:void(0);" TargetMode="External"/><Relationship Id="rId2142" Type="http://schemas.openxmlformats.org/officeDocument/2006/relationships/hyperlink" Target="javascript:void(0);" TargetMode="External"/><Relationship Id="rId2447" Type="http://schemas.openxmlformats.org/officeDocument/2006/relationships/hyperlink" Target="javascript:void(0);" TargetMode="External"/><Relationship Id="rId198" Type="http://schemas.openxmlformats.org/officeDocument/2006/relationships/hyperlink" Target="javascript:void(0);" TargetMode="External"/><Relationship Id="rId321" Type="http://schemas.openxmlformats.org/officeDocument/2006/relationships/hyperlink" Target="javascript:void(0);" TargetMode="External"/><Relationship Id="rId419" Type="http://schemas.openxmlformats.org/officeDocument/2006/relationships/hyperlink" Target="javascript:void(0);" TargetMode="External"/><Relationship Id="rId626" Type="http://schemas.openxmlformats.org/officeDocument/2006/relationships/hyperlink" Target="javascript:void(0);" TargetMode="External"/><Relationship Id="rId973" Type="http://schemas.openxmlformats.org/officeDocument/2006/relationships/hyperlink" Target="javascript:void(0);" TargetMode="External"/><Relationship Id="rId1049" Type="http://schemas.openxmlformats.org/officeDocument/2006/relationships/hyperlink" Target="javascript:void(0);" TargetMode="External"/><Relationship Id="rId1256" Type="http://schemas.openxmlformats.org/officeDocument/2006/relationships/hyperlink" Target="javascript:void(0);" TargetMode="External"/><Relationship Id="rId2002" Type="http://schemas.openxmlformats.org/officeDocument/2006/relationships/hyperlink" Target="javascript:void(0);" TargetMode="External"/><Relationship Id="rId2086" Type="http://schemas.openxmlformats.org/officeDocument/2006/relationships/hyperlink" Target="javascript:void(0);" TargetMode="External"/><Relationship Id="rId2307" Type="http://schemas.openxmlformats.org/officeDocument/2006/relationships/hyperlink" Target="javascript:void(0);" TargetMode="External"/><Relationship Id="rId833" Type="http://schemas.openxmlformats.org/officeDocument/2006/relationships/hyperlink" Target="javascript:void(0);" TargetMode="External"/><Relationship Id="rId1116" Type="http://schemas.openxmlformats.org/officeDocument/2006/relationships/hyperlink" Target="javascript:void(0);" TargetMode="External"/><Relationship Id="rId1463" Type="http://schemas.openxmlformats.org/officeDocument/2006/relationships/hyperlink" Target="javascript:void(0);" TargetMode="External"/><Relationship Id="rId1670" Type="http://schemas.openxmlformats.org/officeDocument/2006/relationships/hyperlink" Target="javascript:void(0);" TargetMode="External"/><Relationship Id="rId1768" Type="http://schemas.openxmlformats.org/officeDocument/2006/relationships/hyperlink" Target="javascript:void(0);" TargetMode="External"/><Relationship Id="rId2293" Type="http://schemas.openxmlformats.org/officeDocument/2006/relationships/hyperlink" Target="javascript:void(0);" TargetMode="External"/><Relationship Id="rId265" Type="http://schemas.openxmlformats.org/officeDocument/2006/relationships/hyperlink" Target="javascript:void(0);" TargetMode="External"/><Relationship Id="rId472" Type="http://schemas.openxmlformats.org/officeDocument/2006/relationships/hyperlink" Target="javascript:void(0);" TargetMode="External"/><Relationship Id="rId900" Type="http://schemas.openxmlformats.org/officeDocument/2006/relationships/hyperlink" Target="javascript:void(0);" TargetMode="External"/><Relationship Id="rId1323" Type="http://schemas.openxmlformats.org/officeDocument/2006/relationships/hyperlink" Target="javascript:void(0);" TargetMode="External"/><Relationship Id="rId1530" Type="http://schemas.openxmlformats.org/officeDocument/2006/relationships/hyperlink" Target="javascript:void(0);" TargetMode="External"/><Relationship Id="rId1628" Type="http://schemas.openxmlformats.org/officeDocument/2006/relationships/hyperlink" Target="javascript:void(0);" TargetMode="External"/><Relationship Id="rId1975" Type="http://schemas.openxmlformats.org/officeDocument/2006/relationships/hyperlink" Target="javascript:void(0);" TargetMode="External"/><Relationship Id="rId2153" Type="http://schemas.openxmlformats.org/officeDocument/2006/relationships/hyperlink" Target="javascript:void(0);" TargetMode="External"/><Relationship Id="rId2360" Type="http://schemas.openxmlformats.org/officeDocument/2006/relationships/hyperlink" Target="javascript:void(0);" TargetMode="External"/><Relationship Id="rId125" Type="http://schemas.openxmlformats.org/officeDocument/2006/relationships/hyperlink" Target="javascript:void(0);" TargetMode="External"/><Relationship Id="rId332" Type="http://schemas.openxmlformats.org/officeDocument/2006/relationships/hyperlink" Target="javascript:void(0);" TargetMode="External"/><Relationship Id="rId777" Type="http://schemas.openxmlformats.org/officeDocument/2006/relationships/hyperlink" Target="javascript:void(0);" TargetMode="External"/><Relationship Id="rId984" Type="http://schemas.openxmlformats.org/officeDocument/2006/relationships/hyperlink" Target="javascript:void(0);" TargetMode="External"/><Relationship Id="rId1835" Type="http://schemas.openxmlformats.org/officeDocument/2006/relationships/hyperlink" Target="javascript:void(0);" TargetMode="External"/><Relationship Id="rId2013" Type="http://schemas.openxmlformats.org/officeDocument/2006/relationships/hyperlink" Target="javascript:void(0);" TargetMode="External"/><Relationship Id="rId2220" Type="http://schemas.openxmlformats.org/officeDocument/2006/relationships/hyperlink" Target="javascript:void(0);" TargetMode="External"/><Relationship Id="rId2458" Type="http://schemas.openxmlformats.org/officeDocument/2006/relationships/hyperlink" Target="javascript:void(0);" TargetMode="External"/><Relationship Id="rId637" Type="http://schemas.openxmlformats.org/officeDocument/2006/relationships/hyperlink" Target="javascript:void(0);" TargetMode="External"/><Relationship Id="rId844" Type="http://schemas.openxmlformats.org/officeDocument/2006/relationships/hyperlink" Target="javascript:void(0);" TargetMode="External"/><Relationship Id="rId1267" Type="http://schemas.openxmlformats.org/officeDocument/2006/relationships/hyperlink" Target="javascript:void(0);" TargetMode="External"/><Relationship Id="rId1474" Type="http://schemas.openxmlformats.org/officeDocument/2006/relationships/hyperlink" Target="javascript:void(0);" TargetMode="External"/><Relationship Id="rId1681" Type="http://schemas.openxmlformats.org/officeDocument/2006/relationships/hyperlink" Target="javascript:void(0);" TargetMode="External"/><Relationship Id="rId1902" Type="http://schemas.openxmlformats.org/officeDocument/2006/relationships/hyperlink" Target="javascript:void(0);" TargetMode="External"/><Relationship Id="rId2097" Type="http://schemas.openxmlformats.org/officeDocument/2006/relationships/hyperlink" Target="javascript:void(0);" TargetMode="External"/><Relationship Id="rId2318" Type="http://schemas.openxmlformats.org/officeDocument/2006/relationships/hyperlink" Target="javascript:void(0);" TargetMode="External"/><Relationship Id="rId276" Type="http://schemas.openxmlformats.org/officeDocument/2006/relationships/hyperlink" Target="javascript:void(0);" TargetMode="External"/><Relationship Id="rId483" Type="http://schemas.openxmlformats.org/officeDocument/2006/relationships/hyperlink" Target="javascript:void(0);" TargetMode="External"/><Relationship Id="rId690" Type="http://schemas.openxmlformats.org/officeDocument/2006/relationships/hyperlink" Target="javascript:void(0);" TargetMode="External"/><Relationship Id="rId704" Type="http://schemas.openxmlformats.org/officeDocument/2006/relationships/hyperlink" Target="javascript:void(0);" TargetMode="External"/><Relationship Id="rId911" Type="http://schemas.openxmlformats.org/officeDocument/2006/relationships/hyperlink" Target="javascript:void(0);" TargetMode="External"/><Relationship Id="rId1127" Type="http://schemas.openxmlformats.org/officeDocument/2006/relationships/hyperlink" Target="javascript:void(0);" TargetMode="External"/><Relationship Id="rId1334" Type="http://schemas.openxmlformats.org/officeDocument/2006/relationships/hyperlink" Target="javascript:void(0);" TargetMode="External"/><Relationship Id="rId1541" Type="http://schemas.openxmlformats.org/officeDocument/2006/relationships/hyperlink" Target="javascript:void(0);" TargetMode="External"/><Relationship Id="rId1779" Type="http://schemas.openxmlformats.org/officeDocument/2006/relationships/hyperlink" Target="javascript:void(0);" TargetMode="External"/><Relationship Id="rId1986" Type="http://schemas.openxmlformats.org/officeDocument/2006/relationships/hyperlink" Target="javascript:void(0);" TargetMode="External"/><Relationship Id="rId2164" Type="http://schemas.openxmlformats.org/officeDocument/2006/relationships/hyperlink" Target="javascript:void(0);" TargetMode="External"/><Relationship Id="rId2371" Type="http://schemas.openxmlformats.org/officeDocument/2006/relationships/hyperlink" Target="javascript:void(0);" TargetMode="External"/><Relationship Id="rId40" Type="http://schemas.openxmlformats.org/officeDocument/2006/relationships/hyperlink" Target="javascript:void(0);" TargetMode="External"/><Relationship Id="rId136" Type="http://schemas.openxmlformats.org/officeDocument/2006/relationships/hyperlink" Target="javascript:void(0);" TargetMode="External"/><Relationship Id="rId343" Type="http://schemas.openxmlformats.org/officeDocument/2006/relationships/hyperlink" Target="javascript:void(0);" TargetMode="External"/><Relationship Id="rId550" Type="http://schemas.openxmlformats.org/officeDocument/2006/relationships/hyperlink" Target="javascript:void(0);" TargetMode="External"/><Relationship Id="rId788" Type="http://schemas.openxmlformats.org/officeDocument/2006/relationships/hyperlink" Target="javascript:void(0);" TargetMode="External"/><Relationship Id="rId995" Type="http://schemas.openxmlformats.org/officeDocument/2006/relationships/hyperlink" Target="javascript:void(0);" TargetMode="External"/><Relationship Id="rId1180" Type="http://schemas.openxmlformats.org/officeDocument/2006/relationships/hyperlink" Target="javascript:void(0);" TargetMode="External"/><Relationship Id="rId1401" Type="http://schemas.openxmlformats.org/officeDocument/2006/relationships/hyperlink" Target="javascript:void(0);" TargetMode="External"/><Relationship Id="rId1639" Type="http://schemas.openxmlformats.org/officeDocument/2006/relationships/hyperlink" Target="javascript:void(0);" TargetMode="External"/><Relationship Id="rId1846" Type="http://schemas.openxmlformats.org/officeDocument/2006/relationships/hyperlink" Target="javascript:void(0);" TargetMode="External"/><Relationship Id="rId2024" Type="http://schemas.openxmlformats.org/officeDocument/2006/relationships/hyperlink" Target="javascript:void(0);" TargetMode="External"/><Relationship Id="rId2231" Type="http://schemas.openxmlformats.org/officeDocument/2006/relationships/hyperlink" Target="javascript:void(0);" TargetMode="External"/><Relationship Id="rId203" Type="http://schemas.openxmlformats.org/officeDocument/2006/relationships/hyperlink" Target="javascript:void(0);" TargetMode="External"/><Relationship Id="rId648" Type="http://schemas.openxmlformats.org/officeDocument/2006/relationships/hyperlink" Target="javascript:void(0);" TargetMode="External"/><Relationship Id="rId855" Type="http://schemas.openxmlformats.org/officeDocument/2006/relationships/hyperlink" Target="javascript:void(0);" TargetMode="External"/><Relationship Id="rId1040" Type="http://schemas.openxmlformats.org/officeDocument/2006/relationships/hyperlink" Target="javascript:void(0);" TargetMode="External"/><Relationship Id="rId1278" Type="http://schemas.openxmlformats.org/officeDocument/2006/relationships/hyperlink" Target="javascript:void(0);" TargetMode="External"/><Relationship Id="rId1485" Type="http://schemas.openxmlformats.org/officeDocument/2006/relationships/hyperlink" Target="javascript:void(0);" TargetMode="External"/><Relationship Id="rId1692" Type="http://schemas.openxmlformats.org/officeDocument/2006/relationships/hyperlink" Target="javascript:void(0);" TargetMode="External"/><Relationship Id="rId1706" Type="http://schemas.openxmlformats.org/officeDocument/2006/relationships/hyperlink" Target="javascript:void(0);" TargetMode="External"/><Relationship Id="rId1913" Type="http://schemas.openxmlformats.org/officeDocument/2006/relationships/hyperlink" Target="javascript:void(0);" TargetMode="External"/><Relationship Id="rId2329" Type="http://schemas.openxmlformats.org/officeDocument/2006/relationships/hyperlink" Target="javascript:void(0);" TargetMode="External"/><Relationship Id="rId287" Type="http://schemas.openxmlformats.org/officeDocument/2006/relationships/hyperlink" Target="javascript:void(0);" TargetMode="External"/><Relationship Id="rId410" Type="http://schemas.openxmlformats.org/officeDocument/2006/relationships/hyperlink" Target="javascript:void(0);" TargetMode="External"/><Relationship Id="rId494" Type="http://schemas.openxmlformats.org/officeDocument/2006/relationships/hyperlink" Target="javascript:void(0);" TargetMode="External"/><Relationship Id="rId508" Type="http://schemas.openxmlformats.org/officeDocument/2006/relationships/hyperlink" Target="javascript:void(0);" TargetMode="External"/><Relationship Id="rId715" Type="http://schemas.openxmlformats.org/officeDocument/2006/relationships/hyperlink" Target="javascript:void(0);" TargetMode="External"/><Relationship Id="rId922" Type="http://schemas.openxmlformats.org/officeDocument/2006/relationships/hyperlink" Target="javascript:void(0);" TargetMode="External"/><Relationship Id="rId1138" Type="http://schemas.openxmlformats.org/officeDocument/2006/relationships/hyperlink" Target="javascript:void(0);" TargetMode="External"/><Relationship Id="rId1345" Type="http://schemas.openxmlformats.org/officeDocument/2006/relationships/hyperlink" Target="javascript:void(0);" TargetMode="External"/><Relationship Id="rId1552" Type="http://schemas.openxmlformats.org/officeDocument/2006/relationships/hyperlink" Target="javascript:void(0);" TargetMode="External"/><Relationship Id="rId1997" Type="http://schemas.openxmlformats.org/officeDocument/2006/relationships/hyperlink" Target="javascript:void(0);" TargetMode="External"/><Relationship Id="rId2175" Type="http://schemas.openxmlformats.org/officeDocument/2006/relationships/hyperlink" Target="javascript:void(0);" TargetMode="External"/><Relationship Id="rId2382" Type="http://schemas.openxmlformats.org/officeDocument/2006/relationships/hyperlink" Target="javascript:void(0);" TargetMode="External"/><Relationship Id="rId147" Type="http://schemas.openxmlformats.org/officeDocument/2006/relationships/hyperlink" Target="javascript:void(0);" TargetMode="External"/><Relationship Id="rId354" Type="http://schemas.openxmlformats.org/officeDocument/2006/relationships/hyperlink" Target="javascript:void(0);" TargetMode="External"/><Relationship Id="rId799" Type="http://schemas.openxmlformats.org/officeDocument/2006/relationships/hyperlink" Target="javascript:void(0);" TargetMode="External"/><Relationship Id="rId1191" Type="http://schemas.openxmlformats.org/officeDocument/2006/relationships/hyperlink" Target="javascript:void(0);" TargetMode="External"/><Relationship Id="rId1205" Type="http://schemas.openxmlformats.org/officeDocument/2006/relationships/hyperlink" Target="javascript:void(0);" TargetMode="External"/><Relationship Id="rId1857" Type="http://schemas.openxmlformats.org/officeDocument/2006/relationships/hyperlink" Target="javascript:void(0);" TargetMode="External"/><Relationship Id="rId2035" Type="http://schemas.openxmlformats.org/officeDocument/2006/relationships/hyperlink" Target="javascript:void(0);" TargetMode="External"/><Relationship Id="rId51" Type="http://schemas.openxmlformats.org/officeDocument/2006/relationships/hyperlink" Target="javascript:void(0);" TargetMode="External"/><Relationship Id="rId561" Type="http://schemas.openxmlformats.org/officeDocument/2006/relationships/hyperlink" Target="javascript:void(0);" TargetMode="External"/><Relationship Id="rId659" Type="http://schemas.openxmlformats.org/officeDocument/2006/relationships/hyperlink" Target="javascript:void(0);" TargetMode="External"/><Relationship Id="rId866" Type="http://schemas.openxmlformats.org/officeDocument/2006/relationships/hyperlink" Target="javascript:void(0);" TargetMode="External"/><Relationship Id="rId1289" Type="http://schemas.openxmlformats.org/officeDocument/2006/relationships/hyperlink" Target="javascript:void(0);" TargetMode="External"/><Relationship Id="rId1412" Type="http://schemas.openxmlformats.org/officeDocument/2006/relationships/hyperlink" Target="javascript:void(0);" TargetMode="External"/><Relationship Id="rId1496" Type="http://schemas.openxmlformats.org/officeDocument/2006/relationships/hyperlink" Target="javascript:void(0);" TargetMode="External"/><Relationship Id="rId1717" Type="http://schemas.openxmlformats.org/officeDocument/2006/relationships/hyperlink" Target="javascript:void(0);" TargetMode="External"/><Relationship Id="rId1924" Type="http://schemas.openxmlformats.org/officeDocument/2006/relationships/hyperlink" Target="javascript:void(0);" TargetMode="External"/><Relationship Id="rId2242" Type="http://schemas.openxmlformats.org/officeDocument/2006/relationships/hyperlink" Target="javascript:void(0);" TargetMode="External"/><Relationship Id="rId214" Type="http://schemas.openxmlformats.org/officeDocument/2006/relationships/hyperlink" Target="javascript:void(0);" TargetMode="External"/><Relationship Id="rId298" Type="http://schemas.openxmlformats.org/officeDocument/2006/relationships/hyperlink" Target="javascript:void(0);" TargetMode="External"/><Relationship Id="rId421" Type="http://schemas.openxmlformats.org/officeDocument/2006/relationships/hyperlink" Target="javascript:void(0);" TargetMode="External"/><Relationship Id="rId519" Type="http://schemas.openxmlformats.org/officeDocument/2006/relationships/hyperlink" Target="javascript:void(0);" TargetMode="External"/><Relationship Id="rId1051" Type="http://schemas.openxmlformats.org/officeDocument/2006/relationships/hyperlink" Target="javascript:void(0);" TargetMode="External"/><Relationship Id="rId1149" Type="http://schemas.openxmlformats.org/officeDocument/2006/relationships/hyperlink" Target="javascript:void(0);" TargetMode="External"/><Relationship Id="rId1356" Type="http://schemas.openxmlformats.org/officeDocument/2006/relationships/hyperlink" Target="javascript:void(0);" TargetMode="External"/><Relationship Id="rId2102" Type="http://schemas.openxmlformats.org/officeDocument/2006/relationships/hyperlink" Target="javascript:void(0);" TargetMode="External"/><Relationship Id="rId158" Type="http://schemas.openxmlformats.org/officeDocument/2006/relationships/hyperlink" Target="javascript:void(0);" TargetMode="External"/><Relationship Id="rId726" Type="http://schemas.openxmlformats.org/officeDocument/2006/relationships/hyperlink" Target="javascript:void(0);" TargetMode="External"/><Relationship Id="rId933" Type="http://schemas.openxmlformats.org/officeDocument/2006/relationships/hyperlink" Target="javascript:void(0);" TargetMode="External"/><Relationship Id="rId1009" Type="http://schemas.openxmlformats.org/officeDocument/2006/relationships/hyperlink" Target="javascript:void(0);" TargetMode="External"/><Relationship Id="rId1563" Type="http://schemas.openxmlformats.org/officeDocument/2006/relationships/hyperlink" Target="javascript:void(0);" TargetMode="External"/><Relationship Id="rId1770" Type="http://schemas.openxmlformats.org/officeDocument/2006/relationships/hyperlink" Target="javascript:void(0);" TargetMode="External"/><Relationship Id="rId1868" Type="http://schemas.openxmlformats.org/officeDocument/2006/relationships/hyperlink" Target="javascript:void(0);" TargetMode="External"/><Relationship Id="rId2186" Type="http://schemas.openxmlformats.org/officeDocument/2006/relationships/hyperlink" Target="javascript:void(0);" TargetMode="External"/><Relationship Id="rId2393" Type="http://schemas.openxmlformats.org/officeDocument/2006/relationships/hyperlink" Target="javascript:void(0);" TargetMode="External"/><Relationship Id="rId2407" Type="http://schemas.openxmlformats.org/officeDocument/2006/relationships/hyperlink" Target="javascript:void(0);" TargetMode="External"/><Relationship Id="rId62" Type="http://schemas.openxmlformats.org/officeDocument/2006/relationships/hyperlink" Target="javascript:void(0);" TargetMode="External"/><Relationship Id="rId365" Type="http://schemas.openxmlformats.org/officeDocument/2006/relationships/hyperlink" Target="javascript:void(0);" TargetMode="External"/><Relationship Id="rId572" Type="http://schemas.openxmlformats.org/officeDocument/2006/relationships/hyperlink" Target="javascript:void(0);" TargetMode="External"/><Relationship Id="rId1216" Type="http://schemas.openxmlformats.org/officeDocument/2006/relationships/hyperlink" Target="javascript:void(0);" TargetMode="External"/><Relationship Id="rId1423" Type="http://schemas.openxmlformats.org/officeDocument/2006/relationships/hyperlink" Target="javascript:void(0);" TargetMode="External"/><Relationship Id="rId1630" Type="http://schemas.openxmlformats.org/officeDocument/2006/relationships/hyperlink" Target="javascript:void(0);" TargetMode="External"/><Relationship Id="rId2046" Type="http://schemas.openxmlformats.org/officeDocument/2006/relationships/hyperlink" Target="javascript:void(0);" TargetMode="External"/><Relationship Id="rId2253" Type="http://schemas.openxmlformats.org/officeDocument/2006/relationships/hyperlink" Target="javascript:void(0);" TargetMode="External"/><Relationship Id="rId2460" Type="http://schemas.openxmlformats.org/officeDocument/2006/relationships/hyperlink" Target="javascript:void(0);" TargetMode="External"/><Relationship Id="rId225" Type="http://schemas.openxmlformats.org/officeDocument/2006/relationships/hyperlink" Target="javascript:void(0);" TargetMode="External"/><Relationship Id="rId432" Type="http://schemas.openxmlformats.org/officeDocument/2006/relationships/hyperlink" Target="javascript:void(0);" TargetMode="External"/><Relationship Id="rId877" Type="http://schemas.openxmlformats.org/officeDocument/2006/relationships/hyperlink" Target="javascript:void(0);" TargetMode="External"/><Relationship Id="rId1062" Type="http://schemas.openxmlformats.org/officeDocument/2006/relationships/hyperlink" Target="javascript:void(0);" TargetMode="External"/><Relationship Id="rId1728" Type="http://schemas.openxmlformats.org/officeDocument/2006/relationships/hyperlink" Target="javascript:void(0);" TargetMode="External"/><Relationship Id="rId1935" Type="http://schemas.openxmlformats.org/officeDocument/2006/relationships/hyperlink" Target="javascript:void(0);" TargetMode="External"/><Relationship Id="rId2113" Type="http://schemas.openxmlformats.org/officeDocument/2006/relationships/hyperlink" Target="javascript:void(0);" TargetMode="External"/><Relationship Id="rId2320" Type="http://schemas.openxmlformats.org/officeDocument/2006/relationships/hyperlink" Target="javascript:void(0);" TargetMode="External"/><Relationship Id="rId737" Type="http://schemas.openxmlformats.org/officeDocument/2006/relationships/hyperlink" Target="javascript:void(0);" TargetMode="External"/><Relationship Id="rId944" Type="http://schemas.openxmlformats.org/officeDocument/2006/relationships/hyperlink" Target="javascript:void(0);" TargetMode="External"/><Relationship Id="rId1367" Type="http://schemas.openxmlformats.org/officeDocument/2006/relationships/hyperlink" Target="javascript:void(0);" TargetMode="External"/><Relationship Id="rId1574" Type="http://schemas.openxmlformats.org/officeDocument/2006/relationships/hyperlink" Target="javascript:void(0);" TargetMode="External"/><Relationship Id="rId1781" Type="http://schemas.openxmlformats.org/officeDocument/2006/relationships/hyperlink" Target="javascript:void(0);" TargetMode="External"/><Relationship Id="rId2197" Type="http://schemas.openxmlformats.org/officeDocument/2006/relationships/hyperlink" Target="javascript:void(0);" TargetMode="External"/><Relationship Id="rId2418" Type="http://schemas.openxmlformats.org/officeDocument/2006/relationships/hyperlink" Target="javascript:void(0);" TargetMode="External"/><Relationship Id="rId73" Type="http://schemas.openxmlformats.org/officeDocument/2006/relationships/hyperlink" Target="javascript:void(0);" TargetMode="External"/><Relationship Id="rId169" Type="http://schemas.openxmlformats.org/officeDocument/2006/relationships/hyperlink" Target="javascript:void(0);" TargetMode="External"/><Relationship Id="rId376" Type="http://schemas.openxmlformats.org/officeDocument/2006/relationships/hyperlink" Target="javascript:void(0);" TargetMode="External"/><Relationship Id="rId583" Type="http://schemas.openxmlformats.org/officeDocument/2006/relationships/hyperlink" Target="javascript:void(0);" TargetMode="External"/><Relationship Id="rId790" Type="http://schemas.openxmlformats.org/officeDocument/2006/relationships/hyperlink" Target="javascript:void(0);" TargetMode="External"/><Relationship Id="rId804" Type="http://schemas.openxmlformats.org/officeDocument/2006/relationships/hyperlink" Target="javascript:void(0);" TargetMode="External"/><Relationship Id="rId1227" Type="http://schemas.openxmlformats.org/officeDocument/2006/relationships/hyperlink" Target="javascript:void(0);" TargetMode="External"/><Relationship Id="rId1434" Type="http://schemas.openxmlformats.org/officeDocument/2006/relationships/hyperlink" Target="javascript:void(0);" TargetMode="External"/><Relationship Id="rId1641" Type="http://schemas.openxmlformats.org/officeDocument/2006/relationships/hyperlink" Target="javascript:void(0);" TargetMode="External"/><Relationship Id="rId1879" Type="http://schemas.openxmlformats.org/officeDocument/2006/relationships/hyperlink" Target="javascript:void(0);" TargetMode="External"/><Relationship Id="rId2057" Type="http://schemas.openxmlformats.org/officeDocument/2006/relationships/hyperlink" Target="javascript:void(0);" TargetMode="External"/><Relationship Id="rId2264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Relationship Id="rId236" Type="http://schemas.openxmlformats.org/officeDocument/2006/relationships/hyperlink" Target="javascript:void(0);" TargetMode="External"/><Relationship Id="rId443" Type="http://schemas.openxmlformats.org/officeDocument/2006/relationships/hyperlink" Target="javascript:void(0);" TargetMode="External"/><Relationship Id="rId650" Type="http://schemas.openxmlformats.org/officeDocument/2006/relationships/hyperlink" Target="javascript:void(0);" TargetMode="External"/><Relationship Id="rId888" Type="http://schemas.openxmlformats.org/officeDocument/2006/relationships/hyperlink" Target="javascript:void(0);" TargetMode="External"/><Relationship Id="rId1073" Type="http://schemas.openxmlformats.org/officeDocument/2006/relationships/hyperlink" Target="javascript:void(0);" TargetMode="External"/><Relationship Id="rId1280" Type="http://schemas.openxmlformats.org/officeDocument/2006/relationships/hyperlink" Target="javascript:void(0);" TargetMode="External"/><Relationship Id="rId1501" Type="http://schemas.openxmlformats.org/officeDocument/2006/relationships/hyperlink" Target="javascript:void(0);" TargetMode="External"/><Relationship Id="rId1739" Type="http://schemas.openxmlformats.org/officeDocument/2006/relationships/hyperlink" Target="javascript:void(0);" TargetMode="External"/><Relationship Id="rId1946" Type="http://schemas.openxmlformats.org/officeDocument/2006/relationships/hyperlink" Target="javascript:void(0);" TargetMode="External"/><Relationship Id="rId2124" Type="http://schemas.openxmlformats.org/officeDocument/2006/relationships/hyperlink" Target="javascript:void(0);" TargetMode="External"/><Relationship Id="rId2331" Type="http://schemas.openxmlformats.org/officeDocument/2006/relationships/hyperlink" Target="javascript:void(0);" TargetMode="External"/><Relationship Id="rId303" Type="http://schemas.openxmlformats.org/officeDocument/2006/relationships/hyperlink" Target="javascript:void(0);" TargetMode="External"/><Relationship Id="rId748" Type="http://schemas.openxmlformats.org/officeDocument/2006/relationships/hyperlink" Target="javascript:void(0);" TargetMode="External"/><Relationship Id="rId955" Type="http://schemas.openxmlformats.org/officeDocument/2006/relationships/hyperlink" Target="javascript:void(0);" TargetMode="External"/><Relationship Id="rId1140" Type="http://schemas.openxmlformats.org/officeDocument/2006/relationships/hyperlink" Target="javascript:void(0);" TargetMode="External"/><Relationship Id="rId1378" Type="http://schemas.openxmlformats.org/officeDocument/2006/relationships/hyperlink" Target="javascript:void(0);" TargetMode="External"/><Relationship Id="rId1585" Type="http://schemas.openxmlformats.org/officeDocument/2006/relationships/hyperlink" Target="javascript:void(0);" TargetMode="External"/><Relationship Id="rId1792" Type="http://schemas.openxmlformats.org/officeDocument/2006/relationships/hyperlink" Target="javascript:void(0);" TargetMode="External"/><Relationship Id="rId1806" Type="http://schemas.openxmlformats.org/officeDocument/2006/relationships/hyperlink" Target="javascript:void(0);" TargetMode="External"/><Relationship Id="rId2429" Type="http://schemas.openxmlformats.org/officeDocument/2006/relationships/hyperlink" Target="javascript:void(0);" TargetMode="External"/><Relationship Id="rId84" Type="http://schemas.openxmlformats.org/officeDocument/2006/relationships/hyperlink" Target="javascript:void(0);" TargetMode="External"/><Relationship Id="rId387" Type="http://schemas.openxmlformats.org/officeDocument/2006/relationships/hyperlink" Target="javascript:void(0);" TargetMode="External"/><Relationship Id="rId510" Type="http://schemas.openxmlformats.org/officeDocument/2006/relationships/hyperlink" Target="javascript:void(0);" TargetMode="External"/><Relationship Id="rId594" Type="http://schemas.openxmlformats.org/officeDocument/2006/relationships/hyperlink" Target="javascript:void(0);" TargetMode="External"/><Relationship Id="rId608" Type="http://schemas.openxmlformats.org/officeDocument/2006/relationships/hyperlink" Target="javascript:void(0);" TargetMode="External"/><Relationship Id="rId815" Type="http://schemas.openxmlformats.org/officeDocument/2006/relationships/hyperlink" Target="javascript:void(0);" TargetMode="External"/><Relationship Id="rId1238" Type="http://schemas.openxmlformats.org/officeDocument/2006/relationships/hyperlink" Target="javascript:void(0);" TargetMode="External"/><Relationship Id="rId1445" Type="http://schemas.openxmlformats.org/officeDocument/2006/relationships/hyperlink" Target="javascript:void(0);" TargetMode="External"/><Relationship Id="rId1652" Type="http://schemas.openxmlformats.org/officeDocument/2006/relationships/hyperlink" Target="javascript:void(0);" TargetMode="External"/><Relationship Id="rId2068" Type="http://schemas.openxmlformats.org/officeDocument/2006/relationships/hyperlink" Target="javascript:void(0);" TargetMode="External"/><Relationship Id="rId2275" Type="http://schemas.openxmlformats.org/officeDocument/2006/relationships/hyperlink" Target="javascript:void(0);" TargetMode="External"/><Relationship Id="rId247" Type="http://schemas.openxmlformats.org/officeDocument/2006/relationships/hyperlink" Target="javascript:void(0);" TargetMode="External"/><Relationship Id="rId899" Type="http://schemas.openxmlformats.org/officeDocument/2006/relationships/hyperlink" Target="javascript:void(0);" TargetMode="External"/><Relationship Id="rId1000" Type="http://schemas.openxmlformats.org/officeDocument/2006/relationships/hyperlink" Target="javascript:void(0);" TargetMode="External"/><Relationship Id="rId1084" Type="http://schemas.openxmlformats.org/officeDocument/2006/relationships/hyperlink" Target="javascript:void(0);" TargetMode="External"/><Relationship Id="rId1305" Type="http://schemas.openxmlformats.org/officeDocument/2006/relationships/hyperlink" Target="javascript:void(0);" TargetMode="External"/><Relationship Id="rId1957" Type="http://schemas.openxmlformats.org/officeDocument/2006/relationships/hyperlink" Target="javascript:void(0);" TargetMode="External"/><Relationship Id="rId107" Type="http://schemas.openxmlformats.org/officeDocument/2006/relationships/hyperlink" Target="javascript:void(0);" TargetMode="External"/><Relationship Id="rId454" Type="http://schemas.openxmlformats.org/officeDocument/2006/relationships/hyperlink" Target="javascript:void(0);" TargetMode="External"/><Relationship Id="rId661" Type="http://schemas.openxmlformats.org/officeDocument/2006/relationships/hyperlink" Target="javascript:void(0);" TargetMode="External"/><Relationship Id="rId759" Type="http://schemas.openxmlformats.org/officeDocument/2006/relationships/hyperlink" Target="javascript:void(0);" TargetMode="External"/><Relationship Id="rId966" Type="http://schemas.openxmlformats.org/officeDocument/2006/relationships/hyperlink" Target="javascript:void(0);" TargetMode="External"/><Relationship Id="rId1291" Type="http://schemas.openxmlformats.org/officeDocument/2006/relationships/hyperlink" Target="javascript:void(0);" TargetMode="External"/><Relationship Id="rId1389" Type="http://schemas.openxmlformats.org/officeDocument/2006/relationships/hyperlink" Target="javascript:void(0);" TargetMode="External"/><Relationship Id="rId1512" Type="http://schemas.openxmlformats.org/officeDocument/2006/relationships/hyperlink" Target="javascript:void(0);" TargetMode="External"/><Relationship Id="rId1596" Type="http://schemas.openxmlformats.org/officeDocument/2006/relationships/hyperlink" Target="javascript:void(0);" TargetMode="External"/><Relationship Id="rId1817" Type="http://schemas.openxmlformats.org/officeDocument/2006/relationships/hyperlink" Target="javascript:void(0);" TargetMode="External"/><Relationship Id="rId2135" Type="http://schemas.openxmlformats.org/officeDocument/2006/relationships/hyperlink" Target="javascript:void(0);" TargetMode="External"/><Relationship Id="rId2342" Type="http://schemas.openxmlformats.org/officeDocument/2006/relationships/hyperlink" Target="javascript:void(0);" TargetMode="External"/><Relationship Id="rId11" Type="http://schemas.openxmlformats.org/officeDocument/2006/relationships/hyperlink" Target="javascript:void(0);" TargetMode="External"/><Relationship Id="rId314" Type="http://schemas.openxmlformats.org/officeDocument/2006/relationships/hyperlink" Target="javascript:void(0);" TargetMode="External"/><Relationship Id="rId398" Type="http://schemas.openxmlformats.org/officeDocument/2006/relationships/hyperlink" Target="javascript:void(0);" TargetMode="External"/><Relationship Id="rId521" Type="http://schemas.openxmlformats.org/officeDocument/2006/relationships/hyperlink" Target="javascript:void(0);" TargetMode="External"/><Relationship Id="rId619" Type="http://schemas.openxmlformats.org/officeDocument/2006/relationships/hyperlink" Target="javascript:void(0);" TargetMode="External"/><Relationship Id="rId1151" Type="http://schemas.openxmlformats.org/officeDocument/2006/relationships/hyperlink" Target="javascript:void(0);" TargetMode="External"/><Relationship Id="rId1249" Type="http://schemas.openxmlformats.org/officeDocument/2006/relationships/hyperlink" Target="javascript:void(0);" TargetMode="External"/><Relationship Id="rId2079" Type="http://schemas.openxmlformats.org/officeDocument/2006/relationships/hyperlink" Target="javascript:void(0);" TargetMode="External"/><Relationship Id="rId2202" Type="http://schemas.openxmlformats.org/officeDocument/2006/relationships/hyperlink" Target="javascript:void(0);" TargetMode="External"/><Relationship Id="rId95" Type="http://schemas.openxmlformats.org/officeDocument/2006/relationships/hyperlink" Target="javascript:void(0);" TargetMode="External"/><Relationship Id="rId160" Type="http://schemas.openxmlformats.org/officeDocument/2006/relationships/hyperlink" Target="javascript:void(0);" TargetMode="External"/><Relationship Id="rId826" Type="http://schemas.openxmlformats.org/officeDocument/2006/relationships/hyperlink" Target="javascript:void(0);" TargetMode="External"/><Relationship Id="rId1011" Type="http://schemas.openxmlformats.org/officeDocument/2006/relationships/hyperlink" Target="javascript:void(0);" TargetMode="External"/><Relationship Id="rId1109" Type="http://schemas.openxmlformats.org/officeDocument/2006/relationships/hyperlink" Target="javascript:void(0);" TargetMode="External"/><Relationship Id="rId1456" Type="http://schemas.openxmlformats.org/officeDocument/2006/relationships/hyperlink" Target="javascript:void(0);" TargetMode="External"/><Relationship Id="rId1663" Type="http://schemas.openxmlformats.org/officeDocument/2006/relationships/hyperlink" Target="javascript:void(0);" TargetMode="External"/><Relationship Id="rId1870" Type="http://schemas.openxmlformats.org/officeDocument/2006/relationships/hyperlink" Target="javascript:void(0);" TargetMode="External"/><Relationship Id="rId1968" Type="http://schemas.openxmlformats.org/officeDocument/2006/relationships/hyperlink" Target="javascript:void(0);" TargetMode="External"/><Relationship Id="rId2286" Type="http://schemas.openxmlformats.org/officeDocument/2006/relationships/hyperlink" Target="javascript:void(0);" TargetMode="External"/><Relationship Id="rId258" Type="http://schemas.openxmlformats.org/officeDocument/2006/relationships/hyperlink" Target="javascript:void(0);" TargetMode="External"/><Relationship Id="rId465" Type="http://schemas.openxmlformats.org/officeDocument/2006/relationships/hyperlink" Target="javascript:void(0);" TargetMode="External"/><Relationship Id="rId672" Type="http://schemas.openxmlformats.org/officeDocument/2006/relationships/hyperlink" Target="javascript:void(0);" TargetMode="External"/><Relationship Id="rId1095" Type="http://schemas.openxmlformats.org/officeDocument/2006/relationships/hyperlink" Target="javascript:void(0);" TargetMode="External"/><Relationship Id="rId1316" Type="http://schemas.openxmlformats.org/officeDocument/2006/relationships/hyperlink" Target="javascript:void(0);" TargetMode="External"/><Relationship Id="rId1523" Type="http://schemas.openxmlformats.org/officeDocument/2006/relationships/hyperlink" Target="javascript:void(0);" TargetMode="External"/><Relationship Id="rId1730" Type="http://schemas.openxmlformats.org/officeDocument/2006/relationships/hyperlink" Target="javascript:void(0);" TargetMode="External"/><Relationship Id="rId2146" Type="http://schemas.openxmlformats.org/officeDocument/2006/relationships/hyperlink" Target="javascript:void(0);" TargetMode="External"/><Relationship Id="rId2353" Type="http://schemas.openxmlformats.org/officeDocument/2006/relationships/hyperlink" Target="javascript:void(0);" TargetMode="External"/><Relationship Id="rId22" Type="http://schemas.openxmlformats.org/officeDocument/2006/relationships/hyperlink" Target="javascript:void(0);" TargetMode="External"/><Relationship Id="rId118" Type="http://schemas.openxmlformats.org/officeDocument/2006/relationships/hyperlink" Target="javascript:void(0);" TargetMode="External"/><Relationship Id="rId325" Type="http://schemas.openxmlformats.org/officeDocument/2006/relationships/hyperlink" Target="javascript:void(0);" TargetMode="External"/><Relationship Id="rId532" Type="http://schemas.openxmlformats.org/officeDocument/2006/relationships/hyperlink" Target="javascript:void(0);" TargetMode="External"/><Relationship Id="rId977" Type="http://schemas.openxmlformats.org/officeDocument/2006/relationships/hyperlink" Target="javascript:void(0);" TargetMode="External"/><Relationship Id="rId1162" Type="http://schemas.openxmlformats.org/officeDocument/2006/relationships/hyperlink" Target="javascript:void(0);" TargetMode="External"/><Relationship Id="rId1828" Type="http://schemas.openxmlformats.org/officeDocument/2006/relationships/hyperlink" Target="javascript:void(0);" TargetMode="External"/><Relationship Id="rId2006" Type="http://schemas.openxmlformats.org/officeDocument/2006/relationships/hyperlink" Target="javascript:void(0);" TargetMode="External"/><Relationship Id="rId2213" Type="http://schemas.openxmlformats.org/officeDocument/2006/relationships/hyperlink" Target="javascript:void(0);" TargetMode="External"/><Relationship Id="rId2420" Type="http://schemas.openxmlformats.org/officeDocument/2006/relationships/hyperlink" Target="javascript:void(0);" TargetMode="External"/><Relationship Id="rId171" Type="http://schemas.openxmlformats.org/officeDocument/2006/relationships/hyperlink" Target="javascript:void(0);" TargetMode="External"/><Relationship Id="rId837" Type="http://schemas.openxmlformats.org/officeDocument/2006/relationships/hyperlink" Target="javascript:void(0);" TargetMode="External"/><Relationship Id="rId1022" Type="http://schemas.openxmlformats.org/officeDocument/2006/relationships/hyperlink" Target="javascript:void(0);" TargetMode="External"/><Relationship Id="rId1467" Type="http://schemas.openxmlformats.org/officeDocument/2006/relationships/hyperlink" Target="javascript:void(0);" TargetMode="External"/><Relationship Id="rId1674" Type="http://schemas.openxmlformats.org/officeDocument/2006/relationships/hyperlink" Target="javascript:void(0);" TargetMode="External"/><Relationship Id="rId1881" Type="http://schemas.openxmlformats.org/officeDocument/2006/relationships/hyperlink" Target="javascript:void(0);" TargetMode="External"/><Relationship Id="rId2297" Type="http://schemas.openxmlformats.org/officeDocument/2006/relationships/hyperlink" Target="javascript:void(0);" TargetMode="External"/><Relationship Id="rId269" Type="http://schemas.openxmlformats.org/officeDocument/2006/relationships/hyperlink" Target="javascript:void(0);" TargetMode="External"/><Relationship Id="rId476" Type="http://schemas.openxmlformats.org/officeDocument/2006/relationships/hyperlink" Target="javascript:void(0);" TargetMode="External"/><Relationship Id="rId683" Type="http://schemas.openxmlformats.org/officeDocument/2006/relationships/hyperlink" Target="javascript:void(0);" TargetMode="External"/><Relationship Id="rId890" Type="http://schemas.openxmlformats.org/officeDocument/2006/relationships/hyperlink" Target="javascript:void(0);" TargetMode="External"/><Relationship Id="rId904" Type="http://schemas.openxmlformats.org/officeDocument/2006/relationships/hyperlink" Target="javascript:void(0);" TargetMode="External"/><Relationship Id="rId1327" Type="http://schemas.openxmlformats.org/officeDocument/2006/relationships/hyperlink" Target="javascript:void(0);" TargetMode="External"/><Relationship Id="rId1534" Type="http://schemas.openxmlformats.org/officeDocument/2006/relationships/hyperlink" Target="javascript:void(0);" TargetMode="External"/><Relationship Id="rId1741" Type="http://schemas.openxmlformats.org/officeDocument/2006/relationships/hyperlink" Target="javascript:void(0);" TargetMode="External"/><Relationship Id="rId1979" Type="http://schemas.openxmlformats.org/officeDocument/2006/relationships/hyperlink" Target="javascript:void(0);" TargetMode="External"/><Relationship Id="rId2157" Type="http://schemas.openxmlformats.org/officeDocument/2006/relationships/hyperlink" Target="javascript:void(0);" TargetMode="External"/><Relationship Id="rId2364" Type="http://schemas.openxmlformats.org/officeDocument/2006/relationships/hyperlink" Target="javascript:void(0);" TargetMode="External"/><Relationship Id="rId33" Type="http://schemas.openxmlformats.org/officeDocument/2006/relationships/hyperlink" Target="javascript:void(0);" TargetMode="External"/><Relationship Id="rId129" Type="http://schemas.openxmlformats.org/officeDocument/2006/relationships/hyperlink" Target="javascript:void(0);" TargetMode="External"/><Relationship Id="rId336" Type="http://schemas.openxmlformats.org/officeDocument/2006/relationships/hyperlink" Target="javascript:void(0);" TargetMode="External"/><Relationship Id="rId543" Type="http://schemas.openxmlformats.org/officeDocument/2006/relationships/hyperlink" Target="javascript:void(0);" TargetMode="External"/><Relationship Id="rId988" Type="http://schemas.openxmlformats.org/officeDocument/2006/relationships/hyperlink" Target="javascript:void(0);" TargetMode="External"/><Relationship Id="rId1173" Type="http://schemas.openxmlformats.org/officeDocument/2006/relationships/hyperlink" Target="javascript:void(0);" TargetMode="External"/><Relationship Id="rId1380" Type="http://schemas.openxmlformats.org/officeDocument/2006/relationships/hyperlink" Target="javascript:void(0);" TargetMode="External"/><Relationship Id="rId1601" Type="http://schemas.openxmlformats.org/officeDocument/2006/relationships/hyperlink" Target="javascript:void(0);" TargetMode="External"/><Relationship Id="rId1839" Type="http://schemas.openxmlformats.org/officeDocument/2006/relationships/hyperlink" Target="javascript:void(0);" TargetMode="External"/><Relationship Id="rId2017" Type="http://schemas.openxmlformats.org/officeDocument/2006/relationships/hyperlink" Target="javascript:void(0);" TargetMode="External"/><Relationship Id="rId2224" Type="http://schemas.openxmlformats.org/officeDocument/2006/relationships/hyperlink" Target="javascript:void(0);" TargetMode="External"/><Relationship Id="rId182" Type="http://schemas.openxmlformats.org/officeDocument/2006/relationships/hyperlink" Target="javascript:void(0);" TargetMode="External"/><Relationship Id="rId403" Type="http://schemas.openxmlformats.org/officeDocument/2006/relationships/hyperlink" Target="javascript:void(0);" TargetMode="External"/><Relationship Id="rId750" Type="http://schemas.openxmlformats.org/officeDocument/2006/relationships/hyperlink" Target="javascript:void(0);" TargetMode="External"/><Relationship Id="rId848" Type="http://schemas.openxmlformats.org/officeDocument/2006/relationships/hyperlink" Target="javascript:void(0);" TargetMode="External"/><Relationship Id="rId1033" Type="http://schemas.openxmlformats.org/officeDocument/2006/relationships/hyperlink" Target="javascript:void(0);" TargetMode="External"/><Relationship Id="rId1478" Type="http://schemas.openxmlformats.org/officeDocument/2006/relationships/hyperlink" Target="javascript:void(0);" TargetMode="External"/><Relationship Id="rId1685" Type="http://schemas.openxmlformats.org/officeDocument/2006/relationships/hyperlink" Target="javascript:void(0);" TargetMode="External"/><Relationship Id="rId1892" Type="http://schemas.openxmlformats.org/officeDocument/2006/relationships/hyperlink" Target="javascript:void(0);" TargetMode="External"/><Relationship Id="rId1906" Type="http://schemas.openxmlformats.org/officeDocument/2006/relationships/hyperlink" Target="javascript:void(0);" TargetMode="External"/><Relationship Id="rId2431" Type="http://schemas.openxmlformats.org/officeDocument/2006/relationships/hyperlink" Target="javascript:void(0);" TargetMode="External"/><Relationship Id="rId487" Type="http://schemas.openxmlformats.org/officeDocument/2006/relationships/hyperlink" Target="javascript:void(0);" TargetMode="External"/><Relationship Id="rId610" Type="http://schemas.openxmlformats.org/officeDocument/2006/relationships/hyperlink" Target="javascript:void(0);" TargetMode="External"/><Relationship Id="rId694" Type="http://schemas.openxmlformats.org/officeDocument/2006/relationships/hyperlink" Target="javascript:void(0);" TargetMode="External"/><Relationship Id="rId708" Type="http://schemas.openxmlformats.org/officeDocument/2006/relationships/hyperlink" Target="javascript:void(0);" TargetMode="External"/><Relationship Id="rId915" Type="http://schemas.openxmlformats.org/officeDocument/2006/relationships/hyperlink" Target="javascript:void(0);" TargetMode="External"/><Relationship Id="rId1240" Type="http://schemas.openxmlformats.org/officeDocument/2006/relationships/hyperlink" Target="javascript:void(0);" TargetMode="External"/><Relationship Id="rId1338" Type="http://schemas.openxmlformats.org/officeDocument/2006/relationships/hyperlink" Target="javascript:void(0);" TargetMode="External"/><Relationship Id="rId1545" Type="http://schemas.openxmlformats.org/officeDocument/2006/relationships/hyperlink" Target="javascript:void(0);" TargetMode="External"/><Relationship Id="rId2070" Type="http://schemas.openxmlformats.org/officeDocument/2006/relationships/hyperlink" Target="javascript:void(0);" TargetMode="External"/><Relationship Id="rId2168" Type="http://schemas.openxmlformats.org/officeDocument/2006/relationships/hyperlink" Target="javascript:void(0);" TargetMode="External"/><Relationship Id="rId2375" Type="http://schemas.openxmlformats.org/officeDocument/2006/relationships/hyperlink" Target="javascript:void(0);" TargetMode="External"/><Relationship Id="rId347" Type="http://schemas.openxmlformats.org/officeDocument/2006/relationships/hyperlink" Target="javascript:void(0);" TargetMode="External"/><Relationship Id="rId999" Type="http://schemas.openxmlformats.org/officeDocument/2006/relationships/hyperlink" Target="javascript:void(0);" TargetMode="External"/><Relationship Id="rId1100" Type="http://schemas.openxmlformats.org/officeDocument/2006/relationships/hyperlink" Target="javascript:void(0);" TargetMode="External"/><Relationship Id="rId1184" Type="http://schemas.openxmlformats.org/officeDocument/2006/relationships/hyperlink" Target="javascript:void(0);" TargetMode="External"/><Relationship Id="rId1405" Type="http://schemas.openxmlformats.org/officeDocument/2006/relationships/hyperlink" Target="javascript:void(0);" TargetMode="External"/><Relationship Id="rId1752" Type="http://schemas.openxmlformats.org/officeDocument/2006/relationships/hyperlink" Target="javascript:void(0);" TargetMode="External"/><Relationship Id="rId2028" Type="http://schemas.openxmlformats.org/officeDocument/2006/relationships/hyperlink" Target="javascript:void(0);" TargetMode="External"/><Relationship Id="rId44" Type="http://schemas.openxmlformats.org/officeDocument/2006/relationships/hyperlink" Target="javascript:void(0);" TargetMode="External"/><Relationship Id="rId554" Type="http://schemas.openxmlformats.org/officeDocument/2006/relationships/hyperlink" Target="javascript:void(0);" TargetMode="External"/><Relationship Id="rId761" Type="http://schemas.openxmlformats.org/officeDocument/2006/relationships/hyperlink" Target="javascript:void(0);" TargetMode="External"/><Relationship Id="rId859" Type="http://schemas.openxmlformats.org/officeDocument/2006/relationships/hyperlink" Target="javascript:void(0);" TargetMode="External"/><Relationship Id="rId1391" Type="http://schemas.openxmlformats.org/officeDocument/2006/relationships/hyperlink" Target="javascript:void(0);" TargetMode="External"/><Relationship Id="rId1489" Type="http://schemas.openxmlformats.org/officeDocument/2006/relationships/hyperlink" Target="javascript:void(0);" TargetMode="External"/><Relationship Id="rId1612" Type="http://schemas.openxmlformats.org/officeDocument/2006/relationships/hyperlink" Target="javascript:void(0);" TargetMode="External"/><Relationship Id="rId1696" Type="http://schemas.openxmlformats.org/officeDocument/2006/relationships/hyperlink" Target="javascript:void(0);" TargetMode="External"/><Relationship Id="rId1917" Type="http://schemas.openxmlformats.org/officeDocument/2006/relationships/hyperlink" Target="javascript:void(0);" TargetMode="External"/><Relationship Id="rId2235" Type="http://schemas.openxmlformats.org/officeDocument/2006/relationships/hyperlink" Target="javascript:void(0);" TargetMode="External"/><Relationship Id="rId2442" Type="http://schemas.openxmlformats.org/officeDocument/2006/relationships/hyperlink" Target="javascript:void(0);" TargetMode="External"/><Relationship Id="rId193" Type="http://schemas.openxmlformats.org/officeDocument/2006/relationships/hyperlink" Target="javascript:void(0);" TargetMode="External"/><Relationship Id="rId207" Type="http://schemas.openxmlformats.org/officeDocument/2006/relationships/hyperlink" Target="javascript:void(0);" TargetMode="External"/><Relationship Id="rId414" Type="http://schemas.openxmlformats.org/officeDocument/2006/relationships/hyperlink" Target="javascript:void(0);" TargetMode="External"/><Relationship Id="rId498" Type="http://schemas.openxmlformats.org/officeDocument/2006/relationships/hyperlink" Target="javascript:void(0);" TargetMode="External"/><Relationship Id="rId621" Type="http://schemas.openxmlformats.org/officeDocument/2006/relationships/hyperlink" Target="javascript:void(0);" TargetMode="External"/><Relationship Id="rId1044" Type="http://schemas.openxmlformats.org/officeDocument/2006/relationships/hyperlink" Target="javascript:void(0);" TargetMode="External"/><Relationship Id="rId1251" Type="http://schemas.openxmlformats.org/officeDocument/2006/relationships/hyperlink" Target="javascript:void(0);" TargetMode="External"/><Relationship Id="rId1349" Type="http://schemas.openxmlformats.org/officeDocument/2006/relationships/hyperlink" Target="javascript:void(0);" TargetMode="External"/><Relationship Id="rId2081" Type="http://schemas.openxmlformats.org/officeDocument/2006/relationships/hyperlink" Target="javascript:void(0);" TargetMode="External"/><Relationship Id="rId2179" Type="http://schemas.openxmlformats.org/officeDocument/2006/relationships/hyperlink" Target="javascript:void(0);" TargetMode="External"/><Relationship Id="rId2302" Type="http://schemas.openxmlformats.org/officeDocument/2006/relationships/hyperlink" Target="javascript:void(0);" TargetMode="External"/><Relationship Id="rId260" Type="http://schemas.openxmlformats.org/officeDocument/2006/relationships/hyperlink" Target="javascript:void(0);" TargetMode="External"/><Relationship Id="rId719" Type="http://schemas.openxmlformats.org/officeDocument/2006/relationships/hyperlink" Target="javascript:void(0);" TargetMode="External"/><Relationship Id="rId926" Type="http://schemas.openxmlformats.org/officeDocument/2006/relationships/hyperlink" Target="javascript:void(0);" TargetMode="External"/><Relationship Id="rId1111" Type="http://schemas.openxmlformats.org/officeDocument/2006/relationships/hyperlink" Target="javascript:void(0);" TargetMode="External"/><Relationship Id="rId1556" Type="http://schemas.openxmlformats.org/officeDocument/2006/relationships/hyperlink" Target="javascript:void(0);" TargetMode="External"/><Relationship Id="rId1763" Type="http://schemas.openxmlformats.org/officeDocument/2006/relationships/hyperlink" Target="javascript:void(0);" TargetMode="External"/><Relationship Id="rId1970" Type="http://schemas.openxmlformats.org/officeDocument/2006/relationships/hyperlink" Target="javascript:void(0);" TargetMode="External"/><Relationship Id="rId2386" Type="http://schemas.openxmlformats.org/officeDocument/2006/relationships/hyperlink" Target="javascript:void(0);" TargetMode="External"/><Relationship Id="rId55" Type="http://schemas.openxmlformats.org/officeDocument/2006/relationships/hyperlink" Target="javascript:void(0);" TargetMode="External"/><Relationship Id="rId120" Type="http://schemas.openxmlformats.org/officeDocument/2006/relationships/hyperlink" Target="javascript:void(0);" TargetMode="External"/><Relationship Id="rId358" Type="http://schemas.openxmlformats.org/officeDocument/2006/relationships/hyperlink" Target="javascript:void(0);" TargetMode="External"/><Relationship Id="rId565" Type="http://schemas.openxmlformats.org/officeDocument/2006/relationships/hyperlink" Target="javascript:void(0);" TargetMode="External"/><Relationship Id="rId772" Type="http://schemas.openxmlformats.org/officeDocument/2006/relationships/hyperlink" Target="javascript:void(0);" TargetMode="External"/><Relationship Id="rId1195" Type="http://schemas.openxmlformats.org/officeDocument/2006/relationships/hyperlink" Target="javascript:void(0);" TargetMode="External"/><Relationship Id="rId1209" Type="http://schemas.openxmlformats.org/officeDocument/2006/relationships/hyperlink" Target="javascript:void(0);" TargetMode="External"/><Relationship Id="rId1416" Type="http://schemas.openxmlformats.org/officeDocument/2006/relationships/hyperlink" Target="javascript:void(0);" TargetMode="External"/><Relationship Id="rId1623" Type="http://schemas.openxmlformats.org/officeDocument/2006/relationships/hyperlink" Target="javascript:void(0);" TargetMode="External"/><Relationship Id="rId1830" Type="http://schemas.openxmlformats.org/officeDocument/2006/relationships/hyperlink" Target="javascript:void(0);" TargetMode="External"/><Relationship Id="rId2039" Type="http://schemas.openxmlformats.org/officeDocument/2006/relationships/hyperlink" Target="javascript:void(0);" TargetMode="External"/><Relationship Id="rId2246" Type="http://schemas.openxmlformats.org/officeDocument/2006/relationships/hyperlink" Target="javascript:void(0);" TargetMode="External"/><Relationship Id="rId2453" Type="http://schemas.openxmlformats.org/officeDocument/2006/relationships/hyperlink" Target="javascript:void(0);" TargetMode="External"/><Relationship Id="rId218" Type="http://schemas.openxmlformats.org/officeDocument/2006/relationships/hyperlink" Target="javascript:void(0);" TargetMode="External"/><Relationship Id="rId425" Type="http://schemas.openxmlformats.org/officeDocument/2006/relationships/hyperlink" Target="javascript:void(0);" TargetMode="External"/><Relationship Id="rId632" Type="http://schemas.openxmlformats.org/officeDocument/2006/relationships/hyperlink" Target="javascript:void(0);" TargetMode="External"/><Relationship Id="rId1055" Type="http://schemas.openxmlformats.org/officeDocument/2006/relationships/hyperlink" Target="javascript:void(0);" TargetMode="External"/><Relationship Id="rId1262" Type="http://schemas.openxmlformats.org/officeDocument/2006/relationships/hyperlink" Target="javascript:void(0);" TargetMode="External"/><Relationship Id="rId1928" Type="http://schemas.openxmlformats.org/officeDocument/2006/relationships/hyperlink" Target="javascript:void(0);" TargetMode="External"/><Relationship Id="rId2092" Type="http://schemas.openxmlformats.org/officeDocument/2006/relationships/hyperlink" Target="javascript:void(0);" TargetMode="External"/><Relationship Id="rId2106" Type="http://schemas.openxmlformats.org/officeDocument/2006/relationships/hyperlink" Target="javascript:void(0);" TargetMode="External"/><Relationship Id="rId2313" Type="http://schemas.openxmlformats.org/officeDocument/2006/relationships/hyperlink" Target="javascript:void(0);" TargetMode="External"/><Relationship Id="rId271" Type="http://schemas.openxmlformats.org/officeDocument/2006/relationships/hyperlink" Target="javascript:void(0);" TargetMode="External"/><Relationship Id="rId937" Type="http://schemas.openxmlformats.org/officeDocument/2006/relationships/hyperlink" Target="javascript:void(0);" TargetMode="External"/><Relationship Id="rId1122" Type="http://schemas.openxmlformats.org/officeDocument/2006/relationships/hyperlink" Target="javascript:void(0);" TargetMode="External"/><Relationship Id="rId1567" Type="http://schemas.openxmlformats.org/officeDocument/2006/relationships/hyperlink" Target="javascript:void(0);" TargetMode="External"/><Relationship Id="rId1774" Type="http://schemas.openxmlformats.org/officeDocument/2006/relationships/hyperlink" Target="javascript:void(0);" TargetMode="External"/><Relationship Id="rId1981" Type="http://schemas.openxmlformats.org/officeDocument/2006/relationships/hyperlink" Target="javascript:void(0);" TargetMode="External"/><Relationship Id="rId2397" Type="http://schemas.openxmlformats.org/officeDocument/2006/relationships/hyperlink" Target="javascript:void(0);" TargetMode="External"/><Relationship Id="rId66" Type="http://schemas.openxmlformats.org/officeDocument/2006/relationships/hyperlink" Target="javascript:void(0);" TargetMode="External"/><Relationship Id="rId131" Type="http://schemas.openxmlformats.org/officeDocument/2006/relationships/hyperlink" Target="javascript:void(0);" TargetMode="External"/><Relationship Id="rId369" Type="http://schemas.openxmlformats.org/officeDocument/2006/relationships/hyperlink" Target="javascript:void(0);" TargetMode="External"/><Relationship Id="rId576" Type="http://schemas.openxmlformats.org/officeDocument/2006/relationships/hyperlink" Target="javascript:void(0);" TargetMode="External"/><Relationship Id="rId783" Type="http://schemas.openxmlformats.org/officeDocument/2006/relationships/hyperlink" Target="javascript:void(0);" TargetMode="External"/><Relationship Id="rId990" Type="http://schemas.openxmlformats.org/officeDocument/2006/relationships/hyperlink" Target="javascript:void(0);" TargetMode="External"/><Relationship Id="rId1427" Type="http://schemas.openxmlformats.org/officeDocument/2006/relationships/hyperlink" Target="javascript:void(0);" TargetMode="External"/><Relationship Id="rId1634" Type="http://schemas.openxmlformats.org/officeDocument/2006/relationships/hyperlink" Target="javascript:void(0);" TargetMode="External"/><Relationship Id="rId1841" Type="http://schemas.openxmlformats.org/officeDocument/2006/relationships/hyperlink" Target="javascript:void(0);" TargetMode="External"/><Relationship Id="rId2257" Type="http://schemas.openxmlformats.org/officeDocument/2006/relationships/hyperlink" Target="javascript:void(0);" TargetMode="External"/><Relationship Id="rId229" Type="http://schemas.openxmlformats.org/officeDocument/2006/relationships/hyperlink" Target="javascript:void(0);" TargetMode="External"/><Relationship Id="rId436" Type="http://schemas.openxmlformats.org/officeDocument/2006/relationships/hyperlink" Target="javascript:void(0);" TargetMode="External"/><Relationship Id="rId643" Type="http://schemas.openxmlformats.org/officeDocument/2006/relationships/hyperlink" Target="javascript:void(0);" TargetMode="External"/><Relationship Id="rId1066" Type="http://schemas.openxmlformats.org/officeDocument/2006/relationships/hyperlink" Target="javascript:void(0);" TargetMode="External"/><Relationship Id="rId1273" Type="http://schemas.openxmlformats.org/officeDocument/2006/relationships/hyperlink" Target="javascript:void(0);" TargetMode="External"/><Relationship Id="rId1480" Type="http://schemas.openxmlformats.org/officeDocument/2006/relationships/hyperlink" Target="javascript:void(0);" TargetMode="External"/><Relationship Id="rId1939" Type="http://schemas.openxmlformats.org/officeDocument/2006/relationships/hyperlink" Target="javascript:void(0);" TargetMode="External"/><Relationship Id="rId2117" Type="http://schemas.openxmlformats.org/officeDocument/2006/relationships/hyperlink" Target="javascript:void(0);" TargetMode="External"/><Relationship Id="rId2324" Type="http://schemas.openxmlformats.org/officeDocument/2006/relationships/hyperlink" Target="javascript:void(0);" TargetMode="External"/><Relationship Id="rId850" Type="http://schemas.openxmlformats.org/officeDocument/2006/relationships/hyperlink" Target="javascript:void(0);" TargetMode="External"/><Relationship Id="rId948" Type="http://schemas.openxmlformats.org/officeDocument/2006/relationships/hyperlink" Target="javascript:void(0);" TargetMode="External"/><Relationship Id="rId1133" Type="http://schemas.openxmlformats.org/officeDocument/2006/relationships/hyperlink" Target="javascript:void(0);" TargetMode="External"/><Relationship Id="rId1578" Type="http://schemas.openxmlformats.org/officeDocument/2006/relationships/hyperlink" Target="javascript:void(0);" TargetMode="External"/><Relationship Id="rId1701" Type="http://schemas.openxmlformats.org/officeDocument/2006/relationships/hyperlink" Target="javascript:void(0);" TargetMode="External"/><Relationship Id="rId1785" Type="http://schemas.openxmlformats.org/officeDocument/2006/relationships/hyperlink" Target="javascript:void(0);" TargetMode="External"/><Relationship Id="rId1992" Type="http://schemas.openxmlformats.org/officeDocument/2006/relationships/hyperlink" Target="javascript:void(0);" TargetMode="External"/><Relationship Id="rId77" Type="http://schemas.openxmlformats.org/officeDocument/2006/relationships/hyperlink" Target="javascript:void(0);" TargetMode="External"/><Relationship Id="rId282" Type="http://schemas.openxmlformats.org/officeDocument/2006/relationships/hyperlink" Target="javascript:void(0);" TargetMode="External"/><Relationship Id="rId503" Type="http://schemas.openxmlformats.org/officeDocument/2006/relationships/hyperlink" Target="javascript:void(0);" TargetMode="External"/><Relationship Id="rId587" Type="http://schemas.openxmlformats.org/officeDocument/2006/relationships/hyperlink" Target="javascript:void(0);" TargetMode="External"/><Relationship Id="rId710" Type="http://schemas.openxmlformats.org/officeDocument/2006/relationships/hyperlink" Target="javascript:void(0);" TargetMode="External"/><Relationship Id="rId808" Type="http://schemas.openxmlformats.org/officeDocument/2006/relationships/hyperlink" Target="javascript:void(0);" TargetMode="External"/><Relationship Id="rId1340" Type="http://schemas.openxmlformats.org/officeDocument/2006/relationships/hyperlink" Target="javascript:void(0);" TargetMode="External"/><Relationship Id="rId1438" Type="http://schemas.openxmlformats.org/officeDocument/2006/relationships/hyperlink" Target="javascript:void(0);" TargetMode="External"/><Relationship Id="rId1645" Type="http://schemas.openxmlformats.org/officeDocument/2006/relationships/hyperlink" Target="javascript:void(0);" TargetMode="External"/><Relationship Id="rId2170" Type="http://schemas.openxmlformats.org/officeDocument/2006/relationships/hyperlink" Target="javascript:void(0);" TargetMode="External"/><Relationship Id="rId2268" Type="http://schemas.openxmlformats.org/officeDocument/2006/relationships/hyperlink" Target="javascript:void(0);" TargetMode="External"/><Relationship Id="rId8" Type="http://schemas.openxmlformats.org/officeDocument/2006/relationships/hyperlink" Target="javascript:void(0);" TargetMode="External"/><Relationship Id="rId142" Type="http://schemas.openxmlformats.org/officeDocument/2006/relationships/hyperlink" Target="javascript:void(0);" TargetMode="External"/><Relationship Id="rId447" Type="http://schemas.openxmlformats.org/officeDocument/2006/relationships/hyperlink" Target="javascript:void(0);" TargetMode="External"/><Relationship Id="rId794" Type="http://schemas.openxmlformats.org/officeDocument/2006/relationships/hyperlink" Target="javascript:void(0);" TargetMode="External"/><Relationship Id="rId1077" Type="http://schemas.openxmlformats.org/officeDocument/2006/relationships/hyperlink" Target="javascript:void(0);" TargetMode="External"/><Relationship Id="rId1200" Type="http://schemas.openxmlformats.org/officeDocument/2006/relationships/hyperlink" Target="javascript:void(0);" TargetMode="External"/><Relationship Id="rId1852" Type="http://schemas.openxmlformats.org/officeDocument/2006/relationships/hyperlink" Target="javascript:void(0);" TargetMode="External"/><Relationship Id="rId2030" Type="http://schemas.openxmlformats.org/officeDocument/2006/relationships/hyperlink" Target="javascript:void(0);" TargetMode="External"/><Relationship Id="rId2128" Type="http://schemas.openxmlformats.org/officeDocument/2006/relationships/hyperlink" Target="javascript:void(0);" TargetMode="External"/><Relationship Id="rId654" Type="http://schemas.openxmlformats.org/officeDocument/2006/relationships/hyperlink" Target="javascript:void(0);" TargetMode="External"/><Relationship Id="rId861" Type="http://schemas.openxmlformats.org/officeDocument/2006/relationships/hyperlink" Target="javascript:void(0);" TargetMode="External"/><Relationship Id="rId959" Type="http://schemas.openxmlformats.org/officeDocument/2006/relationships/hyperlink" Target="javascript:void(0);" TargetMode="External"/><Relationship Id="rId1284" Type="http://schemas.openxmlformats.org/officeDocument/2006/relationships/hyperlink" Target="javascript:void(0);" TargetMode="External"/><Relationship Id="rId1491" Type="http://schemas.openxmlformats.org/officeDocument/2006/relationships/hyperlink" Target="javascript:void(0);" TargetMode="External"/><Relationship Id="rId1505" Type="http://schemas.openxmlformats.org/officeDocument/2006/relationships/hyperlink" Target="javascript:void(0);" TargetMode="External"/><Relationship Id="rId1589" Type="http://schemas.openxmlformats.org/officeDocument/2006/relationships/hyperlink" Target="javascript:void(0);" TargetMode="External"/><Relationship Id="rId1712" Type="http://schemas.openxmlformats.org/officeDocument/2006/relationships/hyperlink" Target="javascript:void(0);" TargetMode="External"/><Relationship Id="rId2335" Type="http://schemas.openxmlformats.org/officeDocument/2006/relationships/hyperlink" Target="javascript:void(0);" TargetMode="External"/><Relationship Id="rId293" Type="http://schemas.openxmlformats.org/officeDocument/2006/relationships/hyperlink" Target="javascript:void(0);" TargetMode="External"/><Relationship Id="rId307" Type="http://schemas.openxmlformats.org/officeDocument/2006/relationships/hyperlink" Target="javascript:void(0);" TargetMode="External"/><Relationship Id="rId514" Type="http://schemas.openxmlformats.org/officeDocument/2006/relationships/hyperlink" Target="javascript:void(0);" TargetMode="External"/><Relationship Id="rId721" Type="http://schemas.openxmlformats.org/officeDocument/2006/relationships/hyperlink" Target="javascript:void(0);" TargetMode="External"/><Relationship Id="rId1144" Type="http://schemas.openxmlformats.org/officeDocument/2006/relationships/hyperlink" Target="javascript:void(0);" TargetMode="External"/><Relationship Id="rId1351" Type="http://schemas.openxmlformats.org/officeDocument/2006/relationships/hyperlink" Target="javascript:void(0);" TargetMode="External"/><Relationship Id="rId1449" Type="http://schemas.openxmlformats.org/officeDocument/2006/relationships/hyperlink" Target="javascript:void(0);" TargetMode="External"/><Relationship Id="rId1796" Type="http://schemas.openxmlformats.org/officeDocument/2006/relationships/hyperlink" Target="javascript:void(0);" TargetMode="External"/><Relationship Id="rId2181" Type="http://schemas.openxmlformats.org/officeDocument/2006/relationships/hyperlink" Target="javascript:void(0);" TargetMode="External"/><Relationship Id="rId2402" Type="http://schemas.openxmlformats.org/officeDocument/2006/relationships/hyperlink" Target="javascript:void(0);" TargetMode="External"/><Relationship Id="rId88" Type="http://schemas.openxmlformats.org/officeDocument/2006/relationships/hyperlink" Target="javascript:void(0);" TargetMode="External"/><Relationship Id="rId153" Type="http://schemas.openxmlformats.org/officeDocument/2006/relationships/hyperlink" Target="javascript:void(0);" TargetMode="External"/><Relationship Id="rId360" Type="http://schemas.openxmlformats.org/officeDocument/2006/relationships/hyperlink" Target="javascript:void(0);" TargetMode="External"/><Relationship Id="rId598" Type="http://schemas.openxmlformats.org/officeDocument/2006/relationships/hyperlink" Target="javascript:void(0);" TargetMode="External"/><Relationship Id="rId819" Type="http://schemas.openxmlformats.org/officeDocument/2006/relationships/hyperlink" Target="javascript:void(0);" TargetMode="External"/><Relationship Id="rId1004" Type="http://schemas.openxmlformats.org/officeDocument/2006/relationships/hyperlink" Target="javascript:void(0);" TargetMode="External"/><Relationship Id="rId1211" Type="http://schemas.openxmlformats.org/officeDocument/2006/relationships/hyperlink" Target="javascript:void(0);" TargetMode="External"/><Relationship Id="rId1656" Type="http://schemas.openxmlformats.org/officeDocument/2006/relationships/hyperlink" Target="javascript:void(0);" TargetMode="External"/><Relationship Id="rId1863" Type="http://schemas.openxmlformats.org/officeDocument/2006/relationships/hyperlink" Target="javascript:void(0);" TargetMode="External"/><Relationship Id="rId2041" Type="http://schemas.openxmlformats.org/officeDocument/2006/relationships/hyperlink" Target="javascript:void(0);" TargetMode="External"/><Relationship Id="rId2279" Type="http://schemas.openxmlformats.org/officeDocument/2006/relationships/hyperlink" Target="javascript:void(0);" TargetMode="External"/><Relationship Id="rId220" Type="http://schemas.openxmlformats.org/officeDocument/2006/relationships/hyperlink" Target="javascript:void(0);" TargetMode="External"/><Relationship Id="rId458" Type="http://schemas.openxmlformats.org/officeDocument/2006/relationships/hyperlink" Target="javascript:void(0);" TargetMode="External"/><Relationship Id="rId665" Type="http://schemas.openxmlformats.org/officeDocument/2006/relationships/hyperlink" Target="javascript:void(0);" TargetMode="External"/><Relationship Id="rId872" Type="http://schemas.openxmlformats.org/officeDocument/2006/relationships/hyperlink" Target="javascript:void(0);" TargetMode="External"/><Relationship Id="rId1088" Type="http://schemas.openxmlformats.org/officeDocument/2006/relationships/hyperlink" Target="javascript:void(0);" TargetMode="External"/><Relationship Id="rId1295" Type="http://schemas.openxmlformats.org/officeDocument/2006/relationships/hyperlink" Target="javascript:void(0);" TargetMode="External"/><Relationship Id="rId1309" Type="http://schemas.openxmlformats.org/officeDocument/2006/relationships/hyperlink" Target="javascript:void(0);" TargetMode="External"/><Relationship Id="rId1516" Type="http://schemas.openxmlformats.org/officeDocument/2006/relationships/hyperlink" Target="javascript:void(0);" TargetMode="External"/><Relationship Id="rId1723" Type="http://schemas.openxmlformats.org/officeDocument/2006/relationships/hyperlink" Target="javascript:void(0);" TargetMode="External"/><Relationship Id="rId1930" Type="http://schemas.openxmlformats.org/officeDocument/2006/relationships/hyperlink" Target="javascript:void(0);" TargetMode="External"/><Relationship Id="rId2139" Type="http://schemas.openxmlformats.org/officeDocument/2006/relationships/hyperlink" Target="javascript:void(0);" TargetMode="External"/><Relationship Id="rId2346" Type="http://schemas.openxmlformats.org/officeDocument/2006/relationships/hyperlink" Target="javascript:void(0);" TargetMode="External"/><Relationship Id="rId15" Type="http://schemas.openxmlformats.org/officeDocument/2006/relationships/hyperlink" Target="javascript:void(0);" TargetMode="External"/><Relationship Id="rId318" Type="http://schemas.openxmlformats.org/officeDocument/2006/relationships/hyperlink" Target="javascript:void(0);" TargetMode="External"/><Relationship Id="rId525" Type="http://schemas.openxmlformats.org/officeDocument/2006/relationships/hyperlink" Target="javascript:void(0);" TargetMode="External"/><Relationship Id="rId732" Type="http://schemas.openxmlformats.org/officeDocument/2006/relationships/hyperlink" Target="javascript:void(0);" TargetMode="External"/><Relationship Id="rId1155" Type="http://schemas.openxmlformats.org/officeDocument/2006/relationships/hyperlink" Target="javascript:void(0);" TargetMode="External"/><Relationship Id="rId1362" Type="http://schemas.openxmlformats.org/officeDocument/2006/relationships/hyperlink" Target="javascript:void(0);" TargetMode="External"/><Relationship Id="rId2192" Type="http://schemas.openxmlformats.org/officeDocument/2006/relationships/hyperlink" Target="javascript:void(0);" TargetMode="External"/><Relationship Id="rId2206" Type="http://schemas.openxmlformats.org/officeDocument/2006/relationships/hyperlink" Target="javascript:void(0);" TargetMode="External"/><Relationship Id="rId2413" Type="http://schemas.openxmlformats.org/officeDocument/2006/relationships/hyperlink" Target="javascript:void(0);" TargetMode="External"/><Relationship Id="rId99" Type="http://schemas.openxmlformats.org/officeDocument/2006/relationships/hyperlink" Target="javascript:void(0);" TargetMode="External"/><Relationship Id="rId164" Type="http://schemas.openxmlformats.org/officeDocument/2006/relationships/hyperlink" Target="javascript:void(0);" TargetMode="External"/><Relationship Id="rId371" Type="http://schemas.openxmlformats.org/officeDocument/2006/relationships/hyperlink" Target="javascript:void(0);" TargetMode="External"/><Relationship Id="rId1015" Type="http://schemas.openxmlformats.org/officeDocument/2006/relationships/hyperlink" Target="javascript:void(0);" TargetMode="External"/><Relationship Id="rId1222" Type="http://schemas.openxmlformats.org/officeDocument/2006/relationships/hyperlink" Target="javascript:void(0);" TargetMode="External"/><Relationship Id="rId1667" Type="http://schemas.openxmlformats.org/officeDocument/2006/relationships/hyperlink" Target="javascript:void(0);" TargetMode="External"/><Relationship Id="rId1874" Type="http://schemas.openxmlformats.org/officeDocument/2006/relationships/hyperlink" Target="javascript:void(0);" TargetMode="External"/><Relationship Id="rId2052" Type="http://schemas.openxmlformats.org/officeDocument/2006/relationships/hyperlink" Target="javascript:void(0);" TargetMode="External"/><Relationship Id="rId469" Type="http://schemas.openxmlformats.org/officeDocument/2006/relationships/hyperlink" Target="javascript:void(0);" TargetMode="External"/><Relationship Id="rId676" Type="http://schemas.openxmlformats.org/officeDocument/2006/relationships/hyperlink" Target="javascript:void(0);" TargetMode="External"/><Relationship Id="rId883" Type="http://schemas.openxmlformats.org/officeDocument/2006/relationships/hyperlink" Target="javascript:void(0);" TargetMode="External"/><Relationship Id="rId1099" Type="http://schemas.openxmlformats.org/officeDocument/2006/relationships/hyperlink" Target="javascript:void(0);" TargetMode="External"/><Relationship Id="rId1527" Type="http://schemas.openxmlformats.org/officeDocument/2006/relationships/hyperlink" Target="javascript:void(0);" TargetMode="External"/><Relationship Id="rId1734" Type="http://schemas.openxmlformats.org/officeDocument/2006/relationships/hyperlink" Target="javascript:void(0);" TargetMode="External"/><Relationship Id="rId1941" Type="http://schemas.openxmlformats.org/officeDocument/2006/relationships/hyperlink" Target="javascript:void(0);" TargetMode="External"/><Relationship Id="rId2357" Type="http://schemas.openxmlformats.org/officeDocument/2006/relationships/hyperlink" Target="javascript:void(0);" TargetMode="External"/><Relationship Id="rId26" Type="http://schemas.openxmlformats.org/officeDocument/2006/relationships/hyperlink" Target="javascript:void(0);" TargetMode="External"/><Relationship Id="rId231" Type="http://schemas.openxmlformats.org/officeDocument/2006/relationships/hyperlink" Target="javascript:void(0);" TargetMode="External"/><Relationship Id="rId329" Type="http://schemas.openxmlformats.org/officeDocument/2006/relationships/hyperlink" Target="javascript:void(0);" TargetMode="External"/><Relationship Id="rId536" Type="http://schemas.openxmlformats.org/officeDocument/2006/relationships/hyperlink" Target="javascript:void(0);" TargetMode="External"/><Relationship Id="rId1166" Type="http://schemas.openxmlformats.org/officeDocument/2006/relationships/hyperlink" Target="javascript:void(0);" TargetMode="External"/><Relationship Id="rId1373" Type="http://schemas.openxmlformats.org/officeDocument/2006/relationships/hyperlink" Target="javascript:void(0);" TargetMode="External"/><Relationship Id="rId2217" Type="http://schemas.openxmlformats.org/officeDocument/2006/relationships/hyperlink" Target="javascript:void(0);" TargetMode="External"/><Relationship Id="rId175" Type="http://schemas.openxmlformats.org/officeDocument/2006/relationships/hyperlink" Target="javascript:void(0);" TargetMode="External"/><Relationship Id="rId743" Type="http://schemas.openxmlformats.org/officeDocument/2006/relationships/hyperlink" Target="javascript:void(0);" TargetMode="External"/><Relationship Id="rId950" Type="http://schemas.openxmlformats.org/officeDocument/2006/relationships/hyperlink" Target="javascript:void(0);" TargetMode="External"/><Relationship Id="rId1026" Type="http://schemas.openxmlformats.org/officeDocument/2006/relationships/hyperlink" Target="javascript:void(0);" TargetMode="External"/><Relationship Id="rId1580" Type="http://schemas.openxmlformats.org/officeDocument/2006/relationships/hyperlink" Target="javascript:void(0);" TargetMode="External"/><Relationship Id="rId1678" Type="http://schemas.openxmlformats.org/officeDocument/2006/relationships/hyperlink" Target="javascript:void(0);" TargetMode="External"/><Relationship Id="rId1801" Type="http://schemas.openxmlformats.org/officeDocument/2006/relationships/hyperlink" Target="javascript:void(0);" TargetMode="External"/><Relationship Id="rId1885" Type="http://schemas.openxmlformats.org/officeDocument/2006/relationships/hyperlink" Target="javascript:void(0);" TargetMode="External"/><Relationship Id="rId2424" Type="http://schemas.openxmlformats.org/officeDocument/2006/relationships/hyperlink" Target="javascript:void(0);" TargetMode="External"/><Relationship Id="rId382" Type="http://schemas.openxmlformats.org/officeDocument/2006/relationships/hyperlink" Target="javascript:void(0);" TargetMode="External"/><Relationship Id="rId603" Type="http://schemas.openxmlformats.org/officeDocument/2006/relationships/hyperlink" Target="javascript:void(0);" TargetMode="External"/><Relationship Id="rId687" Type="http://schemas.openxmlformats.org/officeDocument/2006/relationships/hyperlink" Target="javascript:void(0);" TargetMode="External"/><Relationship Id="rId810" Type="http://schemas.openxmlformats.org/officeDocument/2006/relationships/hyperlink" Target="javascript:void(0);" TargetMode="External"/><Relationship Id="rId908" Type="http://schemas.openxmlformats.org/officeDocument/2006/relationships/hyperlink" Target="javascript:void(0);" TargetMode="External"/><Relationship Id="rId1233" Type="http://schemas.openxmlformats.org/officeDocument/2006/relationships/hyperlink" Target="javascript:void(0);" TargetMode="External"/><Relationship Id="rId1440" Type="http://schemas.openxmlformats.org/officeDocument/2006/relationships/hyperlink" Target="javascript:void(0);" TargetMode="External"/><Relationship Id="rId1538" Type="http://schemas.openxmlformats.org/officeDocument/2006/relationships/hyperlink" Target="javascript:void(0);" TargetMode="External"/><Relationship Id="rId2063" Type="http://schemas.openxmlformats.org/officeDocument/2006/relationships/hyperlink" Target="javascript:void(0);" TargetMode="External"/><Relationship Id="rId2270" Type="http://schemas.openxmlformats.org/officeDocument/2006/relationships/hyperlink" Target="javascript:void(0);" TargetMode="External"/><Relationship Id="rId2368" Type="http://schemas.openxmlformats.org/officeDocument/2006/relationships/hyperlink" Target="javascript:void(0);" TargetMode="External"/><Relationship Id="rId242" Type="http://schemas.openxmlformats.org/officeDocument/2006/relationships/hyperlink" Target="javascript:void(0);" TargetMode="External"/><Relationship Id="rId894" Type="http://schemas.openxmlformats.org/officeDocument/2006/relationships/hyperlink" Target="javascript:void(0);" TargetMode="External"/><Relationship Id="rId1177" Type="http://schemas.openxmlformats.org/officeDocument/2006/relationships/hyperlink" Target="javascript:void(0);" TargetMode="External"/><Relationship Id="rId1300" Type="http://schemas.openxmlformats.org/officeDocument/2006/relationships/hyperlink" Target="javascript:void(0);" TargetMode="External"/><Relationship Id="rId1745" Type="http://schemas.openxmlformats.org/officeDocument/2006/relationships/hyperlink" Target="javascript:void(0);" TargetMode="External"/><Relationship Id="rId1952" Type="http://schemas.openxmlformats.org/officeDocument/2006/relationships/hyperlink" Target="javascript:void(0);" TargetMode="External"/><Relationship Id="rId2130" Type="http://schemas.openxmlformats.org/officeDocument/2006/relationships/hyperlink" Target="javascript:void(0);" TargetMode="External"/><Relationship Id="rId37" Type="http://schemas.openxmlformats.org/officeDocument/2006/relationships/hyperlink" Target="javascript:void(0);" TargetMode="External"/><Relationship Id="rId102" Type="http://schemas.openxmlformats.org/officeDocument/2006/relationships/hyperlink" Target="javascript:void(0);" TargetMode="External"/><Relationship Id="rId547" Type="http://schemas.openxmlformats.org/officeDocument/2006/relationships/hyperlink" Target="javascript:void(0);" TargetMode="External"/><Relationship Id="rId754" Type="http://schemas.openxmlformats.org/officeDocument/2006/relationships/hyperlink" Target="javascript:void(0);" TargetMode="External"/><Relationship Id="rId961" Type="http://schemas.openxmlformats.org/officeDocument/2006/relationships/hyperlink" Target="javascript:void(0);" TargetMode="External"/><Relationship Id="rId1384" Type="http://schemas.openxmlformats.org/officeDocument/2006/relationships/hyperlink" Target="javascript:void(0);" TargetMode="External"/><Relationship Id="rId1591" Type="http://schemas.openxmlformats.org/officeDocument/2006/relationships/hyperlink" Target="javascript:void(0);" TargetMode="External"/><Relationship Id="rId1605" Type="http://schemas.openxmlformats.org/officeDocument/2006/relationships/hyperlink" Target="javascript:void(0);" TargetMode="External"/><Relationship Id="rId1689" Type="http://schemas.openxmlformats.org/officeDocument/2006/relationships/hyperlink" Target="javascript:void(0);" TargetMode="External"/><Relationship Id="rId1812" Type="http://schemas.openxmlformats.org/officeDocument/2006/relationships/hyperlink" Target="javascript:void(0);" TargetMode="External"/><Relationship Id="rId2228" Type="http://schemas.openxmlformats.org/officeDocument/2006/relationships/hyperlink" Target="javascript:void(0);" TargetMode="External"/><Relationship Id="rId2435" Type="http://schemas.openxmlformats.org/officeDocument/2006/relationships/hyperlink" Target="javascript:void(0);" TargetMode="External"/><Relationship Id="rId90" Type="http://schemas.openxmlformats.org/officeDocument/2006/relationships/hyperlink" Target="javascript:void(0);" TargetMode="External"/><Relationship Id="rId186" Type="http://schemas.openxmlformats.org/officeDocument/2006/relationships/hyperlink" Target="javascript:void(0);" TargetMode="External"/><Relationship Id="rId393" Type="http://schemas.openxmlformats.org/officeDocument/2006/relationships/hyperlink" Target="javascript:void(0);" TargetMode="External"/><Relationship Id="rId407" Type="http://schemas.openxmlformats.org/officeDocument/2006/relationships/hyperlink" Target="javascript:void(0);" TargetMode="External"/><Relationship Id="rId614" Type="http://schemas.openxmlformats.org/officeDocument/2006/relationships/hyperlink" Target="javascript:void(0);" TargetMode="External"/><Relationship Id="rId821" Type="http://schemas.openxmlformats.org/officeDocument/2006/relationships/hyperlink" Target="javascript:void(0);" TargetMode="External"/><Relationship Id="rId1037" Type="http://schemas.openxmlformats.org/officeDocument/2006/relationships/hyperlink" Target="javascript:void(0);" TargetMode="External"/><Relationship Id="rId1244" Type="http://schemas.openxmlformats.org/officeDocument/2006/relationships/hyperlink" Target="javascript:void(0);" TargetMode="External"/><Relationship Id="rId1451" Type="http://schemas.openxmlformats.org/officeDocument/2006/relationships/hyperlink" Target="javascript:void(0);" TargetMode="External"/><Relationship Id="rId1896" Type="http://schemas.openxmlformats.org/officeDocument/2006/relationships/hyperlink" Target="javascript:void(0);" TargetMode="External"/><Relationship Id="rId2074" Type="http://schemas.openxmlformats.org/officeDocument/2006/relationships/hyperlink" Target="javascript:void(0);" TargetMode="External"/><Relationship Id="rId2281" Type="http://schemas.openxmlformats.org/officeDocument/2006/relationships/hyperlink" Target="javascript:void(0);" TargetMode="External"/><Relationship Id="rId253" Type="http://schemas.openxmlformats.org/officeDocument/2006/relationships/hyperlink" Target="javascript:void(0);" TargetMode="External"/><Relationship Id="rId460" Type="http://schemas.openxmlformats.org/officeDocument/2006/relationships/hyperlink" Target="javascript:void(0);" TargetMode="External"/><Relationship Id="rId698" Type="http://schemas.openxmlformats.org/officeDocument/2006/relationships/hyperlink" Target="javascript:void(0);" TargetMode="External"/><Relationship Id="rId919" Type="http://schemas.openxmlformats.org/officeDocument/2006/relationships/hyperlink" Target="javascript:void(0);" TargetMode="External"/><Relationship Id="rId1090" Type="http://schemas.openxmlformats.org/officeDocument/2006/relationships/hyperlink" Target="javascript:void(0);" TargetMode="External"/><Relationship Id="rId1104" Type="http://schemas.openxmlformats.org/officeDocument/2006/relationships/hyperlink" Target="javascript:void(0);" TargetMode="External"/><Relationship Id="rId1311" Type="http://schemas.openxmlformats.org/officeDocument/2006/relationships/hyperlink" Target="javascript:void(0);" TargetMode="External"/><Relationship Id="rId1549" Type="http://schemas.openxmlformats.org/officeDocument/2006/relationships/hyperlink" Target="javascript:void(0);" TargetMode="External"/><Relationship Id="rId1756" Type="http://schemas.openxmlformats.org/officeDocument/2006/relationships/hyperlink" Target="javascript:void(0);" TargetMode="External"/><Relationship Id="rId1963" Type="http://schemas.openxmlformats.org/officeDocument/2006/relationships/hyperlink" Target="javascript:void(0);" TargetMode="External"/><Relationship Id="rId2141" Type="http://schemas.openxmlformats.org/officeDocument/2006/relationships/hyperlink" Target="javascript:void(0);" TargetMode="External"/><Relationship Id="rId2379" Type="http://schemas.openxmlformats.org/officeDocument/2006/relationships/hyperlink" Target="javascript:void(0);" TargetMode="External"/><Relationship Id="rId48" Type="http://schemas.openxmlformats.org/officeDocument/2006/relationships/hyperlink" Target="javascript:void(0);" TargetMode="External"/><Relationship Id="rId113" Type="http://schemas.openxmlformats.org/officeDocument/2006/relationships/hyperlink" Target="javascript:void(0);" TargetMode="External"/><Relationship Id="rId320" Type="http://schemas.openxmlformats.org/officeDocument/2006/relationships/hyperlink" Target="javascript:void(0);" TargetMode="External"/><Relationship Id="rId558" Type="http://schemas.openxmlformats.org/officeDocument/2006/relationships/hyperlink" Target="javascript:void(0);" TargetMode="External"/><Relationship Id="rId765" Type="http://schemas.openxmlformats.org/officeDocument/2006/relationships/hyperlink" Target="javascript:void(0);" TargetMode="External"/><Relationship Id="rId972" Type="http://schemas.openxmlformats.org/officeDocument/2006/relationships/hyperlink" Target="javascript:void(0);" TargetMode="External"/><Relationship Id="rId1188" Type="http://schemas.openxmlformats.org/officeDocument/2006/relationships/hyperlink" Target="javascript:void(0);" TargetMode="External"/><Relationship Id="rId1395" Type="http://schemas.openxmlformats.org/officeDocument/2006/relationships/hyperlink" Target="javascript:void(0);" TargetMode="External"/><Relationship Id="rId1409" Type="http://schemas.openxmlformats.org/officeDocument/2006/relationships/hyperlink" Target="javascript:void(0);" TargetMode="External"/><Relationship Id="rId1616" Type="http://schemas.openxmlformats.org/officeDocument/2006/relationships/hyperlink" Target="javascript:void(0);" TargetMode="External"/><Relationship Id="rId1823" Type="http://schemas.openxmlformats.org/officeDocument/2006/relationships/hyperlink" Target="javascript:void(0);" TargetMode="External"/><Relationship Id="rId2001" Type="http://schemas.openxmlformats.org/officeDocument/2006/relationships/hyperlink" Target="javascript:void(0);" TargetMode="External"/><Relationship Id="rId2239" Type="http://schemas.openxmlformats.org/officeDocument/2006/relationships/hyperlink" Target="javascript:void(0);" TargetMode="External"/><Relationship Id="rId2446" Type="http://schemas.openxmlformats.org/officeDocument/2006/relationships/hyperlink" Target="javascript:void(0);" TargetMode="External"/><Relationship Id="rId197" Type="http://schemas.openxmlformats.org/officeDocument/2006/relationships/hyperlink" Target="javascript:void(0);" TargetMode="External"/><Relationship Id="rId418" Type="http://schemas.openxmlformats.org/officeDocument/2006/relationships/hyperlink" Target="javascript:void(0);" TargetMode="External"/><Relationship Id="rId625" Type="http://schemas.openxmlformats.org/officeDocument/2006/relationships/hyperlink" Target="javascript:void(0);" TargetMode="External"/><Relationship Id="rId832" Type="http://schemas.openxmlformats.org/officeDocument/2006/relationships/hyperlink" Target="javascript:void(0);" TargetMode="External"/><Relationship Id="rId1048" Type="http://schemas.openxmlformats.org/officeDocument/2006/relationships/hyperlink" Target="javascript:void(0);" TargetMode="External"/><Relationship Id="rId1255" Type="http://schemas.openxmlformats.org/officeDocument/2006/relationships/hyperlink" Target="javascript:void(0);" TargetMode="External"/><Relationship Id="rId1462" Type="http://schemas.openxmlformats.org/officeDocument/2006/relationships/hyperlink" Target="javascript:void(0);" TargetMode="External"/><Relationship Id="rId2085" Type="http://schemas.openxmlformats.org/officeDocument/2006/relationships/hyperlink" Target="javascript:void(0);" TargetMode="External"/><Relationship Id="rId2292" Type="http://schemas.openxmlformats.org/officeDocument/2006/relationships/hyperlink" Target="javascript:void(0);" TargetMode="External"/><Relationship Id="rId2306" Type="http://schemas.openxmlformats.org/officeDocument/2006/relationships/hyperlink" Target="javascript:void(0);" TargetMode="External"/><Relationship Id="rId264" Type="http://schemas.openxmlformats.org/officeDocument/2006/relationships/hyperlink" Target="javascript:void(0);" TargetMode="External"/><Relationship Id="rId471" Type="http://schemas.openxmlformats.org/officeDocument/2006/relationships/hyperlink" Target="javascript:void(0);" TargetMode="External"/><Relationship Id="rId1115" Type="http://schemas.openxmlformats.org/officeDocument/2006/relationships/hyperlink" Target="javascript:void(0);" TargetMode="External"/><Relationship Id="rId1322" Type="http://schemas.openxmlformats.org/officeDocument/2006/relationships/hyperlink" Target="javascript:void(0);" TargetMode="External"/><Relationship Id="rId1767" Type="http://schemas.openxmlformats.org/officeDocument/2006/relationships/hyperlink" Target="javascript:void(0);" TargetMode="External"/><Relationship Id="rId1974" Type="http://schemas.openxmlformats.org/officeDocument/2006/relationships/hyperlink" Target="javascript:void(0);" TargetMode="External"/><Relationship Id="rId2152" Type="http://schemas.openxmlformats.org/officeDocument/2006/relationships/hyperlink" Target="javascript:void(0);" TargetMode="External"/><Relationship Id="rId59" Type="http://schemas.openxmlformats.org/officeDocument/2006/relationships/hyperlink" Target="javascript:void(0);" TargetMode="External"/><Relationship Id="rId124" Type="http://schemas.openxmlformats.org/officeDocument/2006/relationships/hyperlink" Target="javascript:void(0);" TargetMode="External"/><Relationship Id="rId569" Type="http://schemas.openxmlformats.org/officeDocument/2006/relationships/hyperlink" Target="javascript:void(0);" TargetMode="External"/><Relationship Id="rId776" Type="http://schemas.openxmlformats.org/officeDocument/2006/relationships/hyperlink" Target="javascript:void(0);" TargetMode="External"/><Relationship Id="rId983" Type="http://schemas.openxmlformats.org/officeDocument/2006/relationships/hyperlink" Target="javascript:void(0);" TargetMode="External"/><Relationship Id="rId1199" Type="http://schemas.openxmlformats.org/officeDocument/2006/relationships/hyperlink" Target="javascript:void(0);" TargetMode="External"/><Relationship Id="rId1627" Type="http://schemas.openxmlformats.org/officeDocument/2006/relationships/hyperlink" Target="javascript:void(0);" TargetMode="External"/><Relationship Id="rId1834" Type="http://schemas.openxmlformats.org/officeDocument/2006/relationships/hyperlink" Target="javascript:void(0);" TargetMode="External"/><Relationship Id="rId2457" Type="http://schemas.openxmlformats.org/officeDocument/2006/relationships/hyperlink" Target="javascript:void(0);" TargetMode="External"/><Relationship Id="rId331" Type="http://schemas.openxmlformats.org/officeDocument/2006/relationships/hyperlink" Target="javascript:void(0);" TargetMode="External"/><Relationship Id="rId429" Type="http://schemas.openxmlformats.org/officeDocument/2006/relationships/hyperlink" Target="javascript:void(0);" TargetMode="External"/><Relationship Id="rId636" Type="http://schemas.openxmlformats.org/officeDocument/2006/relationships/hyperlink" Target="javascript:void(0);" TargetMode="External"/><Relationship Id="rId1059" Type="http://schemas.openxmlformats.org/officeDocument/2006/relationships/hyperlink" Target="javascript:void(0);" TargetMode="External"/><Relationship Id="rId1266" Type="http://schemas.openxmlformats.org/officeDocument/2006/relationships/hyperlink" Target="javascript:void(0);" TargetMode="External"/><Relationship Id="rId1473" Type="http://schemas.openxmlformats.org/officeDocument/2006/relationships/hyperlink" Target="javascript:void(0);" TargetMode="External"/><Relationship Id="rId2012" Type="http://schemas.openxmlformats.org/officeDocument/2006/relationships/hyperlink" Target="javascript:void(0);" TargetMode="External"/><Relationship Id="rId2096" Type="http://schemas.openxmlformats.org/officeDocument/2006/relationships/hyperlink" Target="javascript:void(0);" TargetMode="External"/><Relationship Id="rId2317" Type="http://schemas.openxmlformats.org/officeDocument/2006/relationships/hyperlink" Target="javascript:void(0);" TargetMode="External"/><Relationship Id="rId843" Type="http://schemas.openxmlformats.org/officeDocument/2006/relationships/hyperlink" Target="javascript:void(0);" TargetMode="External"/><Relationship Id="rId1126" Type="http://schemas.openxmlformats.org/officeDocument/2006/relationships/hyperlink" Target="javascript:void(0);" TargetMode="External"/><Relationship Id="rId1680" Type="http://schemas.openxmlformats.org/officeDocument/2006/relationships/hyperlink" Target="javascript:void(0);" TargetMode="External"/><Relationship Id="rId1778" Type="http://schemas.openxmlformats.org/officeDocument/2006/relationships/hyperlink" Target="javascript:void(0);" TargetMode="External"/><Relationship Id="rId1901" Type="http://schemas.openxmlformats.org/officeDocument/2006/relationships/hyperlink" Target="javascript:void(0);" TargetMode="External"/><Relationship Id="rId1985" Type="http://schemas.openxmlformats.org/officeDocument/2006/relationships/hyperlink" Target="javascript:void(0);" TargetMode="External"/><Relationship Id="rId275" Type="http://schemas.openxmlformats.org/officeDocument/2006/relationships/hyperlink" Target="javascript:void(0);" TargetMode="External"/><Relationship Id="rId482" Type="http://schemas.openxmlformats.org/officeDocument/2006/relationships/hyperlink" Target="javascript:void(0);" TargetMode="External"/><Relationship Id="rId703" Type="http://schemas.openxmlformats.org/officeDocument/2006/relationships/hyperlink" Target="javascript:void(0);" TargetMode="External"/><Relationship Id="rId910" Type="http://schemas.openxmlformats.org/officeDocument/2006/relationships/hyperlink" Target="javascript:void(0);" TargetMode="External"/><Relationship Id="rId1333" Type="http://schemas.openxmlformats.org/officeDocument/2006/relationships/hyperlink" Target="javascript:void(0);" TargetMode="External"/><Relationship Id="rId1540" Type="http://schemas.openxmlformats.org/officeDocument/2006/relationships/hyperlink" Target="javascript:void(0);" TargetMode="External"/><Relationship Id="rId1638" Type="http://schemas.openxmlformats.org/officeDocument/2006/relationships/hyperlink" Target="javascript:void(0);" TargetMode="External"/><Relationship Id="rId2163" Type="http://schemas.openxmlformats.org/officeDocument/2006/relationships/hyperlink" Target="javascript:void(0);" TargetMode="External"/><Relationship Id="rId2370" Type="http://schemas.openxmlformats.org/officeDocument/2006/relationships/hyperlink" Target="javascript:void(0);" TargetMode="External"/><Relationship Id="rId135" Type="http://schemas.openxmlformats.org/officeDocument/2006/relationships/hyperlink" Target="javascript:void(0);" TargetMode="External"/><Relationship Id="rId342" Type="http://schemas.openxmlformats.org/officeDocument/2006/relationships/hyperlink" Target="javascript:void(0);" TargetMode="External"/><Relationship Id="rId787" Type="http://schemas.openxmlformats.org/officeDocument/2006/relationships/hyperlink" Target="javascript:void(0);" TargetMode="External"/><Relationship Id="rId994" Type="http://schemas.openxmlformats.org/officeDocument/2006/relationships/hyperlink" Target="javascript:void(0);" TargetMode="External"/><Relationship Id="rId1400" Type="http://schemas.openxmlformats.org/officeDocument/2006/relationships/hyperlink" Target="javascript:void(0);" TargetMode="External"/><Relationship Id="rId1845" Type="http://schemas.openxmlformats.org/officeDocument/2006/relationships/hyperlink" Target="javascript:void(0);" TargetMode="External"/><Relationship Id="rId2023" Type="http://schemas.openxmlformats.org/officeDocument/2006/relationships/hyperlink" Target="javascript:void(0);" TargetMode="External"/><Relationship Id="rId2230" Type="http://schemas.openxmlformats.org/officeDocument/2006/relationships/hyperlink" Target="javascript:void(0);" TargetMode="External"/><Relationship Id="rId202" Type="http://schemas.openxmlformats.org/officeDocument/2006/relationships/hyperlink" Target="javascript:void(0);" TargetMode="External"/><Relationship Id="rId647" Type="http://schemas.openxmlformats.org/officeDocument/2006/relationships/hyperlink" Target="javascript:void(0);" TargetMode="External"/><Relationship Id="rId854" Type="http://schemas.openxmlformats.org/officeDocument/2006/relationships/hyperlink" Target="javascript:void(0);" TargetMode="External"/><Relationship Id="rId1277" Type="http://schemas.openxmlformats.org/officeDocument/2006/relationships/hyperlink" Target="javascript:void(0);" TargetMode="External"/><Relationship Id="rId1484" Type="http://schemas.openxmlformats.org/officeDocument/2006/relationships/hyperlink" Target="javascript:void(0);" TargetMode="External"/><Relationship Id="rId1691" Type="http://schemas.openxmlformats.org/officeDocument/2006/relationships/hyperlink" Target="javascript:void(0);" TargetMode="External"/><Relationship Id="rId1705" Type="http://schemas.openxmlformats.org/officeDocument/2006/relationships/hyperlink" Target="javascript:void(0);" TargetMode="External"/><Relationship Id="rId1912" Type="http://schemas.openxmlformats.org/officeDocument/2006/relationships/hyperlink" Target="javascript:void(0);" TargetMode="External"/><Relationship Id="rId2328" Type="http://schemas.openxmlformats.org/officeDocument/2006/relationships/hyperlink" Target="javascript:void(0);" TargetMode="External"/><Relationship Id="rId286" Type="http://schemas.openxmlformats.org/officeDocument/2006/relationships/hyperlink" Target="javascript:void(0);" TargetMode="External"/><Relationship Id="rId493" Type="http://schemas.openxmlformats.org/officeDocument/2006/relationships/hyperlink" Target="javascript:void(0);" TargetMode="External"/><Relationship Id="rId507" Type="http://schemas.openxmlformats.org/officeDocument/2006/relationships/hyperlink" Target="javascript:void(0);" TargetMode="External"/><Relationship Id="rId714" Type="http://schemas.openxmlformats.org/officeDocument/2006/relationships/hyperlink" Target="javascript:void(0);" TargetMode="External"/><Relationship Id="rId921" Type="http://schemas.openxmlformats.org/officeDocument/2006/relationships/hyperlink" Target="javascript:void(0);" TargetMode="External"/><Relationship Id="rId1137" Type="http://schemas.openxmlformats.org/officeDocument/2006/relationships/hyperlink" Target="javascript:void(0);" TargetMode="External"/><Relationship Id="rId1344" Type="http://schemas.openxmlformats.org/officeDocument/2006/relationships/hyperlink" Target="javascript:void(0);" TargetMode="External"/><Relationship Id="rId1551" Type="http://schemas.openxmlformats.org/officeDocument/2006/relationships/hyperlink" Target="javascript:void(0);" TargetMode="External"/><Relationship Id="rId1789" Type="http://schemas.openxmlformats.org/officeDocument/2006/relationships/hyperlink" Target="javascript:void(0);" TargetMode="External"/><Relationship Id="rId1996" Type="http://schemas.openxmlformats.org/officeDocument/2006/relationships/hyperlink" Target="javascript:void(0);" TargetMode="External"/><Relationship Id="rId2174" Type="http://schemas.openxmlformats.org/officeDocument/2006/relationships/hyperlink" Target="javascript:void(0);" TargetMode="External"/><Relationship Id="rId2381" Type="http://schemas.openxmlformats.org/officeDocument/2006/relationships/hyperlink" Target="javascript:void(0);" TargetMode="External"/><Relationship Id="rId50" Type="http://schemas.openxmlformats.org/officeDocument/2006/relationships/hyperlink" Target="javascript:void(0);" TargetMode="External"/><Relationship Id="rId146" Type="http://schemas.openxmlformats.org/officeDocument/2006/relationships/hyperlink" Target="javascript:void(0);" TargetMode="External"/><Relationship Id="rId353" Type="http://schemas.openxmlformats.org/officeDocument/2006/relationships/hyperlink" Target="javascript:void(0);" TargetMode="External"/><Relationship Id="rId560" Type="http://schemas.openxmlformats.org/officeDocument/2006/relationships/hyperlink" Target="javascript:void(0);" TargetMode="External"/><Relationship Id="rId798" Type="http://schemas.openxmlformats.org/officeDocument/2006/relationships/hyperlink" Target="javascript:void(0);" TargetMode="External"/><Relationship Id="rId1190" Type="http://schemas.openxmlformats.org/officeDocument/2006/relationships/hyperlink" Target="javascript:void(0);" TargetMode="External"/><Relationship Id="rId1204" Type="http://schemas.openxmlformats.org/officeDocument/2006/relationships/hyperlink" Target="javascript:void(0);" TargetMode="External"/><Relationship Id="rId1411" Type="http://schemas.openxmlformats.org/officeDocument/2006/relationships/hyperlink" Target="javascript:void(0);" TargetMode="External"/><Relationship Id="rId1649" Type="http://schemas.openxmlformats.org/officeDocument/2006/relationships/hyperlink" Target="javascript:void(0);" TargetMode="External"/><Relationship Id="rId1856" Type="http://schemas.openxmlformats.org/officeDocument/2006/relationships/hyperlink" Target="javascript:void(0);" TargetMode="External"/><Relationship Id="rId2034" Type="http://schemas.openxmlformats.org/officeDocument/2006/relationships/hyperlink" Target="javascript:void(0);" TargetMode="External"/><Relationship Id="rId2241" Type="http://schemas.openxmlformats.org/officeDocument/2006/relationships/hyperlink" Target="javascript:void(0);" TargetMode="External"/><Relationship Id="rId213" Type="http://schemas.openxmlformats.org/officeDocument/2006/relationships/hyperlink" Target="javascript:void(0);" TargetMode="External"/><Relationship Id="rId420" Type="http://schemas.openxmlformats.org/officeDocument/2006/relationships/hyperlink" Target="javascript:void(0);" TargetMode="External"/><Relationship Id="rId658" Type="http://schemas.openxmlformats.org/officeDocument/2006/relationships/hyperlink" Target="javascript:void(0);" TargetMode="External"/><Relationship Id="rId865" Type="http://schemas.openxmlformats.org/officeDocument/2006/relationships/hyperlink" Target="javascript:void(0);" TargetMode="External"/><Relationship Id="rId1050" Type="http://schemas.openxmlformats.org/officeDocument/2006/relationships/hyperlink" Target="javascript:void(0);" TargetMode="External"/><Relationship Id="rId1288" Type="http://schemas.openxmlformats.org/officeDocument/2006/relationships/hyperlink" Target="javascript:void(0);" TargetMode="External"/><Relationship Id="rId1495" Type="http://schemas.openxmlformats.org/officeDocument/2006/relationships/hyperlink" Target="javascript:void(0);" TargetMode="External"/><Relationship Id="rId1509" Type="http://schemas.openxmlformats.org/officeDocument/2006/relationships/hyperlink" Target="javascript:void(0);" TargetMode="External"/><Relationship Id="rId1716" Type="http://schemas.openxmlformats.org/officeDocument/2006/relationships/hyperlink" Target="javascript:void(0);" TargetMode="External"/><Relationship Id="rId1923" Type="http://schemas.openxmlformats.org/officeDocument/2006/relationships/hyperlink" Target="javascript:void(0);" TargetMode="External"/><Relationship Id="rId2101" Type="http://schemas.openxmlformats.org/officeDocument/2006/relationships/hyperlink" Target="javascript:void(0);" TargetMode="External"/><Relationship Id="rId2339" Type="http://schemas.openxmlformats.org/officeDocument/2006/relationships/hyperlink" Target="javascript:void(0);" TargetMode="External"/><Relationship Id="rId297" Type="http://schemas.openxmlformats.org/officeDocument/2006/relationships/hyperlink" Target="javascript:void(0);" TargetMode="External"/><Relationship Id="rId518" Type="http://schemas.openxmlformats.org/officeDocument/2006/relationships/hyperlink" Target="javascript:void(0);" TargetMode="External"/><Relationship Id="rId725" Type="http://schemas.openxmlformats.org/officeDocument/2006/relationships/hyperlink" Target="javascript:void(0);" TargetMode="External"/><Relationship Id="rId932" Type="http://schemas.openxmlformats.org/officeDocument/2006/relationships/hyperlink" Target="javascript:void(0);" TargetMode="External"/><Relationship Id="rId1148" Type="http://schemas.openxmlformats.org/officeDocument/2006/relationships/hyperlink" Target="javascript:void(0);" TargetMode="External"/><Relationship Id="rId1355" Type="http://schemas.openxmlformats.org/officeDocument/2006/relationships/hyperlink" Target="javascript:void(0);" TargetMode="External"/><Relationship Id="rId1562" Type="http://schemas.openxmlformats.org/officeDocument/2006/relationships/hyperlink" Target="javascript:void(0);" TargetMode="External"/><Relationship Id="rId2185" Type="http://schemas.openxmlformats.org/officeDocument/2006/relationships/hyperlink" Target="javascript:void(0);" TargetMode="External"/><Relationship Id="rId2392" Type="http://schemas.openxmlformats.org/officeDocument/2006/relationships/hyperlink" Target="javascript:void(0);" TargetMode="External"/><Relationship Id="rId2406" Type="http://schemas.openxmlformats.org/officeDocument/2006/relationships/hyperlink" Target="javascript:void(0);" TargetMode="External"/><Relationship Id="rId157" Type="http://schemas.openxmlformats.org/officeDocument/2006/relationships/hyperlink" Target="javascript:void(0);" TargetMode="External"/><Relationship Id="rId364" Type="http://schemas.openxmlformats.org/officeDocument/2006/relationships/hyperlink" Target="javascript:void(0);" TargetMode="External"/><Relationship Id="rId1008" Type="http://schemas.openxmlformats.org/officeDocument/2006/relationships/hyperlink" Target="javascript:void(0);" TargetMode="External"/><Relationship Id="rId1215" Type="http://schemas.openxmlformats.org/officeDocument/2006/relationships/hyperlink" Target="javascript:void(0);" TargetMode="External"/><Relationship Id="rId1422" Type="http://schemas.openxmlformats.org/officeDocument/2006/relationships/hyperlink" Target="javascript:void(0);" TargetMode="External"/><Relationship Id="rId1867" Type="http://schemas.openxmlformats.org/officeDocument/2006/relationships/hyperlink" Target="javascript:void(0);" TargetMode="External"/><Relationship Id="rId2045" Type="http://schemas.openxmlformats.org/officeDocument/2006/relationships/hyperlink" Target="javascript:void(0);" TargetMode="External"/><Relationship Id="rId61" Type="http://schemas.openxmlformats.org/officeDocument/2006/relationships/hyperlink" Target="javascript:void(0);" TargetMode="External"/><Relationship Id="rId571" Type="http://schemas.openxmlformats.org/officeDocument/2006/relationships/hyperlink" Target="javascript:void(0);" TargetMode="External"/><Relationship Id="rId669" Type="http://schemas.openxmlformats.org/officeDocument/2006/relationships/hyperlink" Target="javascript:void(0);" TargetMode="External"/><Relationship Id="rId876" Type="http://schemas.openxmlformats.org/officeDocument/2006/relationships/hyperlink" Target="javascript:void(0);" TargetMode="External"/><Relationship Id="rId1299" Type="http://schemas.openxmlformats.org/officeDocument/2006/relationships/hyperlink" Target="javascript:void(0);" TargetMode="External"/><Relationship Id="rId1727" Type="http://schemas.openxmlformats.org/officeDocument/2006/relationships/hyperlink" Target="javascript:void(0);" TargetMode="External"/><Relationship Id="rId1934" Type="http://schemas.openxmlformats.org/officeDocument/2006/relationships/hyperlink" Target="javascript:void(0);" TargetMode="External"/><Relationship Id="rId2252" Type="http://schemas.openxmlformats.org/officeDocument/2006/relationships/hyperlink" Target="javascript:void(0);" TargetMode="External"/><Relationship Id="rId19" Type="http://schemas.openxmlformats.org/officeDocument/2006/relationships/hyperlink" Target="javascript:void(0);" TargetMode="External"/><Relationship Id="rId224" Type="http://schemas.openxmlformats.org/officeDocument/2006/relationships/hyperlink" Target="javascript:void(0);" TargetMode="External"/><Relationship Id="rId431" Type="http://schemas.openxmlformats.org/officeDocument/2006/relationships/hyperlink" Target="javascript:void(0);" TargetMode="External"/><Relationship Id="rId529" Type="http://schemas.openxmlformats.org/officeDocument/2006/relationships/hyperlink" Target="javascript:void(0);" TargetMode="External"/><Relationship Id="rId736" Type="http://schemas.openxmlformats.org/officeDocument/2006/relationships/hyperlink" Target="javascript:void(0);" TargetMode="External"/><Relationship Id="rId1061" Type="http://schemas.openxmlformats.org/officeDocument/2006/relationships/hyperlink" Target="javascript:void(0);" TargetMode="External"/><Relationship Id="rId1159" Type="http://schemas.openxmlformats.org/officeDocument/2006/relationships/hyperlink" Target="javascript:void(0);" TargetMode="External"/><Relationship Id="rId1366" Type="http://schemas.openxmlformats.org/officeDocument/2006/relationships/hyperlink" Target="javascript:void(0);" TargetMode="External"/><Relationship Id="rId2112" Type="http://schemas.openxmlformats.org/officeDocument/2006/relationships/hyperlink" Target="javascript:void(0);" TargetMode="External"/><Relationship Id="rId2196" Type="http://schemas.openxmlformats.org/officeDocument/2006/relationships/hyperlink" Target="javascript:void(0);" TargetMode="External"/><Relationship Id="rId2417" Type="http://schemas.openxmlformats.org/officeDocument/2006/relationships/hyperlink" Target="javascript:void(0);" TargetMode="External"/><Relationship Id="rId168" Type="http://schemas.openxmlformats.org/officeDocument/2006/relationships/hyperlink" Target="javascript:void(0);" TargetMode="External"/><Relationship Id="rId943" Type="http://schemas.openxmlformats.org/officeDocument/2006/relationships/hyperlink" Target="javascript:void(0);" TargetMode="External"/><Relationship Id="rId1019" Type="http://schemas.openxmlformats.org/officeDocument/2006/relationships/hyperlink" Target="javascript:void(0);" TargetMode="External"/><Relationship Id="rId1573" Type="http://schemas.openxmlformats.org/officeDocument/2006/relationships/hyperlink" Target="javascript:void(0);" TargetMode="External"/><Relationship Id="rId1780" Type="http://schemas.openxmlformats.org/officeDocument/2006/relationships/hyperlink" Target="javascript:void(0);" TargetMode="External"/><Relationship Id="rId1878" Type="http://schemas.openxmlformats.org/officeDocument/2006/relationships/hyperlink" Target="javascript:void(0);" TargetMode="External"/><Relationship Id="rId72" Type="http://schemas.openxmlformats.org/officeDocument/2006/relationships/hyperlink" Target="javascript:void(0);" TargetMode="External"/><Relationship Id="rId375" Type="http://schemas.openxmlformats.org/officeDocument/2006/relationships/hyperlink" Target="javascript:void(0);" TargetMode="External"/><Relationship Id="rId582" Type="http://schemas.openxmlformats.org/officeDocument/2006/relationships/hyperlink" Target="javascript:void(0);" TargetMode="External"/><Relationship Id="rId803" Type="http://schemas.openxmlformats.org/officeDocument/2006/relationships/hyperlink" Target="javascript:void(0);" TargetMode="External"/><Relationship Id="rId1226" Type="http://schemas.openxmlformats.org/officeDocument/2006/relationships/hyperlink" Target="javascript:void(0);" TargetMode="External"/><Relationship Id="rId1433" Type="http://schemas.openxmlformats.org/officeDocument/2006/relationships/hyperlink" Target="javascript:void(0);" TargetMode="External"/><Relationship Id="rId1640" Type="http://schemas.openxmlformats.org/officeDocument/2006/relationships/hyperlink" Target="javascript:void(0);" TargetMode="External"/><Relationship Id="rId1738" Type="http://schemas.openxmlformats.org/officeDocument/2006/relationships/hyperlink" Target="javascript:void(0);" TargetMode="External"/><Relationship Id="rId2056" Type="http://schemas.openxmlformats.org/officeDocument/2006/relationships/hyperlink" Target="javascript:void(0);" TargetMode="External"/><Relationship Id="rId2263" Type="http://schemas.openxmlformats.org/officeDocument/2006/relationships/hyperlink" Target="javascript:void(0);" TargetMode="External"/><Relationship Id="rId3" Type="http://schemas.openxmlformats.org/officeDocument/2006/relationships/hyperlink" Target="javascript:void(0);" TargetMode="External"/><Relationship Id="rId235" Type="http://schemas.openxmlformats.org/officeDocument/2006/relationships/hyperlink" Target="javascript:void(0);" TargetMode="External"/><Relationship Id="rId442" Type="http://schemas.openxmlformats.org/officeDocument/2006/relationships/hyperlink" Target="javascript:void(0);" TargetMode="External"/><Relationship Id="rId887" Type="http://schemas.openxmlformats.org/officeDocument/2006/relationships/hyperlink" Target="javascript:void(0);" TargetMode="External"/><Relationship Id="rId1072" Type="http://schemas.openxmlformats.org/officeDocument/2006/relationships/hyperlink" Target="javascript:void(0);" TargetMode="External"/><Relationship Id="rId1500" Type="http://schemas.openxmlformats.org/officeDocument/2006/relationships/hyperlink" Target="javascript:void(0);" TargetMode="External"/><Relationship Id="rId1945" Type="http://schemas.openxmlformats.org/officeDocument/2006/relationships/hyperlink" Target="javascript:void(0);" TargetMode="External"/><Relationship Id="rId2123" Type="http://schemas.openxmlformats.org/officeDocument/2006/relationships/hyperlink" Target="javascript:void(0);" TargetMode="External"/><Relationship Id="rId2330" Type="http://schemas.openxmlformats.org/officeDocument/2006/relationships/hyperlink" Target="javascript:void(0);" TargetMode="External"/><Relationship Id="rId302" Type="http://schemas.openxmlformats.org/officeDocument/2006/relationships/hyperlink" Target="javascript:void(0);" TargetMode="External"/><Relationship Id="rId747" Type="http://schemas.openxmlformats.org/officeDocument/2006/relationships/hyperlink" Target="javascript:void(0);" TargetMode="External"/><Relationship Id="rId954" Type="http://schemas.openxmlformats.org/officeDocument/2006/relationships/hyperlink" Target="javascript:void(0);" TargetMode="External"/><Relationship Id="rId1377" Type="http://schemas.openxmlformats.org/officeDocument/2006/relationships/hyperlink" Target="javascript:void(0);" TargetMode="External"/><Relationship Id="rId1584" Type="http://schemas.openxmlformats.org/officeDocument/2006/relationships/hyperlink" Target="javascript:void(0);" TargetMode="External"/><Relationship Id="rId1791" Type="http://schemas.openxmlformats.org/officeDocument/2006/relationships/hyperlink" Target="javascript:void(0);" TargetMode="External"/><Relationship Id="rId1805" Type="http://schemas.openxmlformats.org/officeDocument/2006/relationships/hyperlink" Target="javascript:void(0);" TargetMode="External"/><Relationship Id="rId2428" Type="http://schemas.openxmlformats.org/officeDocument/2006/relationships/hyperlink" Target="javascript:void(0);" TargetMode="External"/><Relationship Id="rId83" Type="http://schemas.openxmlformats.org/officeDocument/2006/relationships/hyperlink" Target="javascript:void(0);" TargetMode="External"/><Relationship Id="rId179" Type="http://schemas.openxmlformats.org/officeDocument/2006/relationships/hyperlink" Target="javascript:void(0);" TargetMode="External"/><Relationship Id="rId386" Type="http://schemas.openxmlformats.org/officeDocument/2006/relationships/hyperlink" Target="javascript:void(0);" TargetMode="External"/><Relationship Id="rId593" Type="http://schemas.openxmlformats.org/officeDocument/2006/relationships/hyperlink" Target="javascript:void(0);" TargetMode="External"/><Relationship Id="rId607" Type="http://schemas.openxmlformats.org/officeDocument/2006/relationships/hyperlink" Target="javascript:void(0);" TargetMode="External"/><Relationship Id="rId814" Type="http://schemas.openxmlformats.org/officeDocument/2006/relationships/hyperlink" Target="javascript:void(0);" TargetMode="External"/><Relationship Id="rId1237" Type="http://schemas.openxmlformats.org/officeDocument/2006/relationships/hyperlink" Target="javascript:void(0);" TargetMode="External"/><Relationship Id="rId1444" Type="http://schemas.openxmlformats.org/officeDocument/2006/relationships/hyperlink" Target="javascript:void(0);" TargetMode="External"/><Relationship Id="rId1651" Type="http://schemas.openxmlformats.org/officeDocument/2006/relationships/hyperlink" Target="javascript:void(0);" TargetMode="External"/><Relationship Id="rId1889" Type="http://schemas.openxmlformats.org/officeDocument/2006/relationships/hyperlink" Target="javascript:void(0);" TargetMode="External"/><Relationship Id="rId2067" Type="http://schemas.openxmlformats.org/officeDocument/2006/relationships/hyperlink" Target="javascript:void(0);" TargetMode="External"/><Relationship Id="rId2274" Type="http://schemas.openxmlformats.org/officeDocument/2006/relationships/hyperlink" Target="javascript:void(0);" TargetMode="External"/><Relationship Id="rId246" Type="http://schemas.openxmlformats.org/officeDocument/2006/relationships/hyperlink" Target="javascript:void(0);" TargetMode="External"/><Relationship Id="rId453" Type="http://schemas.openxmlformats.org/officeDocument/2006/relationships/hyperlink" Target="javascript:void(0);" TargetMode="External"/><Relationship Id="rId660" Type="http://schemas.openxmlformats.org/officeDocument/2006/relationships/hyperlink" Target="javascript:void(0);" TargetMode="External"/><Relationship Id="rId898" Type="http://schemas.openxmlformats.org/officeDocument/2006/relationships/hyperlink" Target="javascript:void(0);" TargetMode="External"/><Relationship Id="rId1083" Type="http://schemas.openxmlformats.org/officeDocument/2006/relationships/hyperlink" Target="javascript:void(0);" TargetMode="External"/><Relationship Id="rId1290" Type="http://schemas.openxmlformats.org/officeDocument/2006/relationships/hyperlink" Target="javascript:void(0);" TargetMode="External"/><Relationship Id="rId1304" Type="http://schemas.openxmlformats.org/officeDocument/2006/relationships/hyperlink" Target="javascript:void(0);" TargetMode="External"/><Relationship Id="rId1511" Type="http://schemas.openxmlformats.org/officeDocument/2006/relationships/hyperlink" Target="javascript:void(0);" TargetMode="External"/><Relationship Id="rId1749" Type="http://schemas.openxmlformats.org/officeDocument/2006/relationships/hyperlink" Target="javascript:void(0);" TargetMode="External"/><Relationship Id="rId1956" Type="http://schemas.openxmlformats.org/officeDocument/2006/relationships/hyperlink" Target="javascript:void(0);" TargetMode="External"/><Relationship Id="rId2134" Type="http://schemas.openxmlformats.org/officeDocument/2006/relationships/hyperlink" Target="javascript:void(0);" TargetMode="External"/><Relationship Id="rId2341" Type="http://schemas.openxmlformats.org/officeDocument/2006/relationships/hyperlink" Target="javascript:void(0);" TargetMode="External"/><Relationship Id="rId106" Type="http://schemas.openxmlformats.org/officeDocument/2006/relationships/hyperlink" Target="javascript:void(0);" TargetMode="External"/><Relationship Id="rId313" Type="http://schemas.openxmlformats.org/officeDocument/2006/relationships/hyperlink" Target="javascript:void(0);" TargetMode="External"/><Relationship Id="rId758" Type="http://schemas.openxmlformats.org/officeDocument/2006/relationships/hyperlink" Target="javascript:void(0);" TargetMode="External"/><Relationship Id="rId965" Type="http://schemas.openxmlformats.org/officeDocument/2006/relationships/hyperlink" Target="javascript:void(0);" TargetMode="External"/><Relationship Id="rId1150" Type="http://schemas.openxmlformats.org/officeDocument/2006/relationships/hyperlink" Target="javascript:void(0);" TargetMode="External"/><Relationship Id="rId1388" Type="http://schemas.openxmlformats.org/officeDocument/2006/relationships/hyperlink" Target="javascript:void(0);" TargetMode="External"/><Relationship Id="rId1595" Type="http://schemas.openxmlformats.org/officeDocument/2006/relationships/hyperlink" Target="javascript:void(0);" TargetMode="External"/><Relationship Id="rId1609" Type="http://schemas.openxmlformats.org/officeDocument/2006/relationships/hyperlink" Target="javascript:void(0);" TargetMode="External"/><Relationship Id="rId1816" Type="http://schemas.openxmlformats.org/officeDocument/2006/relationships/hyperlink" Target="javascript:void(0);" TargetMode="External"/><Relationship Id="rId2439" Type="http://schemas.openxmlformats.org/officeDocument/2006/relationships/hyperlink" Target="javascript:void(0);" TargetMode="External"/><Relationship Id="rId10" Type="http://schemas.openxmlformats.org/officeDocument/2006/relationships/hyperlink" Target="javascript:void(0);" TargetMode="External"/><Relationship Id="rId94" Type="http://schemas.openxmlformats.org/officeDocument/2006/relationships/hyperlink" Target="javascript:void(0);" TargetMode="External"/><Relationship Id="rId397" Type="http://schemas.openxmlformats.org/officeDocument/2006/relationships/hyperlink" Target="javascript:void(0);" TargetMode="External"/><Relationship Id="rId520" Type="http://schemas.openxmlformats.org/officeDocument/2006/relationships/hyperlink" Target="javascript:void(0);" TargetMode="External"/><Relationship Id="rId618" Type="http://schemas.openxmlformats.org/officeDocument/2006/relationships/hyperlink" Target="javascript:void(0);" TargetMode="External"/><Relationship Id="rId825" Type="http://schemas.openxmlformats.org/officeDocument/2006/relationships/hyperlink" Target="javascript:void(0);" TargetMode="External"/><Relationship Id="rId1248" Type="http://schemas.openxmlformats.org/officeDocument/2006/relationships/hyperlink" Target="javascript:void(0);" TargetMode="External"/><Relationship Id="rId1455" Type="http://schemas.openxmlformats.org/officeDocument/2006/relationships/hyperlink" Target="javascript:void(0);" TargetMode="External"/><Relationship Id="rId1662" Type="http://schemas.openxmlformats.org/officeDocument/2006/relationships/hyperlink" Target="javascript:void(0);" TargetMode="External"/><Relationship Id="rId2078" Type="http://schemas.openxmlformats.org/officeDocument/2006/relationships/hyperlink" Target="javascript:void(0);" TargetMode="External"/><Relationship Id="rId2201" Type="http://schemas.openxmlformats.org/officeDocument/2006/relationships/hyperlink" Target="javascript:void(0);" TargetMode="External"/><Relationship Id="rId2285" Type="http://schemas.openxmlformats.org/officeDocument/2006/relationships/hyperlink" Target="javascript:void(0);" TargetMode="External"/><Relationship Id="rId257" Type="http://schemas.openxmlformats.org/officeDocument/2006/relationships/hyperlink" Target="javascript:void(0);" TargetMode="External"/><Relationship Id="rId464" Type="http://schemas.openxmlformats.org/officeDocument/2006/relationships/hyperlink" Target="javascript:void(0);" TargetMode="External"/><Relationship Id="rId1010" Type="http://schemas.openxmlformats.org/officeDocument/2006/relationships/hyperlink" Target="javascript:void(0);" TargetMode="External"/><Relationship Id="rId1094" Type="http://schemas.openxmlformats.org/officeDocument/2006/relationships/hyperlink" Target="javascript:void(0);" TargetMode="External"/><Relationship Id="rId1108" Type="http://schemas.openxmlformats.org/officeDocument/2006/relationships/hyperlink" Target="javascript:void(0);" TargetMode="External"/><Relationship Id="rId1315" Type="http://schemas.openxmlformats.org/officeDocument/2006/relationships/hyperlink" Target="javascript:void(0);" TargetMode="External"/><Relationship Id="rId1967" Type="http://schemas.openxmlformats.org/officeDocument/2006/relationships/hyperlink" Target="javascript:void(0);" TargetMode="External"/><Relationship Id="rId2145" Type="http://schemas.openxmlformats.org/officeDocument/2006/relationships/hyperlink" Target="javascript:void(0);" TargetMode="External"/><Relationship Id="rId117" Type="http://schemas.openxmlformats.org/officeDocument/2006/relationships/hyperlink" Target="javascript:void(0);" TargetMode="External"/><Relationship Id="rId671" Type="http://schemas.openxmlformats.org/officeDocument/2006/relationships/hyperlink" Target="javascript:void(0);" TargetMode="External"/><Relationship Id="rId769" Type="http://schemas.openxmlformats.org/officeDocument/2006/relationships/hyperlink" Target="javascript:void(0);" TargetMode="External"/><Relationship Id="rId976" Type="http://schemas.openxmlformats.org/officeDocument/2006/relationships/hyperlink" Target="javascript:void(0);" TargetMode="External"/><Relationship Id="rId1399" Type="http://schemas.openxmlformats.org/officeDocument/2006/relationships/hyperlink" Target="javascript:void(0);" TargetMode="External"/><Relationship Id="rId2352" Type="http://schemas.openxmlformats.org/officeDocument/2006/relationships/hyperlink" Target="javascript:void(0);" TargetMode="External"/><Relationship Id="rId324" Type="http://schemas.openxmlformats.org/officeDocument/2006/relationships/hyperlink" Target="javascript:void(0);" TargetMode="External"/><Relationship Id="rId531" Type="http://schemas.openxmlformats.org/officeDocument/2006/relationships/hyperlink" Target="javascript:void(0);" TargetMode="External"/><Relationship Id="rId629" Type="http://schemas.openxmlformats.org/officeDocument/2006/relationships/hyperlink" Target="javascript:void(0);" TargetMode="External"/><Relationship Id="rId1161" Type="http://schemas.openxmlformats.org/officeDocument/2006/relationships/hyperlink" Target="javascript:void(0);" TargetMode="External"/><Relationship Id="rId1259" Type="http://schemas.openxmlformats.org/officeDocument/2006/relationships/hyperlink" Target="javascript:void(0);" TargetMode="External"/><Relationship Id="rId1466" Type="http://schemas.openxmlformats.org/officeDocument/2006/relationships/hyperlink" Target="javascript:void(0);" TargetMode="External"/><Relationship Id="rId2005" Type="http://schemas.openxmlformats.org/officeDocument/2006/relationships/hyperlink" Target="javascript:void(0);" TargetMode="External"/><Relationship Id="rId2212" Type="http://schemas.openxmlformats.org/officeDocument/2006/relationships/hyperlink" Target="javascript:void(0);" TargetMode="External"/><Relationship Id="rId836" Type="http://schemas.openxmlformats.org/officeDocument/2006/relationships/hyperlink" Target="javascript:void(0);" TargetMode="External"/><Relationship Id="rId1021" Type="http://schemas.openxmlformats.org/officeDocument/2006/relationships/hyperlink" Target="javascript:void(0);" TargetMode="External"/><Relationship Id="rId1119" Type="http://schemas.openxmlformats.org/officeDocument/2006/relationships/hyperlink" Target="javascript:void(0);" TargetMode="External"/><Relationship Id="rId1673" Type="http://schemas.openxmlformats.org/officeDocument/2006/relationships/hyperlink" Target="javascript:void(0);" TargetMode="External"/><Relationship Id="rId1880" Type="http://schemas.openxmlformats.org/officeDocument/2006/relationships/hyperlink" Target="javascript:void(0);" TargetMode="External"/><Relationship Id="rId1978" Type="http://schemas.openxmlformats.org/officeDocument/2006/relationships/hyperlink" Target="javascript:void(0);" TargetMode="External"/><Relationship Id="rId903" Type="http://schemas.openxmlformats.org/officeDocument/2006/relationships/hyperlink" Target="javascript:void(0);" TargetMode="External"/><Relationship Id="rId1326" Type="http://schemas.openxmlformats.org/officeDocument/2006/relationships/hyperlink" Target="javascript:void(0);" TargetMode="External"/><Relationship Id="rId1533" Type="http://schemas.openxmlformats.org/officeDocument/2006/relationships/hyperlink" Target="javascript:void(0);" TargetMode="External"/><Relationship Id="rId1740" Type="http://schemas.openxmlformats.org/officeDocument/2006/relationships/hyperlink" Target="javascript:void(0);" TargetMode="External"/><Relationship Id="rId32" Type="http://schemas.openxmlformats.org/officeDocument/2006/relationships/hyperlink" Target="javascript:void(0);" TargetMode="External"/><Relationship Id="rId1600" Type="http://schemas.openxmlformats.org/officeDocument/2006/relationships/hyperlink" Target="javascript:void(0);" TargetMode="External"/><Relationship Id="rId1838" Type="http://schemas.openxmlformats.org/officeDocument/2006/relationships/hyperlink" Target="javascript:void(0);" TargetMode="External"/><Relationship Id="rId181" Type="http://schemas.openxmlformats.org/officeDocument/2006/relationships/hyperlink" Target="javascript:void(0);" TargetMode="External"/><Relationship Id="rId1905" Type="http://schemas.openxmlformats.org/officeDocument/2006/relationships/hyperlink" Target="javascript:void(0);" TargetMode="External"/><Relationship Id="rId279" Type="http://schemas.openxmlformats.org/officeDocument/2006/relationships/hyperlink" Target="javascript:void(0);" TargetMode="External"/><Relationship Id="rId486" Type="http://schemas.openxmlformats.org/officeDocument/2006/relationships/hyperlink" Target="javascript:void(0);" TargetMode="External"/><Relationship Id="rId693" Type="http://schemas.openxmlformats.org/officeDocument/2006/relationships/hyperlink" Target="javascript:void(0);" TargetMode="External"/><Relationship Id="rId2167" Type="http://schemas.openxmlformats.org/officeDocument/2006/relationships/hyperlink" Target="javascript:void(0);" TargetMode="External"/><Relationship Id="rId2374" Type="http://schemas.openxmlformats.org/officeDocument/2006/relationships/hyperlink" Target="javascript:void(0);" TargetMode="External"/><Relationship Id="rId139" Type="http://schemas.openxmlformats.org/officeDocument/2006/relationships/hyperlink" Target="javascript:void(0);" TargetMode="External"/><Relationship Id="rId346" Type="http://schemas.openxmlformats.org/officeDocument/2006/relationships/hyperlink" Target="javascript:void(0);" TargetMode="External"/><Relationship Id="rId553" Type="http://schemas.openxmlformats.org/officeDocument/2006/relationships/hyperlink" Target="javascript:void(0);" TargetMode="External"/><Relationship Id="rId760" Type="http://schemas.openxmlformats.org/officeDocument/2006/relationships/hyperlink" Target="javascript:void(0);" TargetMode="External"/><Relationship Id="rId998" Type="http://schemas.openxmlformats.org/officeDocument/2006/relationships/hyperlink" Target="javascript:void(0);" TargetMode="External"/><Relationship Id="rId1183" Type="http://schemas.openxmlformats.org/officeDocument/2006/relationships/hyperlink" Target="javascript:void(0);" TargetMode="External"/><Relationship Id="rId1390" Type="http://schemas.openxmlformats.org/officeDocument/2006/relationships/hyperlink" Target="javascript:void(0);" TargetMode="External"/><Relationship Id="rId2027" Type="http://schemas.openxmlformats.org/officeDocument/2006/relationships/hyperlink" Target="javascript:void(0);" TargetMode="External"/><Relationship Id="rId2234" Type="http://schemas.openxmlformats.org/officeDocument/2006/relationships/hyperlink" Target="javascript:void(0);" TargetMode="External"/><Relationship Id="rId2441" Type="http://schemas.openxmlformats.org/officeDocument/2006/relationships/hyperlink" Target="javascript:void(0);" TargetMode="External"/><Relationship Id="rId206" Type="http://schemas.openxmlformats.org/officeDocument/2006/relationships/hyperlink" Target="javascript:void(0);" TargetMode="External"/><Relationship Id="rId413" Type="http://schemas.openxmlformats.org/officeDocument/2006/relationships/hyperlink" Target="javascript:void(0);" TargetMode="External"/><Relationship Id="rId858" Type="http://schemas.openxmlformats.org/officeDocument/2006/relationships/hyperlink" Target="javascript:void(0);" TargetMode="External"/><Relationship Id="rId1043" Type="http://schemas.openxmlformats.org/officeDocument/2006/relationships/hyperlink" Target="javascript:void(0);" TargetMode="External"/><Relationship Id="rId1488" Type="http://schemas.openxmlformats.org/officeDocument/2006/relationships/hyperlink" Target="javascript:void(0);" TargetMode="External"/><Relationship Id="rId1695" Type="http://schemas.openxmlformats.org/officeDocument/2006/relationships/hyperlink" Target="javascript:void(0);" TargetMode="External"/><Relationship Id="rId620" Type="http://schemas.openxmlformats.org/officeDocument/2006/relationships/hyperlink" Target="javascript:void(0);" TargetMode="External"/><Relationship Id="rId718" Type="http://schemas.openxmlformats.org/officeDocument/2006/relationships/hyperlink" Target="javascript:void(0);" TargetMode="External"/><Relationship Id="rId925" Type="http://schemas.openxmlformats.org/officeDocument/2006/relationships/hyperlink" Target="javascript:void(0);" TargetMode="External"/><Relationship Id="rId1250" Type="http://schemas.openxmlformats.org/officeDocument/2006/relationships/hyperlink" Target="javascript:void(0);" TargetMode="External"/><Relationship Id="rId1348" Type="http://schemas.openxmlformats.org/officeDocument/2006/relationships/hyperlink" Target="javascript:void(0);" TargetMode="External"/><Relationship Id="rId1555" Type="http://schemas.openxmlformats.org/officeDocument/2006/relationships/hyperlink" Target="javascript:void(0);" TargetMode="External"/><Relationship Id="rId1762" Type="http://schemas.openxmlformats.org/officeDocument/2006/relationships/hyperlink" Target="javascript:void(0);" TargetMode="External"/><Relationship Id="rId2301" Type="http://schemas.openxmlformats.org/officeDocument/2006/relationships/hyperlink" Target="javascript:void(0);" TargetMode="External"/><Relationship Id="rId1110" Type="http://schemas.openxmlformats.org/officeDocument/2006/relationships/hyperlink" Target="javascript:void(0);" TargetMode="External"/><Relationship Id="rId1208" Type="http://schemas.openxmlformats.org/officeDocument/2006/relationships/hyperlink" Target="javascript:void(0);" TargetMode="External"/><Relationship Id="rId1415" Type="http://schemas.openxmlformats.org/officeDocument/2006/relationships/hyperlink" Target="javascript:void(0);" TargetMode="External"/><Relationship Id="rId54" Type="http://schemas.openxmlformats.org/officeDocument/2006/relationships/hyperlink" Target="javascript:void(0);" TargetMode="External"/><Relationship Id="rId1622" Type="http://schemas.openxmlformats.org/officeDocument/2006/relationships/hyperlink" Target="javascript:void(0);" TargetMode="External"/><Relationship Id="rId1927" Type="http://schemas.openxmlformats.org/officeDocument/2006/relationships/hyperlink" Target="javascript:void(0);" TargetMode="External"/><Relationship Id="rId2091" Type="http://schemas.openxmlformats.org/officeDocument/2006/relationships/hyperlink" Target="javascript:void(0);" TargetMode="External"/><Relationship Id="rId2189" Type="http://schemas.openxmlformats.org/officeDocument/2006/relationships/hyperlink" Target="javascript:void(0);" TargetMode="External"/><Relationship Id="rId270" Type="http://schemas.openxmlformats.org/officeDocument/2006/relationships/hyperlink" Target="javascript:void(0);" TargetMode="External"/><Relationship Id="rId2396" Type="http://schemas.openxmlformats.org/officeDocument/2006/relationships/hyperlink" Target="javascript:void(0);" TargetMode="External"/><Relationship Id="rId130" Type="http://schemas.openxmlformats.org/officeDocument/2006/relationships/hyperlink" Target="javascript:void(0);" TargetMode="External"/><Relationship Id="rId368" Type="http://schemas.openxmlformats.org/officeDocument/2006/relationships/hyperlink" Target="javascript:void(0);" TargetMode="External"/><Relationship Id="rId575" Type="http://schemas.openxmlformats.org/officeDocument/2006/relationships/hyperlink" Target="javascript:void(0);" TargetMode="External"/><Relationship Id="rId782" Type="http://schemas.openxmlformats.org/officeDocument/2006/relationships/hyperlink" Target="javascript:void(0);" TargetMode="External"/><Relationship Id="rId2049" Type="http://schemas.openxmlformats.org/officeDocument/2006/relationships/hyperlink" Target="javascript:void(0);" TargetMode="External"/><Relationship Id="rId2256" Type="http://schemas.openxmlformats.org/officeDocument/2006/relationships/hyperlink" Target="javascript:void(0);" TargetMode="External"/><Relationship Id="rId228" Type="http://schemas.openxmlformats.org/officeDocument/2006/relationships/hyperlink" Target="javascript:void(0);" TargetMode="External"/><Relationship Id="rId435" Type="http://schemas.openxmlformats.org/officeDocument/2006/relationships/hyperlink" Target="javascript:void(0);" TargetMode="External"/><Relationship Id="rId642" Type="http://schemas.openxmlformats.org/officeDocument/2006/relationships/hyperlink" Target="javascript:void(0);" TargetMode="External"/><Relationship Id="rId1065" Type="http://schemas.openxmlformats.org/officeDocument/2006/relationships/hyperlink" Target="javascript:void(0);" TargetMode="External"/><Relationship Id="rId1272" Type="http://schemas.openxmlformats.org/officeDocument/2006/relationships/hyperlink" Target="javascript:void(0);" TargetMode="External"/><Relationship Id="rId2116" Type="http://schemas.openxmlformats.org/officeDocument/2006/relationships/hyperlink" Target="javascript:void(0);" TargetMode="External"/><Relationship Id="rId2323" Type="http://schemas.openxmlformats.org/officeDocument/2006/relationships/hyperlink" Target="javascript:void(0);" TargetMode="External"/><Relationship Id="rId502" Type="http://schemas.openxmlformats.org/officeDocument/2006/relationships/hyperlink" Target="javascript:void(0);" TargetMode="External"/><Relationship Id="rId947" Type="http://schemas.openxmlformats.org/officeDocument/2006/relationships/hyperlink" Target="javascript:void(0);" TargetMode="External"/><Relationship Id="rId1132" Type="http://schemas.openxmlformats.org/officeDocument/2006/relationships/hyperlink" Target="javascript:void(0);" TargetMode="External"/><Relationship Id="rId1577" Type="http://schemas.openxmlformats.org/officeDocument/2006/relationships/hyperlink" Target="javascript:void(0);" TargetMode="External"/><Relationship Id="rId1784" Type="http://schemas.openxmlformats.org/officeDocument/2006/relationships/hyperlink" Target="javascript:void(0);" TargetMode="External"/><Relationship Id="rId1991" Type="http://schemas.openxmlformats.org/officeDocument/2006/relationships/hyperlink" Target="javascript:void(0);" TargetMode="External"/><Relationship Id="rId76" Type="http://schemas.openxmlformats.org/officeDocument/2006/relationships/hyperlink" Target="javascript:void(0);" TargetMode="External"/><Relationship Id="rId807" Type="http://schemas.openxmlformats.org/officeDocument/2006/relationships/hyperlink" Target="javascript:void(0);" TargetMode="External"/><Relationship Id="rId1437" Type="http://schemas.openxmlformats.org/officeDocument/2006/relationships/hyperlink" Target="javascript:void(0);" TargetMode="External"/><Relationship Id="rId1644" Type="http://schemas.openxmlformats.org/officeDocument/2006/relationships/hyperlink" Target="javascript:void(0);" TargetMode="External"/><Relationship Id="rId1851" Type="http://schemas.openxmlformats.org/officeDocument/2006/relationships/hyperlink" Target="javascript:void(0);" TargetMode="External"/><Relationship Id="rId1504" Type="http://schemas.openxmlformats.org/officeDocument/2006/relationships/hyperlink" Target="javascript:void(0);" TargetMode="External"/><Relationship Id="rId1711" Type="http://schemas.openxmlformats.org/officeDocument/2006/relationships/hyperlink" Target="javascript:void(0);" TargetMode="External"/><Relationship Id="rId1949" Type="http://schemas.openxmlformats.org/officeDocument/2006/relationships/hyperlink" Target="javascript:void(0);" TargetMode="External"/><Relationship Id="rId292" Type="http://schemas.openxmlformats.org/officeDocument/2006/relationships/hyperlink" Target="javascript:void(0);" TargetMode="External"/><Relationship Id="rId1809" Type="http://schemas.openxmlformats.org/officeDocument/2006/relationships/hyperlink" Target="javascript:void(0);" TargetMode="External"/><Relationship Id="rId597" Type="http://schemas.openxmlformats.org/officeDocument/2006/relationships/hyperlink" Target="javascript:void(0);" TargetMode="External"/><Relationship Id="rId2180" Type="http://schemas.openxmlformats.org/officeDocument/2006/relationships/hyperlink" Target="javascript:void(0);" TargetMode="External"/><Relationship Id="rId2278" Type="http://schemas.openxmlformats.org/officeDocument/2006/relationships/hyperlink" Target="javascript:void(0);" TargetMode="External"/><Relationship Id="rId152" Type="http://schemas.openxmlformats.org/officeDocument/2006/relationships/hyperlink" Target="javascript:void(0);" TargetMode="External"/><Relationship Id="rId457" Type="http://schemas.openxmlformats.org/officeDocument/2006/relationships/hyperlink" Target="javascript:void(0);" TargetMode="External"/><Relationship Id="rId1087" Type="http://schemas.openxmlformats.org/officeDocument/2006/relationships/hyperlink" Target="javascript:void(0);" TargetMode="External"/><Relationship Id="rId1294" Type="http://schemas.openxmlformats.org/officeDocument/2006/relationships/hyperlink" Target="javascript:void(0);" TargetMode="External"/><Relationship Id="rId2040" Type="http://schemas.openxmlformats.org/officeDocument/2006/relationships/hyperlink" Target="javascript:void(0);" TargetMode="External"/><Relationship Id="rId2138" Type="http://schemas.openxmlformats.org/officeDocument/2006/relationships/hyperlink" Target="javascript:void(0);" TargetMode="External"/><Relationship Id="rId664" Type="http://schemas.openxmlformats.org/officeDocument/2006/relationships/hyperlink" Target="javascript:void(0);" TargetMode="External"/><Relationship Id="rId871" Type="http://schemas.openxmlformats.org/officeDocument/2006/relationships/hyperlink" Target="javascript:void(0);" TargetMode="External"/><Relationship Id="rId969" Type="http://schemas.openxmlformats.org/officeDocument/2006/relationships/hyperlink" Target="javascript:void(0);" TargetMode="External"/><Relationship Id="rId1599" Type="http://schemas.openxmlformats.org/officeDocument/2006/relationships/hyperlink" Target="javascript:void(0);" TargetMode="External"/><Relationship Id="rId2345" Type="http://schemas.openxmlformats.org/officeDocument/2006/relationships/hyperlink" Target="javascript:void(0);" TargetMode="External"/><Relationship Id="rId317" Type="http://schemas.openxmlformats.org/officeDocument/2006/relationships/hyperlink" Target="javascript:void(0);" TargetMode="External"/><Relationship Id="rId524" Type="http://schemas.openxmlformats.org/officeDocument/2006/relationships/hyperlink" Target="javascript:void(0);" TargetMode="External"/><Relationship Id="rId731" Type="http://schemas.openxmlformats.org/officeDocument/2006/relationships/hyperlink" Target="javascript:void(0);" TargetMode="External"/><Relationship Id="rId1154" Type="http://schemas.openxmlformats.org/officeDocument/2006/relationships/hyperlink" Target="javascript:void(0);" TargetMode="External"/><Relationship Id="rId1361" Type="http://schemas.openxmlformats.org/officeDocument/2006/relationships/hyperlink" Target="javascript:void(0);" TargetMode="External"/><Relationship Id="rId1459" Type="http://schemas.openxmlformats.org/officeDocument/2006/relationships/hyperlink" Target="javascript:void(0);" TargetMode="External"/><Relationship Id="rId2205" Type="http://schemas.openxmlformats.org/officeDocument/2006/relationships/hyperlink" Target="javascript:void(0);" TargetMode="External"/><Relationship Id="rId2412" Type="http://schemas.openxmlformats.org/officeDocument/2006/relationships/hyperlink" Target="javascript:void(0);" TargetMode="External"/><Relationship Id="rId98" Type="http://schemas.openxmlformats.org/officeDocument/2006/relationships/hyperlink" Target="javascript:void(0);" TargetMode="External"/><Relationship Id="rId829" Type="http://schemas.openxmlformats.org/officeDocument/2006/relationships/hyperlink" Target="javascript:void(0);" TargetMode="External"/><Relationship Id="rId1014" Type="http://schemas.openxmlformats.org/officeDocument/2006/relationships/hyperlink" Target="javascript:void(0);" TargetMode="External"/><Relationship Id="rId1221" Type="http://schemas.openxmlformats.org/officeDocument/2006/relationships/hyperlink" Target="javascript:void(0);" TargetMode="External"/><Relationship Id="rId1666" Type="http://schemas.openxmlformats.org/officeDocument/2006/relationships/hyperlink" Target="javascript:void(0);" TargetMode="External"/><Relationship Id="rId1873" Type="http://schemas.openxmlformats.org/officeDocument/2006/relationships/hyperlink" Target="javascript:void(0);" TargetMode="External"/><Relationship Id="rId1319" Type="http://schemas.openxmlformats.org/officeDocument/2006/relationships/hyperlink" Target="javascript:void(0);" TargetMode="External"/><Relationship Id="rId1526" Type="http://schemas.openxmlformats.org/officeDocument/2006/relationships/hyperlink" Target="javascript:void(0);" TargetMode="External"/><Relationship Id="rId1733" Type="http://schemas.openxmlformats.org/officeDocument/2006/relationships/hyperlink" Target="javascript:void(0);" TargetMode="External"/><Relationship Id="rId1940" Type="http://schemas.openxmlformats.org/officeDocument/2006/relationships/hyperlink" Target="javascript:void(0);" TargetMode="External"/><Relationship Id="rId25" Type="http://schemas.openxmlformats.org/officeDocument/2006/relationships/hyperlink" Target="javascript:void(0);" TargetMode="External"/><Relationship Id="rId1800" Type="http://schemas.openxmlformats.org/officeDocument/2006/relationships/hyperlink" Target="javascript:void(0);" TargetMode="External"/><Relationship Id="rId174" Type="http://schemas.openxmlformats.org/officeDocument/2006/relationships/hyperlink" Target="javascript:void(0);" TargetMode="External"/><Relationship Id="rId381" Type="http://schemas.openxmlformats.org/officeDocument/2006/relationships/hyperlink" Target="javascript:void(0);" TargetMode="External"/><Relationship Id="rId2062" Type="http://schemas.openxmlformats.org/officeDocument/2006/relationships/hyperlink" Target="javascript:void(0);" TargetMode="External"/><Relationship Id="rId241" Type="http://schemas.openxmlformats.org/officeDocument/2006/relationships/hyperlink" Target="javascript:void(0);" TargetMode="External"/><Relationship Id="rId479" Type="http://schemas.openxmlformats.org/officeDocument/2006/relationships/hyperlink" Target="javascript:void(0);" TargetMode="External"/><Relationship Id="rId686" Type="http://schemas.openxmlformats.org/officeDocument/2006/relationships/hyperlink" Target="javascript:void(0);" TargetMode="External"/><Relationship Id="rId893" Type="http://schemas.openxmlformats.org/officeDocument/2006/relationships/hyperlink" Target="javascript:void(0);" TargetMode="External"/><Relationship Id="rId2367" Type="http://schemas.openxmlformats.org/officeDocument/2006/relationships/hyperlink" Target="javascript:void(0);" TargetMode="External"/><Relationship Id="rId339" Type="http://schemas.openxmlformats.org/officeDocument/2006/relationships/hyperlink" Target="javascript:void(0);" TargetMode="External"/><Relationship Id="rId546" Type="http://schemas.openxmlformats.org/officeDocument/2006/relationships/hyperlink" Target="javascript:void(0);" TargetMode="External"/><Relationship Id="rId753" Type="http://schemas.openxmlformats.org/officeDocument/2006/relationships/hyperlink" Target="javascript:void(0);" TargetMode="External"/><Relationship Id="rId1176" Type="http://schemas.openxmlformats.org/officeDocument/2006/relationships/hyperlink" Target="javascript:void(0);" TargetMode="External"/><Relationship Id="rId1383" Type="http://schemas.openxmlformats.org/officeDocument/2006/relationships/hyperlink" Target="javascript:void(0);" TargetMode="External"/><Relationship Id="rId2227" Type="http://schemas.openxmlformats.org/officeDocument/2006/relationships/hyperlink" Target="javascript:void(0);" TargetMode="External"/><Relationship Id="rId2434" Type="http://schemas.openxmlformats.org/officeDocument/2006/relationships/hyperlink" Target="javascript:void(0);" TargetMode="External"/><Relationship Id="rId101" Type="http://schemas.openxmlformats.org/officeDocument/2006/relationships/hyperlink" Target="javascript:void(0);" TargetMode="External"/><Relationship Id="rId406" Type="http://schemas.openxmlformats.org/officeDocument/2006/relationships/hyperlink" Target="javascript:void(0);" TargetMode="External"/><Relationship Id="rId960" Type="http://schemas.openxmlformats.org/officeDocument/2006/relationships/hyperlink" Target="javascript:void(0);" TargetMode="External"/><Relationship Id="rId1036" Type="http://schemas.openxmlformats.org/officeDocument/2006/relationships/hyperlink" Target="javascript:void(0);" TargetMode="External"/><Relationship Id="rId1243" Type="http://schemas.openxmlformats.org/officeDocument/2006/relationships/hyperlink" Target="javascript:void(0);" TargetMode="External"/><Relationship Id="rId1590" Type="http://schemas.openxmlformats.org/officeDocument/2006/relationships/hyperlink" Target="javascript:void(0);" TargetMode="External"/><Relationship Id="rId1688" Type="http://schemas.openxmlformats.org/officeDocument/2006/relationships/hyperlink" Target="javascript:void(0);" TargetMode="External"/><Relationship Id="rId1895" Type="http://schemas.openxmlformats.org/officeDocument/2006/relationships/hyperlink" Target="javascript:void(0);" TargetMode="External"/><Relationship Id="rId613" Type="http://schemas.openxmlformats.org/officeDocument/2006/relationships/hyperlink" Target="javascript:void(0);" TargetMode="External"/><Relationship Id="rId820" Type="http://schemas.openxmlformats.org/officeDocument/2006/relationships/hyperlink" Target="javascript:void(0);" TargetMode="External"/><Relationship Id="rId918" Type="http://schemas.openxmlformats.org/officeDocument/2006/relationships/hyperlink" Target="javascript:void(0);" TargetMode="External"/><Relationship Id="rId1450" Type="http://schemas.openxmlformats.org/officeDocument/2006/relationships/hyperlink" Target="javascript:void(0);" TargetMode="External"/><Relationship Id="rId1548" Type="http://schemas.openxmlformats.org/officeDocument/2006/relationships/hyperlink" Target="javascript:void(0);" TargetMode="External"/><Relationship Id="rId1755" Type="http://schemas.openxmlformats.org/officeDocument/2006/relationships/hyperlink" Target="javascript:void(0);" TargetMode="External"/><Relationship Id="rId1103" Type="http://schemas.openxmlformats.org/officeDocument/2006/relationships/hyperlink" Target="javascript:void(0);" TargetMode="External"/><Relationship Id="rId1310" Type="http://schemas.openxmlformats.org/officeDocument/2006/relationships/hyperlink" Target="javascript:void(0);" TargetMode="External"/><Relationship Id="rId1408" Type="http://schemas.openxmlformats.org/officeDocument/2006/relationships/hyperlink" Target="javascript:void(0);" TargetMode="External"/><Relationship Id="rId1962" Type="http://schemas.openxmlformats.org/officeDocument/2006/relationships/hyperlink" Target="javascript:void(0);" TargetMode="External"/><Relationship Id="rId47" Type="http://schemas.openxmlformats.org/officeDocument/2006/relationships/hyperlink" Target="javascript:void(0);" TargetMode="External"/><Relationship Id="rId1615" Type="http://schemas.openxmlformats.org/officeDocument/2006/relationships/hyperlink" Target="javascript:void(0);" TargetMode="External"/><Relationship Id="rId1822" Type="http://schemas.openxmlformats.org/officeDocument/2006/relationships/hyperlink" Target="javascript:void(0);" TargetMode="External"/><Relationship Id="rId196" Type="http://schemas.openxmlformats.org/officeDocument/2006/relationships/hyperlink" Target="javascript:void(0);" TargetMode="External"/><Relationship Id="rId2084" Type="http://schemas.openxmlformats.org/officeDocument/2006/relationships/hyperlink" Target="javascript:void(0);" TargetMode="External"/><Relationship Id="rId2291" Type="http://schemas.openxmlformats.org/officeDocument/2006/relationships/hyperlink" Target="javascript:void(0);" TargetMode="External"/><Relationship Id="rId263" Type="http://schemas.openxmlformats.org/officeDocument/2006/relationships/hyperlink" Target="javascript:void(0);" TargetMode="External"/><Relationship Id="rId470" Type="http://schemas.openxmlformats.org/officeDocument/2006/relationships/hyperlink" Target="javascript:void(0);" TargetMode="External"/><Relationship Id="rId2151" Type="http://schemas.openxmlformats.org/officeDocument/2006/relationships/hyperlink" Target="javascript:void(0);" TargetMode="External"/><Relationship Id="rId2389" Type="http://schemas.openxmlformats.org/officeDocument/2006/relationships/hyperlink" Target="javascript:void(0);" TargetMode="External"/><Relationship Id="rId123" Type="http://schemas.openxmlformats.org/officeDocument/2006/relationships/hyperlink" Target="javascript:void(0);" TargetMode="External"/><Relationship Id="rId330" Type="http://schemas.openxmlformats.org/officeDocument/2006/relationships/hyperlink" Target="javascript:void(0);" TargetMode="External"/><Relationship Id="rId568" Type="http://schemas.openxmlformats.org/officeDocument/2006/relationships/hyperlink" Target="javascript:void(0);" TargetMode="External"/><Relationship Id="rId775" Type="http://schemas.openxmlformats.org/officeDocument/2006/relationships/hyperlink" Target="javascript:void(0);" TargetMode="External"/><Relationship Id="rId982" Type="http://schemas.openxmlformats.org/officeDocument/2006/relationships/hyperlink" Target="javascript:void(0);" TargetMode="External"/><Relationship Id="rId1198" Type="http://schemas.openxmlformats.org/officeDocument/2006/relationships/hyperlink" Target="javascript:void(0);" TargetMode="External"/><Relationship Id="rId2011" Type="http://schemas.openxmlformats.org/officeDocument/2006/relationships/hyperlink" Target="javascript:void(0);" TargetMode="External"/><Relationship Id="rId2249" Type="http://schemas.openxmlformats.org/officeDocument/2006/relationships/hyperlink" Target="javascript:void(0);" TargetMode="External"/><Relationship Id="rId2456" Type="http://schemas.openxmlformats.org/officeDocument/2006/relationships/hyperlink" Target="javascript:void(0);" TargetMode="External"/><Relationship Id="rId428" Type="http://schemas.openxmlformats.org/officeDocument/2006/relationships/hyperlink" Target="javascript:void(0);" TargetMode="External"/><Relationship Id="rId635" Type="http://schemas.openxmlformats.org/officeDocument/2006/relationships/hyperlink" Target="javascript:void(0);" TargetMode="External"/><Relationship Id="rId842" Type="http://schemas.openxmlformats.org/officeDocument/2006/relationships/hyperlink" Target="javascript:void(0);" TargetMode="External"/><Relationship Id="rId1058" Type="http://schemas.openxmlformats.org/officeDocument/2006/relationships/hyperlink" Target="javascript:void(0);" TargetMode="External"/><Relationship Id="rId1265" Type="http://schemas.openxmlformats.org/officeDocument/2006/relationships/hyperlink" Target="javascript:void(0);" TargetMode="External"/><Relationship Id="rId1472" Type="http://schemas.openxmlformats.org/officeDocument/2006/relationships/hyperlink" Target="javascript:void(0);" TargetMode="External"/><Relationship Id="rId2109" Type="http://schemas.openxmlformats.org/officeDocument/2006/relationships/hyperlink" Target="javascript:void(0);" TargetMode="External"/><Relationship Id="rId2316" Type="http://schemas.openxmlformats.org/officeDocument/2006/relationships/hyperlink" Target="javascript:void(0);" TargetMode="External"/><Relationship Id="rId702" Type="http://schemas.openxmlformats.org/officeDocument/2006/relationships/hyperlink" Target="javascript:void(0);" TargetMode="External"/><Relationship Id="rId1125" Type="http://schemas.openxmlformats.org/officeDocument/2006/relationships/hyperlink" Target="javascript:void(0);" TargetMode="External"/><Relationship Id="rId1332" Type="http://schemas.openxmlformats.org/officeDocument/2006/relationships/hyperlink" Target="javascript:void(0);" TargetMode="External"/><Relationship Id="rId1777" Type="http://schemas.openxmlformats.org/officeDocument/2006/relationships/hyperlink" Target="javascript:void(0);" TargetMode="External"/><Relationship Id="rId1984" Type="http://schemas.openxmlformats.org/officeDocument/2006/relationships/hyperlink" Target="javascript:void(0);" TargetMode="External"/><Relationship Id="rId69" Type="http://schemas.openxmlformats.org/officeDocument/2006/relationships/hyperlink" Target="javascript:void(0);" TargetMode="External"/><Relationship Id="rId1637" Type="http://schemas.openxmlformats.org/officeDocument/2006/relationships/hyperlink" Target="javascript:void(0);" TargetMode="External"/><Relationship Id="rId1844" Type="http://schemas.openxmlformats.org/officeDocument/2006/relationships/hyperlink" Target="javascript:void(0);" TargetMode="External"/><Relationship Id="rId1704" Type="http://schemas.openxmlformats.org/officeDocument/2006/relationships/hyperlink" Target="javascript:void(0);" TargetMode="External"/><Relationship Id="rId285" Type="http://schemas.openxmlformats.org/officeDocument/2006/relationships/hyperlink" Target="javascript:void(0);" TargetMode="External"/><Relationship Id="rId1911" Type="http://schemas.openxmlformats.org/officeDocument/2006/relationships/hyperlink" Target="javascript:void(0);" TargetMode="External"/><Relationship Id="rId492" Type="http://schemas.openxmlformats.org/officeDocument/2006/relationships/hyperlink" Target="javascript:void(0);" TargetMode="External"/><Relationship Id="rId797" Type="http://schemas.openxmlformats.org/officeDocument/2006/relationships/hyperlink" Target="javascript:void(0);" TargetMode="External"/><Relationship Id="rId2173" Type="http://schemas.openxmlformats.org/officeDocument/2006/relationships/hyperlink" Target="javascript:void(0);" TargetMode="External"/><Relationship Id="rId2380" Type="http://schemas.openxmlformats.org/officeDocument/2006/relationships/hyperlink" Target="javascript:void(0);" TargetMode="External"/><Relationship Id="rId145" Type="http://schemas.openxmlformats.org/officeDocument/2006/relationships/hyperlink" Target="javascript:void(0);" TargetMode="External"/><Relationship Id="rId352" Type="http://schemas.openxmlformats.org/officeDocument/2006/relationships/hyperlink" Target="javascript:void(0);" TargetMode="External"/><Relationship Id="rId1287" Type="http://schemas.openxmlformats.org/officeDocument/2006/relationships/hyperlink" Target="javascript:void(0);" TargetMode="External"/><Relationship Id="rId2033" Type="http://schemas.openxmlformats.org/officeDocument/2006/relationships/hyperlink" Target="javascript:void(0);" TargetMode="External"/><Relationship Id="rId2240" Type="http://schemas.openxmlformats.org/officeDocument/2006/relationships/hyperlink" Target="javascript:void(0);" TargetMode="External"/><Relationship Id="rId212" Type="http://schemas.openxmlformats.org/officeDocument/2006/relationships/hyperlink" Target="javascript:void(0);" TargetMode="External"/><Relationship Id="rId657" Type="http://schemas.openxmlformats.org/officeDocument/2006/relationships/hyperlink" Target="javascript:void(0);" TargetMode="External"/><Relationship Id="rId864" Type="http://schemas.openxmlformats.org/officeDocument/2006/relationships/hyperlink" Target="javascript:void(0);" TargetMode="External"/><Relationship Id="rId1494" Type="http://schemas.openxmlformats.org/officeDocument/2006/relationships/hyperlink" Target="javascript:void(0);" TargetMode="External"/><Relationship Id="rId1799" Type="http://schemas.openxmlformats.org/officeDocument/2006/relationships/hyperlink" Target="javascript:void(0);" TargetMode="External"/><Relationship Id="rId2100" Type="http://schemas.openxmlformats.org/officeDocument/2006/relationships/hyperlink" Target="javascript:void(0);" TargetMode="External"/><Relationship Id="rId2338" Type="http://schemas.openxmlformats.org/officeDocument/2006/relationships/hyperlink" Target="javascript:void(0);" TargetMode="External"/><Relationship Id="rId517" Type="http://schemas.openxmlformats.org/officeDocument/2006/relationships/hyperlink" Target="javascript:void(0);" TargetMode="External"/><Relationship Id="rId724" Type="http://schemas.openxmlformats.org/officeDocument/2006/relationships/hyperlink" Target="javascript:void(0);" TargetMode="External"/><Relationship Id="rId931" Type="http://schemas.openxmlformats.org/officeDocument/2006/relationships/hyperlink" Target="javascript:void(0);" TargetMode="External"/><Relationship Id="rId1147" Type="http://schemas.openxmlformats.org/officeDocument/2006/relationships/hyperlink" Target="javascript:void(0);" TargetMode="External"/><Relationship Id="rId1354" Type="http://schemas.openxmlformats.org/officeDocument/2006/relationships/hyperlink" Target="javascript:void(0);" TargetMode="External"/><Relationship Id="rId1561" Type="http://schemas.openxmlformats.org/officeDocument/2006/relationships/hyperlink" Target="javascript:void(0);" TargetMode="External"/><Relationship Id="rId2405" Type="http://schemas.openxmlformats.org/officeDocument/2006/relationships/hyperlink" Target="javascript:void(0);" TargetMode="External"/><Relationship Id="rId60" Type="http://schemas.openxmlformats.org/officeDocument/2006/relationships/hyperlink" Target="javascript:void(0);" TargetMode="External"/><Relationship Id="rId1007" Type="http://schemas.openxmlformats.org/officeDocument/2006/relationships/hyperlink" Target="javascript:void(0);" TargetMode="External"/><Relationship Id="rId1214" Type="http://schemas.openxmlformats.org/officeDocument/2006/relationships/hyperlink" Target="javascript:void(0);" TargetMode="External"/><Relationship Id="rId1421" Type="http://schemas.openxmlformats.org/officeDocument/2006/relationships/hyperlink" Target="javascript:void(0);" TargetMode="External"/><Relationship Id="rId1659" Type="http://schemas.openxmlformats.org/officeDocument/2006/relationships/hyperlink" Target="javascript:void(0);" TargetMode="External"/><Relationship Id="rId1866" Type="http://schemas.openxmlformats.org/officeDocument/2006/relationships/hyperlink" Target="javascript:void(0);" TargetMode="External"/><Relationship Id="rId1519" Type="http://schemas.openxmlformats.org/officeDocument/2006/relationships/hyperlink" Target="javascript:void(0);" TargetMode="External"/><Relationship Id="rId1726" Type="http://schemas.openxmlformats.org/officeDocument/2006/relationships/hyperlink" Target="javascript:void(0);" TargetMode="External"/><Relationship Id="rId1933" Type="http://schemas.openxmlformats.org/officeDocument/2006/relationships/hyperlink" Target="javascript:void(0);" TargetMode="External"/><Relationship Id="rId18" Type="http://schemas.openxmlformats.org/officeDocument/2006/relationships/hyperlink" Target="javascript:void(0);" TargetMode="External"/><Relationship Id="rId2195" Type="http://schemas.openxmlformats.org/officeDocument/2006/relationships/hyperlink" Target="javascript:void(0);" TargetMode="External"/><Relationship Id="rId167" Type="http://schemas.openxmlformats.org/officeDocument/2006/relationships/hyperlink" Target="javascript:void(0);" TargetMode="External"/><Relationship Id="rId374" Type="http://schemas.openxmlformats.org/officeDocument/2006/relationships/hyperlink" Target="javascript:void(0);" TargetMode="External"/><Relationship Id="rId581" Type="http://schemas.openxmlformats.org/officeDocument/2006/relationships/hyperlink" Target="javascript:void(0);" TargetMode="External"/><Relationship Id="rId2055" Type="http://schemas.openxmlformats.org/officeDocument/2006/relationships/hyperlink" Target="javascript:void(0);" TargetMode="External"/><Relationship Id="rId2262" Type="http://schemas.openxmlformats.org/officeDocument/2006/relationships/hyperlink" Target="javascript:void(0);" TargetMode="External"/><Relationship Id="rId234" Type="http://schemas.openxmlformats.org/officeDocument/2006/relationships/hyperlink" Target="javascript:void(0);" TargetMode="External"/><Relationship Id="rId679" Type="http://schemas.openxmlformats.org/officeDocument/2006/relationships/hyperlink" Target="javascript:void(0);" TargetMode="External"/><Relationship Id="rId886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441" Type="http://schemas.openxmlformats.org/officeDocument/2006/relationships/hyperlink" Target="javascript:void(0);" TargetMode="External"/><Relationship Id="rId539" Type="http://schemas.openxmlformats.org/officeDocument/2006/relationships/hyperlink" Target="javascript:void(0);" TargetMode="External"/><Relationship Id="rId746" Type="http://schemas.openxmlformats.org/officeDocument/2006/relationships/hyperlink" Target="javascript:void(0);" TargetMode="External"/><Relationship Id="rId1071" Type="http://schemas.openxmlformats.org/officeDocument/2006/relationships/hyperlink" Target="javascript:void(0);" TargetMode="External"/><Relationship Id="rId1169" Type="http://schemas.openxmlformats.org/officeDocument/2006/relationships/hyperlink" Target="javascript:void(0);" TargetMode="External"/><Relationship Id="rId1376" Type="http://schemas.openxmlformats.org/officeDocument/2006/relationships/hyperlink" Target="javascript:void(0);" TargetMode="External"/><Relationship Id="rId1583" Type="http://schemas.openxmlformats.org/officeDocument/2006/relationships/hyperlink" Target="javascript:void(0);" TargetMode="External"/><Relationship Id="rId2122" Type="http://schemas.openxmlformats.org/officeDocument/2006/relationships/hyperlink" Target="javascript:void(0);" TargetMode="External"/><Relationship Id="rId2427" Type="http://schemas.openxmlformats.org/officeDocument/2006/relationships/hyperlink" Target="javascript:void(0);" TargetMode="External"/><Relationship Id="rId301" Type="http://schemas.openxmlformats.org/officeDocument/2006/relationships/hyperlink" Target="javascript:void(0);" TargetMode="External"/><Relationship Id="rId953" Type="http://schemas.openxmlformats.org/officeDocument/2006/relationships/hyperlink" Target="javascript:void(0);" TargetMode="External"/><Relationship Id="rId1029" Type="http://schemas.openxmlformats.org/officeDocument/2006/relationships/hyperlink" Target="javascript:void(0);" TargetMode="External"/><Relationship Id="rId1236" Type="http://schemas.openxmlformats.org/officeDocument/2006/relationships/hyperlink" Target="javascript:void(0);" TargetMode="External"/><Relationship Id="rId1790" Type="http://schemas.openxmlformats.org/officeDocument/2006/relationships/hyperlink" Target="javascript:void(0);" TargetMode="External"/><Relationship Id="rId1888" Type="http://schemas.openxmlformats.org/officeDocument/2006/relationships/hyperlink" Target="javascript:void(0);" TargetMode="External"/><Relationship Id="rId82" Type="http://schemas.openxmlformats.org/officeDocument/2006/relationships/hyperlink" Target="javascript:void(0);" TargetMode="External"/><Relationship Id="rId606" Type="http://schemas.openxmlformats.org/officeDocument/2006/relationships/hyperlink" Target="javascript:void(0);" TargetMode="External"/><Relationship Id="rId813" Type="http://schemas.openxmlformats.org/officeDocument/2006/relationships/hyperlink" Target="javascript:void(0);" TargetMode="External"/><Relationship Id="rId1443" Type="http://schemas.openxmlformats.org/officeDocument/2006/relationships/hyperlink" Target="javascript:void(0);" TargetMode="External"/><Relationship Id="rId1650" Type="http://schemas.openxmlformats.org/officeDocument/2006/relationships/hyperlink" Target="javascript:void(0);" TargetMode="External"/><Relationship Id="rId1748" Type="http://schemas.openxmlformats.org/officeDocument/2006/relationships/hyperlink" Target="javascript:void(0);" TargetMode="External"/><Relationship Id="rId1303" Type="http://schemas.openxmlformats.org/officeDocument/2006/relationships/hyperlink" Target="javascript:void(0);" TargetMode="External"/><Relationship Id="rId1510" Type="http://schemas.openxmlformats.org/officeDocument/2006/relationships/hyperlink" Target="javascript:void(0);" TargetMode="External"/><Relationship Id="rId1955" Type="http://schemas.openxmlformats.org/officeDocument/2006/relationships/hyperlink" Target="javascript:void(0);" TargetMode="External"/><Relationship Id="rId1608" Type="http://schemas.openxmlformats.org/officeDocument/2006/relationships/hyperlink" Target="javascript:void(0);" TargetMode="External"/><Relationship Id="rId1815" Type="http://schemas.openxmlformats.org/officeDocument/2006/relationships/hyperlink" Target="javascript:void(0);" TargetMode="External"/><Relationship Id="rId189" Type="http://schemas.openxmlformats.org/officeDocument/2006/relationships/hyperlink" Target="javascript:void(0);" TargetMode="External"/><Relationship Id="rId396" Type="http://schemas.openxmlformats.org/officeDocument/2006/relationships/hyperlink" Target="javascript:void(0);" TargetMode="External"/><Relationship Id="rId2077" Type="http://schemas.openxmlformats.org/officeDocument/2006/relationships/hyperlink" Target="javascript:void(0);" TargetMode="External"/><Relationship Id="rId2284" Type="http://schemas.openxmlformats.org/officeDocument/2006/relationships/hyperlink" Target="javascript:void(0);" TargetMode="External"/><Relationship Id="rId256" Type="http://schemas.openxmlformats.org/officeDocument/2006/relationships/hyperlink" Target="javascript:void(0);" TargetMode="External"/><Relationship Id="rId463" Type="http://schemas.openxmlformats.org/officeDocument/2006/relationships/hyperlink" Target="javascript:void(0);" TargetMode="External"/><Relationship Id="rId670" Type="http://schemas.openxmlformats.org/officeDocument/2006/relationships/hyperlink" Target="javascript:void(0);" TargetMode="External"/><Relationship Id="rId1093" Type="http://schemas.openxmlformats.org/officeDocument/2006/relationships/hyperlink" Target="javascript:void(0);" TargetMode="External"/><Relationship Id="rId2144" Type="http://schemas.openxmlformats.org/officeDocument/2006/relationships/hyperlink" Target="javascript:void(0);" TargetMode="External"/><Relationship Id="rId2351" Type="http://schemas.openxmlformats.org/officeDocument/2006/relationships/hyperlink" Target="javascript:void(0);" TargetMode="External"/><Relationship Id="rId116" Type="http://schemas.openxmlformats.org/officeDocument/2006/relationships/hyperlink" Target="javascript:void(0);" TargetMode="External"/><Relationship Id="rId323" Type="http://schemas.openxmlformats.org/officeDocument/2006/relationships/hyperlink" Target="javascript:void(0);" TargetMode="External"/><Relationship Id="rId530" Type="http://schemas.openxmlformats.org/officeDocument/2006/relationships/hyperlink" Target="javascript:void(0);" TargetMode="External"/><Relationship Id="rId768" Type="http://schemas.openxmlformats.org/officeDocument/2006/relationships/hyperlink" Target="javascript:void(0);" TargetMode="External"/><Relationship Id="rId975" Type="http://schemas.openxmlformats.org/officeDocument/2006/relationships/hyperlink" Target="javascript:void(0);" TargetMode="External"/><Relationship Id="rId1160" Type="http://schemas.openxmlformats.org/officeDocument/2006/relationships/hyperlink" Target="javascript:void(0);" TargetMode="External"/><Relationship Id="rId1398" Type="http://schemas.openxmlformats.org/officeDocument/2006/relationships/hyperlink" Target="javascript:void(0);" TargetMode="External"/><Relationship Id="rId2004" Type="http://schemas.openxmlformats.org/officeDocument/2006/relationships/hyperlink" Target="javascript:void(0);" TargetMode="External"/><Relationship Id="rId2211" Type="http://schemas.openxmlformats.org/officeDocument/2006/relationships/hyperlink" Target="javascript:void(0);" TargetMode="External"/><Relationship Id="rId2449" Type="http://schemas.openxmlformats.org/officeDocument/2006/relationships/hyperlink" Target="javascript:void(0);" TargetMode="External"/><Relationship Id="rId628" Type="http://schemas.openxmlformats.org/officeDocument/2006/relationships/hyperlink" Target="javascript:void(0);" TargetMode="External"/><Relationship Id="rId835" Type="http://schemas.openxmlformats.org/officeDocument/2006/relationships/hyperlink" Target="javascript:void(0);" TargetMode="External"/><Relationship Id="rId1258" Type="http://schemas.openxmlformats.org/officeDocument/2006/relationships/hyperlink" Target="javascript:void(0);" TargetMode="External"/><Relationship Id="rId1465" Type="http://schemas.openxmlformats.org/officeDocument/2006/relationships/hyperlink" Target="javascript:void(0);" TargetMode="External"/><Relationship Id="rId1672" Type="http://schemas.openxmlformats.org/officeDocument/2006/relationships/hyperlink" Target="javascript:void(0);" TargetMode="External"/><Relationship Id="rId2309" Type="http://schemas.openxmlformats.org/officeDocument/2006/relationships/hyperlink" Target="javascript:void(0);" TargetMode="External"/><Relationship Id="rId1020" Type="http://schemas.openxmlformats.org/officeDocument/2006/relationships/hyperlink" Target="javascript:void(0);" TargetMode="External"/><Relationship Id="rId1118" Type="http://schemas.openxmlformats.org/officeDocument/2006/relationships/hyperlink" Target="javascript:void(0);" TargetMode="External"/><Relationship Id="rId1325" Type="http://schemas.openxmlformats.org/officeDocument/2006/relationships/hyperlink" Target="javascript:void(0);" TargetMode="External"/><Relationship Id="rId1532" Type="http://schemas.openxmlformats.org/officeDocument/2006/relationships/hyperlink" Target="javascript:void(0);" TargetMode="External"/><Relationship Id="rId1977" Type="http://schemas.openxmlformats.org/officeDocument/2006/relationships/hyperlink" Target="javascript:void(0);" TargetMode="External"/><Relationship Id="rId902" Type="http://schemas.openxmlformats.org/officeDocument/2006/relationships/hyperlink" Target="javascript:void(0);" TargetMode="External"/><Relationship Id="rId1837" Type="http://schemas.openxmlformats.org/officeDocument/2006/relationships/hyperlink" Target="javascript:void(0);" TargetMode="External"/><Relationship Id="rId31" Type="http://schemas.openxmlformats.org/officeDocument/2006/relationships/hyperlink" Target="javascript:void(0);" TargetMode="External"/><Relationship Id="rId2099" Type="http://schemas.openxmlformats.org/officeDocument/2006/relationships/hyperlink" Target="javascript:void(0);" TargetMode="External"/><Relationship Id="rId180" Type="http://schemas.openxmlformats.org/officeDocument/2006/relationships/hyperlink" Target="javascript:void(0);" TargetMode="External"/><Relationship Id="rId278" Type="http://schemas.openxmlformats.org/officeDocument/2006/relationships/hyperlink" Target="javascript:void(0);" TargetMode="External"/><Relationship Id="rId1904" Type="http://schemas.openxmlformats.org/officeDocument/2006/relationships/hyperlink" Target="javascript:void(0);" TargetMode="External"/><Relationship Id="rId485" Type="http://schemas.openxmlformats.org/officeDocument/2006/relationships/hyperlink" Target="javascript:void(0);" TargetMode="External"/><Relationship Id="rId692" Type="http://schemas.openxmlformats.org/officeDocument/2006/relationships/hyperlink" Target="javascript:void(0);" TargetMode="External"/><Relationship Id="rId2166" Type="http://schemas.openxmlformats.org/officeDocument/2006/relationships/hyperlink" Target="javascript:void(0);" TargetMode="External"/><Relationship Id="rId2373" Type="http://schemas.openxmlformats.org/officeDocument/2006/relationships/hyperlink" Target="javascript:void(0);" TargetMode="External"/><Relationship Id="rId138" Type="http://schemas.openxmlformats.org/officeDocument/2006/relationships/hyperlink" Target="javascript:void(0);" TargetMode="External"/><Relationship Id="rId345" Type="http://schemas.openxmlformats.org/officeDocument/2006/relationships/hyperlink" Target="javascript:void(0);" TargetMode="External"/><Relationship Id="rId552" Type="http://schemas.openxmlformats.org/officeDocument/2006/relationships/hyperlink" Target="javascript:void(0);" TargetMode="External"/><Relationship Id="rId997" Type="http://schemas.openxmlformats.org/officeDocument/2006/relationships/hyperlink" Target="javascript:void(0);" TargetMode="External"/><Relationship Id="rId1182" Type="http://schemas.openxmlformats.org/officeDocument/2006/relationships/hyperlink" Target="javascript:void(0);" TargetMode="External"/><Relationship Id="rId2026" Type="http://schemas.openxmlformats.org/officeDocument/2006/relationships/hyperlink" Target="javascript:void(0);" TargetMode="External"/><Relationship Id="rId2233" Type="http://schemas.openxmlformats.org/officeDocument/2006/relationships/hyperlink" Target="javascript:void(0);" TargetMode="External"/><Relationship Id="rId2440" Type="http://schemas.openxmlformats.org/officeDocument/2006/relationships/hyperlink" Target="javascript:void(0);" TargetMode="External"/><Relationship Id="rId205" Type="http://schemas.openxmlformats.org/officeDocument/2006/relationships/hyperlink" Target="javascript:void(0);" TargetMode="External"/><Relationship Id="rId412" Type="http://schemas.openxmlformats.org/officeDocument/2006/relationships/hyperlink" Target="javascript:void(0);" TargetMode="External"/><Relationship Id="rId857" Type="http://schemas.openxmlformats.org/officeDocument/2006/relationships/hyperlink" Target="javascript:void(0);" TargetMode="External"/><Relationship Id="rId1042" Type="http://schemas.openxmlformats.org/officeDocument/2006/relationships/hyperlink" Target="javascript:void(0);" TargetMode="External"/><Relationship Id="rId1487" Type="http://schemas.openxmlformats.org/officeDocument/2006/relationships/hyperlink" Target="javascript:void(0);" TargetMode="External"/><Relationship Id="rId1694" Type="http://schemas.openxmlformats.org/officeDocument/2006/relationships/hyperlink" Target="javascript:void(0);" TargetMode="External"/><Relationship Id="rId2300" Type="http://schemas.openxmlformats.org/officeDocument/2006/relationships/hyperlink" Target="javascript:void(0);" TargetMode="External"/><Relationship Id="rId717" Type="http://schemas.openxmlformats.org/officeDocument/2006/relationships/hyperlink" Target="javascript:void(0);" TargetMode="External"/><Relationship Id="rId924" Type="http://schemas.openxmlformats.org/officeDocument/2006/relationships/hyperlink" Target="javascript:void(0);" TargetMode="External"/><Relationship Id="rId1347" Type="http://schemas.openxmlformats.org/officeDocument/2006/relationships/hyperlink" Target="javascript:void(0);" TargetMode="External"/><Relationship Id="rId1554" Type="http://schemas.openxmlformats.org/officeDocument/2006/relationships/hyperlink" Target="javascript:void(0);" TargetMode="External"/><Relationship Id="rId1761" Type="http://schemas.openxmlformats.org/officeDocument/2006/relationships/hyperlink" Target="javascript:void(0);" TargetMode="External"/><Relationship Id="rId1999" Type="http://schemas.openxmlformats.org/officeDocument/2006/relationships/hyperlink" Target="javascript:void(0);" TargetMode="External"/><Relationship Id="rId53" Type="http://schemas.openxmlformats.org/officeDocument/2006/relationships/hyperlink" Target="javascript:void(0);" TargetMode="External"/><Relationship Id="rId1207" Type="http://schemas.openxmlformats.org/officeDocument/2006/relationships/hyperlink" Target="javascript:void(0);" TargetMode="External"/><Relationship Id="rId1414" Type="http://schemas.openxmlformats.org/officeDocument/2006/relationships/hyperlink" Target="javascript:void(0);" TargetMode="External"/><Relationship Id="rId1621" Type="http://schemas.openxmlformats.org/officeDocument/2006/relationships/hyperlink" Target="javascript:void(0);" TargetMode="External"/><Relationship Id="rId1859" Type="http://schemas.openxmlformats.org/officeDocument/2006/relationships/hyperlink" Target="javascript:void(0);" TargetMode="External"/><Relationship Id="rId1719" Type="http://schemas.openxmlformats.org/officeDocument/2006/relationships/hyperlink" Target="javascript:void(0);" TargetMode="External"/><Relationship Id="rId1926" Type="http://schemas.openxmlformats.org/officeDocument/2006/relationships/hyperlink" Target="javascript:void(0);" TargetMode="External"/><Relationship Id="rId2090" Type="http://schemas.openxmlformats.org/officeDocument/2006/relationships/hyperlink" Target="javascript:void(0);" TargetMode="External"/><Relationship Id="rId2188" Type="http://schemas.openxmlformats.org/officeDocument/2006/relationships/hyperlink" Target="javascript:void(0);" TargetMode="External"/><Relationship Id="rId2395" Type="http://schemas.openxmlformats.org/officeDocument/2006/relationships/hyperlink" Target="javascript:void(0);" TargetMode="External"/><Relationship Id="rId367" Type="http://schemas.openxmlformats.org/officeDocument/2006/relationships/hyperlink" Target="javascript:void(0);" TargetMode="External"/><Relationship Id="rId574" Type="http://schemas.openxmlformats.org/officeDocument/2006/relationships/hyperlink" Target="javascript:void(0);" TargetMode="External"/><Relationship Id="rId2048" Type="http://schemas.openxmlformats.org/officeDocument/2006/relationships/hyperlink" Target="javascript:void(0);" TargetMode="External"/><Relationship Id="rId2255" Type="http://schemas.openxmlformats.org/officeDocument/2006/relationships/hyperlink" Target="javascript:void(0);" TargetMode="External"/><Relationship Id="rId227" Type="http://schemas.openxmlformats.org/officeDocument/2006/relationships/hyperlink" Target="javascript:void(0);" TargetMode="External"/><Relationship Id="rId781" Type="http://schemas.openxmlformats.org/officeDocument/2006/relationships/hyperlink" Target="javascript:void(0);" TargetMode="External"/><Relationship Id="rId879" Type="http://schemas.openxmlformats.org/officeDocument/2006/relationships/hyperlink" Target="javascript:void(0);" TargetMode="External"/><Relationship Id="rId2462" Type="http://schemas.openxmlformats.org/officeDocument/2006/relationships/drawing" Target="../drawings/drawing1.xml"/><Relationship Id="rId434" Type="http://schemas.openxmlformats.org/officeDocument/2006/relationships/hyperlink" Target="javascript:void(0);" TargetMode="External"/><Relationship Id="rId641" Type="http://schemas.openxmlformats.org/officeDocument/2006/relationships/hyperlink" Target="javascript:void(0);" TargetMode="External"/><Relationship Id="rId739" Type="http://schemas.openxmlformats.org/officeDocument/2006/relationships/hyperlink" Target="javascript:void(0);" TargetMode="External"/><Relationship Id="rId1064" Type="http://schemas.openxmlformats.org/officeDocument/2006/relationships/hyperlink" Target="javascript:void(0);" TargetMode="External"/><Relationship Id="rId1271" Type="http://schemas.openxmlformats.org/officeDocument/2006/relationships/hyperlink" Target="javascript:void(0);" TargetMode="External"/><Relationship Id="rId1369" Type="http://schemas.openxmlformats.org/officeDocument/2006/relationships/hyperlink" Target="javascript:void(0);" TargetMode="External"/><Relationship Id="rId1576" Type="http://schemas.openxmlformats.org/officeDocument/2006/relationships/hyperlink" Target="javascript:void(0);" TargetMode="External"/><Relationship Id="rId2115" Type="http://schemas.openxmlformats.org/officeDocument/2006/relationships/hyperlink" Target="javascript:void(0);" TargetMode="External"/><Relationship Id="rId2322" Type="http://schemas.openxmlformats.org/officeDocument/2006/relationships/hyperlink" Target="javascript:void(0);" TargetMode="External"/><Relationship Id="rId501" Type="http://schemas.openxmlformats.org/officeDocument/2006/relationships/hyperlink" Target="javascript:void(0);" TargetMode="External"/><Relationship Id="rId946" Type="http://schemas.openxmlformats.org/officeDocument/2006/relationships/hyperlink" Target="javascript:void(0);" TargetMode="External"/><Relationship Id="rId1131" Type="http://schemas.openxmlformats.org/officeDocument/2006/relationships/hyperlink" Target="javascript:void(0);" TargetMode="External"/><Relationship Id="rId1229" Type="http://schemas.openxmlformats.org/officeDocument/2006/relationships/hyperlink" Target="javascript:void(0);" TargetMode="External"/><Relationship Id="rId1783" Type="http://schemas.openxmlformats.org/officeDocument/2006/relationships/hyperlink" Target="javascript:void(0);" TargetMode="External"/><Relationship Id="rId1990" Type="http://schemas.openxmlformats.org/officeDocument/2006/relationships/hyperlink" Target="javascript:void(0);" TargetMode="External"/><Relationship Id="rId75" Type="http://schemas.openxmlformats.org/officeDocument/2006/relationships/hyperlink" Target="javascript:void(0);" TargetMode="External"/><Relationship Id="rId806" Type="http://schemas.openxmlformats.org/officeDocument/2006/relationships/hyperlink" Target="javascript:void(0);" TargetMode="External"/><Relationship Id="rId1436" Type="http://schemas.openxmlformats.org/officeDocument/2006/relationships/hyperlink" Target="javascript:void(0);" TargetMode="External"/><Relationship Id="rId1643" Type="http://schemas.openxmlformats.org/officeDocument/2006/relationships/hyperlink" Target="javascript:void(0);" TargetMode="External"/><Relationship Id="rId1850" Type="http://schemas.openxmlformats.org/officeDocument/2006/relationships/hyperlink" Target="javascript:void(0);" TargetMode="External"/><Relationship Id="rId1503" Type="http://schemas.openxmlformats.org/officeDocument/2006/relationships/hyperlink" Target="javascript:void(0);" TargetMode="External"/><Relationship Id="rId1710" Type="http://schemas.openxmlformats.org/officeDocument/2006/relationships/hyperlink" Target="javascript:void(0);" TargetMode="External"/><Relationship Id="rId1948" Type="http://schemas.openxmlformats.org/officeDocument/2006/relationships/hyperlink" Target="javascript:void(0);" TargetMode="External"/><Relationship Id="rId291" Type="http://schemas.openxmlformats.org/officeDocument/2006/relationships/hyperlink" Target="javascript:void(0);" TargetMode="External"/><Relationship Id="rId1808" Type="http://schemas.openxmlformats.org/officeDocument/2006/relationships/hyperlink" Target="javascript:void(0);" TargetMode="External"/><Relationship Id="rId151" Type="http://schemas.openxmlformats.org/officeDocument/2006/relationships/hyperlink" Target="javascript:void(0);" TargetMode="External"/><Relationship Id="rId389" Type="http://schemas.openxmlformats.org/officeDocument/2006/relationships/hyperlink" Target="javascript:void(0);" TargetMode="External"/><Relationship Id="rId596" Type="http://schemas.openxmlformats.org/officeDocument/2006/relationships/hyperlink" Target="javascript:void(0);" TargetMode="External"/><Relationship Id="rId2277" Type="http://schemas.openxmlformats.org/officeDocument/2006/relationships/hyperlink" Target="javascript:void(0);" TargetMode="External"/><Relationship Id="rId249" Type="http://schemas.openxmlformats.org/officeDocument/2006/relationships/hyperlink" Target="javascript:void(0);" TargetMode="External"/><Relationship Id="rId456" Type="http://schemas.openxmlformats.org/officeDocument/2006/relationships/hyperlink" Target="javascript:void(0);" TargetMode="External"/><Relationship Id="rId663" Type="http://schemas.openxmlformats.org/officeDocument/2006/relationships/hyperlink" Target="javascript:void(0);" TargetMode="External"/><Relationship Id="rId870" Type="http://schemas.openxmlformats.org/officeDocument/2006/relationships/hyperlink" Target="javascript:void(0);" TargetMode="External"/><Relationship Id="rId1086" Type="http://schemas.openxmlformats.org/officeDocument/2006/relationships/hyperlink" Target="javascript:void(0);" TargetMode="External"/><Relationship Id="rId1293" Type="http://schemas.openxmlformats.org/officeDocument/2006/relationships/hyperlink" Target="javascript:void(0);" TargetMode="External"/><Relationship Id="rId2137" Type="http://schemas.openxmlformats.org/officeDocument/2006/relationships/hyperlink" Target="javascript:void(0);" TargetMode="External"/><Relationship Id="rId2344" Type="http://schemas.openxmlformats.org/officeDocument/2006/relationships/hyperlink" Target="javascript:void(0);" TargetMode="External"/><Relationship Id="rId109" Type="http://schemas.openxmlformats.org/officeDocument/2006/relationships/hyperlink" Target="javascript:void(0);" TargetMode="External"/><Relationship Id="rId316" Type="http://schemas.openxmlformats.org/officeDocument/2006/relationships/hyperlink" Target="javascript:void(0);" TargetMode="External"/><Relationship Id="rId523" Type="http://schemas.openxmlformats.org/officeDocument/2006/relationships/hyperlink" Target="javascript:void(0);" TargetMode="External"/><Relationship Id="rId968" Type="http://schemas.openxmlformats.org/officeDocument/2006/relationships/hyperlink" Target="javascript:void(0);" TargetMode="External"/><Relationship Id="rId1153" Type="http://schemas.openxmlformats.org/officeDocument/2006/relationships/hyperlink" Target="javascript:void(0);" TargetMode="External"/><Relationship Id="rId1598" Type="http://schemas.openxmlformats.org/officeDocument/2006/relationships/hyperlink" Target="javascript:void(0);" TargetMode="External"/><Relationship Id="rId2204" Type="http://schemas.openxmlformats.org/officeDocument/2006/relationships/hyperlink" Target="javascript:void(0);" TargetMode="External"/><Relationship Id="rId97" Type="http://schemas.openxmlformats.org/officeDocument/2006/relationships/hyperlink" Target="javascript:void(0);" TargetMode="External"/><Relationship Id="rId730" Type="http://schemas.openxmlformats.org/officeDocument/2006/relationships/hyperlink" Target="javascript:void(0);" TargetMode="External"/><Relationship Id="rId828" Type="http://schemas.openxmlformats.org/officeDocument/2006/relationships/hyperlink" Target="javascript:void(0);" TargetMode="External"/><Relationship Id="rId1013" Type="http://schemas.openxmlformats.org/officeDocument/2006/relationships/hyperlink" Target="javascript:void(0);" TargetMode="External"/><Relationship Id="rId1360" Type="http://schemas.openxmlformats.org/officeDocument/2006/relationships/hyperlink" Target="javascript:void(0);" TargetMode="External"/><Relationship Id="rId1458" Type="http://schemas.openxmlformats.org/officeDocument/2006/relationships/hyperlink" Target="javascript:void(0);" TargetMode="External"/><Relationship Id="rId1665" Type="http://schemas.openxmlformats.org/officeDocument/2006/relationships/hyperlink" Target="javascript:void(0);" TargetMode="External"/><Relationship Id="rId1872" Type="http://schemas.openxmlformats.org/officeDocument/2006/relationships/hyperlink" Target="javascript:void(0);" TargetMode="External"/><Relationship Id="rId2411" Type="http://schemas.openxmlformats.org/officeDocument/2006/relationships/hyperlink" Target="javascript:void(0);" TargetMode="External"/><Relationship Id="rId1220" Type="http://schemas.openxmlformats.org/officeDocument/2006/relationships/hyperlink" Target="javascript:void(0);" TargetMode="External"/><Relationship Id="rId1318" Type="http://schemas.openxmlformats.org/officeDocument/2006/relationships/hyperlink" Target="javascript:void(0);" TargetMode="External"/><Relationship Id="rId1525" Type="http://schemas.openxmlformats.org/officeDocument/2006/relationships/hyperlink" Target="javascript:void(0);" TargetMode="External"/><Relationship Id="rId1732" Type="http://schemas.openxmlformats.org/officeDocument/2006/relationships/hyperlink" Target="javascript:void(0);" TargetMode="External"/><Relationship Id="rId24" Type="http://schemas.openxmlformats.org/officeDocument/2006/relationships/hyperlink" Target="javascript:void(0);" TargetMode="External"/><Relationship Id="rId2299" Type="http://schemas.openxmlformats.org/officeDocument/2006/relationships/hyperlink" Target="http://www.nhl.com/ice/schedulebymonth.htm?month=201503" TargetMode="External"/><Relationship Id="rId173" Type="http://schemas.openxmlformats.org/officeDocument/2006/relationships/hyperlink" Target="javascript:void(0);" TargetMode="External"/><Relationship Id="rId380" Type="http://schemas.openxmlformats.org/officeDocument/2006/relationships/hyperlink" Target="javascript:void(0);" TargetMode="External"/><Relationship Id="rId2061" Type="http://schemas.openxmlformats.org/officeDocument/2006/relationships/hyperlink" Target="javascript:void(0);" TargetMode="External"/><Relationship Id="rId240" Type="http://schemas.openxmlformats.org/officeDocument/2006/relationships/hyperlink" Target="javascript:void(0);" TargetMode="External"/><Relationship Id="rId478" Type="http://schemas.openxmlformats.org/officeDocument/2006/relationships/hyperlink" Target="javascript:void(0);" TargetMode="External"/><Relationship Id="rId685" Type="http://schemas.openxmlformats.org/officeDocument/2006/relationships/hyperlink" Target="javascript:void(0);" TargetMode="External"/><Relationship Id="rId892" Type="http://schemas.openxmlformats.org/officeDocument/2006/relationships/hyperlink" Target="javascript:void(0);" TargetMode="External"/><Relationship Id="rId2159" Type="http://schemas.openxmlformats.org/officeDocument/2006/relationships/hyperlink" Target="javascript:void(0);" TargetMode="External"/><Relationship Id="rId2366" Type="http://schemas.openxmlformats.org/officeDocument/2006/relationships/hyperlink" Target="javascript:void(0);" TargetMode="External"/><Relationship Id="rId100" Type="http://schemas.openxmlformats.org/officeDocument/2006/relationships/hyperlink" Target="javascript:void(0);" TargetMode="External"/><Relationship Id="rId338" Type="http://schemas.openxmlformats.org/officeDocument/2006/relationships/hyperlink" Target="javascript:void(0);" TargetMode="External"/><Relationship Id="rId545" Type="http://schemas.openxmlformats.org/officeDocument/2006/relationships/hyperlink" Target="javascript:void(0);" TargetMode="External"/><Relationship Id="rId752" Type="http://schemas.openxmlformats.org/officeDocument/2006/relationships/hyperlink" Target="javascript:void(0);" TargetMode="External"/><Relationship Id="rId1175" Type="http://schemas.openxmlformats.org/officeDocument/2006/relationships/hyperlink" Target="javascript:void(0);" TargetMode="External"/><Relationship Id="rId1382" Type="http://schemas.openxmlformats.org/officeDocument/2006/relationships/hyperlink" Target="javascript:void(0);" TargetMode="External"/><Relationship Id="rId2019" Type="http://schemas.openxmlformats.org/officeDocument/2006/relationships/hyperlink" Target="javascript:void(0);" TargetMode="External"/><Relationship Id="rId2226" Type="http://schemas.openxmlformats.org/officeDocument/2006/relationships/hyperlink" Target="javascript:void(0);" TargetMode="External"/><Relationship Id="rId2433" Type="http://schemas.openxmlformats.org/officeDocument/2006/relationships/hyperlink" Target="javascript:void(0);" TargetMode="External"/><Relationship Id="rId405" Type="http://schemas.openxmlformats.org/officeDocument/2006/relationships/hyperlink" Target="javascript:void(0);" TargetMode="External"/><Relationship Id="rId612" Type="http://schemas.openxmlformats.org/officeDocument/2006/relationships/hyperlink" Target="javascript:void(0);" TargetMode="External"/><Relationship Id="rId1035" Type="http://schemas.openxmlformats.org/officeDocument/2006/relationships/hyperlink" Target="javascript:void(0);" TargetMode="External"/><Relationship Id="rId1242" Type="http://schemas.openxmlformats.org/officeDocument/2006/relationships/hyperlink" Target="javascript:void(0);" TargetMode="External"/><Relationship Id="rId1687" Type="http://schemas.openxmlformats.org/officeDocument/2006/relationships/hyperlink" Target="javascript:void(0);" TargetMode="External"/><Relationship Id="rId1894" Type="http://schemas.openxmlformats.org/officeDocument/2006/relationships/hyperlink" Target="javascript:void(0);" TargetMode="External"/><Relationship Id="rId917" Type="http://schemas.openxmlformats.org/officeDocument/2006/relationships/hyperlink" Target="javascript:void(0);" TargetMode="External"/><Relationship Id="rId1102" Type="http://schemas.openxmlformats.org/officeDocument/2006/relationships/hyperlink" Target="javascript:void(0);" TargetMode="External"/><Relationship Id="rId1547" Type="http://schemas.openxmlformats.org/officeDocument/2006/relationships/hyperlink" Target="javascript:void(0);" TargetMode="External"/><Relationship Id="rId1754" Type="http://schemas.openxmlformats.org/officeDocument/2006/relationships/hyperlink" Target="javascript:void(0);" TargetMode="External"/><Relationship Id="rId1961" Type="http://schemas.openxmlformats.org/officeDocument/2006/relationships/hyperlink" Target="javascript:void(0);" TargetMode="External"/><Relationship Id="rId46" Type="http://schemas.openxmlformats.org/officeDocument/2006/relationships/hyperlink" Target="javascript:void(0);" TargetMode="External"/><Relationship Id="rId1407" Type="http://schemas.openxmlformats.org/officeDocument/2006/relationships/hyperlink" Target="javascript:void(0);" TargetMode="External"/><Relationship Id="rId1614" Type="http://schemas.openxmlformats.org/officeDocument/2006/relationships/hyperlink" Target="javascript:void(0);" TargetMode="External"/><Relationship Id="rId1821" Type="http://schemas.openxmlformats.org/officeDocument/2006/relationships/hyperlink" Target="javascript:void(0);" TargetMode="External"/><Relationship Id="rId195" Type="http://schemas.openxmlformats.org/officeDocument/2006/relationships/hyperlink" Target="javascript:void(0);" TargetMode="External"/><Relationship Id="rId1919" Type="http://schemas.openxmlformats.org/officeDocument/2006/relationships/hyperlink" Target="javascript:void(0);" TargetMode="External"/><Relationship Id="rId2083" Type="http://schemas.openxmlformats.org/officeDocument/2006/relationships/hyperlink" Target="javascript:void(0);" TargetMode="External"/><Relationship Id="rId2290" Type="http://schemas.openxmlformats.org/officeDocument/2006/relationships/hyperlink" Target="javascript:void(0);" TargetMode="External"/><Relationship Id="rId2388" Type="http://schemas.openxmlformats.org/officeDocument/2006/relationships/hyperlink" Target="javascript:void(0);" TargetMode="External"/><Relationship Id="rId262" Type="http://schemas.openxmlformats.org/officeDocument/2006/relationships/hyperlink" Target="javascript:void(0);" TargetMode="External"/><Relationship Id="rId567" Type="http://schemas.openxmlformats.org/officeDocument/2006/relationships/hyperlink" Target="javascript:void(0);" TargetMode="External"/><Relationship Id="rId1197" Type="http://schemas.openxmlformats.org/officeDocument/2006/relationships/hyperlink" Target="javascript:void(0);" TargetMode="External"/><Relationship Id="rId2150" Type="http://schemas.openxmlformats.org/officeDocument/2006/relationships/hyperlink" Target="javascript:void(0);" TargetMode="External"/><Relationship Id="rId2248" Type="http://schemas.openxmlformats.org/officeDocument/2006/relationships/hyperlink" Target="javascript:void(0);" TargetMode="External"/><Relationship Id="rId122" Type="http://schemas.openxmlformats.org/officeDocument/2006/relationships/hyperlink" Target="javascript:void(0);" TargetMode="External"/><Relationship Id="rId774" Type="http://schemas.openxmlformats.org/officeDocument/2006/relationships/hyperlink" Target="javascript:void(0);" TargetMode="External"/><Relationship Id="rId981" Type="http://schemas.openxmlformats.org/officeDocument/2006/relationships/hyperlink" Target="javascript:void(0);" TargetMode="External"/><Relationship Id="rId1057" Type="http://schemas.openxmlformats.org/officeDocument/2006/relationships/hyperlink" Target="javascript:void(0);" TargetMode="External"/><Relationship Id="rId2010" Type="http://schemas.openxmlformats.org/officeDocument/2006/relationships/hyperlink" Target="javascript:void(0);" TargetMode="External"/><Relationship Id="rId2455" Type="http://schemas.openxmlformats.org/officeDocument/2006/relationships/hyperlink" Target="javascript:void(0);" TargetMode="External"/><Relationship Id="rId427" Type="http://schemas.openxmlformats.org/officeDocument/2006/relationships/hyperlink" Target="javascript:void(0);" TargetMode="External"/><Relationship Id="rId634" Type="http://schemas.openxmlformats.org/officeDocument/2006/relationships/hyperlink" Target="javascript:void(0);" TargetMode="External"/><Relationship Id="rId841" Type="http://schemas.openxmlformats.org/officeDocument/2006/relationships/hyperlink" Target="javascript:void(0);" TargetMode="External"/><Relationship Id="rId1264" Type="http://schemas.openxmlformats.org/officeDocument/2006/relationships/hyperlink" Target="javascript:void(0);" TargetMode="External"/><Relationship Id="rId1471" Type="http://schemas.openxmlformats.org/officeDocument/2006/relationships/hyperlink" Target="javascript:void(0);" TargetMode="External"/><Relationship Id="rId1569" Type="http://schemas.openxmlformats.org/officeDocument/2006/relationships/hyperlink" Target="javascript:void(0);" TargetMode="External"/><Relationship Id="rId2108" Type="http://schemas.openxmlformats.org/officeDocument/2006/relationships/hyperlink" Target="javascript:void(0);" TargetMode="External"/><Relationship Id="rId2315" Type="http://schemas.openxmlformats.org/officeDocument/2006/relationships/hyperlink" Target="javascript:void(0);" TargetMode="External"/><Relationship Id="rId701" Type="http://schemas.openxmlformats.org/officeDocument/2006/relationships/hyperlink" Target="javascript:void(0);" TargetMode="External"/><Relationship Id="rId939" Type="http://schemas.openxmlformats.org/officeDocument/2006/relationships/hyperlink" Target="javascript:void(0);" TargetMode="External"/><Relationship Id="rId1124" Type="http://schemas.openxmlformats.org/officeDocument/2006/relationships/hyperlink" Target="javascript:void(0);" TargetMode="External"/><Relationship Id="rId1331" Type="http://schemas.openxmlformats.org/officeDocument/2006/relationships/hyperlink" Target="javascript:void(0);" TargetMode="External"/><Relationship Id="rId1776" Type="http://schemas.openxmlformats.org/officeDocument/2006/relationships/hyperlink" Target="javascript:void(0);" TargetMode="External"/><Relationship Id="rId1983" Type="http://schemas.openxmlformats.org/officeDocument/2006/relationships/hyperlink" Target="javascript:void(0);" TargetMode="External"/><Relationship Id="rId68" Type="http://schemas.openxmlformats.org/officeDocument/2006/relationships/hyperlink" Target="javascript:void(0);" TargetMode="External"/><Relationship Id="rId1429" Type="http://schemas.openxmlformats.org/officeDocument/2006/relationships/hyperlink" Target="javascript:void(0);" TargetMode="External"/><Relationship Id="rId1636" Type="http://schemas.openxmlformats.org/officeDocument/2006/relationships/hyperlink" Target="javascript:void(0);" TargetMode="External"/><Relationship Id="rId1843" Type="http://schemas.openxmlformats.org/officeDocument/2006/relationships/hyperlink" Target="javascript:void(0);" TargetMode="External"/><Relationship Id="rId1703" Type="http://schemas.openxmlformats.org/officeDocument/2006/relationships/hyperlink" Target="javascript:void(0);" TargetMode="External"/><Relationship Id="rId1910" Type="http://schemas.openxmlformats.org/officeDocument/2006/relationships/hyperlink" Target="javascript:void(0);" TargetMode="External"/><Relationship Id="rId284" Type="http://schemas.openxmlformats.org/officeDocument/2006/relationships/hyperlink" Target="javascript:void(0);" TargetMode="External"/><Relationship Id="rId491" Type="http://schemas.openxmlformats.org/officeDocument/2006/relationships/hyperlink" Target="javascript:void(0);" TargetMode="External"/><Relationship Id="rId2172" Type="http://schemas.openxmlformats.org/officeDocument/2006/relationships/hyperlink" Target="javascript:void(0);" TargetMode="External"/><Relationship Id="rId144" Type="http://schemas.openxmlformats.org/officeDocument/2006/relationships/hyperlink" Target="javascript:void(0);" TargetMode="External"/><Relationship Id="rId589" Type="http://schemas.openxmlformats.org/officeDocument/2006/relationships/hyperlink" Target="javascript:void(0);" TargetMode="External"/><Relationship Id="rId796" Type="http://schemas.openxmlformats.org/officeDocument/2006/relationships/hyperlink" Target="javascript:void(0);" TargetMode="External"/><Relationship Id="rId351" Type="http://schemas.openxmlformats.org/officeDocument/2006/relationships/hyperlink" Target="javascript:void(0);" TargetMode="External"/><Relationship Id="rId449" Type="http://schemas.openxmlformats.org/officeDocument/2006/relationships/hyperlink" Target="javascript:void(0);" TargetMode="External"/><Relationship Id="rId656" Type="http://schemas.openxmlformats.org/officeDocument/2006/relationships/hyperlink" Target="javascript:void(0);" TargetMode="External"/><Relationship Id="rId863" Type="http://schemas.openxmlformats.org/officeDocument/2006/relationships/hyperlink" Target="javascript:void(0);" TargetMode="External"/><Relationship Id="rId1079" Type="http://schemas.openxmlformats.org/officeDocument/2006/relationships/hyperlink" Target="javascript:void(0);" TargetMode="External"/><Relationship Id="rId1286" Type="http://schemas.openxmlformats.org/officeDocument/2006/relationships/hyperlink" Target="javascript:void(0);" TargetMode="External"/><Relationship Id="rId1493" Type="http://schemas.openxmlformats.org/officeDocument/2006/relationships/hyperlink" Target="javascript:void(0);" TargetMode="External"/><Relationship Id="rId2032" Type="http://schemas.openxmlformats.org/officeDocument/2006/relationships/hyperlink" Target="javascript:void(0);" TargetMode="External"/><Relationship Id="rId2337" Type="http://schemas.openxmlformats.org/officeDocument/2006/relationships/hyperlink" Target="javascript:void(0);" TargetMode="External"/><Relationship Id="rId211" Type="http://schemas.openxmlformats.org/officeDocument/2006/relationships/hyperlink" Target="javascript:void(0);" TargetMode="External"/><Relationship Id="rId309" Type="http://schemas.openxmlformats.org/officeDocument/2006/relationships/hyperlink" Target="javascript:void(0);" TargetMode="External"/><Relationship Id="rId516" Type="http://schemas.openxmlformats.org/officeDocument/2006/relationships/hyperlink" Target="javascript:void(0);" TargetMode="External"/><Relationship Id="rId1146" Type="http://schemas.openxmlformats.org/officeDocument/2006/relationships/hyperlink" Target="javascript:void(0);" TargetMode="External"/><Relationship Id="rId1798" Type="http://schemas.openxmlformats.org/officeDocument/2006/relationships/hyperlink" Target="javascript:void(0);" TargetMode="External"/><Relationship Id="rId723" Type="http://schemas.openxmlformats.org/officeDocument/2006/relationships/hyperlink" Target="javascript:void(0);" TargetMode="External"/><Relationship Id="rId930" Type="http://schemas.openxmlformats.org/officeDocument/2006/relationships/hyperlink" Target="javascript:void(0);" TargetMode="External"/><Relationship Id="rId1006" Type="http://schemas.openxmlformats.org/officeDocument/2006/relationships/hyperlink" Target="javascript:void(0);" TargetMode="External"/><Relationship Id="rId1353" Type="http://schemas.openxmlformats.org/officeDocument/2006/relationships/hyperlink" Target="javascript:void(0);" TargetMode="External"/><Relationship Id="rId1560" Type="http://schemas.openxmlformats.org/officeDocument/2006/relationships/hyperlink" Target="javascript:void(0);" TargetMode="External"/><Relationship Id="rId1658" Type="http://schemas.openxmlformats.org/officeDocument/2006/relationships/hyperlink" Target="javascript:void(0);" TargetMode="External"/><Relationship Id="rId1865" Type="http://schemas.openxmlformats.org/officeDocument/2006/relationships/hyperlink" Target="javascript:void(0);" TargetMode="External"/><Relationship Id="rId2404" Type="http://schemas.openxmlformats.org/officeDocument/2006/relationships/hyperlink" Target="javascript:void(0);" TargetMode="External"/><Relationship Id="rId1213" Type="http://schemas.openxmlformats.org/officeDocument/2006/relationships/hyperlink" Target="javascript:void(0);" TargetMode="External"/><Relationship Id="rId1420" Type="http://schemas.openxmlformats.org/officeDocument/2006/relationships/hyperlink" Target="javascript:void(0);" TargetMode="External"/><Relationship Id="rId1518" Type="http://schemas.openxmlformats.org/officeDocument/2006/relationships/hyperlink" Target="javascript:void(0);" TargetMode="External"/><Relationship Id="rId1725" Type="http://schemas.openxmlformats.org/officeDocument/2006/relationships/hyperlink" Target="javascript:void(0);" TargetMode="External"/><Relationship Id="rId1932" Type="http://schemas.openxmlformats.org/officeDocument/2006/relationships/hyperlink" Target="javascript:void(0);" TargetMode="External"/><Relationship Id="rId17" Type="http://schemas.openxmlformats.org/officeDocument/2006/relationships/hyperlink" Target="javascript:void(0);" TargetMode="External"/><Relationship Id="rId2194" Type="http://schemas.openxmlformats.org/officeDocument/2006/relationships/hyperlink" Target="javascript:void(0);" TargetMode="External"/><Relationship Id="rId166" Type="http://schemas.openxmlformats.org/officeDocument/2006/relationships/hyperlink" Target="javascript:void(0);" TargetMode="External"/><Relationship Id="rId373" Type="http://schemas.openxmlformats.org/officeDocument/2006/relationships/hyperlink" Target="javascript:void(0);" TargetMode="External"/><Relationship Id="rId580" Type="http://schemas.openxmlformats.org/officeDocument/2006/relationships/hyperlink" Target="javascript:void(0);" TargetMode="External"/><Relationship Id="rId2054" Type="http://schemas.openxmlformats.org/officeDocument/2006/relationships/hyperlink" Target="javascript:void(0);" TargetMode="External"/><Relationship Id="rId2261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233" Type="http://schemas.openxmlformats.org/officeDocument/2006/relationships/hyperlink" Target="javascript:void(0);" TargetMode="External"/><Relationship Id="rId440" Type="http://schemas.openxmlformats.org/officeDocument/2006/relationships/hyperlink" Target="javascript:void(0);" TargetMode="External"/><Relationship Id="rId678" Type="http://schemas.openxmlformats.org/officeDocument/2006/relationships/hyperlink" Target="javascript:void(0);" TargetMode="External"/><Relationship Id="rId885" Type="http://schemas.openxmlformats.org/officeDocument/2006/relationships/hyperlink" Target="javascript:void(0);" TargetMode="External"/><Relationship Id="rId1070" Type="http://schemas.openxmlformats.org/officeDocument/2006/relationships/hyperlink" Target="javascript:void(0);" TargetMode="External"/><Relationship Id="rId2121" Type="http://schemas.openxmlformats.org/officeDocument/2006/relationships/hyperlink" Target="javascript:void(0);" TargetMode="External"/><Relationship Id="rId2359" Type="http://schemas.openxmlformats.org/officeDocument/2006/relationships/hyperlink" Target="javascript:void(0);" TargetMode="External"/><Relationship Id="rId300" Type="http://schemas.openxmlformats.org/officeDocument/2006/relationships/hyperlink" Target="javascript:void(0);" TargetMode="External"/><Relationship Id="rId538" Type="http://schemas.openxmlformats.org/officeDocument/2006/relationships/hyperlink" Target="javascript:void(0);" TargetMode="External"/><Relationship Id="rId745" Type="http://schemas.openxmlformats.org/officeDocument/2006/relationships/hyperlink" Target="javascript:void(0);" TargetMode="External"/><Relationship Id="rId952" Type="http://schemas.openxmlformats.org/officeDocument/2006/relationships/hyperlink" Target="javascript:void(0);" TargetMode="External"/><Relationship Id="rId1168" Type="http://schemas.openxmlformats.org/officeDocument/2006/relationships/hyperlink" Target="javascript:void(0);" TargetMode="External"/><Relationship Id="rId1375" Type="http://schemas.openxmlformats.org/officeDocument/2006/relationships/hyperlink" Target="javascript:void(0);" TargetMode="External"/><Relationship Id="rId1582" Type="http://schemas.openxmlformats.org/officeDocument/2006/relationships/hyperlink" Target="javascript:void(0);" TargetMode="External"/><Relationship Id="rId2219" Type="http://schemas.openxmlformats.org/officeDocument/2006/relationships/hyperlink" Target="javascript:void(0);" TargetMode="External"/><Relationship Id="rId2426" Type="http://schemas.openxmlformats.org/officeDocument/2006/relationships/hyperlink" Target="javascript:void(0);" TargetMode="External"/><Relationship Id="rId81" Type="http://schemas.openxmlformats.org/officeDocument/2006/relationships/hyperlink" Target="javascript:void(0);" TargetMode="External"/><Relationship Id="rId605" Type="http://schemas.openxmlformats.org/officeDocument/2006/relationships/hyperlink" Target="javascript:void(0);" TargetMode="External"/><Relationship Id="rId812" Type="http://schemas.openxmlformats.org/officeDocument/2006/relationships/hyperlink" Target="javascript:void(0);" TargetMode="External"/><Relationship Id="rId1028" Type="http://schemas.openxmlformats.org/officeDocument/2006/relationships/hyperlink" Target="javascript:void(0);" TargetMode="External"/><Relationship Id="rId1235" Type="http://schemas.openxmlformats.org/officeDocument/2006/relationships/hyperlink" Target="javascript:void(0);" TargetMode="External"/><Relationship Id="rId1442" Type="http://schemas.openxmlformats.org/officeDocument/2006/relationships/hyperlink" Target="javascript:void(0);" TargetMode="External"/><Relationship Id="rId1887" Type="http://schemas.openxmlformats.org/officeDocument/2006/relationships/hyperlink" Target="javascript:void(0);" TargetMode="External"/><Relationship Id="rId1302" Type="http://schemas.openxmlformats.org/officeDocument/2006/relationships/hyperlink" Target="javascript:void(0);" TargetMode="External"/><Relationship Id="rId1747" Type="http://schemas.openxmlformats.org/officeDocument/2006/relationships/hyperlink" Target="javascript:void(0);" TargetMode="External"/><Relationship Id="rId1954" Type="http://schemas.openxmlformats.org/officeDocument/2006/relationships/hyperlink" Target="javascript:void(0);" TargetMode="External"/><Relationship Id="rId39" Type="http://schemas.openxmlformats.org/officeDocument/2006/relationships/hyperlink" Target="javascript:void(0);" TargetMode="External"/><Relationship Id="rId1607" Type="http://schemas.openxmlformats.org/officeDocument/2006/relationships/hyperlink" Target="javascript:void(0);" TargetMode="External"/><Relationship Id="rId1814" Type="http://schemas.openxmlformats.org/officeDocument/2006/relationships/hyperlink" Target="javascript:void(0);" TargetMode="External"/><Relationship Id="rId188" Type="http://schemas.openxmlformats.org/officeDocument/2006/relationships/hyperlink" Target="javascript:void(0);" TargetMode="External"/><Relationship Id="rId395" Type="http://schemas.openxmlformats.org/officeDocument/2006/relationships/hyperlink" Target="javascript:void(0);" TargetMode="External"/><Relationship Id="rId2076" Type="http://schemas.openxmlformats.org/officeDocument/2006/relationships/hyperlink" Target="javascript:void(0);" TargetMode="External"/><Relationship Id="rId2283" Type="http://schemas.openxmlformats.org/officeDocument/2006/relationships/hyperlink" Target="javascript:void(0);" TargetMode="External"/><Relationship Id="rId255" Type="http://schemas.openxmlformats.org/officeDocument/2006/relationships/hyperlink" Target="javascript:void(0);" TargetMode="External"/><Relationship Id="rId462" Type="http://schemas.openxmlformats.org/officeDocument/2006/relationships/hyperlink" Target="javascript:void(0);" TargetMode="External"/><Relationship Id="rId1092" Type="http://schemas.openxmlformats.org/officeDocument/2006/relationships/hyperlink" Target="javascript:void(0);" TargetMode="External"/><Relationship Id="rId1397" Type="http://schemas.openxmlformats.org/officeDocument/2006/relationships/hyperlink" Target="javascript:void(0);" TargetMode="External"/><Relationship Id="rId2143" Type="http://schemas.openxmlformats.org/officeDocument/2006/relationships/hyperlink" Target="javascript:void(0);" TargetMode="External"/><Relationship Id="rId2350" Type="http://schemas.openxmlformats.org/officeDocument/2006/relationships/hyperlink" Target="javascript:void(0);" TargetMode="External"/><Relationship Id="rId115" Type="http://schemas.openxmlformats.org/officeDocument/2006/relationships/hyperlink" Target="javascript:void(0);" TargetMode="External"/><Relationship Id="rId322" Type="http://schemas.openxmlformats.org/officeDocument/2006/relationships/hyperlink" Target="javascript:void(0);" TargetMode="External"/><Relationship Id="rId767" Type="http://schemas.openxmlformats.org/officeDocument/2006/relationships/hyperlink" Target="javascript:void(0);" TargetMode="External"/><Relationship Id="rId974" Type="http://schemas.openxmlformats.org/officeDocument/2006/relationships/hyperlink" Target="javascript:void(0);" TargetMode="External"/><Relationship Id="rId2003" Type="http://schemas.openxmlformats.org/officeDocument/2006/relationships/hyperlink" Target="javascript:void(0);" TargetMode="External"/><Relationship Id="rId2210" Type="http://schemas.openxmlformats.org/officeDocument/2006/relationships/hyperlink" Target="javascript:void(0);" TargetMode="External"/><Relationship Id="rId2448" Type="http://schemas.openxmlformats.org/officeDocument/2006/relationships/hyperlink" Target="javascript:void(0);" TargetMode="External"/><Relationship Id="rId627" Type="http://schemas.openxmlformats.org/officeDocument/2006/relationships/hyperlink" Target="javascript:void(0);" TargetMode="External"/><Relationship Id="rId834" Type="http://schemas.openxmlformats.org/officeDocument/2006/relationships/hyperlink" Target="javascript:void(0);" TargetMode="External"/><Relationship Id="rId1257" Type="http://schemas.openxmlformats.org/officeDocument/2006/relationships/hyperlink" Target="javascript:void(0);" TargetMode="External"/><Relationship Id="rId1464" Type="http://schemas.openxmlformats.org/officeDocument/2006/relationships/hyperlink" Target="javascript:void(0);" TargetMode="External"/><Relationship Id="rId1671" Type="http://schemas.openxmlformats.org/officeDocument/2006/relationships/hyperlink" Target="javascript:void(0);" TargetMode="External"/><Relationship Id="rId2308" Type="http://schemas.openxmlformats.org/officeDocument/2006/relationships/hyperlink" Target="javascript:void(0);" TargetMode="External"/><Relationship Id="rId901" Type="http://schemas.openxmlformats.org/officeDocument/2006/relationships/hyperlink" Target="javascript:void(0);" TargetMode="External"/><Relationship Id="rId1117" Type="http://schemas.openxmlformats.org/officeDocument/2006/relationships/hyperlink" Target="javascript:void(0);" TargetMode="External"/><Relationship Id="rId1324" Type="http://schemas.openxmlformats.org/officeDocument/2006/relationships/hyperlink" Target="javascript:void(0);" TargetMode="External"/><Relationship Id="rId1531" Type="http://schemas.openxmlformats.org/officeDocument/2006/relationships/hyperlink" Target="javascript:void(0);" TargetMode="External"/><Relationship Id="rId1769" Type="http://schemas.openxmlformats.org/officeDocument/2006/relationships/hyperlink" Target="javascript:void(0);" TargetMode="External"/><Relationship Id="rId1976" Type="http://schemas.openxmlformats.org/officeDocument/2006/relationships/hyperlink" Target="javascript:void(0);" TargetMode="External"/><Relationship Id="rId30" Type="http://schemas.openxmlformats.org/officeDocument/2006/relationships/hyperlink" Target="javascript:void(0);" TargetMode="External"/><Relationship Id="rId1629" Type="http://schemas.openxmlformats.org/officeDocument/2006/relationships/hyperlink" Target="javascript:void(0);" TargetMode="External"/><Relationship Id="rId1836" Type="http://schemas.openxmlformats.org/officeDocument/2006/relationships/hyperlink" Target="javascript:void(0);" TargetMode="External"/><Relationship Id="rId1903" Type="http://schemas.openxmlformats.org/officeDocument/2006/relationships/hyperlink" Target="javascript:void(0);" TargetMode="External"/><Relationship Id="rId2098" Type="http://schemas.openxmlformats.org/officeDocument/2006/relationships/hyperlink" Target="javascript:void(0);" TargetMode="External"/><Relationship Id="rId277" Type="http://schemas.openxmlformats.org/officeDocument/2006/relationships/hyperlink" Target="javascript:void(0);" TargetMode="External"/><Relationship Id="rId484" Type="http://schemas.openxmlformats.org/officeDocument/2006/relationships/hyperlink" Target="javascript:void(0);" TargetMode="External"/><Relationship Id="rId2165" Type="http://schemas.openxmlformats.org/officeDocument/2006/relationships/hyperlink" Target="javascript:void(0);" TargetMode="External"/><Relationship Id="rId137" Type="http://schemas.openxmlformats.org/officeDocument/2006/relationships/hyperlink" Target="javascript:void(0);" TargetMode="External"/><Relationship Id="rId344" Type="http://schemas.openxmlformats.org/officeDocument/2006/relationships/hyperlink" Target="javascript:void(0);" TargetMode="External"/><Relationship Id="rId691" Type="http://schemas.openxmlformats.org/officeDocument/2006/relationships/hyperlink" Target="javascript:void(0);" TargetMode="External"/><Relationship Id="rId789" Type="http://schemas.openxmlformats.org/officeDocument/2006/relationships/hyperlink" Target="javascript:void(0);" TargetMode="External"/><Relationship Id="rId996" Type="http://schemas.openxmlformats.org/officeDocument/2006/relationships/hyperlink" Target="javascript:void(0);" TargetMode="External"/><Relationship Id="rId2025" Type="http://schemas.openxmlformats.org/officeDocument/2006/relationships/hyperlink" Target="javascript:void(0);" TargetMode="External"/><Relationship Id="rId2372" Type="http://schemas.openxmlformats.org/officeDocument/2006/relationships/hyperlink" Target="javascript:void(0);" TargetMode="External"/><Relationship Id="rId551" Type="http://schemas.openxmlformats.org/officeDocument/2006/relationships/hyperlink" Target="javascript:void(0);" TargetMode="External"/><Relationship Id="rId649" Type="http://schemas.openxmlformats.org/officeDocument/2006/relationships/hyperlink" Target="javascript:void(0);" TargetMode="External"/><Relationship Id="rId856" Type="http://schemas.openxmlformats.org/officeDocument/2006/relationships/hyperlink" Target="javascript:void(0);" TargetMode="External"/><Relationship Id="rId1181" Type="http://schemas.openxmlformats.org/officeDocument/2006/relationships/hyperlink" Target="javascript:void(0);" TargetMode="External"/><Relationship Id="rId1279" Type="http://schemas.openxmlformats.org/officeDocument/2006/relationships/hyperlink" Target="javascript:void(0);" TargetMode="External"/><Relationship Id="rId1486" Type="http://schemas.openxmlformats.org/officeDocument/2006/relationships/hyperlink" Target="javascript:void(0);" TargetMode="External"/><Relationship Id="rId2232" Type="http://schemas.openxmlformats.org/officeDocument/2006/relationships/hyperlink" Target="javascript:void(0);" TargetMode="External"/><Relationship Id="rId204" Type="http://schemas.openxmlformats.org/officeDocument/2006/relationships/hyperlink" Target="javascript:void(0);" TargetMode="External"/><Relationship Id="rId411" Type="http://schemas.openxmlformats.org/officeDocument/2006/relationships/hyperlink" Target="javascript:void(0);" TargetMode="External"/><Relationship Id="rId509" Type="http://schemas.openxmlformats.org/officeDocument/2006/relationships/hyperlink" Target="javascript:void(0);" TargetMode="External"/><Relationship Id="rId1041" Type="http://schemas.openxmlformats.org/officeDocument/2006/relationships/hyperlink" Target="javascript:void(0);" TargetMode="External"/><Relationship Id="rId1139" Type="http://schemas.openxmlformats.org/officeDocument/2006/relationships/hyperlink" Target="javascript:void(0);" TargetMode="External"/><Relationship Id="rId1346" Type="http://schemas.openxmlformats.org/officeDocument/2006/relationships/hyperlink" Target="javascript:void(0);" TargetMode="External"/><Relationship Id="rId1693" Type="http://schemas.openxmlformats.org/officeDocument/2006/relationships/hyperlink" Target="javascript:void(0);" TargetMode="External"/><Relationship Id="rId1998" Type="http://schemas.openxmlformats.org/officeDocument/2006/relationships/hyperlink" Target="javascript:void(0);" TargetMode="External"/><Relationship Id="rId716" Type="http://schemas.openxmlformats.org/officeDocument/2006/relationships/hyperlink" Target="javascript:void(0);" TargetMode="External"/><Relationship Id="rId923" Type="http://schemas.openxmlformats.org/officeDocument/2006/relationships/hyperlink" Target="javascript:void(0);" TargetMode="External"/><Relationship Id="rId1553" Type="http://schemas.openxmlformats.org/officeDocument/2006/relationships/hyperlink" Target="javascript:void(0);" TargetMode="External"/><Relationship Id="rId1760" Type="http://schemas.openxmlformats.org/officeDocument/2006/relationships/hyperlink" Target="javascript:void(0);" TargetMode="External"/><Relationship Id="rId1858" Type="http://schemas.openxmlformats.org/officeDocument/2006/relationships/hyperlink" Target="javascript:void(0);" TargetMode="External"/><Relationship Id="rId52" Type="http://schemas.openxmlformats.org/officeDocument/2006/relationships/hyperlink" Target="javascript:void(0);" TargetMode="External"/><Relationship Id="rId1206" Type="http://schemas.openxmlformats.org/officeDocument/2006/relationships/hyperlink" Target="javascript:void(0);" TargetMode="External"/><Relationship Id="rId1413" Type="http://schemas.openxmlformats.org/officeDocument/2006/relationships/hyperlink" Target="javascript:void(0);" TargetMode="External"/><Relationship Id="rId1620" Type="http://schemas.openxmlformats.org/officeDocument/2006/relationships/hyperlink" Target="javascript:void(0);" TargetMode="External"/><Relationship Id="rId1718" Type="http://schemas.openxmlformats.org/officeDocument/2006/relationships/hyperlink" Target="javascript:void(0);" TargetMode="External"/><Relationship Id="rId1925" Type="http://schemas.openxmlformats.org/officeDocument/2006/relationships/hyperlink" Target="javascript:void(0);" TargetMode="External"/><Relationship Id="rId299" Type="http://schemas.openxmlformats.org/officeDocument/2006/relationships/hyperlink" Target="javascript:void(0);" TargetMode="External"/><Relationship Id="rId2187" Type="http://schemas.openxmlformats.org/officeDocument/2006/relationships/hyperlink" Target="javascript:void(0);" TargetMode="External"/><Relationship Id="rId2394" Type="http://schemas.openxmlformats.org/officeDocument/2006/relationships/hyperlink" Target="javascript:void(0);" TargetMode="External"/><Relationship Id="rId159" Type="http://schemas.openxmlformats.org/officeDocument/2006/relationships/hyperlink" Target="javascript:void(0);" TargetMode="External"/><Relationship Id="rId366" Type="http://schemas.openxmlformats.org/officeDocument/2006/relationships/hyperlink" Target="javascript:void(0);" TargetMode="External"/><Relationship Id="rId573" Type="http://schemas.openxmlformats.org/officeDocument/2006/relationships/hyperlink" Target="javascript:void(0);" TargetMode="External"/><Relationship Id="rId780" Type="http://schemas.openxmlformats.org/officeDocument/2006/relationships/hyperlink" Target="javascript:void(0);" TargetMode="External"/><Relationship Id="rId2047" Type="http://schemas.openxmlformats.org/officeDocument/2006/relationships/hyperlink" Target="javascript:void(0);" TargetMode="External"/><Relationship Id="rId2254" Type="http://schemas.openxmlformats.org/officeDocument/2006/relationships/hyperlink" Target="javascript:void(0);" TargetMode="External"/><Relationship Id="rId2461" Type="http://schemas.openxmlformats.org/officeDocument/2006/relationships/hyperlink" Target="javascript:void(0);" TargetMode="External"/><Relationship Id="rId226" Type="http://schemas.openxmlformats.org/officeDocument/2006/relationships/hyperlink" Target="javascript:void(0);" TargetMode="External"/><Relationship Id="rId433" Type="http://schemas.openxmlformats.org/officeDocument/2006/relationships/hyperlink" Target="javascript:void(0);" TargetMode="External"/><Relationship Id="rId878" Type="http://schemas.openxmlformats.org/officeDocument/2006/relationships/hyperlink" Target="javascript:void(0);" TargetMode="External"/><Relationship Id="rId1063" Type="http://schemas.openxmlformats.org/officeDocument/2006/relationships/hyperlink" Target="javascript:void(0);" TargetMode="External"/><Relationship Id="rId1270" Type="http://schemas.openxmlformats.org/officeDocument/2006/relationships/hyperlink" Target="javascript:void(0);" TargetMode="External"/><Relationship Id="rId2114" Type="http://schemas.openxmlformats.org/officeDocument/2006/relationships/hyperlink" Target="javascript:void(0);" TargetMode="External"/><Relationship Id="rId640" Type="http://schemas.openxmlformats.org/officeDocument/2006/relationships/hyperlink" Target="javascript:void(0);" TargetMode="External"/><Relationship Id="rId738" Type="http://schemas.openxmlformats.org/officeDocument/2006/relationships/hyperlink" Target="javascript:void(0);" TargetMode="External"/><Relationship Id="rId945" Type="http://schemas.openxmlformats.org/officeDocument/2006/relationships/hyperlink" Target="javascript:void(0);" TargetMode="External"/><Relationship Id="rId1368" Type="http://schemas.openxmlformats.org/officeDocument/2006/relationships/hyperlink" Target="javascript:void(0);" TargetMode="External"/><Relationship Id="rId1575" Type="http://schemas.openxmlformats.org/officeDocument/2006/relationships/hyperlink" Target="javascript:void(0);" TargetMode="External"/><Relationship Id="rId1782" Type="http://schemas.openxmlformats.org/officeDocument/2006/relationships/hyperlink" Target="javascript:void(0);" TargetMode="External"/><Relationship Id="rId2321" Type="http://schemas.openxmlformats.org/officeDocument/2006/relationships/hyperlink" Target="javascript:void(0);" TargetMode="External"/><Relationship Id="rId2419" Type="http://schemas.openxmlformats.org/officeDocument/2006/relationships/hyperlink" Target="javascript:void(0);" TargetMode="External"/><Relationship Id="rId74" Type="http://schemas.openxmlformats.org/officeDocument/2006/relationships/hyperlink" Target="javascript:void(0);" TargetMode="External"/><Relationship Id="rId500" Type="http://schemas.openxmlformats.org/officeDocument/2006/relationships/hyperlink" Target="javascript:void(0);" TargetMode="External"/><Relationship Id="rId805" Type="http://schemas.openxmlformats.org/officeDocument/2006/relationships/hyperlink" Target="javascript:void(0);" TargetMode="External"/><Relationship Id="rId1130" Type="http://schemas.openxmlformats.org/officeDocument/2006/relationships/hyperlink" Target="javascript:void(0);" TargetMode="External"/><Relationship Id="rId1228" Type="http://schemas.openxmlformats.org/officeDocument/2006/relationships/hyperlink" Target="javascript:void(0);" TargetMode="External"/><Relationship Id="rId1435" Type="http://schemas.openxmlformats.org/officeDocument/2006/relationships/hyperlink" Target="javascript:void(0);" TargetMode="External"/><Relationship Id="rId1642" Type="http://schemas.openxmlformats.org/officeDocument/2006/relationships/hyperlink" Target="javascript:void(0);" TargetMode="External"/><Relationship Id="rId1947" Type="http://schemas.openxmlformats.org/officeDocument/2006/relationships/hyperlink" Target="javascript:void(0);" TargetMode="External"/><Relationship Id="rId1502" Type="http://schemas.openxmlformats.org/officeDocument/2006/relationships/hyperlink" Target="javascript:void(0);" TargetMode="External"/><Relationship Id="rId1807" Type="http://schemas.openxmlformats.org/officeDocument/2006/relationships/hyperlink" Target="javascript:void(0);" TargetMode="External"/><Relationship Id="rId290" Type="http://schemas.openxmlformats.org/officeDocument/2006/relationships/hyperlink" Target="javascript:void(0);" TargetMode="External"/><Relationship Id="rId388" Type="http://schemas.openxmlformats.org/officeDocument/2006/relationships/hyperlink" Target="javascript:void(0);" TargetMode="External"/><Relationship Id="rId2069" Type="http://schemas.openxmlformats.org/officeDocument/2006/relationships/hyperlink" Target="javascript:void(0);" TargetMode="External"/><Relationship Id="rId150" Type="http://schemas.openxmlformats.org/officeDocument/2006/relationships/hyperlink" Target="javascript:void(0);" TargetMode="External"/><Relationship Id="rId595" Type="http://schemas.openxmlformats.org/officeDocument/2006/relationships/hyperlink" Target="javascript:void(0);" TargetMode="External"/><Relationship Id="rId2276" Type="http://schemas.openxmlformats.org/officeDocument/2006/relationships/hyperlink" Target="javascript:void(0);" TargetMode="External"/><Relationship Id="rId248" Type="http://schemas.openxmlformats.org/officeDocument/2006/relationships/hyperlink" Target="javascript:void(0);" TargetMode="External"/><Relationship Id="rId455" Type="http://schemas.openxmlformats.org/officeDocument/2006/relationships/hyperlink" Target="javascript:void(0);" TargetMode="External"/><Relationship Id="rId662" Type="http://schemas.openxmlformats.org/officeDocument/2006/relationships/hyperlink" Target="javascript:void(0);" TargetMode="External"/><Relationship Id="rId1085" Type="http://schemas.openxmlformats.org/officeDocument/2006/relationships/hyperlink" Target="javascript:void(0);" TargetMode="External"/><Relationship Id="rId1292" Type="http://schemas.openxmlformats.org/officeDocument/2006/relationships/hyperlink" Target="javascript:void(0);" TargetMode="External"/><Relationship Id="rId2136" Type="http://schemas.openxmlformats.org/officeDocument/2006/relationships/hyperlink" Target="javascript:void(0);" TargetMode="External"/><Relationship Id="rId2343" Type="http://schemas.openxmlformats.org/officeDocument/2006/relationships/hyperlink" Target="javascript:void(0);" TargetMode="External"/><Relationship Id="rId108" Type="http://schemas.openxmlformats.org/officeDocument/2006/relationships/hyperlink" Target="javascript:void(0);" TargetMode="External"/><Relationship Id="rId315" Type="http://schemas.openxmlformats.org/officeDocument/2006/relationships/hyperlink" Target="javascript:void(0);" TargetMode="External"/><Relationship Id="rId522" Type="http://schemas.openxmlformats.org/officeDocument/2006/relationships/hyperlink" Target="javascript:void(0);" TargetMode="External"/><Relationship Id="rId967" Type="http://schemas.openxmlformats.org/officeDocument/2006/relationships/hyperlink" Target="javascript:void(0);" TargetMode="External"/><Relationship Id="rId1152" Type="http://schemas.openxmlformats.org/officeDocument/2006/relationships/hyperlink" Target="javascript:void(0);" TargetMode="External"/><Relationship Id="rId1597" Type="http://schemas.openxmlformats.org/officeDocument/2006/relationships/hyperlink" Target="javascript:void(0);" TargetMode="External"/><Relationship Id="rId2203" Type="http://schemas.openxmlformats.org/officeDocument/2006/relationships/hyperlink" Target="javascript:void(0);" TargetMode="External"/><Relationship Id="rId2410" Type="http://schemas.openxmlformats.org/officeDocument/2006/relationships/hyperlink" Target="javascript:void(0);" TargetMode="External"/><Relationship Id="rId96" Type="http://schemas.openxmlformats.org/officeDocument/2006/relationships/hyperlink" Target="javascript:void(0);" TargetMode="External"/><Relationship Id="rId827" Type="http://schemas.openxmlformats.org/officeDocument/2006/relationships/hyperlink" Target="javascript:void(0);" TargetMode="External"/><Relationship Id="rId1012" Type="http://schemas.openxmlformats.org/officeDocument/2006/relationships/hyperlink" Target="javascript:void(0);" TargetMode="External"/><Relationship Id="rId1457" Type="http://schemas.openxmlformats.org/officeDocument/2006/relationships/hyperlink" Target="javascript:void(0);" TargetMode="External"/><Relationship Id="rId1664" Type="http://schemas.openxmlformats.org/officeDocument/2006/relationships/hyperlink" Target="javascript:void(0);" TargetMode="External"/><Relationship Id="rId1871" Type="http://schemas.openxmlformats.org/officeDocument/2006/relationships/hyperlink" Target="javascript:void(0);" TargetMode="External"/><Relationship Id="rId1317" Type="http://schemas.openxmlformats.org/officeDocument/2006/relationships/hyperlink" Target="javascript:void(0);" TargetMode="External"/><Relationship Id="rId1524" Type="http://schemas.openxmlformats.org/officeDocument/2006/relationships/hyperlink" Target="javascript:void(0);" TargetMode="External"/><Relationship Id="rId1731" Type="http://schemas.openxmlformats.org/officeDocument/2006/relationships/hyperlink" Target="javascript:void(0);" TargetMode="External"/><Relationship Id="rId1969" Type="http://schemas.openxmlformats.org/officeDocument/2006/relationships/hyperlink" Target="javascript:void(0);" TargetMode="External"/><Relationship Id="rId23" Type="http://schemas.openxmlformats.org/officeDocument/2006/relationships/hyperlink" Target="javascript:void(0);" TargetMode="External"/><Relationship Id="rId1829" Type="http://schemas.openxmlformats.org/officeDocument/2006/relationships/hyperlink" Target="javascript:void(0);" TargetMode="External"/><Relationship Id="rId2298" Type="http://schemas.openxmlformats.org/officeDocument/2006/relationships/hyperlink" Target="javascript:void(0);" TargetMode="External"/><Relationship Id="rId172" Type="http://schemas.openxmlformats.org/officeDocument/2006/relationships/hyperlink" Target="javascript:void(0);" TargetMode="External"/><Relationship Id="rId477" Type="http://schemas.openxmlformats.org/officeDocument/2006/relationships/hyperlink" Target="javascript:void(0);" TargetMode="External"/><Relationship Id="rId684" Type="http://schemas.openxmlformats.org/officeDocument/2006/relationships/hyperlink" Target="javascript:void(0);" TargetMode="External"/><Relationship Id="rId2060" Type="http://schemas.openxmlformats.org/officeDocument/2006/relationships/hyperlink" Target="javascript:void(0);" TargetMode="External"/><Relationship Id="rId2158" Type="http://schemas.openxmlformats.org/officeDocument/2006/relationships/hyperlink" Target="javascript:void(0);" TargetMode="External"/><Relationship Id="rId2365" Type="http://schemas.openxmlformats.org/officeDocument/2006/relationships/hyperlink" Target="javascript:void(0);" TargetMode="External"/><Relationship Id="rId337" Type="http://schemas.openxmlformats.org/officeDocument/2006/relationships/hyperlink" Target="javascript:void(0);" TargetMode="External"/><Relationship Id="rId891" Type="http://schemas.openxmlformats.org/officeDocument/2006/relationships/hyperlink" Target="javascript:void(0);" TargetMode="External"/><Relationship Id="rId989" Type="http://schemas.openxmlformats.org/officeDocument/2006/relationships/hyperlink" Target="javascript:void(0);" TargetMode="External"/><Relationship Id="rId2018" Type="http://schemas.openxmlformats.org/officeDocument/2006/relationships/hyperlink" Target="javascript:void(0);" TargetMode="External"/><Relationship Id="rId544" Type="http://schemas.openxmlformats.org/officeDocument/2006/relationships/hyperlink" Target="javascript:void(0);" TargetMode="External"/><Relationship Id="rId751" Type="http://schemas.openxmlformats.org/officeDocument/2006/relationships/hyperlink" Target="javascript:void(0);" TargetMode="External"/><Relationship Id="rId849" Type="http://schemas.openxmlformats.org/officeDocument/2006/relationships/hyperlink" Target="javascript:void(0);" TargetMode="External"/><Relationship Id="rId1174" Type="http://schemas.openxmlformats.org/officeDocument/2006/relationships/hyperlink" Target="javascript:void(0);" TargetMode="External"/><Relationship Id="rId1381" Type="http://schemas.openxmlformats.org/officeDocument/2006/relationships/hyperlink" Target="javascript:void(0);" TargetMode="External"/><Relationship Id="rId1479" Type="http://schemas.openxmlformats.org/officeDocument/2006/relationships/hyperlink" Target="javascript:void(0);" TargetMode="External"/><Relationship Id="rId1686" Type="http://schemas.openxmlformats.org/officeDocument/2006/relationships/hyperlink" Target="javascript:void(0);" TargetMode="External"/><Relationship Id="rId2225" Type="http://schemas.openxmlformats.org/officeDocument/2006/relationships/hyperlink" Target="javascript:void(0);" TargetMode="External"/><Relationship Id="rId2432" Type="http://schemas.openxmlformats.org/officeDocument/2006/relationships/hyperlink" Target="javascript:void(0);" TargetMode="External"/><Relationship Id="rId404" Type="http://schemas.openxmlformats.org/officeDocument/2006/relationships/hyperlink" Target="javascript:void(0);" TargetMode="External"/><Relationship Id="rId611" Type="http://schemas.openxmlformats.org/officeDocument/2006/relationships/hyperlink" Target="javascript:void(0);" TargetMode="External"/><Relationship Id="rId1034" Type="http://schemas.openxmlformats.org/officeDocument/2006/relationships/hyperlink" Target="javascript:void(0);" TargetMode="External"/><Relationship Id="rId1241" Type="http://schemas.openxmlformats.org/officeDocument/2006/relationships/hyperlink" Target="javascript:void(0);" TargetMode="External"/><Relationship Id="rId1339" Type="http://schemas.openxmlformats.org/officeDocument/2006/relationships/hyperlink" Target="javascript:void(0);" TargetMode="External"/><Relationship Id="rId1893" Type="http://schemas.openxmlformats.org/officeDocument/2006/relationships/hyperlink" Target="javascript:void(0);" TargetMode="External"/><Relationship Id="rId709" Type="http://schemas.openxmlformats.org/officeDocument/2006/relationships/hyperlink" Target="javascript:void(0);" TargetMode="External"/><Relationship Id="rId916" Type="http://schemas.openxmlformats.org/officeDocument/2006/relationships/hyperlink" Target="javascript:void(0);" TargetMode="External"/><Relationship Id="rId1101" Type="http://schemas.openxmlformats.org/officeDocument/2006/relationships/hyperlink" Target="javascript:void(0);" TargetMode="External"/><Relationship Id="rId1546" Type="http://schemas.openxmlformats.org/officeDocument/2006/relationships/hyperlink" Target="javascript:void(0);" TargetMode="External"/><Relationship Id="rId1753" Type="http://schemas.openxmlformats.org/officeDocument/2006/relationships/hyperlink" Target="javascript:void(0);" TargetMode="External"/><Relationship Id="rId1960" Type="http://schemas.openxmlformats.org/officeDocument/2006/relationships/hyperlink" Target="javascript:void(0);" TargetMode="External"/><Relationship Id="rId45" Type="http://schemas.openxmlformats.org/officeDocument/2006/relationships/hyperlink" Target="javascript:void(0);" TargetMode="External"/><Relationship Id="rId1406" Type="http://schemas.openxmlformats.org/officeDocument/2006/relationships/hyperlink" Target="javascript:void(0);" TargetMode="External"/><Relationship Id="rId1613" Type="http://schemas.openxmlformats.org/officeDocument/2006/relationships/hyperlink" Target="javascript:void(0);" TargetMode="External"/><Relationship Id="rId1820" Type="http://schemas.openxmlformats.org/officeDocument/2006/relationships/hyperlink" Target="javascript:void(0);" TargetMode="External"/><Relationship Id="rId194" Type="http://schemas.openxmlformats.org/officeDocument/2006/relationships/hyperlink" Target="javascript:void(0);" TargetMode="External"/><Relationship Id="rId1918" Type="http://schemas.openxmlformats.org/officeDocument/2006/relationships/hyperlink" Target="javascript:void(0);" TargetMode="External"/><Relationship Id="rId2082" Type="http://schemas.openxmlformats.org/officeDocument/2006/relationships/hyperlink" Target="javascript:void(0);" TargetMode="External"/><Relationship Id="rId261" Type="http://schemas.openxmlformats.org/officeDocument/2006/relationships/hyperlink" Target="javascript:void(0);" TargetMode="External"/><Relationship Id="rId499" Type="http://schemas.openxmlformats.org/officeDocument/2006/relationships/hyperlink" Target="javascript:void(0);" TargetMode="External"/><Relationship Id="rId2387" Type="http://schemas.openxmlformats.org/officeDocument/2006/relationships/hyperlink" Target="javascript:void(0);" TargetMode="External"/><Relationship Id="rId359" Type="http://schemas.openxmlformats.org/officeDocument/2006/relationships/hyperlink" Target="javascript:void(0);" TargetMode="External"/><Relationship Id="rId566" Type="http://schemas.openxmlformats.org/officeDocument/2006/relationships/hyperlink" Target="javascript:void(0);" TargetMode="External"/><Relationship Id="rId773" Type="http://schemas.openxmlformats.org/officeDocument/2006/relationships/hyperlink" Target="javascript:void(0);" TargetMode="External"/><Relationship Id="rId1196" Type="http://schemas.openxmlformats.org/officeDocument/2006/relationships/hyperlink" Target="javascript:void(0);" TargetMode="External"/><Relationship Id="rId2247" Type="http://schemas.openxmlformats.org/officeDocument/2006/relationships/hyperlink" Target="javascript:void(0);" TargetMode="External"/><Relationship Id="rId2454" Type="http://schemas.openxmlformats.org/officeDocument/2006/relationships/hyperlink" Target="javascript:void(0);" TargetMode="External"/><Relationship Id="rId121" Type="http://schemas.openxmlformats.org/officeDocument/2006/relationships/hyperlink" Target="javascript:void(0);" TargetMode="External"/><Relationship Id="rId219" Type="http://schemas.openxmlformats.org/officeDocument/2006/relationships/hyperlink" Target="javascript:void(0);" TargetMode="External"/><Relationship Id="rId426" Type="http://schemas.openxmlformats.org/officeDocument/2006/relationships/hyperlink" Target="javascript:void(0);" TargetMode="External"/><Relationship Id="rId633" Type="http://schemas.openxmlformats.org/officeDocument/2006/relationships/hyperlink" Target="javascript:void(0);" TargetMode="External"/><Relationship Id="rId980" Type="http://schemas.openxmlformats.org/officeDocument/2006/relationships/hyperlink" Target="javascript:void(0);" TargetMode="External"/><Relationship Id="rId1056" Type="http://schemas.openxmlformats.org/officeDocument/2006/relationships/hyperlink" Target="javascript:void(0);" TargetMode="External"/><Relationship Id="rId1263" Type="http://schemas.openxmlformats.org/officeDocument/2006/relationships/hyperlink" Target="javascript:void(0);" TargetMode="External"/><Relationship Id="rId2107" Type="http://schemas.openxmlformats.org/officeDocument/2006/relationships/hyperlink" Target="javascript:void(0);" TargetMode="External"/><Relationship Id="rId2314" Type="http://schemas.openxmlformats.org/officeDocument/2006/relationships/hyperlink" Target="javascript:void(0);" TargetMode="External"/><Relationship Id="rId840" Type="http://schemas.openxmlformats.org/officeDocument/2006/relationships/hyperlink" Target="javascript:void(0);" TargetMode="External"/><Relationship Id="rId938" Type="http://schemas.openxmlformats.org/officeDocument/2006/relationships/hyperlink" Target="javascript:void(0);" TargetMode="External"/><Relationship Id="rId1470" Type="http://schemas.openxmlformats.org/officeDocument/2006/relationships/hyperlink" Target="javascript:void(0);" TargetMode="External"/><Relationship Id="rId1568" Type="http://schemas.openxmlformats.org/officeDocument/2006/relationships/hyperlink" Target="javascript:void(0);" TargetMode="External"/><Relationship Id="rId1775" Type="http://schemas.openxmlformats.org/officeDocument/2006/relationships/hyperlink" Target="javascript:void(0);" TargetMode="External"/><Relationship Id="rId67" Type="http://schemas.openxmlformats.org/officeDocument/2006/relationships/hyperlink" Target="javascript:void(0);" TargetMode="External"/><Relationship Id="rId700" Type="http://schemas.openxmlformats.org/officeDocument/2006/relationships/hyperlink" Target="javascript:void(0);" TargetMode="External"/><Relationship Id="rId1123" Type="http://schemas.openxmlformats.org/officeDocument/2006/relationships/hyperlink" Target="javascript:void(0);" TargetMode="External"/><Relationship Id="rId1330" Type="http://schemas.openxmlformats.org/officeDocument/2006/relationships/hyperlink" Target="javascript:void(0);" TargetMode="External"/><Relationship Id="rId1428" Type="http://schemas.openxmlformats.org/officeDocument/2006/relationships/hyperlink" Target="javascript:void(0);" TargetMode="External"/><Relationship Id="rId1635" Type="http://schemas.openxmlformats.org/officeDocument/2006/relationships/hyperlink" Target="javascript:void(0);" TargetMode="External"/><Relationship Id="rId1982" Type="http://schemas.openxmlformats.org/officeDocument/2006/relationships/hyperlink" Target="javascript:void(0);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sports.yahoo.com/nhl/teams/nyi" TargetMode="External"/><Relationship Id="rId13" Type="http://schemas.openxmlformats.org/officeDocument/2006/relationships/hyperlink" Target="http://sports.yahoo.com/nhl/teams/ott" TargetMode="External"/><Relationship Id="rId18" Type="http://schemas.openxmlformats.org/officeDocument/2006/relationships/hyperlink" Target="http://sports.yahoo.com/nhl/teams/wpg" TargetMode="External"/><Relationship Id="rId3" Type="http://schemas.openxmlformats.org/officeDocument/2006/relationships/hyperlink" Target="http://sports.yahoo.com/nhl/stats/byteam?cat=teamstats&amp;conference=NHL&amp;year=season_2014&amp;cut_type=0&amp;sort=406" TargetMode="External"/><Relationship Id="rId21" Type="http://schemas.openxmlformats.org/officeDocument/2006/relationships/hyperlink" Target="http://sports.yahoo.com/nhl/teams/mon" TargetMode="External"/><Relationship Id="rId7" Type="http://schemas.openxmlformats.org/officeDocument/2006/relationships/hyperlink" Target="http://sports.yahoo.com/nhl/teams/nyr" TargetMode="External"/><Relationship Id="rId12" Type="http://schemas.openxmlformats.org/officeDocument/2006/relationships/hyperlink" Target="http://sports.yahoo.com/nhl/teams/van" TargetMode="External"/><Relationship Id="rId17" Type="http://schemas.openxmlformats.org/officeDocument/2006/relationships/hyperlink" Target="http://sports.yahoo.com/nhl/teams/nas" TargetMode="External"/><Relationship Id="rId2" Type="http://schemas.openxmlformats.org/officeDocument/2006/relationships/hyperlink" Target="http://sports.yahoo.com/nhl/stats/byteam?cat=teamstats&amp;conference=NHL&amp;year=season_2014&amp;cut_type=0&amp;sort=400" TargetMode="External"/><Relationship Id="rId16" Type="http://schemas.openxmlformats.org/officeDocument/2006/relationships/hyperlink" Target="http://sports.yahoo.com/nhl/teams/min" TargetMode="External"/><Relationship Id="rId20" Type="http://schemas.openxmlformats.org/officeDocument/2006/relationships/hyperlink" Target="http://sports.yahoo.com/nhl/teams/pit" TargetMode="External"/><Relationship Id="rId1" Type="http://schemas.openxmlformats.org/officeDocument/2006/relationships/hyperlink" Target="http://sports.yahoo.com/nhl/stats/byteam" TargetMode="External"/><Relationship Id="rId6" Type="http://schemas.openxmlformats.org/officeDocument/2006/relationships/hyperlink" Target="http://sports.yahoo.com/nhl/teams/tam" TargetMode="External"/><Relationship Id="rId11" Type="http://schemas.openxmlformats.org/officeDocument/2006/relationships/hyperlink" Target="http://sports.yahoo.com/nhl/teams/cgy" TargetMode="External"/><Relationship Id="rId5" Type="http://schemas.openxmlformats.org/officeDocument/2006/relationships/hyperlink" Target="http://sports.yahoo.com/nhl/stats/byteam?cat=teamstats&amp;conference=NHL&amp;year=season_2014&amp;cut_type=0&amp;sort=444" TargetMode="External"/><Relationship Id="rId15" Type="http://schemas.openxmlformats.org/officeDocument/2006/relationships/hyperlink" Target="http://sports.yahoo.com/nhl/teams/ana" TargetMode="External"/><Relationship Id="rId10" Type="http://schemas.openxmlformats.org/officeDocument/2006/relationships/hyperlink" Target="http://sports.yahoo.com/nhl/teams/was" TargetMode="External"/><Relationship Id="rId19" Type="http://schemas.openxmlformats.org/officeDocument/2006/relationships/hyperlink" Target="http://sports.yahoo.com/nhl/teams/chi" TargetMode="External"/><Relationship Id="rId4" Type="http://schemas.openxmlformats.org/officeDocument/2006/relationships/hyperlink" Target="http://sports.yahoo.com/nhl/stats/byteam?cat=teamstats&amp;conference=NHL&amp;year=season_2014&amp;cut_type=0&amp;sort=443" TargetMode="External"/><Relationship Id="rId9" Type="http://schemas.openxmlformats.org/officeDocument/2006/relationships/hyperlink" Target="http://sports.yahoo.com/nhl/teams/stl" TargetMode="External"/><Relationship Id="rId14" Type="http://schemas.openxmlformats.org/officeDocument/2006/relationships/hyperlink" Target="http://sports.yahoo.com/nhl/teams/det" TargetMode="External"/></Relationships>
</file>

<file path=xl/worksheets/_rels/sheet3.xml.rels><?xml version="1.0" encoding="UTF-8" standalone="yes"?>
<Relationships xmlns="http://schemas.openxmlformats.org/package/2006/relationships"><Relationship Id="rId1522" Type="http://schemas.openxmlformats.org/officeDocument/2006/relationships/hyperlink" Target="http://sports.yahoo.com/nhl/players/5013" TargetMode="External"/><Relationship Id="rId21" Type="http://schemas.openxmlformats.org/officeDocument/2006/relationships/hyperlink" Target="http://sports.yahoo.com/nhl/teams/cgy" TargetMode="External"/><Relationship Id="rId170" Type="http://schemas.openxmlformats.org/officeDocument/2006/relationships/hyperlink" Target="http://sports.yahoo.com/nhl/players/3344" TargetMode="External"/><Relationship Id="rId268" Type="http://schemas.openxmlformats.org/officeDocument/2006/relationships/hyperlink" Target="http://sports.yahoo.com/nhl/players/3947" TargetMode="External"/><Relationship Id="rId475" Type="http://schemas.openxmlformats.org/officeDocument/2006/relationships/hyperlink" Target="http://sports.yahoo.com/nhl/teams/ari" TargetMode="External"/><Relationship Id="rId682" Type="http://schemas.openxmlformats.org/officeDocument/2006/relationships/hyperlink" Target="http://sports.yahoo.com/nhl/players/5480" TargetMode="External"/><Relationship Id="rId128" Type="http://schemas.openxmlformats.org/officeDocument/2006/relationships/hyperlink" Target="http://sports.yahoo.com/nhl/players/4683" TargetMode="External"/><Relationship Id="rId335" Type="http://schemas.openxmlformats.org/officeDocument/2006/relationships/hyperlink" Target="http://sports.yahoo.com/nhl/teams/col" TargetMode="External"/><Relationship Id="rId542" Type="http://schemas.openxmlformats.org/officeDocument/2006/relationships/hyperlink" Target="http://sports.yahoo.com/nhl/players/6391" TargetMode="External"/><Relationship Id="rId987" Type="http://schemas.openxmlformats.org/officeDocument/2006/relationships/hyperlink" Target="http://sports.yahoo.com/nhl/teams/pit" TargetMode="External"/><Relationship Id="rId1172" Type="http://schemas.openxmlformats.org/officeDocument/2006/relationships/hyperlink" Target="http://sports.yahoo.com/nhl/players/4713" TargetMode="External"/><Relationship Id="rId402" Type="http://schemas.openxmlformats.org/officeDocument/2006/relationships/hyperlink" Target="http://sports.yahoo.com/nhl/players/3938" TargetMode="External"/><Relationship Id="rId847" Type="http://schemas.openxmlformats.org/officeDocument/2006/relationships/hyperlink" Target="http://sports.yahoo.com/nhl/teams/los" TargetMode="External"/><Relationship Id="rId1032" Type="http://schemas.openxmlformats.org/officeDocument/2006/relationships/hyperlink" Target="http://sports.yahoo.com/nhl/players/5560" TargetMode="External"/><Relationship Id="rId1477" Type="http://schemas.openxmlformats.org/officeDocument/2006/relationships/hyperlink" Target="http://sports.yahoo.com/nhl/teams/los" TargetMode="External"/><Relationship Id="rId1684" Type="http://schemas.openxmlformats.org/officeDocument/2006/relationships/hyperlink" Target="http://sports.yahoo.com/nhl/players/5439" TargetMode="External"/><Relationship Id="rId707" Type="http://schemas.openxmlformats.org/officeDocument/2006/relationships/hyperlink" Target="http://sports.yahoo.com/nhl/teams/phi" TargetMode="External"/><Relationship Id="rId914" Type="http://schemas.openxmlformats.org/officeDocument/2006/relationships/hyperlink" Target="http://sports.yahoo.com/nhl/players/2124" TargetMode="External"/><Relationship Id="rId1337" Type="http://schemas.openxmlformats.org/officeDocument/2006/relationships/hyperlink" Target="http://sports.yahoo.com/nhl/teams/dal" TargetMode="External"/><Relationship Id="rId1544" Type="http://schemas.openxmlformats.org/officeDocument/2006/relationships/hyperlink" Target="http://sports.yahoo.com/nhl/players/4444" TargetMode="External"/><Relationship Id="rId1751" Type="http://schemas.openxmlformats.org/officeDocument/2006/relationships/hyperlink" Target="http://sports.yahoo.com/nhl/teams/nas" TargetMode="External"/><Relationship Id="rId43" Type="http://schemas.openxmlformats.org/officeDocument/2006/relationships/hyperlink" Target="http://sports.yahoo.com/nhl/teams/ana" TargetMode="External"/><Relationship Id="rId1404" Type="http://schemas.openxmlformats.org/officeDocument/2006/relationships/hyperlink" Target="http://sports.yahoo.com/nhl/players/5643" TargetMode="External"/><Relationship Id="rId1611" Type="http://schemas.openxmlformats.org/officeDocument/2006/relationships/hyperlink" Target="http://sports.yahoo.com/nhl/teams/nyr" TargetMode="External"/><Relationship Id="rId192" Type="http://schemas.openxmlformats.org/officeDocument/2006/relationships/hyperlink" Target="http://sports.yahoo.com/nhl/players/5020" TargetMode="External"/><Relationship Id="rId1709" Type="http://schemas.openxmlformats.org/officeDocument/2006/relationships/hyperlink" Target="http://sports.yahoo.com/nhl/teams/cgy" TargetMode="External"/><Relationship Id="rId497" Type="http://schemas.openxmlformats.org/officeDocument/2006/relationships/hyperlink" Target="http://sports.yahoo.com/nhl/teams/buf" TargetMode="External"/><Relationship Id="rId357" Type="http://schemas.openxmlformats.org/officeDocument/2006/relationships/hyperlink" Target="http://sports.yahoo.com/nhl/teams/phi" TargetMode="External"/><Relationship Id="rId1194" Type="http://schemas.openxmlformats.org/officeDocument/2006/relationships/hyperlink" Target="http://sports.yahoo.com/nhl/players/5953" TargetMode="External"/><Relationship Id="rId217" Type="http://schemas.openxmlformats.org/officeDocument/2006/relationships/hyperlink" Target="http://sports.yahoo.com/nhl/teams/was" TargetMode="External"/><Relationship Id="rId564" Type="http://schemas.openxmlformats.org/officeDocument/2006/relationships/hyperlink" Target="http://sports.yahoo.com/nhl/players/5648" TargetMode="External"/><Relationship Id="rId771" Type="http://schemas.openxmlformats.org/officeDocument/2006/relationships/hyperlink" Target="http://sports.yahoo.com/nhl/teams/nas" TargetMode="External"/><Relationship Id="rId869" Type="http://schemas.openxmlformats.org/officeDocument/2006/relationships/hyperlink" Target="http://sports.yahoo.com/nhl/teams/min" TargetMode="External"/><Relationship Id="rId1499" Type="http://schemas.openxmlformats.org/officeDocument/2006/relationships/hyperlink" Target="http://sports.yahoo.com/nhl/teams/col" TargetMode="External"/><Relationship Id="rId424" Type="http://schemas.openxmlformats.org/officeDocument/2006/relationships/hyperlink" Target="http://sports.yahoo.com/nhl/players/4079" TargetMode="External"/><Relationship Id="rId631" Type="http://schemas.openxmlformats.org/officeDocument/2006/relationships/hyperlink" Target="http://sports.yahoo.com/nhl/teams/cgy" TargetMode="External"/><Relationship Id="rId729" Type="http://schemas.openxmlformats.org/officeDocument/2006/relationships/hyperlink" Target="http://sports.yahoo.com/nhl/teams/nyi" TargetMode="External"/><Relationship Id="rId1054" Type="http://schemas.openxmlformats.org/officeDocument/2006/relationships/hyperlink" Target="http://sports.yahoo.com/nhl/players/4989" TargetMode="External"/><Relationship Id="rId1261" Type="http://schemas.openxmlformats.org/officeDocument/2006/relationships/hyperlink" Target="http://sports.yahoo.com/nhl/teams/njd" TargetMode="External"/><Relationship Id="rId1359" Type="http://schemas.openxmlformats.org/officeDocument/2006/relationships/hyperlink" Target="http://sports.yahoo.com/nhl/teams/buf" TargetMode="External"/><Relationship Id="rId936" Type="http://schemas.openxmlformats.org/officeDocument/2006/relationships/hyperlink" Target="http://sports.yahoo.com/nhl/players/1963" TargetMode="External"/><Relationship Id="rId1121" Type="http://schemas.openxmlformats.org/officeDocument/2006/relationships/hyperlink" Target="http://sports.yahoo.com/nhl/teams/stl" TargetMode="External"/><Relationship Id="rId1219" Type="http://schemas.openxmlformats.org/officeDocument/2006/relationships/hyperlink" Target="http://sports.yahoo.com/nhl/teams/car" TargetMode="External"/><Relationship Id="rId1566" Type="http://schemas.openxmlformats.org/officeDocument/2006/relationships/hyperlink" Target="http://sports.yahoo.com/nhl/players/5308" TargetMode="External"/><Relationship Id="rId65" Type="http://schemas.openxmlformats.org/officeDocument/2006/relationships/hyperlink" Target="http://sports.yahoo.com/nhl/teams/ott" TargetMode="External"/><Relationship Id="rId1426" Type="http://schemas.openxmlformats.org/officeDocument/2006/relationships/hyperlink" Target="http://sports.yahoo.com/nhl/players/4585" TargetMode="External"/><Relationship Id="rId1633" Type="http://schemas.openxmlformats.org/officeDocument/2006/relationships/hyperlink" Target="http://sports.yahoo.com/nhl/teams/tor" TargetMode="External"/><Relationship Id="rId1700" Type="http://schemas.openxmlformats.org/officeDocument/2006/relationships/hyperlink" Target="http://sports.yahoo.com/nhl/players/4705" TargetMode="External"/><Relationship Id="rId281" Type="http://schemas.openxmlformats.org/officeDocument/2006/relationships/hyperlink" Target="http://sports.yahoo.com/nhl/teams/nyi" TargetMode="External"/><Relationship Id="rId141" Type="http://schemas.openxmlformats.org/officeDocument/2006/relationships/hyperlink" Target="http://sports.yahoo.com/nhl/teams/bos" TargetMode="External"/><Relationship Id="rId379" Type="http://schemas.openxmlformats.org/officeDocument/2006/relationships/hyperlink" Target="http://sports.yahoo.com/nhl/teams/nas" TargetMode="External"/><Relationship Id="rId586" Type="http://schemas.openxmlformats.org/officeDocument/2006/relationships/hyperlink" Target="http://sports.yahoo.com/nhl/players/5988" TargetMode="External"/><Relationship Id="rId793" Type="http://schemas.openxmlformats.org/officeDocument/2006/relationships/hyperlink" Target="http://sports.yahoo.com/nhl/teams/stl" TargetMode="External"/><Relationship Id="rId7" Type="http://schemas.openxmlformats.org/officeDocument/2006/relationships/hyperlink" Target="http://sports.yahoo.com/nhl/teams/dal" TargetMode="External"/><Relationship Id="rId239" Type="http://schemas.openxmlformats.org/officeDocument/2006/relationships/hyperlink" Target="http://sports.yahoo.com/nhl/teams/nas" TargetMode="External"/><Relationship Id="rId446" Type="http://schemas.openxmlformats.org/officeDocument/2006/relationships/hyperlink" Target="http://sports.yahoo.com/nhl/players/4021" TargetMode="External"/><Relationship Id="rId653" Type="http://schemas.openxmlformats.org/officeDocument/2006/relationships/hyperlink" Target="http://sports.yahoo.com/nhl/teams/cob" TargetMode="External"/><Relationship Id="rId1076" Type="http://schemas.openxmlformats.org/officeDocument/2006/relationships/hyperlink" Target="http://sports.yahoo.com/nhl/players/2859" TargetMode="External"/><Relationship Id="rId1283" Type="http://schemas.openxmlformats.org/officeDocument/2006/relationships/hyperlink" Target="http://sports.yahoo.com/nhl/teams/mon" TargetMode="External"/><Relationship Id="rId1490" Type="http://schemas.openxmlformats.org/officeDocument/2006/relationships/hyperlink" Target="http://sports.yahoo.com/nhl/players/5989" TargetMode="External"/><Relationship Id="rId306" Type="http://schemas.openxmlformats.org/officeDocument/2006/relationships/hyperlink" Target="http://sports.yahoo.com/nhl/players/5104" TargetMode="External"/><Relationship Id="rId860" Type="http://schemas.openxmlformats.org/officeDocument/2006/relationships/hyperlink" Target="http://sports.yahoo.com/nhl/players/3912" TargetMode="External"/><Relationship Id="rId958" Type="http://schemas.openxmlformats.org/officeDocument/2006/relationships/hyperlink" Target="http://sports.yahoo.com/nhl/players/3109" TargetMode="External"/><Relationship Id="rId1143" Type="http://schemas.openxmlformats.org/officeDocument/2006/relationships/hyperlink" Target="http://sports.yahoo.com/nhl/teams/san" TargetMode="External"/><Relationship Id="rId1588" Type="http://schemas.openxmlformats.org/officeDocument/2006/relationships/hyperlink" Target="http://sports.yahoo.com/nhl/players/3785" TargetMode="External"/><Relationship Id="rId87" Type="http://schemas.openxmlformats.org/officeDocument/2006/relationships/hyperlink" Target="http://sports.yahoo.com/nhl/teams/nas" TargetMode="External"/><Relationship Id="rId513" Type="http://schemas.openxmlformats.org/officeDocument/2006/relationships/hyperlink" Target="http://sports.yahoo.com/nhl/teams/chi" TargetMode="External"/><Relationship Id="rId720" Type="http://schemas.openxmlformats.org/officeDocument/2006/relationships/hyperlink" Target="http://sports.yahoo.com/nhl/players/4671" TargetMode="External"/><Relationship Id="rId818" Type="http://schemas.openxmlformats.org/officeDocument/2006/relationships/hyperlink" Target="http://sports.yahoo.com/nhl/players/4194" TargetMode="External"/><Relationship Id="rId1350" Type="http://schemas.openxmlformats.org/officeDocument/2006/relationships/hyperlink" Target="http://sports.yahoo.com/nhl/players/5063" TargetMode="External"/><Relationship Id="rId1448" Type="http://schemas.openxmlformats.org/officeDocument/2006/relationships/hyperlink" Target="http://sports.yahoo.com/nhl/players/5102" TargetMode="External"/><Relationship Id="rId1655" Type="http://schemas.openxmlformats.org/officeDocument/2006/relationships/hyperlink" Target="http://sports.yahoo.com/nhl/teams/ana" TargetMode="External"/><Relationship Id="rId1003" Type="http://schemas.openxmlformats.org/officeDocument/2006/relationships/hyperlink" Target="http://sports.yahoo.com/nhl/teams/stl" TargetMode="External"/><Relationship Id="rId1210" Type="http://schemas.openxmlformats.org/officeDocument/2006/relationships/hyperlink" Target="http://sports.yahoo.com/nhl/players/3492" TargetMode="External"/><Relationship Id="rId1308" Type="http://schemas.openxmlformats.org/officeDocument/2006/relationships/hyperlink" Target="http://sports.yahoo.com/nhl/players/4973" TargetMode="External"/><Relationship Id="rId1515" Type="http://schemas.openxmlformats.org/officeDocument/2006/relationships/hyperlink" Target="http://sports.yahoo.com/nhl/teams/bos" TargetMode="External"/><Relationship Id="rId1722" Type="http://schemas.openxmlformats.org/officeDocument/2006/relationships/hyperlink" Target="http://sports.yahoo.com/nhl/players/5372" TargetMode="External"/><Relationship Id="rId14" Type="http://schemas.openxmlformats.org/officeDocument/2006/relationships/hyperlink" Target="http://sports.yahoo.com/nhl/players/3637" TargetMode="External"/><Relationship Id="rId163" Type="http://schemas.openxmlformats.org/officeDocument/2006/relationships/hyperlink" Target="http://sports.yahoo.com/nhl/teams/phi" TargetMode="External"/><Relationship Id="rId370" Type="http://schemas.openxmlformats.org/officeDocument/2006/relationships/hyperlink" Target="http://sports.yahoo.com/nhl/players/3091" TargetMode="External"/><Relationship Id="rId230" Type="http://schemas.openxmlformats.org/officeDocument/2006/relationships/hyperlink" Target="http://sports.yahoo.com/nhl/players/4023" TargetMode="External"/><Relationship Id="rId468" Type="http://schemas.openxmlformats.org/officeDocument/2006/relationships/hyperlink" Target="http://sports.yahoo.com/nhl/players/4188" TargetMode="External"/><Relationship Id="rId675" Type="http://schemas.openxmlformats.org/officeDocument/2006/relationships/hyperlink" Target="http://sports.yahoo.com/nhl/teams/buf" TargetMode="External"/><Relationship Id="rId882" Type="http://schemas.openxmlformats.org/officeDocument/2006/relationships/hyperlink" Target="http://sports.yahoo.com/nhl/players/5349" TargetMode="External"/><Relationship Id="rId1098" Type="http://schemas.openxmlformats.org/officeDocument/2006/relationships/hyperlink" Target="http://sports.yahoo.com/nhl/players/3013" TargetMode="External"/><Relationship Id="rId328" Type="http://schemas.openxmlformats.org/officeDocument/2006/relationships/hyperlink" Target="http://sports.yahoo.com/nhl/players/2411" TargetMode="External"/><Relationship Id="rId535" Type="http://schemas.openxmlformats.org/officeDocument/2006/relationships/hyperlink" Target="http://sports.yahoo.com/nhl/teams/fla" TargetMode="External"/><Relationship Id="rId742" Type="http://schemas.openxmlformats.org/officeDocument/2006/relationships/hyperlink" Target="http://sports.yahoo.com/nhl/players/4677" TargetMode="External"/><Relationship Id="rId1165" Type="http://schemas.openxmlformats.org/officeDocument/2006/relationships/hyperlink" Target="http://sports.yahoo.com/nhl/teams/tam" TargetMode="External"/><Relationship Id="rId1372" Type="http://schemas.openxmlformats.org/officeDocument/2006/relationships/hyperlink" Target="http://sports.yahoo.com/nhl/players/1764" TargetMode="External"/><Relationship Id="rId602" Type="http://schemas.openxmlformats.org/officeDocument/2006/relationships/hyperlink" Target="http://sports.yahoo.com/nhl/players/5227" TargetMode="External"/><Relationship Id="rId1025" Type="http://schemas.openxmlformats.org/officeDocument/2006/relationships/hyperlink" Target="http://sports.yahoo.com/nhl/teams/pit" TargetMode="External"/><Relationship Id="rId1232" Type="http://schemas.openxmlformats.org/officeDocument/2006/relationships/hyperlink" Target="http://sports.yahoo.com/nhl/players/5423" TargetMode="External"/><Relationship Id="rId1677" Type="http://schemas.openxmlformats.org/officeDocument/2006/relationships/hyperlink" Target="http://sports.yahoo.com/nhl/teams/cgy" TargetMode="External"/><Relationship Id="rId907" Type="http://schemas.openxmlformats.org/officeDocument/2006/relationships/hyperlink" Target="http://sports.yahoo.com/nhl/teams/pit" TargetMode="External"/><Relationship Id="rId1537" Type="http://schemas.openxmlformats.org/officeDocument/2006/relationships/hyperlink" Target="http://sports.yahoo.com/nhl/teams/van" TargetMode="External"/><Relationship Id="rId1744" Type="http://schemas.openxmlformats.org/officeDocument/2006/relationships/hyperlink" Target="http://sports.yahoo.com/nhl/players/5220" TargetMode="External"/><Relationship Id="rId36" Type="http://schemas.openxmlformats.org/officeDocument/2006/relationships/hyperlink" Target="http://sports.yahoo.com/nhl/players/4964" TargetMode="External"/><Relationship Id="rId1604" Type="http://schemas.openxmlformats.org/officeDocument/2006/relationships/hyperlink" Target="http://sports.yahoo.com/nhl/players/6063" TargetMode="External"/><Relationship Id="rId185" Type="http://schemas.openxmlformats.org/officeDocument/2006/relationships/hyperlink" Target="http://sports.yahoo.com/nhl/teams/tor" TargetMode="External"/><Relationship Id="rId392" Type="http://schemas.openxmlformats.org/officeDocument/2006/relationships/hyperlink" Target="http://sports.yahoo.com/nhl/players/3162" TargetMode="External"/><Relationship Id="rId697" Type="http://schemas.openxmlformats.org/officeDocument/2006/relationships/hyperlink" Target="http://sports.yahoo.com/nhl/teams/tor" TargetMode="External"/><Relationship Id="rId252" Type="http://schemas.openxmlformats.org/officeDocument/2006/relationships/hyperlink" Target="http://sports.yahoo.com/nhl/players/4306" TargetMode="External"/><Relationship Id="rId1187" Type="http://schemas.openxmlformats.org/officeDocument/2006/relationships/hyperlink" Target="http://sports.yahoo.com/nhl/teams/njd" TargetMode="External"/><Relationship Id="rId112" Type="http://schemas.openxmlformats.org/officeDocument/2006/relationships/hyperlink" Target="http://sports.yahoo.com/nhl/players/5363" TargetMode="External"/><Relationship Id="rId557" Type="http://schemas.openxmlformats.org/officeDocument/2006/relationships/hyperlink" Target="http://sports.yahoo.com/nhl/teams/cgy" TargetMode="External"/><Relationship Id="rId764" Type="http://schemas.openxmlformats.org/officeDocument/2006/relationships/hyperlink" Target="http://sports.yahoo.com/nhl/players/4881" TargetMode="External"/><Relationship Id="rId971" Type="http://schemas.openxmlformats.org/officeDocument/2006/relationships/hyperlink" Target="http://sports.yahoo.com/nhl/teams/col" TargetMode="External"/><Relationship Id="rId1394" Type="http://schemas.openxmlformats.org/officeDocument/2006/relationships/hyperlink" Target="http://sports.yahoo.com/nhl/players/5931" TargetMode="External"/><Relationship Id="rId1699" Type="http://schemas.openxmlformats.org/officeDocument/2006/relationships/hyperlink" Target="http://sports.yahoo.com/nhl/teams/pit" TargetMode="External"/><Relationship Id="rId417" Type="http://schemas.openxmlformats.org/officeDocument/2006/relationships/hyperlink" Target="http://sports.yahoo.com/nhl/teams/ana" TargetMode="External"/><Relationship Id="rId624" Type="http://schemas.openxmlformats.org/officeDocument/2006/relationships/hyperlink" Target="http://sports.yahoo.com/nhl/players/4633" TargetMode="External"/><Relationship Id="rId831" Type="http://schemas.openxmlformats.org/officeDocument/2006/relationships/hyperlink" Target="http://sports.yahoo.com/nhl/teams/tam" TargetMode="External"/><Relationship Id="rId1047" Type="http://schemas.openxmlformats.org/officeDocument/2006/relationships/hyperlink" Target="http://sports.yahoo.com/nhl/teams/chi" TargetMode="External"/><Relationship Id="rId1254" Type="http://schemas.openxmlformats.org/officeDocument/2006/relationships/hyperlink" Target="http://sports.yahoo.com/nhl/players/5044" TargetMode="External"/><Relationship Id="rId1461" Type="http://schemas.openxmlformats.org/officeDocument/2006/relationships/hyperlink" Target="http://sports.yahoo.com/nhl/teams/det" TargetMode="External"/><Relationship Id="rId929" Type="http://schemas.openxmlformats.org/officeDocument/2006/relationships/hyperlink" Target="http://sports.yahoo.com/nhl/teams/njd" TargetMode="External"/><Relationship Id="rId1114" Type="http://schemas.openxmlformats.org/officeDocument/2006/relationships/hyperlink" Target="http://sports.yahoo.com/nhl/players/4996" TargetMode="External"/><Relationship Id="rId1321" Type="http://schemas.openxmlformats.org/officeDocument/2006/relationships/hyperlink" Target="http://sports.yahoo.com/nhl/teams/fla" TargetMode="External"/><Relationship Id="rId1559" Type="http://schemas.openxmlformats.org/officeDocument/2006/relationships/hyperlink" Target="http://sports.yahoo.com/nhl/teams/van" TargetMode="External"/><Relationship Id="rId1766" Type="http://schemas.openxmlformats.org/officeDocument/2006/relationships/hyperlink" Target="http://sports.yahoo.com/nhl/players/4018" TargetMode="External"/><Relationship Id="rId58" Type="http://schemas.openxmlformats.org/officeDocument/2006/relationships/hyperlink" Target="http://sports.yahoo.com/nhl/players/2680" TargetMode="External"/><Relationship Id="rId1419" Type="http://schemas.openxmlformats.org/officeDocument/2006/relationships/hyperlink" Target="http://sports.yahoo.com/nhl/teams/stl" TargetMode="External"/><Relationship Id="rId1626" Type="http://schemas.openxmlformats.org/officeDocument/2006/relationships/hyperlink" Target="http://sports.yahoo.com/nhl/players/5078" TargetMode="External"/><Relationship Id="rId274" Type="http://schemas.openxmlformats.org/officeDocument/2006/relationships/hyperlink" Target="http://sports.yahoo.com/nhl/players/4351" TargetMode="External"/><Relationship Id="rId481" Type="http://schemas.openxmlformats.org/officeDocument/2006/relationships/hyperlink" Target="http://sports.yahoo.com/nhl/teams/edm" TargetMode="External"/><Relationship Id="rId69" Type="http://schemas.openxmlformats.org/officeDocument/2006/relationships/hyperlink" Target="http://sports.yahoo.com/nhl/teams/los" TargetMode="External"/><Relationship Id="rId134" Type="http://schemas.openxmlformats.org/officeDocument/2006/relationships/hyperlink" Target="http://sports.yahoo.com/nhl/players/4930" TargetMode="External"/><Relationship Id="rId579" Type="http://schemas.openxmlformats.org/officeDocument/2006/relationships/hyperlink" Target="http://sports.yahoo.com/nhl/teams/tor" TargetMode="External"/><Relationship Id="rId786" Type="http://schemas.openxmlformats.org/officeDocument/2006/relationships/hyperlink" Target="http://sports.yahoo.com/nhl/players/5403" TargetMode="External"/><Relationship Id="rId993" Type="http://schemas.openxmlformats.org/officeDocument/2006/relationships/hyperlink" Target="http://sports.yahoo.com/nhl/teams/phi" TargetMode="External"/><Relationship Id="rId1637" Type="http://schemas.openxmlformats.org/officeDocument/2006/relationships/hyperlink" Target="http://sports.yahoo.com/nhl/teams/phi" TargetMode="External"/><Relationship Id="rId341" Type="http://schemas.openxmlformats.org/officeDocument/2006/relationships/hyperlink" Target="http://sports.yahoo.com/nhl/teams/tam" TargetMode="External"/><Relationship Id="rId439" Type="http://schemas.openxmlformats.org/officeDocument/2006/relationships/hyperlink" Target="http://sports.yahoo.com/nhl/teams/nas" TargetMode="External"/><Relationship Id="rId646" Type="http://schemas.openxmlformats.org/officeDocument/2006/relationships/hyperlink" Target="http://sports.yahoo.com/nhl/players/4711" TargetMode="External"/><Relationship Id="rId1069" Type="http://schemas.openxmlformats.org/officeDocument/2006/relationships/hyperlink" Target="http://sports.yahoo.com/nhl/teams/los" TargetMode="External"/><Relationship Id="rId1276" Type="http://schemas.openxmlformats.org/officeDocument/2006/relationships/hyperlink" Target="http://sports.yahoo.com/nhl/players/1757" TargetMode="External"/><Relationship Id="rId1483" Type="http://schemas.openxmlformats.org/officeDocument/2006/relationships/hyperlink" Target="http://sports.yahoo.com/nhl/teams/fla" TargetMode="External"/><Relationship Id="rId1704" Type="http://schemas.openxmlformats.org/officeDocument/2006/relationships/hyperlink" Target="http://sports.yahoo.com/nhl/players/5769" TargetMode="External"/><Relationship Id="rId201" Type="http://schemas.openxmlformats.org/officeDocument/2006/relationships/hyperlink" Target="http://sports.yahoo.com/nhl/teams/tam" TargetMode="External"/><Relationship Id="rId285" Type="http://schemas.openxmlformats.org/officeDocument/2006/relationships/hyperlink" Target="http://sports.yahoo.com/nhl/teams/ari" TargetMode="External"/><Relationship Id="rId506" Type="http://schemas.openxmlformats.org/officeDocument/2006/relationships/hyperlink" Target="http://sports.yahoo.com/nhl/players/2185" TargetMode="External"/><Relationship Id="rId853" Type="http://schemas.openxmlformats.org/officeDocument/2006/relationships/hyperlink" Target="http://sports.yahoo.com/nhl/teams/buf" TargetMode="External"/><Relationship Id="rId1136" Type="http://schemas.openxmlformats.org/officeDocument/2006/relationships/hyperlink" Target="http://sports.yahoo.com/nhl/players/3389" TargetMode="External"/><Relationship Id="rId1690" Type="http://schemas.openxmlformats.org/officeDocument/2006/relationships/hyperlink" Target="http://sports.yahoo.com/nhl/players/4489" TargetMode="External"/><Relationship Id="rId492" Type="http://schemas.openxmlformats.org/officeDocument/2006/relationships/hyperlink" Target="http://sports.yahoo.com/nhl/players/4183" TargetMode="External"/><Relationship Id="rId713" Type="http://schemas.openxmlformats.org/officeDocument/2006/relationships/hyperlink" Target="http://sports.yahoo.com/nhl/teams/was" TargetMode="External"/><Relationship Id="rId797" Type="http://schemas.openxmlformats.org/officeDocument/2006/relationships/hyperlink" Target="http://sports.yahoo.com/nhl/teams/los" TargetMode="External"/><Relationship Id="rId920" Type="http://schemas.openxmlformats.org/officeDocument/2006/relationships/hyperlink" Target="http://sports.yahoo.com/nhl/players/5922" TargetMode="External"/><Relationship Id="rId1343" Type="http://schemas.openxmlformats.org/officeDocument/2006/relationships/hyperlink" Target="http://sports.yahoo.com/nhl/teams/van" TargetMode="External"/><Relationship Id="rId1550" Type="http://schemas.openxmlformats.org/officeDocument/2006/relationships/hyperlink" Target="http://sports.yahoo.com/nhl/players/4379" TargetMode="External"/><Relationship Id="rId1648" Type="http://schemas.openxmlformats.org/officeDocument/2006/relationships/hyperlink" Target="http://sports.yahoo.com/nhl/players/5089" TargetMode="External"/><Relationship Id="rId145" Type="http://schemas.openxmlformats.org/officeDocument/2006/relationships/hyperlink" Target="http://sports.yahoo.com/nhl/teams/nyr" TargetMode="External"/><Relationship Id="rId352" Type="http://schemas.openxmlformats.org/officeDocument/2006/relationships/hyperlink" Target="http://sports.yahoo.com/nhl/players/2104" TargetMode="External"/><Relationship Id="rId1203" Type="http://schemas.openxmlformats.org/officeDocument/2006/relationships/hyperlink" Target="http://sports.yahoo.com/nhl/teams/wpg" TargetMode="External"/><Relationship Id="rId1287" Type="http://schemas.openxmlformats.org/officeDocument/2006/relationships/hyperlink" Target="http://sports.yahoo.com/nhl/teams/njd" TargetMode="External"/><Relationship Id="rId1410" Type="http://schemas.openxmlformats.org/officeDocument/2006/relationships/hyperlink" Target="http://sports.yahoo.com/nhl/players/5028" TargetMode="External"/><Relationship Id="rId1508" Type="http://schemas.openxmlformats.org/officeDocument/2006/relationships/hyperlink" Target="http://sports.yahoo.com/nhl/players/5465" TargetMode="External"/><Relationship Id="rId212" Type="http://schemas.openxmlformats.org/officeDocument/2006/relationships/hyperlink" Target="http://sports.yahoo.com/nhl/players/3371" TargetMode="External"/><Relationship Id="rId657" Type="http://schemas.openxmlformats.org/officeDocument/2006/relationships/hyperlink" Target="http://sports.yahoo.com/nhl/teams/car" TargetMode="External"/><Relationship Id="rId864" Type="http://schemas.openxmlformats.org/officeDocument/2006/relationships/hyperlink" Target="http://sports.yahoo.com/nhl/players/2529" TargetMode="External"/><Relationship Id="rId1494" Type="http://schemas.openxmlformats.org/officeDocument/2006/relationships/hyperlink" Target="http://sports.yahoo.com/nhl/players/5136" TargetMode="External"/><Relationship Id="rId1715" Type="http://schemas.openxmlformats.org/officeDocument/2006/relationships/hyperlink" Target="http://sports.yahoo.com/nhl/teams/bos" TargetMode="External"/><Relationship Id="rId296" Type="http://schemas.openxmlformats.org/officeDocument/2006/relationships/hyperlink" Target="http://sports.yahoo.com/nhl/players/4482" TargetMode="External"/><Relationship Id="rId517" Type="http://schemas.openxmlformats.org/officeDocument/2006/relationships/hyperlink" Target="http://sports.yahoo.com/nhl/teams/cgy" TargetMode="External"/><Relationship Id="rId724" Type="http://schemas.openxmlformats.org/officeDocument/2006/relationships/hyperlink" Target="http://sports.yahoo.com/nhl/players/4473" TargetMode="External"/><Relationship Id="rId931" Type="http://schemas.openxmlformats.org/officeDocument/2006/relationships/hyperlink" Target="http://sports.yahoo.com/nhl/teams/cob" TargetMode="External"/><Relationship Id="rId1147" Type="http://schemas.openxmlformats.org/officeDocument/2006/relationships/hyperlink" Target="http://sports.yahoo.com/nhl/teams/fla" TargetMode="External"/><Relationship Id="rId1354" Type="http://schemas.openxmlformats.org/officeDocument/2006/relationships/hyperlink" Target="http://sports.yahoo.com/nhl/players/5286" TargetMode="External"/><Relationship Id="rId1561" Type="http://schemas.openxmlformats.org/officeDocument/2006/relationships/hyperlink" Target="http://sports.yahoo.com/nhl/teams/pit" TargetMode="External"/><Relationship Id="rId60" Type="http://schemas.openxmlformats.org/officeDocument/2006/relationships/hyperlink" Target="http://sports.yahoo.com/nhl/players/5470" TargetMode="External"/><Relationship Id="rId156" Type="http://schemas.openxmlformats.org/officeDocument/2006/relationships/hyperlink" Target="http://sports.yahoo.com/nhl/players/5279" TargetMode="External"/><Relationship Id="rId363" Type="http://schemas.openxmlformats.org/officeDocument/2006/relationships/hyperlink" Target="http://sports.yahoo.com/nhl/teams/min" TargetMode="External"/><Relationship Id="rId570" Type="http://schemas.openxmlformats.org/officeDocument/2006/relationships/hyperlink" Target="http://sports.yahoo.com/nhl/players/5504" TargetMode="External"/><Relationship Id="rId1007" Type="http://schemas.openxmlformats.org/officeDocument/2006/relationships/hyperlink" Target="http://sports.yahoo.com/nhl/teams/ott" TargetMode="External"/><Relationship Id="rId1214" Type="http://schemas.openxmlformats.org/officeDocument/2006/relationships/hyperlink" Target="http://sports.yahoo.com/nhl/players/4160" TargetMode="External"/><Relationship Id="rId1421" Type="http://schemas.openxmlformats.org/officeDocument/2006/relationships/hyperlink" Target="http://sports.yahoo.com/nhl/teams/edm" TargetMode="External"/><Relationship Id="rId1659" Type="http://schemas.openxmlformats.org/officeDocument/2006/relationships/hyperlink" Target="http://sports.yahoo.com/nhl/teams/phi" TargetMode="External"/><Relationship Id="rId223" Type="http://schemas.openxmlformats.org/officeDocument/2006/relationships/hyperlink" Target="http://sports.yahoo.com/nhl/teams/buf" TargetMode="External"/><Relationship Id="rId430" Type="http://schemas.openxmlformats.org/officeDocument/2006/relationships/hyperlink" Target="http://sports.yahoo.com/nhl/players/4250" TargetMode="External"/><Relationship Id="rId668" Type="http://schemas.openxmlformats.org/officeDocument/2006/relationships/hyperlink" Target="http://sports.yahoo.com/nhl/players/4694" TargetMode="External"/><Relationship Id="rId875" Type="http://schemas.openxmlformats.org/officeDocument/2006/relationships/hyperlink" Target="http://sports.yahoo.com/nhl/teams/chi" TargetMode="External"/><Relationship Id="rId1060" Type="http://schemas.openxmlformats.org/officeDocument/2006/relationships/hyperlink" Target="http://sports.yahoo.com/nhl/players/4645" TargetMode="External"/><Relationship Id="rId1298" Type="http://schemas.openxmlformats.org/officeDocument/2006/relationships/hyperlink" Target="http://sports.yahoo.com/nhl/players/5404" TargetMode="External"/><Relationship Id="rId1519" Type="http://schemas.openxmlformats.org/officeDocument/2006/relationships/hyperlink" Target="http://sports.yahoo.com/nhl/teams/chi" TargetMode="External"/><Relationship Id="rId1726" Type="http://schemas.openxmlformats.org/officeDocument/2006/relationships/hyperlink" Target="http://sports.yahoo.com/nhl/players/5926" TargetMode="External"/><Relationship Id="rId18" Type="http://schemas.openxmlformats.org/officeDocument/2006/relationships/hyperlink" Target="http://sports.yahoo.com/nhl/players/4962" TargetMode="External"/><Relationship Id="rId528" Type="http://schemas.openxmlformats.org/officeDocument/2006/relationships/hyperlink" Target="http://sports.yahoo.com/nhl/players/4481" TargetMode="External"/><Relationship Id="rId735" Type="http://schemas.openxmlformats.org/officeDocument/2006/relationships/hyperlink" Target="http://sports.yahoo.com/nhl/teams/nyr" TargetMode="External"/><Relationship Id="rId942" Type="http://schemas.openxmlformats.org/officeDocument/2006/relationships/hyperlink" Target="http://sports.yahoo.com/nhl/players/4483" TargetMode="External"/><Relationship Id="rId1158" Type="http://schemas.openxmlformats.org/officeDocument/2006/relationships/hyperlink" Target="http://sports.yahoo.com/nhl/players/5448" TargetMode="External"/><Relationship Id="rId1365" Type="http://schemas.openxmlformats.org/officeDocument/2006/relationships/hyperlink" Target="http://sports.yahoo.com/nhl/teams/nyi" TargetMode="External"/><Relationship Id="rId1572" Type="http://schemas.openxmlformats.org/officeDocument/2006/relationships/hyperlink" Target="http://sports.yahoo.com/nhl/players/5971" TargetMode="External"/><Relationship Id="rId167" Type="http://schemas.openxmlformats.org/officeDocument/2006/relationships/hyperlink" Target="http://sports.yahoo.com/nhl/teams/nyr" TargetMode="External"/><Relationship Id="rId374" Type="http://schemas.openxmlformats.org/officeDocument/2006/relationships/hyperlink" Target="http://sports.yahoo.com/nhl/players/4953" TargetMode="External"/><Relationship Id="rId581" Type="http://schemas.openxmlformats.org/officeDocument/2006/relationships/hyperlink" Target="http://sports.yahoo.com/nhl/teams/min" TargetMode="External"/><Relationship Id="rId1018" Type="http://schemas.openxmlformats.org/officeDocument/2006/relationships/hyperlink" Target="http://sports.yahoo.com/nhl/players/4700" TargetMode="External"/><Relationship Id="rId1225" Type="http://schemas.openxmlformats.org/officeDocument/2006/relationships/hyperlink" Target="http://sports.yahoo.com/nhl/teams/cob" TargetMode="External"/><Relationship Id="rId1432" Type="http://schemas.openxmlformats.org/officeDocument/2006/relationships/hyperlink" Target="http://sports.yahoo.com/nhl/players/4994" TargetMode="External"/><Relationship Id="rId71" Type="http://schemas.openxmlformats.org/officeDocument/2006/relationships/hyperlink" Target="http://sports.yahoo.com/nhl/teams/chi" TargetMode="External"/><Relationship Id="rId234" Type="http://schemas.openxmlformats.org/officeDocument/2006/relationships/hyperlink" Target="http://sports.yahoo.com/nhl/players/3667" TargetMode="External"/><Relationship Id="rId679" Type="http://schemas.openxmlformats.org/officeDocument/2006/relationships/hyperlink" Target="http://sports.yahoo.com/nhl/teams/car" TargetMode="External"/><Relationship Id="rId802" Type="http://schemas.openxmlformats.org/officeDocument/2006/relationships/hyperlink" Target="http://sports.yahoo.com/nhl/players/4966" TargetMode="External"/><Relationship Id="rId886" Type="http://schemas.openxmlformats.org/officeDocument/2006/relationships/hyperlink" Target="http://sports.yahoo.com/nhl/players/4754" TargetMode="External"/><Relationship Id="rId1737" Type="http://schemas.openxmlformats.org/officeDocument/2006/relationships/hyperlink" Target="http://sports.yahoo.com/nhl/teams/phi" TargetMode="External"/><Relationship Id="rId2" Type="http://schemas.openxmlformats.org/officeDocument/2006/relationships/hyperlink" Target="http://sports.yahoo.com/nhl/stats/byposition?pos=C,RW,LW,D&amp;conference=NHL&amp;year=season_2014&amp;qualified=1&amp;sort=TEAM_ABBR" TargetMode="External"/><Relationship Id="rId29" Type="http://schemas.openxmlformats.org/officeDocument/2006/relationships/hyperlink" Target="http://sports.yahoo.com/nhl/teams/stl" TargetMode="External"/><Relationship Id="rId441" Type="http://schemas.openxmlformats.org/officeDocument/2006/relationships/hyperlink" Target="http://sports.yahoo.com/nhl/teams/car" TargetMode="External"/><Relationship Id="rId539" Type="http://schemas.openxmlformats.org/officeDocument/2006/relationships/hyperlink" Target="http://sports.yahoo.com/nhl/teams/nyr" TargetMode="External"/><Relationship Id="rId746" Type="http://schemas.openxmlformats.org/officeDocument/2006/relationships/hyperlink" Target="http://sports.yahoo.com/nhl/players/2499" TargetMode="External"/><Relationship Id="rId1071" Type="http://schemas.openxmlformats.org/officeDocument/2006/relationships/hyperlink" Target="http://sports.yahoo.com/nhl/teams/los" TargetMode="External"/><Relationship Id="rId1169" Type="http://schemas.openxmlformats.org/officeDocument/2006/relationships/hyperlink" Target="http://sports.yahoo.com/nhl/teams/min" TargetMode="External"/><Relationship Id="rId1376" Type="http://schemas.openxmlformats.org/officeDocument/2006/relationships/hyperlink" Target="http://sports.yahoo.com/nhl/players/6616" TargetMode="External"/><Relationship Id="rId1583" Type="http://schemas.openxmlformats.org/officeDocument/2006/relationships/hyperlink" Target="http://sports.yahoo.com/nhl/teams/fla" TargetMode="External"/><Relationship Id="rId178" Type="http://schemas.openxmlformats.org/officeDocument/2006/relationships/hyperlink" Target="http://sports.yahoo.com/nhl/players/2145" TargetMode="External"/><Relationship Id="rId301" Type="http://schemas.openxmlformats.org/officeDocument/2006/relationships/hyperlink" Target="http://sports.yahoo.com/nhl/teams/pit" TargetMode="External"/><Relationship Id="rId953" Type="http://schemas.openxmlformats.org/officeDocument/2006/relationships/hyperlink" Target="http://sports.yahoo.com/nhl/teams/nyi" TargetMode="External"/><Relationship Id="rId1029" Type="http://schemas.openxmlformats.org/officeDocument/2006/relationships/hyperlink" Target="http://sports.yahoo.com/nhl/teams/fla" TargetMode="External"/><Relationship Id="rId1236" Type="http://schemas.openxmlformats.org/officeDocument/2006/relationships/hyperlink" Target="http://sports.yahoo.com/nhl/players/4866" TargetMode="External"/><Relationship Id="rId82" Type="http://schemas.openxmlformats.org/officeDocument/2006/relationships/hyperlink" Target="http://sports.yahoo.com/nhl/players/5691" TargetMode="External"/><Relationship Id="rId385" Type="http://schemas.openxmlformats.org/officeDocument/2006/relationships/hyperlink" Target="http://sports.yahoo.com/nhl/teams/cob" TargetMode="External"/><Relationship Id="rId592" Type="http://schemas.openxmlformats.org/officeDocument/2006/relationships/hyperlink" Target="http://sports.yahoo.com/nhl/players/4260" TargetMode="External"/><Relationship Id="rId606" Type="http://schemas.openxmlformats.org/officeDocument/2006/relationships/hyperlink" Target="http://sports.yahoo.com/nhl/players/6191" TargetMode="External"/><Relationship Id="rId813" Type="http://schemas.openxmlformats.org/officeDocument/2006/relationships/hyperlink" Target="http://sports.yahoo.com/nhl/teams/cob" TargetMode="External"/><Relationship Id="rId1443" Type="http://schemas.openxmlformats.org/officeDocument/2006/relationships/hyperlink" Target="http://sports.yahoo.com/nhl/teams/san" TargetMode="External"/><Relationship Id="rId1650" Type="http://schemas.openxmlformats.org/officeDocument/2006/relationships/hyperlink" Target="http://sports.yahoo.com/nhl/players/5021" TargetMode="External"/><Relationship Id="rId1748" Type="http://schemas.openxmlformats.org/officeDocument/2006/relationships/hyperlink" Target="http://sports.yahoo.com/nhl/players/5035" TargetMode="External"/><Relationship Id="rId245" Type="http://schemas.openxmlformats.org/officeDocument/2006/relationships/hyperlink" Target="http://sports.yahoo.com/nhl/teams/stl" TargetMode="External"/><Relationship Id="rId452" Type="http://schemas.openxmlformats.org/officeDocument/2006/relationships/hyperlink" Target="http://sports.yahoo.com/nhl/players/3354" TargetMode="External"/><Relationship Id="rId897" Type="http://schemas.openxmlformats.org/officeDocument/2006/relationships/hyperlink" Target="http://sports.yahoo.com/nhl/teams/phi" TargetMode="External"/><Relationship Id="rId1082" Type="http://schemas.openxmlformats.org/officeDocument/2006/relationships/hyperlink" Target="http://sports.yahoo.com/nhl/players/4051" TargetMode="External"/><Relationship Id="rId1303" Type="http://schemas.openxmlformats.org/officeDocument/2006/relationships/hyperlink" Target="http://sports.yahoo.com/nhl/teams/tor" TargetMode="External"/><Relationship Id="rId1510" Type="http://schemas.openxmlformats.org/officeDocument/2006/relationships/hyperlink" Target="http://sports.yahoo.com/nhl/players/4652" TargetMode="External"/><Relationship Id="rId105" Type="http://schemas.openxmlformats.org/officeDocument/2006/relationships/hyperlink" Target="http://sports.yahoo.com/nhl/teams/cob" TargetMode="External"/><Relationship Id="rId312" Type="http://schemas.openxmlformats.org/officeDocument/2006/relationships/hyperlink" Target="http://sports.yahoo.com/nhl/players/4817" TargetMode="External"/><Relationship Id="rId757" Type="http://schemas.openxmlformats.org/officeDocument/2006/relationships/hyperlink" Target="http://sports.yahoo.com/nhl/teams/was" TargetMode="External"/><Relationship Id="rId964" Type="http://schemas.openxmlformats.org/officeDocument/2006/relationships/hyperlink" Target="http://sports.yahoo.com/nhl/players/6365" TargetMode="External"/><Relationship Id="rId1387" Type="http://schemas.openxmlformats.org/officeDocument/2006/relationships/hyperlink" Target="http://sports.yahoo.com/nhl/teams/tor" TargetMode="External"/><Relationship Id="rId1594" Type="http://schemas.openxmlformats.org/officeDocument/2006/relationships/hyperlink" Target="http://sports.yahoo.com/nhl/players/4936" TargetMode="External"/><Relationship Id="rId1608" Type="http://schemas.openxmlformats.org/officeDocument/2006/relationships/hyperlink" Target="http://sports.yahoo.com/nhl/players/1833" TargetMode="External"/><Relationship Id="rId93" Type="http://schemas.openxmlformats.org/officeDocument/2006/relationships/hyperlink" Target="http://sports.yahoo.com/nhl/teams/dal" TargetMode="External"/><Relationship Id="rId189" Type="http://schemas.openxmlformats.org/officeDocument/2006/relationships/hyperlink" Target="http://sports.yahoo.com/nhl/teams/wpg" TargetMode="External"/><Relationship Id="rId396" Type="http://schemas.openxmlformats.org/officeDocument/2006/relationships/hyperlink" Target="http://sports.yahoo.com/nhl/players/5598" TargetMode="External"/><Relationship Id="rId617" Type="http://schemas.openxmlformats.org/officeDocument/2006/relationships/hyperlink" Target="http://sports.yahoo.com/nhl/teams/san" TargetMode="External"/><Relationship Id="rId824" Type="http://schemas.openxmlformats.org/officeDocument/2006/relationships/hyperlink" Target="http://sports.yahoo.com/nhl/players/3361" TargetMode="External"/><Relationship Id="rId1247" Type="http://schemas.openxmlformats.org/officeDocument/2006/relationships/hyperlink" Target="http://sports.yahoo.com/nhl/teams/bos" TargetMode="External"/><Relationship Id="rId1454" Type="http://schemas.openxmlformats.org/officeDocument/2006/relationships/hyperlink" Target="http://sports.yahoo.com/nhl/players/6197" TargetMode="External"/><Relationship Id="rId1661" Type="http://schemas.openxmlformats.org/officeDocument/2006/relationships/hyperlink" Target="http://sports.yahoo.com/nhl/teams/chi" TargetMode="External"/><Relationship Id="rId256" Type="http://schemas.openxmlformats.org/officeDocument/2006/relationships/hyperlink" Target="http://sports.yahoo.com/nhl/players/3928" TargetMode="External"/><Relationship Id="rId463" Type="http://schemas.openxmlformats.org/officeDocument/2006/relationships/hyperlink" Target="http://sports.yahoo.com/nhl/teams/bos" TargetMode="External"/><Relationship Id="rId670" Type="http://schemas.openxmlformats.org/officeDocument/2006/relationships/hyperlink" Target="http://sports.yahoo.com/nhl/players/3871" TargetMode="External"/><Relationship Id="rId1093" Type="http://schemas.openxmlformats.org/officeDocument/2006/relationships/hyperlink" Target="http://sports.yahoo.com/nhl/teams/cob" TargetMode="External"/><Relationship Id="rId1107" Type="http://schemas.openxmlformats.org/officeDocument/2006/relationships/hyperlink" Target="http://sports.yahoo.com/nhl/teams/ott" TargetMode="External"/><Relationship Id="rId1314" Type="http://schemas.openxmlformats.org/officeDocument/2006/relationships/hyperlink" Target="http://sports.yahoo.com/nhl/players/5386" TargetMode="External"/><Relationship Id="rId1521" Type="http://schemas.openxmlformats.org/officeDocument/2006/relationships/hyperlink" Target="http://sports.yahoo.com/nhl/teams/ari" TargetMode="External"/><Relationship Id="rId1759" Type="http://schemas.openxmlformats.org/officeDocument/2006/relationships/hyperlink" Target="http://sports.yahoo.com/nhl/teams/ari" TargetMode="External"/><Relationship Id="rId116" Type="http://schemas.openxmlformats.org/officeDocument/2006/relationships/hyperlink" Target="http://sports.yahoo.com/nhl/players/3861" TargetMode="External"/><Relationship Id="rId323" Type="http://schemas.openxmlformats.org/officeDocument/2006/relationships/hyperlink" Target="http://sports.yahoo.com/nhl/teams/min" TargetMode="External"/><Relationship Id="rId530" Type="http://schemas.openxmlformats.org/officeDocument/2006/relationships/hyperlink" Target="http://sports.yahoo.com/nhl/players/4118" TargetMode="External"/><Relationship Id="rId768" Type="http://schemas.openxmlformats.org/officeDocument/2006/relationships/hyperlink" Target="http://sports.yahoo.com/nhl/players/5413" TargetMode="External"/><Relationship Id="rId975" Type="http://schemas.openxmlformats.org/officeDocument/2006/relationships/hyperlink" Target="http://sports.yahoo.com/nhl/teams/van" TargetMode="External"/><Relationship Id="rId1160" Type="http://schemas.openxmlformats.org/officeDocument/2006/relationships/hyperlink" Target="http://sports.yahoo.com/nhl/players/5513" TargetMode="External"/><Relationship Id="rId1398" Type="http://schemas.openxmlformats.org/officeDocument/2006/relationships/hyperlink" Target="http://sports.yahoo.com/nhl/players/3178" TargetMode="External"/><Relationship Id="rId1619" Type="http://schemas.openxmlformats.org/officeDocument/2006/relationships/hyperlink" Target="http://sports.yahoo.com/nhl/teams/cgy" TargetMode="External"/><Relationship Id="rId20" Type="http://schemas.openxmlformats.org/officeDocument/2006/relationships/hyperlink" Target="http://sports.yahoo.com/nhl/players/3174" TargetMode="External"/><Relationship Id="rId628" Type="http://schemas.openxmlformats.org/officeDocument/2006/relationships/hyperlink" Target="http://sports.yahoo.com/nhl/players/2848" TargetMode="External"/><Relationship Id="rId835" Type="http://schemas.openxmlformats.org/officeDocument/2006/relationships/hyperlink" Target="http://sports.yahoo.com/nhl/teams/los" TargetMode="External"/><Relationship Id="rId1258" Type="http://schemas.openxmlformats.org/officeDocument/2006/relationships/hyperlink" Target="http://sports.yahoo.com/nhl/players/5039" TargetMode="External"/><Relationship Id="rId1465" Type="http://schemas.openxmlformats.org/officeDocument/2006/relationships/hyperlink" Target="http://sports.yahoo.com/nhl/teams/cgy" TargetMode="External"/><Relationship Id="rId1672" Type="http://schemas.openxmlformats.org/officeDocument/2006/relationships/hyperlink" Target="http://sports.yahoo.com/nhl/players/5408" TargetMode="External"/><Relationship Id="rId267" Type="http://schemas.openxmlformats.org/officeDocument/2006/relationships/hyperlink" Target="http://sports.yahoo.com/nhl/teams/chi" TargetMode="External"/><Relationship Id="rId474" Type="http://schemas.openxmlformats.org/officeDocument/2006/relationships/hyperlink" Target="http://sports.yahoo.com/nhl/players/5291" TargetMode="External"/><Relationship Id="rId1020" Type="http://schemas.openxmlformats.org/officeDocument/2006/relationships/hyperlink" Target="http://sports.yahoo.com/nhl/players/3346" TargetMode="External"/><Relationship Id="rId1118" Type="http://schemas.openxmlformats.org/officeDocument/2006/relationships/hyperlink" Target="http://sports.yahoo.com/nhl/players/5263" TargetMode="External"/><Relationship Id="rId1325" Type="http://schemas.openxmlformats.org/officeDocument/2006/relationships/hyperlink" Target="http://sports.yahoo.com/nhl/teams/buf" TargetMode="External"/><Relationship Id="rId1532" Type="http://schemas.openxmlformats.org/officeDocument/2006/relationships/hyperlink" Target="http://sports.yahoo.com/nhl/players/5428" TargetMode="External"/><Relationship Id="rId127" Type="http://schemas.openxmlformats.org/officeDocument/2006/relationships/hyperlink" Target="http://sports.yahoo.com/nhl/teams/det" TargetMode="External"/><Relationship Id="rId681" Type="http://schemas.openxmlformats.org/officeDocument/2006/relationships/hyperlink" Target="http://sports.yahoo.com/nhl/teams/van" TargetMode="External"/><Relationship Id="rId779" Type="http://schemas.openxmlformats.org/officeDocument/2006/relationships/hyperlink" Target="http://sports.yahoo.com/nhl/teams/bos" TargetMode="External"/><Relationship Id="rId902" Type="http://schemas.openxmlformats.org/officeDocument/2006/relationships/hyperlink" Target="http://sports.yahoo.com/nhl/players/4132" TargetMode="External"/><Relationship Id="rId986" Type="http://schemas.openxmlformats.org/officeDocument/2006/relationships/hyperlink" Target="http://sports.yahoo.com/nhl/players/4980" TargetMode="External"/><Relationship Id="rId31" Type="http://schemas.openxmlformats.org/officeDocument/2006/relationships/hyperlink" Target="http://sports.yahoo.com/nhl/teams/van" TargetMode="External"/><Relationship Id="rId334" Type="http://schemas.openxmlformats.org/officeDocument/2006/relationships/hyperlink" Target="http://sports.yahoo.com/nhl/players/5980" TargetMode="External"/><Relationship Id="rId541" Type="http://schemas.openxmlformats.org/officeDocument/2006/relationships/hyperlink" Target="http://sports.yahoo.com/nhl/teams/stl" TargetMode="External"/><Relationship Id="rId639" Type="http://schemas.openxmlformats.org/officeDocument/2006/relationships/hyperlink" Target="http://sports.yahoo.com/nhl/teams/nyr" TargetMode="External"/><Relationship Id="rId1171" Type="http://schemas.openxmlformats.org/officeDocument/2006/relationships/hyperlink" Target="http://sports.yahoo.com/nhl/teams/san" TargetMode="External"/><Relationship Id="rId1269" Type="http://schemas.openxmlformats.org/officeDocument/2006/relationships/hyperlink" Target="http://sports.yahoo.com/nhl/teams/min" TargetMode="External"/><Relationship Id="rId1476" Type="http://schemas.openxmlformats.org/officeDocument/2006/relationships/hyperlink" Target="http://sports.yahoo.com/nhl/players/3665" TargetMode="External"/><Relationship Id="rId180" Type="http://schemas.openxmlformats.org/officeDocument/2006/relationships/hyperlink" Target="http://sports.yahoo.com/nhl/players/5366" TargetMode="External"/><Relationship Id="rId278" Type="http://schemas.openxmlformats.org/officeDocument/2006/relationships/hyperlink" Target="http://sports.yahoo.com/nhl/players/4480" TargetMode="External"/><Relationship Id="rId401" Type="http://schemas.openxmlformats.org/officeDocument/2006/relationships/hyperlink" Target="http://sports.yahoo.com/nhl/teams/edm" TargetMode="External"/><Relationship Id="rId846" Type="http://schemas.openxmlformats.org/officeDocument/2006/relationships/hyperlink" Target="http://sports.yahoo.com/nhl/players/4765" TargetMode="External"/><Relationship Id="rId1031" Type="http://schemas.openxmlformats.org/officeDocument/2006/relationships/hyperlink" Target="http://sports.yahoo.com/nhl/teams/van" TargetMode="External"/><Relationship Id="rId1129" Type="http://schemas.openxmlformats.org/officeDocument/2006/relationships/hyperlink" Target="http://sports.yahoo.com/nhl/teams/fla" TargetMode="External"/><Relationship Id="rId1683" Type="http://schemas.openxmlformats.org/officeDocument/2006/relationships/hyperlink" Target="http://sports.yahoo.com/nhl/teams/san" TargetMode="External"/><Relationship Id="rId485" Type="http://schemas.openxmlformats.org/officeDocument/2006/relationships/hyperlink" Target="http://sports.yahoo.com/nhl/teams/chi" TargetMode="External"/><Relationship Id="rId692" Type="http://schemas.openxmlformats.org/officeDocument/2006/relationships/hyperlink" Target="http://sports.yahoo.com/nhl/players/3704" TargetMode="External"/><Relationship Id="rId706" Type="http://schemas.openxmlformats.org/officeDocument/2006/relationships/hyperlink" Target="http://sports.yahoo.com/nhl/players/1767" TargetMode="External"/><Relationship Id="rId913" Type="http://schemas.openxmlformats.org/officeDocument/2006/relationships/hyperlink" Target="http://sports.yahoo.com/nhl/teams/nyi" TargetMode="External"/><Relationship Id="rId1336" Type="http://schemas.openxmlformats.org/officeDocument/2006/relationships/hyperlink" Target="http://sports.yahoo.com/nhl/players/5014" TargetMode="External"/><Relationship Id="rId1543" Type="http://schemas.openxmlformats.org/officeDocument/2006/relationships/hyperlink" Target="http://sports.yahoo.com/nhl/teams/chi" TargetMode="External"/><Relationship Id="rId1750" Type="http://schemas.openxmlformats.org/officeDocument/2006/relationships/hyperlink" Target="http://sports.yahoo.com/nhl/players/4137" TargetMode="External"/><Relationship Id="rId42" Type="http://schemas.openxmlformats.org/officeDocument/2006/relationships/hyperlink" Target="http://sports.yahoo.com/nhl/players/3357" TargetMode="External"/><Relationship Id="rId138" Type="http://schemas.openxmlformats.org/officeDocument/2006/relationships/hyperlink" Target="http://sports.yahoo.com/nhl/players/3801" TargetMode="External"/><Relationship Id="rId345" Type="http://schemas.openxmlformats.org/officeDocument/2006/relationships/hyperlink" Target="http://sports.yahoo.com/nhl/teams/min" TargetMode="External"/><Relationship Id="rId552" Type="http://schemas.openxmlformats.org/officeDocument/2006/relationships/hyperlink" Target="http://sports.yahoo.com/nhl/players/3366" TargetMode="External"/><Relationship Id="rId997" Type="http://schemas.openxmlformats.org/officeDocument/2006/relationships/hyperlink" Target="http://sports.yahoo.com/nhl/teams/nyi" TargetMode="External"/><Relationship Id="rId1182" Type="http://schemas.openxmlformats.org/officeDocument/2006/relationships/hyperlink" Target="http://sports.yahoo.com/nhl/players/4309" TargetMode="External"/><Relationship Id="rId1403" Type="http://schemas.openxmlformats.org/officeDocument/2006/relationships/hyperlink" Target="http://sports.yahoo.com/nhl/teams/tor" TargetMode="External"/><Relationship Id="rId1610" Type="http://schemas.openxmlformats.org/officeDocument/2006/relationships/hyperlink" Target="http://sports.yahoo.com/nhl/players/3011" TargetMode="External"/><Relationship Id="rId191" Type="http://schemas.openxmlformats.org/officeDocument/2006/relationships/hyperlink" Target="http://sports.yahoo.com/nhl/teams/car" TargetMode="External"/><Relationship Id="rId205" Type="http://schemas.openxmlformats.org/officeDocument/2006/relationships/hyperlink" Target="http://sports.yahoo.com/nhl/teams/mon" TargetMode="External"/><Relationship Id="rId412" Type="http://schemas.openxmlformats.org/officeDocument/2006/relationships/hyperlink" Target="http://sports.yahoo.com/nhl/players/5686" TargetMode="External"/><Relationship Id="rId857" Type="http://schemas.openxmlformats.org/officeDocument/2006/relationships/hyperlink" Target="http://sports.yahoo.com/nhl/teams/car" TargetMode="External"/><Relationship Id="rId1042" Type="http://schemas.openxmlformats.org/officeDocument/2006/relationships/hyperlink" Target="http://sports.yahoo.com/nhl/players/4447" TargetMode="External"/><Relationship Id="rId1487" Type="http://schemas.openxmlformats.org/officeDocument/2006/relationships/hyperlink" Target="http://sports.yahoo.com/nhl/teams/min" TargetMode="External"/><Relationship Id="rId1694" Type="http://schemas.openxmlformats.org/officeDocument/2006/relationships/hyperlink" Target="http://sports.yahoo.com/nhl/players/4507" TargetMode="External"/><Relationship Id="rId1708" Type="http://schemas.openxmlformats.org/officeDocument/2006/relationships/hyperlink" Target="http://sports.yahoo.com/nhl/players/5795" TargetMode="External"/><Relationship Id="rId289" Type="http://schemas.openxmlformats.org/officeDocument/2006/relationships/hyperlink" Target="http://sports.yahoo.com/nhl/teams/wpg" TargetMode="External"/><Relationship Id="rId496" Type="http://schemas.openxmlformats.org/officeDocument/2006/relationships/hyperlink" Target="http://sports.yahoo.com/nhl/players/5694" TargetMode="External"/><Relationship Id="rId717" Type="http://schemas.openxmlformats.org/officeDocument/2006/relationships/hyperlink" Target="http://sports.yahoo.com/nhl/teams/van" TargetMode="External"/><Relationship Id="rId924" Type="http://schemas.openxmlformats.org/officeDocument/2006/relationships/hyperlink" Target="http://sports.yahoo.com/nhl/players/2845" TargetMode="External"/><Relationship Id="rId1347" Type="http://schemas.openxmlformats.org/officeDocument/2006/relationships/hyperlink" Target="http://sports.yahoo.com/nhl/teams/phi" TargetMode="External"/><Relationship Id="rId1554" Type="http://schemas.openxmlformats.org/officeDocument/2006/relationships/hyperlink" Target="http://sports.yahoo.com/nhl/players/5401" TargetMode="External"/><Relationship Id="rId1761" Type="http://schemas.openxmlformats.org/officeDocument/2006/relationships/hyperlink" Target="http://sports.yahoo.com/nhl/teams/nyr" TargetMode="External"/><Relationship Id="rId53" Type="http://schemas.openxmlformats.org/officeDocument/2006/relationships/hyperlink" Target="http://sports.yahoo.com/nhl/teams/chi" TargetMode="External"/><Relationship Id="rId149" Type="http://schemas.openxmlformats.org/officeDocument/2006/relationships/hyperlink" Target="http://sports.yahoo.com/nhl/teams/ott" TargetMode="External"/><Relationship Id="rId356" Type="http://schemas.openxmlformats.org/officeDocument/2006/relationships/hyperlink" Target="http://sports.yahoo.com/nhl/players/5369" TargetMode="External"/><Relationship Id="rId563" Type="http://schemas.openxmlformats.org/officeDocument/2006/relationships/hyperlink" Target="http://sports.yahoo.com/nhl/teams/col" TargetMode="External"/><Relationship Id="rId770" Type="http://schemas.openxmlformats.org/officeDocument/2006/relationships/hyperlink" Target="http://sports.yahoo.com/nhl/players/5024" TargetMode="External"/><Relationship Id="rId1193" Type="http://schemas.openxmlformats.org/officeDocument/2006/relationships/hyperlink" Target="http://sports.yahoo.com/nhl/teams/van" TargetMode="External"/><Relationship Id="rId1207" Type="http://schemas.openxmlformats.org/officeDocument/2006/relationships/hyperlink" Target="http://sports.yahoo.com/nhl/teams/nyr" TargetMode="External"/><Relationship Id="rId1414" Type="http://schemas.openxmlformats.org/officeDocument/2006/relationships/hyperlink" Target="http://sports.yahoo.com/nhl/players/5004" TargetMode="External"/><Relationship Id="rId1621" Type="http://schemas.openxmlformats.org/officeDocument/2006/relationships/hyperlink" Target="http://sports.yahoo.com/nhl/teams/stl" TargetMode="External"/><Relationship Id="rId216" Type="http://schemas.openxmlformats.org/officeDocument/2006/relationships/hyperlink" Target="http://sports.yahoo.com/nhl/players/4704" TargetMode="External"/><Relationship Id="rId423" Type="http://schemas.openxmlformats.org/officeDocument/2006/relationships/hyperlink" Target="http://sports.yahoo.com/nhl/teams/ana" TargetMode="External"/><Relationship Id="rId868" Type="http://schemas.openxmlformats.org/officeDocument/2006/relationships/hyperlink" Target="http://sports.yahoo.com/nhl/players/5946" TargetMode="External"/><Relationship Id="rId1053" Type="http://schemas.openxmlformats.org/officeDocument/2006/relationships/hyperlink" Target="http://sports.yahoo.com/nhl/teams/san" TargetMode="External"/><Relationship Id="rId1260" Type="http://schemas.openxmlformats.org/officeDocument/2006/relationships/hyperlink" Target="http://sports.yahoo.com/nhl/players/3874" TargetMode="External"/><Relationship Id="rId1498" Type="http://schemas.openxmlformats.org/officeDocument/2006/relationships/hyperlink" Target="http://sports.yahoo.com/nhl/players/4778" TargetMode="External"/><Relationship Id="rId1719" Type="http://schemas.openxmlformats.org/officeDocument/2006/relationships/hyperlink" Target="http://sports.yahoo.com/nhl/teams/car" TargetMode="External"/><Relationship Id="rId630" Type="http://schemas.openxmlformats.org/officeDocument/2006/relationships/hyperlink" Target="http://sports.yahoo.com/nhl/players/4130" TargetMode="External"/><Relationship Id="rId728" Type="http://schemas.openxmlformats.org/officeDocument/2006/relationships/hyperlink" Target="http://sports.yahoo.com/nhl/players/2449" TargetMode="External"/><Relationship Id="rId935" Type="http://schemas.openxmlformats.org/officeDocument/2006/relationships/hyperlink" Target="http://sports.yahoo.com/nhl/teams/det" TargetMode="External"/><Relationship Id="rId1358" Type="http://schemas.openxmlformats.org/officeDocument/2006/relationships/hyperlink" Target="http://sports.yahoo.com/nhl/players/4983" TargetMode="External"/><Relationship Id="rId1565" Type="http://schemas.openxmlformats.org/officeDocument/2006/relationships/hyperlink" Target="http://sports.yahoo.com/nhl/teams/chi" TargetMode="External"/><Relationship Id="rId64" Type="http://schemas.openxmlformats.org/officeDocument/2006/relationships/hyperlink" Target="http://sports.yahoo.com/nhl/players/5152" TargetMode="External"/><Relationship Id="rId367" Type="http://schemas.openxmlformats.org/officeDocument/2006/relationships/hyperlink" Target="http://sports.yahoo.com/nhl/teams/ari" TargetMode="External"/><Relationship Id="rId574" Type="http://schemas.openxmlformats.org/officeDocument/2006/relationships/hyperlink" Target="http://sports.yahoo.com/nhl/players/4599" TargetMode="External"/><Relationship Id="rId1120" Type="http://schemas.openxmlformats.org/officeDocument/2006/relationships/hyperlink" Target="http://sports.yahoo.com/nhl/players/4758" TargetMode="External"/><Relationship Id="rId1218" Type="http://schemas.openxmlformats.org/officeDocument/2006/relationships/hyperlink" Target="http://sports.yahoo.com/nhl/players/4885" TargetMode="External"/><Relationship Id="rId1425" Type="http://schemas.openxmlformats.org/officeDocument/2006/relationships/hyperlink" Target="http://sports.yahoo.com/nhl/teams/mon" TargetMode="External"/><Relationship Id="rId227" Type="http://schemas.openxmlformats.org/officeDocument/2006/relationships/hyperlink" Target="http://sports.yahoo.com/nhl/teams/mon" TargetMode="External"/><Relationship Id="rId781" Type="http://schemas.openxmlformats.org/officeDocument/2006/relationships/hyperlink" Target="http://sports.yahoo.com/nhl/teams/det" TargetMode="External"/><Relationship Id="rId879" Type="http://schemas.openxmlformats.org/officeDocument/2006/relationships/hyperlink" Target="http://sports.yahoo.com/nhl/teams/wpg" TargetMode="External"/><Relationship Id="rId1632" Type="http://schemas.openxmlformats.org/officeDocument/2006/relationships/hyperlink" Target="http://sports.yahoo.com/nhl/players/5304" TargetMode="External"/><Relationship Id="rId434" Type="http://schemas.openxmlformats.org/officeDocument/2006/relationships/hyperlink" Target="http://sports.yahoo.com/nhl/players/3356" TargetMode="External"/><Relationship Id="rId641" Type="http://schemas.openxmlformats.org/officeDocument/2006/relationships/hyperlink" Target="http://sports.yahoo.com/nhl/teams/ana" TargetMode="External"/><Relationship Id="rId739" Type="http://schemas.openxmlformats.org/officeDocument/2006/relationships/hyperlink" Target="http://sports.yahoo.com/nhl/teams/col" TargetMode="External"/><Relationship Id="rId1064" Type="http://schemas.openxmlformats.org/officeDocument/2006/relationships/hyperlink" Target="http://sports.yahoo.com/nhl/players/4912" TargetMode="External"/><Relationship Id="rId1271" Type="http://schemas.openxmlformats.org/officeDocument/2006/relationships/hyperlink" Target="http://sports.yahoo.com/nhl/teams/njd" TargetMode="External"/><Relationship Id="rId1369" Type="http://schemas.openxmlformats.org/officeDocument/2006/relationships/hyperlink" Target="http://sports.yahoo.com/nhl/teams/det" TargetMode="External"/><Relationship Id="rId1576" Type="http://schemas.openxmlformats.org/officeDocument/2006/relationships/hyperlink" Target="http://sports.yahoo.com/nhl/players/6322" TargetMode="External"/><Relationship Id="rId280" Type="http://schemas.openxmlformats.org/officeDocument/2006/relationships/hyperlink" Target="http://sports.yahoo.com/nhl/players/4990" TargetMode="External"/><Relationship Id="rId501" Type="http://schemas.openxmlformats.org/officeDocument/2006/relationships/hyperlink" Target="http://sports.yahoo.com/nhl/teams/tor" TargetMode="External"/><Relationship Id="rId946" Type="http://schemas.openxmlformats.org/officeDocument/2006/relationships/hyperlink" Target="http://sports.yahoo.com/nhl/players/5373" TargetMode="External"/><Relationship Id="rId1131" Type="http://schemas.openxmlformats.org/officeDocument/2006/relationships/hyperlink" Target="http://sports.yahoo.com/nhl/teams/edm" TargetMode="External"/><Relationship Id="rId1229" Type="http://schemas.openxmlformats.org/officeDocument/2006/relationships/hyperlink" Target="http://sports.yahoo.com/nhl/teams/tor" TargetMode="External"/><Relationship Id="rId75" Type="http://schemas.openxmlformats.org/officeDocument/2006/relationships/hyperlink" Target="http://sports.yahoo.com/nhl/teams/edm" TargetMode="External"/><Relationship Id="rId140" Type="http://schemas.openxmlformats.org/officeDocument/2006/relationships/hyperlink" Target="http://sports.yahoo.com/nhl/players/3383" TargetMode="External"/><Relationship Id="rId378" Type="http://schemas.openxmlformats.org/officeDocument/2006/relationships/hyperlink" Target="http://sports.yahoo.com/nhl/players/3952" TargetMode="External"/><Relationship Id="rId585" Type="http://schemas.openxmlformats.org/officeDocument/2006/relationships/hyperlink" Target="http://sports.yahoo.com/nhl/teams/van" TargetMode="External"/><Relationship Id="rId792" Type="http://schemas.openxmlformats.org/officeDocument/2006/relationships/hyperlink" Target="http://sports.yahoo.com/nhl/players/5409" TargetMode="External"/><Relationship Id="rId806" Type="http://schemas.openxmlformats.org/officeDocument/2006/relationships/hyperlink" Target="http://sports.yahoo.com/nhl/players/5696" TargetMode="External"/><Relationship Id="rId1436" Type="http://schemas.openxmlformats.org/officeDocument/2006/relationships/hyperlink" Target="http://sports.yahoo.com/nhl/players/6083" TargetMode="External"/><Relationship Id="rId1643" Type="http://schemas.openxmlformats.org/officeDocument/2006/relationships/hyperlink" Target="http://sports.yahoo.com/nhl/teams/pit" TargetMode="External"/><Relationship Id="rId6" Type="http://schemas.openxmlformats.org/officeDocument/2006/relationships/hyperlink" Target="http://sports.yahoo.com/nhl/players/4519" TargetMode="External"/><Relationship Id="rId238" Type="http://schemas.openxmlformats.org/officeDocument/2006/relationships/hyperlink" Target="http://sports.yahoo.com/nhl/players/3387" TargetMode="External"/><Relationship Id="rId445" Type="http://schemas.openxmlformats.org/officeDocument/2006/relationships/hyperlink" Target="http://sports.yahoo.com/nhl/teams/nyr" TargetMode="External"/><Relationship Id="rId652" Type="http://schemas.openxmlformats.org/officeDocument/2006/relationships/hyperlink" Target="http://sports.yahoo.com/nhl/players/4794" TargetMode="External"/><Relationship Id="rId1075" Type="http://schemas.openxmlformats.org/officeDocument/2006/relationships/hyperlink" Target="http://sports.yahoo.com/nhl/teams/tam" TargetMode="External"/><Relationship Id="rId1282" Type="http://schemas.openxmlformats.org/officeDocument/2006/relationships/hyperlink" Target="http://sports.yahoo.com/nhl/players/2964" TargetMode="External"/><Relationship Id="rId1503" Type="http://schemas.openxmlformats.org/officeDocument/2006/relationships/hyperlink" Target="http://sports.yahoo.com/nhl/teams/tor" TargetMode="External"/><Relationship Id="rId1710" Type="http://schemas.openxmlformats.org/officeDocument/2006/relationships/hyperlink" Target="http://sports.yahoo.com/nhl/players/4777" TargetMode="External"/><Relationship Id="rId291" Type="http://schemas.openxmlformats.org/officeDocument/2006/relationships/hyperlink" Target="http://sports.yahoo.com/nhl/teams/nyi" TargetMode="External"/><Relationship Id="rId305" Type="http://schemas.openxmlformats.org/officeDocument/2006/relationships/hyperlink" Target="http://sports.yahoo.com/nhl/teams/bos" TargetMode="External"/><Relationship Id="rId512" Type="http://schemas.openxmlformats.org/officeDocument/2006/relationships/hyperlink" Target="http://sports.yahoo.com/nhl/players/3814" TargetMode="External"/><Relationship Id="rId957" Type="http://schemas.openxmlformats.org/officeDocument/2006/relationships/hyperlink" Target="http://sports.yahoo.com/nhl/teams/col" TargetMode="External"/><Relationship Id="rId1142" Type="http://schemas.openxmlformats.org/officeDocument/2006/relationships/hyperlink" Target="http://sports.yahoo.com/nhl/players/5647" TargetMode="External"/><Relationship Id="rId1587" Type="http://schemas.openxmlformats.org/officeDocument/2006/relationships/hyperlink" Target="http://sports.yahoo.com/nhl/teams/ana" TargetMode="External"/><Relationship Id="rId86" Type="http://schemas.openxmlformats.org/officeDocument/2006/relationships/hyperlink" Target="http://sports.yahoo.com/nhl/players/1933" TargetMode="External"/><Relationship Id="rId151" Type="http://schemas.openxmlformats.org/officeDocument/2006/relationships/hyperlink" Target="http://sports.yahoo.com/nhl/teams/min" TargetMode="External"/><Relationship Id="rId389" Type="http://schemas.openxmlformats.org/officeDocument/2006/relationships/hyperlink" Target="http://sports.yahoo.com/nhl/teams/fla" TargetMode="External"/><Relationship Id="rId596" Type="http://schemas.openxmlformats.org/officeDocument/2006/relationships/hyperlink" Target="http://sports.yahoo.com/nhl/players/5591" TargetMode="External"/><Relationship Id="rId817" Type="http://schemas.openxmlformats.org/officeDocument/2006/relationships/hyperlink" Target="http://sports.yahoo.com/nhl/teams/min" TargetMode="External"/><Relationship Id="rId1002" Type="http://schemas.openxmlformats.org/officeDocument/2006/relationships/hyperlink" Target="http://sports.yahoo.com/nhl/players/2588" TargetMode="External"/><Relationship Id="rId1447" Type="http://schemas.openxmlformats.org/officeDocument/2006/relationships/hyperlink" Target="http://sports.yahoo.com/nhl/teams/ott" TargetMode="External"/><Relationship Id="rId1654" Type="http://schemas.openxmlformats.org/officeDocument/2006/relationships/hyperlink" Target="http://sports.yahoo.com/nhl/players/5382" TargetMode="External"/><Relationship Id="rId249" Type="http://schemas.openxmlformats.org/officeDocument/2006/relationships/hyperlink" Target="http://sports.yahoo.com/nhl/teams/nas" TargetMode="External"/><Relationship Id="rId456" Type="http://schemas.openxmlformats.org/officeDocument/2006/relationships/hyperlink" Target="http://sports.yahoo.com/nhl/players/2937" TargetMode="External"/><Relationship Id="rId663" Type="http://schemas.openxmlformats.org/officeDocument/2006/relationships/hyperlink" Target="http://sports.yahoo.com/nhl/teams/mon" TargetMode="External"/><Relationship Id="rId870" Type="http://schemas.openxmlformats.org/officeDocument/2006/relationships/hyperlink" Target="http://sports.yahoo.com/nhl/players/4386" TargetMode="External"/><Relationship Id="rId1086" Type="http://schemas.openxmlformats.org/officeDocument/2006/relationships/hyperlink" Target="http://sports.yahoo.com/nhl/players/5702" TargetMode="External"/><Relationship Id="rId1293" Type="http://schemas.openxmlformats.org/officeDocument/2006/relationships/hyperlink" Target="http://sports.yahoo.com/nhl/teams/buf" TargetMode="External"/><Relationship Id="rId1307" Type="http://schemas.openxmlformats.org/officeDocument/2006/relationships/hyperlink" Target="http://sports.yahoo.com/nhl/teams/san" TargetMode="External"/><Relationship Id="rId1514" Type="http://schemas.openxmlformats.org/officeDocument/2006/relationships/hyperlink" Target="http://sports.yahoo.com/nhl/players/5486" TargetMode="External"/><Relationship Id="rId1721" Type="http://schemas.openxmlformats.org/officeDocument/2006/relationships/hyperlink" Target="http://sports.yahoo.com/nhl/teams/fla" TargetMode="External"/><Relationship Id="rId13" Type="http://schemas.openxmlformats.org/officeDocument/2006/relationships/hyperlink" Target="http://sports.yahoo.com/nhl/teams/phi" TargetMode="External"/><Relationship Id="rId109" Type="http://schemas.openxmlformats.org/officeDocument/2006/relationships/hyperlink" Target="http://sports.yahoo.com/nhl/teams/mon" TargetMode="External"/><Relationship Id="rId316" Type="http://schemas.openxmlformats.org/officeDocument/2006/relationships/hyperlink" Target="http://sports.yahoo.com/nhl/players/5632" TargetMode="External"/><Relationship Id="rId523" Type="http://schemas.openxmlformats.org/officeDocument/2006/relationships/hyperlink" Target="http://sports.yahoo.com/nhl/teams/wpg" TargetMode="External"/><Relationship Id="rId968" Type="http://schemas.openxmlformats.org/officeDocument/2006/relationships/hyperlink" Target="http://sports.yahoo.com/nhl/players/4071" TargetMode="External"/><Relationship Id="rId1153" Type="http://schemas.openxmlformats.org/officeDocument/2006/relationships/hyperlink" Target="http://sports.yahoo.com/nhl/teams/ana" TargetMode="External"/><Relationship Id="rId1598" Type="http://schemas.openxmlformats.org/officeDocument/2006/relationships/hyperlink" Target="http://sports.yahoo.com/nhl/players/4871" TargetMode="External"/><Relationship Id="rId97" Type="http://schemas.openxmlformats.org/officeDocument/2006/relationships/hyperlink" Target="http://sports.yahoo.com/nhl/teams/chi" TargetMode="External"/><Relationship Id="rId730" Type="http://schemas.openxmlformats.org/officeDocument/2006/relationships/hyperlink" Target="http://sports.yahoo.com/nhl/players/3601" TargetMode="External"/><Relationship Id="rId828" Type="http://schemas.openxmlformats.org/officeDocument/2006/relationships/hyperlink" Target="http://sports.yahoo.com/nhl/players/4693" TargetMode="External"/><Relationship Id="rId1013" Type="http://schemas.openxmlformats.org/officeDocument/2006/relationships/hyperlink" Target="http://sports.yahoo.com/nhl/teams/pit" TargetMode="External"/><Relationship Id="rId1360" Type="http://schemas.openxmlformats.org/officeDocument/2006/relationships/hyperlink" Target="http://sports.yahoo.com/nhl/players/6010" TargetMode="External"/><Relationship Id="rId1458" Type="http://schemas.openxmlformats.org/officeDocument/2006/relationships/hyperlink" Target="http://sports.yahoo.com/nhl/players/4783" TargetMode="External"/><Relationship Id="rId1665" Type="http://schemas.openxmlformats.org/officeDocument/2006/relationships/hyperlink" Target="http://sports.yahoo.com/nhl/teams/mon" TargetMode="External"/><Relationship Id="rId162" Type="http://schemas.openxmlformats.org/officeDocument/2006/relationships/hyperlink" Target="http://sports.yahoo.com/nhl/players/3833" TargetMode="External"/><Relationship Id="rId467" Type="http://schemas.openxmlformats.org/officeDocument/2006/relationships/hyperlink" Target="http://sports.yahoo.com/nhl/teams/san" TargetMode="External"/><Relationship Id="rId1097" Type="http://schemas.openxmlformats.org/officeDocument/2006/relationships/hyperlink" Target="http://sports.yahoo.com/nhl/teams/buf" TargetMode="External"/><Relationship Id="rId1220" Type="http://schemas.openxmlformats.org/officeDocument/2006/relationships/hyperlink" Target="http://sports.yahoo.com/nhl/players/4925" TargetMode="External"/><Relationship Id="rId1318" Type="http://schemas.openxmlformats.org/officeDocument/2006/relationships/hyperlink" Target="http://sports.yahoo.com/nhl/players/4009" TargetMode="External"/><Relationship Id="rId1525" Type="http://schemas.openxmlformats.org/officeDocument/2006/relationships/hyperlink" Target="http://sports.yahoo.com/nhl/teams/nas" TargetMode="External"/><Relationship Id="rId674" Type="http://schemas.openxmlformats.org/officeDocument/2006/relationships/hyperlink" Target="http://sports.yahoo.com/nhl/players/4684" TargetMode="External"/><Relationship Id="rId881" Type="http://schemas.openxmlformats.org/officeDocument/2006/relationships/hyperlink" Target="http://sports.yahoo.com/nhl/teams/ari" TargetMode="External"/><Relationship Id="rId979" Type="http://schemas.openxmlformats.org/officeDocument/2006/relationships/hyperlink" Target="http://sports.yahoo.com/nhl/teams/ari" TargetMode="External"/><Relationship Id="rId1732" Type="http://schemas.openxmlformats.org/officeDocument/2006/relationships/hyperlink" Target="http://sports.yahoo.com/nhl/players/5912" TargetMode="External"/><Relationship Id="rId24" Type="http://schemas.openxmlformats.org/officeDocument/2006/relationships/hyperlink" Target="http://sports.yahoo.com/nhl/players/4008" TargetMode="External"/><Relationship Id="rId327" Type="http://schemas.openxmlformats.org/officeDocument/2006/relationships/hyperlink" Target="http://sports.yahoo.com/nhl/teams/car" TargetMode="External"/><Relationship Id="rId534" Type="http://schemas.openxmlformats.org/officeDocument/2006/relationships/hyperlink" Target="http://sports.yahoo.com/nhl/players/1923" TargetMode="External"/><Relationship Id="rId741" Type="http://schemas.openxmlformats.org/officeDocument/2006/relationships/hyperlink" Target="http://sports.yahoo.com/nhl/teams/bos" TargetMode="External"/><Relationship Id="rId839" Type="http://schemas.openxmlformats.org/officeDocument/2006/relationships/hyperlink" Target="http://sports.yahoo.com/nhl/teams/cob" TargetMode="External"/><Relationship Id="rId1164" Type="http://schemas.openxmlformats.org/officeDocument/2006/relationships/hyperlink" Target="http://sports.yahoo.com/nhl/players/4929" TargetMode="External"/><Relationship Id="rId1371" Type="http://schemas.openxmlformats.org/officeDocument/2006/relationships/hyperlink" Target="http://sports.yahoo.com/nhl/teams/njd" TargetMode="External"/><Relationship Id="rId1469" Type="http://schemas.openxmlformats.org/officeDocument/2006/relationships/hyperlink" Target="http://sports.yahoo.com/nhl/teams/ana" TargetMode="External"/><Relationship Id="rId173" Type="http://schemas.openxmlformats.org/officeDocument/2006/relationships/hyperlink" Target="http://sports.yahoo.com/nhl/teams/nyr" TargetMode="External"/><Relationship Id="rId380" Type="http://schemas.openxmlformats.org/officeDocument/2006/relationships/hyperlink" Target="http://sports.yahoo.com/nhl/players/5981" TargetMode="External"/><Relationship Id="rId601" Type="http://schemas.openxmlformats.org/officeDocument/2006/relationships/hyperlink" Target="http://sports.yahoo.com/nhl/teams/los" TargetMode="External"/><Relationship Id="rId1024" Type="http://schemas.openxmlformats.org/officeDocument/2006/relationships/hyperlink" Target="http://sports.yahoo.com/nhl/players/2726" TargetMode="External"/><Relationship Id="rId1231" Type="http://schemas.openxmlformats.org/officeDocument/2006/relationships/hyperlink" Target="http://sports.yahoo.com/nhl/teams/edm" TargetMode="External"/><Relationship Id="rId1676" Type="http://schemas.openxmlformats.org/officeDocument/2006/relationships/hyperlink" Target="http://sports.yahoo.com/nhl/players/5424" TargetMode="External"/><Relationship Id="rId240" Type="http://schemas.openxmlformats.org/officeDocument/2006/relationships/hyperlink" Target="http://sports.yahoo.com/nhl/players/3705" TargetMode="External"/><Relationship Id="rId478" Type="http://schemas.openxmlformats.org/officeDocument/2006/relationships/hyperlink" Target="http://sports.yahoo.com/nhl/players/3978" TargetMode="External"/><Relationship Id="rId685" Type="http://schemas.openxmlformats.org/officeDocument/2006/relationships/hyperlink" Target="http://sports.yahoo.com/nhl/teams/ott" TargetMode="External"/><Relationship Id="rId892" Type="http://schemas.openxmlformats.org/officeDocument/2006/relationships/hyperlink" Target="http://sports.yahoo.com/nhl/players/3359" TargetMode="External"/><Relationship Id="rId906" Type="http://schemas.openxmlformats.org/officeDocument/2006/relationships/hyperlink" Target="http://sports.yahoo.com/nhl/players/3233" TargetMode="External"/><Relationship Id="rId1329" Type="http://schemas.openxmlformats.org/officeDocument/2006/relationships/hyperlink" Target="http://sports.yahoo.com/nhl/teams/edm" TargetMode="External"/><Relationship Id="rId1536" Type="http://schemas.openxmlformats.org/officeDocument/2006/relationships/hyperlink" Target="http://sports.yahoo.com/nhl/players/5515" TargetMode="External"/><Relationship Id="rId1743" Type="http://schemas.openxmlformats.org/officeDocument/2006/relationships/hyperlink" Target="http://sports.yahoo.com/nhl/teams/col" TargetMode="External"/><Relationship Id="rId35" Type="http://schemas.openxmlformats.org/officeDocument/2006/relationships/hyperlink" Target="http://sports.yahoo.com/nhl/teams/tam" TargetMode="External"/><Relationship Id="rId100" Type="http://schemas.openxmlformats.org/officeDocument/2006/relationships/hyperlink" Target="http://sports.yahoo.com/nhl/players/3983" TargetMode="External"/><Relationship Id="rId338" Type="http://schemas.openxmlformats.org/officeDocument/2006/relationships/hyperlink" Target="http://sports.yahoo.com/nhl/players/2525" TargetMode="External"/><Relationship Id="rId545" Type="http://schemas.openxmlformats.org/officeDocument/2006/relationships/hyperlink" Target="http://sports.yahoo.com/nhl/teams/los" TargetMode="External"/><Relationship Id="rId752" Type="http://schemas.openxmlformats.org/officeDocument/2006/relationships/hyperlink" Target="http://sports.yahoo.com/nhl/players/3172" TargetMode="External"/><Relationship Id="rId1175" Type="http://schemas.openxmlformats.org/officeDocument/2006/relationships/hyperlink" Target="http://sports.yahoo.com/nhl/teams/ari" TargetMode="External"/><Relationship Id="rId1382" Type="http://schemas.openxmlformats.org/officeDocument/2006/relationships/hyperlink" Target="http://sports.yahoo.com/nhl/players/2953" TargetMode="External"/><Relationship Id="rId1603" Type="http://schemas.openxmlformats.org/officeDocument/2006/relationships/hyperlink" Target="http://sports.yahoo.com/nhl/teams/chi" TargetMode="External"/><Relationship Id="rId184" Type="http://schemas.openxmlformats.org/officeDocument/2006/relationships/hyperlink" Target="http://sports.yahoo.com/nhl/players/4629" TargetMode="External"/><Relationship Id="rId391" Type="http://schemas.openxmlformats.org/officeDocument/2006/relationships/hyperlink" Target="http://sports.yahoo.com/nhl/teams/was" TargetMode="External"/><Relationship Id="rId405" Type="http://schemas.openxmlformats.org/officeDocument/2006/relationships/hyperlink" Target="http://sports.yahoo.com/nhl/teams/det" TargetMode="External"/><Relationship Id="rId612" Type="http://schemas.openxmlformats.org/officeDocument/2006/relationships/hyperlink" Target="http://sports.yahoo.com/nhl/players/3794" TargetMode="External"/><Relationship Id="rId1035" Type="http://schemas.openxmlformats.org/officeDocument/2006/relationships/hyperlink" Target="http://sports.yahoo.com/nhl/teams/njd" TargetMode="External"/><Relationship Id="rId1242" Type="http://schemas.openxmlformats.org/officeDocument/2006/relationships/hyperlink" Target="http://sports.yahoo.com/nhl/players/4391" TargetMode="External"/><Relationship Id="rId1687" Type="http://schemas.openxmlformats.org/officeDocument/2006/relationships/hyperlink" Target="http://sports.yahoo.com/nhl/teams/phi" TargetMode="External"/><Relationship Id="rId251" Type="http://schemas.openxmlformats.org/officeDocument/2006/relationships/hyperlink" Target="http://sports.yahoo.com/nhl/teams/stl" TargetMode="External"/><Relationship Id="rId489" Type="http://schemas.openxmlformats.org/officeDocument/2006/relationships/hyperlink" Target="http://sports.yahoo.com/nhl/teams/pit" TargetMode="External"/><Relationship Id="rId696" Type="http://schemas.openxmlformats.org/officeDocument/2006/relationships/hyperlink" Target="http://sports.yahoo.com/nhl/players/3110" TargetMode="External"/><Relationship Id="rId917" Type="http://schemas.openxmlformats.org/officeDocument/2006/relationships/hyperlink" Target="http://sports.yahoo.com/nhl/teams/pit" TargetMode="External"/><Relationship Id="rId1102" Type="http://schemas.openxmlformats.org/officeDocument/2006/relationships/hyperlink" Target="http://sports.yahoo.com/nhl/players/3926" TargetMode="External"/><Relationship Id="rId1547" Type="http://schemas.openxmlformats.org/officeDocument/2006/relationships/hyperlink" Target="http://sports.yahoo.com/nhl/teams/san" TargetMode="External"/><Relationship Id="rId1754" Type="http://schemas.openxmlformats.org/officeDocument/2006/relationships/hyperlink" Target="http://sports.yahoo.com/nhl/players/4057" TargetMode="External"/><Relationship Id="rId46" Type="http://schemas.openxmlformats.org/officeDocument/2006/relationships/hyperlink" Target="http://sports.yahoo.com/nhl/players/4261" TargetMode="External"/><Relationship Id="rId349" Type="http://schemas.openxmlformats.org/officeDocument/2006/relationships/hyperlink" Target="http://sports.yahoo.com/nhl/teams/dal" TargetMode="External"/><Relationship Id="rId556" Type="http://schemas.openxmlformats.org/officeDocument/2006/relationships/hyperlink" Target="http://sports.yahoo.com/nhl/players/4263" TargetMode="External"/><Relationship Id="rId763" Type="http://schemas.openxmlformats.org/officeDocument/2006/relationships/hyperlink" Target="http://sports.yahoo.com/nhl/teams/was" TargetMode="External"/><Relationship Id="rId1186" Type="http://schemas.openxmlformats.org/officeDocument/2006/relationships/hyperlink" Target="http://sports.yahoo.com/nhl/players/5713" TargetMode="External"/><Relationship Id="rId1393" Type="http://schemas.openxmlformats.org/officeDocument/2006/relationships/hyperlink" Target="http://sports.yahoo.com/nhl/teams/car" TargetMode="External"/><Relationship Id="rId1407" Type="http://schemas.openxmlformats.org/officeDocument/2006/relationships/hyperlink" Target="http://sports.yahoo.com/nhl/teams/njd" TargetMode="External"/><Relationship Id="rId1614" Type="http://schemas.openxmlformats.org/officeDocument/2006/relationships/hyperlink" Target="http://sports.yahoo.com/nhl/players/5142" TargetMode="External"/><Relationship Id="rId111" Type="http://schemas.openxmlformats.org/officeDocument/2006/relationships/hyperlink" Target="http://sports.yahoo.com/nhl/teams/san" TargetMode="External"/><Relationship Id="rId195" Type="http://schemas.openxmlformats.org/officeDocument/2006/relationships/hyperlink" Target="http://sports.yahoo.com/nhl/teams/min" TargetMode="External"/><Relationship Id="rId209" Type="http://schemas.openxmlformats.org/officeDocument/2006/relationships/hyperlink" Target="http://sports.yahoo.com/nhl/teams/ana" TargetMode="External"/><Relationship Id="rId416" Type="http://schemas.openxmlformats.org/officeDocument/2006/relationships/hyperlink" Target="http://sports.yahoo.com/nhl/players/3571" TargetMode="External"/><Relationship Id="rId970" Type="http://schemas.openxmlformats.org/officeDocument/2006/relationships/hyperlink" Target="http://sports.yahoo.com/nhl/players/6578" TargetMode="External"/><Relationship Id="rId1046" Type="http://schemas.openxmlformats.org/officeDocument/2006/relationships/hyperlink" Target="http://sports.yahoo.com/nhl/players/4025" TargetMode="External"/><Relationship Id="rId1253" Type="http://schemas.openxmlformats.org/officeDocument/2006/relationships/hyperlink" Target="http://sports.yahoo.com/nhl/teams/fla" TargetMode="External"/><Relationship Id="rId1698" Type="http://schemas.openxmlformats.org/officeDocument/2006/relationships/hyperlink" Target="http://sports.yahoo.com/nhl/players/4512" TargetMode="External"/><Relationship Id="rId623" Type="http://schemas.openxmlformats.org/officeDocument/2006/relationships/hyperlink" Target="http://sports.yahoo.com/nhl/teams/fla" TargetMode="External"/><Relationship Id="rId830" Type="http://schemas.openxmlformats.org/officeDocument/2006/relationships/hyperlink" Target="http://sports.yahoo.com/nhl/players/5388" TargetMode="External"/><Relationship Id="rId928" Type="http://schemas.openxmlformats.org/officeDocument/2006/relationships/hyperlink" Target="http://sports.yahoo.com/nhl/players/4744" TargetMode="External"/><Relationship Id="rId1460" Type="http://schemas.openxmlformats.org/officeDocument/2006/relationships/hyperlink" Target="http://sports.yahoo.com/nhl/players/5240" TargetMode="External"/><Relationship Id="rId1558" Type="http://schemas.openxmlformats.org/officeDocument/2006/relationships/hyperlink" Target="http://sports.yahoo.com/nhl/players/5973" TargetMode="External"/><Relationship Id="rId1765" Type="http://schemas.openxmlformats.org/officeDocument/2006/relationships/hyperlink" Target="http://sports.yahoo.com/nhl/teams/tam" TargetMode="External"/><Relationship Id="rId57" Type="http://schemas.openxmlformats.org/officeDocument/2006/relationships/hyperlink" Target="http://sports.yahoo.com/nhl/teams/san" TargetMode="External"/><Relationship Id="rId262" Type="http://schemas.openxmlformats.org/officeDocument/2006/relationships/hyperlink" Target="http://sports.yahoo.com/nhl/players/5238" TargetMode="External"/><Relationship Id="rId567" Type="http://schemas.openxmlformats.org/officeDocument/2006/relationships/hyperlink" Target="http://sports.yahoo.com/nhl/teams/min" TargetMode="External"/><Relationship Id="rId1113" Type="http://schemas.openxmlformats.org/officeDocument/2006/relationships/hyperlink" Target="http://sports.yahoo.com/nhl/teams/dal" TargetMode="External"/><Relationship Id="rId1197" Type="http://schemas.openxmlformats.org/officeDocument/2006/relationships/hyperlink" Target="http://sports.yahoo.com/nhl/teams/mon" TargetMode="External"/><Relationship Id="rId1320" Type="http://schemas.openxmlformats.org/officeDocument/2006/relationships/hyperlink" Target="http://sports.yahoo.com/nhl/players/5009" TargetMode="External"/><Relationship Id="rId1418" Type="http://schemas.openxmlformats.org/officeDocument/2006/relationships/hyperlink" Target="http://sports.yahoo.com/nhl/players/5400" TargetMode="External"/><Relationship Id="rId122" Type="http://schemas.openxmlformats.org/officeDocument/2006/relationships/hyperlink" Target="http://sports.yahoo.com/nhl/players/4241" TargetMode="External"/><Relationship Id="rId774" Type="http://schemas.openxmlformats.org/officeDocument/2006/relationships/hyperlink" Target="http://sports.yahoo.com/nhl/players/3472" TargetMode="External"/><Relationship Id="rId981" Type="http://schemas.openxmlformats.org/officeDocument/2006/relationships/hyperlink" Target="http://sports.yahoo.com/nhl/teams/stl" TargetMode="External"/><Relationship Id="rId1057" Type="http://schemas.openxmlformats.org/officeDocument/2006/relationships/hyperlink" Target="http://sports.yahoo.com/nhl/teams/edm" TargetMode="External"/><Relationship Id="rId1625" Type="http://schemas.openxmlformats.org/officeDocument/2006/relationships/hyperlink" Target="http://sports.yahoo.com/nhl/teams/car" TargetMode="External"/><Relationship Id="rId427" Type="http://schemas.openxmlformats.org/officeDocument/2006/relationships/hyperlink" Target="http://sports.yahoo.com/nhl/teams/edm" TargetMode="External"/><Relationship Id="rId634" Type="http://schemas.openxmlformats.org/officeDocument/2006/relationships/hyperlink" Target="http://sports.yahoo.com/nhl/players/3203" TargetMode="External"/><Relationship Id="rId841" Type="http://schemas.openxmlformats.org/officeDocument/2006/relationships/hyperlink" Target="http://sports.yahoo.com/nhl/teams/njd" TargetMode="External"/><Relationship Id="rId1264" Type="http://schemas.openxmlformats.org/officeDocument/2006/relationships/hyperlink" Target="http://sports.yahoo.com/nhl/players/4868" TargetMode="External"/><Relationship Id="rId1471" Type="http://schemas.openxmlformats.org/officeDocument/2006/relationships/hyperlink" Target="http://sports.yahoo.com/nhl/teams/pit" TargetMode="External"/><Relationship Id="rId1569" Type="http://schemas.openxmlformats.org/officeDocument/2006/relationships/hyperlink" Target="http://sports.yahoo.com/nhl/teams/nas" TargetMode="External"/><Relationship Id="rId273" Type="http://schemas.openxmlformats.org/officeDocument/2006/relationships/hyperlink" Target="http://sports.yahoo.com/nhl/teams/bos" TargetMode="External"/><Relationship Id="rId480" Type="http://schemas.openxmlformats.org/officeDocument/2006/relationships/hyperlink" Target="http://sports.yahoo.com/nhl/players/5714" TargetMode="External"/><Relationship Id="rId701" Type="http://schemas.openxmlformats.org/officeDocument/2006/relationships/hyperlink" Target="http://sports.yahoo.com/nhl/teams/edm" TargetMode="External"/><Relationship Id="rId939" Type="http://schemas.openxmlformats.org/officeDocument/2006/relationships/hyperlink" Target="http://sports.yahoo.com/nhl/teams/tor" TargetMode="External"/><Relationship Id="rId1124" Type="http://schemas.openxmlformats.org/officeDocument/2006/relationships/hyperlink" Target="http://sports.yahoo.com/nhl/players/4478" TargetMode="External"/><Relationship Id="rId1331" Type="http://schemas.openxmlformats.org/officeDocument/2006/relationships/hyperlink" Target="http://sports.yahoo.com/nhl/teams/los" TargetMode="External"/><Relationship Id="rId68" Type="http://schemas.openxmlformats.org/officeDocument/2006/relationships/hyperlink" Target="http://sports.yahoo.com/nhl/players/3788" TargetMode="External"/><Relationship Id="rId133" Type="http://schemas.openxmlformats.org/officeDocument/2006/relationships/hyperlink" Target="http://sports.yahoo.com/nhl/teams/col" TargetMode="External"/><Relationship Id="rId340" Type="http://schemas.openxmlformats.org/officeDocument/2006/relationships/hyperlink" Target="http://sports.yahoo.com/nhl/players/5626" TargetMode="External"/><Relationship Id="rId578" Type="http://schemas.openxmlformats.org/officeDocument/2006/relationships/hyperlink" Target="http://sports.yahoo.com/nhl/players/4695" TargetMode="External"/><Relationship Id="rId785" Type="http://schemas.openxmlformats.org/officeDocument/2006/relationships/hyperlink" Target="http://sports.yahoo.com/nhl/teams/tam" TargetMode="External"/><Relationship Id="rId992" Type="http://schemas.openxmlformats.org/officeDocument/2006/relationships/hyperlink" Target="http://sports.yahoo.com/nhl/players/4323" TargetMode="External"/><Relationship Id="rId1429" Type="http://schemas.openxmlformats.org/officeDocument/2006/relationships/hyperlink" Target="http://sports.yahoo.com/nhl/teams/bos" TargetMode="External"/><Relationship Id="rId1636" Type="http://schemas.openxmlformats.org/officeDocument/2006/relationships/hyperlink" Target="http://sports.yahoo.com/nhl/players/5252" TargetMode="External"/><Relationship Id="rId200" Type="http://schemas.openxmlformats.org/officeDocument/2006/relationships/hyperlink" Target="http://sports.yahoo.com/nhl/players/3759" TargetMode="External"/><Relationship Id="rId438" Type="http://schemas.openxmlformats.org/officeDocument/2006/relationships/hyperlink" Target="http://sports.yahoo.com/nhl/players/4275" TargetMode="External"/><Relationship Id="rId645" Type="http://schemas.openxmlformats.org/officeDocument/2006/relationships/hyperlink" Target="http://sports.yahoo.com/nhl/teams/san" TargetMode="External"/><Relationship Id="rId852" Type="http://schemas.openxmlformats.org/officeDocument/2006/relationships/hyperlink" Target="http://sports.yahoo.com/nhl/players/5345" TargetMode="External"/><Relationship Id="rId1068" Type="http://schemas.openxmlformats.org/officeDocument/2006/relationships/hyperlink" Target="http://sports.yahoo.com/nhl/players/3271" TargetMode="External"/><Relationship Id="rId1275" Type="http://schemas.openxmlformats.org/officeDocument/2006/relationships/hyperlink" Target="http://sports.yahoo.com/nhl/teams/cgy" TargetMode="External"/><Relationship Id="rId1482" Type="http://schemas.openxmlformats.org/officeDocument/2006/relationships/hyperlink" Target="http://sports.yahoo.com/nhl/players/3446" TargetMode="External"/><Relationship Id="rId1703" Type="http://schemas.openxmlformats.org/officeDocument/2006/relationships/hyperlink" Target="http://sports.yahoo.com/nhl/teams/nyr" TargetMode="External"/><Relationship Id="rId284" Type="http://schemas.openxmlformats.org/officeDocument/2006/relationships/hyperlink" Target="http://sports.yahoo.com/nhl/players/4245" TargetMode="External"/><Relationship Id="rId491" Type="http://schemas.openxmlformats.org/officeDocument/2006/relationships/hyperlink" Target="http://sports.yahoo.com/nhl/teams/phi" TargetMode="External"/><Relationship Id="rId505" Type="http://schemas.openxmlformats.org/officeDocument/2006/relationships/hyperlink" Target="http://sports.yahoo.com/nhl/teams/dal" TargetMode="External"/><Relationship Id="rId712" Type="http://schemas.openxmlformats.org/officeDocument/2006/relationships/hyperlink" Target="http://sports.yahoo.com/nhl/players/3287" TargetMode="External"/><Relationship Id="rId1135" Type="http://schemas.openxmlformats.org/officeDocument/2006/relationships/hyperlink" Target="http://sports.yahoo.com/nhl/teams/det" TargetMode="External"/><Relationship Id="rId1342" Type="http://schemas.openxmlformats.org/officeDocument/2006/relationships/hyperlink" Target="http://sports.yahoo.com/nhl/players/5601" TargetMode="External"/><Relationship Id="rId79" Type="http://schemas.openxmlformats.org/officeDocument/2006/relationships/hyperlink" Target="http://sports.yahoo.com/nhl/teams/tam" TargetMode="External"/><Relationship Id="rId144" Type="http://schemas.openxmlformats.org/officeDocument/2006/relationships/hyperlink" Target="http://sports.yahoo.com/nhl/players/4992" TargetMode="External"/><Relationship Id="rId589" Type="http://schemas.openxmlformats.org/officeDocument/2006/relationships/hyperlink" Target="http://sports.yahoo.com/nhl/teams/dal" TargetMode="External"/><Relationship Id="rId796" Type="http://schemas.openxmlformats.org/officeDocument/2006/relationships/hyperlink" Target="http://sports.yahoo.com/nhl/players/2528" TargetMode="External"/><Relationship Id="rId1202" Type="http://schemas.openxmlformats.org/officeDocument/2006/relationships/hyperlink" Target="http://sports.yahoo.com/nhl/players/4641" TargetMode="External"/><Relationship Id="rId1647" Type="http://schemas.openxmlformats.org/officeDocument/2006/relationships/hyperlink" Target="http://sports.yahoo.com/nhl/teams/pit" TargetMode="External"/><Relationship Id="rId351" Type="http://schemas.openxmlformats.org/officeDocument/2006/relationships/hyperlink" Target="http://sports.yahoo.com/nhl/teams/was" TargetMode="External"/><Relationship Id="rId449" Type="http://schemas.openxmlformats.org/officeDocument/2006/relationships/hyperlink" Target="http://sports.yahoo.com/nhl/teams/phi" TargetMode="External"/><Relationship Id="rId656" Type="http://schemas.openxmlformats.org/officeDocument/2006/relationships/hyperlink" Target="http://sports.yahoo.com/nhl/players/3417" TargetMode="External"/><Relationship Id="rId863" Type="http://schemas.openxmlformats.org/officeDocument/2006/relationships/hyperlink" Target="http://sports.yahoo.com/nhl/teams/ott" TargetMode="External"/><Relationship Id="rId1079" Type="http://schemas.openxmlformats.org/officeDocument/2006/relationships/hyperlink" Target="http://sports.yahoo.com/nhl/teams/mon" TargetMode="External"/><Relationship Id="rId1286" Type="http://schemas.openxmlformats.org/officeDocument/2006/relationships/hyperlink" Target="http://sports.yahoo.com/nhl/players/3493" TargetMode="External"/><Relationship Id="rId1493" Type="http://schemas.openxmlformats.org/officeDocument/2006/relationships/hyperlink" Target="http://sports.yahoo.com/nhl/teams/was" TargetMode="External"/><Relationship Id="rId1507" Type="http://schemas.openxmlformats.org/officeDocument/2006/relationships/hyperlink" Target="http://sports.yahoo.com/nhl/teams/edm" TargetMode="External"/><Relationship Id="rId1714" Type="http://schemas.openxmlformats.org/officeDocument/2006/relationships/hyperlink" Target="http://sports.yahoo.com/nhl/players/3974" TargetMode="External"/><Relationship Id="rId211" Type="http://schemas.openxmlformats.org/officeDocument/2006/relationships/hyperlink" Target="http://sports.yahoo.com/nhl/teams/fla" TargetMode="External"/><Relationship Id="rId295" Type="http://schemas.openxmlformats.org/officeDocument/2006/relationships/hyperlink" Target="http://sports.yahoo.com/nhl/teams/los" TargetMode="External"/><Relationship Id="rId309" Type="http://schemas.openxmlformats.org/officeDocument/2006/relationships/hyperlink" Target="http://sports.yahoo.com/nhl/teams/pit" TargetMode="External"/><Relationship Id="rId516" Type="http://schemas.openxmlformats.org/officeDocument/2006/relationships/hyperlink" Target="http://sports.yahoo.com/nhl/players/4492" TargetMode="External"/><Relationship Id="rId1146" Type="http://schemas.openxmlformats.org/officeDocument/2006/relationships/hyperlink" Target="http://sports.yahoo.com/nhl/players/4708" TargetMode="External"/><Relationship Id="rId723" Type="http://schemas.openxmlformats.org/officeDocument/2006/relationships/hyperlink" Target="http://sports.yahoo.com/nhl/teams/buf" TargetMode="External"/><Relationship Id="rId930" Type="http://schemas.openxmlformats.org/officeDocument/2006/relationships/hyperlink" Target="http://sports.yahoo.com/nhl/players/4138" TargetMode="External"/><Relationship Id="rId1006" Type="http://schemas.openxmlformats.org/officeDocument/2006/relationships/hyperlink" Target="http://sports.yahoo.com/nhl/players/5261" TargetMode="External"/><Relationship Id="rId1353" Type="http://schemas.openxmlformats.org/officeDocument/2006/relationships/hyperlink" Target="http://sports.yahoo.com/nhl/teams/cob" TargetMode="External"/><Relationship Id="rId1560" Type="http://schemas.openxmlformats.org/officeDocument/2006/relationships/hyperlink" Target="http://sports.yahoo.com/nhl/players/5977" TargetMode="External"/><Relationship Id="rId1658" Type="http://schemas.openxmlformats.org/officeDocument/2006/relationships/hyperlink" Target="http://sports.yahoo.com/nhl/players/5026" TargetMode="External"/><Relationship Id="rId155" Type="http://schemas.openxmlformats.org/officeDocument/2006/relationships/hyperlink" Target="http://sports.yahoo.com/nhl/teams/fla" TargetMode="External"/><Relationship Id="rId362" Type="http://schemas.openxmlformats.org/officeDocument/2006/relationships/hyperlink" Target="http://sports.yahoo.com/nhl/players/4965" TargetMode="External"/><Relationship Id="rId1213" Type="http://schemas.openxmlformats.org/officeDocument/2006/relationships/hyperlink" Target="http://sports.yahoo.com/nhl/teams/car" TargetMode="External"/><Relationship Id="rId1297" Type="http://schemas.openxmlformats.org/officeDocument/2006/relationships/hyperlink" Target="http://sports.yahoo.com/nhl/teams/cgy" TargetMode="External"/><Relationship Id="rId1420" Type="http://schemas.openxmlformats.org/officeDocument/2006/relationships/hyperlink" Target="http://sports.yahoo.com/nhl/players/5399" TargetMode="External"/><Relationship Id="rId1518" Type="http://schemas.openxmlformats.org/officeDocument/2006/relationships/hyperlink" Target="http://sports.yahoo.com/nhl/players/5436" TargetMode="External"/><Relationship Id="rId222" Type="http://schemas.openxmlformats.org/officeDocument/2006/relationships/hyperlink" Target="http://sports.yahoo.com/nhl/players/4502" TargetMode="External"/><Relationship Id="rId667" Type="http://schemas.openxmlformats.org/officeDocument/2006/relationships/hyperlink" Target="http://sports.yahoo.com/nhl/teams/wpg" TargetMode="External"/><Relationship Id="rId874" Type="http://schemas.openxmlformats.org/officeDocument/2006/relationships/hyperlink" Target="http://sports.yahoo.com/nhl/players/4697" TargetMode="External"/><Relationship Id="rId1725" Type="http://schemas.openxmlformats.org/officeDocument/2006/relationships/hyperlink" Target="http://sports.yahoo.com/nhl/teams/tam" TargetMode="External"/><Relationship Id="rId17" Type="http://schemas.openxmlformats.org/officeDocument/2006/relationships/hyperlink" Target="http://sports.yahoo.com/nhl/teams/was" TargetMode="External"/><Relationship Id="rId527" Type="http://schemas.openxmlformats.org/officeDocument/2006/relationships/hyperlink" Target="http://sports.yahoo.com/nhl/teams/pit" TargetMode="External"/><Relationship Id="rId734" Type="http://schemas.openxmlformats.org/officeDocument/2006/relationships/hyperlink" Target="http://sports.yahoo.com/nhl/players/1868" TargetMode="External"/><Relationship Id="rId941" Type="http://schemas.openxmlformats.org/officeDocument/2006/relationships/hyperlink" Target="http://sports.yahoo.com/nhl/teams/det" TargetMode="External"/><Relationship Id="rId1157" Type="http://schemas.openxmlformats.org/officeDocument/2006/relationships/hyperlink" Target="http://sports.yahoo.com/nhl/teams/ott" TargetMode="External"/><Relationship Id="rId1364" Type="http://schemas.openxmlformats.org/officeDocument/2006/relationships/hyperlink" Target="http://sports.yahoo.com/nhl/players/6255" TargetMode="External"/><Relationship Id="rId1571" Type="http://schemas.openxmlformats.org/officeDocument/2006/relationships/hyperlink" Target="http://sports.yahoo.com/nhl/teams/san" TargetMode="External"/><Relationship Id="rId70" Type="http://schemas.openxmlformats.org/officeDocument/2006/relationships/hyperlink" Target="http://sports.yahoo.com/nhl/players/4240" TargetMode="External"/><Relationship Id="rId166" Type="http://schemas.openxmlformats.org/officeDocument/2006/relationships/hyperlink" Target="http://sports.yahoo.com/nhl/players/3885" TargetMode="External"/><Relationship Id="rId373" Type="http://schemas.openxmlformats.org/officeDocument/2006/relationships/hyperlink" Target="http://sports.yahoo.com/nhl/teams/det" TargetMode="External"/><Relationship Id="rId580" Type="http://schemas.openxmlformats.org/officeDocument/2006/relationships/hyperlink" Target="http://sports.yahoo.com/nhl/players/5232" TargetMode="External"/><Relationship Id="rId801" Type="http://schemas.openxmlformats.org/officeDocument/2006/relationships/hyperlink" Target="http://sports.yahoo.com/nhl/teams/njd" TargetMode="External"/><Relationship Id="rId1017" Type="http://schemas.openxmlformats.org/officeDocument/2006/relationships/hyperlink" Target="http://sports.yahoo.com/nhl/teams/ari" TargetMode="External"/><Relationship Id="rId1224" Type="http://schemas.openxmlformats.org/officeDocument/2006/relationships/hyperlink" Target="http://sports.yahoo.com/nhl/players/4945" TargetMode="External"/><Relationship Id="rId1431" Type="http://schemas.openxmlformats.org/officeDocument/2006/relationships/hyperlink" Target="http://sports.yahoo.com/nhl/teams/pit" TargetMode="External"/><Relationship Id="rId1669" Type="http://schemas.openxmlformats.org/officeDocument/2006/relationships/hyperlink" Target="http://sports.yahoo.com/nhl/teams/min" TargetMode="External"/><Relationship Id="rId1" Type="http://schemas.openxmlformats.org/officeDocument/2006/relationships/hyperlink" Target="http://sports.yahoo.com/nhl/stats/byposition?pos=C,RW,LW,D&amp;conference=NHL&amp;year=season_2014&amp;qualified=1&amp;sort=LAST_NAME" TargetMode="External"/><Relationship Id="rId233" Type="http://schemas.openxmlformats.org/officeDocument/2006/relationships/hyperlink" Target="http://sports.yahoo.com/nhl/teams/nyr" TargetMode="External"/><Relationship Id="rId440" Type="http://schemas.openxmlformats.org/officeDocument/2006/relationships/hyperlink" Target="http://sports.yahoo.com/nhl/players/5410" TargetMode="External"/><Relationship Id="rId678" Type="http://schemas.openxmlformats.org/officeDocument/2006/relationships/hyperlink" Target="http://sports.yahoo.com/nhl/players/2939" TargetMode="External"/><Relationship Id="rId885" Type="http://schemas.openxmlformats.org/officeDocument/2006/relationships/hyperlink" Target="http://sports.yahoo.com/nhl/teams/buf" TargetMode="External"/><Relationship Id="rId1070" Type="http://schemas.openxmlformats.org/officeDocument/2006/relationships/hyperlink" Target="http://sports.yahoo.com/nhl/players/5221" TargetMode="External"/><Relationship Id="rId1529" Type="http://schemas.openxmlformats.org/officeDocument/2006/relationships/hyperlink" Target="http://sports.yahoo.com/nhl/teams/bos" TargetMode="External"/><Relationship Id="rId1736" Type="http://schemas.openxmlformats.org/officeDocument/2006/relationships/hyperlink" Target="http://sports.yahoo.com/nhl/players/3976" TargetMode="External"/><Relationship Id="rId28" Type="http://schemas.openxmlformats.org/officeDocument/2006/relationships/hyperlink" Target="http://sports.yahoo.com/nhl/players/4976" TargetMode="External"/><Relationship Id="rId300" Type="http://schemas.openxmlformats.org/officeDocument/2006/relationships/hyperlink" Target="http://sports.yahoo.com/nhl/players/4265" TargetMode="External"/><Relationship Id="rId538" Type="http://schemas.openxmlformats.org/officeDocument/2006/relationships/hyperlink" Target="http://sports.yahoo.com/nhl/players/2786" TargetMode="External"/><Relationship Id="rId745" Type="http://schemas.openxmlformats.org/officeDocument/2006/relationships/hyperlink" Target="http://sports.yahoo.com/nhl/teams/njd" TargetMode="External"/><Relationship Id="rId952" Type="http://schemas.openxmlformats.org/officeDocument/2006/relationships/hyperlink" Target="http://sports.yahoo.com/nhl/players/3995" TargetMode="External"/><Relationship Id="rId1168" Type="http://schemas.openxmlformats.org/officeDocument/2006/relationships/hyperlink" Target="http://sports.yahoo.com/nhl/players/4832" TargetMode="External"/><Relationship Id="rId1375" Type="http://schemas.openxmlformats.org/officeDocument/2006/relationships/hyperlink" Target="http://sports.yahoo.com/nhl/teams/los" TargetMode="External"/><Relationship Id="rId1582" Type="http://schemas.openxmlformats.org/officeDocument/2006/relationships/hyperlink" Target="http://sports.yahoo.com/nhl/players/2415" TargetMode="External"/><Relationship Id="rId81" Type="http://schemas.openxmlformats.org/officeDocument/2006/relationships/hyperlink" Target="http://sports.yahoo.com/nhl/teams/van" TargetMode="External"/><Relationship Id="rId177" Type="http://schemas.openxmlformats.org/officeDocument/2006/relationships/hyperlink" Target="http://sports.yahoo.com/nhl/teams/pit" TargetMode="External"/><Relationship Id="rId384" Type="http://schemas.openxmlformats.org/officeDocument/2006/relationships/hyperlink" Target="http://sports.yahoo.com/nhl/players/3880" TargetMode="External"/><Relationship Id="rId591" Type="http://schemas.openxmlformats.org/officeDocument/2006/relationships/hyperlink" Target="http://sports.yahoo.com/nhl/teams/dal" TargetMode="External"/><Relationship Id="rId605" Type="http://schemas.openxmlformats.org/officeDocument/2006/relationships/hyperlink" Target="http://sports.yahoo.com/nhl/teams/car" TargetMode="External"/><Relationship Id="rId812" Type="http://schemas.openxmlformats.org/officeDocument/2006/relationships/hyperlink" Target="http://sports.yahoo.com/nhl/players/5405" TargetMode="External"/><Relationship Id="rId1028" Type="http://schemas.openxmlformats.org/officeDocument/2006/relationships/hyperlink" Target="http://sports.yahoo.com/nhl/players/2795" TargetMode="External"/><Relationship Id="rId1235" Type="http://schemas.openxmlformats.org/officeDocument/2006/relationships/hyperlink" Target="http://sports.yahoo.com/nhl/teams/cob" TargetMode="External"/><Relationship Id="rId1442" Type="http://schemas.openxmlformats.org/officeDocument/2006/relationships/hyperlink" Target="http://sports.yahoo.com/nhl/players/5933" TargetMode="External"/><Relationship Id="rId244" Type="http://schemas.openxmlformats.org/officeDocument/2006/relationships/hyperlink" Target="http://sports.yahoo.com/nhl/players/4939" TargetMode="External"/><Relationship Id="rId689" Type="http://schemas.openxmlformats.org/officeDocument/2006/relationships/hyperlink" Target="http://sports.yahoo.com/nhl/teams/ari" TargetMode="External"/><Relationship Id="rId896" Type="http://schemas.openxmlformats.org/officeDocument/2006/relationships/hyperlink" Target="http://sports.yahoo.com/nhl/players/3768" TargetMode="External"/><Relationship Id="rId1081" Type="http://schemas.openxmlformats.org/officeDocument/2006/relationships/hyperlink" Target="http://sports.yahoo.com/nhl/teams/chi" TargetMode="External"/><Relationship Id="rId1302" Type="http://schemas.openxmlformats.org/officeDocument/2006/relationships/hyperlink" Target="http://sports.yahoo.com/nhl/players/4759" TargetMode="External"/><Relationship Id="rId1747" Type="http://schemas.openxmlformats.org/officeDocument/2006/relationships/hyperlink" Target="http://sports.yahoo.com/nhl/teams/nas" TargetMode="External"/><Relationship Id="rId39" Type="http://schemas.openxmlformats.org/officeDocument/2006/relationships/hyperlink" Target="http://sports.yahoo.com/nhl/teams/san" TargetMode="External"/><Relationship Id="rId451" Type="http://schemas.openxmlformats.org/officeDocument/2006/relationships/hyperlink" Target="http://sports.yahoo.com/nhl/teams/tam" TargetMode="External"/><Relationship Id="rId549" Type="http://schemas.openxmlformats.org/officeDocument/2006/relationships/hyperlink" Target="http://sports.yahoo.com/nhl/teams/ott" TargetMode="External"/><Relationship Id="rId756" Type="http://schemas.openxmlformats.org/officeDocument/2006/relationships/hyperlink" Target="http://sports.yahoo.com/nhl/players/2530" TargetMode="External"/><Relationship Id="rId1179" Type="http://schemas.openxmlformats.org/officeDocument/2006/relationships/hyperlink" Target="http://sports.yahoo.com/nhl/teams/bos" TargetMode="External"/><Relationship Id="rId1386" Type="http://schemas.openxmlformats.org/officeDocument/2006/relationships/hyperlink" Target="http://sports.yahoo.com/nhl/players/5117" TargetMode="External"/><Relationship Id="rId1593" Type="http://schemas.openxmlformats.org/officeDocument/2006/relationships/hyperlink" Target="http://sports.yahoo.com/nhl/teams/fla" TargetMode="External"/><Relationship Id="rId1607" Type="http://schemas.openxmlformats.org/officeDocument/2006/relationships/hyperlink" Target="http://sports.yahoo.com/nhl/teams/car" TargetMode="External"/><Relationship Id="rId104" Type="http://schemas.openxmlformats.org/officeDocument/2006/relationships/hyperlink" Target="http://sports.yahoo.com/nhl/players/2418" TargetMode="External"/><Relationship Id="rId188" Type="http://schemas.openxmlformats.org/officeDocument/2006/relationships/hyperlink" Target="http://sports.yahoo.com/nhl/players/5368" TargetMode="External"/><Relationship Id="rId311" Type="http://schemas.openxmlformats.org/officeDocument/2006/relationships/hyperlink" Target="http://sports.yahoo.com/nhl/teams/cob" TargetMode="External"/><Relationship Id="rId395" Type="http://schemas.openxmlformats.org/officeDocument/2006/relationships/hyperlink" Target="http://sports.yahoo.com/nhl/teams/min" TargetMode="External"/><Relationship Id="rId409" Type="http://schemas.openxmlformats.org/officeDocument/2006/relationships/hyperlink" Target="http://sports.yahoo.com/nhl/teams/njd" TargetMode="External"/><Relationship Id="rId963" Type="http://schemas.openxmlformats.org/officeDocument/2006/relationships/hyperlink" Target="http://sports.yahoo.com/nhl/teams/det" TargetMode="External"/><Relationship Id="rId1039" Type="http://schemas.openxmlformats.org/officeDocument/2006/relationships/hyperlink" Target="http://sports.yahoo.com/nhl/teams/stl" TargetMode="External"/><Relationship Id="rId1246" Type="http://schemas.openxmlformats.org/officeDocument/2006/relationships/hyperlink" Target="http://sports.yahoo.com/nhl/players/5184" TargetMode="External"/><Relationship Id="rId92" Type="http://schemas.openxmlformats.org/officeDocument/2006/relationships/hyperlink" Target="http://sports.yahoo.com/nhl/players/2900" TargetMode="External"/><Relationship Id="rId616" Type="http://schemas.openxmlformats.org/officeDocument/2006/relationships/hyperlink" Target="http://sports.yahoo.com/nhl/players/6361" TargetMode="External"/><Relationship Id="rId823" Type="http://schemas.openxmlformats.org/officeDocument/2006/relationships/hyperlink" Target="http://sports.yahoo.com/nhl/teams/nas" TargetMode="External"/><Relationship Id="rId1453" Type="http://schemas.openxmlformats.org/officeDocument/2006/relationships/hyperlink" Target="http://sports.yahoo.com/nhl/teams/stl" TargetMode="External"/><Relationship Id="rId1660" Type="http://schemas.openxmlformats.org/officeDocument/2006/relationships/hyperlink" Target="http://sports.yahoo.com/nhl/players/5387" TargetMode="External"/><Relationship Id="rId1758" Type="http://schemas.openxmlformats.org/officeDocument/2006/relationships/hyperlink" Target="http://sports.yahoo.com/nhl/players/5707" TargetMode="External"/><Relationship Id="rId255" Type="http://schemas.openxmlformats.org/officeDocument/2006/relationships/hyperlink" Target="http://sports.yahoo.com/nhl/teams/fla" TargetMode="External"/><Relationship Id="rId462" Type="http://schemas.openxmlformats.org/officeDocument/2006/relationships/hyperlink" Target="http://sports.yahoo.com/nhl/players/3898" TargetMode="External"/><Relationship Id="rId1092" Type="http://schemas.openxmlformats.org/officeDocument/2006/relationships/hyperlink" Target="http://sports.yahoo.com/nhl/players/4895" TargetMode="External"/><Relationship Id="rId1106" Type="http://schemas.openxmlformats.org/officeDocument/2006/relationships/hyperlink" Target="http://sports.yahoo.com/nhl/players/4689" TargetMode="External"/><Relationship Id="rId1313" Type="http://schemas.openxmlformats.org/officeDocument/2006/relationships/hyperlink" Target="http://sports.yahoo.com/nhl/teams/ott" TargetMode="External"/><Relationship Id="rId1397" Type="http://schemas.openxmlformats.org/officeDocument/2006/relationships/hyperlink" Target="http://sports.yahoo.com/nhl/teams/tam" TargetMode="External"/><Relationship Id="rId1520" Type="http://schemas.openxmlformats.org/officeDocument/2006/relationships/hyperlink" Target="http://sports.yahoo.com/nhl/players/6397" TargetMode="External"/><Relationship Id="rId115" Type="http://schemas.openxmlformats.org/officeDocument/2006/relationships/hyperlink" Target="http://sports.yahoo.com/nhl/teams/col" TargetMode="External"/><Relationship Id="rId322" Type="http://schemas.openxmlformats.org/officeDocument/2006/relationships/hyperlink" Target="http://sports.yahoo.com/nhl/players/4969" TargetMode="External"/><Relationship Id="rId767" Type="http://schemas.openxmlformats.org/officeDocument/2006/relationships/hyperlink" Target="http://sports.yahoo.com/nhl/teams/nyr" TargetMode="External"/><Relationship Id="rId974" Type="http://schemas.openxmlformats.org/officeDocument/2006/relationships/hyperlink" Target="http://sports.yahoo.com/nhl/players/6190" TargetMode="External"/><Relationship Id="rId1618" Type="http://schemas.openxmlformats.org/officeDocument/2006/relationships/hyperlink" Target="http://sports.yahoo.com/nhl/players/2753" TargetMode="External"/><Relationship Id="rId199" Type="http://schemas.openxmlformats.org/officeDocument/2006/relationships/hyperlink" Target="http://sports.yahoo.com/nhl/teams/cgy" TargetMode="External"/><Relationship Id="rId627" Type="http://schemas.openxmlformats.org/officeDocument/2006/relationships/hyperlink" Target="http://sports.yahoo.com/nhl/teams/wpg" TargetMode="External"/><Relationship Id="rId834" Type="http://schemas.openxmlformats.org/officeDocument/2006/relationships/hyperlink" Target="http://sports.yahoo.com/nhl/players/5710" TargetMode="External"/><Relationship Id="rId1257" Type="http://schemas.openxmlformats.org/officeDocument/2006/relationships/hyperlink" Target="http://sports.yahoo.com/nhl/teams/cob" TargetMode="External"/><Relationship Id="rId1464" Type="http://schemas.openxmlformats.org/officeDocument/2006/relationships/hyperlink" Target="http://sports.yahoo.com/nhl/players/6001" TargetMode="External"/><Relationship Id="rId1671" Type="http://schemas.openxmlformats.org/officeDocument/2006/relationships/hyperlink" Target="http://sports.yahoo.com/nhl/teams/cob" TargetMode="External"/><Relationship Id="rId266" Type="http://schemas.openxmlformats.org/officeDocument/2006/relationships/hyperlink" Target="http://sports.yahoo.com/nhl/players/3041" TargetMode="External"/><Relationship Id="rId473" Type="http://schemas.openxmlformats.org/officeDocument/2006/relationships/hyperlink" Target="http://sports.yahoo.com/nhl/teams/min" TargetMode="External"/><Relationship Id="rId680" Type="http://schemas.openxmlformats.org/officeDocument/2006/relationships/hyperlink" Target="http://sports.yahoo.com/nhl/players/4537" TargetMode="External"/><Relationship Id="rId901" Type="http://schemas.openxmlformats.org/officeDocument/2006/relationships/hyperlink" Target="http://sports.yahoo.com/nhl/teams/phi" TargetMode="External"/><Relationship Id="rId1117" Type="http://schemas.openxmlformats.org/officeDocument/2006/relationships/hyperlink" Target="http://sports.yahoo.com/nhl/teams/cob" TargetMode="External"/><Relationship Id="rId1324" Type="http://schemas.openxmlformats.org/officeDocument/2006/relationships/hyperlink" Target="http://sports.yahoo.com/nhl/players/3944" TargetMode="External"/><Relationship Id="rId1531" Type="http://schemas.openxmlformats.org/officeDocument/2006/relationships/hyperlink" Target="http://sports.yahoo.com/nhl/teams/wpg" TargetMode="External"/><Relationship Id="rId1769" Type="http://schemas.openxmlformats.org/officeDocument/2006/relationships/hyperlink" Target="http://sports.yahoo.com/nhl/teams/buf" TargetMode="External"/><Relationship Id="rId30" Type="http://schemas.openxmlformats.org/officeDocument/2006/relationships/hyperlink" Target="http://sports.yahoo.com/nhl/players/2103" TargetMode="External"/><Relationship Id="rId126" Type="http://schemas.openxmlformats.org/officeDocument/2006/relationships/hyperlink" Target="http://sports.yahoo.com/nhl/players/4792" TargetMode="External"/><Relationship Id="rId333" Type="http://schemas.openxmlformats.org/officeDocument/2006/relationships/hyperlink" Target="http://sports.yahoo.com/nhl/teams/tam" TargetMode="External"/><Relationship Id="rId540" Type="http://schemas.openxmlformats.org/officeDocument/2006/relationships/hyperlink" Target="http://sports.yahoo.com/nhl/players/4005" TargetMode="External"/><Relationship Id="rId778" Type="http://schemas.openxmlformats.org/officeDocument/2006/relationships/hyperlink" Target="http://sports.yahoo.com/nhl/players/5018" TargetMode="External"/><Relationship Id="rId985" Type="http://schemas.openxmlformats.org/officeDocument/2006/relationships/hyperlink" Target="http://sports.yahoo.com/nhl/teams/bos" TargetMode="External"/><Relationship Id="rId1170" Type="http://schemas.openxmlformats.org/officeDocument/2006/relationships/hyperlink" Target="http://sports.yahoo.com/nhl/players/1781" TargetMode="External"/><Relationship Id="rId1629" Type="http://schemas.openxmlformats.org/officeDocument/2006/relationships/hyperlink" Target="http://sports.yahoo.com/nhl/teams/cob" TargetMode="External"/><Relationship Id="rId638" Type="http://schemas.openxmlformats.org/officeDocument/2006/relationships/hyperlink" Target="http://sports.yahoo.com/nhl/players/5376" TargetMode="External"/><Relationship Id="rId845" Type="http://schemas.openxmlformats.org/officeDocument/2006/relationships/hyperlink" Target="http://sports.yahoo.com/nhl/teams/phi" TargetMode="External"/><Relationship Id="rId1030" Type="http://schemas.openxmlformats.org/officeDocument/2006/relationships/hyperlink" Target="http://sports.yahoo.com/nhl/players/4828" TargetMode="External"/><Relationship Id="rId1268" Type="http://schemas.openxmlformats.org/officeDocument/2006/relationships/hyperlink" Target="http://sports.yahoo.com/nhl/players/2130" TargetMode="External"/><Relationship Id="rId1475" Type="http://schemas.openxmlformats.org/officeDocument/2006/relationships/hyperlink" Target="http://sports.yahoo.com/nhl/teams/ana" TargetMode="External"/><Relationship Id="rId1682" Type="http://schemas.openxmlformats.org/officeDocument/2006/relationships/hyperlink" Target="http://sports.yahoo.com/nhl/players/4567" TargetMode="External"/><Relationship Id="rId277" Type="http://schemas.openxmlformats.org/officeDocument/2006/relationships/hyperlink" Target="http://sports.yahoo.com/nhl/teams/njd" TargetMode="External"/><Relationship Id="rId400" Type="http://schemas.openxmlformats.org/officeDocument/2006/relationships/hyperlink" Target="http://sports.yahoo.com/nhl/players/3781" TargetMode="External"/><Relationship Id="rId484" Type="http://schemas.openxmlformats.org/officeDocument/2006/relationships/hyperlink" Target="http://sports.yahoo.com/nhl/players/3352" TargetMode="External"/><Relationship Id="rId705" Type="http://schemas.openxmlformats.org/officeDocument/2006/relationships/hyperlink" Target="http://sports.yahoo.com/nhl/teams/was" TargetMode="External"/><Relationship Id="rId1128" Type="http://schemas.openxmlformats.org/officeDocument/2006/relationships/hyperlink" Target="http://sports.yahoo.com/nhl/players/2121" TargetMode="External"/><Relationship Id="rId1335" Type="http://schemas.openxmlformats.org/officeDocument/2006/relationships/hyperlink" Target="http://sports.yahoo.com/nhl/teams/det" TargetMode="External"/><Relationship Id="rId1542" Type="http://schemas.openxmlformats.org/officeDocument/2006/relationships/hyperlink" Target="http://sports.yahoo.com/nhl/players/6340" TargetMode="External"/><Relationship Id="rId137" Type="http://schemas.openxmlformats.org/officeDocument/2006/relationships/hyperlink" Target="http://sports.yahoo.com/nhl/teams/ana" TargetMode="External"/><Relationship Id="rId344" Type="http://schemas.openxmlformats.org/officeDocument/2006/relationships/hyperlink" Target="http://sports.yahoo.com/nhl/players/3345" TargetMode="External"/><Relationship Id="rId691" Type="http://schemas.openxmlformats.org/officeDocument/2006/relationships/hyperlink" Target="http://sports.yahoo.com/nhl/teams/cob" TargetMode="External"/><Relationship Id="rId789" Type="http://schemas.openxmlformats.org/officeDocument/2006/relationships/hyperlink" Target="http://sports.yahoo.com/nhl/teams/det" TargetMode="External"/><Relationship Id="rId912" Type="http://schemas.openxmlformats.org/officeDocument/2006/relationships/hyperlink" Target="http://sports.yahoo.com/nhl/players/3895" TargetMode="External"/><Relationship Id="rId996" Type="http://schemas.openxmlformats.org/officeDocument/2006/relationships/hyperlink" Target="http://sports.yahoo.com/nhl/players/4692" TargetMode="External"/><Relationship Id="rId41" Type="http://schemas.openxmlformats.org/officeDocument/2006/relationships/hyperlink" Target="http://sports.yahoo.com/nhl/teams/pit" TargetMode="External"/><Relationship Id="rId551" Type="http://schemas.openxmlformats.org/officeDocument/2006/relationships/hyperlink" Target="http://sports.yahoo.com/nhl/teams/san" TargetMode="External"/><Relationship Id="rId649" Type="http://schemas.openxmlformats.org/officeDocument/2006/relationships/hyperlink" Target="http://sports.yahoo.com/nhl/teams/ana" TargetMode="External"/><Relationship Id="rId856" Type="http://schemas.openxmlformats.org/officeDocument/2006/relationships/hyperlink" Target="http://sports.yahoo.com/nhl/players/5312" TargetMode="External"/><Relationship Id="rId1181" Type="http://schemas.openxmlformats.org/officeDocument/2006/relationships/hyperlink" Target="http://sports.yahoo.com/nhl/teams/col" TargetMode="External"/><Relationship Id="rId1279" Type="http://schemas.openxmlformats.org/officeDocument/2006/relationships/hyperlink" Target="http://sports.yahoo.com/nhl/teams/van" TargetMode="External"/><Relationship Id="rId1402" Type="http://schemas.openxmlformats.org/officeDocument/2006/relationships/hyperlink" Target="http://sports.yahoo.com/nhl/players/5936" TargetMode="External"/><Relationship Id="rId1486" Type="http://schemas.openxmlformats.org/officeDocument/2006/relationships/hyperlink" Target="http://sports.yahoo.com/nhl/players/3108" TargetMode="External"/><Relationship Id="rId1707" Type="http://schemas.openxmlformats.org/officeDocument/2006/relationships/hyperlink" Target="http://sports.yahoo.com/nhl/teams/tam" TargetMode="External"/><Relationship Id="rId190" Type="http://schemas.openxmlformats.org/officeDocument/2006/relationships/hyperlink" Target="http://sports.yahoo.com/nhl/players/5010" TargetMode="External"/><Relationship Id="rId204" Type="http://schemas.openxmlformats.org/officeDocument/2006/relationships/hyperlink" Target="http://sports.yahoo.com/nhl/players/5120" TargetMode="External"/><Relationship Id="rId288" Type="http://schemas.openxmlformats.org/officeDocument/2006/relationships/hyperlink" Target="http://sports.yahoo.com/nhl/players/4383" TargetMode="External"/><Relationship Id="rId411" Type="http://schemas.openxmlformats.org/officeDocument/2006/relationships/hyperlink" Target="http://sports.yahoo.com/nhl/teams/ott" TargetMode="External"/><Relationship Id="rId509" Type="http://schemas.openxmlformats.org/officeDocument/2006/relationships/hyperlink" Target="http://sports.yahoo.com/nhl/teams/ana" TargetMode="External"/><Relationship Id="rId1041" Type="http://schemas.openxmlformats.org/officeDocument/2006/relationships/hyperlink" Target="http://sports.yahoo.com/nhl/teams/bos" TargetMode="External"/><Relationship Id="rId1139" Type="http://schemas.openxmlformats.org/officeDocument/2006/relationships/hyperlink" Target="http://sports.yahoo.com/nhl/teams/fla" TargetMode="External"/><Relationship Id="rId1346" Type="http://schemas.openxmlformats.org/officeDocument/2006/relationships/hyperlink" Target="http://sports.yahoo.com/nhl/players/5613" TargetMode="External"/><Relationship Id="rId1693" Type="http://schemas.openxmlformats.org/officeDocument/2006/relationships/hyperlink" Target="http://sports.yahoo.com/nhl/teams/ana" TargetMode="External"/><Relationship Id="rId495" Type="http://schemas.openxmlformats.org/officeDocument/2006/relationships/hyperlink" Target="http://sports.yahoo.com/nhl/teams/tam" TargetMode="External"/><Relationship Id="rId716" Type="http://schemas.openxmlformats.org/officeDocument/2006/relationships/hyperlink" Target="http://sports.yahoo.com/nhl/players/4935" TargetMode="External"/><Relationship Id="rId923" Type="http://schemas.openxmlformats.org/officeDocument/2006/relationships/hyperlink" Target="http://sports.yahoo.com/nhl/teams/nas" TargetMode="External"/><Relationship Id="rId1553" Type="http://schemas.openxmlformats.org/officeDocument/2006/relationships/hyperlink" Target="http://sports.yahoo.com/nhl/teams/van" TargetMode="External"/><Relationship Id="rId1760" Type="http://schemas.openxmlformats.org/officeDocument/2006/relationships/hyperlink" Target="http://sports.yahoo.com/nhl/players/5266" TargetMode="External"/><Relationship Id="rId52" Type="http://schemas.openxmlformats.org/officeDocument/2006/relationships/hyperlink" Target="http://sports.yahoo.com/nhl/players/3981" TargetMode="External"/><Relationship Id="rId148" Type="http://schemas.openxmlformats.org/officeDocument/2006/relationships/hyperlink" Target="http://sports.yahoo.com/nhl/players/3776" TargetMode="External"/><Relationship Id="rId355" Type="http://schemas.openxmlformats.org/officeDocument/2006/relationships/hyperlink" Target="http://sports.yahoo.com/nhl/teams/nyi" TargetMode="External"/><Relationship Id="rId562" Type="http://schemas.openxmlformats.org/officeDocument/2006/relationships/hyperlink" Target="http://sports.yahoo.com/nhl/players/3692" TargetMode="External"/><Relationship Id="rId1192" Type="http://schemas.openxmlformats.org/officeDocument/2006/relationships/hyperlink" Target="http://sports.yahoo.com/nhl/players/5374" TargetMode="External"/><Relationship Id="rId1206" Type="http://schemas.openxmlformats.org/officeDocument/2006/relationships/hyperlink" Target="http://sports.yahoo.com/nhl/players/4310" TargetMode="External"/><Relationship Id="rId1413" Type="http://schemas.openxmlformats.org/officeDocument/2006/relationships/hyperlink" Target="http://sports.yahoo.com/nhl/teams/col" TargetMode="External"/><Relationship Id="rId1620" Type="http://schemas.openxmlformats.org/officeDocument/2006/relationships/hyperlink" Target="http://sports.yahoo.com/nhl/players/3565" TargetMode="External"/><Relationship Id="rId215" Type="http://schemas.openxmlformats.org/officeDocument/2006/relationships/hyperlink" Target="http://sports.yahoo.com/nhl/teams/los" TargetMode="External"/><Relationship Id="rId422" Type="http://schemas.openxmlformats.org/officeDocument/2006/relationships/hyperlink" Target="http://sports.yahoo.com/nhl/players/4352" TargetMode="External"/><Relationship Id="rId867" Type="http://schemas.openxmlformats.org/officeDocument/2006/relationships/hyperlink" Target="http://sports.yahoo.com/nhl/teams/col" TargetMode="External"/><Relationship Id="rId1052" Type="http://schemas.openxmlformats.org/officeDocument/2006/relationships/hyperlink" Target="http://sports.yahoo.com/nhl/players/5251" TargetMode="External"/><Relationship Id="rId1497" Type="http://schemas.openxmlformats.org/officeDocument/2006/relationships/hyperlink" Target="http://sports.yahoo.com/nhl/teams/njd" TargetMode="External"/><Relationship Id="rId1718" Type="http://schemas.openxmlformats.org/officeDocument/2006/relationships/hyperlink" Target="http://sports.yahoo.com/nhl/players/5819" TargetMode="External"/><Relationship Id="rId299" Type="http://schemas.openxmlformats.org/officeDocument/2006/relationships/hyperlink" Target="http://sports.yahoo.com/nhl/teams/los" TargetMode="External"/><Relationship Id="rId727" Type="http://schemas.openxmlformats.org/officeDocument/2006/relationships/hyperlink" Target="http://sports.yahoo.com/nhl/teams/car" TargetMode="External"/><Relationship Id="rId934" Type="http://schemas.openxmlformats.org/officeDocument/2006/relationships/hyperlink" Target="http://sports.yahoo.com/nhl/players/3796" TargetMode="External"/><Relationship Id="rId1357" Type="http://schemas.openxmlformats.org/officeDocument/2006/relationships/hyperlink" Target="http://sports.yahoo.com/nhl/teams/ott" TargetMode="External"/><Relationship Id="rId1564" Type="http://schemas.openxmlformats.org/officeDocument/2006/relationships/hyperlink" Target="http://sports.yahoo.com/nhl/players/6718" TargetMode="External"/><Relationship Id="rId63" Type="http://schemas.openxmlformats.org/officeDocument/2006/relationships/hyperlink" Target="http://sports.yahoo.com/nhl/teams/tam" TargetMode="External"/><Relationship Id="rId159" Type="http://schemas.openxmlformats.org/officeDocument/2006/relationships/hyperlink" Target="http://sports.yahoo.com/nhl/teams/pit" TargetMode="External"/><Relationship Id="rId366" Type="http://schemas.openxmlformats.org/officeDocument/2006/relationships/hyperlink" Target="http://sports.yahoo.com/nhl/players/1354" TargetMode="External"/><Relationship Id="rId573" Type="http://schemas.openxmlformats.org/officeDocument/2006/relationships/hyperlink" Target="http://sports.yahoo.com/nhl/teams/nyr" TargetMode="External"/><Relationship Id="rId780" Type="http://schemas.openxmlformats.org/officeDocument/2006/relationships/hyperlink" Target="http://sports.yahoo.com/nhl/players/5976" TargetMode="External"/><Relationship Id="rId1217" Type="http://schemas.openxmlformats.org/officeDocument/2006/relationships/hyperlink" Target="http://sports.yahoo.com/nhl/teams/phi" TargetMode="External"/><Relationship Id="rId1424" Type="http://schemas.openxmlformats.org/officeDocument/2006/relationships/hyperlink" Target="http://sports.yahoo.com/nhl/players/4982" TargetMode="External"/><Relationship Id="rId1631" Type="http://schemas.openxmlformats.org/officeDocument/2006/relationships/hyperlink" Target="http://sports.yahoo.com/nhl/teams/edm" TargetMode="External"/><Relationship Id="rId226" Type="http://schemas.openxmlformats.org/officeDocument/2006/relationships/hyperlink" Target="http://sports.yahoo.com/nhl/players/5683" TargetMode="External"/><Relationship Id="rId433" Type="http://schemas.openxmlformats.org/officeDocument/2006/relationships/hyperlink" Target="http://sports.yahoo.com/nhl/teams/nyi" TargetMode="External"/><Relationship Id="rId878" Type="http://schemas.openxmlformats.org/officeDocument/2006/relationships/hyperlink" Target="http://sports.yahoo.com/nhl/players/3411" TargetMode="External"/><Relationship Id="rId1063" Type="http://schemas.openxmlformats.org/officeDocument/2006/relationships/hyperlink" Target="http://sports.yahoo.com/nhl/teams/tor" TargetMode="External"/><Relationship Id="rId1270" Type="http://schemas.openxmlformats.org/officeDocument/2006/relationships/hyperlink" Target="http://sports.yahoo.com/nhl/players/3949" TargetMode="External"/><Relationship Id="rId1729" Type="http://schemas.openxmlformats.org/officeDocument/2006/relationships/hyperlink" Target="http://sports.yahoo.com/nhl/teams/los" TargetMode="External"/><Relationship Id="rId640" Type="http://schemas.openxmlformats.org/officeDocument/2006/relationships/hyperlink" Target="http://sports.yahoo.com/nhl/players/4710" TargetMode="External"/><Relationship Id="rId738" Type="http://schemas.openxmlformats.org/officeDocument/2006/relationships/hyperlink" Target="http://sports.yahoo.com/nhl/players/5295" TargetMode="External"/><Relationship Id="rId945" Type="http://schemas.openxmlformats.org/officeDocument/2006/relationships/hyperlink" Target="http://sports.yahoo.com/nhl/teams/edm" TargetMode="External"/><Relationship Id="rId1368" Type="http://schemas.openxmlformats.org/officeDocument/2006/relationships/hyperlink" Target="http://sports.yahoo.com/nhl/players/5570" TargetMode="External"/><Relationship Id="rId1575" Type="http://schemas.openxmlformats.org/officeDocument/2006/relationships/hyperlink" Target="http://sports.yahoo.com/nhl/teams/tor" TargetMode="External"/><Relationship Id="rId74" Type="http://schemas.openxmlformats.org/officeDocument/2006/relationships/hyperlink" Target="http://sports.yahoo.com/nhl/players/4498" TargetMode="External"/><Relationship Id="rId377" Type="http://schemas.openxmlformats.org/officeDocument/2006/relationships/hyperlink" Target="http://sports.yahoo.com/nhl/teams/min" TargetMode="External"/><Relationship Id="rId500" Type="http://schemas.openxmlformats.org/officeDocument/2006/relationships/hyperlink" Target="http://sports.yahoo.com/nhl/players/3347" TargetMode="External"/><Relationship Id="rId584" Type="http://schemas.openxmlformats.org/officeDocument/2006/relationships/hyperlink" Target="http://sports.yahoo.com/nhl/players/4153" TargetMode="External"/><Relationship Id="rId805" Type="http://schemas.openxmlformats.org/officeDocument/2006/relationships/hyperlink" Target="http://sports.yahoo.com/nhl/teams/mon" TargetMode="External"/><Relationship Id="rId1130" Type="http://schemas.openxmlformats.org/officeDocument/2006/relationships/hyperlink" Target="http://sports.yahoo.com/nhl/players/5190" TargetMode="External"/><Relationship Id="rId1228" Type="http://schemas.openxmlformats.org/officeDocument/2006/relationships/hyperlink" Target="http://sports.yahoo.com/nhl/players/4148" TargetMode="External"/><Relationship Id="rId1435" Type="http://schemas.openxmlformats.org/officeDocument/2006/relationships/hyperlink" Target="http://sports.yahoo.com/nhl/teams/wpg" TargetMode="External"/><Relationship Id="rId5" Type="http://schemas.openxmlformats.org/officeDocument/2006/relationships/hyperlink" Target="http://sports.yahoo.com/nhl/stats/byposition?pos=C,RW,LW,D&amp;conference=NHL&amp;year=season_2014&amp;qualified=1&amp;sort=2" TargetMode="External"/><Relationship Id="rId237" Type="http://schemas.openxmlformats.org/officeDocument/2006/relationships/hyperlink" Target="http://sports.yahoo.com/nhl/teams/chi" TargetMode="External"/><Relationship Id="rId791" Type="http://schemas.openxmlformats.org/officeDocument/2006/relationships/hyperlink" Target="http://sports.yahoo.com/nhl/teams/nas" TargetMode="External"/><Relationship Id="rId889" Type="http://schemas.openxmlformats.org/officeDocument/2006/relationships/hyperlink" Target="http://sports.yahoo.com/nhl/teams/van" TargetMode="External"/><Relationship Id="rId1074" Type="http://schemas.openxmlformats.org/officeDocument/2006/relationships/hyperlink" Target="http://sports.yahoo.com/nhl/players/5641" TargetMode="External"/><Relationship Id="rId1642" Type="http://schemas.openxmlformats.org/officeDocument/2006/relationships/hyperlink" Target="http://sports.yahoo.com/nhl/players/5397" TargetMode="External"/><Relationship Id="rId444" Type="http://schemas.openxmlformats.org/officeDocument/2006/relationships/hyperlink" Target="http://sports.yahoo.com/nhl/players/4251" TargetMode="External"/><Relationship Id="rId651" Type="http://schemas.openxmlformats.org/officeDocument/2006/relationships/hyperlink" Target="http://sports.yahoo.com/nhl/teams/wpg" TargetMode="External"/><Relationship Id="rId749" Type="http://schemas.openxmlformats.org/officeDocument/2006/relationships/hyperlink" Target="http://sports.yahoo.com/nhl/teams/tam" TargetMode="External"/><Relationship Id="rId1281" Type="http://schemas.openxmlformats.org/officeDocument/2006/relationships/hyperlink" Target="http://sports.yahoo.com/nhl/teams/bos" TargetMode="External"/><Relationship Id="rId1379" Type="http://schemas.openxmlformats.org/officeDocument/2006/relationships/hyperlink" Target="http://sports.yahoo.com/nhl/teams/det" TargetMode="External"/><Relationship Id="rId1502" Type="http://schemas.openxmlformats.org/officeDocument/2006/relationships/hyperlink" Target="http://sports.yahoo.com/nhl/players/5452" TargetMode="External"/><Relationship Id="rId1586" Type="http://schemas.openxmlformats.org/officeDocument/2006/relationships/hyperlink" Target="http://sports.yahoo.com/nhl/players/3666" TargetMode="External"/><Relationship Id="rId290" Type="http://schemas.openxmlformats.org/officeDocument/2006/relationships/hyperlink" Target="http://sports.yahoo.com/nhl/players/5928" TargetMode="External"/><Relationship Id="rId304" Type="http://schemas.openxmlformats.org/officeDocument/2006/relationships/hyperlink" Target="http://sports.yahoo.com/nhl/players/5639" TargetMode="External"/><Relationship Id="rId388" Type="http://schemas.openxmlformats.org/officeDocument/2006/relationships/hyperlink" Target="http://sports.yahoo.com/nhl/players/4959" TargetMode="External"/><Relationship Id="rId511" Type="http://schemas.openxmlformats.org/officeDocument/2006/relationships/hyperlink" Target="http://sports.yahoo.com/nhl/teams/mon" TargetMode="External"/><Relationship Id="rId609" Type="http://schemas.openxmlformats.org/officeDocument/2006/relationships/hyperlink" Target="http://sports.yahoo.com/nhl/teams/tor" TargetMode="External"/><Relationship Id="rId956" Type="http://schemas.openxmlformats.org/officeDocument/2006/relationships/hyperlink" Target="http://sports.yahoo.com/nhl/players/1949" TargetMode="External"/><Relationship Id="rId1141" Type="http://schemas.openxmlformats.org/officeDocument/2006/relationships/hyperlink" Target="http://sports.yahoo.com/nhl/teams/det" TargetMode="External"/><Relationship Id="rId1239" Type="http://schemas.openxmlformats.org/officeDocument/2006/relationships/hyperlink" Target="http://sports.yahoo.com/nhl/teams/buf" TargetMode="External"/><Relationship Id="rId85" Type="http://schemas.openxmlformats.org/officeDocument/2006/relationships/hyperlink" Target="http://sports.yahoo.com/nhl/teams/wpg" TargetMode="External"/><Relationship Id="rId150" Type="http://schemas.openxmlformats.org/officeDocument/2006/relationships/hyperlink" Target="http://sports.yahoo.com/nhl/players/2994" TargetMode="External"/><Relationship Id="rId595" Type="http://schemas.openxmlformats.org/officeDocument/2006/relationships/hyperlink" Target="http://sports.yahoo.com/nhl/teams/det" TargetMode="External"/><Relationship Id="rId816" Type="http://schemas.openxmlformats.org/officeDocument/2006/relationships/hyperlink" Target="http://sports.yahoo.com/nhl/players/5371" TargetMode="External"/><Relationship Id="rId1001" Type="http://schemas.openxmlformats.org/officeDocument/2006/relationships/hyperlink" Target="http://sports.yahoo.com/nhl/teams/phi" TargetMode="External"/><Relationship Id="rId1446" Type="http://schemas.openxmlformats.org/officeDocument/2006/relationships/hyperlink" Target="http://sports.yahoo.com/nhl/players/4891" TargetMode="External"/><Relationship Id="rId1653" Type="http://schemas.openxmlformats.org/officeDocument/2006/relationships/hyperlink" Target="http://sports.yahoo.com/nhl/teams/mon" TargetMode="External"/><Relationship Id="rId248" Type="http://schemas.openxmlformats.org/officeDocument/2006/relationships/hyperlink" Target="http://sports.yahoo.com/nhl/players/5396" TargetMode="External"/><Relationship Id="rId455" Type="http://schemas.openxmlformats.org/officeDocument/2006/relationships/hyperlink" Target="http://sports.yahoo.com/nhl/teams/ari" TargetMode="External"/><Relationship Id="rId662" Type="http://schemas.openxmlformats.org/officeDocument/2006/relationships/hyperlink" Target="http://sports.yahoo.com/nhl/players/3262" TargetMode="External"/><Relationship Id="rId1085" Type="http://schemas.openxmlformats.org/officeDocument/2006/relationships/hyperlink" Target="http://sports.yahoo.com/nhl/teams/stl" TargetMode="External"/><Relationship Id="rId1292" Type="http://schemas.openxmlformats.org/officeDocument/2006/relationships/hyperlink" Target="http://sports.yahoo.com/nhl/players/3208" TargetMode="External"/><Relationship Id="rId1306" Type="http://schemas.openxmlformats.org/officeDocument/2006/relationships/hyperlink" Target="http://sports.yahoo.com/nhl/players/5257" TargetMode="External"/><Relationship Id="rId1513" Type="http://schemas.openxmlformats.org/officeDocument/2006/relationships/hyperlink" Target="http://sports.yahoo.com/nhl/teams/njd" TargetMode="External"/><Relationship Id="rId1720" Type="http://schemas.openxmlformats.org/officeDocument/2006/relationships/hyperlink" Target="http://sports.yahoo.com/nhl/players/4780" TargetMode="External"/><Relationship Id="rId12" Type="http://schemas.openxmlformats.org/officeDocument/2006/relationships/hyperlink" Target="http://sports.yahoo.com/nhl/players/4246" TargetMode="External"/><Relationship Id="rId108" Type="http://schemas.openxmlformats.org/officeDocument/2006/relationships/hyperlink" Target="http://sports.yahoo.com/nhl/players/3005" TargetMode="External"/><Relationship Id="rId315" Type="http://schemas.openxmlformats.org/officeDocument/2006/relationships/hyperlink" Target="http://sports.yahoo.com/nhl/teams/tor" TargetMode="External"/><Relationship Id="rId522" Type="http://schemas.openxmlformats.org/officeDocument/2006/relationships/hyperlink" Target="http://sports.yahoo.com/nhl/players/4485" TargetMode="External"/><Relationship Id="rId967" Type="http://schemas.openxmlformats.org/officeDocument/2006/relationships/hyperlink" Target="http://sports.yahoo.com/nhl/teams/ott" TargetMode="External"/><Relationship Id="rId1152" Type="http://schemas.openxmlformats.org/officeDocument/2006/relationships/hyperlink" Target="http://sports.yahoo.com/nhl/players/3024" TargetMode="External"/><Relationship Id="rId1597" Type="http://schemas.openxmlformats.org/officeDocument/2006/relationships/hyperlink" Target="http://sports.yahoo.com/nhl/teams/cgy" TargetMode="External"/><Relationship Id="rId96" Type="http://schemas.openxmlformats.org/officeDocument/2006/relationships/hyperlink" Target="http://sports.yahoo.com/nhl/players/1640" TargetMode="External"/><Relationship Id="rId161" Type="http://schemas.openxmlformats.org/officeDocument/2006/relationships/hyperlink" Target="http://sports.yahoo.com/nhl/teams/col" TargetMode="External"/><Relationship Id="rId399" Type="http://schemas.openxmlformats.org/officeDocument/2006/relationships/hyperlink" Target="http://sports.yahoo.com/nhl/teams/njd" TargetMode="External"/><Relationship Id="rId827" Type="http://schemas.openxmlformats.org/officeDocument/2006/relationships/hyperlink" Target="http://sports.yahoo.com/nhl/teams/dal" TargetMode="External"/><Relationship Id="rId1012" Type="http://schemas.openxmlformats.org/officeDocument/2006/relationships/hyperlink" Target="http://sports.yahoo.com/nhl/players/3438" TargetMode="External"/><Relationship Id="rId1457" Type="http://schemas.openxmlformats.org/officeDocument/2006/relationships/hyperlink" Target="http://sports.yahoo.com/nhl/teams/was" TargetMode="External"/><Relationship Id="rId1664" Type="http://schemas.openxmlformats.org/officeDocument/2006/relationships/hyperlink" Target="http://sports.yahoo.com/nhl/players/5636" TargetMode="External"/><Relationship Id="rId259" Type="http://schemas.openxmlformats.org/officeDocument/2006/relationships/hyperlink" Target="http://sports.yahoo.com/nhl/teams/fla" TargetMode="External"/><Relationship Id="rId466" Type="http://schemas.openxmlformats.org/officeDocument/2006/relationships/hyperlink" Target="http://sports.yahoo.com/nhl/players/5697" TargetMode="External"/><Relationship Id="rId673" Type="http://schemas.openxmlformats.org/officeDocument/2006/relationships/hyperlink" Target="http://sports.yahoo.com/nhl/teams/was" TargetMode="External"/><Relationship Id="rId880" Type="http://schemas.openxmlformats.org/officeDocument/2006/relationships/hyperlink" Target="http://sports.yahoo.com/nhl/players/3655" TargetMode="External"/><Relationship Id="rId1096" Type="http://schemas.openxmlformats.org/officeDocument/2006/relationships/hyperlink" Target="http://sports.yahoo.com/nhl/players/3824" TargetMode="External"/><Relationship Id="rId1317" Type="http://schemas.openxmlformats.org/officeDocument/2006/relationships/hyperlink" Target="http://sports.yahoo.com/nhl/teams/cob" TargetMode="External"/><Relationship Id="rId1524" Type="http://schemas.openxmlformats.org/officeDocument/2006/relationships/hyperlink" Target="http://sports.yahoo.com/nhl/players/5420" TargetMode="External"/><Relationship Id="rId1731" Type="http://schemas.openxmlformats.org/officeDocument/2006/relationships/hyperlink" Target="http://sports.yahoo.com/nhl/teams/col" TargetMode="External"/><Relationship Id="rId23" Type="http://schemas.openxmlformats.org/officeDocument/2006/relationships/hyperlink" Target="http://sports.yahoo.com/nhl/teams/van" TargetMode="External"/><Relationship Id="rId119" Type="http://schemas.openxmlformats.org/officeDocument/2006/relationships/hyperlink" Target="http://sports.yahoo.com/nhl/teams/san" TargetMode="External"/><Relationship Id="rId326" Type="http://schemas.openxmlformats.org/officeDocument/2006/relationships/hyperlink" Target="http://sports.yahoo.com/nhl/players/5984" TargetMode="External"/><Relationship Id="rId533" Type="http://schemas.openxmlformats.org/officeDocument/2006/relationships/hyperlink" Target="http://sports.yahoo.com/nhl/teams/nas" TargetMode="External"/><Relationship Id="rId978" Type="http://schemas.openxmlformats.org/officeDocument/2006/relationships/hyperlink" Target="http://sports.yahoo.com/nhl/players/3735" TargetMode="External"/><Relationship Id="rId1163" Type="http://schemas.openxmlformats.org/officeDocument/2006/relationships/hyperlink" Target="http://sports.yahoo.com/nhl/teams/pit" TargetMode="External"/><Relationship Id="rId1370" Type="http://schemas.openxmlformats.org/officeDocument/2006/relationships/hyperlink" Target="http://sports.yahoo.com/nhl/players/6294" TargetMode="External"/><Relationship Id="rId740" Type="http://schemas.openxmlformats.org/officeDocument/2006/relationships/hyperlink" Target="http://sports.yahoo.com/nhl/players/1700" TargetMode="External"/><Relationship Id="rId838" Type="http://schemas.openxmlformats.org/officeDocument/2006/relationships/hyperlink" Target="http://sports.yahoo.com/nhl/players/3741" TargetMode="External"/><Relationship Id="rId1023" Type="http://schemas.openxmlformats.org/officeDocument/2006/relationships/hyperlink" Target="http://sports.yahoo.com/nhl/teams/van" TargetMode="External"/><Relationship Id="rId1468" Type="http://schemas.openxmlformats.org/officeDocument/2006/relationships/hyperlink" Target="http://sports.yahoo.com/nhl/players/5203" TargetMode="External"/><Relationship Id="rId1675" Type="http://schemas.openxmlformats.org/officeDocument/2006/relationships/hyperlink" Target="http://sports.yahoo.com/nhl/teams/phi" TargetMode="External"/><Relationship Id="rId172" Type="http://schemas.openxmlformats.org/officeDocument/2006/relationships/hyperlink" Target="http://sports.yahoo.com/nhl/players/1772" TargetMode="External"/><Relationship Id="rId477" Type="http://schemas.openxmlformats.org/officeDocument/2006/relationships/hyperlink" Target="http://sports.yahoo.com/nhl/teams/ana" TargetMode="External"/><Relationship Id="rId600" Type="http://schemas.openxmlformats.org/officeDocument/2006/relationships/hyperlink" Target="http://sports.yahoo.com/nhl/players/3990" TargetMode="External"/><Relationship Id="rId684" Type="http://schemas.openxmlformats.org/officeDocument/2006/relationships/hyperlink" Target="http://sports.yahoo.com/nhl/players/5695" TargetMode="External"/><Relationship Id="rId1230" Type="http://schemas.openxmlformats.org/officeDocument/2006/relationships/hyperlink" Target="http://sports.yahoo.com/nhl/players/5019" TargetMode="External"/><Relationship Id="rId1328" Type="http://schemas.openxmlformats.org/officeDocument/2006/relationships/hyperlink" Target="http://sports.yahoo.com/nhl/players/4630" TargetMode="External"/><Relationship Id="rId1535" Type="http://schemas.openxmlformats.org/officeDocument/2006/relationships/hyperlink" Target="http://sports.yahoo.com/nhl/teams/ari" TargetMode="External"/><Relationship Id="rId337" Type="http://schemas.openxmlformats.org/officeDocument/2006/relationships/hyperlink" Target="http://sports.yahoo.com/nhl/teams/chi" TargetMode="External"/><Relationship Id="rId891" Type="http://schemas.openxmlformats.org/officeDocument/2006/relationships/hyperlink" Target="http://sports.yahoo.com/nhl/teams/bos" TargetMode="External"/><Relationship Id="rId905" Type="http://schemas.openxmlformats.org/officeDocument/2006/relationships/hyperlink" Target="http://sports.yahoo.com/nhl/teams/nyr" TargetMode="External"/><Relationship Id="rId989" Type="http://schemas.openxmlformats.org/officeDocument/2006/relationships/hyperlink" Target="http://sports.yahoo.com/nhl/teams/col" TargetMode="External"/><Relationship Id="rId1742" Type="http://schemas.openxmlformats.org/officeDocument/2006/relationships/hyperlink" Target="http://sports.yahoo.com/nhl/players/5213" TargetMode="External"/><Relationship Id="rId34" Type="http://schemas.openxmlformats.org/officeDocument/2006/relationships/hyperlink" Target="http://sports.yahoo.com/nhl/players/5256" TargetMode="External"/><Relationship Id="rId544" Type="http://schemas.openxmlformats.org/officeDocument/2006/relationships/hyperlink" Target="http://sports.yahoo.com/nhl/players/3351" TargetMode="External"/><Relationship Id="rId751" Type="http://schemas.openxmlformats.org/officeDocument/2006/relationships/hyperlink" Target="http://sports.yahoo.com/nhl/teams/nyi" TargetMode="External"/><Relationship Id="rId849" Type="http://schemas.openxmlformats.org/officeDocument/2006/relationships/hyperlink" Target="http://sports.yahoo.com/nhl/teams/fla" TargetMode="External"/><Relationship Id="rId1174" Type="http://schemas.openxmlformats.org/officeDocument/2006/relationships/hyperlink" Target="http://sports.yahoo.com/nhl/players/5381" TargetMode="External"/><Relationship Id="rId1381" Type="http://schemas.openxmlformats.org/officeDocument/2006/relationships/hyperlink" Target="http://sports.yahoo.com/nhl/teams/njd" TargetMode="External"/><Relationship Id="rId1479" Type="http://schemas.openxmlformats.org/officeDocument/2006/relationships/hyperlink" Target="http://sports.yahoo.com/nhl/teams/cob" TargetMode="External"/><Relationship Id="rId1602" Type="http://schemas.openxmlformats.org/officeDocument/2006/relationships/hyperlink" Target="http://sports.yahoo.com/nhl/players/6009" TargetMode="External"/><Relationship Id="rId1686" Type="http://schemas.openxmlformats.org/officeDocument/2006/relationships/hyperlink" Target="http://sports.yahoo.com/nhl/players/5264" TargetMode="External"/><Relationship Id="rId183" Type="http://schemas.openxmlformats.org/officeDocument/2006/relationships/hyperlink" Target="http://sports.yahoo.com/nhl/teams/phi" TargetMode="External"/><Relationship Id="rId390" Type="http://schemas.openxmlformats.org/officeDocument/2006/relationships/hyperlink" Target="http://sports.yahoo.com/nhl/players/3577" TargetMode="External"/><Relationship Id="rId404" Type="http://schemas.openxmlformats.org/officeDocument/2006/relationships/hyperlink" Target="http://sports.yahoo.com/nhl/players/3249" TargetMode="External"/><Relationship Id="rId611" Type="http://schemas.openxmlformats.org/officeDocument/2006/relationships/hyperlink" Target="http://sports.yahoo.com/nhl/teams/fla" TargetMode="External"/><Relationship Id="rId1034" Type="http://schemas.openxmlformats.org/officeDocument/2006/relationships/hyperlink" Target="http://sports.yahoo.com/nhl/players/1485" TargetMode="External"/><Relationship Id="rId1241" Type="http://schemas.openxmlformats.org/officeDocument/2006/relationships/hyperlink" Target="http://sports.yahoo.com/nhl/teams/cob" TargetMode="External"/><Relationship Id="rId1339" Type="http://schemas.openxmlformats.org/officeDocument/2006/relationships/hyperlink" Target="http://sports.yahoo.com/nhl/teams/ana" TargetMode="External"/><Relationship Id="rId250" Type="http://schemas.openxmlformats.org/officeDocument/2006/relationships/hyperlink" Target="http://sports.yahoo.com/nhl/players/4253" TargetMode="External"/><Relationship Id="rId488" Type="http://schemas.openxmlformats.org/officeDocument/2006/relationships/hyperlink" Target="http://sports.yahoo.com/nhl/players/3835" TargetMode="External"/><Relationship Id="rId695" Type="http://schemas.openxmlformats.org/officeDocument/2006/relationships/hyperlink" Target="http://sports.yahoo.com/nhl/teams/was" TargetMode="External"/><Relationship Id="rId709" Type="http://schemas.openxmlformats.org/officeDocument/2006/relationships/hyperlink" Target="http://sports.yahoo.com/nhl/teams/mon" TargetMode="External"/><Relationship Id="rId916" Type="http://schemas.openxmlformats.org/officeDocument/2006/relationships/hyperlink" Target="http://sports.yahoo.com/nhl/players/4517" TargetMode="External"/><Relationship Id="rId1101" Type="http://schemas.openxmlformats.org/officeDocument/2006/relationships/hyperlink" Target="http://sports.yahoo.com/nhl/teams/ari" TargetMode="External"/><Relationship Id="rId1546" Type="http://schemas.openxmlformats.org/officeDocument/2006/relationships/hyperlink" Target="http://sports.yahoo.com/nhl/players/4392" TargetMode="External"/><Relationship Id="rId1753" Type="http://schemas.openxmlformats.org/officeDocument/2006/relationships/hyperlink" Target="http://sports.yahoo.com/nhl/teams/chi" TargetMode="External"/><Relationship Id="rId45" Type="http://schemas.openxmlformats.org/officeDocument/2006/relationships/hyperlink" Target="http://sports.yahoo.com/nhl/teams/nyr" TargetMode="External"/><Relationship Id="rId110" Type="http://schemas.openxmlformats.org/officeDocument/2006/relationships/hyperlink" Target="http://sports.yahoo.com/nhl/players/3358" TargetMode="External"/><Relationship Id="rId348" Type="http://schemas.openxmlformats.org/officeDocument/2006/relationships/hyperlink" Target="http://sports.yahoo.com/nhl/players/3184" TargetMode="External"/><Relationship Id="rId555" Type="http://schemas.openxmlformats.org/officeDocument/2006/relationships/hyperlink" Target="http://sports.yahoo.com/nhl/teams/mon" TargetMode="External"/><Relationship Id="rId762" Type="http://schemas.openxmlformats.org/officeDocument/2006/relationships/hyperlink" Target="http://sports.yahoo.com/nhl/players/2491" TargetMode="External"/><Relationship Id="rId1185" Type="http://schemas.openxmlformats.org/officeDocument/2006/relationships/hyperlink" Target="http://sports.yahoo.com/nhl/teams/ari" TargetMode="External"/><Relationship Id="rId1392" Type="http://schemas.openxmlformats.org/officeDocument/2006/relationships/hyperlink" Target="http://sports.yahoo.com/nhl/players/5040" TargetMode="External"/><Relationship Id="rId1406" Type="http://schemas.openxmlformats.org/officeDocument/2006/relationships/hyperlink" Target="http://sports.yahoo.com/nhl/players/4037" TargetMode="External"/><Relationship Id="rId1613" Type="http://schemas.openxmlformats.org/officeDocument/2006/relationships/hyperlink" Target="http://sports.yahoo.com/nhl/teams/cgy" TargetMode="External"/><Relationship Id="rId194" Type="http://schemas.openxmlformats.org/officeDocument/2006/relationships/hyperlink" Target="http://sports.yahoo.com/nhl/players/2842" TargetMode="External"/><Relationship Id="rId208" Type="http://schemas.openxmlformats.org/officeDocument/2006/relationships/hyperlink" Target="http://sports.yahoo.com/nhl/players/3331" TargetMode="External"/><Relationship Id="rId415" Type="http://schemas.openxmlformats.org/officeDocument/2006/relationships/hyperlink" Target="http://sports.yahoo.com/nhl/teams/ana" TargetMode="External"/><Relationship Id="rId622" Type="http://schemas.openxmlformats.org/officeDocument/2006/relationships/hyperlink" Target="http://sports.yahoo.com/nhl/players/3812" TargetMode="External"/><Relationship Id="rId1045" Type="http://schemas.openxmlformats.org/officeDocument/2006/relationships/hyperlink" Target="http://sports.yahoo.com/nhl/teams/min" TargetMode="External"/><Relationship Id="rId1252" Type="http://schemas.openxmlformats.org/officeDocument/2006/relationships/hyperlink" Target="http://sports.yahoo.com/nhl/players/2724" TargetMode="External"/><Relationship Id="rId1697" Type="http://schemas.openxmlformats.org/officeDocument/2006/relationships/hyperlink" Target="http://sports.yahoo.com/nhl/teams/mon" TargetMode="External"/><Relationship Id="rId261" Type="http://schemas.openxmlformats.org/officeDocument/2006/relationships/hyperlink" Target="http://sports.yahoo.com/nhl/teams/nyi" TargetMode="External"/><Relationship Id="rId499" Type="http://schemas.openxmlformats.org/officeDocument/2006/relationships/hyperlink" Target="http://sports.yahoo.com/nhl/teams/ana" TargetMode="External"/><Relationship Id="rId927" Type="http://schemas.openxmlformats.org/officeDocument/2006/relationships/hyperlink" Target="http://sports.yahoo.com/nhl/teams/col" TargetMode="External"/><Relationship Id="rId1112" Type="http://schemas.openxmlformats.org/officeDocument/2006/relationships/hyperlink" Target="http://sports.yahoo.com/nhl/players/5375" TargetMode="External"/><Relationship Id="rId1557" Type="http://schemas.openxmlformats.org/officeDocument/2006/relationships/hyperlink" Target="http://sports.yahoo.com/nhl/teams/bos" TargetMode="External"/><Relationship Id="rId1764" Type="http://schemas.openxmlformats.org/officeDocument/2006/relationships/hyperlink" Target="http://sports.yahoo.com/nhl/players/4709" TargetMode="External"/><Relationship Id="rId56" Type="http://schemas.openxmlformats.org/officeDocument/2006/relationships/hyperlink" Target="http://sports.yahoo.com/nhl/players/1600" TargetMode="External"/><Relationship Id="rId359" Type="http://schemas.openxmlformats.org/officeDocument/2006/relationships/hyperlink" Target="http://sports.yahoo.com/nhl/teams/ana" TargetMode="External"/><Relationship Id="rId566" Type="http://schemas.openxmlformats.org/officeDocument/2006/relationships/hyperlink" Target="http://sports.yahoo.com/nhl/players/5032" TargetMode="External"/><Relationship Id="rId773" Type="http://schemas.openxmlformats.org/officeDocument/2006/relationships/hyperlink" Target="http://sports.yahoo.com/nhl/teams/ana" TargetMode="External"/><Relationship Id="rId1196" Type="http://schemas.openxmlformats.org/officeDocument/2006/relationships/hyperlink" Target="http://sports.yahoo.com/nhl/players/6014" TargetMode="External"/><Relationship Id="rId1417" Type="http://schemas.openxmlformats.org/officeDocument/2006/relationships/hyperlink" Target="http://sports.yahoo.com/nhl/teams/wpg" TargetMode="External"/><Relationship Id="rId1624" Type="http://schemas.openxmlformats.org/officeDocument/2006/relationships/hyperlink" Target="http://sports.yahoo.com/nhl/players/6353" TargetMode="External"/><Relationship Id="rId121" Type="http://schemas.openxmlformats.org/officeDocument/2006/relationships/hyperlink" Target="http://sports.yahoo.com/nhl/teams/edm" TargetMode="External"/><Relationship Id="rId219" Type="http://schemas.openxmlformats.org/officeDocument/2006/relationships/hyperlink" Target="http://sports.yahoo.com/nhl/teams/stl" TargetMode="External"/><Relationship Id="rId426" Type="http://schemas.openxmlformats.org/officeDocument/2006/relationships/hyperlink" Target="http://sports.yahoo.com/nhl/players/4162" TargetMode="External"/><Relationship Id="rId633" Type="http://schemas.openxmlformats.org/officeDocument/2006/relationships/hyperlink" Target="http://sports.yahoo.com/nhl/teams/los" TargetMode="External"/><Relationship Id="rId980" Type="http://schemas.openxmlformats.org/officeDocument/2006/relationships/hyperlink" Target="http://sports.yahoo.com/nhl/players/3217" TargetMode="External"/><Relationship Id="rId1056" Type="http://schemas.openxmlformats.org/officeDocument/2006/relationships/hyperlink" Target="http://sports.yahoo.com/nhl/players/4954" TargetMode="External"/><Relationship Id="rId1263" Type="http://schemas.openxmlformats.org/officeDocument/2006/relationships/hyperlink" Target="http://sports.yahoo.com/nhl/teams/edm" TargetMode="External"/><Relationship Id="rId840" Type="http://schemas.openxmlformats.org/officeDocument/2006/relationships/hyperlink" Target="http://sports.yahoo.com/nhl/players/3133" TargetMode="External"/><Relationship Id="rId938" Type="http://schemas.openxmlformats.org/officeDocument/2006/relationships/hyperlink" Target="http://sports.yahoo.com/nhl/players/4017" TargetMode="External"/><Relationship Id="rId1470" Type="http://schemas.openxmlformats.org/officeDocument/2006/relationships/hyperlink" Target="http://sports.yahoo.com/nhl/players/5902" TargetMode="External"/><Relationship Id="rId1568" Type="http://schemas.openxmlformats.org/officeDocument/2006/relationships/hyperlink" Target="http://sports.yahoo.com/nhl/players/6480" TargetMode="External"/><Relationship Id="rId67" Type="http://schemas.openxmlformats.org/officeDocument/2006/relationships/hyperlink" Target="http://sports.yahoo.com/nhl/teams/stl" TargetMode="External"/><Relationship Id="rId272" Type="http://schemas.openxmlformats.org/officeDocument/2006/relationships/hyperlink" Target="http://sports.yahoo.com/nhl/players/5370" TargetMode="External"/><Relationship Id="rId577" Type="http://schemas.openxmlformats.org/officeDocument/2006/relationships/hyperlink" Target="http://sports.yahoo.com/nhl/teams/los" TargetMode="External"/><Relationship Id="rId700" Type="http://schemas.openxmlformats.org/officeDocument/2006/relationships/hyperlink" Target="http://sports.yahoo.com/nhl/players/5380" TargetMode="External"/><Relationship Id="rId1123" Type="http://schemas.openxmlformats.org/officeDocument/2006/relationships/hyperlink" Target="http://sports.yahoo.com/nhl/teams/cob" TargetMode="External"/><Relationship Id="rId1330" Type="http://schemas.openxmlformats.org/officeDocument/2006/relationships/hyperlink" Target="http://sports.yahoo.com/nhl/players/5446" TargetMode="External"/><Relationship Id="rId1428" Type="http://schemas.openxmlformats.org/officeDocument/2006/relationships/hyperlink" Target="http://sports.yahoo.com/nhl/players/5660" TargetMode="External"/><Relationship Id="rId1635" Type="http://schemas.openxmlformats.org/officeDocument/2006/relationships/hyperlink" Target="http://sports.yahoo.com/nhl/teams/buf" TargetMode="External"/><Relationship Id="rId132" Type="http://schemas.openxmlformats.org/officeDocument/2006/relationships/hyperlink" Target="http://sports.yahoo.com/nhl/players/4786" TargetMode="External"/><Relationship Id="rId784" Type="http://schemas.openxmlformats.org/officeDocument/2006/relationships/hyperlink" Target="http://sports.yahoo.com/nhl/players/3385" TargetMode="External"/><Relationship Id="rId991" Type="http://schemas.openxmlformats.org/officeDocument/2006/relationships/hyperlink" Target="http://sports.yahoo.com/nhl/teams/nas" TargetMode="External"/><Relationship Id="rId1067" Type="http://schemas.openxmlformats.org/officeDocument/2006/relationships/hyperlink" Target="http://sports.yahoo.com/nhl/teams/stl" TargetMode="External"/><Relationship Id="rId437" Type="http://schemas.openxmlformats.org/officeDocument/2006/relationships/hyperlink" Target="http://sports.yahoo.com/nhl/teams/van" TargetMode="External"/><Relationship Id="rId644" Type="http://schemas.openxmlformats.org/officeDocument/2006/relationships/hyperlink" Target="http://sports.yahoo.com/nhl/players/3829" TargetMode="External"/><Relationship Id="rId851" Type="http://schemas.openxmlformats.org/officeDocument/2006/relationships/hyperlink" Target="http://sports.yahoo.com/nhl/teams/cob" TargetMode="External"/><Relationship Id="rId1274" Type="http://schemas.openxmlformats.org/officeDocument/2006/relationships/hyperlink" Target="http://sports.yahoo.com/nhl/players/5330" TargetMode="External"/><Relationship Id="rId1481" Type="http://schemas.openxmlformats.org/officeDocument/2006/relationships/hyperlink" Target="http://sports.yahoo.com/nhl/teams/buf" TargetMode="External"/><Relationship Id="rId1579" Type="http://schemas.openxmlformats.org/officeDocument/2006/relationships/hyperlink" Target="http://sports.yahoo.com/nhl/teams/dal" TargetMode="External"/><Relationship Id="rId1702" Type="http://schemas.openxmlformats.org/officeDocument/2006/relationships/hyperlink" Target="http://sports.yahoo.com/nhl/players/5030" TargetMode="External"/><Relationship Id="rId283" Type="http://schemas.openxmlformats.org/officeDocument/2006/relationships/hyperlink" Target="http://sports.yahoo.com/nhl/teams/wpg" TargetMode="External"/><Relationship Id="rId490" Type="http://schemas.openxmlformats.org/officeDocument/2006/relationships/hyperlink" Target="http://sports.yahoo.com/nhl/players/5278" TargetMode="External"/><Relationship Id="rId504" Type="http://schemas.openxmlformats.org/officeDocument/2006/relationships/hyperlink" Target="http://sports.yahoo.com/nhl/players/3047" TargetMode="External"/><Relationship Id="rId711" Type="http://schemas.openxmlformats.org/officeDocument/2006/relationships/hyperlink" Target="http://sports.yahoo.com/nhl/teams/nyr" TargetMode="External"/><Relationship Id="rId949" Type="http://schemas.openxmlformats.org/officeDocument/2006/relationships/hyperlink" Target="http://sports.yahoo.com/nhl/teams/chi" TargetMode="External"/><Relationship Id="rId1134" Type="http://schemas.openxmlformats.org/officeDocument/2006/relationships/hyperlink" Target="http://sports.yahoo.com/nhl/players/5084" TargetMode="External"/><Relationship Id="rId1341" Type="http://schemas.openxmlformats.org/officeDocument/2006/relationships/hyperlink" Target="http://sports.yahoo.com/nhl/teams/edm" TargetMode="External"/><Relationship Id="rId78" Type="http://schemas.openxmlformats.org/officeDocument/2006/relationships/hyperlink" Target="http://sports.yahoo.com/nhl/players/5573" TargetMode="External"/><Relationship Id="rId143" Type="http://schemas.openxmlformats.org/officeDocument/2006/relationships/hyperlink" Target="http://sports.yahoo.com/nhl/teams/col" TargetMode="External"/><Relationship Id="rId350" Type="http://schemas.openxmlformats.org/officeDocument/2006/relationships/hyperlink" Target="http://sports.yahoo.com/nhl/players/4986" TargetMode="External"/><Relationship Id="rId588" Type="http://schemas.openxmlformats.org/officeDocument/2006/relationships/hyperlink" Target="http://sports.yahoo.com/nhl/players/5605" TargetMode="External"/><Relationship Id="rId795" Type="http://schemas.openxmlformats.org/officeDocument/2006/relationships/hyperlink" Target="http://sports.yahoo.com/nhl/teams/mon" TargetMode="External"/><Relationship Id="rId809" Type="http://schemas.openxmlformats.org/officeDocument/2006/relationships/hyperlink" Target="http://sports.yahoo.com/nhl/teams/tor" TargetMode="External"/><Relationship Id="rId1201" Type="http://schemas.openxmlformats.org/officeDocument/2006/relationships/hyperlink" Target="http://sports.yahoo.com/nhl/teams/phi" TargetMode="External"/><Relationship Id="rId1439" Type="http://schemas.openxmlformats.org/officeDocument/2006/relationships/hyperlink" Target="http://sports.yahoo.com/nhl/teams/van" TargetMode="External"/><Relationship Id="rId1646" Type="http://schemas.openxmlformats.org/officeDocument/2006/relationships/hyperlink" Target="http://sports.yahoo.com/nhl/players/5574" TargetMode="External"/><Relationship Id="rId9" Type="http://schemas.openxmlformats.org/officeDocument/2006/relationships/hyperlink" Target="http://sports.yahoo.com/nhl/teams/nyi" TargetMode="External"/><Relationship Id="rId210" Type="http://schemas.openxmlformats.org/officeDocument/2006/relationships/hyperlink" Target="http://sports.yahoo.com/nhl/players/35" TargetMode="External"/><Relationship Id="rId448" Type="http://schemas.openxmlformats.org/officeDocument/2006/relationships/hyperlink" Target="http://sports.yahoo.com/nhl/players/4496" TargetMode="External"/><Relationship Id="rId655" Type="http://schemas.openxmlformats.org/officeDocument/2006/relationships/hyperlink" Target="http://sports.yahoo.com/nhl/teams/los" TargetMode="External"/><Relationship Id="rId862" Type="http://schemas.openxmlformats.org/officeDocument/2006/relationships/hyperlink" Target="http://sports.yahoo.com/nhl/players/5996" TargetMode="External"/><Relationship Id="rId1078" Type="http://schemas.openxmlformats.org/officeDocument/2006/relationships/hyperlink" Target="http://sports.yahoo.com/nhl/players/5378" TargetMode="External"/><Relationship Id="rId1285" Type="http://schemas.openxmlformats.org/officeDocument/2006/relationships/hyperlink" Target="http://sports.yahoo.com/nhl/teams/ari" TargetMode="External"/><Relationship Id="rId1492" Type="http://schemas.openxmlformats.org/officeDocument/2006/relationships/hyperlink" Target="http://sports.yahoo.com/nhl/players/5059" TargetMode="External"/><Relationship Id="rId1506" Type="http://schemas.openxmlformats.org/officeDocument/2006/relationships/hyperlink" Target="http://sports.yahoo.com/nhl/players/4598" TargetMode="External"/><Relationship Id="rId1713" Type="http://schemas.openxmlformats.org/officeDocument/2006/relationships/hyperlink" Target="http://sports.yahoo.com/nhl/teams/col" TargetMode="External"/><Relationship Id="rId294" Type="http://schemas.openxmlformats.org/officeDocument/2006/relationships/hyperlink" Target="http://sports.yahoo.com/nhl/players/4819" TargetMode="External"/><Relationship Id="rId308" Type="http://schemas.openxmlformats.org/officeDocument/2006/relationships/hyperlink" Target="http://sports.yahoo.com/nhl/players/3340" TargetMode="External"/><Relationship Id="rId515" Type="http://schemas.openxmlformats.org/officeDocument/2006/relationships/hyperlink" Target="http://sports.yahoo.com/nhl/teams/phi" TargetMode="External"/><Relationship Id="rId722" Type="http://schemas.openxmlformats.org/officeDocument/2006/relationships/hyperlink" Target="http://sports.yahoo.com/nhl/players/5987" TargetMode="External"/><Relationship Id="rId1145" Type="http://schemas.openxmlformats.org/officeDocument/2006/relationships/hyperlink" Target="http://sports.yahoo.com/nhl/teams/chi" TargetMode="External"/><Relationship Id="rId1352" Type="http://schemas.openxmlformats.org/officeDocument/2006/relationships/hyperlink" Target="http://sports.yahoo.com/nhl/players/5998" TargetMode="External"/><Relationship Id="rId89" Type="http://schemas.openxmlformats.org/officeDocument/2006/relationships/hyperlink" Target="http://sports.yahoo.com/nhl/teams/cgy" TargetMode="External"/><Relationship Id="rId154" Type="http://schemas.openxmlformats.org/officeDocument/2006/relationships/hyperlink" Target="http://sports.yahoo.com/nhl/players/5364" TargetMode="External"/><Relationship Id="rId361" Type="http://schemas.openxmlformats.org/officeDocument/2006/relationships/hyperlink" Target="http://sports.yahoo.com/nhl/teams/nas" TargetMode="External"/><Relationship Id="rId599" Type="http://schemas.openxmlformats.org/officeDocument/2006/relationships/hyperlink" Target="http://sports.yahoo.com/nhl/teams/nas" TargetMode="External"/><Relationship Id="rId1005" Type="http://schemas.openxmlformats.org/officeDocument/2006/relationships/hyperlink" Target="http://sports.yahoo.com/nhl/teams/stl" TargetMode="External"/><Relationship Id="rId1212" Type="http://schemas.openxmlformats.org/officeDocument/2006/relationships/hyperlink" Target="http://sports.yahoo.com/nhl/players/4490" TargetMode="External"/><Relationship Id="rId1657" Type="http://schemas.openxmlformats.org/officeDocument/2006/relationships/hyperlink" Target="http://sports.yahoo.com/nhl/teams/nyr" TargetMode="External"/><Relationship Id="rId459" Type="http://schemas.openxmlformats.org/officeDocument/2006/relationships/hyperlink" Target="http://sports.yahoo.com/nhl/teams/dal" TargetMode="External"/><Relationship Id="rId666" Type="http://schemas.openxmlformats.org/officeDocument/2006/relationships/hyperlink" Target="http://sports.yahoo.com/nhl/players/5689" TargetMode="External"/><Relationship Id="rId873" Type="http://schemas.openxmlformats.org/officeDocument/2006/relationships/hyperlink" Target="http://sports.yahoo.com/nhl/teams/san" TargetMode="External"/><Relationship Id="rId1089" Type="http://schemas.openxmlformats.org/officeDocument/2006/relationships/hyperlink" Target="http://sports.yahoo.com/nhl/teams/los" TargetMode="External"/><Relationship Id="rId1296" Type="http://schemas.openxmlformats.org/officeDocument/2006/relationships/hyperlink" Target="http://sports.yahoo.com/nhl/players/4301" TargetMode="External"/><Relationship Id="rId1517" Type="http://schemas.openxmlformats.org/officeDocument/2006/relationships/hyperlink" Target="http://sports.yahoo.com/nhl/teams/min" TargetMode="External"/><Relationship Id="rId1724" Type="http://schemas.openxmlformats.org/officeDocument/2006/relationships/hyperlink" Target="http://sports.yahoo.com/nhl/players/5929" TargetMode="External"/><Relationship Id="rId16" Type="http://schemas.openxmlformats.org/officeDocument/2006/relationships/hyperlink" Target="http://sports.yahoo.com/nhl/players/3982" TargetMode="External"/><Relationship Id="rId221" Type="http://schemas.openxmlformats.org/officeDocument/2006/relationships/hyperlink" Target="http://sports.yahoo.com/nhl/teams/los" TargetMode="External"/><Relationship Id="rId319" Type="http://schemas.openxmlformats.org/officeDocument/2006/relationships/hyperlink" Target="http://sports.yahoo.com/nhl/teams/nas" TargetMode="External"/><Relationship Id="rId526" Type="http://schemas.openxmlformats.org/officeDocument/2006/relationships/hyperlink" Target="http://sports.yahoo.com/nhl/players/3806" TargetMode="External"/><Relationship Id="rId1156" Type="http://schemas.openxmlformats.org/officeDocument/2006/relationships/hyperlink" Target="http://sports.yahoo.com/nhl/players/2112" TargetMode="External"/><Relationship Id="rId1363" Type="http://schemas.openxmlformats.org/officeDocument/2006/relationships/hyperlink" Target="http://sports.yahoo.com/nhl/teams/buf" TargetMode="External"/><Relationship Id="rId733" Type="http://schemas.openxmlformats.org/officeDocument/2006/relationships/hyperlink" Target="http://sports.yahoo.com/nhl/teams/pit" TargetMode="External"/><Relationship Id="rId940" Type="http://schemas.openxmlformats.org/officeDocument/2006/relationships/hyperlink" Target="http://sports.yahoo.com/nhl/players/3883" TargetMode="External"/><Relationship Id="rId1016" Type="http://schemas.openxmlformats.org/officeDocument/2006/relationships/hyperlink" Target="http://sports.yahoo.com/nhl/players/4701" TargetMode="External"/><Relationship Id="rId1570" Type="http://schemas.openxmlformats.org/officeDocument/2006/relationships/hyperlink" Target="http://sports.yahoo.com/nhl/players/6201" TargetMode="External"/><Relationship Id="rId1668" Type="http://schemas.openxmlformats.org/officeDocument/2006/relationships/hyperlink" Target="http://sports.yahoo.com/nhl/players/5556" TargetMode="External"/><Relationship Id="rId165" Type="http://schemas.openxmlformats.org/officeDocument/2006/relationships/hyperlink" Target="http://sports.yahoo.com/nhl/teams/chi" TargetMode="External"/><Relationship Id="rId372" Type="http://schemas.openxmlformats.org/officeDocument/2006/relationships/hyperlink" Target="http://sports.yahoo.com/nhl/players/4981" TargetMode="External"/><Relationship Id="rId677" Type="http://schemas.openxmlformats.org/officeDocument/2006/relationships/hyperlink" Target="http://sports.yahoo.com/nhl/teams/det" TargetMode="External"/><Relationship Id="rId800" Type="http://schemas.openxmlformats.org/officeDocument/2006/relationships/hyperlink" Target="http://sports.yahoo.com/nhl/players/5749" TargetMode="External"/><Relationship Id="rId1223" Type="http://schemas.openxmlformats.org/officeDocument/2006/relationships/hyperlink" Target="http://sports.yahoo.com/nhl/teams/was" TargetMode="External"/><Relationship Id="rId1430" Type="http://schemas.openxmlformats.org/officeDocument/2006/relationships/hyperlink" Target="http://sports.yahoo.com/nhl/players/5659" TargetMode="External"/><Relationship Id="rId1528" Type="http://schemas.openxmlformats.org/officeDocument/2006/relationships/hyperlink" Target="http://sports.yahoo.com/nhl/players/4960" TargetMode="External"/><Relationship Id="rId232" Type="http://schemas.openxmlformats.org/officeDocument/2006/relationships/hyperlink" Target="http://sports.yahoo.com/nhl/players/4984" TargetMode="External"/><Relationship Id="rId884" Type="http://schemas.openxmlformats.org/officeDocument/2006/relationships/hyperlink" Target="http://sports.yahoo.com/nhl/players/3660" TargetMode="External"/><Relationship Id="rId1735" Type="http://schemas.openxmlformats.org/officeDocument/2006/relationships/hyperlink" Target="http://sports.yahoo.com/nhl/teams/wpg" TargetMode="External"/><Relationship Id="rId27" Type="http://schemas.openxmlformats.org/officeDocument/2006/relationships/hyperlink" Target="http://sports.yahoo.com/nhl/teams/phi" TargetMode="External"/><Relationship Id="rId537" Type="http://schemas.openxmlformats.org/officeDocument/2006/relationships/hyperlink" Target="http://sports.yahoo.com/nhl/teams/ana" TargetMode="External"/><Relationship Id="rId744" Type="http://schemas.openxmlformats.org/officeDocument/2006/relationships/hyperlink" Target="http://sports.yahoo.com/nhl/players/4917" TargetMode="External"/><Relationship Id="rId951" Type="http://schemas.openxmlformats.org/officeDocument/2006/relationships/hyperlink" Target="http://sports.yahoo.com/nhl/teams/min" TargetMode="External"/><Relationship Id="rId1167" Type="http://schemas.openxmlformats.org/officeDocument/2006/relationships/hyperlink" Target="http://sports.yahoo.com/nhl/teams/tor" TargetMode="External"/><Relationship Id="rId1374" Type="http://schemas.openxmlformats.org/officeDocument/2006/relationships/hyperlink" Target="http://sports.yahoo.com/nhl/players/4549" TargetMode="External"/><Relationship Id="rId1581" Type="http://schemas.openxmlformats.org/officeDocument/2006/relationships/hyperlink" Target="http://sports.yahoo.com/nhl/teams/san" TargetMode="External"/><Relationship Id="rId1679" Type="http://schemas.openxmlformats.org/officeDocument/2006/relationships/hyperlink" Target="http://sports.yahoo.com/nhl/teams/nyi" TargetMode="External"/><Relationship Id="rId80" Type="http://schemas.openxmlformats.org/officeDocument/2006/relationships/hyperlink" Target="http://sports.yahoo.com/nhl/players/2598" TargetMode="External"/><Relationship Id="rId176" Type="http://schemas.openxmlformats.org/officeDocument/2006/relationships/hyperlink" Target="http://sports.yahoo.com/nhl/players/4207" TargetMode="External"/><Relationship Id="rId383" Type="http://schemas.openxmlformats.org/officeDocument/2006/relationships/hyperlink" Target="http://sports.yahoo.com/nhl/teams/ott" TargetMode="External"/><Relationship Id="rId590" Type="http://schemas.openxmlformats.org/officeDocument/2006/relationships/hyperlink" Target="http://sports.yahoo.com/nhl/players/4578" TargetMode="External"/><Relationship Id="rId604" Type="http://schemas.openxmlformats.org/officeDocument/2006/relationships/hyperlink" Target="http://sports.yahoo.com/nhl/players/3980" TargetMode="External"/><Relationship Id="rId811" Type="http://schemas.openxmlformats.org/officeDocument/2006/relationships/hyperlink" Target="http://sports.yahoo.com/nhl/teams/cgy" TargetMode="External"/><Relationship Id="rId1027" Type="http://schemas.openxmlformats.org/officeDocument/2006/relationships/hyperlink" Target="http://sports.yahoo.com/nhl/teams/ott" TargetMode="External"/><Relationship Id="rId1234" Type="http://schemas.openxmlformats.org/officeDocument/2006/relationships/hyperlink" Target="http://sports.yahoo.com/nhl/players/5293" TargetMode="External"/><Relationship Id="rId1441" Type="http://schemas.openxmlformats.org/officeDocument/2006/relationships/hyperlink" Target="http://sports.yahoo.com/nhl/teams/nyi" TargetMode="External"/><Relationship Id="rId243" Type="http://schemas.openxmlformats.org/officeDocument/2006/relationships/hyperlink" Target="http://sports.yahoo.com/nhl/teams/det" TargetMode="External"/><Relationship Id="rId450" Type="http://schemas.openxmlformats.org/officeDocument/2006/relationships/hyperlink" Target="http://sports.yahoo.com/nhl/players/5982" TargetMode="External"/><Relationship Id="rId688" Type="http://schemas.openxmlformats.org/officeDocument/2006/relationships/hyperlink" Target="http://sports.yahoo.com/nhl/players/3656" TargetMode="External"/><Relationship Id="rId895" Type="http://schemas.openxmlformats.org/officeDocument/2006/relationships/hyperlink" Target="http://sports.yahoo.com/nhl/teams/cob" TargetMode="External"/><Relationship Id="rId909" Type="http://schemas.openxmlformats.org/officeDocument/2006/relationships/hyperlink" Target="http://sports.yahoo.com/nhl/teams/njd" TargetMode="External"/><Relationship Id="rId1080" Type="http://schemas.openxmlformats.org/officeDocument/2006/relationships/hyperlink" Target="http://sports.yahoo.com/nhl/players/5698" TargetMode="External"/><Relationship Id="rId1301" Type="http://schemas.openxmlformats.org/officeDocument/2006/relationships/hyperlink" Target="http://sports.yahoo.com/nhl/teams/san" TargetMode="External"/><Relationship Id="rId1539" Type="http://schemas.openxmlformats.org/officeDocument/2006/relationships/hyperlink" Target="http://sports.yahoo.com/nhl/teams/buf" TargetMode="External"/><Relationship Id="rId1746" Type="http://schemas.openxmlformats.org/officeDocument/2006/relationships/hyperlink" Target="http://sports.yahoo.com/nhl/players/4134" TargetMode="External"/><Relationship Id="rId38" Type="http://schemas.openxmlformats.org/officeDocument/2006/relationships/hyperlink" Target="http://sports.yahoo.com/nhl/players/3985" TargetMode="External"/><Relationship Id="rId103" Type="http://schemas.openxmlformats.org/officeDocument/2006/relationships/hyperlink" Target="http://sports.yahoo.com/nhl/teams/nyr" TargetMode="External"/><Relationship Id="rId310" Type="http://schemas.openxmlformats.org/officeDocument/2006/relationships/hyperlink" Target="http://sports.yahoo.com/nhl/players/5282" TargetMode="External"/><Relationship Id="rId548" Type="http://schemas.openxmlformats.org/officeDocument/2006/relationships/hyperlink" Target="http://sports.yahoo.com/nhl/players/1796" TargetMode="External"/><Relationship Id="rId755" Type="http://schemas.openxmlformats.org/officeDocument/2006/relationships/hyperlink" Target="http://sports.yahoo.com/nhl/teams/ott" TargetMode="External"/><Relationship Id="rId962" Type="http://schemas.openxmlformats.org/officeDocument/2006/relationships/hyperlink" Target="http://sports.yahoo.com/nhl/players/4266" TargetMode="External"/><Relationship Id="rId1178" Type="http://schemas.openxmlformats.org/officeDocument/2006/relationships/hyperlink" Target="http://sports.yahoo.com/nhl/players/5615" TargetMode="External"/><Relationship Id="rId1385" Type="http://schemas.openxmlformats.org/officeDocument/2006/relationships/hyperlink" Target="http://sports.yahoo.com/nhl/teams/nyi" TargetMode="External"/><Relationship Id="rId1592" Type="http://schemas.openxmlformats.org/officeDocument/2006/relationships/hyperlink" Target="http://sports.yahoo.com/nhl/players/5358" TargetMode="External"/><Relationship Id="rId1606" Type="http://schemas.openxmlformats.org/officeDocument/2006/relationships/hyperlink" Target="http://sports.yahoo.com/nhl/players/5294" TargetMode="External"/><Relationship Id="rId91" Type="http://schemas.openxmlformats.org/officeDocument/2006/relationships/hyperlink" Target="http://sports.yahoo.com/nhl/teams/min" TargetMode="External"/><Relationship Id="rId187" Type="http://schemas.openxmlformats.org/officeDocument/2006/relationships/hyperlink" Target="http://sports.yahoo.com/nhl/teams/nyr" TargetMode="External"/><Relationship Id="rId394" Type="http://schemas.openxmlformats.org/officeDocument/2006/relationships/hyperlink" Target="http://sports.yahoo.com/nhl/players/4988" TargetMode="External"/><Relationship Id="rId408" Type="http://schemas.openxmlformats.org/officeDocument/2006/relationships/hyperlink" Target="http://sports.yahoo.com/nhl/players/1844" TargetMode="External"/><Relationship Id="rId615" Type="http://schemas.openxmlformats.org/officeDocument/2006/relationships/hyperlink" Target="http://sports.yahoo.com/nhl/teams/tam" TargetMode="External"/><Relationship Id="rId822" Type="http://schemas.openxmlformats.org/officeDocument/2006/relationships/hyperlink" Target="http://sports.yahoo.com/nhl/players/5189" TargetMode="External"/><Relationship Id="rId1038" Type="http://schemas.openxmlformats.org/officeDocument/2006/relationships/hyperlink" Target="http://sports.yahoo.com/nhl/players/1573" TargetMode="External"/><Relationship Id="rId1245" Type="http://schemas.openxmlformats.org/officeDocument/2006/relationships/hyperlink" Target="http://sports.yahoo.com/nhl/teams/cob" TargetMode="External"/><Relationship Id="rId1452" Type="http://schemas.openxmlformats.org/officeDocument/2006/relationships/hyperlink" Target="http://sports.yahoo.com/nhl/players/4690" TargetMode="External"/><Relationship Id="rId254" Type="http://schemas.openxmlformats.org/officeDocument/2006/relationships/hyperlink" Target="http://sports.yahoo.com/nhl/players/3021" TargetMode="External"/><Relationship Id="rId699" Type="http://schemas.openxmlformats.org/officeDocument/2006/relationships/hyperlink" Target="http://sports.yahoo.com/nhl/teams/cob" TargetMode="External"/><Relationship Id="rId1091" Type="http://schemas.openxmlformats.org/officeDocument/2006/relationships/hyperlink" Target="http://sports.yahoo.com/nhl/teams/dal" TargetMode="External"/><Relationship Id="rId1105" Type="http://schemas.openxmlformats.org/officeDocument/2006/relationships/hyperlink" Target="http://sports.yahoo.com/nhl/teams/edm" TargetMode="External"/><Relationship Id="rId1312" Type="http://schemas.openxmlformats.org/officeDocument/2006/relationships/hyperlink" Target="http://sports.yahoo.com/nhl/players/5385" TargetMode="External"/><Relationship Id="rId1757" Type="http://schemas.openxmlformats.org/officeDocument/2006/relationships/hyperlink" Target="http://sports.yahoo.com/nhl/teams/was" TargetMode="External"/><Relationship Id="rId49" Type="http://schemas.openxmlformats.org/officeDocument/2006/relationships/hyperlink" Target="http://sports.yahoo.com/nhl/teams/san" TargetMode="External"/><Relationship Id="rId114" Type="http://schemas.openxmlformats.org/officeDocument/2006/relationships/hyperlink" Target="http://sports.yahoo.com/nhl/players/1453" TargetMode="External"/><Relationship Id="rId461" Type="http://schemas.openxmlformats.org/officeDocument/2006/relationships/hyperlink" Target="http://sports.yahoo.com/nhl/teams/ana" TargetMode="External"/><Relationship Id="rId559" Type="http://schemas.openxmlformats.org/officeDocument/2006/relationships/hyperlink" Target="http://sports.yahoo.com/nhl/teams/nas" TargetMode="External"/><Relationship Id="rId766" Type="http://schemas.openxmlformats.org/officeDocument/2006/relationships/hyperlink" Target="http://sports.yahoo.com/nhl/players/3991" TargetMode="External"/><Relationship Id="rId1189" Type="http://schemas.openxmlformats.org/officeDocument/2006/relationships/hyperlink" Target="http://sports.yahoo.com/nhl/teams/tor" TargetMode="External"/><Relationship Id="rId1396" Type="http://schemas.openxmlformats.org/officeDocument/2006/relationships/hyperlink" Target="http://sports.yahoo.com/nhl/players/5712" TargetMode="External"/><Relationship Id="rId1617" Type="http://schemas.openxmlformats.org/officeDocument/2006/relationships/hyperlink" Target="http://sports.yahoo.com/nhl/teams/ana" TargetMode="External"/><Relationship Id="rId198" Type="http://schemas.openxmlformats.org/officeDocument/2006/relationships/hyperlink" Target="http://sports.yahoo.com/nhl/players/3614" TargetMode="External"/><Relationship Id="rId321" Type="http://schemas.openxmlformats.org/officeDocument/2006/relationships/hyperlink" Target="http://sports.yahoo.com/nhl/teams/fla" TargetMode="External"/><Relationship Id="rId419" Type="http://schemas.openxmlformats.org/officeDocument/2006/relationships/hyperlink" Target="http://sports.yahoo.com/nhl/teams/pit" TargetMode="External"/><Relationship Id="rId626" Type="http://schemas.openxmlformats.org/officeDocument/2006/relationships/hyperlink" Target="http://sports.yahoo.com/nhl/players/4235" TargetMode="External"/><Relationship Id="rId973" Type="http://schemas.openxmlformats.org/officeDocument/2006/relationships/hyperlink" Target="http://sports.yahoo.com/nhl/teams/car" TargetMode="External"/><Relationship Id="rId1049" Type="http://schemas.openxmlformats.org/officeDocument/2006/relationships/hyperlink" Target="http://sports.yahoo.com/nhl/teams/car" TargetMode="External"/><Relationship Id="rId1256" Type="http://schemas.openxmlformats.org/officeDocument/2006/relationships/hyperlink" Target="http://sports.yahoo.com/nhl/players/5062" TargetMode="External"/><Relationship Id="rId833" Type="http://schemas.openxmlformats.org/officeDocument/2006/relationships/hyperlink" Target="http://sports.yahoo.com/nhl/teams/buf" TargetMode="External"/><Relationship Id="rId1116" Type="http://schemas.openxmlformats.org/officeDocument/2006/relationships/hyperlink" Target="http://sports.yahoo.com/nhl/players/3784" TargetMode="External"/><Relationship Id="rId1463" Type="http://schemas.openxmlformats.org/officeDocument/2006/relationships/hyperlink" Target="http://sports.yahoo.com/nhl/teams/ari" TargetMode="External"/><Relationship Id="rId1670" Type="http://schemas.openxmlformats.org/officeDocument/2006/relationships/hyperlink" Target="http://sports.yahoo.com/nhl/players/4546" TargetMode="External"/><Relationship Id="rId1768" Type="http://schemas.openxmlformats.org/officeDocument/2006/relationships/hyperlink" Target="http://sports.yahoo.com/nhl/players/5187" TargetMode="External"/><Relationship Id="rId265" Type="http://schemas.openxmlformats.org/officeDocument/2006/relationships/hyperlink" Target="http://sports.yahoo.com/nhl/teams/wpg" TargetMode="External"/><Relationship Id="rId472" Type="http://schemas.openxmlformats.org/officeDocument/2006/relationships/hyperlink" Target="http://sports.yahoo.com/nhl/players/5319" TargetMode="External"/><Relationship Id="rId900" Type="http://schemas.openxmlformats.org/officeDocument/2006/relationships/hyperlink" Target="http://sports.yahoo.com/nhl/players/4475" TargetMode="External"/><Relationship Id="rId1323" Type="http://schemas.openxmlformats.org/officeDocument/2006/relationships/hyperlink" Target="http://sports.yahoo.com/nhl/teams/san" TargetMode="External"/><Relationship Id="rId1530" Type="http://schemas.openxmlformats.org/officeDocument/2006/relationships/hyperlink" Target="http://sports.yahoo.com/nhl/players/4946" TargetMode="External"/><Relationship Id="rId1628" Type="http://schemas.openxmlformats.org/officeDocument/2006/relationships/hyperlink" Target="http://sports.yahoo.com/nhl/players/3291" TargetMode="External"/><Relationship Id="rId125" Type="http://schemas.openxmlformats.org/officeDocument/2006/relationships/hyperlink" Target="http://sports.yahoo.com/nhl/teams/cgy" TargetMode="External"/><Relationship Id="rId332" Type="http://schemas.openxmlformats.org/officeDocument/2006/relationships/hyperlink" Target="http://sports.yahoo.com/nhl/players/4174" TargetMode="External"/><Relationship Id="rId777" Type="http://schemas.openxmlformats.org/officeDocument/2006/relationships/hyperlink" Target="http://sports.yahoo.com/nhl/teams/ari" TargetMode="External"/><Relationship Id="rId984" Type="http://schemas.openxmlformats.org/officeDocument/2006/relationships/hyperlink" Target="http://sports.yahoo.com/nhl/players/3274" TargetMode="External"/><Relationship Id="rId637" Type="http://schemas.openxmlformats.org/officeDocument/2006/relationships/hyperlink" Target="http://sports.yahoo.com/nhl/teams/col" TargetMode="External"/><Relationship Id="rId844" Type="http://schemas.openxmlformats.org/officeDocument/2006/relationships/hyperlink" Target="http://sports.yahoo.com/nhl/players/4874" TargetMode="External"/><Relationship Id="rId1267" Type="http://schemas.openxmlformats.org/officeDocument/2006/relationships/hyperlink" Target="http://sports.yahoo.com/nhl/teams/fla" TargetMode="External"/><Relationship Id="rId1474" Type="http://schemas.openxmlformats.org/officeDocument/2006/relationships/hyperlink" Target="http://sports.yahoo.com/nhl/players/4802" TargetMode="External"/><Relationship Id="rId1681" Type="http://schemas.openxmlformats.org/officeDocument/2006/relationships/hyperlink" Target="http://sports.yahoo.com/nhl/teams/ari" TargetMode="External"/><Relationship Id="rId276" Type="http://schemas.openxmlformats.org/officeDocument/2006/relationships/hyperlink" Target="http://sports.yahoo.com/nhl/players/2991" TargetMode="External"/><Relationship Id="rId483" Type="http://schemas.openxmlformats.org/officeDocument/2006/relationships/hyperlink" Target="http://sports.yahoo.com/nhl/teams/van" TargetMode="External"/><Relationship Id="rId690" Type="http://schemas.openxmlformats.org/officeDocument/2006/relationships/hyperlink" Target="http://sports.yahoo.com/nhl/players/4892" TargetMode="External"/><Relationship Id="rId704" Type="http://schemas.openxmlformats.org/officeDocument/2006/relationships/hyperlink" Target="http://sports.yahoo.com/nhl/players/4380" TargetMode="External"/><Relationship Id="rId911" Type="http://schemas.openxmlformats.org/officeDocument/2006/relationships/hyperlink" Target="http://sports.yahoo.com/nhl/teams/mon" TargetMode="External"/><Relationship Id="rId1127" Type="http://schemas.openxmlformats.org/officeDocument/2006/relationships/hyperlink" Target="http://sports.yahoo.com/nhl/teams/min" TargetMode="External"/><Relationship Id="rId1334" Type="http://schemas.openxmlformats.org/officeDocument/2006/relationships/hyperlink" Target="http://sports.yahoo.com/nhl/players/5416" TargetMode="External"/><Relationship Id="rId1541" Type="http://schemas.openxmlformats.org/officeDocument/2006/relationships/hyperlink" Target="http://sports.yahoo.com/nhl/teams/chi" TargetMode="External"/><Relationship Id="rId40" Type="http://schemas.openxmlformats.org/officeDocument/2006/relationships/hyperlink" Target="http://sports.yahoo.com/nhl/players/3638" TargetMode="External"/><Relationship Id="rId136" Type="http://schemas.openxmlformats.org/officeDocument/2006/relationships/hyperlink" Target="http://sports.yahoo.com/nhl/players/3365" TargetMode="External"/><Relationship Id="rId343" Type="http://schemas.openxmlformats.org/officeDocument/2006/relationships/hyperlink" Target="http://sports.yahoo.com/nhl/teams/edm" TargetMode="External"/><Relationship Id="rId550" Type="http://schemas.openxmlformats.org/officeDocument/2006/relationships/hyperlink" Target="http://sports.yahoo.com/nhl/players/5415" TargetMode="External"/><Relationship Id="rId788" Type="http://schemas.openxmlformats.org/officeDocument/2006/relationships/hyperlink" Target="http://sports.yahoo.com/nhl/players/3710" TargetMode="External"/><Relationship Id="rId995" Type="http://schemas.openxmlformats.org/officeDocument/2006/relationships/hyperlink" Target="http://sports.yahoo.com/nhl/teams/san" TargetMode="External"/><Relationship Id="rId1180" Type="http://schemas.openxmlformats.org/officeDocument/2006/relationships/hyperlink" Target="http://sports.yahoo.com/nhl/players/4114" TargetMode="External"/><Relationship Id="rId1401" Type="http://schemas.openxmlformats.org/officeDocument/2006/relationships/hyperlink" Target="http://sports.yahoo.com/nhl/teams/stl" TargetMode="External"/><Relationship Id="rId1639" Type="http://schemas.openxmlformats.org/officeDocument/2006/relationships/hyperlink" Target="http://sports.yahoo.com/nhl/teams/van" TargetMode="External"/><Relationship Id="rId203" Type="http://schemas.openxmlformats.org/officeDocument/2006/relationships/hyperlink" Target="http://sports.yahoo.com/nhl/teams/mon" TargetMode="External"/><Relationship Id="rId648" Type="http://schemas.openxmlformats.org/officeDocument/2006/relationships/hyperlink" Target="http://sports.yahoo.com/nhl/players/6399" TargetMode="External"/><Relationship Id="rId855" Type="http://schemas.openxmlformats.org/officeDocument/2006/relationships/hyperlink" Target="http://sports.yahoo.com/nhl/teams/buf" TargetMode="External"/><Relationship Id="rId1040" Type="http://schemas.openxmlformats.org/officeDocument/2006/relationships/hyperlink" Target="http://sports.yahoo.com/nhl/players/5821" TargetMode="External"/><Relationship Id="rId1278" Type="http://schemas.openxmlformats.org/officeDocument/2006/relationships/hyperlink" Target="http://sports.yahoo.com/nhl/players/4782" TargetMode="External"/><Relationship Id="rId1485" Type="http://schemas.openxmlformats.org/officeDocument/2006/relationships/hyperlink" Target="http://sports.yahoo.com/nhl/teams/njd" TargetMode="External"/><Relationship Id="rId1692" Type="http://schemas.openxmlformats.org/officeDocument/2006/relationships/hyperlink" Target="http://sports.yahoo.com/nhl/players/5508" TargetMode="External"/><Relationship Id="rId1706" Type="http://schemas.openxmlformats.org/officeDocument/2006/relationships/hyperlink" Target="http://sports.yahoo.com/nhl/players/3899" TargetMode="External"/><Relationship Id="rId287" Type="http://schemas.openxmlformats.org/officeDocument/2006/relationships/hyperlink" Target="http://sports.yahoo.com/nhl/teams/cgy" TargetMode="External"/><Relationship Id="rId410" Type="http://schemas.openxmlformats.org/officeDocument/2006/relationships/hyperlink" Target="http://sports.yahoo.com/nhl/players/3329" TargetMode="External"/><Relationship Id="rId494" Type="http://schemas.openxmlformats.org/officeDocument/2006/relationships/hyperlink" Target="http://sports.yahoo.com/nhl/players/4575" TargetMode="External"/><Relationship Id="rId508" Type="http://schemas.openxmlformats.org/officeDocument/2006/relationships/hyperlink" Target="http://sports.yahoo.com/nhl/players/3802" TargetMode="External"/><Relationship Id="rId715" Type="http://schemas.openxmlformats.org/officeDocument/2006/relationships/hyperlink" Target="http://sports.yahoo.com/nhl/teams/cob" TargetMode="External"/><Relationship Id="rId922" Type="http://schemas.openxmlformats.org/officeDocument/2006/relationships/hyperlink" Target="http://sports.yahoo.com/nhl/players/4883" TargetMode="External"/><Relationship Id="rId1138" Type="http://schemas.openxmlformats.org/officeDocument/2006/relationships/hyperlink" Target="http://sports.yahoo.com/nhl/players/2607" TargetMode="External"/><Relationship Id="rId1345" Type="http://schemas.openxmlformats.org/officeDocument/2006/relationships/hyperlink" Target="http://sports.yahoo.com/nhl/teams/edm" TargetMode="External"/><Relationship Id="rId1552" Type="http://schemas.openxmlformats.org/officeDocument/2006/relationships/hyperlink" Target="http://sports.yahoo.com/nhl/players/4920" TargetMode="External"/><Relationship Id="rId147" Type="http://schemas.openxmlformats.org/officeDocument/2006/relationships/hyperlink" Target="http://sports.yahoo.com/nhl/teams/car" TargetMode="External"/><Relationship Id="rId354" Type="http://schemas.openxmlformats.org/officeDocument/2006/relationships/hyperlink" Target="http://sports.yahoo.com/nhl/players/4696" TargetMode="External"/><Relationship Id="rId799" Type="http://schemas.openxmlformats.org/officeDocument/2006/relationships/hyperlink" Target="http://sports.yahoo.com/nhl/teams/pit" TargetMode="External"/><Relationship Id="rId1191" Type="http://schemas.openxmlformats.org/officeDocument/2006/relationships/hyperlink" Target="http://sports.yahoo.com/nhl/teams/nas" TargetMode="External"/><Relationship Id="rId1205" Type="http://schemas.openxmlformats.org/officeDocument/2006/relationships/hyperlink" Target="http://sports.yahoo.com/nhl/teams/pit" TargetMode="External"/><Relationship Id="rId51" Type="http://schemas.openxmlformats.org/officeDocument/2006/relationships/hyperlink" Target="http://sports.yahoo.com/nhl/teams/det" TargetMode="External"/><Relationship Id="rId561" Type="http://schemas.openxmlformats.org/officeDocument/2006/relationships/hyperlink" Target="http://sports.yahoo.com/nhl/teams/cob" TargetMode="External"/><Relationship Id="rId659" Type="http://schemas.openxmlformats.org/officeDocument/2006/relationships/hyperlink" Target="http://sports.yahoo.com/nhl/teams/nyi" TargetMode="External"/><Relationship Id="rId866" Type="http://schemas.openxmlformats.org/officeDocument/2006/relationships/hyperlink" Target="http://sports.yahoo.com/nhl/players/3283" TargetMode="External"/><Relationship Id="rId1289" Type="http://schemas.openxmlformats.org/officeDocument/2006/relationships/hyperlink" Target="http://sports.yahoo.com/nhl/teams/edm" TargetMode="External"/><Relationship Id="rId1412" Type="http://schemas.openxmlformats.org/officeDocument/2006/relationships/hyperlink" Target="http://sports.yahoo.com/nhl/players/4977" TargetMode="External"/><Relationship Id="rId1496" Type="http://schemas.openxmlformats.org/officeDocument/2006/relationships/hyperlink" Target="http://sports.yahoo.com/nhl/players/5709" TargetMode="External"/><Relationship Id="rId1717" Type="http://schemas.openxmlformats.org/officeDocument/2006/relationships/hyperlink" Target="http://sports.yahoo.com/nhl/teams/van" TargetMode="External"/><Relationship Id="rId214" Type="http://schemas.openxmlformats.org/officeDocument/2006/relationships/hyperlink" Target="http://sports.yahoo.com/nhl/players/2416" TargetMode="External"/><Relationship Id="rId298" Type="http://schemas.openxmlformats.org/officeDocument/2006/relationships/hyperlink" Target="http://sports.yahoo.com/nhl/players/2468" TargetMode="External"/><Relationship Id="rId421" Type="http://schemas.openxmlformats.org/officeDocument/2006/relationships/hyperlink" Target="http://sports.yahoo.com/nhl/teams/cgy" TargetMode="External"/><Relationship Id="rId519" Type="http://schemas.openxmlformats.org/officeDocument/2006/relationships/hyperlink" Target="http://sports.yahoo.com/nhl/teams/wpg" TargetMode="External"/><Relationship Id="rId1051" Type="http://schemas.openxmlformats.org/officeDocument/2006/relationships/hyperlink" Target="http://sports.yahoo.com/nhl/teams/pit" TargetMode="External"/><Relationship Id="rId1149" Type="http://schemas.openxmlformats.org/officeDocument/2006/relationships/hyperlink" Target="http://sports.yahoo.com/nhl/teams/ari" TargetMode="External"/><Relationship Id="rId1356" Type="http://schemas.openxmlformats.org/officeDocument/2006/relationships/hyperlink" Target="http://sports.yahoo.com/nhl/players/1500" TargetMode="External"/><Relationship Id="rId158" Type="http://schemas.openxmlformats.org/officeDocument/2006/relationships/hyperlink" Target="http://sports.yahoo.com/nhl/players/4064" TargetMode="External"/><Relationship Id="rId726" Type="http://schemas.openxmlformats.org/officeDocument/2006/relationships/hyperlink" Target="http://sports.yahoo.com/nhl/players/5347" TargetMode="External"/><Relationship Id="rId933" Type="http://schemas.openxmlformats.org/officeDocument/2006/relationships/hyperlink" Target="http://sports.yahoo.com/nhl/teams/fla" TargetMode="External"/><Relationship Id="rId1009" Type="http://schemas.openxmlformats.org/officeDocument/2006/relationships/hyperlink" Target="http://sports.yahoo.com/nhl/teams/tor" TargetMode="External"/><Relationship Id="rId1563" Type="http://schemas.openxmlformats.org/officeDocument/2006/relationships/hyperlink" Target="http://sports.yahoo.com/nhl/teams/njd" TargetMode="External"/><Relationship Id="rId62" Type="http://schemas.openxmlformats.org/officeDocument/2006/relationships/hyperlink" Target="http://sports.yahoo.com/nhl/players/5425" TargetMode="External"/><Relationship Id="rId365" Type="http://schemas.openxmlformats.org/officeDocument/2006/relationships/hyperlink" Target="http://sports.yahoo.com/nhl/teams/dal" TargetMode="External"/><Relationship Id="rId572" Type="http://schemas.openxmlformats.org/officeDocument/2006/relationships/hyperlink" Target="http://sports.yahoo.com/nhl/players/3375" TargetMode="External"/><Relationship Id="rId1216" Type="http://schemas.openxmlformats.org/officeDocument/2006/relationships/hyperlink" Target="http://sports.yahoo.com/nhl/players/4748" TargetMode="External"/><Relationship Id="rId1423" Type="http://schemas.openxmlformats.org/officeDocument/2006/relationships/hyperlink" Target="http://sports.yahoo.com/nhl/teams/det" TargetMode="External"/><Relationship Id="rId1630" Type="http://schemas.openxmlformats.org/officeDocument/2006/relationships/hyperlink" Target="http://sports.yahoo.com/nhl/players/5986" TargetMode="External"/><Relationship Id="rId225" Type="http://schemas.openxmlformats.org/officeDocument/2006/relationships/hyperlink" Target="http://sports.yahoo.com/nhl/teams/ott" TargetMode="External"/><Relationship Id="rId432" Type="http://schemas.openxmlformats.org/officeDocument/2006/relationships/hyperlink" Target="http://sports.yahoo.com/nhl/players/4771" TargetMode="External"/><Relationship Id="rId877" Type="http://schemas.openxmlformats.org/officeDocument/2006/relationships/hyperlink" Target="http://sports.yahoo.com/nhl/teams/nas" TargetMode="External"/><Relationship Id="rId1062" Type="http://schemas.openxmlformats.org/officeDocument/2006/relationships/hyperlink" Target="http://sports.yahoo.com/nhl/players/3269" TargetMode="External"/><Relationship Id="rId1728" Type="http://schemas.openxmlformats.org/officeDocument/2006/relationships/hyperlink" Target="http://sports.yahoo.com/nhl/players/3890" TargetMode="External"/><Relationship Id="rId737" Type="http://schemas.openxmlformats.org/officeDocument/2006/relationships/hyperlink" Target="http://sports.yahoo.com/nhl/teams/buf" TargetMode="External"/><Relationship Id="rId944" Type="http://schemas.openxmlformats.org/officeDocument/2006/relationships/hyperlink" Target="http://sports.yahoo.com/nhl/players/3170" TargetMode="External"/><Relationship Id="rId1367" Type="http://schemas.openxmlformats.org/officeDocument/2006/relationships/hyperlink" Target="http://sports.yahoo.com/nhl/teams/col" TargetMode="External"/><Relationship Id="rId1574" Type="http://schemas.openxmlformats.org/officeDocument/2006/relationships/hyperlink" Target="http://sports.yahoo.com/nhl/players/3703" TargetMode="External"/><Relationship Id="rId73" Type="http://schemas.openxmlformats.org/officeDocument/2006/relationships/hyperlink" Target="http://sports.yahoo.com/nhl/teams/ott" TargetMode="External"/><Relationship Id="rId169" Type="http://schemas.openxmlformats.org/officeDocument/2006/relationships/hyperlink" Target="http://sports.yahoo.com/nhl/teams/wpg" TargetMode="External"/><Relationship Id="rId376" Type="http://schemas.openxmlformats.org/officeDocument/2006/relationships/hyperlink" Target="http://sports.yahoo.com/nhl/players/3998" TargetMode="External"/><Relationship Id="rId583" Type="http://schemas.openxmlformats.org/officeDocument/2006/relationships/hyperlink" Target="http://sports.yahoo.com/nhl/teams/njd" TargetMode="External"/><Relationship Id="rId790" Type="http://schemas.openxmlformats.org/officeDocument/2006/relationships/hyperlink" Target="http://sports.yahoo.com/nhl/players/5329" TargetMode="External"/><Relationship Id="rId804" Type="http://schemas.openxmlformats.org/officeDocument/2006/relationships/hyperlink" Target="http://sports.yahoo.com/nhl/players/5642" TargetMode="External"/><Relationship Id="rId1227" Type="http://schemas.openxmlformats.org/officeDocument/2006/relationships/hyperlink" Target="http://sports.yahoo.com/nhl/teams/buf" TargetMode="External"/><Relationship Id="rId1434" Type="http://schemas.openxmlformats.org/officeDocument/2006/relationships/hyperlink" Target="http://sports.yahoo.com/nhl/players/4249" TargetMode="External"/><Relationship Id="rId1641" Type="http://schemas.openxmlformats.org/officeDocument/2006/relationships/hyperlink" Target="http://sports.yahoo.com/nhl/teams/cgy" TargetMode="External"/><Relationship Id="rId4" Type="http://schemas.openxmlformats.org/officeDocument/2006/relationships/hyperlink" Target="http://sports.yahoo.com/nhl/stats/byposition?pos=C,RW,LW,D&amp;conference=NHL&amp;year=season_2014&amp;qualified=1&amp;sort=1" TargetMode="External"/><Relationship Id="rId236" Type="http://schemas.openxmlformats.org/officeDocument/2006/relationships/hyperlink" Target="http://sports.yahoo.com/nhl/players/3266" TargetMode="External"/><Relationship Id="rId443" Type="http://schemas.openxmlformats.org/officeDocument/2006/relationships/hyperlink" Target="http://sports.yahoo.com/nhl/teams/edm" TargetMode="External"/><Relationship Id="rId650" Type="http://schemas.openxmlformats.org/officeDocument/2006/relationships/hyperlink" Target="http://sports.yahoo.com/nhl/players/5434" TargetMode="External"/><Relationship Id="rId888" Type="http://schemas.openxmlformats.org/officeDocument/2006/relationships/hyperlink" Target="http://sports.yahoo.com/nhl/players/3843" TargetMode="External"/><Relationship Id="rId1073" Type="http://schemas.openxmlformats.org/officeDocument/2006/relationships/hyperlink" Target="http://sports.yahoo.com/nhl/teams/edm" TargetMode="External"/><Relationship Id="rId1280" Type="http://schemas.openxmlformats.org/officeDocument/2006/relationships/hyperlink" Target="http://sports.yahoo.com/nhl/players/1920" TargetMode="External"/><Relationship Id="rId1501" Type="http://schemas.openxmlformats.org/officeDocument/2006/relationships/hyperlink" Target="http://sports.yahoo.com/nhl/teams/bos" TargetMode="External"/><Relationship Id="rId1739" Type="http://schemas.openxmlformats.org/officeDocument/2006/relationships/hyperlink" Target="http://sports.yahoo.com/nhl/teams/tam" TargetMode="External"/><Relationship Id="rId303" Type="http://schemas.openxmlformats.org/officeDocument/2006/relationships/hyperlink" Target="http://sports.yahoo.com/nhl/teams/cob" TargetMode="External"/><Relationship Id="rId748" Type="http://schemas.openxmlformats.org/officeDocument/2006/relationships/hyperlink" Target="http://sports.yahoo.com/nhl/players/5791" TargetMode="External"/><Relationship Id="rId955" Type="http://schemas.openxmlformats.org/officeDocument/2006/relationships/hyperlink" Target="http://sports.yahoo.com/nhl/teams/wpg" TargetMode="External"/><Relationship Id="rId1140" Type="http://schemas.openxmlformats.org/officeDocument/2006/relationships/hyperlink" Target="http://sports.yahoo.com/nhl/players/4877" TargetMode="External"/><Relationship Id="rId1378" Type="http://schemas.openxmlformats.org/officeDocument/2006/relationships/hyperlink" Target="http://sports.yahoo.com/nhl/players/1571" TargetMode="External"/><Relationship Id="rId1585" Type="http://schemas.openxmlformats.org/officeDocument/2006/relationships/hyperlink" Target="http://sports.yahoo.com/nhl/teams/mon" TargetMode="External"/><Relationship Id="rId84" Type="http://schemas.openxmlformats.org/officeDocument/2006/relationships/hyperlink" Target="http://sports.yahoo.com/nhl/players/3640" TargetMode="External"/><Relationship Id="rId387" Type="http://schemas.openxmlformats.org/officeDocument/2006/relationships/hyperlink" Target="http://sports.yahoo.com/nhl/teams/buf" TargetMode="External"/><Relationship Id="rId510" Type="http://schemas.openxmlformats.org/officeDocument/2006/relationships/hyperlink" Target="http://sports.yahoo.com/nhl/players/4544" TargetMode="External"/><Relationship Id="rId594" Type="http://schemas.openxmlformats.org/officeDocument/2006/relationships/hyperlink" Target="http://sports.yahoo.com/nhl/players/3000" TargetMode="External"/><Relationship Id="rId608" Type="http://schemas.openxmlformats.org/officeDocument/2006/relationships/hyperlink" Target="http://sports.yahoo.com/nhl/players/4493" TargetMode="External"/><Relationship Id="rId815" Type="http://schemas.openxmlformats.org/officeDocument/2006/relationships/hyperlink" Target="http://sports.yahoo.com/nhl/teams/chi" TargetMode="External"/><Relationship Id="rId1238" Type="http://schemas.openxmlformats.org/officeDocument/2006/relationships/hyperlink" Target="http://sports.yahoo.com/nhl/players/4574" TargetMode="External"/><Relationship Id="rId1445" Type="http://schemas.openxmlformats.org/officeDocument/2006/relationships/hyperlink" Target="http://sports.yahoo.com/nhl/teams/min" TargetMode="External"/><Relationship Id="rId1652" Type="http://schemas.openxmlformats.org/officeDocument/2006/relationships/hyperlink" Target="http://sports.yahoo.com/nhl/players/4317" TargetMode="External"/><Relationship Id="rId247" Type="http://schemas.openxmlformats.org/officeDocument/2006/relationships/hyperlink" Target="http://sports.yahoo.com/nhl/teams/det" TargetMode="External"/><Relationship Id="rId899" Type="http://schemas.openxmlformats.org/officeDocument/2006/relationships/hyperlink" Target="http://sports.yahoo.com/nhl/teams/edm" TargetMode="External"/><Relationship Id="rId1000" Type="http://schemas.openxmlformats.org/officeDocument/2006/relationships/hyperlink" Target="http://sports.yahoo.com/nhl/players/4094" TargetMode="External"/><Relationship Id="rId1084" Type="http://schemas.openxmlformats.org/officeDocument/2006/relationships/hyperlink" Target="http://sports.yahoo.com/nhl/players/4410" TargetMode="External"/><Relationship Id="rId1305" Type="http://schemas.openxmlformats.org/officeDocument/2006/relationships/hyperlink" Target="http://sports.yahoo.com/nhl/teams/wpg" TargetMode="External"/><Relationship Id="rId107" Type="http://schemas.openxmlformats.org/officeDocument/2006/relationships/hyperlink" Target="http://sports.yahoo.com/nhl/teams/mon" TargetMode="External"/><Relationship Id="rId454" Type="http://schemas.openxmlformats.org/officeDocument/2006/relationships/hyperlink" Target="http://sports.yahoo.com/nhl/players/2764" TargetMode="External"/><Relationship Id="rId661" Type="http://schemas.openxmlformats.org/officeDocument/2006/relationships/hyperlink" Target="http://sports.yahoo.com/nhl/teams/mon" TargetMode="External"/><Relationship Id="rId759" Type="http://schemas.openxmlformats.org/officeDocument/2006/relationships/hyperlink" Target="http://sports.yahoo.com/nhl/teams/chi" TargetMode="External"/><Relationship Id="rId966" Type="http://schemas.openxmlformats.org/officeDocument/2006/relationships/hyperlink" Target="http://sports.yahoo.com/nhl/players/4860" TargetMode="External"/><Relationship Id="rId1291" Type="http://schemas.openxmlformats.org/officeDocument/2006/relationships/hyperlink" Target="http://sports.yahoo.com/nhl/teams/was" TargetMode="External"/><Relationship Id="rId1389" Type="http://schemas.openxmlformats.org/officeDocument/2006/relationships/hyperlink" Target="http://sports.yahoo.com/nhl/teams/edm" TargetMode="External"/><Relationship Id="rId1512" Type="http://schemas.openxmlformats.org/officeDocument/2006/relationships/hyperlink" Target="http://sports.yahoo.com/nhl/players/5296" TargetMode="External"/><Relationship Id="rId1596" Type="http://schemas.openxmlformats.org/officeDocument/2006/relationships/hyperlink" Target="http://sports.yahoo.com/nhl/players/5076" TargetMode="External"/><Relationship Id="rId11" Type="http://schemas.openxmlformats.org/officeDocument/2006/relationships/hyperlink" Target="http://sports.yahoo.com/nhl/teams/pit" TargetMode="External"/><Relationship Id="rId314" Type="http://schemas.openxmlformats.org/officeDocument/2006/relationships/hyperlink" Target="http://sports.yahoo.com/nhl/players/4687" TargetMode="External"/><Relationship Id="rId398" Type="http://schemas.openxmlformats.org/officeDocument/2006/relationships/hyperlink" Target="http://sports.yahoo.com/nhl/players/1389" TargetMode="External"/><Relationship Id="rId521" Type="http://schemas.openxmlformats.org/officeDocument/2006/relationships/hyperlink" Target="http://sports.yahoo.com/nhl/teams/car" TargetMode="External"/><Relationship Id="rId619" Type="http://schemas.openxmlformats.org/officeDocument/2006/relationships/hyperlink" Target="http://sports.yahoo.com/nhl/teams/van" TargetMode="External"/><Relationship Id="rId1151" Type="http://schemas.openxmlformats.org/officeDocument/2006/relationships/hyperlink" Target="http://sports.yahoo.com/nhl/teams/ari" TargetMode="External"/><Relationship Id="rId1249" Type="http://schemas.openxmlformats.org/officeDocument/2006/relationships/hyperlink" Target="http://sports.yahoo.com/nhl/teams/dal" TargetMode="External"/><Relationship Id="rId95" Type="http://schemas.openxmlformats.org/officeDocument/2006/relationships/hyperlink" Target="http://sports.yahoo.com/nhl/teams/los" TargetMode="External"/><Relationship Id="rId160" Type="http://schemas.openxmlformats.org/officeDocument/2006/relationships/hyperlink" Target="http://sports.yahoo.com/nhl/players/5281" TargetMode="External"/><Relationship Id="rId826" Type="http://schemas.openxmlformats.org/officeDocument/2006/relationships/hyperlink" Target="http://sports.yahoo.com/nhl/players/5606" TargetMode="External"/><Relationship Id="rId1011" Type="http://schemas.openxmlformats.org/officeDocument/2006/relationships/hyperlink" Target="http://sports.yahoo.com/nhl/teams/nyr" TargetMode="External"/><Relationship Id="rId1109" Type="http://schemas.openxmlformats.org/officeDocument/2006/relationships/hyperlink" Target="http://sports.yahoo.com/nhl/teams/ana" TargetMode="External"/><Relationship Id="rId1456" Type="http://schemas.openxmlformats.org/officeDocument/2006/relationships/hyperlink" Target="http://sports.yahoo.com/nhl/players/5644" TargetMode="External"/><Relationship Id="rId1663" Type="http://schemas.openxmlformats.org/officeDocument/2006/relationships/hyperlink" Target="http://sports.yahoo.com/nhl/teams/was" TargetMode="External"/><Relationship Id="rId258" Type="http://schemas.openxmlformats.org/officeDocument/2006/relationships/hyperlink" Target="http://sports.yahoo.com/nhl/players/4979" TargetMode="External"/><Relationship Id="rId465" Type="http://schemas.openxmlformats.org/officeDocument/2006/relationships/hyperlink" Target="http://sports.yahoo.com/nhl/teams/det" TargetMode="External"/><Relationship Id="rId672" Type="http://schemas.openxmlformats.org/officeDocument/2006/relationships/hyperlink" Target="http://sports.yahoo.com/nhl/players/6002" TargetMode="External"/><Relationship Id="rId1095" Type="http://schemas.openxmlformats.org/officeDocument/2006/relationships/hyperlink" Target="http://sports.yahoo.com/nhl/teams/dal" TargetMode="External"/><Relationship Id="rId1316" Type="http://schemas.openxmlformats.org/officeDocument/2006/relationships/hyperlink" Target="http://sports.yahoo.com/nhl/players/5682" TargetMode="External"/><Relationship Id="rId1523" Type="http://schemas.openxmlformats.org/officeDocument/2006/relationships/hyperlink" Target="http://sports.yahoo.com/nhl/teams/mon" TargetMode="External"/><Relationship Id="rId1730" Type="http://schemas.openxmlformats.org/officeDocument/2006/relationships/hyperlink" Target="http://sports.yahoo.com/nhl/players/5881" TargetMode="External"/><Relationship Id="rId22" Type="http://schemas.openxmlformats.org/officeDocument/2006/relationships/hyperlink" Target="http://sports.yahoo.com/nhl/players/2102" TargetMode="External"/><Relationship Id="rId118" Type="http://schemas.openxmlformats.org/officeDocument/2006/relationships/hyperlink" Target="http://sports.yahoo.com/nhl/players/1644" TargetMode="External"/><Relationship Id="rId325" Type="http://schemas.openxmlformats.org/officeDocument/2006/relationships/hyperlink" Target="http://sports.yahoo.com/nhl/teams/van" TargetMode="External"/><Relationship Id="rId532" Type="http://schemas.openxmlformats.org/officeDocument/2006/relationships/hyperlink" Target="http://sports.yahoo.com/nhl/players/4691" TargetMode="External"/><Relationship Id="rId977" Type="http://schemas.openxmlformats.org/officeDocument/2006/relationships/hyperlink" Target="http://sports.yahoo.com/nhl/teams/edm" TargetMode="External"/><Relationship Id="rId1162" Type="http://schemas.openxmlformats.org/officeDocument/2006/relationships/hyperlink" Target="http://sports.yahoo.com/nhl/players/2475" TargetMode="External"/><Relationship Id="rId171" Type="http://schemas.openxmlformats.org/officeDocument/2006/relationships/hyperlink" Target="http://sports.yahoo.com/nhl/teams/min" TargetMode="External"/><Relationship Id="rId837" Type="http://schemas.openxmlformats.org/officeDocument/2006/relationships/hyperlink" Target="http://sports.yahoo.com/nhl/teams/min" TargetMode="External"/><Relationship Id="rId1022" Type="http://schemas.openxmlformats.org/officeDocument/2006/relationships/hyperlink" Target="http://sports.yahoo.com/nhl/players/4495" TargetMode="External"/><Relationship Id="rId1467" Type="http://schemas.openxmlformats.org/officeDocument/2006/relationships/hyperlink" Target="http://sports.yahoo.com/nhl/teams/ari" TargetMode="External"/><Relationship Id="rId1674" Type="http://schemas.openxmlformats.org/officeDocument/2006/relationships/hyperlink" Target="http://sports.yahoo.com/nhl/players/5435" TargetMode="External"/><Relationship Id="rId269" Type="http://schemas.openxmlformats.org/officeDocument/2006/relationships/hyperlink" Target="http://sports.yahoo.com/nhl/teams/was" TargetMode="External"/><Relationship Id="rId476" Type="http://schemas.openxmlformats.org/officeDocument/2006/relationships/hyperlink" Target="http://sports.yahoo.com/nhl/players/5391" TargetMode="External"/><Relationship Id="rId683" Type="http://schemas.openxmlformats.org/officeDocument/2006/relationships/hyperlink" Target="http://sports.yahoo.com/nhl/teams/ari" TargetMode="External"/><Relationship Id="rId890" Type="http://schemas.openxmlformats.org/officeDocument/2006/relationships/hyperlink" Target="http://sports.yahoo.com/nhl/players/3123" TargetMode="External"/><Relationship Id="rId904" Type="http://schemas.openxmlformats.org/officeDocument/2006/relationships/hyperlink" Target="http://sports.yahoo.com/nhl/players/5130" TargetMode="External"/><Relationship Id="rId1327" Type="http://schemas.openxmlformats.org/officeDocument/2006/relationships/hyperlink" Target="http://sports.yahoo.com/nhl/teams/cgy" TargetMode="External"/><Relationship Id="rId1534" Type="http://schemas.openxmlformats.org/officeDocument/2006/relationships/hyperlink" Target="http://sports.yahoo.com/nhl/players/4587" TargetMode="External"/><Relationship Id="rId1741" Type="http://schemas.openxmlformats.org/officeDocument/2006/relationships/hyperlink" Target="http://sports.yahoo.com/nhl/teams/dal" TargetMode="External"/><Relationship Id="rId33" Type="http://schemas.openxmlformats.org/officeDocument/2006/relationships/hyperlink" Target="http://sports.yahoo.com/nhl/teams/tam" TargetMode="External"/><Relationship Id="rId129" Type="http://schemas.openxmlformats.org/officeDocument/2006/relationships/hyperlink" Target="http://sports.yahoo.com/nhl/teams/col" TargetMode="External"/><Relationship Id="rId336" Type="http://schemas.openxmlformats.org/officeDocument/2006/relationships/hyperlink" Target="http://sports.yahoo.com/nhl/players/2780" TargetMode="External"/><Relationship Id="rId543" Type="http://schemas.openxmlformats.org/officeDocument/2006/relationships/hyperlink" Target="http://sports.yahoo.com/nhl/teams/bos" TargetMode="External"/><Relationship Id="rId988" Type="http://schemas.openxmlformats.org/officeDocument/2006/relationships/hyperlink" Target="http://sports.yahoo.com/nhl/players/1737" TargetMode="External"/><Relationship Id="rId1173" Type="http://schemas.openxmlformats.org/officeDocument/2006/relationships/hyperlink" Target="http://sports.yahoo.com/nhl/teams/nyi" TargetMode="External"/><Relationship Id="rId1380" Type="http://schemas.openxmlformats.org/officeDocument/2006/relationships/hyperlink" Target="http://sports.yahoo.com/nhl/players/1753" TargetMode="External"/><Relationship Id="rId1601" Type="http://schemas.openxmlformats.org/officeDocument/2006/relationships/hyperlink" Target="http://sports.yahoo.com/nhl/teams/tor" TargetMode="External"/><Relationship Id="rId182" Type="http://schemas.openxmlformats.org/officeDocument/2006/relationships/hyperlink" Target="http://sports.yahoo.com/nhl/players/4328" TargetMode="External"/><Relationship Id="rId403" Type="http://schemas.openxmlformats.org/officeDocument/2006/relationships/hyperlink" Target="http://sports.yahoo.com/nhl/teams/chi" TargetMode="External"/><Relationship Id="rId750" Type="http://schemas.openxmlformats.org/officeDocument/2006/relationships/hyperlink" Target="http://sports.yahoo.com/nhl/players/3965" TargetMode="External"/><Relationship Id="rId848" Type="http://schemas.openxmlformats.org/officeDocument/2006/relationships/hyperlink" Target="http://sports.yahoo.com/nhl/players/3132" TargetMode="External"/><Relationship Id="rId1033" Type="http://schemas.openxmlformats.org/officeDocument/2006/relationships/hyperlink" Target="http://sports.yahoo.com/nhl/teams/dal" TargetMode="External"/><Relationship Id="rId1478" Type="http://schemas.openxmlformats.org/officeDocument/2006/relationships/hyperlink" Target="http://sports.yahoo.com/nhl/players/5785" TargetMode="External"/><Relationship Id="rId1685" Type="http://schemas.openxmlformats.org/officeDocument/2006/relationships/hyperlink" Target="http://sports.yahoo.com/nhl/teams/car" TargetMode="External"/><Relationship Id="rId487" Type="http://schemas.openxmlformats.org/officeDocument/2006/relationships/hyperlink" Target="http://sports.yahoo.com/nhl/teams/was" TargetMode="External"/><Relationship Id="rId610" Type="http://schemas.openxmlformats.org/officeDocument/2006/relationships/hyperlink" Target="http://sports.yahoo.com/nhl/players/5193" TargetMode="External"/><Relationship Id="rId694" Type="http://schemas.openxmlformats.org/officeDocument/2006/relationships/hyperlink" Target="http://sports.yahoo.com/nhl/players/4244" TargetMode="External"/><Relationship Id="rId708" Type="http://schemas.openxmlformats.org/officeDocument/2006/relationships/hyperlink" Target="http://sports.yahoo.com/nhl/players/5015" TargetMode="External"/><Relationship Id="rId915" Type="http://schemas.openxmlformats.org/officeDocument/2006/relationships/hyperlink" Target="http://sports.yahoo.com/nhl/teams/njd" TargetMode="External"/><Relationship Id="rId1240" Type="http://schemas.openxmlformats.org/officeDocument/2006/relationships/hyperlink" Target="http://sports.yahoo.com/nhl/players/5421" TargetMode="External"/><Relationship Id="rId1338" Type="http://schemas.openxmlformats.org/officeDocument/2006/relationships/hyperlink" Target="http://sports.yahoo.com/nhl/players/5525" TargetMode="External"/><Relationship Id="rId1545" Type="http://schemas.openxmlformats.org/officeDocument/2006/relationships/hyperlink" Target="http://sports.yahoo.com/nhl/teams/wpg" TargetMode="External"/><Relationship Id="rId347" Type="http://schemas.openxmlformats.org/officeDocument/2006/relationships/hyperlink" Target="http://sports.yahoo.com/nhl/teams/tam" TargetMode="External"/><Relationship Id="rId999" Type="http://schemas.openxmlformats.org/officeDocument/2006/relationships/hyperlink" Target="http://sports.yahoo.com/nhl/teams/stl" TargetMode="External"/><Relationship Id="rId1100" Type="http://schemas.openxmlformats.org/officeDocument/2006/relationships/hyperlink" Target="http://sports.yahoo.com/nhl/players/4632" TargetMode="External"/><Relationship Id="rId1184" Type="http://schemas.openxmlformats.org/officeDocument/2006/relationships/hyperlink" Target="http://sports.yahoo.com/nhl/players/6060" TargetMode="External"/><Relationship Id="rId1405" Type="http://schemas.openxmlformats.org/officeDocument/2006/relationships/hyperlink" Target="http://sports.yahoo.com/nhl/teams/cob" TargetMode="External"/><Relationship Id="rId1752" Type="http://schemas.openxmlformats.org/officeDocument/2006/relationships/hyperlink" Target="http://sports.yahoo.com/nhl/players/4067" TargetMode="External"/><Relationship Id="rId44" Type="http://schemas.openxmlformats.org/officeDocument/2006/relationships/hyperlink" Target="http://sports.yahoo.com/nhl/players/3153" TargetMode="External"/><Relationship Id="rId554" Type="http://schemas.openxmlformats.org/officeDocument/2006/relationships/hyperlink" Target="http://sports.yahoo.com/nhl/players/4252" TargetMode="External"/><Relationship Id="rId761" Type="http://schemas.openxmlformats.org/officeDocument/2006/relationships/hyperlink" Target="http://sports.yahoo.com/nhl/teams/car" TargetMode="External"/><Relationship Id="rId859" Type="http://schemas.openxmlformats.org/officeDocument/2006/relationships/hyperlink" Target="http://sports.yahoo.com/nhl/teams/stl" TargetMode="External"/><Relationship Id="rId1391" Type="http://schemas.openxmlformats.org/officeDocument/2006/relationships/hyperlink" Target="http://sports.yahoo.com/nhl/teams/pit" TargetMode="External"/><Relationship Id="rId1489" Type="http://schemas.openxmlformats.org/officeDocument/2006/relationships/hyperlink" Target="http://sports.yahoo.com/nhl/teams/stl" TargetMode="External"/><Relationship Id="rId1612" Type="http://schemas.openxmlformats.org/officeDocument/2006/relationships/hyperlink" Target="http://sports.yahoo.com/nhl/players/6357" TargetMode="External"/><Relationship Id="rId1696" Type="http://schemas.openxmlformats.org/officeDocument/2006/relationships/hyperlink" Target="http://sports.yahoo.com/nhl/players/4530" TargetMode="External"/><Relationship Id="rId193" Type="http://schemas.openxmlformats.org/officeDocument/2006/relationships/hyperlink" Target="http://sports.yahoo.com/nhl/teams/los" TargetMode="External"/><Relationship Id="rId207" Type="http://schemas.openxmlformats.org/officeDocument/2006/relationships/hyperlink" Target="http://sports.yahoo.com/nhl/teams/phi" TargetMode="External"/><Relationship Id="rId414" Type="http://schemas.openxmlformats.org/officeDocument/2006/relationships/hyperlink" Target="http://sports.yahoo.com/nhl/players/4972" TargetMode="External"/><Relationship Id="rId498" Type="http://schemas.openxmlformats.org/officeDocument/2006/relationships/hyperlink" Target="http://sports.yahoo.com/nhl/players/4706" TargetMode="External"/><Relationship Id="rId621" Type="http://schemas.openxmlformats.org/officeDocument/2006/relationships/hyperlink" Target="http://sports.yahoo.com/nhl/teams/njd" TargetMode="External"/><Relationship Id="rId1044" Type="http://schemas.openxmlformats.org/officeDocument/2006/relationships/hyperlink" Target="http://sports.yahoo.com/nhl/players/1765" TargetMode="External"/><Relationship Id="rId1251" Type="http://schemas.openxmlformats.org/officeDocument/2006/relationships/hyperlink" Target="http://sports.yahoo.com/nhl/teams/cgy" TargetMode="External"/><Relationship Id="rId1349" Type="http://schemas.openxmlformats.org/officeDocument/2006/relationships/hyperlink" Target="http://sports.yahoo.com/nhl/teams/stl" TargetMode="External"/><Relationship Id="rId260" Type="http://schemas.openxmlformats.org/officeDocument/2006/relationships/hyperlink" Target="http://sports.yahoo.com/nhl/players/3918" TargetMode="External"/><Relationship Id="rId719" Type="http://schemas.openxmlformats.org/officeDocument/2006/relationships/hyperlink" Target="http://sports.yahoo.com/nhl/teams/edm" TargetMode="External"/><Relationship Id="rId926" Type="http://schemas.openxmlformats.org/officeDocument/2006/relationships/hyperlink" Target="http://sports.yahoo.com/nhl/players/3967" TargetMode="External"/><Relationship Id="rId1111" Type="http://schemas.openxmlformats.org/officeDocument/2006/relationships/hyperlink" Target="http://sports.yahoo.com/nhl/teams/phi" TargetMode="External"/><Relationship Id="rId1556" Type="http://schemas.openxmlformats.org/officeDocument/2006/relationships/hyperlink" Target="http://sports.yahoo.com/nhl/players/5939" TargetMode="External"/><Relationship Id="rId1763" Type="http://schemas.openxmlformats.org/officeDocument/2006/relationships/hyperlink" Target="http://sports.yahoo.com/nhl/teams/cgy" TargetMode="External"/><Relationship Id="rId55" Type="http://schemas.openxmlformats.org/officeDocument/2006/relationships/hyperlink" Target="http://sports.yahoo.com/nhl/teams/ott" TargetMode="External"/><Relationship Id="rId120" Type="http://schemas.openxmlformats.org/officeDocument/2006/relationships/hyperlink" Target="http://sports.yahoo.com/nhl/players/5362" TargetMode="External"/><Relationship Id="rId358" Type="http://schemas.openxmlformats.org/officeDocument/2006/relationships/hyperlink" Target="http://sports.yahoo.com/nhl/players/5346" TargetMode="External"/><Relationship Id="rId565" Type="http://schemas.openxmlformats.org/officeDocument/2006/relationships/hyperlink" Target="http://sports.yahoo.com/nhl/teams/ott" TargetMode="External"/><Relationship Id="rId772" Type="http://schemas.openxmlformats.org/officeDocument/2006/relationships/hyperlink" Target="http://sports.yahoo.com/nhl/players/3698" TargetMode="External"/><Relationship Id="rId1195" Type="http://schemas.openxmlformats.org/officeDocument/2006/relationships/hyperlink" Target="http://sports.yahoo.com/nhl/teams/edm" TargetMode="External"/><Relationship Id="rId1209" Type="http://schemas.openxmlformats.org/officeDocument/2006/relationships/hyperlink" Target="http://sports.yahoo.com/nhl/teams/ari" TargetMode="External"/><Relationship Id="rId1416" Type="http://schemas.openxmlformats.org/officeDocument/2006/relationships/hyperlink" Target="http://sports.yahoo.com/nhl/players/4606" TargetMode="External"/><Relationship Id="rId1623" Type="http://schemas.openxmlformats.org/officeDocument/2006/relationships/hyperlink" Target="http://sports.yahoo.com/nhl/teams/nas" TargetMode="External"/><Relationship Id="rId218" Type="http://schemas.openxmlformats.org/officeDocument/2006/relationships/hyperlink" Target="http://sports.yahoo.com/nhl/players/4474" TargetMode="External"/><Relationship Id="rId425" Type="http://schemas.openxmlformats.org/officeDocument/2006/relationships/hyperlink" Target="http://sports.yahoo.com/nhl/teams/was" TargetMode="External"/><Relationship Id="rId632" Type="http://schemas.openxmlformats.org/officeDocument/2006/relationships/hyperlink" Target="http://sports.yahoo.com/nhl/players/3986" TargetMode="External"/><Relationship Id="rId1055" Type="http://schemas.openxmlformats.org/officeDocument/2006/relationships/hyperlink" Target="http://sports.yahoo.com/nhl/teams/ana" TargetMode="External"/><Relationship Id="rId1262" Type="http://schemas.openxmlformats.org/officeDocument/2006/relationships/hyperlink" Target="http://sports.yahoo.com/nhl/players/4128" TargetMode="External"/><Relationship Id="rId271" Type="http://schemas.openxmlformats.org/officeDocument/2006/relationships/hyperlink" Target="http://sports.yahoo.com/nhl/teams/ari" TargetMode="External"/><Relationship Id="rId937" Type="http://schemas.openxmlformats.org/officeDocument/2006/relationships/hyperlink" Target="http://sports.yahoo.com/nhl/teams/los" TargetMode="External"/><Relationship Id="rId1122" Type="http://schemas.openxmlformats.org/officeDocument/2006/relationships/hyperlink" Target="http://sports.yahoo.com/nhl/players/5127" TargetMode="External"/><Relationship Id="rId1567" Type="http://schemas.openxmlformats.org/officeDocument/2006/relationships/hyperlink" Target="http://sports.yahoo.com/nhl/teams/ari" TargetMode="External"/><Relationship Id="rId66" Type="http://schemas.openxmlformats.org/officeDocument/2006/relationships/hyperlink" Target="http://sports.yahoo.com/nhl/players/3136" TargetMode="External"/><Relationship Id="rId131" Type="http://schemas.openxmlformats.org/officeDocument/2006/relationships/hyperlink" Target="http://sports.yahoo.com/nhl/teams/was" TargetMode="External"/><Relationship Id="rId369" Type="http://schemas.openxmlformats.org/officeDocument/2006/relationships/hyperlink" Target="http://sports.yahoo.com/nhl/teams/san" TargetMode="External"/><Relationship Id="rId576" Type="http://schemas.openxmlformats.org/officeDocument/2006/relationships/hyperlink" Target="http://sports.yahoo.com/nhl/players/4559" TargetMode="External"/><Relationship Id="rId783" Type="http://schemas.openxmlformats.org/officeDocument/2006/relationships/hyperlink" Target="http://sports.yahoo.com/nhl/teams/nyi" TargetMode="External"/><Relationship Id="rId990" Type="http://schemas.openxmlformats.org/officeDocument/2006/relationships/hyperlink" Target="http://sports.yahoo.com/nhl/players/3120" TargetMode="External"/><Relationship Id="rId1427" Type="http://schemas.openxmlformats.org/officeDocument/2006/relationships/hyperlink" Target="http://sports.yahoo.com/nhl/teams/cob" TargetMode="External"/><Relationship Id="rId1634" Type="http://schemas.openxmlformats.org/officeDocument/2006/relationships/hyperlink" Target="http://sports.yahoo.com/nhl/players/5733" TargetMode="External"/><Relationship Id="rId229" Type="http://schemas.openxmlformats.org/officeDocument/2006/relationships/hyperlink" Target="http://sports.yahoo.com/nhl/teams/nyr" TargetMode="External"/><Relationship Id="rId436" Type="http://schemas.openxmlformats.org/officeDocument/2006/relationships/hyperlink" Target="http://sports.yahoo.com/nhl/players/3838" TargetMode="External"/><Relationship Id="rId643" Type="http://schemas.openxmlformats.org/officeDocument/2006/relationships/hyperlink" Target="http://sports.yahoo.com/nhl/teams/san" TargetMode="External"/><Relationship Id="rId1066" Type="http://schemas.openxmlformats.org/officeDocument/2006/relationships/hyperlink" Target="http://sports.yahoo.com/nhl/players/2856" TargetMode="External"/><Relationship Id="rId1273" Type="http://schemas.openxmlformats.org/officeDocument/2006/relationships/hyperlink" Target="http://sports.yahoo.com/nhl/teams/bos" TargetMode="External"/><Relationship Id="rId1480" Type="http://schemas.openxmlformats.org/officeDocument/2006/relationships/hyperlink" Target="http://sports.yahoo.com/nhl/players/5950" TargetMode="External"/><Relationship Id="rId850" Type="http://schemas.openxmlformats.org/officeDocument/2006/relationships/hyperlink" Target="http://sports.yahoo.com/nhl/players/2891" TargetMode="External"/><Relationship Id="rId948" Type="http://schemas.openxmlformats.org/officeDocument/2006/relationships/hyperlink" Target="http://sports.yahoo.com/nhl/players/1930" TargetMode="External"/><Relationship Id="rId1133" Type="http://schemas.openxmlformats.org/officeDocument/2006/relationships/hyperlink" Target="http://sports.yahoo.com/nhl/teams/tam" TargetMode="External"/><Relationship Id="rId1578" Type="http://schemas.openxmlformats.org/officeDocument/2006/relationships/hyperlink" Target="http://sports.yahoo.com/nhl/players/5183" TargetMode="External"/><Relationship Id="rId1701" Type="http://schemas.openxmlformats.org/officeDocument/2006/relationships/hyperlink" Target="http://sports.yahoo.com/nhl/teams/col" TargetMode="External"/><Relationship Id="rId77" Type="http://schemas.openxmlformats.org/officeDocument/2006/relationships/hyperlink" Target="http://sports.yahoo.com/nhl/teams/stl" TargetMode="External"/><Relationship Id="rId282" Type="http://schemas.openxmlformats.org/officeDocument/2006/relationships/hyperlink" Target="http://sports.yahoo.com/nhl/players/3992" TargetMode="External"/><Relationship Id="rId503" Type="http://schemas.openxmlformats.org/officeDocument/2006/relationships/hyperlink" Target="http://sports.yahoo.com/nhl/teams/tor" TargetMode="External"/><Relationship Id="rId587" Type="http://schemas.openxmlformats.org/officeDocument/2006/relationships/hyperlink" Target="http://sports.yahoo.com/nhl/teams/van" TargetMode="External"/><Relationship Id="rId710" Type="http://schemas.openxmlformats.org/officeDocument/2006/relationships/hyperlink" Target="http://sports.yahoo.com/nhl/players/3789" TargetMode="External"/><Relationship Id="rId808" Type="http://schemas.openxmlformats.org/officeDocument/2006/relationships/hyperlink" Target="http://sports.yahoo.com/nhl/players/4766" TargetMode="External"/><Relationship Id="rId1340" Type="http://schemas.openxmlformats.org/officeDocument/2006/relationships/hyperlink" Target="http://sports.yahoo.com/nhl/players/5979" TargetMode="External"/><Relationship Id="rId1438" Type="http://schemas.openxmlformats.org/officeDocument/2006/relationships/hyperlink" Target="http://sports.yahoo.com/nhl/players/4142" TargetMode="External"/><Relationship Id="rId1645" Type="http://schemas.openxmlformats.org/officeDocument/2006/relationships/hyperlink" Target="http://sports.yahoo.com/nhl/teams/wpg" TargetMode="External"/><Relationship Id="rId8" Type="http://schemas.openxmlformats.org/officeDocument/2006/relationships/hyperlink" Target="http://sports.yahoo.com/nhl/players/4681" TargetMode="External"/><Relationship Id="rId142" Type="http://schemas.openxmlformats.org/officeDocument/2006/relationships/hyperlink" Target="http://sports.yahoo.com/nhl/players/1763" TargetMode="External"/><Relationship Id="rId447" Type="http://schemas.openxmlformats.org/officeDocument/2006/relationships/hyperlink" Target="http://sports.yahoo.com/nhl/teams/van" TargetMode="External"/><Relationship Id="rId794" Type="http://schemas.openxmlformats.org/officeDocument/2006/relationships/hyperlink" Target="http://sports.yahoo.com/nhl/players/3748" TargetMode="External"/><Relationship Id="rId1077" Type="http://schemas.openxmlformats.org/officeDocument/2006/relationships/hyperlink" Target="http://sports.yahoo.com/nhl/teams/was" TargetMode="External"/><Relationship Id="rId1200" Type="http://schemas.openxmlformats.org/officeDocument/2006/relationships/hyperlink" Target="http://sports.yahoo.com/nhl/players/5700" TargetMode="External"/><Relationship Id="rId654" Type="http://schemas.openxmlformats.org/officeDocument/2006/relationships/hyperlink" Target="http://sports.yahoo.com/nhl/players/4424" TargetMode="External"/><Relationship Id="rId861" Type="http://schemas.openxmlformats.org/officeDocument/2006/relationships/hyperlink" Target="http://sports.yahoo.com/nhl/teams/det" TargetMode="External"/><Relationship Id="rId959" Type="http://schemas.openxmlformats.org/officeDocument/2006/relationships/hyperlink" Target="http://sports.yahoo.com/nhl/teams/bos" TargetMode="External"/><Relationship Id="rId1284" Type="http://schemas.openxmlformats.org/officeDocument/2006/relationships/hyperlink" Target="http://sports.yahoo.com/nhl/players/5445" TargetMode="External"/><Relationship Id="rId1491" Type="http://schemas.openxmlformats.org/officeDocument/2006/relationships/hyperlink" Target="http://sports.yahoo.com/nhl/teams/dal" TargetMode="External"/><Relationship Id="rId1505" Type="http://schemas.openxmlformats.org/officeDocument/2006/relationships/hyperlink" Target="http://sports.yahoo.com/nhl/teams/cgy" TargetMode="External"/><Relationship Id="rId1589" Type="http://schemas.openxmlformats.org/officeDocument/2006/relationships/hyperlink" Target="http://sports.yahoo.com/nhl/teams/cgy" TargetMode="External"/><Relationship Id="rId1712" Type="http://schemas.openxmlformats.org/officeDocument/2006/relationships/hyperlink" Target="http://sports.yahoo.com/nhl/players/5716" TargetMode="External"/><Relationship Id="rId293" Type="http://schemas.openxmlformats.org/officeDocument/2006/relationships/hyperlink" Target="http://sports.yahoo.com/nhl/teams/buf" TargetMode="External"/><Relationship Id="rId307" Type="http://schemas.openxmlformats.org/officeDocument/2006/relationships/hyperlink" Target="http://sports.yahoo.com/nhl/teams/dal" TargetMode="External"/><Relationship Id="rId514" Type="http://schemas.openxmlformats.org/officeDocument/2006/relationships/hyperlink" Target="http://sports.yahoo.com/nhl/players/5966" TargetMode="External"/><Relationship Id="rId721" Type="http://schemas.openxmlformats.org/officeDocument/2006/relationships/hyperlink" Target="http://sports.yahoo.com/nhl/teams/car" TargetMode="External"/><Relationship Id="rId1144" Type="http://schemas.openxmlformats.org/officeDocument/2006/relationships/hyperlink" Target="http://sports.yahoo.com/nhl/players/3689" TargetMode="External"/><Relationship Id="rId1351" Type="http://schemas.openxmlformats.org/officeDocument/2006/relationships/hyperlink" Target="http://sports.yahoo.com/nhl/teams/chi" TargetMode="External"/><Relationship Id="rId1449" Type="http://schemas.openxmlformats.org/officeDocument/2006/relationships/hyperlink" Target="http://sports.yahoo.com/nhl/teams/col" TargetMode="External"/><Relationship Id="rId88" Type="http://schemas.openxmlformats.org/officeDocument/2006/relationships/hyperlink" Target="http://sports.yahoo.com/nhl/players/5985" TargetMode="External"/><Relationship Id="rId153" Type="http://schemas.openxmlformats.org/officeDocument/2006/relationships/hyperlink" Target="http://sports.yahoo.com/nhl/teams/tam" TargetMode="External"/><Relationship Id="rId360" Type="http://schemas.openxmlformats.org/officeDocument/2006/relationships/hyperlink" Target="http://sports.yahoo.com/nhl/players/3818" TargetMode="External"/><Relationship Id="rId598" Type="http://schemas.openxmlformats.org/officeDocument/2006/relationships/hyperlink" Target="http://sports.yahoo.com/nhl/players/1657" TargetMode="External"/><Relationship Id="rId819" Type="http://schemas.openxmlformats.org/officeDocument/2006/relationships/hyperlink" Target="http://sports.yahoo.com/nhl/teams/nyi" TargetMode="External"/><Relationship Id="rId1004" Type="http://schemas.openxmlformats.org/officeDocument/2006/relationships/hyperlink" Target="http://sports.yahoo.com/nhl/players/4675" TargetMode="External"/><Relationship Id="rId1211" Type="http://schemas.openxmlformats.org/officeDocument/2006/relationships/hyperlink" Target="http://sports.yahoo.com/nhl/teams/buf" TargetMode="External"/><Relationship Id="rId1656" Type="http://schemas.openxmlformats.org/officeDocument/2006/relationships/hyperlink" Target="http://sports.yahoo.com/nhl/players/4970" TargetMode="External"/><Relationship Id="rId220" Type="http://schemas.openxmlformats.org/officeDocument/2006/relationships/hyperlink" Target="http://sports.yahoo.com/nhl/players/4472" TargetMode="External"/><Relationship Id="rId458" Type="http://schemas.openxmlformats.org/officeDocument/2006/relationships/hyperlink" Target="http://sports.yahoo.com/nhl/players/2849" TargetMode="External"/><Relationship Id="rId665" Type="http://schemas.openxmlformats.org/officeDocument/2006/relationships/hyperlink" Target="http://sports.yahoo.com/nhl/teams/fla" TargetMode="External"/><Relationship Id="rId872" Type="http://schemas.openxmlformats.org/officeDocument/2006/relationships/hyperlink" Target="http://sports.yahoo.com/nhl/players/4886" TargetMode="External"/><Relationship Id="rId1088" Type="http://schemas.openxmlformats.org/officeDocument/2006/relationships/hyperlink" Target="http://sports.yahoo.com/nhl/players/4615" TargetMode="External"/><Relationship Id="rId1295" Type="http://schemas.openxmlformats.org/officeDocument/2006/relationships/hyperlink" Target="http://sports.yahoo.com/nhl/teams/san" TargetMode="External"/><Relationship Id="rId1309" Type="http://schemas.openxmlformats.org/officeDocument/2006/relationships/hyperlink" Target="http://sports.yahoo.com/nhl/teams/ari" TargetMode="External"/><Relationship Id="rId1516" Type="http://schemas.openxmlformats.org/officeDocument/2006/relationships/hyperlink" Target="http://sports.yahoo.com/nhl/players/4506" TargetMode="External"/><Relationship Id="rId1723" Type="http://schemas.openxmlformats.org/officeDocument/2006/relationships/hyperlink" Target="http://sports.yahoo.com/nhl/teams/col" TargetMode="External"/><Relationship Id="rId15" Type="http://schemas.openxmlformats.org/officeDocument/2006/relationships/hyperlink" Target="http://sports.yahoo.com/nhl/teams/was" TargetMode="External"/><Relationship Id="rId318" Type="http://schemas.openxmlformats.org/officeDocument/2006/relationships/hyperlink" Target="http://sports.yahoo.com/nhl/players/1934" TargetMode="External"/><Relationship Id="rId525" Type="http://schemas.openxmlformats.org/officeDocument/2006/relationships/hyperlink" Target="http://sports.yahoo.com/nhl/teams/bos" TargetMode="External"/><Relationship Id="rId732" Type="http://schemas.openxmlformats.org/officeDocument/2006/relationships/hyperlink" Target="http://sports.yahoo.com/nhl/players/2992" TargetMode="External"/><Relationship Id="rId1155" Type="http://schemas.openxmlformats.org/officeDocument/2006/relationships/hyperlink" Target="http://sports.yahoo.com/nhl/teams/pit" TargetMode="External"/><Relationship Id="rId1362" Type="http://schemas.openxmlformats.org/officeDocument/2006/relationships/hyperlink" Target="http://sports.yahoo.com/nhl/players/4834" TargetMode="External"/><Relationship Id="rId99" Type="http://schemas.openxmlformats.org/officeDocument/2006/relationships/hyperlink" Target="http://sports.yahoo.com/nhl/teams/wpg" TargetMode="External"/><Relationship Id="rId164" Type="http://schemas.openxmlformats.org/officeDocument/2006/relationships/hyperlink" Target="http://sports.yahoo.com/nhl/players/5411" TargetMode="External"/><Relationship Id="rId371" Type="http://schemas.openxmlformats.org/officeDocument/2006/relationships/hyperlink" Target="http://sports.yahoo.com/nhl/teams/van" TargetMode="External"/><Relationship Id="rId1015" Type="http://schemas.openxmlformats.org/officeDocument/2006/relationships/hyperlink" Target="http://sports.yahoo.com/nhl/teams/cgy" TargetMode="External"/><Relationship Id="rId1222" Type="http://schemas.openxmlformats.org/officeDocument/2006/relationships/hyperlink" Target="http://sports.yahoo.com/nhl/players/4882" TargetMode="External"/><Relationship Id="rId1667" Type="http://schemas.openxmlformats.org/officeDocument/2006/relationships/hyperlink" Target="http://sports.yahoo.com/nhl/teams/car" TargetMode="External"/><Relationship Id="rId469" Type="http://schemas.openxmlformats.org/officeDocument/2006/relationships/hyperlink" Target="http://sports.yahoo.com/nhl/teams/nyi" TargetMode="External"/><Relationship Id="rId676" Type="http://schemas.openxmlformats.org/officeDocument/2006/relationships/hyperlink" Target="http://sports.yahoo.com/nhl/players/3722" TargetMode="External"/><Relationship Id="rId883" Type="http://schemas.openxmlformats.org/officeDocument/2006/relationships/hyperlink" Target="http://sports.yahoo.com/nhl/teams/mon" TargetMode="External"/><Relationship Id="rId1099" Type="http://schemas.openxmlformats.org/officeDocument/2006/relationships/hyperlink" Target="http://sports.yahoo.com/nhl/teams/wpg" TargetMode="External"/><Relationship Id="rId1527" Type="http://schemas.openxmlformats.org/officeDocument/2006/relationships/hyperlink" Target="http://sports.yahoo.com/nhl/teams/tor" TargetMode="External"/><Relationship Id="rId1734" Type="http://schemas.openxmlformats.org/officeDocument/2006/relationships/hyperlink" Target="http://sports.yahoo.com/nhl/players/5377" TargetMode="External"/><Relationship Id="rId26" Type="http://schemas.openxmlformats.org/officeDocument/2006/relationships/hyperlink" Target="http://sports.yahoo.com/nhl/players/4002" TargetMode="External"/><Relationship Id="rId231" Type="http://schemas.openxmlformats.org/officeDocument/2006/relationships/hyperlink" Target="http://sports.yahoo.com/nhl/teams/stl" TargetMode="External"/><Relationship Id="rId329" Type="http://schemas.openxmlformats.org/officeDocument/2006/relationships/hyperlink" Target="http://sports.yahoo.com/nhl/teams/det" TargetMode="External"/><Relationship Id="rId536" Type="http://schemas.openxmlformats.org/officeDocument/2006/relationships/hyperlink" Target="http://sports.yahoo.com/nhl/players/3176" TargetMode="External"/><Relationship Id="rId1166" Type="http://schemas.openxmlformats.org/officeDocument/2006/relationships/hyperlink" Target="http://sports.yahoo.com/nhl/players/4703" TargetMode="External"/><Relationship Id="rId1373" Type="http://schemas.openxmlformats.org/officeDocument/2006/relationships/hyperlink" Target="http://sports.yahoo.com/nhl/teams/mon" TargetMode="External"/><Relationship Id="rId175" Type="http://schemas.openxmlformats.org/officeDocument/2006/relationships/hyperlink" Target="http://sports.yahoo.com/nhl/teams/nyi" TargetMode="External"/><Relationship Id="rId743" Type="http://schemas.openxmlformats.org/officeDocument/2006/relationships/hyperlink" Target="http://sports.yahoo.com/nhl/teams/cgy" TargetMode="External"/><Relationship Id="rId950" Type="http://schemas.openxmlformats.org/officeDocument/2006/relationships/hyperlink" Target="http://sports.yahoo.com/nhl/players/3972" TargetMode="External"/><Relationship Id="rId1026" Type="http://schemas.openxmlformats.org/officeDocument/2006/relationships/hyperlink" Target="http://sports.yahoo.com/nhl/players/3526" TargetMode="External"/><Relationship Id="rId1580" Type="http://schemas.openxmlformats.org/officeDocument/2006/relationships/hyperlink" Target="http://sports.yahoo.com/nhl/players/5941" TargetMode="External"/><Relationship Id="rId1678" Type="http://schemas.openxmlformats.org/officeDocument/2006/relationships/hyperlink" Target="http://sports.yahoo.com/nhl/players/5259" TargetMode="External"/><Relationship Id="rId382" Type="http://schemas.openxmlformats.org/officeDocument/2006/relationships/hyperlink" Target="http://sports.yahoo.com/nhl/players/3701" TargetMode="External"/><Relationship Id="rId603" Type="http://schemas.openxmlformats.org/officeDocument/2006/relationships/hyperlink" Target="http://sports.yahoo.com/nhl/teams/los" TargetMode="External"/><Relationship Id="rId687" Type="http://schemas.openxmlformats.org/officeDocument/2006/relationships/hyperlink" Target="http://sports.yahoo.com/nhl/teams/san" TargetMode="External"/><Relationship Id="rId810" Type="http://schemas.openxmlformats.org/officeDocument/2006/relationships/hyperlink" Target="http://sports.yahoo.com/nhl/players/3292" TargetMode="External"/><Relationship Id="rId908" Type="http://schemas.openxmlformats.org/officeDocument/2006/relationships/hyperlink" Target="http://sports.yahoo.com/nhl/players/5011" TargetMode="External"/><Relationship Id="rId1233" Type="http://schemas.openxmlformats.org/officeDocument/2006/relationships/hyperlink" Target="http://sports.yahoo.com/nhl/teams/ari" TargetMode="External"/><Relationship Id="rId1440" Type="http://schemas.openxmlformats.org/officeDocument/2006/relationships/hyperlink" Target="http://sports.yahoo.com/nhl/players/5684" TargetMode="External"/><Relationship Id="rId1538" Type="http://schemas.openxmlformats.org/officeDocument/2006/relationships/hyperlink" Target="http://sports.yahoo.com/nhl/players/6368" TargetMode="External"/><Relationship Id="rId242" Type="http://schemas.openxmlformats.org/officeDocument/2006/relationships/hyperlink" Target="http://sports.yahoo.com/nhl/players/4396" TargetMode="External"/><Relationship Id="rId894" Type="http://schemas.openxmlformats.org/officeDocument/2006/relationships/hyperlink" Target="http://sports.yahoo.com/nhl/players/3632" TargetMode="External"/><Relationship Id="rId1177" Type="http://schemas.openxmlformats.org/officeDocument/2006/relationships/hyperlink" Target="http://sports.yahoo.com/nhl/teams/bos" TargetMode="External"/><Relationship Id="rId1300" Type="http://schemas.openxmlformats.org/officeDocument/2006/relationships/hyperlink" Target="http://sports.yahoo.com/nhl/players/5997" TargetMode="External"/><Relationship Id="rId1745" Type="http://schemas.openxmlformats.org/officeDocument/2006/relationships/hyperlink" Target="http://sports.yahoo.com/nhl/teams/col" TargetMode="External"/><Relationship Id="rId37" Type="http://schemas.openxmlformats.org/officeDocument/2006/relationships/hyperlink" Target="http://sports.yahoo.com/nhl/teams/cob" TargetMode="External"/><Relationship Id="rId102" Type="http://schemas.openxmlformats.org/officeDocument/2006/relationships/hyperlink" Target="http://sports.yahoo.com/nhl/players/3987" TargetMode="External"/><Relationship Id="rId547" Type="http://schemas.openxmlformats.org/officeDocument/2006/relationships/hyperlink" Target="http://sports.yahoo.com/nhl/teams/pit" TargetMode="External"/><Relationship Id="rId754" Type="http://schemas.openxmlformats.org/officeDocument/2006/relationships/hyperlink" Target="http://sports.yahoo.com/nhl/players/5462" TargetMode="External"/><Relationship Id="rId961" Type="http://schemas.openxmlformats.org/officeDocument/2006/relationships/hyperlink" Target="http://sports.yahoo.com/nhl/teams/stl" TargetMode="External"/><Relationship Id="rId1384" Type="http://schemas.openxmlformats.org/officeDocument/2006/relationships/hyperlink" Target="http://sports.yahoo.com/nhl/players/1907" TargetMode="External"/><Relationship Id="rId1591" Type="http://schemas.openxmlformats.org/officeDocument/2006/relationships/hyperlink" Target="http://sports.yahoo.com/nhl/teams/was" TargetMode="External"/><Relationship Id="rId1605" Type="http://schemas.openxmlformats.org/officeDocument/2006/relationships/hyperlink" Target="http://sports.yahoo.com/nhl/teams/edm" TargetMode="External"/><Relationship Id="rId1689" Type="http://schemas.openxmlformats.org/officeDocument/2006/relationships/hyperlink" Target="http://sports.yahoo.com/nhl/teams/pit" TargetMode="External"/><Relationship Id="rId90" Type="http://schemas.openxmlformats.org/officeDocument/2006/relationships/hyperlink" Target="http://sports.yahoo.com/nhl/players/3355" TargetMode="External"/><Relationship Id="rId186" Type="http://schemas.openxmlformats.org/officeDocument/2006/relationships/hyperlink" Target="http://sports.yahoo.com/nhl/players/4921" TargetMode="External"/><Relationship Id="rId393" Type="http://schemas.openxmlformats.org/officeDocument/2006/relationships/hyperlink" Target="http://sports.yahoo.com/nhl/teams/nyi" TargetMode="External"/><Relationship Id="rId407" Type="http://schemas.openxmlformats.org/officeDocument/2006/relationships/hyperlink" Target="http://sports.yahoo.com/nhl/teams/cgy" TargetMode="External"/><Relationship Id="rId614" Type="http://schemas.openxmlformats.org/officeDocument/2006/relationships/hyperlink" Target="http://sports.yahoo.com/nhl/players/3363" TargetMode="External"/><Relationship Id="rId821" Type="http://schemas.openxmlformats.org/officeDocument/2006/relationships/hyperlink" Target="http://sports.yahoo.com/nhl/teams/edm" TargetMode="External"/><Relationship Id="rId1037" Type="http://schemas.openxmlformats.org/officeDocument/2006/relationships/hyperlink" Target="http://sports.yahoo.com/nhl/teams/nas" TargetMode="External"/><Relationship Id="rId1244" Type="http://schemas.openxmlformats.org/officeDocument/2006/relationships/hyperlink" Target="http://sports.yahoo.com/nhl/players/4152" TargetMode="External"/><Relationship Id="rId1451" Type="http://schemas.openxmlformats.org/officeDocument/2006/relationships/hyperlink" Target="http://sports.yahoo.com/nhl/teams/ari" TargetMode="External"/><Relationship Id="rId253" Type="http://schemas.openxmlformats.org/officeDocument/2006/relationships/hyperlink" Target="http://sports.yahoo.com/nhl/teams/bos" TargetMode="External"/><Relationship Id="rId460" Type="http://schemas.openxmlformats.org/officeDocument/2006/relationships/hyperlink" Target="http://sports.yahoo.com/nhl/players/4426" TargetMode="External"/><Relationship Id="rId698" Type="http://schemas.openxmlformats.org/officeDocument/2006/relationships/hyperlink" Target="http://sports.yahoo.com/nhl/players/6006" TargetMode="External"/><Relationship Id="rId919" Type="http://schemas.openxmlformats.org/officeDocument/2006/relationships/hyperlink" Target="http://sports.yahoo.com/nhl/teams/ott" TargetMode="External"/><Relationship Id="rId1090" Type="http://schemas.openxmlformats.org/officeDocument/2006/relationships/hyperlink" Target="http://sports.yahoo.com/nhl/players/3239" TargetMode="External"/><Relationship Id="rId1104" Type="http://schemas.openxmlformats.org/officeDocument/2006/relationships/hyperlink" Target="http://sports.yahoo.com/nhl/players/4650" TargetMode="External"/><Relationship Id="rId1311" Type="http://schemas.openxmlformats.org/officeDocument/2006/relationships/hyperlink" Target="http://sports.yahoo.com/nhl/teams/min" TargetMode="External"/><Relationship Id="rId1549" Type="http://schemas.openxmlformats.org/officeDocument/2006/relationships/hyperlink" Target="http://sports.yahoo.com/nhl/teams/edm" TargetMode="External"/><Relationship Id="rId1756" Type="http://schemas.openxmlformats.org/officeDocument/2006/relationships/hyperlink" Target="http://sports.yahoo.com/nhl/players/3977" TargetMode="External"/><Relationship Id="rId48" Type="http://schemas.openxmlformats.org/officeDocument/2006/relationships/hyperlink" Target="http://sports.yahoo.com/nhl/players/4248" TargetMode="External"/><Relationship Id="rId113" Type="http://schemas.openxmlformats.org/officeDocument/2006/relationships/hyperlink" Target="http://sports.yahoo.com/nhl/teams/col" TargetMode="External"/><Relationship Id="rId320" Type="http://schemas.openxmlformats.org/officeDocument/2006/relationships/hyperlink" Target="http://sports.yahoo.com/nhl/players/6367" TargetMode="External"/><Relationship Id="rId558" Type="http://schemas.openxmlformats.org/officeDocument/2006/relationships/hyperlink" Target="http://sports.yahoo.com/nhl/players/5983" TargetMode="External"/><Relationship Id="rId765" Type="http://schemas.openxmlformats.org/officeDocument/2006/relationships/hyperlink" Target="http://sports.yahoo.com/nhl/teams/san" TargetMode="External"/><Relationship Id="rId972" Type="http://schemas.openxmlformats.org/officeDocument/2006/relationships/hyperlink" Target="http://sports.yahoo.com/nhl/players/3961" TargetMode="External"/><Relationship Id="rId1188" Type="http://schemas.openxmlformats.org/officeDocument/2006/relationships/hyperlink" Target="http://sports.yahoo.com/nhl/players/1797" TargetMode="External"/><Relationship Id="rId1395" Type="http://schemas.openxmlformats.org/officeDocument/2006/relationships/hyperlink" Target="http://sports.yahoo.com/nhl/teams/buf" TargetMode="External"/><Relationship Id="rId1409" Type="http://schemas.openxmlformats.org/officeDocument/2006/relationships/hyperlink" Target="http://sports.yahoo.com/nhl/teams/nyr" TargetMode="External"/><Relationship Id="rId1616" Type="http://schemas.openxmlformats.org/officeDocument/2006/relationships/hyperlink" Target="http://sports.yahoo.com/nhl/players/5095" TargetMode="External"/><Relationship Id="rId197" Type="http://schemas.openxmlformats.org/officeDocument/2006/relationships/hyperlink" Target="http://sports.yahoo.com/nhl/teams/ott" TargetMode="External"/><Relationship Id="rId418" Type="http://schemas.openxmlformats.org/officeDocument/2006/relationships/hyperlink" Target="http://sports.yahoo.com/nhl/players/3867" TargetMode="External"/><Relationship Id="rId625" Type="http://schemas.openxmlformats.org/officeDocument/2006/relationships/hyperlink" Target="http://sports.yahoo.com/nhl/teams/min" TargetMode="External"/><Relationship Id="rId832" Type="http://schemas.openxmlformats.org/officeDocument/2006/relationships/hyperlink" Target="http://sports.yahoo.com/nhl/players/5029" TargetMode="External"/><Relationship Id="rId1048" Type="http://schemas.openxmlformats.org/officeDocument/2006/relationships/hyperlink" Target="http://sports.yahoo.com/nhl/players/2571" TargetMode="External"/><Relationship Id="rId1255" Type="http://schemas.openxmlformats.org/officeDocument/2006/relationships/hyperlink" Target="http://sports.yahoo.com/nhl/teams/mon" TargetMode="External"/><Relationship Id="rId1462" Type="http://schemas.openxmlformats.org/officeDocument/2006/relationships/hyperlink" Target="http://sports.yahoo.com/nhl/players/5353" TargetMode="External"/><Relationship Id="rId264" Type="http://schemas.openxmlformats.org/officeDocument/2006/relationships/hyperlink" Target="http://sports.yahoo.com/nhl/players/3649" TargetMode="External"/><Relationship Id="rId471" Type="http://schemas.openxmlformats.org/officeDocument/2006/relationships/hyperlink" Target="http://sports.yahoo.com/nhl/teams/car" TargetMode="External"/><Relationship Id="rId1115" Type="http://schemas.openxmlformats.org/officeDocument/2006/relationships/hyperlink" Target="http://sports.yahoo.com/nhl/teams/cob" TargetMode="External"/><Relationship Id="rId1322" Type="http://schemas.openxmlformats.org/officeDocument/2006/relationships/hyperlink" Target="http://sports.yahoo.com/nhl/players/3892" TargetMode="External"/><Relationship Id="rId1767" Type="http://schemas.openxmlformats.org/officeDocument/2006/relationships/hyperlink" Target="http://sports.yahoo.com/nhl/teams/tam" TargetMode="External"/><Relationship Id="rId59" Type="http://schemas.openxmlformats.org/officeDocument/2006/relationships/hyperlink" Target="http://sports.yahoo.com/nhl/teams/det" TargetMode="External"/><Relationship Id="rId124" Type="http://schemas.openxmlformats.org/officeDocument/2006/relationships/hyperlink" Target="http://sports.yahoo.com/nhl/players/3508" TargetMode="External"/><Relationship Id="rId569" Type="http://schemas.openxmlformats.org/officeDocument/2006/relationships/hyperlink" Target="http://sports.yahoo.com/nhl/teams/tor" TargetMode="External"/><Relationship Id="rId776" Type="http://schemas.openxmlformats.org/officeDocument/2006/relationships/hyperlink" Target="http://sports.yahoo.com/nhl/players/4568" TargetMode="External"/><Relationship Id="rId983" Type="http://schemas.openxmlformats.org/officeDocument/2006/relationships/hyperlink" Target="http://sports.yahoo.com/nhl/teams/mon" TargetMode="External"/><Relationship Id="rId1199" Type="http://schemas.openxmlformats.org/officeDocument/2006/relationships/hyperlink" Target="http://sports.yahoo.com/nhl/teams/buf" TargetMode="External"/><Relationship Id="rId1627" Type="http://schemas.openxmlformats.org/officeDocument/2006/relationships/hyperlink" Target="http://sports.yahoo.com/nhl/teams/car" TargetMode="External"/><Relationship Id="rId331" Type="http://schemas.openxmlformats.org/officeDocument/2006/relationships/hyperlink" Target="http://sports.yahoo.com/nhl/teams/ana" TargetMode="External"/><Relationship Id="rId429" Type="http://schemas.openxmlformats.org/officeDocument/2006/relationships/hyperlink" Target="http://sports.yahoo.com/nhl/teams/det" TargetMode="External"/><Relationship Id="rId636" Type="http://schemas.openxmlformats.org/officeDocument/2006/relationships/hyperlink" Target="http://sports.yahoo.com/nhl/players/3979" TargetMode="External"/><Relationship Id="rId1059" Type="http://schemas.openxmlformats.org/officeDocument/2006/relationships/hyperlink" Target="http://sports.yahoo.com/nhl/teams/min" TargetMode="External"/><Relationship Id="rId1266" Type="http://schemas.openxmlformats.org/officeDocument/2006/relationships/hyperlink" Target="http://sports.yahoo.com/nhl/players/4858" TargetMode="External"/><Relationship Id="rId1473" Type="http://schemas.openxmlformats.org/officeDocument/2006/relationships/hyperlink" Target="http://sports.yahoo.com/nhl/teams/cgy" TargetMode="External"/><Relationship Id="rId843" Type="http://schemas.openxmlformats.org/officeDocument/2006/relationships/hyperlink" Target="http://sports.yahoo.com/nhl/teams/phi" TargetMode="External"/><Relationship Id="rId1126" Type="http://schemas.openxmlformats.org/officeDocument/2006/relationships/hyperlink" Target="http://sports.yahoo.com/nhl/players/4702" TargetMode="External"/><Relationship Id="rId1680" Type="http://schemas.openxmlformats.org/officeDocument/2006/relationships/hyperlink" Target="http://sports.yahoo.com/nhl/players/4569" TargetMode="External"/><Relationship Id="rId275" Type="http://schemas.openxmlformats.org/officeDocument/2006/relationships/hyperlink" Target="http://sports.yahoo.com/nhl/teams/bos" TargetMode="External"/><Relationship Id="rId482" Type="http://schemas.openxmlformats.org/officeDocument/2006/relationships/hyperlink" Target="http://sports.yahoo.com/nhl/players/4020" TargetMode="External"/><Relationship Id="rId703" Type="http://schemas.openxmlformats.org/officeDocument/2006/relationships/hyperlink" Target="http://sports.yahoo.com/nhl/teams/nyr" TargetMode="External"/><Relationship Id="rId910" Type="http://schemas.openxmlformats.org/officeDocument/2006/relationships/hyperlink" Target="http://sports.yahoo.com/nhl/players/1189" TargetMode="External"/><Relationship Id="rId1333" Type="http://schemas.openxmlformats.org/officeDocument/2006/relationships/hyperlink" Target="http://sports.yahoo.com/nhl/teams/ott" TargetMode="External"/><Relationship Id="rId1540" Type="http://schemas.openxmlformats.org/officeDocument/2006/relationships/hyperlink" Target="http://sports.yahoo.com/nhl/players/4462" TargetMode="External"/><Relationship Id="rId1638" Type="http://schemas.openxmlformats.org/officeDocument/2006/relationships/hyperlink" Target="http://sports.yahoo.com/nhl/players/5390" TargetMode="External"/><Relationship Id="rId135" Type="http://schemas.openxmlformats.org/officeDocument/2006/relationships/hyperlink" Target="http://sports.yahoo.com/nhl/teams/nas" TargetMode="External"/><Relationship Id="rId342" Type="http://schemas.openxmlformats.org/officeDocument/2006/relationships/hyperlink" Target="http://sports.yahoo.com/nhl/players/4961" TargetMode="External"/><Relationship Id="rId787" Type="http://schemas.openxmlformats.org/officeDocument/2006/relationships/hyperlink" Target="http://sports.yahoo.com/nhl/teams/det" TargetMode="External"/><Relationship Id="rId994" Type="http://schemas.openxmlformats.org/officeDocument/2006/relationships/hyperlink" Target="http://sports.yahoo.com/nhl/players/6290" TargetMode="External"/><Relationship Id="rId1400" Type="http://schemas.openxmlformats.org/officeDocument/2006/relationships/hyperlink" Target="http://sports.yahoo.com/nhl/players/4313" TargetMode="External"/><Relationship Id="rId202" Type="http://schemas.openxmlformats.org/officeDocument/2006/relationships/hyperlink" Target="http://sports.yahoo.com/nhl/players/4554" TargetMode="External"/><Relationship Id="rId647" Type="http://schemas.openxmlformats.org/officeDocument/2006/relationships/hyperlink" Target="http://sports.yahoo.com/nhl/teams/ott" TargetMode="External"/><Relationship Id="rId854" Type="http://schemas.openxmlformats.org/officeDocument/2006/relationships/hyperlink" Target="http://sports.yahoo.com/nhl/players/5995" TargetMode="External"/><Relationship Id="rId1277" Type="http://schemas.openxmlformats.org/officeDocument/2006/relationships/hyperlink" Target="http://sports.yahoo.com/nhl/teams/mon" TargetMode="External"/><Relationship Id="rId1484" Type="http://schemas.openxmlformats.org/officeDocument/2006/relationships/hyperlink" Target="http://sports.yahoo.com/nhl/players/6297" TargetMode="External"/><Relationship Id="rId1691" Type="http://schemas.openxmlformats.org/officeDocument/2006/relationships/hyperlink" Target="http://sports.yahoo.com/nhl/teams/col" TargetMode="External"/><Relationship Id="rId1705" Type="http://schemas.openxmlformats.org/officeDocument/2006/relationships/hyperlink" Target="http://sports.yahoo.com/nhl/teams/phi" TargetMode="External"/><Relationship Id="rId286" Type="http://schemas.openxmlformats.org/officeDocument/2006/relationships/hyperlink" Target="http://sports.yahoo.com/nhl/players/4732" TargetMode="External"/><Relationship Id="rId493" Type="http://schemas.openxmlformats.org/officeDocument/2006/relationships/hyperlink" Target="http://sports.yahoo.com/nhl/teams/cgy" TargetMode="External"/><Relationship Id="rId507" Type="http://schemas.openxmlformats.org/officeDocument/2006/relationships/hyperlink" Target="http://sports.yahoo.com/nhl/teams/dal" TargetMode="External"/><Relationship Id="rId714" Type="http://schemas.openxmlformats.org/officeDocument/2006/relationships/hyperlink" Target="http://sports.yahoo.com/nhl/players/5993" TargetMode="External"/><Relationship Id="rId921" Type="http://schemas.openxmlformats.org/officeDocument/2006/relationships/hyperlink" Target="http://sports.yahoo.com/nhl/teams/tam" TargetMode="External"/><Relationship Id="rId1137" Type="http://schemas.openxmlformats.org/officeDocument/2006/relationships/hyperlink" Target="http://sports.yahoo.com/nhl/teams/nyi" TargetMode="External"/><Relationship Id="rId1344" Type="http://schemas.openxmlformats.org/officeDocument/2006/relationships/hyperlink" Target="http://sports.yahoo.com/nhl/players/5549" TargetMode="External"/><Relationship Id="rId1551" Type="http://schemas.openxmlformats.org/officeDocument/2006/relationships/hyperlink" Target="http://sports.yahoo.com/nhl/teams/nyr" TargetMode="External"/><Relationship Id="rId50" Type="http://schemas.openxmlformats.org/officeDocument/2006/relationships/hyperlink" Target="http://sports.yahoo.com/nhl/players/2503" TargetMode="External"/><Relationship Id="rId146" Type="http://schemas.openxmlformats.org/officeDocument/2006/relationships/hyperlink" Target="http://sports.yahoo.com/nhl/players/3342" TargetMode="External"/><Relationship Id="rId353" Type="http://schemas.openxmlformats.org/officeDocument/2006/relationships/hyperlink" Target="http://sports.yahoo.com/nhl/teams/chi" TargetMode="External"/><Relationship Id="rId560" Type="http://schemas.openxmlformats.org/officeDocument/2006/relationships/hyperlink" Target="http://sports.yahoo.com/nhl/players/4289" TargetMode="External"/><Relationship Id="rId798" Type="http://schemas.openxmlformats.org/officeDocument/2006/relationships/hyperlink" Target="http://sports.yahoo.com/nhl/players/4257" TargetMode="External"/><Relationship Id="rId1190" Type="http://schemas.openxmlformats.org/officeDocument/2006/relationships/hyperlink" Target="http://sports.yahoo.com/nhl/players/2564" TargetMode="External"/><Relationship Id="rId1204" Type="http://schemas.openxmlformats.org/officeDocument/2006/relationships/hyperlink" Target="http://sports.yahoo.com/nhl/players/4012" TargetMode="External"/><Relationship Id="rId1411" Type="http://schemas.openxmlformats.org/officeDocument/2006/relationships/hyperlink" Target="http://sports.yahoo.com/nhl/teams/phi" TargetMode="External"/><Relationship Id="rId1649" Type="http://schemas.openxmlformats.org/officeDocument/2006/relationships/hyperlink" Target="http://sports.yahoo.com/nhl/teams/tor" TargetMode="External"/><Relationship Id="rId213" Type="http://schemas.openxmlformats.org/officeDocument/2006/relationships/hyperlink" Target="http://sports.yahoo.com/nhl/teams/bos" TargetMode="External"/><Relationship Id="rId420" Type="http://schemas.openxmlformats.org/officeDocument/2006/relationships/hyperlink" Target="http://sports.yahoo.com/nhl/players/5207" TargetMode="External"/><Relationship Id="rId658" Type="http://schemas.openxmlformats.org/officeDocument/2006/relationships/hyperlink" Target="http://sports.yahoo.com/nhl/players/4243" TargetMode="External"/><Relationship Id="rId865" Type="http://schemas.openxmlformats.org/officeDocument/2006/relationships/hyperlink" Target="http://sports.yahoo.com/nhl/teams/phi" TargetMode="External"/><Relationship Id="rId1050" Type="http://schemas.openxmlformats.org/officeDocument/2006/relationships/hyperlink" Target="http://sports.yahoo.com/nhl/players/2837" TargetMode="External"/><Relationship Id="rId1288" Type="http://schemas.openxmlformats.org/officeDocument/2006/relationships/hyperlink" Target="http://sports.yahoo.com/nhl/players/4363" TargetMode="External"/><Relationship Id="rId1495" Type="http://schemas.openxmlformats.org/officeDocument/2006/relationships/hyperlink" Target="http://sports.yahoo.com/nhl/teams/edm" TargetMode="External"/><Relationship Id="rId1509" Type="http://schemas.openxmlformats.org/officeDocument/2006/relationships/hyperlink" Target="http://sports.yahoo.com/nhl/teams/njd" TargetMode="External"/><Relationship Id="rId1716" Type="http://schemas.openxmlformats.org/officeDocument/2006/relationships/hyperlink" Target="http://sports.yahoo.com/nhl/players/5715" TargetMode="External"/><Relationship Id="rId297" Type="http://schemas.openxmlformats.org/officeDocument/2006/relationships/hyperlink" Target="http://sports.yahoo.com/nhl/teams/nyi" TargetMode="External"/><Relationship Id="rId518" Type="http://schemas.openxmlformats.org/officeDocument/2006/relationships/hyperlink" Target="http://sports.yahoo.com/nhl/players/3709" TargetMode="External"/><Relationship Id="rId725" Type="http://schemas.openxmlformats.org/officeDocument/2006/relationships/hyperlink" Target="http://sports.yahoo.com/nhl/teams/buf" TargetMode="External"/><Relationship Id="rId932" Type="http://schemas.openxmlformats.org/officeDocument/2006/relationships/hyperlink" Target="http://sports.yahoo.com/nhl/players/4963" TargetMode="External"/><Relationship Id="rId1148" Type="http://schemas.openxmlformats.org/officeDocument/2006/relationships/hyperlink" Target="http://sports.yahoo.com/nhl/players/5070" TargetMode="External"/><Relationship Id="rId1355" Type="http://schemas.openxmlformats.org/officeDocument/2006/relationships/hyperlink" Target="http://sports.yahoo.com/nhl/teams/nyi" TargetMode="External"/><Relationship Id="rId1562" Type="http://schemas.openxmlformats.org/officeDocument/2006/relationships/hyperlink" Target="http://sports.yahoo.com/nhl/players/6196" TargetMode="External"/><Relationship Id="rId157" Type="http://schemas.openxmlformats.org/officeDocument/2006/relationships/hyperlink" Target="http://sports.yahoo.com/nhl/teams/det" TargetMode="External"/><Relationship Id="rId364" Type="http://schemas.openxmlformats.org/officeDocument/2006/relationships/hyperlink" Target="http://sports.yahoo.com/nhl/players/4287" TargetMode="External"/><Relationship Id="rId1008" Type="http://schemas.openxmlformats.org/officeDocument/2006/relationships/hyperlink" Target="http://sports.yahoo.com/nhl/players/1792" TargetMode="External"/><Relationship Id="rId1215" Type="http://schemas.openxmlformats.org/officeDocument/2006/relationships/hyperlink" Target="http://sports.yahoo.com/nhl/teams/col" TargetMode="External"/><Relationship Id="rId1422" Type="http://schemas.openxmlformats.org/officeDocument/2006/relationships/hyperlink" Target="http://sports.yahoo.com/nhl/players/4580" TargetMode="External"/><Relationship Id="rId61" Type="http://schemas.openxmlformats.org/officeDocument/2006/relationships/hyperlink" Target="http://sports.yahoo.com/nhl/teams/cgy" TargetMode="External"/><Relationship Id="rId571" Type="http://schemas.openxmlformats.org/officeDocument/2006/relationships/hyperlink" Target="http://sports.yahoo.com/nhl/teams/chi" TargetMode="External"/><Relationship Id="rId669" Type="http://schemas.openxmlformats.org/officeDocument/2006/relationships/hyperlink" Target="http://sports.yahoo.com/nhl/teams/fla" TargetMode="External"/><Relationship Id="rId876" Type="http://schemas.openxmlformats.org/officeDocument/2006/relationships/hyperlink" Target="http://sports.yahoo.com/nhl/players/3055" TargetMode="External"/><Relationship Id="rId1299" Type="http://schemas.openxmlformats.org/officeDocument/2006/relationships/hyperlink" Target="http://sports.yahoo.com/nhl/teams/van" TargetMode="External"/><Relationship Id="rId1727" Type="http://schemas.openxmlformats.org/officeDocument/2006/relationships/hyperlink" Target="http://sports.yahoo.com/nhl/teams/nyr" TargetMode="External"/><Relationship Id="rId19" Type="http://schemas.openxmlformats.org/officeDocument/2006/relationships/hyperlink" Target="http://sports.yahoo.com/nhl/teams/dal" TargetMode="External"/><Relationship Id="rId224" Type="http://schemas.openxmlformats.org/officeDocument/2006/relationships/hyperlink" Target="http://sports.yahoo.com/nhl/players/5367" TargetMode="External"/><Relationship Id="rId431" Type="http://schemas.openxmlformats.org/officeDocument/2006/relationships/hyperlink" Target="http://sports.yahoo.com/nhl/teams/pit" TargetMode="External"/><Relationship Id="rId529" Type="http://schemas.openxmlformats.org/officeDocument/2006/relationships/hyperlink" Target="http://sports.yahoo.com/nhl/teams/ari" TargetMode="External"/><Relationship Id="rId736" Type="http://schemas.openxmlformats.org/officeDocument/2006/relationships/hyperlink" Target="http://sports.yahoo.com/nhl/players/4779" TargetMode="External"/><Relationship Id="rId1061" Type="http://schemas.openxmlformats.org/officeDocument/2006/relationships/hyperlink" Target="http://sports.yahoo.com/nhl/teams/nas" TargetMode="External"/><Relationship Id="rId1159" Type="http://schemas.openxmlformats.org/officeDocument/2006/relationships/hyperlink" Target="http://sports.yahoo.com/nhl/teams/los" TargetMode="External"/><Relationship Id="rId1366" Type="http://schemas.openxmlformats.org/officeDocument/2006/relationships/hyperlink" Target="http://sports.yahoo.com/nhl/players/6358" TargetMode="External"/><Relationship Id="rId168" Type="http://schemas.openxmlformats.org/officeDocument/2006/relationships/hyperlink" Target="http://sports.yahoo.com/nhl/players/3994" TargetMode="External"/><Relationship Id="rId943" Type="http://schemas.openxmlformats.org/officeDocument/2006/relationships/hyperlink" Target="http://sports.yahoo.com/nhl/teams/buf" TargetMode="External"/><Relationship Id="rId1019" Type="http://schemas.openxmlformats.org/officeDocument/2006/relationships/hyperlink" Target="http://sports.yahoo.com/nhl/teams/njd" TargetMode="External"/><Relationship Id="rId1573" Type="http://schemas.openxmlformats.org/officeDocument/2006/relationships/hyperlink" Target="http://sports.yahoo.com/nhl/teams/fla" TargetMode="External"/><Relationship Id="rId72" Type="http://schemas.openxmlformats.org/officeDocument/2006/relationships/hyperlink" Target="http://sports.yahoo.com/nhl/players/4242" TargetMode="External"/><Relationship Id="rId375" Type="http://schemas.openxmlformats.org/officeDocument/2006/relationships/hyperlink" Target="http://sports.yahoo.com/nhl/teams/cob" TargetMode="External"/><Relationship Id="rId582" Type="http://schemas.openxmlformats.org/officeDocument/2006/relationships/hyperlink" Target="http://sports.yahoo.com/nhl/players/3657" TargetMode="External"/><Relationship Id="rId803" Type="http://schemas.openxmlformats.org/officeDocument/2006/relationships/hyperlink" Target="http://sports.yahoo.com/nhl/teams/bos" TargetMode="External"/><Relationship Id="rId1226" Type="http://schemas.openxmlformats.org/officeDocument/2006/relationships/hyperlink" Target="http://sports.yahoo.com/nhl/players/5627" TargetMode="External"/><Relationship Id="rId1433" Type="http://schemas.openxmlformats.org/officeDocument/2006/relationships/hyperlink" Target="http://sports.yahoo.com/nhl/teams/cob" TargetMode="External"/><Relationship Id="rId1640" Type="http://schemas.openxmlformats.org/officeDocument/2006/relationships/hyperlink" Target="http://sports.yahoo.com/nhl/players/4359" TargetMode="External"/><Relationship Id="rId1738" Type="http://schemas.openxmlformats.org/officeDocument/2006/relationships/hyperlink" Target="http://sports.yahoo.com/nhl/players/5690" TargetMode="External"/><Relationship Id="rId3" Type="http://schemas.openxmlformats.org/officeDocument/2006/relationships/hyperlink" Target="http://sports.yahoo.com/nhl/stats/byposition?pos=C,RW,LW,D&amp;conference=NHL&amp;year=season_2014&amp;qualified=1&amp;sort=0" TargetMode="External"/><Relationship Id="rId235" Type="http://schemas.openxmlformats.org/officeDocument/2006/relationships/hyperlink" Target="http://sports.yahoo.com/nhl/teams/was" TargetMode="External"/><Relationship Id="rId442" Type="http://schemas.openxmlformats.org/officeDocument/2006/relationships/hyperlink" Target="http://sports.yahoo.com/nhl/players/5681" TargetMode="External"/><Relationship Id="rId887" Type="http://schemas.openxmlformats.org/officeDocument/2006/relationships/hyperlink" Target="http://sports.yahoo.com/nhl/teams/nyi" TargetMode="External"/><Relationship Id="rId1072" Type="http://schemas.openxmlformats.org/officeDocument/2006/relationships/hyperlink" Target="http://sports.yahoo.com/nhl/players/6369" TargetMode="External"/><Relationship Id="rId1500" Type="http://schemas.openxmlformats.org/officeDocument/2006/relationships/hyperlink" Target="http://sports.yahoo.com/nhl/players/5384" TargetMode="External"/><Relationship Id="rId302" Type="http://schemas.openxmlformats.org/officeDocument/2006/relationships/hyperlink" Target="http://sports.yahoo.com/nhl/players/3777" TargetMode="External"/><Relationship Id="rId747" Type="http://schemas.openxmlformats.org/officeDocument/2006/relationships/hyperlink" Target="http://sports.yahoo.com/nhl/teams/njd" TargetMode="External"/><Relationship Id="rId954" Type="http://schemas.openxmlformats.org/officeDocument/2006/relationships/hyperlink" Target="http://sports.yahoo.com/nhl/players/3081" TargetMode="External"/><Relationship Id="rId1377" Type="http://schemas.openxmlformats.org/officeDocument/2006/relationships/hyperlink" Target="http://sports.yahoo.com/nhl/teams/was" TargetMode="External"/><Relationship Id="rId1584" Type="http://schemas.openxmlformats.org/officeDocument/2006/relationships/hyperlink" Target="http://sports.yahoo.com/nhl/players/4896" TargetMode="External"/><Relationship Id="rId83" Type="http://schemas.openxmlformats.org/officeDocument/2006/relationships/hyperlink" Target="http://sports.yahoo.com/nhl/teams/nas" TargetMode="External"/><Relationship Id="rId179" Type="http://schemas.openxmlformats.org/officeDocument/2006/relationships/hyperlink" Target="http://sports.yahoo.com/nhl/teams/mon" TargetMode="External"/><Relationship Id="rId386" Type="http://schemas.openxmlformats.org/officeDocument/2006/relationships/hyperlink" Target="http://sports.yahoo.com/nhl/players/2144" TargetMode="External"/><Relationship Id="rId593" Type="http://schemas.openxmlformats.org/officeDocument/2006/relationships/hyperlink" Target="http://sports.yahoo.com/nhl/teams/car" TargetMode="External"/><Relationship Id="rId607" Type="http://schemas.openxmlformats.org/officeDocument/2006/relationships/hyperlink" Target="http://sports.yahoo.com/nhl/teams/cgy" TargetMode="External"/><Relationship Id="rId814" Type="http://schemas.openxmlformats.org/officeDocument/2006/relationships/hyperlink" Target="http://sports.yahoo.com/nhl/players/4958" TargetMode="External"/><Relationship Id="rId1237" Type="http://schemas.openxmlformats.org/officeDocument/2006/relationships/hyperlink" Target="http://sports.yahoo.com/nhl/teams/cgy" TargetMode="External"/><Relationship Id="rId1444" Type="http://schemas.openxmlformats.org/officeDocument/2006/relationships/hyperlink" Target="http://sports.yahoo.com/nhl/players/4262" TargetMode="External"/><Relationship Id="rId1651" Type="http://schemas.openxmlformats.org/officeDocument/2006/relationships/hyperlink" Target="http://sports.yahoo.com/nhl/teams/edm" TargetMode="External"/><Relationship Id="rId246" Type="http://schemas.openxmlformats.org/officeDocument/2006/relationships/hyperlink" Target="http://sports.yahoo.com/nhl/players/2517" TargetMode="External"/><Relationship Id="rId453" Type="http://schemas.openxmlformats.org/officeDocument/2006/relationships/hyperlink" Target="http://sports.yahoo.com/nhl/teams/njd" TargetMode="External"/><Relationship Id="rId660" Type="http://schemas.openxmlformats.org/officeDocument/2006/relationships/hyperlink" Target="http://sports.yahoo.com/nhl/players/4849" TargetMode="External"/><Relationship Id="rId898" Type="http://schemas.openxmlformats.org/officeDocument/2006/relationships/hyperlink" Target="http://sports.yahoo.com/nhl/players/1929" TargetMode="External"/><Relationship Id="rId1083" Type="http://schemas.openxmlformats.org/officeDocument/2006/relationships/hyperlink" Target="http://sports.yahoo.com/nhl/teams/wpg" TargetMode="External"/><Relationship Id="rId1290" Type="http://schemas.openxmlformats.org/officeDocument/2006/relationships/hyperlink" Target="http://sports.yahoo.com/nhl/players/5932" TargetMode="External"/><Relationship Id="rId1304" Type="http://schemas.openxmlformats.org/officeDocument/2006/relationships/hyperlink" Target="http://sports.yahoo.com/nhl/players/4401" TargetMode="External"/><Relationship Id="rId1511" Type="http://schemas.openxmlformats.org/officeDocument/2006/relationships/hyperlink" Target="http://sports.yahoo.com/nhl/teams/tor" TargetMode="External"/><Relationship Id="rId1749" Type="http://schemas.openxmlformats.org/officeDocument/2006/relationships/hyperlink" Target="http://sports.yahoo.com/nhl/teams/tor" TargetMode="External"/><Relationship Id="rId106" Type="http://schemas.openxmlformats.org/officeDocument/2006/relationships/hyperlink" Target="http://sports.yahoo.com/nhl/players/4558" TargetMode="External"/><Relationship Id="rId313" Type="http://schemas.openxmlformats.org/officeDocument/2006/relationships/hyperlink" Target="http://sports.yahoo.com/nhl/teams/dal" TargetMode="External"/><Relationship Id="rId758" Type="http://schemas.openxmlformats.org/officeDocument/2006/relationships/hyperlink" Target="http://sports.yahoo.com/nhl/players/4206" TargetMode="External"/><Relationship Id="rId965" Type="http://schemas.openxmlformats.org/officeDocument/2006/relationships/hyperlink" Target="http://sports.yahoo.com/nhl/teams/phi" TargetMode="External"/><Relationship Id="rId1150" Type="http://schemas.openxmlformats.org/officeDocument/2006/relationships/hyperlink" Target="http://sports.yahoo.com/nhl/players/5092" TargetMode="External"/><Relationship Id="rId1388" Type="http://schemas.openxmlformats.org/officeDocument/2006/relationships/hyperlink" Target="http://sports.yahoo.com/nhl/players/3955" TargetMode="External"/><Relationship Id="rId1595" Type="http://schemas.openxmlformats.org/officeDocument/2006/relationships/hyperlink" Target="http://sports.yahoo.com/nhl/teams/nyr" TargetMode="External"/><Relationship Id="rId1609" Type="http://schemas.openxmlformats.org/officeDocument/2006/relationships/hyperlink" Target="http://sports.yahoo.com/nhl/teams/chi" TargetMode="External"/><Relationship Id="rId10" Type="http://schemas.openxmlformats.org/officeDocument/2006/relationships/hyperlink" Target="http://sports.yahoo.com/nhl/players/3737" TargetMode="External"/><Relationship Id="rId94" Type="http://schemas.openxmlformats.org/officeDocument/2006/relationships/hyperlink" Target="http://sports.yahoo.com/nhl/players/3349" TargetMode="External"/><Relationship Id="rId397" Type="http://schemas.openxmlformats.org/officeDocument/2006/relationships/hyperlink" Target="http://sports.yahoo.com/nhl/teams/nyr" TargetMode="External"/><Relationship Id="rId520" Type="http://schemas.openxmlformats.org/officeDocument/2006/relationships/hyperlink" Target="http://sports.yahoo.com/nhl/players/4436" TargetMode="External"/><Relationship Id="rId618" Type="http://schemas.openxmlformats.org/officeDocument/2006/relationships/hyperlink" Target="http://sports.yahoo.com/nhl/players/5334" TargetMode="External"/><Relationship Id="rId825" Type="http://schemas.openxmlformats.org/officeDocument/2006/relationships/hyperlink" Target="http://sports.yahoo.com/nhl/teams/los" TargetMode="External"/><Relationship Id="rId1248" Type="http://schemas.openxmlformats.org/officeDocument/2006/relationships/hyperlink" Target="http://sports.yahoo.com/nhl/players/5949" TargetMode="External"/><Relationship Id="rId1455" Type="http://schemas.openxmlformats.org/officeDocument/2006/relationships/hyperlink" Target="http://sports.yahoo.com/nhl/teams/col" TargetMode="External"/><Relationship Id="rId1662" Type="http://schemas.openxmlformats.org/officeDocument/2006/relationships/hyperlink" Target="http://sports.yahoo.com/nhl/players/5635" TargetMode="External"/><Relationship Id="rId257" Type="http://schemas.openxmlformats.org/officeDocument/2006/relationships/hyperlink" Target="http://sports.yahoo.com/nhl/teams/bos" TargetMode="External"/><Relationship Id="rId464" Type="http://schemas.openxmlformats.org/officeDocument/2006/relationships/hyperlink" Target="http://sports.yahoo.com/nhl/players/5927" TargetMode="External"/><Relationship Id="rId1010" Type="http://schemas.openxmlformats.org/officeDocument/2006/relationships/hyperlink" Target="http://sports.yahoo.com/nhl/players/4270" TargetMode="External"/><Relationship Id="rId1094" Type="http://schemas.openxmlformats.org/officeDocument/2006/relationships/hyperlink" Target="http://sports.yahoo.com/nhl/players/5412" TargetMode="External"/><Relationship Id="rId1108" Type="http://schemas.openxmlformats.org/officeDocument/2006/relationships/hyperlink" Target="http://sports.yahoo.com/nhl/players/3809" TargetMode="External"/><Relationship Id="rId1315" Type="http://schemas.openxmlformats.org/officeDocument/2006/relationships/hyperlink" Target="http://sports.yahoo.com/nhl/teams/tor" TargetMode="External"/><Relationship Id="rId117" Type="http://schemas.openxmlformats.org/officeDocument/2006/relationships/hyperlink" Target="http://sports.yahoo.com/nhl/teams/stl" TargetMode="External"/><Relationship Id="rId671" Type="http://schemas.openxmlformats.org/officeDocument/2006/relationships/hyperlink" Target="http://sports.yahoo.com/nhl/teams/njd" TargetMode="External"/><Relationship Id="rId769" Type="http://schemas.openxmlformats.org/officeDocument/2006/relationships/hyperlink" Target="http://sports.yahoo.com/nhl/teams/cgy" TargetMode="External"/><Relationship Id="rId976" Type="http://schemas.openxmlformats.org/officeDocument/2006/relationships/hyperlink" Target="http://sports.yahoo.com/nhl/players/5241" TargetMode="External"/><Relationship Id="rId1399" Type="http://schemas.openxmlformats.org/officeDocument/2006/relationships/hyperlink" Target="http://sports.yahoo.com/nhl/teams/buf" TargetMode="External"/><Relationship Id="rId324" Type="http://schemas.openxmlformats.org/officeDocument/2006/relationships/hyperlink" Target="http://sports.yahoo.com/nhl/players/4838" TargetMode="External"/><Relationship Id="rId531" Type="http://schemas.openxmlformats.org/officeDocument/2006/relationships/hyperlink" Target="http://sports.yahoo.com/nhl/teams/van" TargetMode="External"/><Relationship Id="rId629" Type="http://schemas.openxmlformats.org/officeDocument/2006/relationships/hyperlink" Target="http://sports.yahoo.com/nhl/teams/van" TargetMode="External"/><Relationship Id="rId1161" Type="http://schemas.openxmlformats.org/officeDocument/2006/relationships/hyperlink" Target="http://sports.yahoo.com/nhl/teams/tam" TargetMode="External"/><Relationship Id="rId1259" Type="http://schemas.openxmlformats.org/officeDocument/2006/relationships/hyperlink" Target="http://sports.yahoo.com/nhl/teams/phi" TargetMode="External"/><Relationship Id="rId1466" Type="http://schemas.openxmlformats.org/officeDocument/2006/relationships/hyperlink" Target="http://sports.yahoo.com/nhl/players/5747" TargetMode="External"/><Relationship Id="rId836" Type="http://schemas.openxmlformats.org/officeDocument/2006/relationships/hyperlink" Target="http://sports.yahoo.com/nhl/players/5687" TargetMode="External"/><Relationship Id="rId1021" Type="http://schemas.openxmlformats.org/officeDocument/2006/relationships/hyperlink" Target="http://sports.yahoo.com/nhl/teams/tam" TargetMode="External"/><Relationship Id="rId1119" Type="http://schemas.openxmlformats.org/officeDocument/2006/relationships/hyperlink" Target="http://sports.yahoo.com/nhl/teams/wpg" TargetMode="External"/><Relationship Id="rId1673" Type="http://schemas.openxmlformats.org/officeDocument/2006/relationships/hyperlink" Target="http://sports.yahoo.com/nhl/teams/bos" TargetMode="External"/><Relationship Id="rId903" Type="http://schemas.openxmlformats.org/officeDocument/2006/relationships/hyperlink" Target="http://sports.yahoo.com/nhl/teams/mon" TargetMode="External"/><Relationship Id="rId1326" Type="http://schemas.openxmlformats.org/officeDocument/2006/relationships/hyperlink" Target="http://sports.yahoo.com/nhl/players/5634" TargetMode="External"/><Relationship Id="rId1533" Type="http://schemas.openxmlformats.org/officeDocument/2006/relationships/hyperlink" Target="http://sports.yahoo.com/nhl/teams/ott" TargetMode="External"/><Relationship Id="rId1740" Type="http://schemas.openxmlformats.org/officeDocument/2006/relationships/hyperlink" Target="http://sports.yahoo.com/nhl/players/4127" TargetMode="External"/><Relationship Id="rId32" Type="http://schemas.openxmlformats.org/officeDocument/2006/relationships/hyperlink" Target="http://sports.yahoo.com/nhl/players/4471" TargetMode="External"/><Relationship Id="rId1600" Type="http://schemas.openxmlformats.org/officeDocument/2006/relationships/hyperlink" Target="http://sports.yahoo.com/nhl/players/2955" TargetMode="External"/><Relationship Id="rId181" Type="http://schemas.openxmlformats.org/officeDocument/2006/relationships/hyperlink" Target="http://sports.yahoo.com/nhl/teams/nyi" TargetMode="External"/><Relationship Id="rId279" Type="http://schemas.openxmlformats.org/officeDocument/2006/relationships/hyperlink" Target="http://sports.yahoo.com/nhl/teams/nas" TargetMode="External"/><Relationship Id="rId486" Type="http://schemas.openxmlformats.org/officeDocument/2006/relationships/hyperlink" Target="http://sports.yahoo.com/nhl/players/3805" TargetMode="External"/><Relationship Id="rId693" Type="http://schemas.openxmlformats.org/officeDocument/2006/relationships/hyperlink" Target="http://sports.yahoo.com/nhl/teams/van" TargetMode="External"/><Relationship Id="rId139" Type="http://schemas.openxmlformats.org/officeDocument/2006/relationships/hyperlink" Target="http://sports.yahoo.com/nhl/teams/stl" TargetMode="External"/><Relationship Id="rId346" Type="http://schemas.openxmlformats.org/officeDocument/2006/relationships/hyperlink" Target="http://sports.yahoo.com/nhl/players/4682" TargetMode="External"/><Relationship Id="rId553" Type="http://schemas.openxmlformats.org/officeDocument/2006/relationships/hyperlink" Target="http://sports.yahoo.com/nhl/teams/dal" TargetMode="External"/><Relationship Id="rId760" Type="http://schemas.openxmlformats.org/officeDocument/2006/relationships/hyperlink" Target="http://sports.yahoo.com/nhl/players/3261" TargetMode="External"/><Relationship Id="rId998" Type="http://schemas.openxmlformats.org/officeDocument/2006/relationships/hyperlink" Target="http://sports.yahoo.com/nhl/players/4186" TargetMode="External"/><Relationship Id="rId1183" Type="http://schemas.openxmlformats.org/officeDocument/2006/relationships/hyperlink" Target="http://sports.yahoo.com/nhl/teams/buf" TargetMode="External"/><Relationship Id="rId1390" Type="http://schemas.openxmlformats.org/officeDocument/2006/relationships/hyperlink" Target="http://sports.yahoo.com/nhl/players/5053" TargetMode="External"/><Relationship Id="rId206" Type="http://schemas.openxmlformats.org/officeDocument/2006/relationships/hyperlink" Target="http://sports.yahoo.com/nhl/players/4685" TargetMode="External"/><Relationship Id="rId413" Type="http://schemas.openxmlformats.org/officeDocument/2006/relationships/hyperlink" Target="http://sports.yahoo.com/nhl/teams/ana" TargetMode="External"/><Relationship Id="rId858" Type="http://schemas.openxmlformats.org/officeDocument/2006/relationships/hyperlink" Target="http://sports.yahoo.com/nhl/players/2026" TargetMode="External"/><Relationship Id="rId1043" Type="http://schemas.openxmlformats.org/officeDocument/2006/relationships/hyperlink" Target="http://sports.yahoo.com/nhl/teams/car" TargetMode="External"/><Relationship Id="rId1488" Type="http://schemas.openxmlformats.org/officeDocument/2006/relationships/hyperlink" Target="http://sports.yahoo.com/nhl/players/3889" TargetMode="External"/><Relationship Id="rId1695" Type="http://schemas.openxmlformats.org/officeDocument/2006/relationships/hyperlink" Target="http://sports.yahoo.com/nhl/teams/ari" TargetMode="External"/><Relationship Id="rId620" Type="http://schemas.openxmlformats.org/officeDocument/2006/relationships/hyperlink" Target="http://sports.yahoo.com/nhl/players/5365" TargetMode="External"/><Relationship Id="rId718" Type="http://schemas.openxmlformats.org/officeDocument/2006/relationships/hyperlink" Target="http://sports.yahoo.com/nhl/players/5323" TargetMode="External"/><Relationship Id="rId925" Type="http://schemas.openxmlformats.org/officeDocument/2006/relationships/hyperlink" Target="http://sports.yahoo.com/nhl/teams/njd" TargetMode="External"/><Relationship Id="rId1250" Type="http://schemas.openxmlformats.org/officeDocument/2006/relationships/hyperlink" Target="http://sports.yahoo.com/nhl/players/5106" TargetMode="External"/><Relationship Id="rId1348" Type="http://schemas.openxmlformats.org/officeDocument/2006/relationships/hyperlink" Target="http://sports.yahoo.com/nhl/players/5865" TargetMode="External"/><Relationship Id="rId1555" Type="http://schemas.openxmlformats.org/officeDocument/2006/relationships/hyperlink" Target="http://sports.yahoo.com/nhl/teams/fla" TargetMode="External"/><Relationship Id="rId1762" Type="http://schemas.openxmlformats.org/officeDocument/2006/relationships/hyperlink" Target="http://sports.yahoo.com/nhl/players/5037" TargetMode="External"/><Relationship Id="rId1110" Type="http://schemas.openxmlformats.org/officeDocument/2006/relationships/hyperlink" Target="http://sports.yahoo.com/nhl/players/2853" TargetMode="External"/><Relationship Id="rId1208" Type="http://schemas.openxmlformats.org/officeDocument/2006/relationships/hyperlink" Target="http://sports.yahoo.com/nhl/players/3392" TargetMode="External"/><Relationship Id="rId1415" Type="http://schemas.openxmlformats.org/officeDocument/2006/relationships/hyperlink" Target="http://sports.yahoo.com/nhl/teams/edm" TargetMode="External"/><Relationship Id="rId54" Type="http://schemas.openxmlformats.org/officeDocument/2006/relationships/hyperlink" Target="http://sports.yahoo.com/nhl/players/4491" TargetMode="External"/><Relationship Id="rId1622" Type="http://schemas.openxmlformats.org/officeDocument/2006/relationships/hyperlink" Target="http://sports.yahoo.com/nhl/players/6377" TargetMode="External"/><Relationship Id="rId270" Type="http://schemas.openxmlformats.org/officeDocument/2006/relationships/hyperlink" Target="http://sports.yahoo.com/nhl/players/4686" TargetMode="External"/><Relationship Id="rId130" Type="http://schemas.openxmlformats.org/officeDocument/2006/relationships/hyperlink" Target="http://sports.yahoo.com/nhl/players/4503" TargetMode="External"/><Relationship Id="rId368" Type="http://schemas.openxmlformats.org/officeDocument/2006/relationships/hyperlink" Target="http://sports.yahoo.com/nhl/players/4944" TargetMode="External"/><Relationship Id="rId575" Type="http://schemas.openxmlformats.org/officeDocument/2006/relationships/hyperlink" Target="http://sports.yahoo.com/nhl/teams/dal" TargetMode="External"/><Relationship Id="rId782" Type="http://schemas.openxmlformats.org/officeDocument/2006/relationships/hyperlink" Target="http://sports.yahoo.com/nhl/players/4773" TargetMode="External"/><Relationship Id="rId228" Type="http://schemas.openxmlformats.org/officeDocument/2006/relationships/hyperlink" Target="http://sports.yahoo.com/nhl/players/4699" TargetMode="External"/><Relationship Id="rId435" Type="http://schemas.openxmlformats.org/officeDocument/2006/relationships/hyperlink" Target="http://sports.yahoo.com/nhl/teams/was" TargetMode="External"/><Relationship Id="rId642" Type="http://schemas.openxmlformats.org/officeDocument/2006/relationships/hyperlink" Target="http://sports.yahoo.com/nhl/players/4888" TargetMode="External"/><Relationship Id="rId1065" Type="http://schemas.openxmlformats.org/officeDocument/2006/relationships/hyperlink" Target="http://sports.yahoo.com/nhl/teams/chi" TargetMode="External"/><Relationship Id="rId1272" Type="http://schemas.openxmlformats.org/officeDocument/2006/relationships/hyperlink" Target="http://sports.yahoo.com/nhl/players/4894" TargetMode="External"/><Relationship Id="rId502" Type="http://schemas.openxmlformats.org/officeDocument/2006/relationships/hyperlink" Target="http://sports.yahoo.com/nhl/players/5685" TargetMode="External"/><Relationship Id="rId947" Type="http://schemas.openxmlformats.org/officeDocument/2006/relationships/hyperlink" Target="http://sports.yahoo.com/nhl/teams/car" TargetMode="External"/><Relationship Id="rId1132" Type="http://schemas.openxmlformats.org/officeDocument/2006/relationships/hyperlink" Target="http://sports.yahoo.com/nhl/players/1979" TargetMode="External"/><Relationship Id="rId1577" Type="http://schemas.openxmlformats.org/officeDocument/2006/relationships/hyperlink" Target="http://sports.yahoo.com/nhl/teams/ari" TargetMode="External"/><Relationship Id="rId76" Type="http://schemas.openxmlformats.org/officeDocument/2006/relationships/hyperlink" Target="http://sports.yahoo.com/nhl/players/4974" TargetMode="External"/><Relationship Id="rId807" Type="http://schemas.openxmlformats.org/officeDocument/2006/relationships/hyperlink" Target="http://sports.yahoo.com/nhl/teams/was" TargetMode="External"/><Relationship Id="rId1437" Type="http://schemas.openxmlformats.org/officeDocument/2006/relationships/hyperlink" Target="http://sports.yahoo.com/nhl/teams/wpg" TargetMode="External"/><Relationship Id="rId1644" Type="http://schemas.openxmlformats.org/officeDocument/2006/relationships/hyperlink" Target="http://sports.yahoo.com/nhl/players/5596" TargetMode="External"/><Relationship Id="rId1504" Type="http://schemas.openxmlformats.org/officeDocument/2006/relationships/hyperlink" Target="http://sports.yahoo.com/nhl/players/6370" TargetMode="External"/><Relationship Id="rId1711" Type="http://schemas.openxmlformats.org/officeDocument/2006/relationships/hyperlink" Target="http://sports.yahoo.com/nhl/teams/wpg" TargetMode="External"/><Relationship Id="rId292" Type="http://schemas.openxmlformats.org/officeDocument/2006/relationships/hyperlink" Target="http://sports.yahoo.com/nhl/players/4040" TargetMode="External"/><Relationship Id="rId597" Type="http://schemas.openxmlformats.org/officeDocument/2006/relationships/hyperlink" Target="http://sports.yahoo.com/nhl/teams/dal" TargetMode="External"/><Relationship Id="rId152" Type="http://schemas.openxmlformats.org/officeDocument/2006/relationships/hyperlink" Target="http://sports.yahoo.com/nhl/players/3886" TargetMode="External"/><Relationship Id="rId457" Type="http://schemas.openxmlformats.org/officeDocument/2006/relationships/hyperlink" Target="http://sports.yahoo.com/nhl/teams/edm" TargetMode="External"/><Relationship Id="rId1087" Type="http://schemas.openxmlformats.org/officeDocument/2006/relationships/hyperlink" Target="http://sports.yahoo.com/nhl/teams/pit" TargetMode="External"/><Relationship Id="rId1294" Type="http://schemas.openxmlformats.org/officeDocument/2006/relationships/hyperlink" Target="http://sports.yahoo.com/nhl/players/4110" TargetMode="External"/><Relationship Id="rId664" Type="http://schemas.openxmlformats.org/officeDocument/2006/relationships/hyperlink" Target="http://sports.yahoo.com/nhl/players/5431" TargetMode="External"/><Relationship Id="rId871" Type="http://schemas.openxmlformats.org/officeDocument/2006/relationships/hyperlink" Target="http://sports.yahoo.com/nhl/teams/col" TargetMode="External"/><Relationship Id="rId969" Type="http://schemas.openxmlformats.org/officeDocument/2006/relationships/hyperlink" Target="http://sports.yahoo.com/nhl/teams/col" TargetMode="External"/><Relationship Id="rId1599" Type="http://schemas.openxmlformats.org/officeDocument/2006/relationships/hyperlink" Target="http://sports.yahoo.com/nhl/teams/cob" TargetMode="External"/><Relationship Id="rId317" Type="http://schemas.openxmlformats.org/officeDocument/2006/relationships/hyperlink" Target="http://sports.yahoo.com/nhl/teams/bos" TargetMode="External"/><Relationship Id="rId524" Type="http://schemas.openxmlformats.org/officeDocument/2006/relationships/hyperlink" Target="http://sports.yahoo.com/nhl/players/2800" TargetMode="External"/><Relationship Id="rId731" Type="http://schemas.openxmlformats.org/officeDocument/2006/relationships/hyperlink" Target="http://sports.yahoo.com/nhl/teams/min" TargetMode="External"/><Relationship Id="rId1154" Type="http://schemas.openxmlformats.org/officeDocument/2006/relationships/hyperlink" Target="http://sports.yahoo.com/nhl/players/5688" TargetMode="External"/><Relationship Id="rId1361" Type="http://schemas.openxmlformats.org/officeDocument/2006/relationships/hyperlink" Target="http://sports.yahoo.com/nhl/teams/mon" TargetMode="External"/><Relationship Id="rId1459" Type="http://schemas.openxmlformats.org/officeDocument/2006/relationships/hyperlink" Target="http://sports.yahoo.com/nhl/teams/col" TargetMode="External"/><Relationship Id="rId98" Type="http://schemas.openxmlformats.org/officeDocument/2006/relationships/hyperlink" Target="http://sports.yahoo.com/nhl/players/3641" TargetMode="External"/><Relationship Id="rId829" Type="http://schemas.openxmlformats.org/officeDocument/2006/relationships/hyperlink" Target="http://sports.yahoo.com/nhl/teams/van" TargetMode="External"/><Relationship Id="rId1014" Type="http://schemas.openxmlformats.org/officeDocument/2006/relationships/hyperlink" Target="http://sports.yahoo.com/nhl/players/3487" TargetMode="External"/><Relationship Id="rId1221" Type="http://schemas.openxmlformats.org/officeDocument/2006/relationships/hyperlink" Target="http://sports.yahoo.com/nhl/teams/ana" TargetMode="External"/><Relationship Id="rId1666" Type="http://schemas.openxmlformats.org/officeDocument/2006/relationships/hyperlink" Target="http://sports.yahoo.com/nhl/players/5558" TargetMode="External"/><Relationship Id="rId1319" Type="http://schemas.openxmlformats.org/officeDocument/2006/relationships/hyperlink" Target="http://sports.yahoo.com/nhl/teams/nyr" TargetMode="External"/><Relationship Id="rId1526" Type="http://schemas.openxmlformats.org/officeDocument/2006/relationships/hyperlink" Target="http://sports.yahoo.com/nhl/players/6714" TargetMode="External"/><Relationship Id="rId1733" Type="http://schemas.openxmlformats.org/officeDocument/2006/relationships/hyperlink" Target="http://sports.yahoo.com/nhl/teams/was" TargetMode="External"/><Relationship Id="rId25" Type="http://schemas.openxmlformats.org/officeDocument/2006/relationships/hyperlink" Target="http://sports.yahoo.com/nhl/teams/cob" TargetMode="External"/><Relationship Id="rId174" Type="http://schemas.openxmlformats.org/officeDocument/2006/relationships/hyperlink" Target="http://sports.yahoo.com/nhl/players/3988" TargetMode="External"/><Relationship Id="rId381" Type="http://schemas.openxmlformats.org/officeDocument/2006/relationships/hyperlink" Target="http://sports.yahoo.com/nhl/teams/fla" TargetMode="External"/><Relationship Id="rId241" Type="http://schemas.openxmlformats.org/officeDocument/2006/relationships/hyperlink" Target="http://sports.yahoo.com/nhl/teams/wpg" TargetMode="External"/><Relationship Id="rId479" Type="http://schemas.openxmlformats.org/officeDocument/2006/relationships/hyperlink" Target="http://sports.yahoo.com/nhl/teams/wpg" TargetMode="External"/><Relationship Id="rId686" Type="http://schemas.openxmlformats.org/officeDocument/2006/relationships/hyperlink" Target="http://sports.yahoo.com/nhl/players/5744" TargetMode="External"/><Relationship Id="rId893" Type="http://schemas.openxmlformats.org/officeDocument/2006/relationships/hyperlink" Target="http://sports.yahoo.com/nhl/teams/wpg" TargetMode="External"/><Relationship Id="rId339" Type="http://schemas.openxmlformats.org/officeDocument/2006/relationships/hyperlink" Target="http://sports.yahoo.com/nhl/teams/fla" TargetMode="External"/><Relationship Id="rId546" Type="http://schemas.openxmlformats.org/officeDocument/2006/relationships/hyperlink" Target="http://sports.yahoo.com/nhl/players/4539" TargetMode="External"/><Relationship Id="rId753" Type="http://schemas.openxmlformats.org/officeDocument/2006/relationships/hyperlink" Target="http://sports.yahoo.com/nhl/teams/min" TargetMode="External"/><Relationship Id="rId1176" Type="http://schemas.openxmlformats.org/officeDocument/2006/relationships/hyperlink" Target="http://sports.yahoo.com/nhl/players/3816" TargetMode="External"/><Relationship Id="rId1383" Type="http://schemas.openxmlformats.org/officeDocument/2006/relationships/hyperlink" Target="http://sports.yahoo.com/nhl/teams/min" TargetMode="External"/><Relationship Id="rId101" Type="http://schemas.openxmlformats.org/officeDocument/2006/relationships/hyperlink" Target="http://sports.yahoo.com/nhl/teams/tor" TargetMode="External"/><Relationship Id="rId406" Type="http://schemas.openxmlformats.org/officeDocument/2006/relationships/hyperlink" Target="http://sports.yahoo.com/nhl/players/3951" TargetMode="External"/><Relationship Id="rId960" Type="http://schemas.openxmlformats.org/officeDocument/2006/relationships/hyperlink" Target="http://sports.yahoo.com/nhl/players/3103" TargetMode="External"/><Relationship Id="rId1036" Type="http://schemas.openxmlformats.org/officeDocument/2006/relationships/hyperlink" Target="http://sports.yahoo.com/nhl/players/5335" TargetMode="External"/><Relationship Id="rId1243" Type="http://schemas.openxmlformats.org/officeDocument/2006/relationships/hyperlink" Target="http://sports.yahoo.com/nhl/teams/car" TargetMode="External"/><Relationship Id="rId1590" Type="http://schemas.openxmlformats.org/officeDocument/2006/relationships/hyperlink" Target="http://sports.yahoo.com/nhl/players/4842" TargetMode="External"/><Relationship Id="rId1688" Type="http://schemas.openxmlformats.org/officeDocument/2006/relationships/hyperlink" Target="http://sports.yahoo.com/nhl/players/5509" TargetMode="External"/><Relationship Id="rId613" Type="http://schemas.openxmlformats.org/officeDocument/2006/relationships/hyperlink" Target="http://sports.yahoo.com/nhl/teams/ari" TargetMode="External"/><Relationship Id="rId820" Type="http://schemas.openxmlformats.org/officeDocument/2006/relationships/hyperlink" Target="http://sports.yahoo.com/nhl/players/4286" TargetMode="External"/><Relationship Id="rId918" Type="http://schemas.openxmlformats.org/officeDocument/2006/relationships/hyperlink" Target="http://sports.yahoo.com/nhl/players/4862" TargetMode="External"/><Relationship Id="rId1450" Type="http://schemas.openxmlformats.org/officeDocument/2006/relationships/hyperlink" Target="http://sports.yahoo.com/nhl/players/5617" TargetMode="External"/><Relationship Id="rId1548" Type="http://schemas.openxmlformats.org/officeDocument/2006/relationships/hyperlink" Target="http://sports.yahoo.com/nhl/players/6346" TargetMode="External"/><Relationship Id="rId1755" Type="http://schemas.openxmlformats.org/officeDocument/2006/relationships/hyperlink" Target="http://sports.yahoo.com/nhl/teams/san" TargetMode="External"/><Relationship Id="rId1103" Type="http://schemas.openxmlformats.org/officeDocument/2006/relationships/hyperlink" Target="http://sports.yahoo.com/nhl/teams/tor" TargetMode="External"/><Relationship Id="rId1310" Type="http://schemas.openxmlformats.org/officeDocument/2006/relationships/hyperlink" Target="http://sports.yahoo.com/nhl/players/4181" TargetMode="External"/><Relationship Id="rId1408" Type="http://schemas.openxmlformats.org/officeDocument/2006/relationships/hyperlink" Target="http://sports.yahoo.com/nhl/players/5247" TargetMode="External"/><Relationship Id="rId47" Type="http://schemas.openxmlformats.org/officeDocument/2006/relationships/hyperlink" Target="http://sports.yahoo.com/nhl/teams/mon" TargetMode="External"/><Relationship Id="rId1615" Type="http://schemas.openxmlformats.org/officeDocument/2006/relationships/hyperlink" Target="http://sports.yahoo.com/nhl/teams/nas" TargetMode="External"/><Relationship Id="rId196" Type="http://schemas.openxmlformats.org/officeDocument/2006/relationships/hyperlink" Target="http://sports.yahoo.com/nhl/players/4805" TargetMode="External"/><Relationship Id="rId263" Type="http://schemas.openxmlformats.org/officeDocument/2006/relationships/hyperlink" Target="http://sports.yahoo.com/nhl/teams/njd" TargetMode="External"/><Relationship Id="rId470" Type="http://schemas.openxmlformats.org/officeDocument/2006/relationships/hyperlink" Target="http://sports.yahoo.com/nhl/players/4967" TargetMode="External"/><Relationship Id="rId123" Type="http://schemas.openxmlformats.org/officeDocument/2006/relationships/hyperlink" Target="http://sports.yahoo.com/nhl/teams/tor" TargetMode="External"/><Relationship Id="rId330" Type="http://schemas.openxmlformats.org/officeDocument/2006/relationships/hyperlink" Target="http://sports.yahoo.com/nhl/players/5343" TargetMode="External"/><Relationship Id="rId568" Type="http://schemas.openxmlformats.org/officeDocument/2006/relationships/hyperlink" Target="http://sports.yahoo.com/nhl/players/5672" TargetMode="External"/><Relationship Id="rId775" Type="http://schemas.openxmlformats.org/officeDocument/2006/relationships/hyperlink" Target="http://sports.yahoo.com/nhl/teams/bos" TargetMode="External"/><Relationship Id="rId982" Type="http://schemas.openxmlformats.org/officeDocument/2006/relationships/hyperlink" Target="http://sports.yahoo.com/nhl/players/3268" TargetMode="External"/><Relationship Id="rId1198" Type="http://schemas.openxmlformats.org/officeDocument/2006/relationships/hyperlink" Target="http://sports.yahoo.com/nhl/players/5692" TargetMode="External"/><Relationship Id="rId428" Type="http://schemas.openxmlformats.org/officeDocument/2006/relationships/hyperlink" Target="http://sports.yahoo.com/nhl/players/4065" TargetMode="External"/><Relationship Id="rId635" Type="http://schemas.openxmlformats.org/officeDocument/2006/relationships/hyperlink" Target="http://sports.yahoo.com/nhl/teams/ana" TargetMode="External"/><Relationship Id="rId842" Type="http://schemas.openxmlformats.org/officeDocument/2006/relationships/hyperlink" Target="http://sports.yahoo.com/nhl/players/2852" TargetMode="External"/><Relationship Id="rId1058" Type="http://schemas.openxmlformats.org/officeDocument/2006/relationships/hyperlink" Target="http://sports.yahoo.com/nhl/players/6348" TargetMode="External"/><Relationship Id="rId1265" Type="http://schemas.openxmlformats.org/officeDocument/2006/relationships/hyperlink" Target="http://sports.yahoo.com/nhl/teams/tor" TargetMode="External"/><Relationship Id="rId1472" Type="http://schemas.openxmlformats.org/officeDocument/2006/relationships/hyperlink" Target="http://sports.yahoo.com/nhl/players/3645" TargetMode="External"/><Relationship Id="rId702" Type="http://schemas.openxmlformats.org/officeDocument/2006/relationships/hyperlink" Target="http://sports.yahoo.com/nhl/players/3953" TargetMode="External"/><Relationship Id="rId1125" Type="http://schemas.openxmlformats.org/officeDocument/2006/relationships/hyperlink" Target="http://sports.yahoo.com/nhl/teams/wpg" TargetMode="External"/><Relationship Id="rId1332" Type="http://schemas.openxmlformats.org/officeDocument/2006/relationships/hyperlink" Target="http://sports.yahoo.com/nhl/players/4536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461"/>
  <sheetViews>
    <sheetView tabSelected="1" topLeftCell="B12" workbookViewId="0">
      <selection activeCell="M19" sqref="M19"/>
    </sheetView>
  </sheetViews>
  <sheetFormatPr defaultRowHeight="15"/>
  <cols>
    <col min="1" max="1" width="13.7109375" style="1" bestFit="1" customWidth="1"/>
    <col min="2" max="3" width="9.140625" style="1"/>
    <col min="4" max="4" width="17.85546875" style="1" bestFit="1" customWidth="1"/>
    <col min="5" max="5" width="14.5703125" style="1" customWidth="1"/>
    <col min="6" max="6" width="13.28515625" style="1" customWidth="1"/>
    <col min="7" max="7" width="7.7109375" style="1" bestFit="1" customWidth="1"/>
    <col min="8" max="8" width="6.28515625" style="1" bestFit="1" customWidth="1"/>
    <col min="9" max="9" width="12.7109375" style="1" bestFit="1" customWidth="1"/>
    <col min="10" max="16384" width="9.140625" style="1"/>
  </cols>
  <sheetData>
    <row r="1" spans="1:18" ht="15.75" thickBot="1">
      <c r="A1" s="1" t="s">
        <v>175</v>
      </c>
      <c r="B1" s="1" t="s">
        <v>176</v>
      </c>
      <c r="E1" s="1" t="s">
        <v>29</v>
      </c>
      <c r="F1" s="1" t="s">
        <v>30</v>
      </c>
      <c r="G1" s="1" t="s">
        <v>29</v>
      </c>
      <c r="H1" s="1" t="s">
        <v>30</v>
      </c>
      <c r="I1" s="1" t="s">
        <v>31</v>
      </c>
      <c r="J1" s="1" t="s">
        <v>188</v>
      </c>
      <c r="K1" s="1" t="s">
        <v>1230</v>
      </c>
      <c r="N1" s="1" t="s">
        <v>190</v>
      </c>
      <c r="O1" s="1" t="s">
        <v>191</v>
      </c>
      <c r="P1" s="1">
        <f>SUM(K2:K2460)</f>
        <v>532635351</v>
      </c>
    </row>
    <row r="2" spans="1:18" ht="15" customHeight="1">
      <c r="A2" t="s">
        <v>10</v>
      </c>
      <c r="B2" s="24">
        <v>0</v>
      </c>
      <c r="D2" s="2" t="s">
        <v>32</v>
      </c>
      <c r="E2" s="3"/>
      <c r="F2" s="3"/>
      <c r="G2" s="17">
        <v>4</v>
      </c>
      <c r="H2" s="17">
        <v>3</v>
      </c>
      <c r="I2" s="1">
        <f>IF(G2="","",G2-H2)</f>
        <v>1</v>
      </c>
      <c r="J2" s="1">
        <f>IF(F3="","",VLOOKUP(F3,$A$2:$B$31,2)+$B$33-VLOOKUP(E3,$A$2:$B$31,2))</f>
        <v>0</v>
      </c>
      <c r="K2" s="1">
        <f>IF(G2="","",(I2-J2)^2)</f>
        <v>1</v>
      </c>
    </row>
    <row r="3" spans="1:18" ht="15.75" thickBot="1">
      <c r="A3" t="s">
        <v>2</v>
      </c>
      <c r="B3" s="24">
        <v>0</v>
      </c>
      <c r="D3" s="4"/>
      <c r="E3" s="5" t="s">
        <v>230</v>
      </c>
      <c r="F3" s="5" t="s">
        <v>0</v>
      </c>
      <c r="G3" s="17"/>
      <c r="H3" s="17"/>
      <c r="I3" s="1" t="str">
        <f>IF(G3="","",G3-H3)</f>
        <v/>
      </c>
      <c r="J3" s="1" t="str">
        <f t="shared" ref="J3:J66" si="0">IF(F4="","",VLOOKUP(F4,$A$2:$B$31,2)+$B$33-VLOOKUP(E4,$A$2:$B$31,2))</f>
        <v/>
      </c>
      <c r="K3" s="1" t="str">
        <f t="shared" ref="K3:K66" si="1">IF(G3="","",(I3-J3)^2)</f>
        <v/>
      </c>
      <c r="N3" s="1" t="s">
        <v>192</v>
      </c>
      <c r="O3" s="1">
        <v>50</v>
      </c>
      <c r="P3" s="1">
        <v>85</v>
      </c>
      <c r="Q3" s="1">
        <v>100</v>
      </c>
      <c r="R3" s="1">
        <f>AVERAGE(B2:B31)</f>
        <v>85</v>
      </c>
    </row>
    <row r="4" spans="1:18" ht="15" customHeight="1">
      <c r="A4" t="s">
        <v>8</v>
      </c>
      <c r="B4" s="24">
        <v>2550</v>
      </c>
      <c r="D4" s="6" t="s">
        <v>32</v>
      </c>
      <c r="E4" s="7"/>
      <c r="F4" s="7"/>
      <c r="G4" s="17">
        <v>1</v>
      </c>
      <c r="H4" s="17">
        <v>2</v>
      </c>
      <c r="I4" s="1">
        <f t="shared" ref="I4:I67" si="2">IF(G4="","",G4-H4)</f>
        <v>-1</v>
      </c>
      <c r="J4" s="1">
        <f t="shared" si="0"/>
        <v>0</v>
      </c>
      <c r="K4" s="1">
        <f t="shared" si="1"/>
        <v>1</v>
      </c>
    </row>
    <row r="5" spans="1:18" ht="20.25" customHeight="1" thickBot="1">
      <c r="A5" t="s">
        <v>4</v>
      </c>
      <c r="B5" s="24">
        <v>0</v>
      </c>
      <c r="D5" s="8"/>
      <c r="E5" s="9" t="s">
        <v>1</v>
      </c>
      <c r="F5" s="9" t="s">
        <v>2</v>
      </c>
      <c r="G5" s="17"/>
      <c r="H5" s="17"/>
      <c r="I5" s="1" t="str">
        <f t="shared" si="2"/>
        <v/>
      </c>
      <c r="J5" s="1" t="str">
        <f t="shared" si="0"/>
        <v/>
      </c>
      <c r="K5" s="1" t="str">
        <f t="shared" si="1"/>
        <v/>
      </c>
    </row>
    <row r="6" spans="1:18" ht="15" customHeight="1">
      <c r="A6" t="s">
        <v>28</v>
      </c>
      <c r="B6" s="24">
        <v>0</v>
      </c>
      <c r="D6" s="6" t="s">
        <v>32</v>
      </c>
      <c r="E6" s="7"/>
      <c r="F6" s="7"/>
      <c r="G6" s="17">
        <v>4</v>
      </c>
      <c r="H6" s="17">
        <v>2</v>
      </c>
      <c r="I6" s="1">
        <f t="shared" si="2"/>
        <v>2</v>
      </c>
      <c r="J6" s="1">
        <f t="shared" si="0"/>
        <v>0</v>
      </c>
      <c r="K6" s="1">
        <f t="shared" si="1"/>
        <v>4</v>
      </c>
    </row>
    <row r="7" spans="1:18" ht="21" customHeight="1" thickBot="1">
      <c r="A7" t="s">
        <v>20</v>
      </c>
      <c r="B7" s="24">
        <v>0</v>
      </c>
      <c r="D7" s="8"/>
      <c r="E7" s="9" t="s">
        <v>3</v>
      </c>
      <c r="F7" s="9" t="s">
        <v>4</v>
      </c>
      <c r="G7" s="17"/>
      <c r="H7" s="17"/>
      <c r="I7" s="1" t="str">
        <f t="shared" si="2"/>
        <v/>
      </c>
      <c r="J7" s="1" t="str">
        <f t="shared" si="0"/>
        <v/>
      </c>
      <c r="K7" s="1" t="str">
        <f t="shared" si="1"/>
        <v/>
      </c>
      <c r="O7" s="85" t="s">
        <v>224</v>
      </c>
    </row>
    <row r="8" spans="1:18" ht="15" customHeight="1">
      <c r="A8" t="s">
        <v>22</v>
      </c>
      <c r="B8" s="24">
        <v>0</v>
      </c>
      <c r="D8" s="6" t="s">
        <v>32</v>
      </c>
      <c r="E8" s="7"/>
      <c r="F8" s="7"/>
      <c r="G8" s="17">
        <v>4</v>
      </c>
      <c r="H8" s="17">
        <v>0</v>
      </c>
      <c r="I8" s="1">
        <f t="shared" si="2"/>
        <v>4</v>
      </c>
      <c r="J8" s="1">
        <f t="shared" si="0"/>
        <v>0</v>
      </c>
      <c r="K8" s="1">
        <f t="shared" si="1"/>
        <v>16</v>
      </c>
    </row>
    <row r="9" spans="1:18" ht="15.75" thickBot="1">
      <c r="A9" t="s">
        <v>7</v>
      </c>
      <c r="B9" s="24">
        <v>0</v>
      </c>
      <c r="D9" s="8"/>
      <c r="E9" s="9" t="s">
        <v>33</v>
      </c>
      <c r="F9" s="9" t="s">
        <v>34</v>
      </c>
      <c r="G9" s="17"/>
      <c r="H9" s="17"/>
      <c r="I9" s="1" t="str">
        <f t="shared" si="2"/>
        <v/>
      </c>
      <c r="J9" s="1" t="str">
        <f>IF(F10="","",VLOOKUP(F10,$A$2:$B$31,2)+$B$33-VLOOKUP(E10,$A$2:$B$31,2))</f>
        <v/>
      </c>
      <c r="K9" s="1" t="str">
        <f t="shared" si="1"/>
        <v/>
      </c>
    </row>
    <row r="10" spans="1:18" ht="15" customHeight="1">
      <c r="A10" t="s">
        <v>21</v>
      </c>
      <c r="B10" s="24">
        <v>0</v>
      </c>
      <c r="D10" s="6" t="s">
        <v>35</v>
      </c>
      <c r="E10" s="7"/>
      <c r="F10" s="7"/>
      <c r="G10" s="17">
        <v>3</v>
      </c>
      <c r="H10" s="17">
        <v>1</v>
      </c>
      <c r="I10" s="1">
        <f t="shared" si="2"/>
        <v>2</v>
      </c>
      <c r="J10" s="1">
        <f t="shared" si="0"/>
        <v>2550</v>
      </c>
      <c r="K10" s="1">
        <f t="shared" si="1"/>
        <v>6492304</v>
      </c>
    </row>
    <row r="11" spans="1:18" ht="15.75" thickBot="1">
      <c r="A11" t="s">
        <v>13</v>
      </c>
      <c r="B11" s="24">
        <v>0</v>
      </c>
      <c r="D11" s="8"/>
      <c r="E11" s="9" t="s">
        <v>7</v>
      </c>
      <c r="F11" s="9" t="s">
        <v>8</v>
      </c>
      <c r="G11" s="17"/>
      <c r="H11" s="17"/>
      <c r="I11" s="1" t="str">
        <f t="shared" si="2"/>
        <v/>
      </c>
      <c r="J11" s="1" t="str">
        <f t="shared" si="0"/>
        <v/>
      </c>
      <c r="K11" s="1" t="str">
        <f t="shared" si="1"/>
        <v/>
      </c>
    </row>
    <row r="12" spans="1:18" ht="15" customHeight="1">
      <c r="A12" t="s">
        <v>24</v>
      </c>
      <c r="B12" s="24">
        <v>0</v>
      </c>
      <c r="D12" s="6" t="s">
        <v>35</v>
      </c>
      <c r="E12" s="7"/>
      <c r="F12" s="7"/>
      <c r="G12" s="17">
        <v>6</v>
      </c>
      <c r="H12" s="17">
        <v>4</v>
      </c>
      <c r="I12" s="1">
        <f t="shared" si="2"/>
        <v>2</v>
      </c>
      <c r="J12" s="1">
        <f t="shared" si="0"/>
        <v>0</v>
      </c>
      <c r="K12" s="1">
        <f t="shared" si="1"/>
        <v>4</v>
      </c>
    </row>
    <row r="13" spans="1:18" ht="30.75" thickBot="1">
      <c r="A13" t="s">
        <v>14</v>
      </c>
      <c r="B13" s="24">
        <v>0</v>
      </c>
      <c r="D13" s="8"/>
      <c r="E13" s="9" t="s">
        <v>36</v>
      </c>
      <c r="F13" s="9" t="s">
        <v>1</v>
      </c>
      <c r="G13" s="17"/>
      <c r="H13" s="17"/>
      <c r="I13" s="1" t="str">
        <f t="shared" si="2"/>
        <v/>
      </c>
      <c r="J13" s="1" t="str">
        <f t="shared" si="0"/>
        <v/>
      </c>
      <c r="K13" s="1" t="str">
        <f t="shared" si="1"/>
        <v/>
      </c>
    </row>
    <row r="14" spans="1:18" ht="15" customHeight="1">
      <c r="A14" t="s">
        <v>6</v>
      </c>
      <c r="B14" s="24">
        <v>0</v>
      </c>
      <c r="D14" s="6" t="s">
        <v>35</v>
      </c>
      <c r="E14" s="7"/>
      <c r="F14" s="7"/>
      <c r="G14" s="17">
        <v>4</v>
      </c>
      <c r="H14" s="17">
        <v>6</v>
      </c>
      <c r="I14" s="1">
        <f t="shared" si="2"/>
        <v>-2</v>
      </c>
      <c r="J14" s="1">
        <f t="shared" si="0"/>
        <v>0</v>
      </c>
      <c r="K14" s="1">
        <f t="shared" si="1"/>
        <v>4</v>
      </c>
    </row>
    <row r="15" spans="1:18" ht="15.75" thickBot="1">
      <c r="A15" t="s">
        <v>23</v>
      </c>
      <c r="B15" s="24">
        <v>0</v>
      </c>
      <c r="D15" s="8"/>
      <c r="E15" s="9" t="s">
        <v>10</v>
      </c>
      <c r="F15" s="9" t="s">
        <v>11</v>
      </c>
      <c r="G15" s="17"/>
      <c r="H15" s="17"/>
      <c r="I15" s="1" t="str">
        <f t="shared" si="2"/>
        <v/>
      </c>
      <c r="J15" s="1" t="str">
        <f t="shared" si="0"/>
        <v/>
      </c>
      <c r="K15" s="1" t="str">
        <f t="shared" si="1"/>
        <v/>
      </c>
    </row>
    <row r="16" spans="1:18" ht="15" customHeight="1">
      <c r="A16" t="s">
        <v>225</v>
      </c>
      <c r="B16" s="24">
        <v>0</v>
      </c>
      <c r="D16" s="6" t="s">
        <v>35</v>
      </c>
      <c r="E16" s="7"/>
      <c r="F16" s="7"/>
      <c r="G16" s="17">
        <v>2</v>
      </c>
      <c r="H16" s="17">
        <v>1</v>
      </c>
      <c r="I16" s="1">
        <f t="shared" si="2"/>
        <v>1</v>
      </c>
      <c r="J16" s="1">
        <f t="shared" si="0"/>
        <v>0</v>
      </c>
      <c r="K16" s="1">
        <f t="shared" si="1"/>
        <v>1</v>
      </c>
    </row>
    <row r="17" spans="1:11" ht="30.75" thickBot="1">
      <c r="A17" t="s">
        <v>19</v>
      </c>
      <c r="B17" s="24">
        <v>0</v>
      </c>
      <c r="D17" s="8"/>
      <c r="E17" s="9" t="s">
        <v>230</v>
      </c>
      <c r="F17" s="9" t="s">
        <v>12</v>
      </c>
      <c r="G17" s="17"/>
      <c r="H17" s="17"/>
      <c r="I17" s="1" t="str">
        <f t="shared" si="2"/>
        <v/>
      </c>
      <c r="J17" s="1" t="str">
        <f t="shared" si="0"/>
        <v/>
      </c>
      <c r="K17" s="1" t="str">
        <f t="shared" si="1"/>
        <v/>
      </c>
    </row>
    <row r="18" spans="1:11" ht="18" customHeight="1">
      <c r="A18" t="s">
        <v>9</v>
      </c>
      <c r="B18" s="24">
        <v>0</v>
      </c>
      <c r="D18" s="6" t="s">
        <v>35</v>
      </c>
      <c r="E18" s="7"/>
      <c r="F18" s="7"/>
      <c r="G18" s="17">
        <v>1</v>
      </c>
      <c r="H18" s="17">
        <v>2</v>
      </c>
      <c r="I18" s="1">
        <f t="shared" si="2"/>
        <v>-1</v>
      </c>
      <c r="J18" s="1">
        <f t="shared" si="0"/>
        <v>0</v>
      </c>
      <c r="K18" s="1">
        <f t="shared" si="1"/>
        <v>1</v>
      </c>
    </row>
    <row r="19" spans="1:11" ht="15.75" thickBot="1">
      <c r="A19" t="s">
        <v>27</v>
      </c>
      <c r="B19" s="24">
        <v>0</v>
      </c>
      <c r="D19" s="8"/>
      <c r="E19" s="9" t="s">
        <v>2</v>
      </c>
      <c r="F19" s="9" t="s">
        <v>13</v>
      </c>
      <c r="G19" s="17"/>
      <c r="H19" s="17"/>
      <c r="I19" s="1" t="str">
        <f t="shared" si="2"/>
        <v/>
      </c>
      <c r="J19" s="1" t="str">
        <f t="shared" si="0"/>
        <v/>
      </c>
      <c r="K19" s="1" t="str">
        <f t="shared" si="1"/>
        <v/>
      </c>
    </row>
    <row r="20" spans="1:11" ht="15" customHeight="1">
      <c r="A20" t="s">
        <v>16</v>
      </c>
      <c r="B20" s="24">
        <v>0</v>
      </c>
      <c r="D20" s="6" t="s">
        <v>35</v>
      </c>
      <c r="E20" s="7"/>
      <c r="F20" s="7"/>
      <c r="G20" s="17">
        <v>2</v>
      </c>
      <c r="H20" s="17">
        <v>3</v>
      </c>
      <c r="I20" s="1">
        <f t="shared" si="2"/>
        <v>-1</v>
      </c>
      <c r="J20" s="1">
        <f t="shared" si="0"/>
        <v>0</v>
      </c>
      <c r="K20" s="1">
        <f t="shared" si="1"/>
        <v>1</v>
      </c>
    </row>
    <row r="21" spans="1:11" ht="15.75" thickBot="1">
      <c r="A21" t="s">
        <v>18</v>
      </c>
      <c r="B21" s="24">
        <v>0</v>
      </c>
      <c r="D21" s="8"/>
      <c r="E21" s="9" t="s">
        <v>14</v>
      </c>
      <c r="F21" s="9" t="s">
        <v>37</v>
      </c>
      <c r="G21" s="17"/>
      <c r="H21" s="17"/>
      <c r="I21" s="1" t="str">
        <f t="shared" si="2"/>
        <v/>
      </c>
      <c r="J21" s="1" t="str">
        <f t="shared" si="0"/>
        <v/>
      </c>
      <c r="K21" s="1" t="str">
        <f t="shared" si="1"/>
        <v/>
      </c>
    </row>
    <row r="22" spans="1:11" ht="15" customHeight="1">
      <c r="A22" t="s">
        <v>1</v>
      </c>
      <c r="B22" s="24">
        <v>0</v>
      </c>
      <c r="D22" s="6" t="s">
        <v>35</v>
      </c>
      <c r="E22" s="7"/>
      <c r="F22" s="7"/>
      <c r="G22" s="17">
        <v>3</v>
      </c>
      <c r="H22" s="17">
        <v>2</v>
      </c>
      <c r="I22" s="1">
        <f t="shared" si="2"/>
        <v>1</v>
      </c>
      <c r="J22" s="1">
        <f t="shared" si="0"/>
        <v>0</v>
      </c>
      <c r="K22" s="1">
        <f t="shared" si="1"/>
        <v>1</v>
      </c>
    </row>
    <row r="23" spans="1:11" ht="15.75" thickBot="1">
      <c r="A23" t="s">
        <v>177</v>
      </c>
      <c r="B23" s="24">
        <v>0</v>
      </c>
      <c r="D23" s="8"/>
      <c r="E23" s="9" t="s">
        <v>38</v>
      </c>
      <c r="F23" s="9" t="s">
        <v>39</v>
      </c>
      <c r="G23" s="17"/>
      <c r="H23" s="17"/>
      <c r="I23" s="1" t="str">
        <f t="shared" si="2"/>
        <v/>
      </c>
      <c r="J23" s="1" t="str">
        <f t="shared" si="0"/>
        <v/>
      </c>
      <c r="K23" s="1" t="str">
        <f t="shared" si="1"/>
        <v/>
      </c>
    </row>
    <row r="24" spans="1:11" ht="15" customHeight="1">
      <c r="A24" t="s">
        <v>11</v>
      </c>
      <c r="B24" s="24">
        <v>0</v>
      </c>
      <c r="D24" s="6" t="s">
        <v>35</v>
      </c>
      <c r="E24" s="7"/>
      <c r="F24" s="7"/>
      <c r="G24" s="17">
        <v>2</v>
      </c>
      <c r="H24" s="17">
        <v>3</v>
      </c>
      <c r="I24" s="1">
        <f t="shared" si="2"/>
        <v>-1</v>
      </c>
      <c r="J24" s="1">
        <f t="shared" si="0"/>
        <v>0</v>
      </c>
      <c r="K24" s="1">
        <f t="shared" si="1"/>
        <v>1</v>
      </c>
    </row>
    <row r="25" spans="1:11" ht="15.75" thickBot="1">
      <c r="A25" t="s">
        <v>5</v>
      </c>
      <c r="B25" s="24">
        <v>0</v>
      </c>
      <c r="D25" s="8"/>
      <c r="E25" s="9" t="s">
        <v>18</v>
      </c>
      <c r="F25" s="9" t="s">
        <v>19</v>
      </c>
      <c r="G25" s="17"/>
      <c r="H25" s="17"/>
      <c r="I25" s="1" t="str">
        <f t="shared" si="2"/>
        <v/>
      </c>
      <c r="J25" s="1" t="str">
        <f t="shared" si="0"/>
        <v/>
      </c>
      <c r="K25" s="1" t="str">
        <f t="shared" si="1"/>
        <v/>
      </c>
    </row>
    <row r="26" spans="1:11" ht="18" customHeight="1">
      <c r="A26" t="s">
        <v>17</v>
      </c>
      <c r="B26" s="24">
        <v>0</v>
      </c>
      <c r="D26" s="6" t="s">
        <v>35</v>
      </c>
      <c r="E26" s="7"/>
      <c r="F26" s="7"/>
      <c r="G26" s="17">
        <v>3</v>
      </c>
      <c r="H26" s="17">
        <v>2</v>
      </c>
      <c r="I26" s="1">
        <f t="shared" si="2"/>
        <v>1</v>
      </c>
      <c r="J26" s="1">
        <f t="shared" si="0"/>
        <v>0</v>
      </c>
      <c r="K26" s="1">
        <f t="shared" si="1"/>
        <v>1</v>
      </c>
    </row>
    <row r="27" spans="1:11" ht="15.75" thickBot="1">
      <c r="A27" t="s">
        <v>15</v>
      </c>
      <c r="B27" s="24">
        <v>0</v>
      </c>
      <c r="D27" s="8"/>
      <c r="E27" s="9" t="s">
        <v>20</v>
      </c>
      <c r="F27" s="9" t="s">
        <v>21</v>
      </c>
      <c r="G27" s="17"/>
      <c r="H27" s="17"/>
      <c r="I27" s="1" t="str">
        <f t="shared" si="2"/>
        <v/>
      </c>
      <c r="J27" s="1" t="str">
        <f t="shared" si="0"/>
        <v/>
      </c>
      <c r="K27" s="1" t="str">
        <f t="shared" si="1"/>
        <v/>
      </c>
    </row>
    <row r="28" spans="1:11" ht="15" customHeight="1">
      <c r="A28" t="s">
        <v>0</v>
      </c>
      <c r="B28" s="24">
        <v>0</v>
      </c>
      <c r="D28" s="6" t="s">
        <v>35</v>
      </c>
      <c r="E28" s="7"/>
      <c r="F28" s="7"/>
      <c r="G28" s="17">
        <v>0</v>
      </c>
      <c r="H28" s="17">
        <v>5</v>
      </c>
      <c r="I28" s="1">
        <f t="shared" si="2"/>
        <v>-5</v>
      </c>
      <c r="J28" s="1">
        <f t="shared" si="0"/>
        <v>0</v>
      </c>
      <c r="K28" s="1">
        <f t="shared" si="1"/>
        <v>25</v>
      </c>
    </row>
    <row r="29" spans="1:11" ht="15.75" thickBot="1">
      <c r="A29" t="s">
        <v>3</v>
      </c>
      <c r="B29" s="24">
        <v>0</v>
      </c>
      <c r="D29" s="8"/>
      <c r="E29" s="9" t="s">
        <v>22</v>
      </c>
      <c r="F29" s="9" t="s">
        <v>23</v>
      </c>
      <c r="G29" s="17"/>
      <c r="H29" s="17"/>
      <c r="I29" s="1" t="str">
        <f t="shared" si="2"/>
        <v/>
      </c>
      <c r="J29" s="1" t="str">
        <f t="shared" si="0"/>
        <v/>
      </c>
      <c r="K29" s="1" t="str">
        <f t="shared" si="1"/>
        <v/>
      </c>
    </row>
    <row r="30" spans="1:11" ht="15" customHeight="1">
      <c r="A30" t="s">
        <v>12</v>
      </c>
      <c r="B30" s="24">
        <v>0</v>
      </c>
      <c r="D30" s="6" t="s">
        <v>35</v>
      </c>
      <c r="E30" s="7"/>
      <c r="F30" s="7"/>
      <c r="G30" s="17">
        <v>5</v>
      </c>
      <c r="H30" s="17">
        <v>2</v>
      </c>
      <c r="I30" s="1">
        <f t="shared" si="2"/>
        <v>3</v>
      </c>
      <c r="J30" s="1">
        <f t="shared" si="0"/>
        <v>0</v>
      </c>
      <c r="K30" s="1">
        <f t="shared" si="1"/>
        <v>9</v>
      </c>
    </row>
    <row r="31" spans="1:11" ht="15.75" thickBot="1">
      <c r="A31" t="s">
        <v>25</v>
      </c>
      <c r="B31" s="24">
        <v>0</v>
      </c>
      <c r="D31" s="8"/>
      <c r="E31" s="9" t="s">
        <v>4</v>
      </c>
      <c r="F31" s="9" t="s">
        <v>24</v>
      </c>
      <c r="G31" s="17"/>
      <c r="H31" s="17"/>
      <c r="I31" s="1" t="str">
        <f t="shared" si="2"/>
        <v/>
      </c>
      <c r="J31" s="1" t="str">
        <f t="shared" si="0"/>
        <v/>
      </c>
      <c r="K31" s="1" t="str">
        <f t="shared" si="1"/>
        <v/>
      </c>
    </row>
    <row r="32" spans="1:11" ht="15" customHeight="1">
      <c r="D32" s="6" t="s">
        <v>35</v>
      </c>
      <c r="E32" s="7"/>
      <c r="F32" s="7"/>
      <c r="G32" s="17">
        <v>6</v>
      </c>
      <c r="H32" s="17">
        <v>2</v>
      </c>
      <c r="I32" s="1">
        <f t="shared" si="2"/>
        <v>4</v>
      </c>
      <c r="J32" s="1">
        <f t="shared" si="0"/>
        <v>0</v>
      </c>
      <c r="K32" s="1">
        <f t="shared" si="1"/>
        <v>16</v>
      </c>
    </row>
    <row r="33" spans="1:11" ht="15.75" thickBot="1">
      <c r="A33" s="1" t="s">
        <v>189</v>
      </c>
      <c r="B33" s="24">
        <v>0</v>
      </c>
      <c r="D33" s="8"/>
      <c r="E33" s="9" t="s">
        <v>25</v>
      </c>
      <c r="F33" s="9" t="s">
        <v>26</v>
      </c>
      <c r="G33" s="17"/>
      <c r="H33" s="17"/>
      <c r="I33" s="1" t="str">
        <f t="shared" si="2"/>
        <v/>
      </c>
      <c r="J33" s="1" t="str">
        <f t="shared" si="0"/>
        <v/>
      </c>
      <c r="K33" s="1" t="str">
        <f t="shared" si="1"/>
        <v/>
      </c>
    </row>
    <row r="34" spans="1:11" ht="15" customHeight="1">
      <c r="D34" s="6" t="s">
        <v>40</v>
      </c>
      <c r="E34" s="7"/>
      <c r="F34" s="7"/>
      <c r="G34" s="17">
        <v>5</v>
      </c>
      <c r="H34" s="17">
        <v>3</v>
      </c>
      <c r="I34" s="1">
        <f t="shared" si="2"/>
        <v>2</v>
      </c>
      <c r="J34" s="1">
        <f t="shared" si="0"/>
        <v>0</v>
      </c>
      <c r="K34" s="1">
        <f t="shared" si="1"/>
        <v>4</v>
      </c>
    </row>
    <row r="35" spans="1:11" ht="15.75" thickBot="1">
      <c r="D35" s="8"/>
      <c r="E35" s="9" t="s">
        <v>41</v>
      </c>
      <c r="F35" s="9" t="s">
        <v>28</v>
      </c>
      <c r="G35" s="17"/>
      <c r="H35" s="17"/>
      <c r="I35" s="1" t="str">
        <f t="shared" si="2"/>
        <v/>
      </c>
      <c r="J35" s="1" t="str">
        <f t="shared" si="0"/>
        <v/>
      </c>
      <c r="K35" s="1" t="str">
        <f t="shared" si="1"/>
        <v/>
      </c>
    </row>
    <row r="36" spans="1:11" ht="15" customHeight="1">
      <c r="D36" s="6" t="s">
        <v>42</v>
      </c>
      <c r="E36" s="7"/>
      <c r="F36" s="7"/>
      <c r="G36" s="17">
        <v>4</v>
      </c>
      <c r="H36" s="17">
        <v>0</v>
      </c>
      <c r="I36" s="1">
        <f t="shared" si="2"/>
        <v>4</v>
      </c>
      <c r="J36" s="1">
        <f t="shared" si="0"/>
        <v>0</v>
      </c>
      <c r="K36" s="1">
        <f t="shared" si="1"/>
        <v>16</v>
      </c>
    </row>
    <row r="37" spans="1:11" ht="15.75" thickBot="1">
      <c r="D37" s="8"/>
      <c r="E37" s="9" t="s">
        <v>12</v>
      </c>
      <c r="F37" s="9" t="s">
        <v>2</v>
      </c>
      <c r="G37" s="17"/>
      <c r="H37" s="17"/>
      <c r="I37" s="1" t="str">
        <f t="shared" si="2"/>
        <v/>
      </c>
      <c r="J37" s="1" t="str">
        <f t="shared" si="0"/>
        <v/>
      </c>
      <c r="K37" s="1" t="str">
        <f t="shared" si="1"/>
        <v/>
      </c>
    </row>
    <row r="38" spans="1:11" ht="15" customHeight="1">
      <c r="D38" s="6" t="s">
        <v>42</v>
      </c>
      <c r="E38" s="7"/>
      <c r="F38" s="7"/>
      <c r="G38" s="17">
        <v>5</v>
      </c>
      <c r="H38" s="17">
        <v>2</v>
      </c>
      <c r="I38" s="1">
        <f t="shared" si="2"/>
        <v>3</v>
      </c>
      <c r="J38" s="1">
        <f t="shared" si="0"/>
        <v>0</v>
      </c>
      <c r="K38" s="1">
        <f t="shared" si="1"/>
        <v>9</v>
      </c>
    </row>
    <row r="39" spans="1:11" ht="15.75" thickBot="1">
      <c r="D39" s="8"/>
      <c r="E39" s="9" t="s">
        <v>11</v>
      </c>
      <c r="F39" s="9" t="s">
        <v>0</v>
      </c>
      <c r="G39" s="17"/>
      <c r="H39" s="17"/>
      <c r="I39" s="1" t="str">
        <f t="shared" si="2"/>
        <v/>
      </c>
      <c r="J39" s="1" t="str">
        <f t="shared" si="0"/>
        <v/>
      </c>
      <c r="K39" s="1" t="str">
        <f t="shared" si="1"/>
        <v/>
      </c>
    </row>
    <row r="40" spans="1:11" ht="15" customHeight="1">
      <c r="D40" s="6" t="s">
        <v>42</v>
      </c>
      <c r="E40" s="7"/>
      <c r="F40" s="7"/>
      <c r="G40" s="17">
        <v>3</v>
      </c>
      <c r="H40" s="17">
        <v>2</v>
      </c>
      <c r="I40" s="1">
        <f t="shared" si="2"/>
        <v>1</v>
      </c>
      <c r="J40" s="1">
        <f t="shared" si="0"/>
        <v>0</v>
      </c>
      <c r="K40" s="1">
        <f t="shared" si="1"/>
        <v>1</v>
      </c>
    </row>
    <row r="41" spans="1:11" ht="15.75" thickBot="1">
      <c r="D41" s="8"/>
      <c r="E41" s="9" t="s">
        <v>10</v>
      </c>
      <c r="F41" s="9" t="s">
        <v>13</v>
      </c>
      <c r="G41" s="17"/>
      <c r="H41" s="17"/>
      <c r="I41" s="1" t="str">
        <f t="shared" si="2"/>
        <v/>
      </c>
      <c r="J41" s="1" t="str">
        <f t="shared" si="0"/>
        <v/>
      </c>
      <c r="K41" s="1" t="str">
        <f t="shared" si="1"/>
        <v/>
      </c>
    </row>
    <row r="42" spans="1:11" ht="15" customHeight="1">
      <c r="D42" s="6" t="s">
        <v>42</v>
      </c>
      <c r="E42" s="7"/>
      <c r="F42" s="7"/>
      <c r="G42" s="17">
        <v>3</v>
      </c>
      <c r="H42" s="17">
        <v>2</v>
      </c>
      <c r="I42" s="1">
        <f t="shared" si="2"/>
        <v>1</v>
      </c>
      <c r="J42" s="1">
        <f t="shared" si="0"/>
        <v>0</v>
      </c>
      <c r="K42" s="1">
        <f t="shared" si="1"/>
        <v>1</v>
      </c>
    </row>
    <row r="43" spans="1:11" ht="15.75" thickBot="1">
      <c r="D43" s="8"/>
      <c r="E43" s="9" t="s">
        <v>18</v>
      </c>
      <c r="F43" s="9" t="s">
        <v>37</v>
      </c>
      <c r="G43" s="17"/>
      <c r="H43" s="17"/>
      <c r="I43" s="1" t="str">
        <f t="shared" si="2"/>
        <v/>
      </c>
      <c r="J43" s="1" t="str">
        <f t="shared" si="0"/>
        <v/>
      </c>
      <c r="K43" s="1" t="str">
        <f t="shared" si="1"/>
        <v/>
      </c>
    </row>
    <row r="44" spans="1:11" ht="15" customHeight="1">
      <c r="D44" s="6" t="s">
        <v>42</v>
      </c>
      <c r="E44" s="7"/>
      <c r="F44" s="7"/>
      <c r="G44" s="17">
        <v>5</v>
      </c>
      <c r="H44" s="17">
        <v>1</v>
      </c>
      <c r="I44" s="1">
        <f t="shared" si="2"/>
        <v>4</v>
      </c>
      <c r="J44" s="1">
        <f t="shared" si="0"/>
        <v>0</v>
      </c>
      <c r="K44" s="1">
        <f t="shared" si="1"/>
        <v>16</v>
      </c>
    </row>
    <row r="45" spans="1:11" ht="15.75" thickBot="1">
      <c r="D45" s="8"/>
      <c r="E45" s="9" t="s">
        <v>36</v>
      </c>
      <c r="F45" s="9" t="s">
        <v>14</v>
      </c>
      <c r="G45" s="17"/>
      <c r="H45" s="17"/>
      <c r="I45" s="1" t="str">
        <f t="shared" si="2"/>
        <v/>
      </c>
      <c r="J45" s="1" t="str">
        <f t="shared" si="0"/>
        <v/>
      </c>
      <c r="K45" s="1" t="str">
        <f t="shared" si="1"/>
        <v/>
      </c>
    </row>
    <row r="46" spans="1:11" ht="15" customHeight="1">
      <c r="D46" s="6" t="s">
        <v>42</v>
      </c>
      <c r="E46" s="7"/>
      <c r="F46" s="7"/>
      <c r="G46" s="17">
        <v>3</v>
      </c>
      <c r="H46" s="17">
        <v>4</v>
      </c>
      <c r="I46" s="1">
        <f t="shared" si="2"/>
        <v>-1</v>
      </c>
      <c r="J46" s="1">
        <f t="shared" si="0"/>
        <v>0</v>
      </c>
      <c r="K46" s="1">
        <f t="shared" si="1"/>
        <v>1</v>
      </c>
    </row>
    <row r="47" spans="1:11" ht="15.75" thickBot="1">
      <c r="D47" s="8"/>
      <c r="E47" s="9" t="s">
        <v>28</v>
      </c>
      <c r="F47" s="9" t="s">
        <v>41</v>
      </c>
      <c r="G47" s="17"/>
      <c r="H47" s="17"/>
      <c r="I47" s="1" t="str">
        <f t="shared" si="2"/>
        <v/>
      </c>
      <c r="J47" s="1" t="str">
        <f t="shared" si="0"/>
        <v/>
      </c>
      <c r="K47" s="1" t="str">
        <f t="shared" si="1"/>
        <v/>
      </c>
    </row>
    <row r="48" spans="1:11" ht="15" customHeight="1">
      <c r="D48" s="6" t="s">
        <v>42</v>
      </c>
      <c r="E48" s="7"/>
      <c r="F48" s="7"/>
      <c r="G48" s="17">
        <v>4</v>
      </c>
      <c r="H48" s="17">
        <v>3</v>
      </c>
      <c r="I48" s="1">
        <f t="shared" si="2"/>
        <v>1</v>
      </c>
      <c r="J48" s="1">
        <f t="shared" si="0"/>
        <v>0</v>
      </c>
      <c r="K48" s="1">
        <f t="shared" si="1"/>
        <v>1</v>
      </c>
    </row>
    <row r="49" spans="4:11" ht="30.75" thickBot="1">
      <c r="D49" s="8"/>
      <c r="E49" s="9" t="s">
        <v>230</v>
      </c>
      <c r="F49" s="9" t="s">
        <v>1</v>
      </c>
      <c r="G49" s="17"/>
      <c r="H49" s="17"/>
      <c r="I49" s="1" t="str">
        <f t="shared" si="2"/>
        <v/>
      </c>
      <c r="J49" s="1" t="str">
        <f t="shared" si="0"/>
        <v/>
      </c>
      <c r="K49" s="1" t="str">
        <f t="shared" si="1"/>
        <v/>
      </c>
    </row>
    <row r="50" spans="4:11" ht="15" customHeight="1">
      <c r="D50" s="6" t="s">
        <v>42</v>
      </c>
      <c r="E50" s="7"/>
      <c r="F50" s="7"/>
      <c r="G50" s="17">
        <v>2</v>
      </c>
      <c r="H50" s="17">
        <v>5</v>
      </c>
      <c r="I50" s="1">
        <f t="shared" si="2"/>
        <v>-3</v>
      </c>
      <c r="J50" s="1">
        <f t="shared" si="0"/>
        <v>0</v>
      </c>
      <c r="K50" s="1">
        <f t="shared" si="1"/>
        <v>9</v>
      </c>
    </row>
    <row r="51" spans="4:11" ht="15.75" thickBot="1">
      <c r="D51" s="8"/>
      <c r="E51" s="9" t="s">
        <v>38</v>
      </c>
      <c r="F51" s="9" t="s">
        <v>7</v>
      </c>
      <c r="G51" s="17"/>
      <c r="H51" s="17"/>
      <c r="I51" s="1" t="str">
        <f t="shared" si="2"/>
        <v/>
      </c>
      <c r="J51" s="1" t="str">
        <f t="shared" si="0"/>
        <v/>
      </c>
      <c r="K51" s="1" t="str">
        <f t="shared" si="1"/>
        <v/>
      </c>
    </row>
    <row r="52" spans="4:11" ht="18" customHeight="1">
      <c r="D52" s="6" t="s">
        <v>42</v>
      </c>
      <c r="E52" s="7"/>
      <c r="F52" s="7"/>
      <c r="G52" s="17">
        <v>1</v>
      </c>
      <c r="H52" s="17">
        <v>4</v>
      </c>
      <c r="I52" s="1">
        <f t="shared" si="2"/>
        <v>-3</v>
      </c>
      <c r="J52" s="1">
        <f t="shared" si="0"/>
        <v>0</v>
      </c>
      <c r="K52" s="1">
        <f t="shared" si="1"/>
        <v>9</v>
      </c>
    </row>
    <row r="53" spans="4:11" ht="15.75" thickBot="1">
      <c r="D53" s="8"/>
      <c r="E53" s="9" t="s">
        <v>4</v>
      </c>
      <c r="F53" s="9" t="s">
        <v>39</v>
      </c>
      <c r="G53" s="17"/>
      <c r="H53" s="17"/>
      <c r="I53" s="1" t="str">
        <f t="shared" si="2"/>
        <v/>
      </c>
      <c r="J53" s="1" t="str">
        <f t="shared" si="0"/>
        <v/>
      </c>
      <c r="K53" s="1" t="str">
        <f t="shared" si="1"/>
        <v/>
      </c>
    </row>
    <row r="54" spans="4:11" ht="15" customHeight="1">
      <c r="D54" s="6" t="s">
        <v>42</v>
      </c>
      <c r="E54" s="7"/>
      <c r="F54" s="7"/>
      <c r="G54" s="17">
        <v>1</v>
      </c>
      <c r="H54" s="17">
        <v>4</v>
      </c>
      <c r="I54" s="1">
        <f t="shared" si="2"/>
        <v>-3</v>
      </c>
      <c r="J54" s="1">
        <f t="shared" si="0"/>
        <v>0</v>
      </c>
      <c r="K54" s="1">
        <f t="shared" si="1"/>
        <v>9</v>
      </c>
    </row>
    <row r="55" spans="4:11" ht="15.75" thickBot="1">
      <c r="D55" s="8"/>
      <c r="E55" s="9" t="s">
        <v>21</v>
      </c>
      <c r="F55" s="9" t="s">
        <v>19</v>
      </c>
      <c r="G55" s="17"/>
      <c r="H55" s="17"/>
      <c r="I55" s="1" t="str">
        <f t="shared" si="2"/>
        <v/>
      </c>
      <c r="J55" s="1" t="str">
        <f t="shared" si="0"/>
        <v/>
      </c>
      <c r="K55" s="1" t="str">
        <f t="shared" si="1"/>
        <v/>
      </c>
    </row>
    <row r="56" spans="4:11" ht="15" customHeight="1">
      <c r="D56" s="6" t="s">
        <v>42</v>
      </c>
      <c r="E56" s="7"/>
      <c r="F56" s="7"/>
      <c r="G56" s="17">
        <v>2</v>
      </c>
      <c r="H56" s="17">
        <v>6</v>
      </c>
      <c r="I56" s="1">
        <f t="shared" si="2"/>
        <v>-4</v>
      </c>
      <c r="J56" s="1">
        <f t="shared" si="0"/>
        <v>-2550</v>
      </c>
      <c r="K56" s="1">
        <f t="shared" si="1"/>
        <v>6482116</v>
      </c>
    </row>
    <row r="57" spans="4:11" ht="15.75" thickBot="1">
      <c r="D57" s="8"/>
      <c r="E57" s="9" t="s">
        <v>8</v>
      </c>
      <c r="F57" s="9" t="s">
        <v>20</v>
      </c>
      <c r="G57" s="17"/>
      <c r="H57" s="17"/>
      <c r="I57" s="1" t="str">
        <f t="shared" si="2"/>
        <v/>
      </c>
      <c r="J57" s="1" t="str">
        <f t="shared" si="0"/>
        <v/>
      </c>
      <c r="K57" s="1" t="str">
        <f t="shared" si="1"/>
        <v/>
      </c>
    </row>
    <row r="58" spans="4:11" ht="15" customHeight="1">
      <c r="D58" s="6" t="s">
        <v>42</v>
      </c>
      <c r="E58" s="7"/>
      <c r="F58" s="7"/>
      <c r="G58" s="17">
        <v>3</v>
      </c>
      <c r="H58" s="17">
        <v>0</v>
      </c>
      <c r="I58" s="1">
        <f t="shared" si="2"/>
        <v>3</v>
      </c>
      <c r="J58" s="1">
        <f t="shared" si="0"/>
        <v>0</v>
      </c>
      <c r="K58" s="1">
        <f t="shared" si="1"/>
        <v>9</v>
      </c>
    </row>
    <row r="59" spans="4:11" ht="15.75" thickBot="1">
      <c r="D59" s="8"/>
      <c r="E59" s="9" t="s">
        <v>23</v>
      </c>
      <c r="F59" s="9" t="s">
        <v>22</v>
      </c>
      <c r="G59" s="17"/>
      <c r="H59" s="17"/>
      <c r="I59" s="1" t="str">
        <f t="shared" si="2"/>
        <v/>
      </c>
      <c r="J59" s="1" t="str">
        <f t="shared" si="0"/>
        <v/>
      </c>
      <c r="K59" s="1" t="str">
        <f t="shared" si="1"/>
        <v/>
      </c>
    </row>
    <row r="60" spans="4:11" ht="15" customHeight="1">
      <c r="D60" s="6" t="s">
        <v>42</v>
      </c>
      <c r="E60" s="7"/>
      <c r="F60" s="7"/>
      <c r="G60" s="17">
        <v>2</v>
      </c>
      <c r="H60" s="17">
        <v>3</v>
      </c>
      <c r="I60" s="1">
        <f t="shared" si="2"/>
        <v>-1</v>
      </c>
      <c r="J60" s="1">
        <f t="shared" si="0"/>
        <v>0</v>
      </c>
      <c r="K60" s="1">
        <f t="shared" si="1"/>
        <v>1</v>
      </c>
    </row>
    <row r="61" spans="4:11" ht="15.75" thickBot="1">
      <c r="D61" s="8"/>
      <c r="E61" s="9" t="s">
        <v>34</v>
      </c>
      <c r="F61" s="9" t="s">
        <v>26</v>
      </c>
      <c r="G61" s="17"/>
      <c r="H61" s="17"/>
      <c r="I61" s="1" t="str">
        <f t="shared" si="2"/>
        <v/>
      </c>
      <c r="J61" s="1" t="str">
        <f t="shared" si="0"/>
        <v/>
      </c>
      <c r="K61" s="1" t="str">
        <f t="shared" si="1"/>
        <v/>
      </c>
    </row>
    <row r="62" spans="4:11" ht="15" customHeight="1">
      <c r="D62" s="6" t="s">
        <v>42</v>
      </c>
      <c r="E62" s="7"/>
      <c r="F62" s="7"/>
      <c r="G62" s="17">
        <v>4</v>
      </c>
      <c r="H62" s="17">
        <v>5</v>
      </c>
      <c r="I62" s="1">
        <f t="shared" si="2"/>
        <v>-1</v>
      </c>
      <c r="J62" s="1">
        <f t="shared" si="0"/>
        <v>0</v>
      </c>
      <c r="K62" s="1">
        <f t="shared" si="1"/>
        <v>1</v>
      </c>
    </row>
    <row r="63" spans="4:11" ht="15.75" thickBot="1">
      <c r="D63" s="8"/>
      <c r="E63" s="9" t="s">
        <v>24</v>
      </c>
      <c r="F63" s="9" t="s">
        <v>3</v>
      </c>
      <c r="G63" s="17"/>
      <c r="H63" s="17"/>
      <c r="I63" s="1" t="str">
        <f t="shared" si="2"/>
        <v/>
      </c>
      <c r="J63" s="1" t="str">
        <f t="shared" si="0"/>
        <v/>
      </c>
      <c r="K63" s="1" t="str">
        <f t="shared" si="1"/>
        <v/>
      </c>
    </row>
    <row r="64" spans="4:11" ht="15" customHeight="1">
      <c r="D64" s="6" t="s">
        <v>42</v>
      </c>
      <c r="E64" s="7"/>
      <c r="F64" s="7"/>
      <c r="G64" s="17">
        <v>0</v>
      </c>
      <c r="H64" s="17">
        <v>3</v>
      </c>
      <c r="I64" s="1">
        <f t="shared" si="2"/>
        <v>-3</v>
      </c>
      <c r="J64" s="1">
        <f t="shared" si="0"/>
        <v>0</v>
      </c>
      <c r="K64" s="1">
        <f t="shared" si="1"/>
        <v>9</v>
      </c>
    </row>
    <row r="65" spans="4:11" ht="15.75" thickBot="1">
      <c r="D65" s="8"/>
      <c r="E65" s="9" t="s">
        <v>25</v>
      </c>
      <c r="F65" s="9" t="s">
        <v>33</v>
      </c>
      <c r="G65" s="17"/>
      <c r="H65" s="17"/>
      <c r="I65" s="1" t="str">
        <f t="shared" si="2"/>
        <v/>
      </c>
      <c r="J65" s="1" t="str">
        <f t="shared" si="0"/>
        <v/>
      </c>
      <c r="K65" s="1" t="str">
        <f t="shared" si="1"/>
        <v/>
      </c>
    </row>
    <row r="66" spans="4:11" ht="15" customHeight="1">
      <c r="D66" s="6" t="s">
        <v>43</v>
      </c>
      <c r="E66" s="7"/>
      <c r="F66" s="7"/>
      <c r="G66" s="17">
        <v>6</v>
      </c>
      <c r="H66" s="17">
        <v>3</v>
      </c>
      <c r="I66" s="1">
        <f t="shared" si="2"/>
        <v>3</v>
      </c>
      <c r="J66" s="1">
        <f t="shared" si="0"/>
        <v>0</v>
      </c>
      <c r="K66" s="1">
        <f t="shared" si="1"/>
        <v>9</v>
      </c>
    </row>
    <row r="67" spans="4:11" ht="15.75" thickBot="1">
      <c r="D67" s="8"/>
      <c r="E67" s="9" t="s">
        <v>0</v>
      </c>
      <c r="F67" s="9" t="s">
        <v>38</v>
      </c>
      <c r="G67" s="17"/>
      <c r="H67" s="17"/>
      <c r="I67" s="1" t="str">
        <f t="shared" si="2"/>
        <v/>
      </c>
      <c r="J67" s="1" t="str">
        <f t="shared" ref="J67:J130" si="3">IF(F68="","",VLOOKUP(F68,$A$2:$B$31,2)+$B$33-VLOOKUP(E68,$A$2:$B$31,2))</f>
        <v/>
      </c>
      <c r="K67" s="1" t="str">
        <f t="shared" ref="K67:K130" si="4">IF(G67="","",(I67-J67)^2)</f>
        <v/>
      </c>
    </row>
    <row r="68" spans="4:11" ht="15" customHeight="1">
      <c r="D68" s="6" t="s">
        <v>43</v>
      </c>
      <c r="E68" s="7"/>
      <c r="F68" s="7"/>
      <c r="G68" s="17">
        <v>1</v>
      </c>
      <c r="H68" s="17">
        <v>4</v>
      </c>
      <c r="I68" s="1">
        <f t="shared" ref="I68:I131" si="5">IF(G68="","",G68-H68)</f>
        <v>-3</v>
      </c>
      <c r="J68" s="1">
        <f t="shared" si="3"/>
        <v>0</v>
      </c>
      <c r="K68" s="1">
        <f t="shared" si="4"/>
        <v>9</v>
      </c>
    </row>
    <row r="69" spans="4:11" ht="15.75" thickBot="1">
      <c r="D69" s="8"/>
      <c r="E69" s="9" t="s">
        <v>25</v>
      </c>
      <c r="F69" s="9" t="s">
        <v>34</v>
      </c>
      <c r="G69" s="17"/>
      <c r="H69" s="17"/>
      <c r="I69" s="1" t="str">
        <f t="shared" si="5"/>
        <v/>
      </c>
      <c r="J69" s="1" t="str">
        <f t="shared" si="3"/>
        <v/>
      </c>
      <c r="K69" s="1" t="str">
        <f t="shared" si="4"/>
        <v/>
      </c>
    </row>
    <row r="70" spans="4:11" ht="15" customHeight="1">
      <c r="D70" s="6" t="s">
        <v>44</v>
      </c>
      <c r="E70" s="7"/>
      <c r="F70" s="7"/>
      <c r="G70" s="17">
        <v>2</v>
      </c>
      <c r="H70" s="17">
        <v>1</v>
      </c>
      <c r="I70" s="1">
        <f t="shared" si="5"/>
        <v>1</v>
      </c>
      <c r="J70" s="1">
        <f t="shared" si="3"/>
        <v>0</v>
      </c>
      <c r="K70" s="1">
        <f t="shared" si="4"/>
        <v>1</v>
      </c>
    </row>
    <row r="71" spans="4:11" ht="15.75" thickBot="1">
      <c r="D71" s="8"/>
      <c r="E71" s="9" t="s">
        <v>22</v>
      </c>
      <c r="F71" s="9" t="s">
        <v>2</v>
      </c>
      <c r="G71" s="17"/>
      <c r="H71" s="17"/>
      <c r="I71" s="1" t="str">
        <f t="shared" si="5"/>
        <v/>
      </c>
      <c r="J71" s="1" t="str">
        <f t="shared" si="3"/>
        <v/>
      </c>
      <c r="K71" s="1" t="str">
        <f t="shared" si="4"/>
        <v/>
      </c>
    </row>
    <row r="72" spans="4:11" ht="15" customHeight="1">
      <c r="D72" s="6" t="s">
        <v>44</v>
      </c>
      <c r="E72" s="7"/>
      <c r="F72" s="7"/>
      <c r="G72" s="17">
        <v>5</v>
      </c>
      <c r="H72" s="17">
        <v>1</v>
      </c>
      <c r="I72" s="1">
        <f t="shared" si="5"/>
        <v>4</v>
      </c>
      <c r="J72" s="1">
        <f t="shared" si="3"/>
        <v>2550</v>
      </c>
      <c r="K72" s="1">
        <f t="shared" si="4"/>
        <v>6482116</v>
      </c>
    </row>
    <row r="73" spans="4:11" ht="15.75" thickBot="1">
      <c r="D73" s="8"/>
      <c r="E73" s="9" t="s">
        <v>10</v>
      </c>
      <c r="F73" s="9" t="s">
        <v>8</v>
      </c>
      <c r="G73" s="17"/>
      <c r="H73" s="17"/>
      <c r="I73" s="1" t="str">
        <f t="shared" si="5"/>
        <v/>
      </c>
      <c r="J73" s="1" t="str">
        <f t="shared" si="3"/>
        <v/>
      </c>
      <c r="K73" s="1" t="str">
        <f t="shared" si="4"/>
        <v/>
      </c>
    </row>
    <row r="74" spans="4:11" ht="18" customHeight="1">
      <c r="D74" s="6" t="s">
        <v>44</v>
      </c>
      <c r="E74" s="7"/>
      <c r="F74" s="7"/>
      <c r="G74" s="17">
        <v>1</v>
      </c>
      <c r="H74" s="17">
        <v>0</v>
      </c>
      <c r="I74" s="1">
        <f t="shared" si="5"/>
        <v>1</v>
      </c>
      <c r="J74" s="1">
        <f t="shared" si="3"/>
        <v>0</v>
      </c>
      <c r="K74" s="1">
        <f t="shared" si="4"/>
        <v>1</v>
      </c>
    </row>
    <row r="75" spans="4:11" ht="15.75" thickBot="1">
      <c r="D75" s="8"/>
      <c r="E75" s="9" t="s">
        <v>18</v>
      </c>
      <c r="F75" s="9" t="s">
        <v>14</v>
      </c>
      <c r="G75" s="17"/>
      <c r="H75" s="17"/>
      <c r="I75" s="1" t="str">
        <f t="shared" si="5"/>
        <v/>
      </c>
      <c r="J75" s="1" t="str">
        <f t="shared" si="3"/>
        <v/>
      </c>
      <c r="K75" s="1" t="str">
        <f t="shared" si="4"/>
        <v/>
      </c>
    </row>
    <row r="76" spans="4:11" ht="15" customHeight="1">
      <c r="D76" s="6" t="s">
        <v>44</v>
      </c>
      <c r="E76" s="7"/>
      <c r="F76" s="7"/>
      <c r="G76" s="17">
        <v>1</v>
      </c>
      <c r="H76" s="17">
        <v>7</v>
      </c>
      <c r="I76" s="1">
        <f t="shared" si="5"/>
        <v>-6</v>
      </c>
      <c r="J76" s="1">
        <f t="shared" si="3"/>
        <v>0</v>
      </c>
      <c r="K76" s="1">
        <f t="shared" si="4"/>
        <v>36</v>
      </c>
    </row>
    <row r="77" spans="4:11" ht="15.75" thickBot="1">
      <c r="D77" s="8"/>
      <c r="E77" s="9" t="s">
        <v>230</v>
      </c>
      <c r="F77" s="9" t="s">
        <v>37</v>
      </c>
      <c r="G77" s="17"/>
      <c r="H77" s="17"/>
      <c r="I77" s="1" t="str">
        <f t="shared" si="5"/>
        <v/>
      </c>
      <c r="J77" s="1" t="str">
        <f t="shared" si="3"/>
        <v/>
      </c>
      <c r="K77" s="1" t="str">
        <f t="shared" si="4"/>
        <v/>
      </c>
    </row>
    <row r="78" spans="4:11" ht="15" customHeight="1">
      <c r="D78" s="6" t="s">
        <v>45</v>
      </c>
      <c r="E78" s="7"/>
      <c r="F78" s="7"/>
      <c r="G78" s="17">
        <v>6</v>
      </c>
      <c r="H78" s="17">
        <v>3</v>
      </c>
      <c r="I78" s="1">
        <f t="shared" si="5"/>
        <v>3</v>
      </c>
      <c r="J78" s="1">
        <f t="shared" si="3"/>
        <v>0</v>
      </c>
      <c r="K78" s="1">
        <f t="shared" si="4"/>
        <v>9</v>
      </c>
    </row>
    <row r="79" spans="4:11" ht="15.75" thickBot="1">
      <c r="D79" s="8"/>
      <c r="E79" s="9" t="s">
        <v>41</v>
      </c>
      <c r="F79" s="9" t="s">
        <v>38</v>
      </c>
      <c r="G79" s="17"/>
      <c r="H79" s="17"/>
      <c r="I79" s="1" t="str">
        <f t="shared" si="5"/>
        <v/>
      </c>
      <c r="J79" s="1" t="str">
        <f t="shared" si="3"/>
        <v/>
      </c>
      <c r="K79" s="1" t="str">
        <f t="shared" si="4"/>
        <v/>
      </c>
    </row>
    <row r="80" spans="4:11" ht="15" customHeight="1">
      <c r="D80" s="6" t="s">
        <v>45</v>
      </c>
      <c r="E80" s="7"/>
      <c r="F80" s="7"/>
      <c r="G80" s="17">
        <v>4</v>
      </c>
      <c r="H80" s="17">
        <v>3</v>
      </c>
      <c r="I80" s="1">
        <f t="shared" si="5"/>
        <v>1</v>
      </c>
      <c r="J80" s="1">
        <f t="shared" si="3"/>
        <v>0</v>
      </c>
      <c r="K80" s="1">
        <f t="shared" si="4"/>
        <v>1</v>
      </c>
    </row>
    <row r="81" spans="4:11" ht="30.75" thickBot="1">
      <c r="D81" s="8"/>
      <c r="E81" s="9" t="s">
        <v>10</v>
      </c>
      <c r="F81" s="9" t="s">
        <v>1</v>
      </c>
      <c r="G81" s="17"/>
      <c r="H81" s="17"/>
      <c r="I81" s="1" t="str">
        <f t="shared" si="5"/>
        <v/>
      </c>
      <c r="J81" s="1" t="str">
        <f t="shared" si="3"/>
        <v/>
      </c>
      <c r="K81" s="1" t="str">
        <f t="shared" si="4"/>
        <v/>
      </c>
    </row>
    <row r="82" spans="4:11" ht="15" customHeight="1">
      <c r="D82" s="6" t="s">
        <v>45</v>
      </c>
      <c r="E82" s="7"/>
      <c r="F82" s="7"/>
      <c r="G82" s="17">
        <v>6</v>
      </c>
      <c r="H82" s="17">
        <v>5</v>
      </c>
      <c r="I82" s="1">
        <f t="shared" si="5"/>
        <v>1</v>
      </c>
      <c r="J82" s="1">
        <f t="shared" si="3"/>
        <v>0</v>
      </c>
      <c r="K82" s="1">
        <f t="shared" si="4"/>
        <v>1</v>
      </c>
    </row>
    <row r="83" spans="4:11" ht="30.75" thickBot="1">
      <c r="D83" s="8"/>
      <c r="E83" s="9" t="s">
        <v>33</v>
      </c>
      <c r="F83" s="9" t="s">
        <v>12</v>
      </c>
      <c r="G83" s="17"/>
      <c r="H83" s="17"/>
      <c r="I83" s="1" t="str">
        <f t="shared" si="5"/>
        <v/>
      </c>
      <c r="J83" s="1" t="str">
        <f t="shared" si="3"/>
        <v/>
      </c>
      <c r="K83" s="1" t="str">
        <f t="shared" si="4"/>
        <v/>
      </c>
    </row>
    <row r="84" spans="4:11" ht="15" customHeight="1">
      <c r="D84" s="6" t="s">
        <v>45</v>
      </c>
      <c r="E84" s="7"/>
      <c r="F84" s="7"/>
      <c r="G84" s="17">
        <v>4</v>
      </c>
      <c r="H84" s="17">
        <v>2</v>
      </c>
      <c r="I84" s="1">
        <f t="shared" si="5"/>
        <v>2</v>
      </c>
      <c r="J84" s="1">
        <f t="shared" si="3"/>
        <v>0</v>
      </c>
      <c r="K84" s="1">
        <f t="shared" si="4"/>
        <v>4</v>
      </c>
    </row>
    <row r="85" spans="4:11" ht="15.75" thickBot="1">
      <c r="D85" s="8"/>
      <c r="E85" s="9" t="s">
        <v>21</v>
      </c>
      <c r="F85" s="9" t="s">
        <v>7</v>
      </c>
      <c r="G85" s="17"/>
      <c r="H85" s="17"/>
      <c r="I85" s="1" t="str">
        <f t="shared" si="5"/>
        <v/>
      </c>
      <c r="J85" s="1" t="str">
        <f t="shared" si="3"/>
        <v/>
      </c>
      <c r="K85" s="1" t="str">
        <f t="shared" si="4"/>
        <v/>
      </c>
    </row>
    <row r="86" spans="4:11" ht="15" customHeight="1">
      <c r="D86" s="6" t="s">
        <v>45</v>
      </c>
      <c r="E86" s="7"/>
      <c r="F86" s="7"/>
      <c r="G86" s="17">
        <v>4</v>
      </c>
      <c r="H86" s="17">
        <v>3</v>
      </c>
      <c r="I86" s="1">
        <f t="shared" si="5"/>
        <v>1</v>
      </c>
      <c r="J86" s="1">
        <f t="shared" si="3"/>
        <v>-2550</v>
      </c>
      <c r="K86" s="1">
        <f t="shared" si="4"/>
        <v>6507601</v>
      </c>
    </row>
    <row r="87" spans="4:11" ht="15.75" thickBot="1">
      <c r="D87" s="8"/>
      <c r="E87" s="9" t="s">
        <v>8</v>
      </c>
      <c r="F87" s="9" t="s">
        <v>28</v>
      </c>
      <c r="G87" s="17"/>
      <c r="H87" s="17"/>
      <c r="I87" s="1" t="str">
        <f t="shared" si="5"/>
        <v/>
      </c>
      <c r="J87" s="1" t="str">
        <f t="shared" si="3"/>
        <v/>
      </c>
      <c r="K87" s="1" t="str">
        <f t="shared" si="4"/>
        <v/>
      </c>
    </row>
    <row r="88" spans="4:11" ht="15" customHeight="1">
      <c r="D88" s="6" t="s">
        <v>45</v>
      </c>
      <c r="E88" s="7"/>
      <c r="F88" s="7"/>
      <c r="G88" s="17">
        <v>2</v>
      </c>
      <c r="H88" s="17">
        <v>3</v>
      </c>
      <c r="I88" s="1">
        <f t="shared" si="5"/>
        <v>-1</v>
      </c>
      <c r="J88" s="1">
        <f t="shared" si="3"/>
        <v>0</v>
      </c>
      <c r="K88" s="1">
        <f t="shared" si="4"/>
        <v>1</v>
      </c>
    </row>
    <row r="89" spans="4:11" ht="15.75" thickBot="1">
      <c r="D89" s="8"/>
      <c r="E89" s="9" t="s">
        <v>22</v>
      </c>
      <c r="F89" s="9" t="s">
        <v>0</v>
      </c>
      <c r="G89" s="17"/>
      <c r="H89" s="17"/>
      <c r="I89" s="1" t="str">
        <f t="shared" si="5"/>
        <v/>
      </c>
      <c r="J89" s="1" t="str">
        <f t="shared" si="3"/>
        <v/>
      </c>
      <c r="K89" s="1" t="str">
        <f t="shared" si="4"/>
        <v/>
      </c>
    </row>
    <row r="90" spans="4:11" ht="15" customHeight="1">
      <c r="D90" s="6" t="s">
        <v>45</v>
      </c>
      <c r="E90" s="7"/>
      <c r="F90" s="7"/>
      <c r="G90" s="17">
        <v>2</v>
      </c>
      <c r="H90" s="17">
        <v>1</v>
      </c>
      <c r="I90" s="1">
        <f t="shared" si="5"/>
        <v>1</v>
      </c>
      <c r="J90" s="1">
        <f t="shared" si="3"/>
        <v>0</v>
      </c>
      <c r="K90" s="1">
        <f t="shared" si="4"/>
        <v>1</v>
      </c>
    </row>
    <row r="91" spans="4:11" ht="15.75" thickBot="1">
      <c r="D91" s="8"/>
      <c r="E91" s="9" t="s">
        <v>36</v>
      </c>
      <c r="F91" s="9" t="s">
        <v>37</v>
      </c>
      <c r="G91" s="17"/>
      <c r="H91" s="17"/>
      <c r="I91" s="1" t="str">
        <f t="shared" si="5"/>
        <v/>
      </c>
      <c r="J91" s="1" t="str">
        <f t="shared" si="3"/>
        <v/>
      </c>
      <c r="K91" s="1" t="str">
        <f t="shared" si="4"/>
        <v/>
      </c>
    </row>
    <row r="92" spans="4:11" ht="15" customHeight="1">
      <c r="D92" s="6" t="s">
        <v>45</v>
      </c>
      <c r="E92" s="7"/>
      <c r="F92" s="7"/>
      <c r="G92" s="17">
        <v>3</v>
      </c>
      <c r="H92" s="17">
        <v>2</v>
      </c>
      <c r="I92" s="1">
        <f t="shared" si="5"/>
        <v>1</v>
      </c>
      <c r="J92" s="1">
        <f t="shared" si="3"/>
        <v>0</v>
      </c>
      <c r="K92" s="1">
        <f t="shared" si="4"/>
        <v>1</v>
      </c>
    </row>
    <row r="93" spans="4:11" ht="15.75" thickBot="1">
      <c r="D93" s="8"/>
      <c r="E93" s="9" t="s">
        <v>4</v>
      </c>
      <c r="F93" s="9" t="s">
        <v>19</v>
      </c>
      <c r="G93" s="17"/>
      <c r="H93" s="17"/>
      <c r="I93" s="1" t="str">
        <f t="shared" si="5"/>
        <v/>
      </c>
      <c r="J93" s="1" t="str">
        <f t="shared" si="3"/>
        <v/>
      </c>
      <c r="K93" s="1" t="str">
        <f t="shared" si="4"/>
        <v/>
      </c>
    </row>
    <row r="94" spans="4:11" ht="15" customHeight="1">
      <c r="D94" s="6" t="s">
        <v>45</v>
      </c>
      <c r="E94" s="7"/>
      <c r="F94" s="7"/>
      <c r="G94" s="17">
        <v>1</v>
      </c>
      <c r="H94" s="17">
        <v>6</v>
      </c>
      <c r="I94" s="1">
        <f t="shared" si="5"/>
        <v>-5</v>
      </c>
      <c r="J94" s="1">
        <f t="shared" si="3"/>
        <v>0</v>
      </c>
      <c r="K94" s="1">
        <f t="shared" si="4"/>
        <v>25</v>
      </c>
    </row>
    <row r="95" spans="4:11" ht="15.75" thickBot="1">
      <c r="D95" s="8"/>
      <c r="E95" s="9" t="s">
        <v>24</v>
      </c>
      <c r="F95" s="9" t="s">
        <v>34</v>
      </c>
      <c r="G95" s="17"/>
      <c r="H95" s="17"/>
      <c r="I95" s="1" t="str">
        <f t="shared" si="5"/>
        <v/>
      </c>
      <c r="J95" s="1" t="str">
        <f t="shared" si="3"/>
        <v/>
      </c>
      <c r="K95" s="1" t="str">
        <f t="shared" si="4"/>
        <v/>
      </c>
    </row>
    <row r="96" spans="4:11" ht="18" customHeight="1">
      <c r="D96" s="6" t="s">
        <v>46</v>
      </c>
      <c r="E96" s="7"/>
      <c r="F96" s="7"/>
      <c r="G96" s="17">
        <v>3</v>
      </c>
      <c r="H96" s="17">
        <v>2</v>
      </c>
      <c r="I96" s="1">
        <f t="shared" si="5"/>
        <v>1</v>
      </c>
      <c r="J96" s="1">
        <f t="shared" si="3"/>
        <v>0</v>
      </c>
      <c r="K96" s="1">
        <f t="shared" si="4"/>
        <v>1</v>
      </c>
    </row>
    <row r="97" spans="4:11" ht="15.75" thickBot="1">
      <c r="D97" s="8"/>
      <c r="E97" s="9" t="s">
        <v>2</v>
      </c>
      <c r="F97" s="9" t="s">
        <v>13</v>
      </c>
      <c r="G97" s="17"/>
      <c r="H97" s="17"/>
      <c r="I97" s="1" t="str">
        <f t="shared" si="5"/>
        <v/>
      </c>
      <c r="J97" s="1" t="str">
        <f t="shared" si="3"/>
        <v/>
      </c>
      <c r="K97" s="1" t="str">
        <f t="shared" si="4"/>
        <v/>
      </c>
    </row>
    <row r="98" spans="4:11" ht="18" customHeight="1">
      <c r="D98" s="6" t="s">
        <v>46</v>
      </c>
      <c r="E98" s="7"/>
      <c r="F98" s="7"/>
      <c r="G98" s="17">
        <v>2</v>
      </c>
      <c r="H98" s="17">
        <v>1</v>
      </c>
      <c r="I98" s="1">
        <f t="shared" si="5"/>
        <v>1</v>
      </c>
      <c r="J98" s="1">
        <f t="shared" si="3"/>
        <v>0</v>
      </c>
      <c r="K98" s="1">
        <f t="shared" si="4"/>
        <v>1</v>
      </c>
    </row>
    <row r="99" spans="4:11" ht="15.75" thickBot="1">
      <c r="D99" s="8"/>
      <c r="E99" s="9" t="s">
        <v>4</v>
      </c>
      <c r="F99" s="9" t="s">
        <v>20</v>
      </c>
      <c r="G99" s="17"/>
      <c r="H99" s="17"/>
      <c r="I99" s="1" t="str">
        <f t="shared" si="5"/>
        <v/>
      </c>
      <c r="J99" s="1" t="str">
        <f t="shared" si="3"/>
        <v/>
      </c>
      <c r="K99" s="1" t="str">
        <f t="shared" si="4"/>
        <v/>
      </c>
    </row>
    <row r="100" spans="4:11" ht="15" customHeight="1">
      <c r="D100" s="6" t="s">
        <v>46</v>
      </c>
      <c r="E100" s="7"/>
      <c r="F100" s="7"/>
      <c r="G100" s="17">
        <v>4</v>
      </c>
      <c r="H100" s="17">
        <v>7</v>
      </c>
      <c r="I100" s="1">
        <f t="shared" si="5"/>
        <v>-3</v>
      </c>
      <c r="J100" s="1">
        <f t="shared" si="3"/>
        <v>0</v>
      </c>
      <c r="K100" s="1">
        <f t="shared" si="4"/>
        <v>9</v>
      </c>
    </row>
    <row r="101" spans="4:11" ht="15.75" thickBot="1">
      <c r="D101" s="8"/>
      <c r="E101" s="9" t="s">
        <v>24</v>
      </c>
      <c r="F101" s="9" t="s">
        <v>26</v>
      </c>
      <c r="G101" s="17"/>
      <c r="H101" s="17"/>
      <c r="I101" s="1" t="str">
        <f t="shared" si="5"/>
        <v/>
      </c>
      <c r="J101" s="1" t="str">
        <f t="shared" si="3"/>
        <v/>
      </c>
      <c r="K101" s="1" t="str">
        <f t="shared" si="4"/>
        <v/>
      </c>
    </row>
    <row r="102" spans="4:11" ht="15" customHeight="1">
      <c r="D102" s="6" t="s">
        <v>47</v>
      </c>
      <c r="E102" s="7"/>
      <c r="F102" s="7"/>
      <c r="G102" s="17">
        <v>3</v>
      </c>
      <c r="H102" s="17">
        <v>4</v>
      </c>
      <c r="I102" s="1">
        <f t="shared" si="5"/>
        <v>-1</v>
      </c>
      <c r="J102" s="1">
        <f t="shared" si="3"/>
        <v>0</v>
      </c>
      <c r="K102" s="1">
        <f t="shared" si="4"/>
        <v>1</v>
      </c>
    </row>
    <row r="103" spans="4:11" ht="15.75" thickBot="1">
      <c r="D103" s="8"/>
      <c r="E103" s="9" t="s">
        <v>33</v>
      </c>
      <c r="F103" s="9" t="s">
        <v>41</v>
      </c>
      <c r="G103" s="17"/>
      <c r="H103" s="17"/>
      <c r="I103" s="1" t="str">
        <f t="shared" si="5"/>
        <v/>
      </c>
      <c r="J103" s="1" t="str">
        <f t="shared" si="3"/>
        <v/>
      </c>
      <c r="K103" s="1" t="str">
        <f t="shared" si="4"/>
        <v/>
      </c>
    </row>
    <row r="104" spans="4:11" ht="15" customHeight="1">
      <c r="D104" s="6" t="s">
        <v>47</v>
      </c>
      <c r="E104" s="7"/>
      <c r="F104" s="7"/>
      <c r="G104" s="17">
        <v>3</v>
      </c>
      <c r="H104" s="17">
        <v>2</v>
      </c>
      <c r="I104" s="1">
        <f t="shared" si="5"/>
        <v>1</v>
      </c>
      <c r="J104" s="1">
        <f t="shared" si="3"/>
        <v>0</v>
      </c>
      <c r="K104" s="1">
        <f t="shared" si="4"/>
        <v>1</v>
      </c>
    </row>
    <row r="105" spans="4:11" ht="15.75" thickBot="1">
      <c r="D105" s="8"/>
      <c r="E105" s="9" t="s">
        <v>21</v>
      </c>
      <c r="F105" s="9" t="s">
        <v>11</v>
      </c>
      <c r="G105" s="17"/>
      <c r="H105" s="17"/>
      <c r="I105" s="1" t="str">
        <f t="shared" si="5"/>
        <v/>
      </c>
      <c r="J105" s="1" t="str">
        <f t="shared" si="3"/>
        <v/>
      </c>
      <c r="K105" s="1" t="str">
        <f t="shared" si="4"/>
        <v/>
      </c>
    </row>
    <row r="106" spans="4:11" ht="15" customHeight="1">
      <c r="D106" s="6" t="s">
        <v>47</v>
      </c>
      <c r="E106" s="7"/>
      <c r="F106" s="7"/>
      <c r="G106" s="17">
        <v>2</v>
      </c>
      <c r="H106" s="17">
        <v>6</v>
      </c>
      <c r="I106" s="1">
        <f t="shared" si="5"/>
        <v>-4</v>
      </c>
      <c r="J106" s="1">
        <f t="shared" si="3"/>
        <v>0</v>
      </c>
      <c r="K106" s="1">
        <f t="shared" si="4"/>
        <v>16</v>
      </c>
    </row>
    <row r="107" spans="4:11" ht="30.75" thickBot="1">
      <c r="D107" s="8"/>
      <c r="E107" s="9" t="s">
        <v>36</v>
      </c>
      <c r="F107" s="9" t="s">
        <v>12</v>
      </c>
      <c r="G107" s="17"/>
      <c r="H107" s="17"/>
      <c r="I107" s="1" t="str">
        <f t="shared" si="5"/>
        <v/>
      </c>
      <c r="J107" s="1" t="str">
        <f t="shared" si="3"/>
        <v/>
      </c>
      <c r="K107" s="1" t="str">
        <f t="shared" si="4"/>
        <v/>
      </c>
    </row>
    <row r="108" spans="4:11" ht="15" customHeight="1">
      <c r="D108" s="6" t="s">
        <v>47</v>
      </c>
      <c r="E108" s="7"/>
      <c r="F108" s="7"/>
      <c r="G108" s="17">
        <v>1</v>
      </c>
      <c r="H108" s="17">
        <v>2</v>
      </c>
      <c r="I108" s="1">
        <f t="shared" si="5"/>
        <v>-1</v>
      </c>
      <c r="J108" s="1">
        <f t="shared" si="3"/>
        <v>0</v>
      </c>
      <c r="K108" s="1">
        <f t="shared" si="4"/>
        <v>1</v>
      </c>
    </row>
    <row r="109" spans="4:11" ht="15.75" thickBot="1">
      <c r="D109" s="8"/>
      <c r="E109" s="9" t="s">
        <v>28</v>
      </c>
      <c r="F109" s="9" t="s">
        <v>38</v>
      </c>
      <c r="G109" s="17"/>
      <c r="H109" s="17"/>
      <c r="I109" s="1" t="str">
        <f t="shared" si="5"/>
        <v/>
      </c>
      <c r="J109" s="1" t="str">
        <f t="shared" si="3"/>
        <v/>
      </c>
      <c r="K109" s="1" t="str">
        <f t="shared" si="4"/>
        <v/>
      </c>
    </row>
    <row r="110" spans="4:11" ht="15" customHeight="1">
      <c r="D110" s="6" t="s">
        <v>47</v>
      </c>
      <c r="E110" s="7"/>
      <c r="F110" s="7"/>
      <c r="G110" s="17">
        <v>4</v>
      </c>
      <c r="H110" s="17">
        <v>6</v>
      </c>
      <c r="I110" s="1">
        <f t="shared" si="5"/>
        <v>-2</v>
      </c>
      <c r="J110" s="1">
        <f t="shared" si="3"/>
        <v>0</v>
      </c>
      <c r="K110" s="1">
        <f t="shared" si="4"/>
        <v>4</v>
      </c>
    </row>
    <row r="111" spans="4:11" ht="15.75" thickBot="1">
      <c r="D111" s="8"/>
      <c r="E111" s="9" t="s">
        <v>2</v>
      </c>
      <c r="F111" s="9" t="s">
        <v>230</v>
      </c>
      <c r="G111" s="17"/>
      <c r="H111" s="17"/>
      <c r="I111" s="1" t="str">
        <f t="shared" si="5"/>
        <v/>
      </c>
      <c r="J111" s="1" t="str">
        <f t="shared" si="3"/>
        <v/>
      </c>
      <c r="K111" s="1" t="str">
        <f t="shared" si="4"/>
        <v/>
      </c>
    </row>
    <row r="112" spans="4:11" ht="15" customHeight="1">
      <c r="D112" s="6" t="s">
        <v>47</v>
      </c>
      <c r="E112" s="7"/>
      <c r="F112" s="7"/>
      <c r="G112" s="17">
        <v>3</v>
      </c>
      <c r="H112" s="17">
        <v>5</v>
      </c>
      <c r="I112" s="1">
        <f t="shared" si="5"/>
        <v>-2</v>
      </c>
      <c r="J112" s="1">
        <f t="shared" si="3"/>
        <v>0</v>
      </c>
      <c r="K112" s="1">
        <f t="shared" si="4"/>
        <v>4</v>
      </c>
    </row>
    <row r="113" spans="4:11" ht="15.75" thickBot="1">
      <c r="D113" s="8"/>
      <c r="E113" s="9" t="s">
        <v>22</v>
      </c>
      <c r="F113" s="9" t="s">
        <v>18</v>
      </c>
      <c r="G113" s="17"/>
      <c r="H113" s="17"/>
      <c r="I113" s="1" t="str">
        <f t="shared" si="5"/>
        <v/>
      </c>
      <c r="J113" s="1" t="str">
        <f t="shared" si="3"/>
        <v/>
      </c>
      <c r="K113" s="1" t="str">
        <f t="shared" si="4"/>
        <v/>
      </c>
    </row>
    <row r="114" spans="4:11" ht="15" customHeight="1">
      <c r="D114" s="6" t="s">
        <v>47</v>
      </c>
      <c r="E114" s="7"/>
      <c r="F114" s="7"/>
      <c r="G114" s="17">
        <v>0</v>
      </c>
      <c r="H114" s="17">
        <v>1</v>
      </c>
      <c r="I114" s="1">
        <f t="shared" si="5"/>
        <v>-1</v>
      </c>
      <c r="J114" s="1">
        <f t="shared" si="3"/>
        <v>0</v>
      </c>
      <c r="K114" s="1">
        <f t="shared" si="4"/>
        <v>1</v>
      </c>
    </row>
    <row r="115" spans="4:11" ht="15.75" thickBot="1">
      <c r="D115" s="8"/>
      <c r="E115" s="9" t="s">
        <v>39</v>
      </c>
      <c r="F115" s="9" t="s">
        <v>34</v>
      </c>
      <c r="G115" s="17"/>
      <c r="H115" s="17"/>
      <c r="I115" s="1" t="str">
        <f t="shared" si="5"/>
        <v/>
      </c>
      <c r="J115" s="1" t="str">
        <f t="shared" si="3"/>
        <v/>
      </c>
      <c r="K115" s="1" t="str">
        <f t="shared" si="4"/>
        <v/>
      </c>
    </row>
    <row r="116" spans="4:11" ht="18" customHeight="1">
      <c r="D116" s="6" t="s">
        <v>48</v>
      </c>
      <c r="E116" s="7"/>
      <c r="F116" s="7"/>
      <c r="G116" s="17">
        <v>1</v>
      </c>
      <c r="H116" s="17">
        <v>0</v>
      </c>
      <c r="I116" s="1">
        <f t="shared" si="5"/>
        <v>1</v>
      </c>
      <c r="J116" s="1">
        <f t="shared" si="3"/>
        <v>2550</v>
      </c>
      <c r="K116" s="1">
        <f t="shared" si="4"/>
        <v>6497401</v>
      </c>
    </row>
    <row r="117" spans="4:11" ht="15.75" thickBot="1">
      <c r="D117" s="8"/>
      <c r="E117" s="9" t="s">
        <v>14</v>
      </c>
      <c r="F117" s="9" t="s">
        <v>8</v>
      </c>
      <c r="G117" s="17"/>
      <c r="H117" s="17"/>
      <c r="I117" s="1" t="str">
        <f t="shared" si="5"/>
        <v/>
      </c>
      <c r="J117" s="1" t="str">
        <f t="shared" si="3"/>
        <v/>
      </c>
      <c r="K117" s="1" t="str">
        <f t="shared" si="4"/>
        <v/>
      </c>
    </row>
    <row r="118" spans="4:11" ht="15" customHeight="1">
      <c r="D118" s="6" t="s">
        <v>48</v>
      </c>
      <c r="E118" s="7"/>
      <c r="F118" s="7"/>
      <c r="G118" s="17">
        <v>2</v>
      </c>
      <c r="H118" s="17">
        <v>3</v>
      </c>
      <c r="I118" s="1">
        <f t="shared" si="5"/>
        <v>-1</v>
      </c>
      <c r="J118" s="1">
        <f t="shared" si="3"/>
        <v>0</v>
      </c>
      <c r="K118" s="1">
        <f t="shared" si="4"/>
        <v>1</v>
      </c>
    </row>
    <row r="119" spans="4:11" ht="15.75" thickBot="1">
      <c r="D119" s="8"/>
      <c r="E119" s="9" t="s">
        <v>4</v>
      </c>
      <c r="F119" s="9" t="s">
        <v>7</v>
      </c>
      <c r="G119" s="17"/>
      <c r="H119" s="17"/>
      <c r="I119" s="1" t="str">
        <f t="shared" si="5"/>
        <v/>
      </c>
      <c r="J119" s="1" t="str">
        <f t="shared" si="3"/>
        <v/>
      </c>
      <c r="K119" s="1" t="str">
        <f t="shared" si="4"/>
        <v/>
      </c>
    </row>
    <row r="120" spans="4:11" ht="15" customHeight="1">
      <c r="D120" s="6" t="s">
        <v>48</v>
      </c>
      <c r="E120" s="7"/>
      <c r="F120" s="7"/>
      <c r="G120" s="17">
        <v>4</v>
      </c>
      <c r="H120" s="17">
        <v>1</v>
      </c>
      <c r="I120" s="1">
        <f t="shared" si="5"/>
        <v>3</v>
      </c>
      <c r="J120" s="1">
        <f t="shared" si="3"/>
        <v>0</v>
      </c>
      <c r="K120" s="1">
        <f t="shared" si="4"/>
        <v>9</v>
      </c>
    </row>
    <row r="121" spans="4:11" ht="15.75" thickBot="1">
      <c r="D121" s="8"/>
      <c r="E121" s="9" t="s">
        <v>13</v>
      </c>
      <c r="F121" s="9" t="s">
        <v>0</v>
      </c>
      <c r="G121" s="17"/>
      <c r="H121" s="17"/>
      <c r="I121" s="1" t="str">
        <f t="shared" si="5"/>
        <v/>
      </c>
      <c r="J121" s="1" t="str">
        <f t="shared" si="3"/>
        <v/>
      </c>
      <c r="K121" s="1" t="str">
        <f t="shared" si="4"/>
        <v/>
      </c>
    </row>
    <row r="122" spans="4:11" ht="15" customHeight="1">
      <c r="D122" s="6" t="s">
        <v>48</v>
      </c>
      <c r="E122" s="7"/>
      <c r="F122" s="7"/>
      <c r="G122" s="17">
        <v>2</v>
      </c>
      <c r="H122" s="17">
        <v>0</v>
      </c>
      <c r="I122" s="1">
        <f t="shared" si="5"/>
        <v>2</v>
      </c>
      <c r="J122" s="1">
        <f t="shared" si="3"/>
        <v>0</v>
      </c>
      <c r="K122" s="1">
        <f t="shared" si="4"/>
        <v>4</v>
      </c>
    </row>
    <row r="123" spans="4:11" ht="15.75" thickBot="1">
      <c r="D123" s="8"/>
      <c r="E123" s="9" t="s">
        <v>19</v>
      </c>
      <c r="F123" s="9" t="s">
        <v>25</v>
      </c>
      <c r="G123" s="17"/>
      <c r="H123" s="17"/>
      <c r="I123" s="1" t="str">
        <f t="shared" si="5"/>
        <v/>
      </c>
      <c r="J123" s="1" t="str">
        <f t="shared" si="3"/>
        <v/>
      </c>
      <c r="K123" s="1" t="str">
        <f t="shared" si="4"/>
        <v/>
      </c>
    </row>
    <row r="124" spans="4:11" ht="15" customHeight="1">
      <c r="D124" s="6" t="s">
        <v>48</v>
      </c>
      <c r="E124" s="7"/>
      <c r="F124" s="7"/>
      <c r="G124" s="17">
        <v>2</v>
      </c>
      <c r="H124" s="17">
        <v>0</v>
      </c>
      <c r="I124" s="1">
        <f t="shared" si="5"/>
        <v>2</v>
      </c>
      <c r="J124" s="1">
        <f t="shared" si="3"/>
        <v>0</v>
      </c>
      <c r="K124" s="1">
        <f t="shared" si="4"/>
        <v>4</v>
      </c>
    </row>
    <row r="125" spans="4:11" ht="15.75" thickBot="1">
      <c r="D125" s="8"/>
      <c r="E125" s="9" t="s">
        <v>3</v>
      </c>
      <c r="F125" s="9" t="s">
        <v>24</v>
      </c>
      <c r="G125" s="17"/>
      <c r="H125" s="17"/>
      <c r="I125" s="1" t="str">
        <f t="shared" si="5"/>
        <v/>
      </c>
      <c r="J125" s="1" t="str">
        <f t="shared" si="3"/>
        <v/>
      </c>
      <c r="K125" s="1" t="str">
        <f t="shared" si="4"/>
        <v/>
      </c>
    </row>
    <row r="126" spans="4:11" ht="15" customHeight="1">
      <c r="D126" s="6" t="s">
        <v>48</v>
      </c>
      <c r="E126" s="7"/>
      <c r="F126" s="7"/>
      <c r="G126" s="17">
        <v>1</v>
      </c>
      <c r="H126" s="17">
        <v>2</v>
      </c>
      <c r="I126" s="1">
        <f t="shared" si="5"/>
        <v>-1</v>
      </c>
      <c r="J126" s="1">
        <f t="shared" si="3"/>
        <v>0</v>
      </c>
      <c r="K126" s="1">
        <f t="shared" si="4"/>
        <v>1</v>
      </c>
    </row>
    <row r="127" spans="4:11" ht="15.75" thickBot="1">
      <c r="D127" s="8"/>
      <c r="E127" s="9" t="s">
        <v>23</v>
      </c>
      <c r="F127" s="9" t="s">
        <v>10</v>
      </c>
      <c r="G127" s="17"/>
      <c r="H127" s="17"/>
      <c r="I127" s="1" t="str">
        <f t="shared" si="5"/>
        <v/>
      </c>
      <c r="J127" s="1" t="str">
        <f t="shared" si="3"/>
        <v/>
      </c>
      <c r="K127" s="1" t="str">
        <f t="shared" si="4"/>
        <v/>
      </c>
    </row>
    <row r="128" spans="4:11" ht="18" customHeight="1">
      <c r="D128" s="6" t="s">
        <v>49</v>
      </c>
      <c r="E128" s="7"/>
      <c r="F128" s="7"/>
      <c r="G128" s="17">
        <v>4</v>
      </c>
      <c r="H128" s="17">
        <v>0</v>
      </c>
      <c r="I128" s="1">
        <f t="shared" si="5"/>
        <v>4</v>
      </c>
      <c r="J128" s="1">
        <f t="shared" si="3"/>
        <v>2550</v>
      </c>
      <c r="K128" s="1">
        <f t="shared" si="4"/>
        <v>6482116</v>
      </c>
    </row>
    <row r="129" spans="4:11" ht="15.75" thickBot="1">
      <c r="D129" s="8"/>
      <c r="E129" s="9" t="s">
        <v>2</v>
      </c>
      <c r="F129" s="9" t="s">
        <v>8</v>
      </c>
      <c r="G129" s="17"/>
      <c r="H129" s="17"/>
      <c r="I129" s="1" t="str">
        <f t="shared" si="5"/>
        <v/>
      </c>
      <c r="J129" s="1" t="str">
        <f t="shared" si="3"/>
        <v/>
      </c>
      <c r="K129" s="1" t="str">
        <f t="shared" si="4"/>
        <v/>
      </c>
    </row>
    <row r="130" spans="4:11" ht="15" customHeight="1">
      <c r="D130" s="6" t="s">
        <v>49</v>
      </c>
      <c r="E130" s="7"/>
      <c r="F130" s="7"/>
      <c r="G130" s="17">
        <v>2</v>
      </c>
      <c r="H130" s="17">
        <v>3</v>
      </c>
      <c r="I130" s="1">
        <f t="shared" si="5"/>
        <v>-1</v>
      </c>
      <c r="J130" s="1">
        <f t="shared" si="3"/>
        <v>0</v>
      </c>
      <c r="K130" s="1">
        <f t="shared" si="4"/>
        <v>1</v>
      </c>
    </row>
    <row r="131" spans="4:11" ht="15.75" thickBot="1">
      <c r="D131" s="8"/>
      <c r="E131" s="9" t="s">
        <v>22</v>
      </c>
      <c r="F131" s="9" t="s">
        <v>230</v>
      </c>
      <c r="G131" s="17"/>
      <c r="H131" s="17"/>
      <c r="I131" s="1" t="str">
        <f t="shared" si="5"/>
        <v/>
      </c>
      <c r="J131" s="1" t="str">
        <f t="shared" ref="J131:J194" si="6">IF(F132="","",VLOOKUP(F132,$A$2:$B$31,2)+$B$33-VLOOKUP(E132,$A$2:$B$31,2))</f>
        <v/>
      </c>
      <c r="K131" s="1" t="str">
        <f t="shared" ref="K131:K194" si="7">IF(G131="","",(I131-J131)^2)</f>
        <v/>
      </c>
    </row>
    <row r="132" spans="4:11" ht="15" customHeight="1">
      <c r="D132" s="6" t="s">
        <v>49</v>
      </c>
      <c r="E132" s="7"/>
      <c r="F132" s="7"/>
      <c r="G132" s="17">
        <v>2</v>
      </c>
      <c r="H132" s="17">
        <v>3</v>
      </c>
      <c r="I132" s="1">
        <f t="shared" ref="I132:I195" si="8">IF(G132="","",G132-H132)</f>
        <v>-1</v>
      </c>
      <c r="J132" s="1">
        <f t="shared" si="6"/>
        <v>0</v>
      </c>
      <c r="K132" s="1">
        <f t="shared" si="7"/>
        <v>1</v>
      </c>
    </row>
    <row r="133" spans="4:11" ht="15.75" thickBot="1">
      <c r="D133" s="8"/>
      <c r="E133" s="9" t="s">
        <v>7</v>
      </c>
      <c r="F133" s="9" t="s">
        <v>18</v>
      </c>
      <c r="G133" s="17"/>
      <c r="H133" s="17"/>
      <c r="I133" s="1" t="str">
        <f t="shared" si="8"/>
        <v/>
      </c>
      <c r="J133" s="1" t="str">
        <f t="shared" si="6"/>
        <v/>
      </c>
      <c r="K133" s="1" t="str">
        <f t="shared" si="7"/>
        <v/>
      </c>
    </row>
    <row r="134" spans="4:11" ht="15" customHeight="1">
      <c r="D134" s="6" t="s">
        <v>49</v>
      </c>
      <c r="E134" s="7"/>
      <c r="F134" s="7"/>
      <c r="G134" s="17">
        <v>0</v>
      </c>
      <c r="H134" s="17">
        <v>1</v>
      </c>
      <c r="I134" s="1">
        <f t="shared" si="8"/>
        <v>-1</v>
      </c>
      <c r="J134" s="1">
        <f t="shared" si="6"/>
        <v>0</v>
      </c>
      <c r="K134" s="1">
        <f t="shared" si="7"/>
        <v>1</v>
      </c>
    </row>
    <row r="135" spans="4:11" ht="15.75" thickBot="1">
      <c r="D135" s="8"/>
      <c r="E135" s="9" t="s">
        <v>0</v>
      </c>
      <c r="F135" s="9" t="s">
        <v>13</v>
      </c>
      <c r="G135" s="17"/>
      <c r="H135" s="17"/>
      <c r="I135" s="1" t="str">
        <f t="shared" si="8"/>
        <v/>
      </c>
      <c r="J135" s="1" t="str">
        <f t="shared" si="6"/>
        <v/>
      </c>
      <c r="K135" s="1" t="str">
        <f t="shared" si="7"/>
        <v/>
      </c>
    </row>
    <row r="136" spans="4:11" ht="15" customHeight="1">
      <c r="D136" s="6" t="s">
        <v>49</v>
      </c>
      <c r="E136" s="7"/>
      <c r="F136" s="7"/>
      <c r="G136" s="17">
        <v>4</v>
      </c>
      <c r="H136" s="17">
        <v>2</v>
      </c>
      <c r="I136" s="1">
        <f t="shared" si="8"/>
        <v>2</v>
      </c>
      <c r="J136" s="1">
        <f t="shared" si="6"/>
        <v>0</v>
      </c>
      <c r="K136" s="1">
        <f t="shared" si="7"/>
        <v>4</v>
      </c>
    </row>
    <row r="137" spans="4:11" ht="15.75" thickBot="1">
      <c r="D137" s="8"/>
      <c r="E137" s="9" t="s">
        <v>33</v>
      </c>
      <c r="F137" s="9" t="s">
        <v>36</v>
      </c>
      <c r="G137" s="17"/>
      <c r="H137" s="17"/>
      <c r="I137" s="1" t="str">
        <f t="shared" si="8"/>
        <v/>
      </c>
      <c r="J137" s="1" t="str">
        <f t="shared" si="6"/>
        <v/>
      </c>
      <c r="K137" s="1" t="str">
        <f t="shared" si="7"/>
        <v/>
      </c>
    </row>
    <row r="138" spans="4:11" ht="15" customHeight="1">
      <c r="D138" s="6" t="s">
        <v>49</v>
      </c>
      <c r="E138" s="7"/>
      <c r="F138" s="7"/>
      <c r="G138" s="17">
        <v>1</v>
      </c>
      <c r="H138" s="17">
        <v>3</v>
      </c>
      <c r="I138" s="1">
        <f t="shared" si="8"/>
        <v>-2</v>
      </c>
      <c r="J138" s="1">
        <f t="shared" si="6"/>
        <v>0</v>
      </c>
      <c r="K138" s="1">
        <f t="shared" si="7"/>
        <v>4</v>
      </c>
    </row>
    <row r="139" spans="4:11" ht="15.75" thickBot="1">
      <c r="D139" s="8"/>
      <c r="E139" s="9" t="s">
        <v>41</v>
      </c>
      <c r="F139" s="9" t="s">
        <v>11</v>
      </c>
      <c r="G139" s="17"/>
      <c r="H139" s="17"/>
      <c r="I139" s="1" t="str">
        <f t="shared" si="8"/>
        <v/>
      </c>
      <c r="J139" s="1" t="str">
        <f t="shared" si="6"/>
        <v/>
      </c>
      <c r="K139" s="1" t="str">
        <f t="shared" si="7"/>
        <v/>
      </c>
    </row>
    <row r="140" spans="4:11" ht="15" customHeight="1">
      <c r="D140" s="6" t="s">
        <v>49</v>
      </c>
      <c r="E140" s="7"/>
      <c r="F140" s="7"/>
      <c r="G140" s="17">
        <v>1</v>
      </c>
      <c r="H140" s="17">
        <v>2</v>
      </c>
      <c r="I140" s="1">
        <f t="shared" si="8"/>
        <v>-1</v>
      </c>
      <c r="J140" s="1">
        <f t="shared" si="6"/>
        <v>0</v>
      </c>
      <c r="K140" s="1">
        <f t="shared" si="7"/>
        <v>1</v>
      </c>
    </row>
    <row r="141" spans="4:11" ht="30.75" thickBot="1">
      <c r="D141" s="8"/>
      <c r="E141" s="9" t="s">
        <v>14</v>
      </c>
      <c r="F141" s="9" t="s">
        <v>12</v>
      </c>
      <c r="G141" s="17"/>
      <c r="H141" s="17"/>
      <c r="I141" s="1" t="str">
        <f t="shared" si="8"/>
        <v/>
      </c>
      <c r="J141" s="1" t="str">
        <f t="shared" si="6"/>
        <v/>
      </c>
      <c r="K141" s="1" t="str">
        <f t="shared" si="7"/>
        <v/>
      </c>
    </row>
    <row r="142" spans="4:11" ht="15" customHeight="1">
      <c r="D142" s="6" t="s">
        <v>49</v>
      </c>
      <c r="E142" s="7"/>
      <c r="F142" s="7"/>
      <c r="G142" s="17">
        <v>6</v>
      </c>
      <c r="H142" s="17">
        <v>5</v>
      </c>
      <c r="I142" s="1">
        <f t="shared" si="8"/>
        <v>1</v>
      </c>
      <c r="J142" s="1">
        <f t="shared" si="6"/>
        <v>0</v>
      </c>
      <c r="K142" s="1">
        <f t="shared" si="7"/>
        <v>1</v>
      </c>
    </row>
    <row r="143" spans="4:11" ht="15.75" thickBot="1">
      <c r="D143" s="8"/>
      <c r="E143" s="9" t="s">
        <v>1</v>
      </c>
      <c r="F143" s="9" t="s">
        <v>21</v>
      </c>
      <c r="G143" s="17"/>
      <c r="H143" s="17"/>
      <c r="I143" s="1" t="str">
        <f t="shared" si="8"/>
        <v/>
      </c>
      <c r="J143" s="1" t="str">
        <f t="shared" si="6"/>
        <v/>
      </c>
      <c r="K143" s="1" t="str">
        <f t="shared" si="7"/>
        <v/>
      </c>
    </row>
    <row r="144" spans="4:11" ht="15" customHeight="1">
      <c r="D144" s="6" t="s">
        <v>49</v>
      </c>
      <c r="E144" s="7"/>
      <c r="F144" s="7"/>
      <c r="G144" s="17">
        <v>1</v>
      </c>
      <c r="H144" s="17">
        <v>2</v>
      </c>
      <c r="I144" s="1">
        <f t="shared" si="8"/>
        <v>-1</v>
      </c>
      <c r="J144" s="1">
        <f t="shared" si="6"/>
        <v>0</v>
      </c>
      <c r="K144" s="1">
        <f t="shared" si="7"/>
        <v>1</v>
      </c>
    </row>
    <row r="145" spans="4:11" ht="15.75" thickBot="1">
      <c r="D145" s="8"/>
      <c r="E145" s="9" t="s">
        <v>19</v>
      </c>
      <c r="F145" s="9" t="s">
        <v>20</v>
      </c>
      <c r="G145" s="17"/>
      <c r="H145" s="17"/>
      <c r="I145" s="1" t="str">
        <f t="shared" si="8"/>
        <v/>
      </c>
      <c r="J145" s="1" t="str">
        <f t="shared" si="6"/>
        <v/>
      </c>
      <c r="K145" s="1" t="str">
        <f t="shared" si="7"/>
        <v/>
      </c>
    </row>
    <row r="146" spans="4:11" ht="15" customHeight="1">
      <c r="D146" s="6" t="s">
        <v>49</v>
      </c>
      <c r="E146" s="7"/>
      <c r="F146" s="7"/>
      <c r="G146" s="17">
        <v>6</v>
      </c>
      <c r="H146" s="17">
        <v>1</v>
      </c>
      <c r="I146" s="1">
        <f t="shared" si="8"/>
        <v>5</v>
      </c>
      <c r="J146" s="1">
        <f t="shared" si="6"/>
        <v>0</v>
      </c>
      <c r="K146" s="1">
        <f t="shared" si="7"/>
        <v>25</v>
      </c>
    </row>
    <row r="147" spans="4:11" ht="15.75" thickBot="1">
      <c r="D147" s="8"/>
      <c r="E147" s="9" t="s">
        <v>39</v>
      </c>
      <c r="F147" s="9" t="s">
        <v>26</v>
      </c>
      <c r="G147" s="17"/>
      <c r="H147" s="17"/>
      <c r="I147" s="1" t="str">
        <f t="shared" si="8"/>
        <v/>
      </c>
      <c r="J147" s="1" t="str">
        <f t="shared" si="6"/>
        <v/>
      </c>
      <c r="K147" s="1" t="str">
        <f t="shared" si="7"/>
        <v/>
      </c>
    </row>
    <row r="148" spans="4:11" ht="15" customHeight="1">
      <c r="D148" s="6" t="s">
        <v>49</v>
      </c>
      <c r="E148" s="7"/>
      <c r="F148" s="7"/>
      <c r="G148" s="17">
        <v>4</v>
      </c>
      <c r="H148" s="17">
        <v>2</v>
      </c>
      <c r="I148" s="1">
        <f t="shared" si="8"/>
        <v>2</v>
      </c>
      <c r="J148" s="1">
        <f t="shared" si="6"/>
        <v>0</v>
      </c>
      <c r="K148" s="1">
        <f t="shared" si="7"/>
        <v>4</v>
      </c>
    </row>
    <row r="149" spans="4:11" ht="15.75" thickBot="1">
      <c r="D149" s="8"/>
      <c r="E149" s="9" t="s">
        <v>37</v>
      </c>
      <c r="F149" s="9" t="s">
        <v>3</v>
      </c>
      <c r="G149" s="17"/>
      <c r="H149" s="17"/>
      <c r="I149" s="1" t="str">
        <f t="shared" si="8"/>
        <v/>
      </c>
      <c r="J149" s="1" t="str">
        <f t="shared" si="6"/>
        <v/>
      </c>
      <c r="K149" s="1" t="str">
        <f t="shared" si="7"/>
        <v/>
      </c>
    </row>
    <row r="150" spans="4:11" ht="15" customHeight="1">
      <c r="D150" s="6" t="s">
        <v>50</v>
      </c>
      <c r="E150" s="7"/>
      <c r="F150" s="7"/>
      <c r="G150" s="17">
        <v>1</v>
      </c>
      <c r="H150" s="17">
        <v>2</v>
      </c>
      <c r="I150" s="1">
        <f t="shared" si="8"/>
        <v>-1</v>
      </c>
      <c r="J150" s="1">
        <f t="shared" si="6"/>
        <v>0</v>
      </c>
      <c r="K150" s="1">
        <f t="shared" si="7"/>
        <v>1</v>
      </c>
    </row>
    <row r="151" spans="4:11" ht="15.75" thickBot="1">
      <c r="D151" s="8"/>
      <c r="E151" s="9" t="s">
        <v>23</v>
      </c>
      <c r="F151" s="9" t="s">
        <v>34</v>
      </c>
      <c r="G151" s="17"/>
      <c r="H151" s="17"/>
      <c r="I151" s="1" t="str">
        <f t="shared" si="8"/>
        <v/>
      </c>
      <c r="J151" s="1" t="str">
        <f t="shared" si="6"/>
        <v/>
      </c>
      <c r="K151" s="1" t="str">
        <f t="shared" si="7"/>
        <v/>
      </c>
    </row>
    <row r="152" spans="4:11" ht="15" customHeight="1">
      <c r="D152" s="6" t="s">
        <v>50</v>
      </c>
      <c r="E152" s="7"/>
      <c r="F152" s="7"/>
      <c r="G152" s="17">
        <v>0</v>
      </c>
      <c r="H152" s="17">
        <v>4</v>
      </c>
      <c r="I152" s="1">
        <f t="shared" si="8"/>
        <v>-4</v>
      </c>
      <c r="J152" s="1">
        <f t="shared" si="6"/>
        <v>0</v>
      </c>
      <c r="K152" s="1">
        <f t="shared" si="7"/>
        <v>16</v>
      </c>
    </row>
    <row r="153" spans="4:11" ht="15.75" thickBot="1">
      <c r="D153" s="8"/>
      <c r="E153" s="9" t="s">
        <v>33</v>
      </c>
      <c r="F153" s="9" t="s">
        <v>38</v>
      </c>
      <c r="G153" s="17"/>
      <c r="H153" s="17"/>
      <c r="I153" s="1" t="str">
        <f t="shared" si="8"/>
        <v/>
      </c>
      <c r="J153" s="1" t="str">
        <f t="shared" si="6"/>
        <v/>
      </c>
      <c r="K153" s="1" t="str">
        <f t="shared" si="7"/>
        <v/>
      </c>
    </row>
    <row r="154" spans="4:11" ht="15" customHeight="1">
      <c r="D154" s="6" t="s">
        <v>50</v>
      </c>
      <c r="E154" s="7"/>
      <c r="F154" s="7"/>
      <c r="G154" s="17">
        <v>4</v>
      </c>
      <c r="H154" s="17">
        <v>1</v>
      </c>
      <c r="I154" s="1">
        <f t="shared" si="8"/>
        <v>3</v>
      </c>
      <c r="J154" s="1">
        <f t="shared" si="6"/>
        <v>0</v>
      </c>
      <c r="K154" s="1">
        <f t="shared" si="7"/>
        <v>9</v>
      </c>
    </row>
    <row r="155" spans="4:11" ht="15.75" thickBot="1">
      <c r="D155" s="8"/>
      <c r="E155" s="9" t="s">
        <v>4</v>
      </c>
      <c r="F155" s="9" t="s">
        <v>25</v>
      </c>
      <c r="G155" s="17"/>
      <c r="H155" s="17"/>
      <c r="I155" s="1" t="str">
        <f t="shared" si="8"/>
        <v/>
      </c>
      <c r="J155" s="1" t="str">
        <f t="shared" si="6"/>
        <v/>
      </c>
      <c r="K155" s="1" t="str">
        <f t="shared" si="7"/>
        <v/>
      </c>
    </row>
    <row r="156" spans="4:11" ht="15" customHeight="1">
      <c r="D156" s="6" t="s">
        <v>50</v>
      </c>
      <c r="E156" s="7"/>
      <c r="F156" s="7"/>
      <c r="G156" s="17">
        <v>0</v>
      </c>
      <c r="H156" s="17">
        <v>3</v>
      </c>
      <c r="I156" s="1">
        <f t="shared" si="8"/>
        <v>-3</v>
      </c>
      <c r="J156" s="1">
        <f t="shared" si="6"/>
        <v>0</v>
      </c>
      <c r="K156" s="1">
        <f t="shared" si="7"/>
        <v>9</v>
      </c>
    </row>
    <row r="157" spans="4:11" ht="15.75" thickBot="1">
      <c r="D157" s="8"/>
      <c r="E157" s="9" t="s">
        <v>39</v>
      </c>
      <c r="F157" s="9" t="s">
        <v>10</v>
      </c>
      <c r="G157" s="17"/>
      <c r="H157" s="17"/>
      <c r="I157" s="1" t="str">
        <f t="shared" si="8"/>
        <v/>
      </c>
      <c r="J157" s="1" t="str">
        <f t="shared" si="6"/>
        <v/>
      </c>
      <c r="K157" s="1" t="str">
        <f t="shared" si="7"/>
        <v/>
      </c>
    </row>
    <row r="158" spans="4:11" ht="15" customHeight="1">
      <c r="D158" s="6" t="s">
        <v>51</v>
      </c>
      <c r="E158" s="7"/>
      <c r="F158" s="7"/>
      <c r="G158" s="17">
        <v>2</v>
      </c>
      <c r="H158" s="17">
        <v>3</v>
      </c>
      <c r="I158" s="1">
        <f t="shared" si="8"/>
        <v>-1</v>
      </c>
      <c r="J158" s="1">
        <f t="shared" si="6"/>
        <v>0</v>
      </c>
      <c r="K158" s="1">
        <f t="shared" si="7"/>
        <v>1</v>
      </c>
    </row>
    <row r="159" spans="4:11" ht="15.75" thickBot="1">
      <c r="D159" s="8"/>
      <c r="E159" s="9" t="s">
        <v>37</v>
      </c>
      <c r="F159" s="9" t="s">
        <v>24</v>
      </c>
      <c r="G159" s="17"/>
      <c r="H159" s="17"/>
      <c r="I159" s="1" t="str">
        <f t="shared" si="8"/>
        <v/>
      </c>
      <c r="J159" s="1" t="str">
        <f t="shared" si="6"/>
        <v/>
      </c>
      <c r="K159" s="1" t="str">
        <f t="shared" si="7"/>
        <v/>
      </c>
    </row>
    <row r="160" spans="4:11" ht="15" customHeight="1">
      <c r="D160" s="6" t="s">
        <v>52</v>
      </c>
      <c r="E160" s="7"/>
      <c r="F160" s="7"/>
      <c r="G160" s="17">
        <v>3</v>
      </c>
      <c r="H160" s="17">
        <v>5</v>
      </c>
      <c r="I160" s="1">
        <f t="shared" si="8"/>
        <v>-2</v>
      </c>
      <c r="J160" s="1">
        <f t="shared" si="6"/>
        <v>0</v>
      </c>
      <c r="K160" s="1">
        <f t="shared" si="7"/>
        <v>4</v>
      </c>
    </row>
    <row r="161" spans="4:11" ht="15.75" thickBot="1">
      <c r="D161" s="8"/>
      <c r="E161" s="9" t="s">
        <v>33</v>
      </c>
      <c r="F161" s="9" t="s">
        <v>2</v>
      </c>
      <c r="G161" s="17"/>
      <c r="H161" s="17"/>
      <c r="I161" s="1" t="str">
        <f t="shared" si="8"/>
        <v/>
      </c>
      <c r="J161" s="1" t="str">
        <f t="shared" si="6"/>
        <v/>
      </c>
      <c r="K161" s="1" t="str">
        <f t="shared" si="7"/>
        <v/>
      </c>
    </row>
    <row r="162" spans="4:11" ht="15" customHeight="1">
      <c r="D162" s="6" t="s">
        <v>52</v>
      </c>
      <c r="E162" s="7"/>
      <c r="F162" s="7"/>
      <c r="G162" s="17">
        <v>4</v>
      </c>
      <c r="H162" s="17">
        <v>3</v>
      </c>
      <c r="I162" s="1">
        <f t="shared" si="8"/>
        <v>1</v>
      </c>
      <c r="J162" s="1">
        <f t="shared" si="6"/>
        <v>0</v>
      </c>
      <c r="K162" s="1">
        <f t="shared" si="7"/>
        <v>1</v>
      </c>
    </row>
    <row r="163" spans="4:11" ht="15.75" thickBot="1">
      <c r="D163" s="8"/>
      <c r="E163" s="9" t="s">
        <v>38</v>
      </c>
      <c r="F163" s="9" t="s">
        <v>36</v>
      </c>
      <c r="G163" s="17"/>
      <c r="H163" s="17"/>
      <c r="I163" s="1" t="str">
        <f t="shared" si="8"/>
        <v/>
      </c>
      <c r="J163" s="1" t="str">
        <f t="shared" si="6"/>
        <v/>
      </c>
      <c r="K163" s="1" t="str">
        <f t="shared" si="7"/>
        <v/>
      </c>
    </row>
    <row r="164" spans="4:11" ht="15" customHeight="1">
      <c r="D164" s="6" t="s">
        <v>52</v>
      </c>
      <c r="E164" s="7"/>
      <c r="F164" s="7"/>
      <c r="G164" s="17">
        <v>5</v>
      </c>
      <c r="H164" s="17">
        <v>2</v>
      </c>
      <c r="I164" s="1">
        <f t="shared" si="8"/>
        <v>3</v>
      </c>
      <c r="J164" s="1">
        <f t="shared" si="6"/>
        <v>0</v>
      </c>
      <c r="K164" s="1">
        <f t="shared" si="7"/>
        <v>9</v>
      </c>
    </row>
    <row r="165" spans="4:11" ht="15.75" thickBot="1">
      <c r="D165" s="8"/>
      <c r="E165" s="9" t="s">
        <v>0</v>
      </c>
      <c r="F165" s="9" t="s">
        <v>41</v>
      </c>
      <c r="G165" s="17"/>
      <c r="H165" s="17"/>
      <c r="I165" s="1" t="str">
        <f t="shared" si="8"/>
        <v/>
      </c>
      <c r="J165" s="1" t="str">
        <f t="shared" si="6"/>
        <v/>
      </c>
      <c r="K165" s="1" t="str">
        <f t="shared" si="7"/>
        <v/>
      </c>
    </row>
    <row r="166" spans="4:11" ht="15" customHeight="1">
      <c r="D166" s="6" t="s">
        <v>52</v>
      </c>
      <c r="E166" s="7"/>
      <c r="F166" s="7"/>
      <c r="G166" s="17">
        <v>1</v>
      </c>
      <c r="H166" s="17">
        <v>2</v>
      </c>
      <c r="I166" s="1">
        <f t="shared" si="8"/>
        <v>-1</v>
      </c>
      <c r="J166" s="1">
        <f t="shared" si="6"/>
        <v>0</v>
      </c>
      <c r="K166" s="1">
        <f t="shared" si="7"/>
        <v>1</v>
      </c>
    </row>
    <row r="167" spans="4:11" ht="15.75" thickBot="1">
      <c r="D167" s="8"/>
      <c r="E167" s="9" t="s">
        <v>13</v>
      </c>
      <c r="F167" s="9" t="s">
        <v>230</v>
      </c>
      <c r="G167" s="17"/>
      <c r="H167" s="17"/>
      <c r="I167" s="1" t="str">
        <f t="shared" si="8"/>
        <v/>
      </c>
      <c r="J167" s="1" t="str">
        <f t="shared" si="6"/>
        <v/>
      </c>
      <c r="K167" s="1" t="str">
        <f t="shared" si="7"/>
        <v/>
      </c>
    </row>
    <row r="168" spans="4:11" ht="15" customHeight="1">
      <c r="D168" s="6" t="s">
        <v>52</v>
      </c>
      <c r="E168" s="7"/>
      <c r="F168" s="7"/>
      <c r="G168" s="17">
        <v>3</v>
      </c>
      <c r="H168" s="17">
        <v>4</v>
      </c>
      <c r="I168" s="1">
        <f t="shared" si="8"/>
        <v>-1</v>
      </c>
      <c r="J168" s="1">
        <f t="shared" si="6"/>
        <v>0</v>
      </c>
      <c r="K168" s="1">
        <f t="shared" si="7"/>
        <v>1</v>
      </c>
    </row>
    <row r="169" spans="4:11" ht="15.75" thickBot="1">
      <c r="D169" s="8"/>
      <c r="E169" s="9" t="s">
        <v>26</v>
      </c>
      <c r="F169" s="9" t="s">
        <v>19</v>
      </c>
      <c r="G169" s="17"/>
      <c r="H169" s="17"/>
      <c r="I169" s="1" t="str">
        <f t="shared" si="8"/>
        <v/>
      </c>
      <c r="J169" s="1" t="str">
        <f t="shared" si="6"/>
        <v/>
      </c>
      <c r="K169" s="1" t="str">
        <f t="shared" si="7"/>
        <v/>
      </c>
    </row>
    <row r="170" spans="4:11" ht="15" customHeight="1">
      <c r="D170" s="6" t="s">
        <v>52</v>
      </c>
      <c r="E170" s="7"/>
      <c r="F170" s="7"/>
      <c r="G170" s="17">
        <v>1</v>
      </c>
      <c r="H170" s="17">
        <v>3</v>
      </c>
      <c r="I170" s="1">
        <f t="shared" si="8"/>
        <v>-2</v>
      </c>
      <c r="J170" s="1">
        <f t="shared" si="6"/>
        <v>0</v>
      </c>
      <c r="K170" s="1">
        <f t="shared" si="7"/>
        <v>4</v>
      </c>
    </row>
    <row r="171" spans="4:11" ht="15.75" thickBot="1">
      <c r="D171" s="8"/>
      <c r="E171" s="9" t="s">
        <v>28</v>
      </c>
      <c r="F171" s="9" t="s">
        <v>25</v>
      </c>
      <c r="G171" s="17"/>
      <c r="H171" s="17"/>
      <c r="I171" s="1" t="str">
        <f t="shared" si="8"/>
        <v/>
      </c>
      <c r="J171" s="1" t="str">
        <f t="shared" si="6"/>
        <v/>
      </c>
      <c r="K171" s="1" t="str">
        <f t="shared" si="7"/>
        <v/>
      </c>
    </row>
    <row r="172" spans="4:11" ht="15" customHeight="1">
      <c r="D172" s="6" t="s">
        <v>52</v>
      </c>
      <c r="E172" s="7"/>
      <c r="F172" s="7"/>
      <c r="G172" s="17">
        <v>0</v>
      </c>
      <c r="H172" s="17">
        <v>4</v>
      </c>
      <c r="I172" s="1">
        <f t="shared" si="8"/>
        <v>-4</v>
      </c>
      <c r="J172" s="1">
        <f t="shared" si="6"/>
        <v>0</v>
      </c>
      <c r="K172" s="1">
        <f t="shared" si="7"/>
        <v>16</v>
      </c>
    </row>
    <row r="173" spans="4:11" ht="15.75" thickBot="1">
      <c r="D173" s="8"/>
      <c r="E173" s="9" t="s">
        <v>1</v>
      </c>
      <c r="F173" s="9" t="s">
        <v>20</v>
      </c>
      <c r="G173" s="17"/>
      <c r="H173" s="17"/>
      <c r="I173" s="1" t="str">
        <f t="shared" si="8"/>
        <v/>
      </c>
      <c r="J173" s="1" t="str">
        <f t="shared" si="6"/>
        <v/>
      </c>
      <c r="K173" s="1" t="str">
        <f t="shared" si="7"/>
        <v/>
      </c>
    </row>
    <row r="174" spans="4:11" ht="15" customHeight="1">
      <c r="D174" s="6" t="s">
        <v>52</v>
      </c>
      <c r="E174" s="7"/>
      <c r="F174" s="7"/>
      <c r="G174" s="17">
        <v>3</v>
      </c>
      <c r="H174" s="17">
        <v>6</v>
      </c>
      <c r="I174" s="1">
        <f t="shared" si="8"/>
        <v>-3</v>
      </c>
      <c r="J174" s="1">
        <f t="shared" si="6"/>
        <v>0</v>
      </c>
      <c r="K174" s="1">
        <f t="shared" si="7"/>
        <v>9</v>
      </c>
    </row>
    <row r="175" spans="4:11" ht="15.75" thickBot="1">
      <c r="D175" s="8"/>
      <c r="E175" s="9" t="s">
        <v>3</v>
      </c>
      <c r="F175" s="9" t="s">
        <v>21</v>
      </c>
      <c r="G175" s="17"/>
      <c r="H175" s="17"/>
      <c r="I175" s="1" t="str">
        <f t="shared" si="8"/>
        <v/>
      </c>
      <c r="J175" s="1" t="str">
        <f t="shared" si="6"/>
        <v/>
      </c>
      <c r="K175" s="1" t="str">
        <f t="shared" si="7"/>
        <v/>
      </c>
    </row>
    <row r="176" spans="4:11" ht="15" customHeight="1">
      <c r="D176" s="6" t="s">
        <v>52</v>
      </c>
      <c r="E176" s="7"/>
      <c r="F176" s="7"/>
      <c r="G176" s="17">
        <v>4</v>
      </c>
      <c r="H176" s="17">
        <v>3</v>
      </c>
      <c r="I176" s="1">
        <f t="shared" si="8"/>
        <v>1</v>
      </c>
      <c r="J176" s="1">
        <f t="shared" si="6"/>
        <v>0</v>
      </c>
      <c r="K176" s="1">
        <f t="shared" si="7"/>
        <v>1</v>
      </c>
    </row>
    <row r="177" spans="4:11" ht="15.75" thickBot="1">
      <c r="D177" s="8"/>
      <c r="E177" s="9" t="s">
        <v>14</v>
      </c>
      <c r="F177" s="9" t="s">
        <v>22</v>
      </c>
      <c r="G177" s="17"/>
      <c r="H177" s="17"/>
      <c r="I177" s="1" t="str">
        <f t="shared" si="8"/>
        <v/>
      </c>
      <c r="J177" s="1" t="str">
        <f t="shared" si="6"/>
        <v/>
      </c>
      <c r="K177" s="1" t="str">
        <f t="shared" si="7"/>
        <v/>
      </c>
    </row>
    <row r="178" spans="4:11" ht="15" customHeight="1">
      <c r="D178" s="6" t="s">
        <v>52</v>
      </c>
      <c r="E178" s="7"/>
      <c r="F178" s="7"/>
      <c r="G178" s="17">
        <v>2</v>
      </c>
      <c r="H178" s="17">
        <v>1</v>
      </c>
      <c r="I178" s="1">
        <f t="shared" si="8"/>
        <v>1</v>
      </c>
      <c r="J178" s="1">
        <f t="shared" si="6"/>
        <v>0</v>
      </c>
      <c r="K178" s="1">
        <f t="shared" si="7"/>
        <v>1</v>
      </c>
    </row>
    <row r="179" spans="4:11" ht="15.75" thickBot="1">
      <c r="D179" s="8"/>
      <c r="E179" s="9" t="s">
        <v>37</v>
      </c>
      <c r="F179" s="9" t="s">
        <v>4</v>
      </c>
      <c r="G179" s="17"/>
      <c r="H179" s="17"/>
      <c r="I179" s="1" t="str">
        <f t="shared" si="8"/>
        <v/>
      </c>
      <c r="J179" s="1" t="str">
        <f t="shared" si="6"/>
        <v/>
      </c>
      <c r="K179" s="1" t="str">
        <f t="shared" si="7"/>
        <v/>
      </c>
    </row>
    <row r="180" spans="4:11" ht="15" customHeight="1">
      <c r="D180" s="6" t="s">
        <v>53</v>
      </c>
      <c r="E180" s="7"/>
      <c r="F180" s="7"/>
      <c r="G180" s="17">
        <v>5</v>
      </c>
      <c r="H180" s="17">
        <v>3</v>
      </c>
      <c r="I180" s="1">
        <f t="shared" si="8"/>
        <v>2</v>
      </c>
      <c r="J180" s="1">
        <f t="shared" si="6"/>
        <v>0</v>
      </c>
      <c r="K180" s="1">
        <f t="shared" si="7"/>
        <v>4</v>
      </c>
    </row>
    <row r="181" spans="4:11" ht="15.75" thickBot="1">
      <c r="D181" s="8"/>
      <c r="E181" s="9" t="s">
        <v>1</v>
      </c>
      <c r="F181" s="9" t="s">
        <v>11</v>
      </c>
      <c r="G181" s="17"/>
      <c r="H181" s="17"/>
      <c r="I181" s="1" t="str">
        <f t="shared" si="8"/>
        <v/>
      </c>
      <c r="J181" s="1" t="str">
        <f t="shared" si="6"/>
        <v/>
      </c>
      <c r="K181" s="1" t="str">
        <f t="shared" si="7"/>
        <v/>
      </c>
    </row>
    <row r="182" spans="4:11" ht="15" customHeight="1">
      <c r="D182" s="6" t="s">
        <v>53</v>
      </c>
      <c r="E182" s="7"/>
      <c r="F182" s="7"/>
      <c r="G182" s="17">
        <v>2</v>
      </c>
      <c r="H182" s="17">
        <v>3</v>
      </c>
      <c r="I182" s="1">
        <f t="shared" si="8"/>
        <v>-1</v>
      </c>
      <c r="J182" s="1">
        <f t="shared" si="6"/>
        <v>0</v>
      </c>
      <c r="K182" s="1">
        <f t="shared" si="7"/>
        <v>1</v>
      </c>
    </row>
    <row r="183" spans="4:11" ht="15.75" thickBot="1">
      <c r="D183" s="8"/>
      <c r="E183" s="9" t="s">
        <v>12</v>
      </c>
      <c r="F183" s="9" t="s">
        <v>24</v>
      </c>
      <c r="G183" s="17"/>
      <c r="H183" s="17"/>
      <c r="I183" s="1" t="str">
        <f t="shared" si="8"/>
        <v/>
      </c>
      <c r="J183" s="1" t="str">
        <f t="shared" si="6"/>
        <v/>
      </c>
      <c r="K183" s="1" t="str">
        <f t="shared" si="7"/>
        <v/>
      </c>
    </row>
    <row r="184" spans="4:11" ht="15" customHeight="1">
      <c r="D184" s="6" t="s">
        <v>53</v>
      </c>
      <c r="E184" s="7"/>
      <c r="F184" s="7"/>
      <c r="G184" s="17">
        <v>1</v>
      </c>
      <c r="H184" s="17">
        <v>4</v>
      </c>
      <c r="I184" s="1">
        <f t="shared" si="8"/>
        <v>-3</v>
      </c>
      <c r="J184" s="1">
        <f t="shared" si="6"/>
        <v>-2550</v>
      </c>
      <c r="K184" s="1">
        <f t="shared" si="7"/>
        <v>6487209</v>
      </c>
    </row>
    <row r="185" spans="4:11" ht="15.75" thickBot="1">
      <c r="D185" s="8"/>
      <c r="E185" s="9" t="s">
        <v>8</v>
      </c>
      <c r="F185" s="9" t="s">
        <v>10</v>
      </c>
      <c r="G185" s="17"/>
      <c r="H185" s="17"/>
      <c r="I185" s="1" t="str">
        <f t="shared" si="8"/>
        <v/>
      </c>
      <c r="J185" s="1" t="str">
        <f t="shared" si="6"/>
        <v/>
      </c>
      <c r="K185" s="1" t="str">
        <f t="shared" si="7"/>
        <v/>
      </c>
    </row>
    <row r="186" spans="4:11" ht="15" customHeight="1">
      <c r="D186" s="6" t="s">
        <v>54</v>
      </c>
      <c r="E186" s="7"/>
      <c r="F186" s="7"/>
      <c r="G186" s="17">
        <v>3</v>
      </c>
      <c r="H186" s="17">
        <v>2</v>
      </c>
      <c r="I186" s="1">
        <f t="shared" si="8"/>
        <v>1</v>
      </c>
      <c r="J186" s="1">
        <f t="shared" si="6"/>
        <v>0</v>
      </c>
      <c r="K186" s="1">
        <f t="shared" si="7"/>
        <v>1</v>
      </c>
    </row>
    <row r="187" spans="4:11" ht="15.75" thickBot="1">
      <c r="D187" s="8"/>
      <c r="E187" s="9" t="s">
        <v>41</v>
      </c>
      <c r="F187" s="9" t="s">
        <v>2</v>
      </c>
      <c r="G187" s="17"/>
      <c r="H187" s="17"/>
      <c r="I187" s="1" t="str">
        <f t="shared" si="8"/>
        <v/>
      </c>
      <c r="J187" s="1" t="str">
        <f t="shared" si="6"/>
        <v/>
      </c>
      <c r="K187" s="1" t="str">
        <f t="shared" si="7"/>
        <v/>
      </c>
    </row>
    <row r="188" spans="4:11" ht="15" customHeight="1">
      <c r="D188" s="6" t="s">
        <v>54</v>
      </c>
      <c r="E188" s="7"/>
      <c r="F188" s="7"/>
      <c r="G188" s="17">
        <v>3</v>
      </c>
      <c r="H188" s="17">
        <v>4</v>
      </c>
      <c r="I188" s="1">
        <f t="shared" si="8"/>
        <v>-1</v>
      </c>
      <c r="J188" s="1">
        <f t="shared" si="6"/>
        <v>0</v>
      </c>
      <c r="K188" s="1">
        <f t="shared" si="7"/>
        <v>1</v>
      </c>
    </row>
    <row r="189" spans="4:11" ht="15.75" thickBot="1">
      <c r="D189" s="8"/>
      <c r="E189" s="9" t="s">
        <v>11</v>
      </c>
      <c r="F189" s="9" t="s">
        <v>13</v>
      </c>
      <c r="G189" s="17"/>
      <c r="H189" s="17"/>
      <c r="I189" s="1" t="str">
        <f t="shared" si="8"/>
        <v/>
      </c>
      <c r="J189" s="1" t="str">
        <f t="shared" si="6"/>
        <v/>
      </c>
      <c r="K189" s="1" t="str">
        <f t="shared" si="7"/>
        <v/>
      </c>
    </row>
    <row r="190" spans="4:11" ht="15" customHeight="1">
      <c r="D190" s="6" t="s">
        <v>54</v>
      </c>
      <c r="E190" s="7"/>
      <c r="F190" s="7"/>
      <c r="G190" s="17">
        <v>4</v>
      </c>
      <c r="H190" s="17">
        <v>1</v>
      </c>
      <c r="I190" s="1">
        <f t="shared" si="8"/>
        <v>3</v>
      </c>
      <c r="J190" s="1">
        <f t="shared" si="6"/>
        <v>0</v>
      </c>
      <c r="K190" s="1">
        <f t="shared" si="7"/>
        <v>9</v>
      </c>
    </row>
    <row r="191" spans="4:11" ht="15.75" thickBot="1">
      <c r="D191" s="8"/>
      <c r="E191" s="9" t="s">
        <v>3</v>
      </c>
      <c r="F191" s="9" t="s">
        <v>39</v>
      </c>
      <c r="G191" s="17"/>
      <c r="H191" s="17"/>
      <c r="I191" s="1" t="str">
        <f t="shared" si="8"/>
        <v/>
      </c>
      <c r="J191" s="1" t="str">
        <f t="shared" si="6"/>
        <v/>
      </c>
      <c r="K191" s="1" t="str">
        <f t="shared" si="7"/>
        <v/>
      </c>
    </row>
    <row r="192" spans="4:11" ht="15" customHeight="1">
      <c r="D192" s="6" t="s">
        <v>54</v>
      </c>
      <c r="E192" s="7"/>
      <c r="F192" s="7"/>
      <c r="G192" s="17">
        <v>2</v>
      </c>
      <c r="H192" s="17">
        <v>3</v>
      </c>
      <c r="I192" s="1">
        <f t="shared" si="8"/>
        <v>-1</v>
      </c>
      <c r="J192" s="1">
        <f t="shared" si="6"/>
        <v>0</v>
      </c>
      <c r="K192" s="1">
        <f t="shared" si="7"/>
        <v>1</v>
      </c>
    </row>
    <row r="193" spans="4:11" ht="15.75" thickBot="1">
      <c r="D193" s="8"/>
      <c r="E193" s="9" t="s">
        <v>20</v>
      </c>
      <c r="F193" s="9" t="s">
        <v>19</v>
      </c>
      <c r="G193" s="17"/>
      <c r="H193" s="17"/>
      <c r="I193" s="1" t="str">
        <f t="shared" si="8"/>
        <v/>
      </c>
      <c r="J193" s="1" t="str">
        <f t="shared" si="6"/>
        <v/>
      </c>
      <c r="K193" s="1" t="str">
        <f t="shared" si="7"/>
        <v/>
      </c>
    </row>
    <row r="194" spans="4:11" ht="15" customHeight="1">
      <c r="D194" s="6" t="s">
        <v>54</v>
      </c>
      <c r="E194" s="7"/>
      <c r="F194" s="7"/>
      <c r="G194" s="17">
        <v>0</v>
      </c>
      <c r="H194" s="17">
        <v>2</v>
      </c>
      <c r="I194" s="1">
        <f t="shared" si="8"/>
        <v>-2</v>
      </c>
      <c r="J194" s="1">
        <f t="shared" si="6"/>
        <v>0</v>
      </c>
      <c r="K194" s="1">
        <f t="shared" si="7"/>
        <v>4</v>
      </c>
    </row>
    <row r="195" spans="4:11" ht="15.75" thickBot="1">
      <c r="D195" s="8"/>
      <c r="E195" s="9" t="s">
        <v>26</v>
      </c>
      <c r="F195" s="9" t="s">
        <v>23</v>
      </c>
      <c r="G195" s="17"/>
      <c r="H195" s="17"/>
      <c r="I195" s="1" t="str">
        <f t="shared" si="8"/>
        <v/>
      </c>
      <c r="J195" s="1" t="str">
        <f t="shared" ref="J195:J258" si="9">IF(F196="","",VLOOKUP(F196,$A$2:$B$31,2)+$B$33-VLOOKUP(E196,$A$2:$B$31,2))</f>
        <v/>
      </c>
      <c r="K195" s="1" t="str">
        <f t="shared" ref="K195:K258" si="10">IF(G195="","",(I195-J195)^2)</f>
        <v/>
      </c>
    </row>
    <row r="196" spans="4:11" ht="15" customHeight="1">
      <c r="D196" s="6" t="s">
        <v>54</v>
      </c>
      <c r="E196" s="7"/>
      <c r="F196" s="7"/>
      <c r="G196" s="17">
        <v>0</v>
      </c>
      <c r="H196" s="17">
        <v>5</v>
      </c>
      <c r="I196" s="1">
        <f t="shared" ref="I196:I259" si="11">IF(G196="","",G196-H196)</f>
        <v>-5</v>
      </c>
      <c r="J196" s="1">
        <f t="shared" si="9"/>
        <v>0</v>
      </c>
      <c r="K196" s="1">
        <f t="shared" si="10"/>
        <v>25</v>
      </c>
    </row>
    <row r="197" spans="4:11" ht="15.75" thickBot="1">
      <c r="D197" s="8"/>
      <c r="E197" s="9" t="s">
        <v>28</v>
      </c>
      <c r="F197" s="9" t="s">
        <v>4</v>
      </c>
      <c r="G197" s="17"/>
      <c r="H197" s="17"/>
      <c r="I197" s="1" t="str">
        <f t="shared" si="11"/>
        <v/>
      </c>
      <c r="J197" s="1" t="str">
        <f t="shared" si="9"/>
        <v/>
      </c>
      <c r="K197" s="1" t="str">
        <f t="shared" si="10"/>
        <v/>
      </c>
    </row>
    <row r="198" spans="4:11" ht="15" customHeight="1">
      <c r="D198" s="6" t="s">
        <v>54</v>
      </c>
      <c r="E198" s="7"/>
      <c r="F198" s="7"/>
      <c r="G198" s="17">
        <v>0</v>
      </c>
      <c r="H198" s="17">
        <v>2</v>
      </c>
      <c r="I198" s="1">
        <f t="shared" si="11"/>
        <v>-2</v>
      </c>
      <c r="J198" s="1">
        <f t="shared" si="9"/>
        <v>-2550</v>
      </c>
      <c r="K198" s="1">
        <f t="shared" si="10"/>
        <v>6492304</v>
      </c>
    </row>
    <row r="199" spans="4:11" ht="15.75" thickBot="1">
      <c r="D199" s="8"/>
      <c r="E199" s="9" t="s">
        <v>8</v>
      </c>
      <c r="F199" s="9" t="s">
        <v>34</v>
      </c>
      <c r="G199" s="17"/>
      <c r="H199" s="17"/>
      <c r="I199" s="1" t="str">
        <f t="shared" si="11"/>
        <v/>
      </c>
      <c r="J199" s="1" t="str">
        <f t="shared" si="9"/>
        <v/>
      </c>
      <c r="K199" s="1" t="str">
        <f t="shared" si="10"/>
        <v/>
      </c>
    </row>
    <row r="200" spans="4:11" ht="15" customHeight="1">
      <c r="D200" s="6" t="s">
        <v>54</v>
      </c>
      <c r="E200" s="7"/>
      <c r="F200" s="7"/>
      <c r="G200" s="17">
        <v>5</v>
      </c>
      <c r="H200" s="17">
        <v>4</v>
      </c>
      <c r="I200" s="1">
        <f t="shared" si="11"/>
        <v>1</v>
      </c>
      <c r="J200" s="1">
        <f t="shared" si="9"/>
        <v>0</v>
      </c>
      <c r="K200" s="1">
        <f t="shared" si="10"/>
        <v>1</v>
      </c>
    </row>
    <row r="201" spans="4:11" ht="15.75" thickBot="1">
      <c r="D201" s="8"/>
      <c r="E201" s="9" t="s">
        <v>7</v>
      </c>
      <c r="F201" s="9" t="s">
        <v>33</v>
      </c>
      <c r="G201" s="17"/>
      <c r="H201" s="17"/>
      <c r="I201" s="1" t="str">
        <f t="shared" si="11"/>
        <v/>
      </c>
      <c r="J201" s="1" t="str">
        <f t="shared" si="9"/>
        <v/>
      </c>
      <c r="K201" s="1" t="str">
        <f t="shared" si="10"/>
        <v/>
      </c>
    </row>
    <row r="202" spans="4:11" ht="15" customHeight="1">
      <c r="D202" s="6" t="s">
        <v>55</v>
      </c>
      <c r="E202" s="7"/>
      <c r="F202" s="7"/>
      <c r="G202" s="17">
        <v>3</v>
      </c>
      <c r="H202" s="17">
        <v>2</v>
      </c>
      <c r="I202" s="1">
        <f t="shared" si="11"/>
        <v>1</v>
      </c>
      <c r="J202" s="1">
        <f t="shared" si="9"/>
        <v>0</v>
      </c>
      <c r="K202" s="1">
        <f t="shared" si="10"/>
        <v>1</v>
      </c>
    </row>
    <row r="203" spans="4:11" ht="15.75" thickBot="1">
      <c r="D203" s="8"/>
      <c r="E203" s="9" t="s">
        <v>21</v>
      </c>
      <c r="F203" s="9" t="s">
        <v>36</v>
      </c>
      <c r="G203" s="17"/>
      <c r="H203" s="17"/>
      <c r="I203" s="1" t="str">
        <f t="shared" si="11"/>
        <v/>
      </c>
      <c r="J203" s="1" t="str">
        <f t="shared" si="9"/>
        <v/>
      </c>
      <c r="K203" s="1" t="str">
        <f t="shared" si="10"/>
        <v/>
      </c>
    </row>
    <row r="204" spans="4:11" ht="15" customHeight="1">
      <c r="D204" s="6" t="s">
        <v>55</v>
      </c>
      <c r="E204" s="7"/>
      <c r="F204" s="7"/>
      <c r="G204" s="17">
        <v>4</v>
      </c>
      <c r="H204" s="17">
        <v>2</v>
      </c>
      <c r="I204" s="1">
        <f t="shared" si="11"/>
        <v>2</v>
      </c>
      <c r="J204" s="1">
        <f t="shared" si="9"/>
        <v>0</v>
      </c>
      <c r="K204" s="1">
        <f t="shared" si="10"/>
        <v>4</v>
      </c>
    </row>
    <row r="205" spans="4:11" ht="15.75" thickBot="1">
      <c r="D205" s="8"/>
      <c r="E205" s="9" t="s">
        <v>37</v>
      </c>
      <c r="F205" s="9" t="s">
        <v>25</v>
      </c>
      <c r="G205" s="17"/>
      <c r="H205" s="17"/>
      <c r="I205" s="1" t="str">
        <f t="shared" si="11"/>
        <v/>
      </c>
      <c r="J205" s="1" t="str">
        <f t="shared" si="9"/>
        <v/>
      </c>
      <c r="K205" s="1" t="str">
        <f t="shared" si="10"/>
        <v/>
      </c>
    </row>
    <row r="206" spans="4:11" ht="15" customHeight="1">
      <c r="D206" s="6" t="s">
        <v>55</v>
      </c>
      <c r="E206" s="7"/>
      <c r="F206" s="7"/>
      <c r="G206" s="17">
        <v>3</v>
      </c>
      <c r="H206" s="17">
        <v>7</v>
      </c>
      <c r="I206" s="1">
        <f t="shared" si="11"/>
        <v>-4</v>
      </c>
      <c r="J206" s="1">
        <f t="shared" si="9"/>
        <v>0</v>
      </c>
      <c r="K206" s="1">
        <f t="shared" si="10"/>
        <v>16</v>
      </c>
    </row>
    <row r="207" spans="4:11" ht="15.75" thickBot="1">
      <c r="D207" s="8"/>
      <c r="E207" s="9" t="s">
        <v>3</v>
      </c>
      <c r="F207" s="9" t="s">
        <v>22</v>
      </c>
      <c r="G207" s="17"/>
      <c r="H207" s="17"/>
      <c r="I207" s="1" t="str">
        <f t="shared" si="11"/>
        <v/>
      </c>
      <c r="J207" s="1" t="str">
        <f t="shared" si="9"/>
        <v/>
      </c>
      <c r="K207" s="1" t="str">
        <f t="shared" si="10"/>
        <v/>
      </c>
    </row>
    <row r="208" spans="4:11" ht="15" customHeight="1">
      <c r="D208" s="6" t="s">
        <v>55</v>
      </c>
      <c r="E208" s="7"/>
      <c r="F208" s="7"/>
      <c r="G208" s="17">
        <v>3</v>
      </c>
      <c r="H208" s="17">
        <v>6</v>
      </c>
      <c r="I208" s="1">
        <f t="shared" si="11"/>
        <v>-3</v>
      </c>
      <c r="J208" s="1">
        <f t="shared" si="9"/>
        <v>0</v>
      </c>
      <c r="K208" s="1">
        <f t="shared" si="10"/>
        <v>9</v>
      </c>
    </row>
    <row r="209" spans="4:11" ht="15.75" thickBot="1">
      <c r="D209" s="8"/>
      <c r="E209" s="9" t="s">
        <v>28</v>
      </c>
      <c r="F209" s="9" t="s">
        <v>24</v>
      </c>
      <c r="G209" s="17"/>
      <c r="H209" s="17"/>
      <c r="I209" s="1" t="str">
        <f t="shared" si="11"/>
        <v/>
      </c>
      <c r="J209" s="1" t="str">
        <f t="shared" si="9"/>
        <v/>
      </c>
      <c r="K209" s="1" t="str">
        <f t="shared" si="10"/>
        <v/>
      </c>
    </row>
    <row r="210" spans="4:11" ht="15" customHeight="1">
      <c r="D210" s="6" t="s">
        <v>55</v>
      </c>
      <c r="E210" s="7"/>
      <c r="F210" s="7"/>
      <c r="G210" s="17">
        <v>1</v>
      </c>
      <c r="H210" s="17">
        <v>4</v>
      </c>
      <c r="I210" s="1">
        <f t="shared" si="11"/>
        <v>-3</v>
      </c>
      <c r="J210" s="1">
        <f t="shared" si="9"/>
        <v>0</v>
      </c>
      <c r="K210" s="1">
        <f t="shared" si="10"/>
        <v>9</v>
      </c>
    </row>
    <row r="211" spans="4:11" ht="15.75" thickBot="1">
      <c r="D211" s="8"/>
      <c r="E211" s="9" t="s">
        <v>7</v>
      </c>
      <c r="F211" s="9" t="s">
        <v>10</v>
      </c>
      <c r="G211" s="17"/>
      <c r="H211" s="17"/>
      <c r="I211" s="1" t="str">
        <f t="shared" si="11"/>
        <v/>
      </c>
      <c r="J211" s="1" t="str">
        <f t="shared" si="9"/>
        <v/>
      </c>
      <c r="K211" s="1" t="str">
        <f t="shared" si="10"/>
        <v/>
      </c>
    </row>
    <row r="212" spans="4:11" ht="15" customHeight="1">
      <c r="D212" s="6" t="s">
        <v>56</v>
      </c>
      <c r="E212" s="7"/>
      <c r="F212" s="7"/>
      <c r="G212" s="17">
        <v>2</v>
      </c>
      <c r="H212" s="17">
        <v>1</v>
      </c>
      <c r="I212" s="1">
        <f t="shared" si="11"/>
        <v>1</v>
      </c>
      <c r="J212" s="1">
        <f t="shared" si="9"/>
        <v>-2550</v>
      </c>
      <c r="K212" s="1">
        <f t="shared" si="10"/>
        <v>6507601</v>
      </c>
    </row>
    <row r="213" spans="4:11" ht="15.75" thickBot="1">
      <c r="D213" s="8"/>
      <c r="E213" s="9" t="s">
        <v>8</v>
      </c>
      <c r="F213" s="9" t="s">
        <v>33</v>
      </c>
      <c r="G213" s="17"/>
      <c r="H213" s="17"/>
      <c r="I213" s="1" t="str">
        <f t="shared" si="11"/>
        <v/>
      </c>
      <c r="J213" s="1" t="str">
        <f t="shared" si="9"/>
        <v/>
      </c>
      <c r="K213" s="1" t="str">
        <f t="shared" si="10"/>
        <v/>
      </c>
    </row>
    <row r="214" spans="4:11" ht="15" customHeight="1">
      <c r="D214" s="6" t="s">
        <v>56</v>
      </c>
      <c r="E214" s="7"/>
      <c r="F214" s="7"/>
      <c r="G214" s="17">
        <v>4</v>
      </c>
      <c r="H214" s="17">
        <v>1</v>
      </c>
      <c r="I214" s="1">
        <f t="shared" si="11"/>
        <v>3</v>
      </c>
      <c r="J214" s="1">
        <f t="shared" si="9"/>
        <v>0</v>
      </c>
      <c r="K214" s="1">
        <f t="shared" si="10"/>
        <v>9</v>
      </c>
    </row>
    <row r="215" spans="4:11" ht="15.75" thickBot="1">
      <c r="D215" s="8"/>
      <c r="E215" s="9" t="s">
        <v>2</v>
      </c>
      <c r="F215" s="9" t="s">
        <v>0</v>
      </c>
      <c r="G215" s="17"/>
      <c r="H215" s="17"/>
      <c r="I215" s="1" t="str">
        <f t="shared" si="11"/>
        <v/>
      </c>
      <c r="J215" s="1" t="str">
        <f t="shared" si="9"/>
        <v/>
      </c>
      <c r="K215" s="1" t="str">
        <f t="shared" si="10"/>
        <v/>
      </c>
    </row>
    <row r="216" spans="4:11" ht="15" customHeight="1">
      <c r="D216" s="6" t="s">
        <v>56</v>
      </c>
      <c r="E216" s="7"/>
      <c r="F216" s="7"/>
      <c r="G216" s="17">
        <v>1</v>
      </c>
      <c r="H216" s="17">
        <v>3</v>
      </c>
      <c r="I216" s="1">
        <f t="shared" si="11"/>
        <v>-2</v>
      </c>
      <c r="J216" s="1">
        <f t="shared" si="9"/>
        <v>0</v>
      </c>
      <c r="K216" s="1">
        <f t="shared" si="10"/>
        <v>4</v>
      </c>
    </row>
    <row r="217" spans="4:11" ht="15.75" thickBot="1">
      <c r="D217" s="8"/>
      <c r="E217" s="9" t="s">
        <v>38</v>
      </c>
      <c r="F217" s="9" t="s">
        <v>230</v>
      </c>
      <c r="G217" s="17"/>
      <c r="H217" s="17"/>
      <c r="I217" s="1" t="str">
        <f t="shared" si="11"/>
        <v/>
      </c>
      <c r="J217" s="1" t="str">
        <f t="shared" si="9"/>
        <v/>
      </c>
      <c r="K217" s="1" t="str">
        <f t="shared" si="10"/>
        <v/>
      </c>
    </row>
    <row r="218" spans="4:11" ht="15" customHeight="1">
      <c r="D218" s="6" t="s">
        <v>56</v>
      </c>
      <c r="E218" s="7"/>
      <c r="F218" s="7"/>
      <c r="G218" s="17">
        <v>3</v>
      </c>
      <c r="H218" s="17">
        <v>2</v>
      </c>
      <c r="I218" s="1">
        <f t="shared" si="11"/>
        <v>1</v>
      </c>
      <c r="J218" s="1">
        <f t="shared" si="9"/>
        <v>0</v>
      </c>
      <c r="K218" s="1">
        <f t="shared" si="10"/>
        <v>1</v>
      </c>
    </row>
    <row r="219" spans="4:11" ht="15.75" thickBot="1">
      <c r="D219" s="8"/>
      <c r="E219" s="9" t="s">
        <v>36</v>
      </c>
      <c r="F219" s="9" t="s">
        <v>18</v>
      </c>
      <c r="G219" s="17"/>
      <c r="H219" s="17"/>
      <c r="I219" s="1" t="str">
        <f t="shared" si="11"/>
        <v/>
      </c>
      <c r="J219" s="1" t="str">
        <f t="shared" si="9"/>
        <v/>
      </c>
      <c r="K219" s="1" t="str">
        <f t="shared" si="10"/>
        <v/>
      </c>
    </row>
    <row r="220" spans="4:11" ht="15" customHeight="1">
      <c r="D220" s="6" t="s">
        <v>56</v>
      </c>
      <c r="E220" s="7"/>
      <c r="F220" s="7"/>
      <c r="G220" s="17">
        <v>5</v>
      </c>
      <c r="H220" s="17">
        <v>7</v>
      </c>
      <c r="I220" s="1">
        <f t="shared" si="11"/>
        <v>-2</v>
      </c>
      <c r="J220" s="1">
        <f t="shared" si="9"/>
        <v>0</v>
      </c>
      <c r="K220" s="1">
        <f t="shared" si="10"/>
        <v>4</v>
      </c>
    </row>
    <row r="221" spans="4:11" ht="15.75" thickBot="1">
      <c r="D221" s="8"/>
      <c r="E221" s="9" t="s">
        <v>21</v>
      </c>
      <c r="F221" s="9" t="s">
        <v>41</v>
      </c>
      <c r="G221" s="17"/>
      <c r="H221" s="17"/>
      <c r="I221" s="1" t="str">
        <f t="shared" si="11"/>
        <v/>
      </c>
      <c r="J221" s="1" t="str">
        <f t="shared" si="9"/>
        <v/>
      </c>
      <c r="K221" s="1" t="str">
        <f t="shared" si="10"/>
        <v/>
      </c>
    </row>
    <row r="222" spans="4:11" ht="15" customHeight="1">
      <c r="D222" s="6" t="s">
        <v>56</v>
      </c>
      <c r="E222" s="7"/>
      <c r="F222" s="7"/>
      <c r="G222" s="17">
        <v>2</v>
      </c>
      <c r="H222" s="17">
        <v>4</v>
      </c>
      <c r="I222" s="1">
        <f t="shared" si="11"/>
        <v>-2</v>
      </c>
      <c r="J222" s="1">
        <f t="shared" si="9"/>
        <v>0</v>
      </c>
      <c r="K222" s="1">
        <f t="shared" si="10"/>
        <v>4</v>
      </c>
    </row>
    <row r="223" spans="4:11" ht="30.75" thickBot="1">
      <c r="D223" s="8"/>
      <c r="E223" s="9" t="s">
        <v>13</v>
      </c>
      <c r="F223" s="9" t="s">
        <v>1</v>
      </c>
      <c r="G223" s="17"/>
      <c r="H223" s="17"/>
      <c r="I223" s="1" t="str">
        <f t="shared" si="11"/>
        <v/>
      </c>
      <c r="J223" s="1" t="str">
        <f t="shared" si="9"/>
        <v/>
      </c>
      <c r="K223" s="1" t="str">
        <f t="shared" si="10"/>
        <v/>
      </c>
    </row>
    <row r="224" spans="4:11" ht="18" customHeight="1">
      <c r="D224" s="6" t="s">
        <v>56</v>
      </c>
      <c r="E224" s="7"/>
      <c r="F224" s="7"/>
      <c r="G224" s="17">
        <v>2</v>
      </c>
      <c r="H224" s="17">
        <v>3</v>
      </c>
      <c r="I224" s="1">
        <f t="shared" si="11"/>
        <v>-1</v>
      </c>
      <c r="J224" s="1">
        <f t="shared" si="9"/>
        <v>0</v>
      </c>
      <c r="K224" s="1">
        <f t="shared" si="10"/>
        <v>1</v>
      </c>
    </row>
    <row r="225" spans="4:11" ht="15.75" thickBot="1">
      <c r="D225" s="8"/>
      <c r="E225" s="9" t="s">
        <v>20</v>
      </c>
      <c r="F225" s="9" t="s">
        <v>39</v>
      </c>
      <c r="G225" s="17"/>
      <c r="H225" s="17"/>
      <c r="I225" s="1" t="str">
        <f t="shared" si="11"/>
        <v/>
      </c>
      <c r="J225" s="1" t="str">
        <f t="shared" si="9"/>
        <v/>
      </c>
      <c r="K225" s="1" t="str">
        <f t="shared" si="10"/>
        <v/>
      </c>
    </row>
    <row r="226" spans="4:11" ht="15" customHeight="1">
      <c r="D226" s="6" t="s">
        <v>56</v>
      </c>
      <c r="E226" s="7"/>
      <c r="F226" s="7"/>
      <c r="G226" s="17">
        <v>3</v>
      </c>
      <c r="H226" s="17">
        <v>0</v>
      </c>
      <c r="I226" s="1">
        <f t="shared" si="11"/>
        <v>3</v>
      </c>
      <c r="J226" s="1">
        <f t="shared" si="9"/>
        <v>0</v>
      </c>
      <c r="K226" s="1">
        <f t="shared" si="10"/>
        <v>9</v>
      </c>
    </row>
    <row r="227" spans="4:11" ht="15.75" thickBot="1">
      <c r="D227" s="8"/>
      <c r="E227" s="9" t="s">
        <v>11</v>
      </c>
      <c r="F227" s="9" t="s">
        <v>19</v>
      </c>
      <c r="G227" s="17"/>
      <c r="H227" s="17"/>
      <c r="I227" s="1" t="str">
        <f t="shared" si="11"/>
        <v/>
      </c>
      <c r="J227" s="1" t="str">
        <f t="shared" si="9"/>
        <v/>
      </c>
      <c r="K227" s="1" t="str">
        <f t="shared" si="10"/>
        <v/>
      </c>
    </row>
    <row r="228" spans="4:11" ht="15" customHeight="1">
      <c r="D228" s="6" t="s">
        <v>56</v>
      </c>
      <c r="E228" s="7"/>
      <c r="F228" s="7"/>
      <c r="G228" s="17">
        <v>2</v>
      </c>
      <c r="H228" s="17">
        <v>7</v>
      </c>
      <c r="I228" s="1">
        <f t="shared" si="11"/>
        <v>-5</v>
      </c>
      <c r="J228" s="1">
        <f t="shared" si="9"/>
        <v>0</v>
      </c>
      <c r="K228" s="1">
        <f t="shared" si="10"/>
        <v>25</v>
      </c>
    </row>
    <row r="229" spans="4:11" ht="15.75" thickBot="1">
      <c r="D229" s="8"/>
      <c r="E229" s="9" t="s">
        <v>37</v>
      </c>
      <c r="F229" s="9" t="s">
        <v>23</v>
      </c>
      <c r="G229" s="17"/>
      <c r="H229" s="17"/>
      <c r="I229" s="1" t="str">
        <f t="shared" si="11"/>
        <v/>
      </c>
      <c r="J229" s="1" t="str">
        <f t="shared" si="9"/>
        <v/>
      </c>
      <c r="K229" s="1" t="str">
        <f t="shared" si="10"/>
        <v/>
      </c>
    </row>
    <row r="230" spans="4:11" ht="18" customHeight="1">
      <c r="D230" s="6" t="s">
        <v>56</v>
      </c>
      <c r="E230" s="7"/>
      <c r="F230" s="7"/>
      <c r="G230" s="17">
        <v>1</v>
      </c>
      <c r="H230" s="17">
        <v>2</v>
      </c>
      <c r="I230" s="1">
        <f t="shared" si="11"/>
        <v>-1</v>
      </c>
      <c r="J230" s="1">
        <f t="shared" si="9"/>
        <v>0</v>
      </c>
      <c r="K230" s="1">
        <f t="shared" si="10"/>
        <v>1</v>
      </c>
    </row>
    <row r="231" spans="4:11" ht="15.75" thickBot="1">
      <c r="D231" s="8"/>
      <c r="E231" s="9" t="s">
        <v>14</v>
      </c>
      <c r="F231" s="9" t="s">
        <v>26</v>
      </c>
      <c r="G231" s="17"/>
      <c r="H231" s="17"/>
      <c r="I231" s="1" t="str">
        <f t="shared" si="11"/>
        <v/>
      </c>
      <c r="J231" s="1" t="str">
        <f t="shared" si="9"/>
        <v/>
      </c>
      <c r="K231" s="1" t="str">
        <f t="shared" si="10"/>
        <v/>
      </c>
    </row>
    <row r="232" spans="4:11" ht="15" customHeight="1">
      <c r="D232" s="6" t="s">
        <v>56</v>
      </c>
      <c r="E232" s="7"/>
      <c r="F232" s="7"/>
      <c r="G232" s="17">
        <v>3</v>
      </c>
      <c r="H232" s="17">
        <v>1</v>
      </c>
      <c r="I232" s="1">
        <f t="shared" si="11"/>
        <v>2</v>
      </c>
      <c r="J232" s="1">
        <f t="shared" si="9"/>
        <v>0</v>
      </c>
      <c r="K232" s="1">
        <f t="shared" si="10"/>
        <v>4</v>
      </c>
    </row>
    <row r="233" spans="4:11" ht="15.75" thickBot="1">
      <c r="D233" s="8"/>
      <c r="E233" s="9" t="s">
        <v>12</v>
      </c>
      <c r="F233" s="9" t="s">
        <v>4</v>
      </c>
      <c r="G233" s="17"/>
      <c r="H233" s="17"/>
      <c r="I233" s="1" t="str">
        <f t="shared" si="11"/>
        <v/>
      </c>
      <c r="J233" s="1" t="str">
        <f t="shared" si="9"/>
        <v/>
      </c>
      <c r="K233" s="1" t="str">
        <f t="shared" si="10"/>
        <v/>
      </c>
    </row>
    <row r="234" spans="4:11" ht="15" customHeight="1">
      <c r="D234" s="6" t="s">
        <v>57</v>
      </c>
      <c r="E234" s="7"/>
      <c r="F234" s="7"/>
      <c r="G234" s="17">
        <v>1</v>
      </c>
      <c r="H234" s="17">
        <v>2</v>
      </c>
      <c r="I234" s="1">
        <f t="shared" si="11"/>
        <v>-1</v>
      </c>
      <c r="J234" s="1">
        <f t="shared" si="9"/>
        <v>0</v>
      </c>
      <c r="K234" s="1">
        <f t="shared" si="10"/>
        <v>1</v>
      </c>
    </row>
    <row r="235" spans="4:11" ht="15.75" thickBot="1">
      <c r="D235" s="8"/>
      <c r="E235" s="9" t="s">
        <v>22</v>
      </c>
      <c r="F235" s="9" t="s">
        <v>25</v>
      </c>
      <c r="G235" s="17"/>
      <c r="H235" s="17"/>
      <c r="I235" s="1" t="str">
        <f t="shared" si="11"/>
        <v/>
      </c>
      <c r="J235" s="1" t="str">
        <f t="shared" si="9"/>
        <v/>
      </c>
      <c r="K235" s="1" t="str">
        <f t="shared" si="10"/>
        <v/>
      </c>
    </row>
    <row r="236" spans="4:11" ht="15" customHeight="1">
      <c r="D236" s="6" t="s">
        <v>57</v>
      </c>
      <c r="E236" s="7"/>
      <c r="F236" s="7"/>
      <c r="G236" s="17">
        <v>2</v>
      </c>
      <c r="H236" s="17">
        <v>5</v>
      </c>
      <c r="I236" s="1">
        <f t="shared" si="11"/>
        <v>-3</v>
      </c>
      <c r="J236" s="1">
        <f t="shared" si="9"/>
        <v>0</v>
      </c>
      <c r="K236" s="1">
        <f t="shared" si="10"/>
        <v>9</v>
      </c>
    </row>
    <row r="237" spans="4:11" ht="15.75" thickBot="1">
      <c r="D237" s="8"/>
      <c r="E237" s="9" t="s">
        <v>7</v>
      </c>
      <c r="F237" s="9" t="s">
        <v>34</v>
      </c>
      <c r="G237" s="17"/>
      <c r="H237" s="17"/>
      <c r="I237" s="1" t="str">
        <f t="shared" si="11"/>
        <v/>
      </c>
      <c r="J237" s="1" t="str">
        <f t="shared" si="9"/>
        <v/>
      </c>
      <c r="K237" s="1" t="str">
        <f t="shared" si="10"/>
        <v/>
      </c>
    </row>
    <row r="238" spans="4:11" ht="15" customHeight="1">
      <c r="D238" s="6" t="s">
        <v>57</v>
      </c>
      <c r="E238" s="7"/>
      <c r="F238" s="7"/>
      <c r="G238" s="17">
        <v>1</v>
      </c>
      <c r="H238" s="17">
        <v>2</v>
      </c>
      <c r="I238" s="1">
        <f t="shared" si="11"/>
        <v>-1</v>
      </c>
      <c r="J238" s="1">
        <f t="shared" si="9"/>
        <v>0</v>
      </c>
      <c r="K238" s="1">
        <f t="shared" si="10"/>
        <v>1</v>
      </c>
    </row>
    <row r="239" spans="4:11" ht="15.75" thickBot="1">
      <c r="D239" s="8"/>
      <c r="E239" s="9" t="s">
        <v>18</v>
      </c>
      <c r="F239" s="9" t="s">
        <v>20</v>
      </c>
      <c r="G239" s="17"/>
      <c r="H239" s="17"/>
      <c r="I239" s="1" t="str">
        <f t="shared" si="11"/>
        <v/>
      </c>
      <c r="J239" s="1" t="str">
        <f t="shared" si="9"/>
        <v/>
      </c>
      <c r="K239" s="1" t="str">
        <f t="shared" si="10"/>
        <v/>
      </c>
    </row>
    <row r="240" spans="4:11" ht="15" customHeight="1">
      <c r="D240" s="6" t="s">
        <v>57</v>
      </c>
      <c r="E240" s="7"/>
      <c r="F240" s="7"/>
      <c r="G240" s="17">
        <v>4</v>
      </c>
      <c r="H240" s="17">
        <v>1</v>
      </c>
      <c r="I240" s="1">
        <f t="shared" si="11"/>
        <v>3</v>
      </c>
      <c r="J240" s="1">
        <f t="shared" si="9"/>
        <v>0</v>
      </c>
      <c r="K240" s="1">
        <f t="shared" si="10"/>
        <v>9</v>
      </c>
    </row>
    <row r="241" spans="4:11" ht="15.75" thickBot="1">
      <c r="D241" s="8"/>
      <c r="E241" s="9" t="s">
        <v>33</v>
      </c>
      <c r="F241" s="9" t="s">
        <v>10</v>
      </c>
      <c r="G241" s="17"/>
      <c r="H241" s="17"/>
      <c r="I241" s="1" t="str">
        <f t="shared" si="11"/>
        <v/>
      </c>
      <c r="J241" s="1" t="str">
        <f t="shared" si="9"/>
        <v/>
      </c>
      <c r="K241" s="1" t="str">
        <f t="shared" si="10"/>
        <v/>
      </c>
    </row>
    <row r="242" spans="4:11" ht="15" customHeight="1">
      <c r="D242" s="6" t="s">
        <v>57</v>
      </c>
      <c r="E242" s="7"/>
      <c r="F242" s="7"/>
      <c r="G242" s="17">
        <v>2</v>
      </c>
      <c r="H242" s="17">
        <v>4</v>
      </c>
      <c r="I242" s="1">
        <f t="shared" si="11"/>
        <v>-2</v>
      </c>
      <c r="J242" s="1">
        <f t="shared" si="9"/>
        <v>0</v>
      </c>
      <c r="K242" s="1">
        <f t="shared" si="10"/>
        <v>4</v>
      </c>
    </row>
    <row r="243" spans="4:11" ht="15.75" thickBot="1">
      <c r="D243" s="8"/>
      <c r="E243" s="9" t="s">
        <v>12</v>
      </c>
      <c r="F243" s="9" t="s">
        <v>3</v>
      </c>
      <c r="G243" s="17"/>
      <c r="H243" s="17"/>
      <c r="I243" s="1" t="str">
        <f t="shared" si="11"/>
        <v/>
      </c>
      <c r="J243" s="1" t="str">
        <f t="shared" si="9"/>
        <v/>
      </c>
      <c r="K243" s="1" t="str">
        <f t="shared" si="10"/>
        <v/>
      </c>
    </row>
    <row r="244" spans="4:11" ht="15" customHeight="1">
      <c r="D244" s="6" t="s">
        <v>58</v>
      </c>
      <c r="E244" s="7"/>
      <c r="F244" s="7"/>
      <c r="G244" s="17">
        <v>4</v>
      </c>
      <c r="H244" s="17">
        <v>5</v>
      </c>
      <c r="I244" s="1">
        <f t="shared" si="11"/>
        <v>-1</v>
      </c>
      <c r="J244" s="1">
        <f t="shared" si="9"/>
        <v>0</v>
      </c>
      <c r="K244" s="1">
        <f t="shared" si="10"/>
        <v>1</v>
      </c>
    </row>
    <row r="245" spans="4:11" ht="15.75" thickBot="1">
      <c r="D245" s="8"/>
      <c r="E245" s="9" t="s">
        <v>23</v>
      </c>
      <c r="F245" s="9" t="s">
        <v>38</v>
      </c>
      <c r="G245" s="17"/>
      <c r="H245" s="17"/>
      <c r="I245" s="1" t="str">
        <f t="shared" si="11"/>
        <v/>
      </c>
      <c r="J245" s="1" t="str">
        <f t="shared" si="9"/>
        <v/>
      </c>
      <c r="K245" s="1" t="str">
        <f t="shared" si="10"/>
        <v/>
      </c>
    </row>
    <row r="246" spans="4:11" ht="15" customHeight="1">
      <c r="D246" s="6" t="s">
        <v>58</v>
      </c>
      <c r="E246" s="7"/>
      <c r="F246" s="7"/>
      <c r="G246" s="17">
        <v>0</v>
      </c>
      <c r="H246" s="17">
        <v>3</v>
      </c>
      <c r="I246" s="1">
        <f t="shared" si="11"/>
        <v>-3</v>
      </c>
      <c r="J246" s="1">
        <f t="shared" si="9"/>
        <v>0</v>
      </c>
      <c r="K246" s="1">
        <f t="shared" si="10"/>
        <v>9</v>
      </c>
    </row>
    <row r="247" spans="4:11" ht="15.75" thickBot="1">
      <c r="D247" s="8"/>
      <c r="E247" s="9" t="s">
        <v>230</v>
      </c>
      <c r="F247" s="9" t="s">
        <v>24</v>
      </c>
      <c r="G247" s="17"/>
      <c r="H247" s="17"/>
      <c r="I247" s="1" t="str">
        <f t="shared" si="11"/>
        <v/>
      </c>
      <c r="J247" s="1" t="str">
        <f t="shared" si="9"/>
        <v/>
      </c>
      <c r="K247" s="1" t="str">
        <f t="shared" si="10"/>
        <v/>
      </c>
    </row>
    <row r="248" spans="4:11" ht="15" customHeight="1">
      <c r="D248" s="6" t="s">
        <v>59</v>
      </c>
      <c r="E248" s="7"/>
      <c r="F248" s="7"/>
      <c r="G248" s="17">
        <v>4</v>
      </c>
      <c r="H248" s="17">
        <v>3</v>
      </c>
      <c r="I248" s="1">
        <f t="shared" si="11"/>
        <v>1</v>
      </c>
      <c r="J248" s="1">
        <f t="shared" si="9"/>
        <v>0</v>
      </c>
      <c r="K248" s="1">
        <f t="shared" si="10"/>
        <v>1</v>
      </c>
    </row>
    <row r="249" spans="4:11" ht="15.75" thickBot="1">
      <c r="D249" s="8"/>
      <c r="E249" s="9" t="s">
        <v>23</v>
      </c>
      <c r="F249" s="9" t="s">
        <v>2</v>
      </c>
      <c r="G249" s="17"/>
      <c r="H249" s="17"/>
      <c r="I249" s="1" t="str">
        <f t="shared" si="11"/>
        <v/>
      </c>
      <c r="J249" s="1" t="str">
        <f t="shared" si="9"/>
        <v/>
      </c>
      <c r="K249" s="1" t="str">
        <f t="shared" si="10"/>
        <v/>
      </c>
    </row>
    <row r="250" spans="4:11" ht="15" customHeight="1">
      <c r="D250" s="6" t="s">
        <v>59</v>
      </c>
      <c r="E250" s="7"/>
      <c r="F250" s="7"/>
      <c r="G250" s="17">
        <v>4</v>
      </c>
      <c r="H250" s="17">
        <v>3</v>
      </c>
      <c r="I250" s="1">
        <f t="shared" si="11"/>
        <v>1</v>
      </c>
      <c r="J250" s="1">
        <f t="shared" si="9"/>
        <v>0</v>
      </c>
      <c r="K250" s="1">
        <f t="shared" si="10"/>
        <v>1</v>
      </c>
    </row>
    <row r="251" spans="4:11" ht="15.75" thickBot="1">
      <c r="D251" s="8"/>
      <c r="E251" s="9" t="s">
        <v>25</v>
      </c>
      <c r="F251" s="9" t="s">
        <v>41</v>
      </c>
      <c r="G251" s="17"/>
      <c r="H251" s="17"/>
      <c r="I251" s="1" t="str">
        <f t="shared" si="11"/>
        <v/>
      </c>
      <c r="J251" s="1" t="str">
        <f t="shared" si="9"/>
        <v/>
      </c>
      <c r="K251" s="1" t="str">
        <f t="shared" si="10"/>
        <v/>
      </c>
    </row>
    <row r="252" spans="4:11" ht="15" customHeight="1">
      <c r="D252" s="6" t="s">
        <v>59</v>
      </c>
      <c r="E252" s="7"/>
      <c r="F252" s="7"/>
      <c r="G252" s="17">
        <v>2</v>
      </c>
      <c r="H252" s="17">
        <v>3</v>
      </c>
      <c r="I252" s="1">
        <f t="shared" si="11"/>
        <v>-1</v>
      </c>
      <c r="J252" s="1">
        <f t="shared" si="9"/>
        <v>0</v>
      </c>
      <c r="K252" s="1">
        <f t="shared" si="10"/>
        <v>1</v>
      </c>
    </row>
    <row r="253" spans="4:11" ht="30.75" thickBot="1">
      <c r="D253" s="8"/>
      <c r="E253" s="9" t="s">
        <v>34</v>
      </c>
      <c r="F253" s="9" t="s">
        <v>1</v>
      </c>
      <c r="G253" s="17"/>
      <c r="H253" s="17"/>
      <c r="I253" s="1" t="str">
        <f t="shared" si="11"/>
        <v/>
      </c>
      <c r="J253" s="1" t="str">
        <f t="shared" si="9"/>
        <v/>
      </c>
      <c r="K253" s="1" t="str">
        <f t="shared" si="10"/>
        <v/>
      </c>
    </row>
    <row r="254" spans="4:11" ht="15" customHeight="1">
      <c r="D254" s="6" t="s">
        <v>59</v>
      </c>
      <c r="E254" s="7"/>
      <c r="F254" s="7"/>
      <c r="G254" s="17">
        <v>3</v>
      </c>
      <c r="H254" s="17">
        <v>8</v>
      </c>
      <c r="I254" s="1">
        <f t="shared" si="11"/>
        <v>-5</v>
      </c>
      <c r="J254" s="1">
        <f t="shared" si="9"/>
        <v>0</v>
      </c>
      <c r="K254" s="1">
        <f t="shared" si="10"/>
        <v>25</v>
      </c>
    </row>
    <row r="255" spans="4:11" ht="15.75" thickBot="1">
      <c r="D255" s="8"/>
      <c r="E255" s="9" t="s">
        <v>36</v>
      </c>
      <c r="F255" s="9" t="s">
        <v>11</v>
      </c>
      <c r="G255" s="17"/>
      <c r="H255" s="17"/>
      <c r="I255" s="1" t="str">
        <f t="shared" si="11"/>
        <v/>
      </c>
      <c r="J255" s="1" t="str">
        <f t="shared" si="9"/>
        <v/>
      </c>
      <c r="K255" s="1" t="str">
        <f t="shared" si="10"/>
        <v/>
      </c>
    </row>
    <row r="256" spans="4:11" ht="15" customHeight="1">
      <c r="D256" s="6" t="s">
        <v>59</v>
      </c>
      <c r="E256" s="7"/>
      <c r="F256" s="7"/>
      <c r="G256" s="17">
        <v>5</v>
      </c>
      <c r="H256" s="17">
        <v>2</v>
      </c>
      <c r="I256" s="1">
        <f t="shared" si="11"/>
        <v>3</v>
      </c>
      <c r="J256" s="1">
        <f t="shared" si="9"/>
        <v>0</v>
      </c>
      <c r="K256" s="1">
        <f t="shared" si="10"/>
        <v>9</v>
      </c>
    </row>
    <row r="257" spans="4:11" ht="15.75" thickBot="1">
      <c r="D257" s="8"/>
      <c r="E257" s="9" t="s">
        <v>18</v>
      </c>
      <c r="F257" s="9" t="s">
        <v>7</v>
      </c>
      <c r="G257" s="17"/>
      <c r="H257" s="17"/>
      <c r="I257" s="1" t="str">
        <f t="shared" si="11"/>
        <v/>
      </c>
      <c r="J257" s="1" t="str">
        <f t="shared" si="9"/>
        <v/>
      </c>
      <c r="K257" s="1" t="str">
        <f t="shared" si="10"/>
        <v/>
      </c>
    </row>
    <row r="258" spans="4:11" ht="15" customHeight="1">
      <c r="D258" s="6" t="s">
        <v>59</v>
      </c>
      <c r="E258" s="7"/>
      <c r="F258" s="7"/>
      <c r="G258" s="17">
        <v>0</v>
      </c>
      <c r="H258" s="17">
        <v>4</v>
      </c>
      <c r="I258" s="1">
        <f t="shared" si="11"/>
        <v>-4</v>
      </c>
      <c r="J258" s="1">
        <f t="shared" si="9"/>
        <v>-2550</v>
      </c>
      <c r="K258" s="1">
        <f t="shared" si="10"/>
        <v>6482116</v>
      </c>
    </row>
    <row r="259" spans="4:11" ht="15.75" thickBot="1">
      <c r="D259" s="8"/>
      <c r="E259" s="9" t="s">
        <v>8</v>
      </c>
      <c r="F259" s="9" t="s">
        <v>0</v>
      </c>
      <c r="G259" s="17"/>
      <c r="H259" s="17"/>
      <c r="I259" s="1" t="str">
        <f t="shared" si="11"/>
        <v/>
      </c>
      <c r="J259" s="1" t="str">
        <f t="shared" ref="J259:J322" si="12">IF(F260="","",VLOOKUP(F260,$A$2:$B$31,2)+$B$33-VLOOKUP(E260,$A$2:$B$31,2))</f>
        <v/>
      </c>
      <c r="K259" s="1" t="str">
        <f t="shared" ref="K259:K322" si="13">IF(G259="","",(I259-J259)^2)</f>
        <v/>
      </c>
    </row>
    <row r="260" spans="4:11" ht="15" customHeight="1">
      <c r="D260" s="6" t="s">
        <v>59</v>
      </c>
      <c r="E260" s="7"/>
      <c r="F260" s="7"/>
      <c r="G260" s="17">
        <v>3</v>
      </c>
      <c r="H260" s="17">
        <v>7</v>
      </c>
      <c r="I260" s="1">
        <f t="shared" ref="I260:I323" si="14">IF(G260="","",G260-H260)</f>
        <v>-4</v>
      </c>
      <c r="J260" s="1">
        <f t="shared" si="12"/>
        <v>0</v>
      </c>
      <c r="K260" s="1">
        <f t="shared" si="13"/>
        <v>16</v>
      </c>
    </row>
    <row r="261" spans="4:11" ht="15.75" thickBot="1">
      <c r="D261" s="8"/>
      <c r="E261" s="9" t="s">
        <v>26</v>
      </c>
      <c r="F261" s="9" t="s">
        <v>37</v>
      </c>
      <c r="G261" s="17"/>
      <c r="H261" s="17"/>
      <c r="I261" s="1" t="str">
        <f t="shared" si="14"/>
        <v/>
      </c>
      <c r="J261" s="1" t="str">
        <f t="shared" si="12"/>
        <v/>
      </c>
      <c r="K261" s="1" t="str">
        <f t="shared" si="13"/>
        <v/>
      </c>
    </row>
    <row r="262" spans="4:11" ht="15" customHeight="1">
      <c r="D262" s="6" t="s">
        <v>59</v>
      </c>
      <c r="E262" s="7"/>
      <c r="F262" s="7"/>
      <c r="G262" s="17">
        <v>1</v>
      </c>
      <c r="H262" s="17">
        <v>0</v>
      </c>
      <c r="I262" s="1">
        <f t="shared" si="14"/>
        <v>1</v>
      </c>
      <c r="J262" s="1">
        <f t="shared" si="12"/>
        <v>0</v>
      </c>
      <c r="K262" s="1">
        <f t="shared" si="13"/>
        <v>1</v>
      </c>
    </row>
    <row r="263" spans="4:11" ht="15.75" thickBot="1">
      <c r="D263" s="8"/>
      <c r="E263" s="9" t="s">
        <v>10</v>
      </c>
      <c r="F263" s="9" t="s">
        <v>20</v>
      </c>
      <c r="G263" s="17"/>
      <c r="H263" s="17"/>
      <c r="I263" s="1" t="str">
        <f t="shared" si="14"/>
        <v/>
      </c>
      <c r="J263" s="1" t="str">
        <f t="shared" si="12"/>
        <v/>
      </c>
      <c r="K263" s="1" t="str">
        <f t="shared" si="13"/>
        <v/>
      </c>
    </row>
    <row r="264" spans="4:11" ht="18" customHeight="1">
      <c r="D264" s="6" t="s">
        <v>59</v>
      </c>
      <c r="E264" s="7"/>
      <c r="F264" s="7"/>
      <c r="G264" s="17">
        <v>4</v>
      </c>
      <c r="H264" s="17">
        <v>3</v>
      </c>
      <c r="I264" s="1">
        <f t="shared" si="14"/>
        <v>1</v>
      </c>
      <c r="J264" s="1">
        <f t="shared" si="12"/>
        <v>0</v>
      </c>
      <c r="K264" s="1">
        <f t="shared" si="13"/>
        <v>1</v>
      </c>
    </row>
    <row r="265" spans="4:11" ht="15.75" thickBot="1">
      <c r="D265" s="8"/>
      <c r="E265" s="9" t="s">
        <v>39</v>
      </c>
      <c r="F265" s="9" t="s">
        <v>21</v>
      </c>
      <c r="G265" s="17"/>
      <c r="H265" s="17"/>
      <c r="I265" s="1" t="str">
        <f t="shared" si="14"/>
        <v/>
      </c>
      <c r="J265" s="1" t="str">
        <f t="shared" si="12"/>
        <v/>
      </c>
      <c r="K265" s="1" t="str">
        <f t="shared" si="13"/>
        <v/>
      </c>
    </row>
    <row r="266" spans="4:11" ht="15" customHeight="1">
      <c r="D266" s="6" t="s">
        <v>59</v>
      </c>
      <c r="E266" s="7"/>
      <c r="F266" s="7"/>
      <c r="G266" s="17">
        <v>3</v>
      </c>
      <c r="H266" s="17">
        <v>2</v>
      </c>
      <c r="I266" s="1">
        <f t="shared" si="14"/>
        <v>1</v>
      </c>
      <c r="J266" s="1">
        <f t="shared" si="12"/>
        <v>0</v>
      </c>
      <c r="K266" s="1">
        <f t="shared" si="13"/>
        <v>1</v>
      </c>
    </row>
    <row r="267" spans="4:11" ht="15.75" thickBot="1">
      <c r="D267" s="8"/>
      <c r="E267" s="9" t="s">
        <v>33</v>
      </c>
      <c r="F267" s="9" t="s">
        <v>22</v>
      </c>
      <c r="G267" s="17"/>
      <c r="H267" s="17"/>
      <c r="I267" s="1" t="str">
        <f t="shared" si="14"/>
        <v/>
      </c>
      <c r="J267" s="1" t="str">
        <f t="shared" si="12"/>
        <v/>
      </c>
      <c r="K267" s="1" t="str">
        <f t="shared" si="13"/>
        <v/>
      </c>
    </row>
    <row r="268" spans="4:11" ht="15" customHeight="1">
      <c r="D268" s="6" t="s">
        <v>59</v>
      </c>
      <c r="E268" s="7"/>
      <c r="F268" s="7"/>
      <c r="G268" s="17">
        <v>2</v>
      </c>
      <c r="H268" s="17">
        <v>1</v>
      </c>
      <c r="I268" s="1">
        <f t="shared" si="14"/>
        <v>1</v>
      </c>
      <c r="J268" s="1">
        <f t="shared" si="12"/>
        <v>0</v>
      </c>
      <c r="K268" s="1">
        <f t="shared" si="13"/>
        <v>1</v>
      </c>
    </row>
    <row r="269" spans="4:11" ht="15.75" thickBot="1">
      <c r="D269" s="8"/>
      <c r="E269" s="9" t="s">
        <v>230</v>
      </c>
      <c r="F269" s="9" t="s">
        <v>4</v>
      </c>
      <c r="G269" s="17"/>
      <c r="H269" s="17"/>
      <c r="I269" s="1" t="str">
        <f t="shared" si="14"/>
        <v/>
      </c>
      <c r="J269" s="1" t="str">
        <f t="shared" si="12"/>
        <v/>
      </c>
      <c r="K269" s="1" t="str">
        <f t="shared" si="13"/>
        <v/>
      </c>
    </row>
    <row r="270" spans="4:11" ht="15" customHeight="1">
      <c r="D270" s="6" t="s">
        <v>59</v>
      </c>
      <c r="E270" s="7"/>
      <c r="F270" s="7"/>
      <c r="G270" s="17">
        <v>1</v>
      </c>
      <c r="H270" s="17">
        <v>4</v>
      </c>
      <c r="I270" s="1">
        <f t="shared" si="14"/>
        <v>-3</v>
      </c>
      <c r="J270" s="1">
        <f t="shared" si="12"/>
        <v>0</v>
      </c>
      <c r="K270" s="1">
        <f t="shared" si="13"/>
        <v>9</v>
      </c>
    </row>
    <row r="271" spans="4:11" ht="15.75" thickBot="1">
      <c r="D271" s="8"/>
      <c r="E271" s="9" t="s">
        <v>28</v>
      </c>
      <c r="F271" s="9" t="s">
        <v>3</v>
      </c>
      <c r="G271" s="17"/>
      <c r="H271" s="17"/>
      <c r="I271" s="1" t="str">
        <f t="shared" si="14"/>
        <v/>
      </c>
      <c r="J271" s="1" t="str">
        <f t="shared" si="12"/>
        <v/>
      </c>
      <c r="K271" s="1" t="str">
        <f t="shared" si="13"/>
        <v/>
      </c>
    </row>
    <row r="272" spans="4:11" ht="15" customHeight="1">
      <c r="D272" s="6" t="s">
        <v>60</v>
      </c>
      <c r="E272" s="7"/>
      <c r="F272" s="7"/>
      <c r="G272" s="17">
        <v>4</v>
      </c>
      <c r="H272" s="17">
        <v>2</v>
      </c>
      <c r="I272" s="1">
        <f t="shared" si="14"/>
        <v>2</v>
      </c>
      <c r="J272" s="1">
        <f t="shared" si="12"/>
        <v>0</v>
      </c>
      <c r="K272" s="1">
        <f t="shared" si="13"/>
        <v>4</v>
      </c>
    </row>
    <row r="273" spans="4:11" ht="30.75" thickBot="1">
      <c r="D273" s="8"/>
      <c r="E273" s="9" t="s">
        <v>13</v>
      </c>
      <c r="F273" s="9" t="s">
        <v>12</v>
      </c>
      <c r="G273" s="17"/>
      <c r="H273" s="17"/>
      <c r="I273" s="1" t="str">
        <f t="shared" si="14"/>
        <v/>
      </c>
      <c r="J273" s="1" t="str">
        <f t="shared" si="12"/>
        <v/>
      </c>
      <c r="K273" s="1" t="str">
        <f t="shared" si="13"/>
        <v/>
      </c>
    </row>
    <row r="274" spans="4:11" ht="15" customHeight="1">
      <c r="D274" s="6" t="s">
        <v>60</v>
      </c>
      <c r="E274" s="7"/>
      <c r="F274" s="7"/>
      <c r="G274" s="17">
        <v>4</v>
      </c>
      <c r="H274" s="17">
        <v>1</v>
      </c>
      <c r="I274" s="1">
        <f t="shared" si="14"/>
        <v>3</v>
      </c>
      <c r="J274" s="1">
        <f t="shared" si="12"/>
        <v>0</v>
      </c>
      <c r="K274" s="1">
        <f t="shared" si="13"/>
        <v>9</v>
      </c>
    </row>
    <row r="275" spans="4:11" ht="15.75" thickBot="1">
      <c r="D275" s="8"/>
      <c r="E275" s="9" t="s">
        <v>19</v>
      </c>
      <c r="F275" s="9" t="s">
        <v>24</v>
      </c>
      <c r="G275" s="17"/>
      <c r="H275" s="17"/>
      <c r="I275" s="1" t="str">
        <f t="shared" si="14"/>
        <v/>
      </c>
      <c r="J275" s="1" t="str">
        <f t="shared" si="12"/>
        <v/>
      </c>
      <c r="K275" s="1" t="str">
        <f t="shared" si="13"/>
        <v/>
      </c>
    </row>
    <row r="276" spans="4:11" ht="18" customHeight="1">
      <c r="D276" s="6" t="s">
        <v>61</v>
      </c>
      <c r="E276" s="7"/>
      <c r="F276" s="7"/>
      <c r="G276" s="17">
        <v>3</v>
      </c>
      <c r="H276" s="17">
        <v>2</v>
      </c>
      <c r="I276" s="1">
        <f t="shared" si="14"/>
        <v>1</v>
      </c>
      <c r="J276" s="1">
        <f t="shared" si="12"/>
        <v>2550</v>
      </c>
      <c r="K276" s="1">
        <f t="shared" si="13"/>
        <v>6497401</v>
      </c>
    </row>
    <row r="277" spans="4:11" ht="15.75" thickBot="1">
      <c r="D277" s="8"/>
      <c r="E277" s="9" t="s">
        <v>2</v>
      </c>
      <c r="F277" s="9" t="s">
        <v>8</v>
      </c>
      <c r="G277" s="17"/>
      <c r="H277" s="17"/>
      <c r="I277" s="1" t="str">
        <f t="shared" si="14"/>
        <v/>
      </c>
      <c r="J277" s="1" t="str">
        <f t="shared" si="12"/>
        <v/>
      </c>
      <c r="K277" s="1" t="str">
        <f t="shared" si="13"/>
        <v/>
      </c>
    </row>
    <row r="278" spans="4:11" ht="15" customHeight="1">
      <c r="D278" s="6" t="s">
        <v>61</v>
      </c>
      <c r="E278" s="7"/>
      <c r="F278" s="7"/>
      <c r="G278" s="17">
        <v>1</v>
      </c>
      <c r="H278" s="17">
        <v>2</v>
      </c>
      <c r="I278" s="1">
        <f t="shared" si="14"/>
        <v>-1</v>
      </c>
      <c r="J278" s="1">
        <f t="shared" si="12"/>
        <v>0</v>
      </c>
      <c r="K278" s="1">
        <f t="shared" si="13"/>
        <v>1</v>
      </c>
    </row>
    <row r="279" spans="4:11" ht="15.75" thickBot="1">
      <c r="D279" s="8"/>
      <c r="E279" s="9" t="s">
        <v>25</v>
      </c>
      <c r="F279" s="9" t="s">
        <v>36</v>
      </c>
      <c r="G279" s="17"/>
      <c r="H279" s="17"/>
      <c r="I279" s="1" t="str">
        <f t="shared" si="14"/>
        <v/>
      </c>
      <c r="J279" s="1" t="str">
        <f t="shared" si="12"/>
        <v/>
      </c>
      <c r="K279" s="1" t="str">
        <f t="shared" si="13"/>
        <v/>
      </c>
    </row>
    <row r="280" spans="4:11" ht="15" customHeight="1">
      <c r="D280" s="6" t="s">
        <v>61</v>
      </c>
      <c r="E280" s="7"/>
      <c r="F280" s="7"/>
      <c r="G280" s="17">
        <v>0</v>
      </c>
      <c r="H280" s="17">
        <v>3</v>
      </c>
      <c r="I280" s="1">
        <f t="shared" si="14"/>
        <v>-3</v>
      </c>
      <c r="J280" s="1">
        <f t="shared" si="12"/>
        <v>0</v>
      </c>
      <c r="K280" s="1">
        <f t="shared" si="13"/>
        <v>9</v>
      </c>
    </row>
    <row r="281" spans="4:11" ht="15.75" thickBot="1">
      <c r="D281" s="8"/>
      <c r="E281" s="9" t="s">
        <v>34</v>
      </c>
      <c r="F281" s="9" t="s">
        <v>11</v>
      </c>
      <c r="G281" s="17"/>
      <c r="H281" s="17"/>
      <c r="I281" s="1" t="str">
        <f t="shared" si="14"/>
        <v/>
      </c>
      <c r="J281" s="1" t="str">
        <f t="shared" si="12"/>
        <v/>
      </c>
      <c r="K281" s="1" t="str">
        <f t="shared" si="13"/>
        <v/>
      </c>
    </row>
    <row r="282" spans="4:11" ht="18" customHeight="1">
      <c r="D282" s="6" t="s">
        <v>61</v>
      </c>
      <c r="E282" s="7"/>
      <c r="F282" s="7"/>
      <c r="G282" s="17">
        <v>5</v>
      </c>
      <c r="H282" s="17">
        <v>4</v>
      </c>
      <c r="I282" s="1">
        <f t="shared" si="14"/>
        <v>1</v>
      </c>
      <c r="J282" s="1">
        <f t="shared" si="12"/>
        <v>0</v>
      </c>
      <c r="K282" s="1">
        <f t="shared" si="13"/>
        <v>1</v>
      </c>
    </row>
    <row r="283" spans="4:11" ht="15.75" thickBot="1">
      <c r="D283" s="8"/>
      <c r="E283" s="9" t="s">
        <v>20</v>
      </c>
      <c r="F283" s="9" t="s">
        <v>18</v>
      </c>
      <c r="G283" s="17"/>
      <c r="H283" s="17"/>
      <c r="I283" s="1" t="str">
        <f t="shared" si="14"/>
        <v/>
      </c>
      <c r="J283" s="1" t="str">
        <f t="shared" si="12"/>
        <v/>
      </c>
      <c r="K283" s="1" t="str">
        <f t="shared" si="13"/>
        <v/>
      </c>
    </row>
    <row r="284" spans="4:11" ht="15" customHeight="1">
      <c r="D284" s="6" t="s">
        <v>61</v>
      </c>
      <c r="E284" s="7"/>
      <c r="F284" s="7"/>
      <c r="G284" s="17">
        <v>3</v>
      </c>
      <c r="H284" s="17">
        <v>4</v>
      </c>
      <c r="I284" s="1">
        <f t="shared" si="14"/>
        <v>-1</v>
      </c>
      <c r="J284" s="1">
        <f t="shared" si="12"/>
        <v>0</v>
      </c>
      <c r="K284" s="1">
        <f t="shared" si="13"/>
        <v>1</v>
      </c>
    </row>
    <row r="285" spans="4:11" ht="15.75" thickBot="1">
      <c r="D285" s="8"/>
      <c r="E285" s="9" t="s">
        <v>1</v>
      </c>
      <c r="F285" s="9" t="s">
        <v>37</v>
      </c>
      <c r="G285" s="17"/>
      <c r="H285" s="17"/>
      <c r="I285" s="1" t="str">
        <f t="shared" si="14"/>
        <v/>
      </c>
      <c r="J285" s="1" t="str">
        <f t="shared" si="12"/>
        <v/>
      </c>
      <c r="K285" s="1" t="str">
        <f t="shared" si="13"/>
        <v/>
      </c>
    </row>
    <row r="286" spans="4:11" ht="18" customHeight="1">
      <c r="D286" s="6" t="s">
        <v>61</v>
      </c>
      <c r="E286" s="7"/>
      <c r="F286" s="7"/>
      <c r="G286" s="17">
        <v>1</v>
      </c>
      <c r="H286" s="17">
        <v>2</v>
      </c>
      <c r="I286" s="1">
        <f t="shared" si="14"/>
        <v>-1</v>
      </c>
      <c r="J286" s="1">
        <f t="shared" si="12"/>
        <v>0</v>
      </c>
      <c r="K286" s="1">
        <f t="shared" si="13"/>
        <v>1</v>
      </c>
    </row>
    <row r="287" spans="4:11" ht="15.75" thickBot="1">
      <c r="D287" s="8"/>
      <c r="E287" s="9" t="s">
        <v>26</v>
      </c>
      <c r="F287" s="9" t="s">
        <v>14</v>
      </c>
      <c r="G287" s="17"/>
      <c r="H287" s="17"/>
      <c r="I287" s="1" t="str">
        <f t="shared" si="14"/>
        <v/>
      </c>
      <c r="J287" s="1" t="str">
        <f t="shared" si="12"/>
        <v/>
      </c>
      <c r="K287" s="1" t="str">
        <f t="shared" si="13"/>
        <v/>
      </c>
    </row>
    <row r="288" spans="4:11" ht="15" customHeight="1">
      <c r="D288" s="6" t="s">
        <v>61</v>
      </c>
      <c r="E288" s="7"/>
      <c r="F288" s="7"/>
      <c r="G288" s="17">
        <v>0</v>
      </c>
      <c r="H288" s="17">
        <v>2</v>
      </c>
      <c r="I288" s="1">
        <f t="shared" si="14"/>
        <v>-2</v>
      </c>
      <c r="J288" s="1">
        <f t="shared" si="12"/>
        <v>0</v>
      </c>
      <c r="K288" s="1">
        <f t="shared" si="13"/>
        <v>4</v>
      </c>
    </row>
    <row r="289" spans="4:11" ht="15.75" thickBot="1">
      <c r="D289" s="8"/>
      <c r="E289" s="9" t="s">
        <v>10</v>
      </c>
      <c r="F289" s="9" t="s">
        <v>39</v>
      </c>
      <c r="G289" s="17"/>
      <c r="H289" s="17"/>
      <c r="I289" s="1" t="str">
        <f t="shared" si="14"/>
        <v/>
      </c>
      <c r="J289" s="1" t="str">
        <f t="shared" si="12"/>
        <v/>
      </c>
      <c r="K289" s="1" t="str">
        <f t="shared" si="13"/>
        <v/>
      </c>
    </row>
    <row r="290" spans="4:11" ht="15" customHeight="1">
      <c r="D290" s="6" t="s">
        <v>61</v>
      </c>
      <c r="E290" s="7"/>
      <c r="F290" s="7"/>
      <c r="G290" s="17">
        <v>3</v>
      </c>
      <c r="H290" s="17">
        <v>4</v>
      </c>
      <c r="I290" s="1">
        <f t="shared" si="14"/>
        <v>-1</v>
      </c>
      <c r="J290" s="1">
        <f t="shared" si="12"/>
        <v>0</v>
      </c>
      <c r="K290" s="1">
        <f t="shared" si="13"/>
        <v>1</v>
      </c>
    </row>
    <row r="291" spans="4:11" ht="15.75" thickBot="1">
      <c r="D291" s="8"/>
      <c r="E291" s="9" t="s">
        <v>33</v>
      </c>
      <c r="F291" s="9" t="s">
        <v>23</v>
      </c>
      <c r="G291" s="17"/>
      <c r="H291" s="17"/>
      <c r="I291" s="1" t="str">
        <f t="shared" si="14"/>
        <v/>
      </c>
      <c r="J291" s="1" t="str">
        <f t="shared" si="12"/>
        <v/>
      </c>
      <c r="K291" s="1" t="str">
        <f t="shared" si="13"/>
        <v/>
      </c>
    </row>
    <row r="292" spans="4:11" ht="15" customHeight="1">
      <c r="D292" s="6" t="s">
        <v>61</v>
      </c>
      <c r="E292" s="7"/>
      <c r="F292" s="7"/>
      <c r="G292" s="17">
        <v>0</v>
      </c>
      <c r="H292" s="17">
        <v>5</v>
      </c>
      <c r="I292" s="1">
        <f t="shared" si="14"/>
        <v>-5</v>
      </c>
      <c r="J292" s="1">
        <f t="shared" si="12"/>
        <v>0</v>
      </c>
      <c r="K292" s="1">
        <f t="shared" si="13"/>
        <v>25</v>
      </c>
    </row>
    <row r="293" spans="4:11" ht="15.75" thickBot="1">
      <c r="D293" s="8"/>
      <c r="E293" s="9" t="s">
        <v>41</v>
      </c>
      <c r="F293" s="9" t="s">
        <v>22</v>
      </c>
      <c r="G293" s="17"/>
      <c r="H293" s="17"/>
      <c r="I293" s="1" t="str">
        <f t="shared" si="14"/>
        <v/>
      </c>
      <c r="J293" s="1" t="str">
        <f t="shared" si="12"/>
        <v/>
      </c>
      <c r="K293" s="1" t="str">
        <f t="shared" si="13"/>
        <v/>
      </c>
    </row>
    <row r="294" spans="4:11" ht="15" customHeight="1">
      <c r="D294" s="6" t="s">
        <v>61</v>
      </c>
      <c r="E294" s="7"/>
      <c r="F294" s="7"/>
      <c r="G294" s="17">
        <v>2</v>
      </c>
      <c r="H294" s="17">
        <v>3</v>
      </c>
      <c r="I294" s="1">
        <f t="shared" si="14"/>
        <v>-1</v>
      </c>
      <c r="J294" s="1">
        <f t="shared" si="12"/>
        <v>0</v>
      </c>
      <c r="K294" s="1">
        <f t="shared" si="13"/>
        <v>1</v>
      </c>
    </row>
    <row r="295" spans="4:11" ht="15.75" thickBot="1">
      <c r="D295" s="8"/>
      <c r="E295" s="9" t="s">
        <v>230</v>
      </c>
      <c r="F295" s="9" t="s">
        <v>3</v>
      </c>
      <c r="G295" s="17"/>
      <c r="H295" s="17"/>
      <c r="I295" s="1" t="str">
        <f t="shared" si="14"/>
        <v/>
      </c>
      <c r="J295" s="1" t="str">
        <f t="shared" si="12"/>
        <v/>
      </c>
      <c r="K295" s="1" t="str">
        <f t="shared" si="13"/>
        <v/>
      </c>
    </row>
    <row r="296" spans="4:11" ht="15" customHeight="1">
      <c r="D296" s="6" t="s">
        <v>62</v>
      </c>
      <c r="E296" s="7"/>
      <c r="F296" s="7"/>
      <c r="G296" s="17">
        <v>4</v>
      </c>
      <c r="H296" s="17">
        <v>1</v>
      </c>
      <c r="I296" s="1">
        <f t="shared" si="14"/>
        <v>3</v>
      </c>
      <c r="J296" s="1">
        <f t="shared" si="12"/>
        <v>0</v>
      </c>
      <c r="K296" s="1">
        <f t="shared" si="13"/>
        <v>9</v>
      </c>
    </row>
    <row r="297" spans="4:11" ht="15.75" thickBot="1">
      <c r="D297" s="8"/>
      <c r="E297" s="9" t="s">
        <v>0</v>
      </c>
      <c r="F297" s="9" t="s">
        <v>7</v>
      </c>
      <c r="G297" s="17"/>
      <c r="H297" s="17"/>
      <c r="I297" s="1" t="str">
        <f t="shared" si="14"/>
        <v/>
      </c>
      <c r="J297" s="1" t="str">
        <f t="shared" si="12"/>
        <v/>
      </c>
      <c r="K297" s="1" t="str">
        <f t="shared" si="13"/>
        <v/>
      </c>
    </row>
    <row r="298" spans="4:11" ht="15" customHeight="1">
      <c r="D298" s="6" t="s">
        <v>62</v>
      </c>
      <c r="E298" s="7"/>
      <c r="F298" s="7"/>
      <c r="G298" s="17">
        <v>2</v>
      </c>
      <c r="H298" s="17">
        <v>5</v>
      </c>
      <c r="I298" s="1">
        <f t="shared" si="14"/>
        <v>-3</v>
      </c>
      <c r="J298" s="1">
        <f t="shared" si="12"/>
        <v>0</v>
      </c>
      <c r="K298" s="1">
        <f t="shared" si="13"/>
        <v>9</v>
      </c>
    </row>
    <row r="299" spans="4:11" ht="15.75" thickBot="1">
      <c r="D299" s="8"/>
      <c r="E299" s="9" t="s">
        <v>34</v>
      </c>
      <c r="F299" s="9" t="s">
        <v>13</v>
      </c>
      <c r="G299" s="17"/>
      <c r="H299" s="17"/>
      <c r="I299" s="1" t="str">
        <f t="shared" si="14"/>
        <v/>
      </c>
      <c r="J299" s="1" t="str">
        <f t="shared" si="12"/>
        <v/>
      </c>
      <c r="K299" s="1" t="str">
        <f t="shared" si="13"/>
        <v/>
      </c>
    </row>
    <row r="300" spans="4:11" ht="15" customHeight="1">
      <c r="D300" s="6" t="s">
        <v>62</v>
      </c>
      <c r="E300" s="7"/>
      <c r="F300" s="7"/>
      <c r="G300" s="17">
        <v>2</v>
      </c>
      <c r="H300" s="17">
        <v>1</v>
      </c>
      <c r="I300" s="1">
        <f t="shared" si="14"/>
        <v>1</v>
      </c>
      <c r="J300" s="1">
        <f t="shared" si="12"/>
        <v>0</v>
      </c>
      <c r="K300" s="1">
        <f t="shared" si="13"/>
        <v>1</v>
      </c>
    </row>
    <row r="301" spans="4:11" ht="15.75" thickBot="1">
      <c r="D301" s="8"/>
      <c r="E301" s="9" t="s">
        <v>10</v>
      </c>
      <c r="F301" s="9" t="s">
        <v>21</v>
      </c>
      <c r="G301" s="17"/>
      <c r="H301" s="17"/>
      <c r="I301" s="1" t="str">
        <f t="shared" si="14"/>
        <v/>
      </c>
      <c r="J301" s="1" t="str">
        <f t="shared" si="12"/>
        <v/>
      </c>
      <c r="K301" s="1" t="str">
        <f t="shared" si="13"/>
        <v/>
      </c>
    </row>
    <row r="302" spans="4:11">
      <c r="D302" s="6" t="s">
        <v>62</v>
      </c>
      <c r="E302" s="7"/>
      <c r="F302" s="7"/>
      <c r="G302" s="17">
        <v>3</v>
      </c>
      <c r="H302" s="17">
        <v>4</v>
      </c>
      <c r="I302" s="1">
        <f t="shared" si="14"/>
        <v>-1</v>
      </c>
      <c r="J302" s="1">
        <f t="shared" si="12"/>
        <v>0</v>
      </c>
      <c r="K302" s="1">
        <f t="shared" si="13"/>
        <v>1</v>
      </c>
    </row>
    <row r="303" spans="4:11" ht="15.75" thickBot="1">
      <c r="D303" s="10"/>
      <c r="E303" s="11" t="s">
        <v>19</v>
      </c>
      <c r="F303" s="11" t="s">
        <v>4</v>
      </c>
      <c r="G303" s="17"/>
      <c r="H303" s="17"/>
      <c r="I303" s="1" t="str">
        <f t="shared" si="14"/>
        <v/>
      </c>
      <c r="J303" s="1" t="str">
        <f t="shared" si="12"/>
        <v/>
      </c>
      <c r="K303" s="1" t="str">
        <f t="shared" si="13"/>
        <v/>
      </c>
    </row>
    <row r="304" spans="4:11" ht="18" customHeight="1">
      <c r="D304" s="6" t="s">
        <v>63</v>
      </c>
      <c r="E304" s="12"/>
      <c r="F304" s="12"/>
      <c r="G304" s="17">
        <v>2</v>
      </c>
      <c r="H304" s="17">
        <v>4</v>
      </c>
      <c r="I304" s="1">
        <f>IF(G304="","",G304-H304)</f>
        <v>-2</v>
      </c>
      <c r="J304" s="1">
        <f t="shared" si="12"/>
        <v>0</v>
      </c>
      <c r="K304" s="1">
        <f t="shared" si="13"/>
        <v>4</v>
      </c>
    </row>
    <row r="305" spans="4:11" ht="15.75" thickBot="1">
      <c r="D305" s="8"/>
      <c r="E305" s="9" t="s">
        <v>18</v>
      </c>
      <c r="F305" s="9" t="s">
        <v>2</v>
      </c>
      <c r="G305" s="17"/>
      <c r="H305" s="17"/>
      <c r="I305" s="1" t="str">
        <f t="shared" si="14"/>
        <v/>
      </c>
      <c r="J305" s="1" t="str">
        <f t="shared" si="12"/>
        <v/>
      </c>
      <c r="K305" s="1" t="str">
        <f t="shared" si="13"/>
        <v/>
      </c>
    </row>
    <row r="306" spans="4:11" ht="18" customHeight="1">
      <c r="D306" s="6" t="s">
        <v>63</v>
      </c>
      <c r="E306" s="7"/>
      <c r="F306" s="7"/>
      <c r="G306" s="17">
        <v>2</v>
      </c>
      <c r="H306" s="17">
        <v>3</v>
      </c>
      <c r="I306" s="1">
        <f t="shared" si="14"/>
        <v>-1</v>
      </c>
      <c r="J306" s="1">
        <f t="shared" si="12"/>
        <v>0</v>
      </c>
      <c r="K306" s="1">
        <f t="shared" si="13"/>
        <v>1</v>
      </c>
    </row>
    <row r="307" spans="4:11" ht="15.75" thickBot="1">
      <c r="D307" s="8"/>
      <c r="E307" s="9" t="s">
        <v>20</v>
      </c>
      <c r="F307" s="9" t="s">
        <v>0</v>
      </c>
      <c r="G307" s="17"/>
      <c r="H307" s="17"/>
      <c r="I307" s="1" t="str">
        <f t="shared" si="14"/>
        <v/>
      </c>
      <c r="J307" s="1" t="str">
        <f t="shared" si="12"/>
        <v/>
      </c>
      <c r="K307" s="1" t="str">
        <f t="shared" si="13"/>
        <v/>
      </c>
    </row>
    <row r="308" spans="4:11" ht="15" customHeight="1">
      <c r="D308" s="6" t="s">
        <v>63</v>
      </c>
      <c r="E308" s="7"/>
      <c r="F308" s="7"/>
      <c r="G308" s="22">
        <v>3</v>
      </c>
      <c r="H308" s="17">
        <v>4</v>
      </c>
      <c r="I308" s="1">
        <f t="shared" si="14"/>
        <v>-1</v>
      </c>
      <c r="J308" s="1">
        <f t="shared" si="12"/>
        <v>0</v>
      </c>
      <c r="K308" s="1">
        <f t="shared" si="13"/>
        <v>1</v>
      </c>
    </row>
    <row r="309" spans="4:11" ht="15.75" thickBot="1">
      <c r="D309" s="8"/>
      <c r="E309" s="9" t="s">
        <v>12</v>
      </c>
      <c r="F309" s="9" t="s">
        <v>37</v>
      </c>
      <c r="G309" s="17"/>
      <c r="H309" s="17"/>
      <c r="I309" s="1" t="str">
        <f t="shared" si="14"/>
        <v/>
      </c>
      <c r="J309" s="1" t="str">
        <f t="shared" si="12"/>
        <v/>
      </c>
      <c r="K309" s="1" t="str">
        <f t="shared" si="13"/>
        <v/>
      </c>
    </row>
    <row r="310" spans="4:11" ht="15" customHeight="1">
      <c r="D310" s="6" t="s">
        <v>63</v>
      </c>
      <c r="E310" s="7"/>
      <c r="F310" s="7"/>
      <c r="G310" s="23">
        <v>1</v>
      </c>
      <c r="H310" s="17">
        <v>2</v>
      </c>
      <c r="I310" s="1">
        <f t="shared" si="14"/>
        <v>-1</v>
      </c>
      <c r="J310" s="1">
        <f t="shared" si="12"/>
        <v>0</v>
      </c>
      <c r="K310" s="1">
        <f t="shared" si="13"/>
        <v>1</v>
      </c>
    </row>
    <row r="311" spans="4:11" ht="15.75" thickBot="1">
      <c r="D311" s="8"/>
      <c r="E311" s="9" t="s">
        <v>1</v>
      </c>
      <c r="F311" s="9" t="s">
        <v>14</v>
      </c>
      <c r="G311" s="17"/>
      <c r="H311" s="17"/>
      <c r="I311" s="1" t="str">
        <f t="shared" si="14"/>
        <v/>
      </c>
      <c r="J311" s="1" t="str">
        <f t="shared" si="12"/>
        <v/>
      </c>
      <c r="K311" s="1" t="str">
        <f t="shared" si="13"/>
        <v/>
      </c>
    </row>
    <row r="312" spans="4:11" ht="15" customHeight="1">
      <c r="D312" s="6" t="s">
        <v>63</v>
      </c>
      <c r="E312" s="7"/>
      <c r="F312" s="7"/>
      <c r="G312" s="17">
        <v>2</v>
      </c>
      <c r="H312" s="17">
        <v>3</v>
      </c>
      <c r="I312" s="1">
        <f t="shared" si="14"/>
        <v>-1</v>
      </c>
      <c r="J312" s="1">
        <f t="shared" si="12"/>
        <v>0</v>
      </c>
      <c r="K312" s="1">
        <f t="shared" si="13"/>
        <v>1</v>
      </c>
    </row>
    <row r="313" spans="4:11" ht="15.75" thickBot="1">
      <c r="D313" s="8"/>
      <c r="E313" s="9" t="s">
        <v>7</v>
      </c>
      <c r="F313" s="9" t="s">
        <v>36</v>
      </c>
      <c r="G313" s="17"/>
      <c r="H313" s="17"/>
      <c r="I313" s="1" t="str">
        <f t="shared" si="14"/>
        <v/>
      </c>
      <c r="J313" s="1" t="str">
        <f t="shared" si="12"/>
        <v/>
      </c>
      <c r="K313" s="1" t="str">
        <f t="shared" si="13"/>
        <v/>
      </c>
    </row>
    <row r="314" spans="4:11" ht="15" customHeight="1">
      <c r="D314" s="6" t="s">
        <v>63</v>
      </c>
      <c r="E314" s="7"/>
      <c r="F314" s="7"/>
      <c r="G314" s="17">
        <v>1</v>
      </c>
      <c r="H314" s="17">
        <v>0</v>
      </c>
      <c r="I314" s="1">
        <f t="shared" si="14"/>
        <v>1</v>
      </c>
      <c r="J314" s="1">
        <f t="shared" si="12"/>
        <v>0</v>
      </c>
      <c r="K314" s="1">
        <f t="shared" si="13"/>
        <v>1</v>
      </c>
    </row>
    <row r="315" spans="4:11" ht="15.75" thickBot="1">
      <c r="D315" s="8"/>
      <c r="E315" s="9" t="s">
        <v>25</v>
      </c>
      <c r="F315" s="9" t="s">
        <v>38</v>
      </c>
      <c r="G315" s="17" t="s">
        <v>178</v>
      </c>
      <c r="H315" s="17"/>
      <c r="I315" s="1" t="str">
        <f t="shared" si="14"/>
        <v/>
      </c>
      <c r="J315" s="1" t="str">
        <f t="shared" si="12"/>
        <v/>
      </c>
      <c r="K315" s="1" t="str">
        <f t="shared" si="13"/>
        <v/>
      </c>
    </row>
    <row r="316" spans="4:11" ht="15" customHeight="1">
      <c r="D316" s="6" t="s">
        <v>63</v>
      </c>
      <c r="E316" s="7"/>
      <c r="F316" s="7"/>
      <c r="G316" s="17" t="s">
        <v>179</v>
      </c>
      <c r="H316" s="17">
        <v>5</v>
      </c>
      <c r="I316" s="1">
        <f t="shared" si="14"/>
        <v>-5</v>
      </c>
      <c r="J316" s="1">
        <f t="shared" si="12"/>
        <v>-2550</v>
      </c>
      <c r="K316" s="1">
        <f t="shared" si="13"/>
        <v>6477025</v>
      </c>
    </row>
    <row r="317" spans="4:11" ht="15.75" thickBot="1">
      <c r="D317" s="8"/>
      <c r="E317" s="9" t="s">
        <v>8</v>
      </c>
      <c r="F317" s="9" t="s">
        <v>11</v>
      </c>
      <c r="G317" s="17" t="s">
        <v>178</v>
      </c>
      <c r="H317" s="17"/>
      <c r="I317" s="1" t="str">
        <f t="shared" si="14"/>
        <v/>
      </c>
      <c r="J317" s="1" t="str">
        <f t="shared" si="12"/>
        <v/>
      </c>
      <c r="K317" s="1" t="str">
        <f t="shared" si="13"/>
        <v/>
      </c>
    </row>
    <row r="318" spans="4:11" ht="15" customHeight="1">
      <c r="D318" s="6" t="s">
        <v>63</v>
      </c>
      <c r="E318" s="7"/>
      <c r="F318" s="7"/>
      <c r="G318" s="17" t="s">
        <v>179</v>
      </c>
      <c r="H318" s="17">
        <v>3</v>
      </c>
      <c r="I318" s="1">
        <f t="shared" si="14"/>
        <v>-3</v>
      </c>
      <c r="J318" s="1">
        <f t="shared" si="12"/>
        <v>0</v>
      </c>
      <c r="K318" s="1">
        <f t="shared" si="13"/>
        <v>9</v>
      </c>
    </row>
    <row r="319" spans="4:11" ht="15.75" thickBot="1">
      <c r="D319" s="8"/>
      <c r="E319" s="9" t="s">
        <v>26</v>
      </c>
      <c r="F319" s="9" t="s">
        <v>28</v>
      </c>
      <c r="G319" s="17" t="s">
        <v>178</v>
      </c>
      <c r="H319" s="17"/>
      <c r="I319" s="1" t="str">
        <f t="shared" si="14"/>
        <v/>
      </c>
      <c r="J319" s="1" t="str">
        <f t="shared" si="12"/>
        <v/>
      </c>
      <c r="K319" s="1" t="str">
        <f t="shared" si="13"/>
        <v/>
      </c>
    </row>
    <row r="320" spans="4:11" ht="15" customHeight="1">
      <c r="D320" s="6" t="s">
        <v>63</v>
      </c>
      <c r="E320" s="7"/>
      <c r="F320" s="7"/>
      <c r="G320" s="17" t="s">
        <v>180</v>
      </c>
      <c r="H320" s="17">
        <v>3</v>
      </c>
      <c r="I320" s="1">
        <f t="shared" si="14"/>
        <v>-1</v>
      </c>
      <c r="J320" s="1">
        <f t="shared" si="12"/>
        <v>0</v>
      </c>
      <c r="K320" s="1">
        <f t="shared" si="13"/>
        <v>1</v>
      </c>
    </row>
    <row r="321" spans="4:11" ht="15.75" thickBot="1">
      <c r="D321" s="8"/>
      <c r="E321" s="9" t="s">
        <v>22</v>
      </c>
      <c r="F321" s="9" t="s">
        <v>39</v>
      </c>
      <c r="G321" s="17" t="s">
        <v>178</v>
      </c>
      <c r="H321" s="17"/>
      <c r="I321" s="1" t="str">
        <f t="shared" si="14"/>
        <v/>
      </c>
      <c r="J321" s="1" t="str">
        <f t="shared" si="12"/>
        <v/>
      </c>
      <c r="K321" s="1" t="str">
        <f t="shared" si="13"/>
        <v/>
      </c>
    </row>
    <row r="322" spans="4:11" ht="15" customHeight="1">
      <c r="D322" s="6" t="s">
        <v>63</v>
      </c>
      <c r="E322" s="7"/>
      <c r="F322" s="7"/>
      <c r="G322" s="17" t="s">
        <v>181</v>
      </c>
      <c r="H322" s="17">
        <v>4</v>
      </c>
      <c r="I322" s="1">
        <f t="shared" si="14"/>
        <v>-3</v>
      </c>
      <c r="J322" s="1">
        <f t="shared" si="12"/>
        <v>0</v>
      </c>
      <c r="K322" s="1">
        <f t="shared" si="13"/>
        <v>9</v>
      </c>
    </row>
    <row r="323" spans="4:11" ht="15.75" thickBot="1">
      <c r="D323" s="8"/>
      <c r="E323" s="9" t="s">
        <v>21</v>
      </c>
      <c r="F323" s="9" t="s">
        <v>23</v>
      </c>
      <c r="G323" s="17" t="s">
        <v>178</v>
      </c>
      <c r="H323" s="17"/>
      <c r="I323" s="1" t="str">
        <f t="shared" si="14"/>
        <v/>
      </c>
      <c r="J323" s="1" t="str">
        <f t="shared" ref="J323:J386" si="15">IF(F324="","",VLOOKUP(F324,$A$2:$B$31,2)+$B$33-VLOOKUP(E324,$A$2:$B$31,2))</f>
        <v/>
      </c>
      <c r="K323" s="1" t="str">
        <f t="shared" ref="K323:K386" si="16">IF(G323="","",(I323-J323)^2)</f>
        <v/>
      </c>
    </row>
    <row r="324" spans="4:11" ht="15" customHeight="1">
      <c r="D324" s="6" t="s">
        <v>63</v>
      </c>
      <c r="E324" s="7"/>
      <c r="F324" s="7"/>
      <c r="G324" s="17" t="s">
        <v>182</v>
      </c>
      <c r="H324" s="17">
        <v>2</v>
      </c>
      <c r="I324" s="1">
        <f t="shared" ref="I324:I387" si="17">IF(G324="","",G324-H324)</f>
        <v>1</v>
      </c>
      <c r="J324" s="1">
        <f t="shared" si="15"/>
        <v>0</v>
      </c>
      <c r="K324" s="1">
        <f t="shared" si="16"/>
        <v>1</v>
      </c>
    </row>
    <row r="325" spans="4:11" ht="15.75" thickBot="1">
      <c r="D325" s="8"/>
      <c r="E325" s="9" t="s">
        <v>3</v>
      </c>
      <c r="F325" s="9" t="s">
        <v>24</v>
      </c>
      <c r="G325" s="17" t="s">
        <v>178</v>
      </c>
      <c r="H325" s="17"/>
      <c r="I325" s="1" t="str">
        <f t="shared" si="17"/>
        <v/>
      </c>
      <c r="J325" s="1" t="str">
        <f t="shared" si="15"/>
        <v/>
      </c>
      <c r="K325" s="1" t="str">
        <f t="shared" si="16"/>
        <v/>
      </c>
    </row>
    <row r="326" spans="4:11" ht="15" customHeight="1">
      <c r="D326" s="6" t="s">
        <v>63</v>
      </c>
      <c r="E326" s="7"/>
      <c r="F326" s="7"/>
      <c r="G326" s="17" t="s">
        <v>181</v>
      </c>
      <c r="H326" s="17">
        <v>3</v>
      </c>
      <c r="I326" s="1">
        <f t="shared" si="17"/>
        <v>-2</v>
      </c>
      <c r="J326" s="1">
        <f t="shared" si="15"/>
        <v>0</v>
      </c>
      <c r="K326" s="1">
        <f t="shared" si="16"/>
        <v>4</v>
      </c>
    </row>
    <row r="327" spans="4:11" ht="15.75" thickBot="1">
      <c r="D327" s="8"/>
      <c r="E327" s="9" t="s">
        <v>41</v>
      </c>
      <c r="F327" s="9" t="s">
        <v>33</v>
      </c>
      <c r="G327" s="17" t="s">
        <v>178</v>
      </c>
      <c r="H327" s="17"/>
      <c r="I327" s="1" t="str">
        <f t="shared" si="17"/>
        <v/>
      </c>
      <c r="J327" s="1" t="str">
        <f t="shared" si="15"/>
        <v/>
      </c>
      <c r="K327" s="1" t="str">
        <f t="shared" si="16"/>
        <v/>
      </c>
    </row>
    <row r="328" spans="4:11" ht="18" customHeight="1">
      <c r="D328" s="6" t="s">
        <v>64</v>
      </c>
      <c r="E328" s="7"/>
      <c r="F328" s="7"/>
      <c r="G328" s="17" t="s">
        <v>180</v>
      </c>
      <c r="H328" s="17">
        <v>3</v>
      </c>
      <c r="I328" s="1">
        <f t="shared" si="17"/>
        <v>-1</v>
      </c>
      <c r="J328" s="1">
        <f t="shared" si="15"/>
        <v>2550</v>
      </c>
      <c r="K328" s="1">
        <f t="shared" si="16"/>
        <v>6507601</v>
      </c>
    </row>
    <row r="329" spans="4:11" ht="15.75" thickBot="1">
      <c r="D329" s="8"/>
      <c r="E329" s="9" t="s">
        <v>13</v>
      </c>
      <c r="F329" s="9" t="s">
        <v>8</v>
      </c>
      <c r="G329" s="17" t="s">
        <v>178</v>
      </c>
      <c r="H329" s="17"/>
      <c r="I329" s="1" t="str">
        <f t="shared" si="17"/>
        <v/>
      </c>
      <c r="J329" s="1" t="str">
        <f t="shared" si="15"/>
        <v/>
      </c>
      <c r="K329" s="1" t="str">
        <f t="shared" si="16"/>
        <v/>
      </c>
    </row>
    <row r="330" spans="4:11" ht="15" customHeight="1">
      <c r="D330" s="6" t="s">
        <v>64</v>
      </c>
      <c r="E330" s="7"/>
      <c r="F330" s="7"/>
      <c r="G330" s="17" t="s">
        <v>180</v>
      </c>
      <c r="H330" s="17">
        <v>3</v>
      </c>
      <c r="I330" s="1">
        <f t="shared" si="17"/>
        <v>-1</v>
      </c>
      <c r="J330" s="1">
        <f t="shared" si="15"/>
        <v>0</v>
      </c>
      <c r="K330" s="1">
        <f t="shared" si="16"/>
        <v>1</v>
      </c>
    </row>
    <row r="331" spans="4:11" ht="15.75" thickBot="1">
      <c r="D331" s="8"/>
      <c r="E331" s="9" t="s">
        <v>34</v>
      </c>
      <c r="F331" s="9" t="s">
        <v>28</v>
      </c>
      <c r="G331" s="17" t="s">
        <v>178</v>
      </c>
      <c r="H331" s="17"/>
      <c r="I331" s="1" t="str">
        <f t="shared" si="17"/>
        <v/>
      </c>
      <c r="J331" s="1" t="str">
        <f t="shared" si="15"/>
        <v/>
      </c>
      <c r="K331" s="1" t="str">
        <f t="shared" si="16"/>
        <v/>
      </c>
    </row>
    <row r="332" spans="4:11" ht="15" customHeight="1">
      <c r="D332" s="6" t="s">
        <v>64</v>
      </c>
      <c r="E332" s="7"/>
      <c r="F332" s="7"/>
      <c r="G332" s="17" t="s">
        <v>183</v>
      </c>
      <c r="H332" s="17">
        <v>2</v>
      </c>
      <c r="I332" s="1">
        <f t="shared" si="17"/>
        <v>4</v>
      </c>
      <c r="J332" s="1">
        <f t="shared" si="15"/>
        <v>0</v>
      </c>
      <c r="K332" s="1">
        <f t="shared" si="16"/>
        <v>16</v>
      </c>
    </row>
    <row r="333" spans="4:11" ht="15.75" thickBot="1">
      <c r="D333" s="8"/>
      <c r="E333" s="9" t="s">
        <v>4</v>
      </c>
      <c r="F333" s="9" t="s">
        <v>230</v>
      </c>
      <c r="G333" s="17" t="s">
        <v>178</v>
      </c>
      <c r="H333" s="17"/>
      <c r="I333" s="1" t="str">
        <f t="shared" si="17"/>
        <v/>
      </c>
      <c r="J333" s="1" t="str">
        <f t="shared" si="15"/>
        <v/>
      </c>
      <c r="K333" s="1" t="str">
        <f t="shared" si="16"/>
        <v/>
      </c>
    </row>
    <row r="334" spans="4:11" ht="15" customHeight="1">
      <c r="D334" s="6" t="s">
        <v>64</v>
      </c>
      <c r="E334" s="7"/>
      <c r="F334" s="7"/>
      <c r="G334" s="17" t="s">
        <v>183</v>
      </c>
      <c r="H334" s="17">
        <v>5</v>
      </c>
      <c r="I334" s="1">
        <f t="shared" si="17"/>
        <v>1</v>
      </c>
      <c r="J334" s="1">
        <f t="shared" si="15"/>
        <v>0</v>
      </c>
      <c r="K334" s="1">
        <f t="shared" si="16"/>
        <v>1</v>
      </c>
    </row>
    <row r="335" spans="4:11" ht="30.75" thickBot="1">
      <c r="D335" s="8"/>
      <c r="E335" s="9" t="s">
        <v>26</v>
      </c>
      <c r="F335" s="9" t="s">
        <v>12</v>
      </c>
      <c r="G335" s="17" t="s">
        <v>178</v>
      </c>
      <c r="H335" s="17"/>
      <c r="I335" s="1" t="str">
        <f t="shared" si="17"/>
        <v/>
      </c>
      <c r="J335" s="1" t="str">
        <f t="shared" si="15"/>
        <v/>
      </c>
      <c r="K335" s="1" t="str">
        <f t="shared" si="16"/>
        <v/>
      </c>
    </row>
    <row r="336" spans="4:11" ht="15" customHeight="1">
      <c r="D336" s="6" t="s">
        <v>64</v>
      </c>
      <c r="E336" s="7"/>
      <c r="F336" s="7"/>
      <c r="G336" s="17" t="s">
        <v>182</v>
      </c>
      <c r="H336" s="17">
        <v>2</v>
      </c>
      <c r="I336" s="1">
        <f t="shared" si="17"/>
        <v>1</v>
      </c>
      <c r="J336" s="1">
        <f t="shared" si="15"/>
        <v>0</v>
      </c>
      <c r="K336" s="1">
        <f t="shared" si="16"/>
        <v>1</v>
      </c>
    </row>
    <row r="337" spans="4:11" ht="15.75" thickBot="1">
      <c r="D337" s="8"/>
      <c r="E337" s="9" t="s">
        <v>10</v>
      </c>
      <c r="F337" s="9" t="s">
        <v>22</v>
      </c>
      <c r="G337" s="17" t="s">
        <v>178</v>
      </c>
      <c r="H337" s="17"/>
      <c r="I337" s="1" t="str">
        <f t="shared" si="17"/>
        <v/>
      </c>
      <c r="J337" s="1" t="str">
        <f t="shared" si="15"/>
        <v/>
      </c>
      <c r="K337" s="1" t="str">
        <f t="shared" si="16"/>
        <v/>
      </c>
    </row>
    <row r="338" spans="4:11" ht="18" customHeight="1">
      <c r="D338" s="6" t="s">
        <v>64</v>
      </c>
      <c r="E338" s="7"/>
      <c r="F338" s="7"/>
      <c r="G338" s="17" t="s">
        <v>181</v>
      </c>
      <c r="H338" s="17">
        <v>0</v>
      </c>
      <c r="I338" s="1">
        <f t="shared" si="17"/>
        <v>1</v>
      </c>
      <c r="J338" s="1">
        <f t="shared" si="15"/>
        <v>0</v>
      </c>
      <c r="K338" s="1">
        <f t="shared" si="16"/>
        <v>1</v>
      </c>
    </row>
    <row r="339" spans="4:11" ht="15.75" thickBot="1">
      <c r="D339" s="8"/>
      <c r="E339" s="9" t="s">
        <v>25</v>
      </c>
      <c r="F339" s="9" t="s">
        <v>20</v>
      </c>
      <c r="G339" s="17" t="s">
        <v>178</v>
      </c>
      <c r="H339" s="17"/>
      <c r="I339" s="1" t="str">
        <f t="shared" si="17"/>
        <v/>
      </c>
      <c r="J339" s="1" t="str">
        <f t="shared" si="15"/>
        <v/>
      </c>
      <c r="K339" s="1" t="str">
        <f t="shared" si="16"/>
        <v/>
      </c>
    </row>
    <row r="340" spans="4:11" ht="15" customHeight="1">
      <c r="D340" s="6" t="s">
        <v>64</v>
      </c>
      <c r="E340" s="7"/>
      <c r="F340" s="7"/>
      <c r="G340" s="17" t="s">
        <v>182</v>
      </c>
      <c r="H340" s="17">
        <v>1</v>
      </c>
      <c r="I340" s="1">
        <f t="shared" si="17"/>
        <v>2</v>
      </c>
      <c r="J340" s="1">
        <f t="shared" si="15"/>
        <v>0</v>
      </c>
      <c r="K340" s="1">
        <f t="shared" si="16"/>
        <v>4</v>
      </c>
    </row>
    <row r="341" spans="4:11" ht="15.75" thickBot="1">
      <c r="D341" s="8"/>
      <c r="E341" s="9" t="s">
        <v>19</v>
      </c>
      <c r="F341" s="9" t="s">
        <v>3</v>
      </c>
      <c r="G341" s="17" t="s">
        <v>178</v>
      </c>
      <c r="H341" s="17"/>
      <c r="I341" s="1" t="str">
        <f t="shared" si="17"/>
        <v/>
      </c>
      <c r="J341" s="1" t="str">
        <f t="shared" si="15"/>
        <v/>
      </c>
      <c r="K341" s="1" t="str">
        <f t="shared" si="16"/>
        <v/>
      </c>
    </row>
    <row r="342" spans="4:11" ht="15" customHeight="1">
      <c r="D342" s="6" t="s">
        <v>65</v>
      </c>
      <c r="E342" s="7"/>
      <c r="F342" s="7"/>
      <c r="G342" s="17" t="s">
        <v>184</v>
      </c>
      <c r="H342" s="17">
        <v>3</v>
      </c>
      <c r="I342" s="1">
        <f t="shared" si="17"/>
        <v>1</v>
      </c>
      <c r="J342" s="1">
        <f t="shared" si="15"/>
        <v>0</v>
      </c>
      <c r="K342" s="1">
        <f t="shared" si="16"/>
        <v>1</v>
      </c>
    </row>
    <row r="343" spans="4:11" ht="15.75" thickBot="1">
      <c r="D343" s="8"/>
      <c r="E343" s="9" t="s">
        <v>39</v>
      </c>
      <c r="F343" s="9" t="s">
        <v>38</v>
      </c>
      <c r="G343" s="17" t="s">
        <v>178</v>
      </c>
      <c r="H343" s="17"/>
      <c r="I343" s="1" t="str">
        <f t="shared" si="17"/>
        <v/>
      </c>
      <c r="J343" s="1" t="str">
        <f t="shared" si="15"/>
        <v/>
      </c>
      <c r="K343" s="1" t="str">
        <f t="shared" si="16"/>
        <v/>
      </c>
    </row>
    <row r="344" spans="4:11" ht="18" customHeight="1">
      <c r="D344" s="6" t="s">
        <v>66</v>
      </c>
      <c r="E344" s="7"/>
      <c r="F344" s="7"/>
      <c r="G344" s="17" t="s">
        <v>181</v>
      </c>
      <c r="H344" s="17">
        <v>2</v>
      </c>
      <c r="I344" s="1">
        <f t="shared" si="17"/>
        <v>-1</v>
      </c>
      <c r="J344" s="1">
        <f t="shared" si="15"/>
        <v>0</v>
      </c>
      <c r="K344" s="1">
        <f t="shared" si="16"/>
        <v>1</v>
      </c>
    </row>
    <row r="345" spans="4:11" ht="15.75" thickBot="1">
      <c r="D345" s="8"/>
      <c r="E345" s="9" t="s">
        <v>14</v>
      </c>
      <c r="F345" s="9" t="s">
        <v>2</v>
      </c>
      <c r="G345" s="17" t="s">
        <v>178</v>
      </c>
      <c r="H345" s="17"/>
      <c r="I345" s="1" t="str">
        <f t="shared" si="17"/>
        <v/>
      </c>
      <c r="J345" s="1" t="str">
        <f t="shared" si="15"/>
        <v/>
      </c>
      <c r="K345" s="1" t="str">
        <f t="shared" si="16"/>
        <v/>
      </c>
    </row>
    <row r="346" spans="4:11" ht="15" customHeight="1">
      <c r="D346" s="6" t="s">
        <v>66</v>
      </c>
      <c r="E346" s="7"/>
      <c r="F346" s="7"/>
      <c r="G346" s="17" t="s">
        <v>181</v>
      </c>
      <c r="H346" s="17">
        <v>4</v>
      </c>
      <c r="I346" s="1">
        <f t="shared" si="17"/>
        <v>-3</v>
      </c>
      <c r="J346" s="1">
        <f t="shared" si="15"/>
        <v>0</v>
      </c>
      <c r="K346" s="1">
        <f t="shared" si="16"/>
        <v>9</v>
      </c>
    </row>
    <row r="347" spans="4:11" ht="30.75" thickBot="1">
      <c r="D347" s="8"/>
      <c r="E347" s="9" t="s">
        <v>24</v>
      </c>
      <c r="F347" s="9" t="s">
        <v>1</v>
      </c>
      <c r="G347" s="17" t="s">
        <v>178</v>
      </c>
      <c r="H347" s="17"/>
      <c r="I347" s="1" t="str">
        <f t="shared" si="17"/>
        <v/>
      </c>
      <c r="J347" s="1" t="str">
        <f t="shared" si="15"/>
        <v/>
      </c>
      <c r="K347" s="1" t="str">
        <f t="shared" si="16"/>
        <v/>
      </c>
    </row>
    <row r="348" spans="4:11" ht="15" customHeight="1">
      <c r="D348" s="6" t="s">
        <v>66</v>
      </c>
      <c r="E348" s="7"/>
      <c r="F348" s="7"/>
      <c r="G348" s="17" t="s">
        <v>184</v>
      </c>
      <c r="H348" s="17">
        <v>3</v>
      </c>
      <c r="I348" s="1">
        <f t="shared" si="17"/>
        <v>1</v>
      </c>
      <c r="J348" s="1">
        <f t="shared" si="15"/>
        <v>0</v>
      </c>
      <c r="K348" s="1">
        <f t="shared" si="16"/>
        <v>1</v>
      </c>
    </row>
    <row r="349" spans="4:11" ht="30.75" thickBot="1">
      <c r="D349" s="8"/>
      <c r="E349" s="9" t="s">
        <v>4</v>
      </c>
      <c r="F349" s="9" t="s">
        <v>12</v>
      </c>
      <c r="G349" s="17" t="s">
        <v>178</v>
      </c>
      <c r="H349" s="17"/>
      <c r="I349" s="1" t="str">
        <f t="shared" si="17"/>
        <v/>
      </c>
      <c r="J349" s="1" t="str">
        <f t="shared" si="15"/>
        <v/>
      </c>
      <c r="K349" s="1" t="str">
        <f t="shared" si="16"/>
        <v/>
      </c>
    </row>
    <row r="350" spans="4:11" ht="15" customHeight="1">
      <c r="D350" s="6" t="s">
        <v>66</v>
      </c>
      <c r="E350" s="7"/>
      <c r="F350" s="7"/>
      <c r="G350" s="17" t="s">
        <v>184</v>
      </c>
      <c r="H350" s="17">
        <v>2</v>
      </c>
      <c r="I350" s="1">
        <f t="shared" si="17"/>
        <v>2</v>
      </c>
      <c r="J350" s="1">
        <f t="shared" si="15"/>
        <v>0</v>
      </c>
      <c r="K350" s="1">
        <f t="shared" si="16"/>
        <v>4</v>
      </c>
    </row>
    <row r="351" spans="4:11" ht="15.75" thickBot="1">
      <c r="D351" s="8"/>
      <c r="E351" s="9" t="s">
        <v>28</v>
      </c>
      <c r="F351" s="9" t="s">
        <v>7</v>
      </c>
      <c r="G351" s="17" t="s">
        <v>178</v>
      </c>
      <c r="H351" s="17"/>
      <c r="I351" s="1" t="str">
        <f t="shared" si="17"/>
        <v/>
      </c>
      <c r="J351" s="1" t="str">
        <f t="shared" si="15"/>
        <v/>
      </c>
      <c r="K351" s="1" t="str">
        <f t="shared" si="16"/>
        <v/>
      </c>
    </row>
    <row r="352" spans="4:11" ht="15" customHeight="1">
      <c r="D352" s="6" t="s">
        <v>66</v>
      </c>
      <c r="E352" s="7"/>
      <c r="F352" s="7"/>
      <c r="G352" s="17" t="s">
        <v>181</v>
      </c>
      <c r="H352" s="17">
        <v>0</v>
      </c>
      <c r="I352" s="1">
        <f t="shared" si="17"/>
        <v>1</v>
      </c>
      <c r="J352" s="1">
        <f t="shared" si="15"/>
        <v>0</v>
      </c>
      <c r="K352" s="1">
        <f t="shared" si="16"/>
        <v>1</v>
      </c>
    </row>
    <row r="353" spans="4:11" ht="15.75" thickBot="1">
      <c r="D353" s="8"/>
      <c r="E353" s="9" t="s">
        <v>39</v>
      </c>
      <c r="F353" s="9" t="s">
        <v>36</v>
      </c>
      <c r="G353" s="17" t="s">
        <v>178</v>
      </c>
      <c r="H353" s="17"/>
      <c r="I353" s="1" t="str">
        <f t="shared" si="17"/>
        <v/>
      </c>
      <c r="J353" s="1" t="str">
        <f t="shared" si="15"/>
        <v/>
      </c>
      <c r="K353" s="1" t="str">
        <f t="shared" si="16"/>
        <v/>
      </c>
    </row>
    <row r="354" spans="4:11" ht="15" customHeight="1">
      <c r="D354" s="6" t="s">
        <v>66</v>
      </c>
      <c r="E354" s="7"/>
      <c r="F354" s="7"/>
      <c r="G354" s="17" t="s">
        <v>185</v>
      </c>
      <c r="H354" s="17">
        <v>0</v>
      </c>
      <c r="I354" s="1">
        <f t="shared" si="17"/>
        <v>5</v>
      </c>
      <c r="J354" s="1">
        <f t="shared" si="15"/>
        <v>0</v>
      </c>
      <c r="K354" s="1">
        <f t="shared" si="16"/>
        <v>25</v>
      </c>
    </row>
    <row r="355" spans="4:11" ht="15.75" thickBot="1">
      <c r="D355" s="8"/>
      <c r="E355" s="9" t="s">
        <v>20</v>
      </c>
      <c r="F355" s="9" t="s">
        <v>230</v>
      </c>
      <c r="G355" s="17" t="s">
        <v>178</v>
      </c>
      <c r="H355" s="17"/>
      <c r="I355" s="1" t="str">
        <f t="shared" si="17"/>
        <v/>
      </c>
      <c r="J355" s="1" t="str">
        <f t="shared" si="15"/>
        <v/>
      </c>
      <c r="K355" s="1" t="str">
        <f t="shared" si="16"/>
        <v/>
      </c>
    </row>
    <row r="356" spans="4:11" ht="18" customHeight="1">
      <c r="D356" s="6" t="s">
        <v>66</v>
      </c>
      <c r="E356" s="7"/>
      <c r="F356" s="7"/>
      <c r="G356" s="17" t="s">
        <v>181</v>
      </c>
      <c r="H356" s="17">
        <v>3</v>
      </c>
      <c r="I356" s="1">
        <f t="shared" si="17"/>
        <v>-2</v>
      </c>
      <c r="J356" s="1">
        <f t="shared" si="15"/>
        <v>0</v>
      </c>
      <c r="K356" s="1">
        <f t="shared" si="16"/>
        <v>4</v>
      </c>
    </row>
    <row r="357" spans="4:11" ht="15.75" thickBot="1">
      <c r="D357" s="8"/>
      <c r="E357" s="9" t="s">
        <v>13</v>
      </c>
      <c r="F357" s="9" t="s">
        <v>18</v>
      </c>
      <c r="G357" s="17" t="s">
        <v>178</v>
      </c>
      <c r="H357" s="17"/>
      <c r="I357" s="1" t="str">
        <f t="shared" si="17"/>
        <v/>
      </c>
      <c r="J357" s="1" t="str">
        <f t="shared" si="15"/>
        <v/>
      </c>
      <c r="K357" s="1" t="str">
        <f t="shared" si="16"/>
        <v/>
      </c>
    </row>
    <row r="358" spans="4:11" ht="15" customHeight="1">
      <c r="D358" s="6" t="s">
        <v>66</v>
      </c>
      <c r="E358" s="7"/>
      <c r="F358" s="7"/>
      <c r="G358" s="17" t="s">
        <v>184</v>
      </c>
      <c r="H358" s="17">
        <v>1</v>
      </c>
      <c r="I358" s="1">
        <f t="shared" si="17"/>
        <v>3</v>
      </c>
      <c r="J358" s="1">
        <f t="shared" si="15"/>
        <v>0</v>
      </c>
      <c r="K358" s="1">
        <f t="shared" si="16"/>
        <v>9</v>
      </c>
    </row>
    <row r="359" spans="4:11" ht="15.75" thickBot="1">
      <c r="D359" s="8"/>
      <c r="E359" s="9" t="s">
        <v>11</v>
      </c>
      <c r="F359" s="9" t="s">
        <v>23</v>
      </c>
      <c r="G359" s="17" t="s">
        <v>178</v>
      </c>
      <c r="H359" s="17"/>
      <c r="I359" s="1" t="str">
        <f t="shared" si="17"/>
        <v/>
      </c>
      <c r="J359" s="1" t="str">
        <f t="shared" si="15"/>
        <v/>
      </c>
      <c r="K359" s="1" t="str">
        <f t="shared" si="16"/>
        <v/>
      </c>
    </row>
    <row r="360" spans="4:11" ht="15" customHeight="1">
      <c r="D360" s="6" t="s">
        <v>66</v>
      </c>
      <c r="E360" s="7"/>
      <c r="F360" s="7"/>
      <c r="G360" s="17" t="s">
        <v>181</v>
      </c>
      <c r="H360" s="17">
        <v>3</v>
      </c>
      <c r="I360" s="1">
        <f t="shared" si="17"/>
        <v>-2</v>
      </c>
      <c r="J360" s="1">
        <f t="shared" si="15"/>
        <v>0</v>
      </c>
      <c r="K360" s="1">
        <f t="shared" si="16"/>
        <v>4</v>
      </c>
    </row>
    <row r="361" spans="4:11" ht="15.75" thickBot="1">
      <c r="D361" s="8"/>
      <c r="E361" s="9" t="s">
        <v>19</v>
      </c>
      <c r="F361" s="9" t="s">
        <v>25</v>
      </c>
      <c r="G361" s="17" t="s">
        <v>178</v>
      </c>
      <c r="H361" s="17"/>
      <c r="I361" s="1" t="str">
        <f t="shared" si="17"/>
        <v/>
      </c>
      <c r="J361" s="1" t="str">
        <f t="shared" si="15"/>
        <v/>
      </c>
      <c r="K361" s="1" t="str">
        <f t="shared" si="16"/>
        <v/>
      </c>
    </row>
    <row r="362" spans="4:11" ht="15" customHeight="1">
      <c r="D362" s="6" t="s">
        <v>66</v>
      </c>
      <c r="E362" s="7"/>
      <c r="F362" s="7"/>
      <c r="G362" s="17" t="s">
        <v>182</v>
      </c>
      <c r="H362" s="17">
        <v>1</v>
      </c>
      <c r="I362" s="1">
        <f t="shared" si="17"/>
        <v>2</v>
      </c>
      <c r="J362" s="1">
        <f t="shared" si="15"/>
        <v>0</v>
      </c>
      <c r="K362" s="1">
        <f t="shared" si="16"/>
        <v>4</v>
      </c>
    </row>
    <row r="363" spans="4:11" ht="15.75" thickBot="1">
      <c r="D363" s="8"/>
      <c r="E363" s="9" t="s">
        <v>34</v>
      </c>
      <c r="F363" s="9" t="s">
        <v>21</v>
      </c>
      <c r="G363" s="17" t="s">
        <v>178</v>
      </c>
      <c r="H363" s="17"/>
      <c r="I363" s="1" t="str">
        <f t="shared" si="17"/>
        <v/>
      </c>
      <c r="J363" s="1" t="str">
        <f t="shared" si="15"/>
        <v/>
      </c>
      <c r="K363" s="1" t="str">
        <f t="shared" si="16"/>
        <v/>
      </c>
    </row>
    <row r="364" spans="4:11" ht="15" customHeight="1">
      <c r="D364" s="6" t="s">
        <v>66</v>
      </c>
      <c r="E364" s="7"/>
      <c r="F364" s="7"/>
      <c r="G364" s="17" t="s">
        <v>185</v>
      </c>
      <c r="H364" s="17">
        <v>2</v>
      </c>
      <c r="I364" s="1">
        <f t="shared" si="17"/>
        <v>3</v>
      </c>
      <c r="J364" s="1">
        <f t="shared" si="15"/>
        <v>0</v>
      </c>
      <c r="K364" s="1">
        <f t="shared" si="16"/>
        <v>9</v>
      </c>
    </row>
    <row r="365" spans="4:11" ht="15.75" thickBot="1">
      <c r="D365" s="8"/>
      <c r="E365" s="9" t="s">
        <v>3</v>
      </c>
      <c r="F365" s="9" t="s">
        <v>22</v>
      </c>
      <c r="G365" s="17" t="s">
        <v>178</v>
      </c>
      <c r="H365" s="17"/>
      <c r="I365" s="1" t="str">
        <f t="shared" si="17"/>
        <v/>
      </c>
      <c r="J365" s="1" t="str">
        <f t="shared" si="15"/>
        <v/>
      </c>
      <c r="K365" s="1" t="str">
        <f t="shared" si="16"/>
        <v/>
      </c>
    </row>
    <row r="366" spans="4:11" ht="15" customHeight="1">
      <c r="D366" s="6" t="s">
        <v>66</v>
      </c>
      <c r="E366" s="7"/>
      <c r="F366" s="7"/>
      <c r="G366" s="17" t="s">
        <v>180</v>
      </c>
      <c r="H366" s="17">
        <v>3</v>
      </c>
      <c r="I366" s="1">
        <f t="shared" si="17"/>
        <v>-1</v>
      </c>
      <c r="J366" s="1">
        <f t="shared" si="15"/>
        <v>0</v>
      </c>
      <c r="K366" s="1">
        <f t="shared" si="16"/>
        <v>1</v>
      </c>
    </row>
    <row r="367" spans="4:11" ht="15.75" thickBot="1">
      <c r="D367" s="8"/>
      <c r="E367" s="9" t="s">
        <v>0</v>
      </c>
      <c r="F367" s="9" t="s">
        <v>26</v>
      </c>
      <c r="G367" s="17" t="s">
        <v>178</v>
      </c>
      <c r="H367" s="17"/>
      <c r="I367" s="1" t="str">
        <f t="shared" si="17"/>
        <v/>
      </c>
      <c r="J367" s="1" t="str">
        <f t="shared" si="15"/>
        <v/>
      </c>
      <c r="K367" s="1" t="str">
        <f t="shared" si="16"/>
        <v/>
      </c>
    </row>
    <row r="368" spans="4:11" ht="18" customHeight="1">
      <c r="D368" s="6" t="s">
        <v>67</v>
      </c>
      <c r="E368" s="7"/>
      <c r="F368" s="7"/>
      <c r="G368" s="17" t="s">
        <v>180</v>
      </c>
      <c r="H368" s="17">
        <v>1</v>
      </c>
      <c r="I368" s="1">
        <f t="shared" si="17"/>
        <v>1</v>
      </c>
      <c r="J368" s="1">
        <f t="shared" si="15"/>
        <v>2550</v>
      </c>
      <c r="K368" s="1">
        <f t="shared" si="16"/>
        <v>6497401</v>
      </c>
    </row>
    <row r="369" spans="4:11" ht="15.75" thickBot="1">
      <c r="D369" s="8"/>
      <c r="E369" s="9" t="s">
        <v>230</v>
      </c>
      <c r="F369" s="9" t="s">
        <v>8</v>
      </c>
      <c r="G369" s="17" t="s">
        <v>178</v>
      </c>
      <c r="H369" s="17"/>
      <c r="I369" s="1" t="str">
        <f t="shared" si="17"/>
        <v/>
      </c>
      <c r="J369" s="1" t="str">
        <f t="shared" si="15"/>
        <v/>
      </c>
      <c r="K369" s="1" t="str">
        <f t="shared" si="16"/>
        <v/>
      </c>
    </row>
    <row r="370" spans="4:11" ht="15" customHeight="1">
      <c r="D370" s="6" t="s">
        <v>67</v>
      </c>
      <c r="E370" s="7"/>
      <c r="F370" s="7"/>
      <c r="G370" s="17" t="s">
        <v>182</v>
      </c>
      <c r="H370" s="17">
        <v>4</v>
      </c>
      <c r="I370" s="1">
        <f t="shared" si="17"/>
        <v>-1</v>
      </c>
      <c r="J370" s="1">
        <f t="shared" si="15"/>
        <v>0</v>
      </c>
      <c r="K370" s="1">
        <f t="shared" si="16"/>
        <v>1</v>
      </c>
    </row>
    <row r="371" spans="4:11" ht="15.75" thickBot="1">
      <c r="D371" s="8"/>
      <c r="E371" s="9" t="s">
        <v>13</v>
      </c>
      <c r="F371" s="9" t="s">
        <v>38</v>
      </c>
      <c r="G371" s="17" t="s">
        <v>178</v>
      </c>
      <c r="H371" s="17"/>
      <c r="I371" s="1" t="str">
        <f t="shared" si="17"/>
        <v/>
      </c>
      <c r="J371" s="1" t="str">
        <f t="shared" si="15"/>
        <v/>
      </c>
      <c r="K371" s="1" t="str">
        <f t="shared" si="16"/>
        <v/>
      </c>
    </row>
    <row r="372" spans="4:11" ht="15" customHeight="1">
      <c r="D372" s="6" t="s">
        <v>67</v>
      </c>
      <c r="E372" s="7"/>
      <c r="F372" s="7"/>
      <c r="G372" s="17" t="s">
        <v>182</v>
      </c>
      <c r="H372" s="17">
        <v>2</v>
      </c>
      <c r="I372" s="1">
        <f t="shared" si="17"/>
        <v>1</v>
      </c>
      <c r="J372" s="1">
        <f t="shared" si="15"/>
        <v>0</v>
      </c>
      <c r="K372" s="1">
        <f t="shared" si="16"/>
        <v>1</v>
      </c>
    </row>
    <row r="373" spans="4:11" ht="15.75" thickBot="1">
      <c r="D373" s="8"/>
      <c r="E373" s="9" t="s">
        <v>41</v>
      </c>
      <c r="F373" s="9" t="s">
        <v>10</v>
      </c>
      <c r="G373" s="17" t="s">
        <v>178</v>
      </c>
      <c r="H373" s="17"/>
      <c r="I373" s="1" t="str">
        <f t="shared" si="17"/>
        <v/>
      </c>
      <c r="J373" s="1" t="str">
        <f t="shared" si="15"/>
        <v/>
      </c>
      <c r="K373" s="1" t="str">
        <f t="shared" si="16"/>
        <v/>
      </c>
    </row>
    <row r="374" spans="4:11" ht="15" customHeight="1">
      <c r="D374" s="6" t="s">
        <v>68</v>
      </c>
      <c r="E374" s="7"/>
      <c r="F374" s="7"/>
      <c r="G374" s="17" t="s">
        <v>180</v>
      </c>
      <c r="H374" s="17">
        <v>5</v>
      </c>
      <c r="I374" s="1">
        <f t="shared" si="17"/>
        <v>-3</v>
      </c>
      <c r="J374" s="1">
        <f t="shared" si="15"/>
        <v>0</v>
      </c>
      <c r="K374" s="1">
        <f t="shared" si="16"/>
        <v>9</v>
      </c>
    </row>
    <row r="375" spans="4:11" ht="15.75" thickBot="1">
      <c r="D375" s="8"/>
      <c r="E375" s="9" t="s">
        <v>24</v>
      </c>
      <c r="F375" s="9" t="s">
        <v>2</v>
      </c>
      <c r="G375" s="17" t="s">
        <v>178</v>
      </c>
      <c r="H375" s="17"/>
      <c r="I375" s="1" t="str">
        <f t="shared" si="17"/>
        <v/>
      </c>
      <c r="J375" s="1" t="str">
        <f t="shared" si="15"/>
        <v/>
      </c>
      <c r="K375" s="1" t="str">
        <f t="shared" si="16"/>
        <v/>
      </c>
    </row>
    <row r="376" spans="4:11" ht="15" customHeight="1">
      <c r="D376" s="6" t="s">
        <v>68</v>
      </c>
      <c r="E376" s="7"/>
      <c r="F376" s="7"/>
      <c r="G376" s="17" t="s">
        <v>181</v>
      </c>
      <c r="H376" s="17">
        <v>4</v>
      </c>
      <c r="I376" s="1">
        <f t="shared" si="17"/>
        <v>-3</v>
      </c>
      <c r="J376" s="1">
        <f t="shared" si="15"/>
        <v>0</v>
      </c>
      <c r="K376" s="1">
        <f t="shared" si="16"/>
        <v>9</v>
      </c>
    </row>
    <row r="377" spans="4:11" ht="30.75" thickBot="1">
      <c r="D377" s="8"/>
      <c r="E377" s="9" t="s">
        <v>14</v>
      </c>
      <c r="F377" s="9" t="s">
        <v>1</v>
      </c>
      <c r="G377" s="17" t="s">
        <v>178</v>
      </c>
      <c r="H377" s="17"/>
      <c r="I377" s="1" t="str">
        <f t="shared" si="17"/>
        <v/>
      </c>
      <c r="J377" s="1" t="str">
        <f t="shared" si="15"/>
        <v/>
      </c>
      <c r="K377" s="1" t="str">
        <f t="shared" si="16"/>
        <v/>
      </c>
    </row>
    <row r="378" spans="4:11" ht="15" customHeight="1">
      <c r="D378" s="6" t="s">
        <v>68</v>
      </c>
      <c r="E378" s="7"/>
      <c r="F378" s="7"/>
      <c r="G378" s="17" t="s">
        <v>179</v>
      </c>
      <c r="H378" s="17">
        <v>3</v>
      </c>
      <c r="I378" s="1">
        <f t="shared" si="17"/>
        <v>-3</v>
      </c>
      <c r="J378" s="1">
        <f t="shared" si="15"/>
        <v>0</v>
      </c>
      <c r="K378" s="1">
        <f t="shared" si="16"/>
        <v>9</v>
      </c>
    </row>
    <row r="379" spans="4:11" ht="15.75" thickBot="1">
      <c r="D379" s="8"/>
      <c r="E379" s="9" t="s">
        <v>23</v>
      </c>
      <c r="F379" s="9" t="s">
        <v>18</v>
      </c>
      <c r="G379" s="17" t="s">
        <v>178</v>
      </c>
      <c r="H379" s="17"/>
      <c r="I379" s="1" t="str">
        <f t="shared" si="17"/>
        <v/>
      </c>
      <c r="J379" s="1" t="str">
        <f t="shared" si="15"/>
        <v/>
      </c>
      <c r="K379" s="1" t="str">
        <f t="shared" si="16"/>
        <v/>
      </c>
    </row>
    <row r="380" spans="4:11" ht="15" customHeight="1">
      <c r="D380" s="6" t="s">
        <v>68</v>
      </c>
      <c r="E380" s="7"/>
      <c r="F380" s="7"/>
      <c r="G380" s="17" t="s">
        <v>180</v>
      </c>
      <c r="H380" s="17">
        <v>5</v>
      </c>
      <c r="I380" s="1">
        <f t="shared" si="17"/>
        <v>-3</v>
      </c>
      <c r="J380" s="1">
        <f t="shared" si="15"/>
        <v>0</v>
      </c>
      <c r="K380" s="1">
        <f t="shared" si="16"/>
        <v>9</v>
      </c>
    </row>
    <row r="381" spans="4:11" ht="15.75" thickBot="1">
      <c r="D381" s="8"/>
      <c r="E381" s="9" t="s">
        <v>4</v>
      </c>
      <c r="F381" s="9" t="s">
        <v>37</v>
      </c>
      <c r="G381" s="17" t="s">
        <v>178</v>
      </c>
      <c r="H381" s="17"/>
      <c r="I381" s="1" t="str">
        <f t="shared" si="17"/>
        <v/>
      </c>
      <c r="J381" s="1" t="str">
        <f t="shared" si="15"/>
        <v/>
      </c>
      <c r="K381" s="1" t="str">
        <f t="shared" si="16"/>
        <v/>
      </c>
    </row>
    <row r="382" spans="4:11" ht="15" customHeight="1">
      <c r="D382" s="6" t="s">
        <v>68</v>
      </c>
      <c r="E382" s="7"/>
      <c r="F382" s="7"/>
      <c r="G382" s="17" t="s">
        <v>182</v>
      </c>
      <c r="H382" s="17">
        <v>4</v>
      </c>
      <c r="I382" s="1">
        <f t="shared" si="17"/>
        <v>-1</v>
      </c>
      <c r="J382" s="1">
        <f t="shared" si="15"/>
        <v>0</v>
      </c>
      <c r="K382" s="1">
        <f t="shared" si="16"/>
        <v>1</v>
      </c>
    </row>
    <row r="383" spans="4:11" ht="15.75" thickBot="1">
      <c r="D383" s="8"/>
      <c r="E383" s="9" t="s">
        <v>36</v>
      </c>
      <c r="F383" s="9" t="s">
        <v>39</v>
      </c>
      <c r="G383" s="17" t="s">
        <v>178</v>
      </c>
      <c r="H383" s="17"/>
      <c r="I383" s="1" t="str">
        <f t="shared" si="17"/>
        <v/>
      </c>
      <c r="J383" s="1" t="str">
        <f t="shared" si="15"/>
        <v/>
      </c>
      <c r="K383" s="1" t="str">
        <f t="shared" si="16"/>
        <v/>
      </c>
    </row>
    <row r="384" spans="4:11" ht="15" customHeight="1">
      <c r="D384" s="6" t="s">
        <v>68</v>
      </c>
      <c r="E384" s="7"/>
      <c r="F384" s="7"/>
      <c r="G384" s="17" t="s">
        <v>184</v>
      </c>
      <c r="H384" s="17">
        <v>3</v>
      </c>
      <c r="I384" s="1">
        <f t="shared" si="17"/>
        <v>1</v>
      </c>
      <c r="J384" s="1">
        <f t="shared" si="15"/>
        <v>0</v>
      </c>
      <c r="K384" s="1">
        <f t="shared" si="16"/>
        <v>1</v>
      </c>
    </row>
    <row r="385" spans="4:11" ht="15.75" thickBot="1">
      <c r="D385" s="8"/>
      <c r="E385" s="9" t="s">
        <v>11</v>
      </c>
      <c r="F385" s="9" t="s">
        <v>25</v>
      </c>
      <c r="G385" s="17" t="s">
        <v>178</v>
      </c>
      <c r="H385" s="17"/>
      <c r="I385" s="1" t="str">
        <f t="shared" si="17"/>
        <v/>
      </c>
      <c r="J385" s="1" t="str">
        <f t="shared" si="15"/>
        <v/>
      </c>
      <c r="K385" s="1" t="str">
        <f t="shared" si="16"/>
        <v/>
      </c>
    </row>
    <row r="386" spans="4:11" ht="18" customHeight="1">
      <c r="D386" s="6" t="s">
        <v>68</v>
      </c>
      <c r="E386" s="7"/>
      <c r="F386" s="7"/>
      <c r="G386" s="17" t="s">
        <v>182</v>
      </c>
      <c r="H386" s="17">
        <v>2</v>
      </c>
      <c r="I386" s="1">
        <f t="shared" si="17"/>
        <v>1</v>
      </c>
      <c r="J386" s="1">
        <f t="shared" si="15"/>
        <v>0</v>
      </c>
      <c r="K386" s="1">
        <f t="shared" si="16"/>
        <v>1</v>
      </c>
    </row>
    <row r="387" spans="4:11" ht="15.75" thickBot="1">
      <c r="D387" s="8"/>
      <c r="E387" s="9" t="s">
        <v>19</v>
      </c>
      <c r="F387" s="9" t="s">
        <v>21</v>
      </c>
      <c r="G387" s="17" t="s">
        <v>178</v>
      </c>
      <c r="H387" s="17"/>
      <c r="I387" s="1" t="str">
        <f t="shared" si="17"/>
        <v/>
      </c>
      <c r="J387" s="1" t="str">
        <f t="shared" ref="J387:J450" si="18">IF(F388="","",VLOOKUP(F388,$A$2:$B$31,2)+$B$33-VLOOKUP(E388,$A$2:$B$31,2))</f>
        <v/>
      </c>
      <c r="K387" s="1" t="str">
        <f t="shared" ref="K387:K450" si="19">IF(G387="","",(I387-J387)^2)</f>
        <v/>
      </c>
    </row>
    <row r="388" spans="4:11" ht="15" customHeight="1">
      <c r="D388" s="6" t="s">
        <v>68</v>
      </c>
      <c r="E388" s="7"/>
      <c r="F388" s="7"/>
      <c r="G388" s="17" t="s">
        <v>182</v>
      </c>
      <c r="H388" s="17">
        <v>4</v>
      </c>
      <c r="I388" s="1">
        <f t="shared" ref="I388:I451" si="20">IF(G388="","",G388-H388)</f>
        <v>-1</v>
      </c>
      <c r="J388" s="1">
        <f t="shared" si="18"/>
        <v>0</v>
      </c>
      <c r="K388" s="1">
        <f t="shared" si="19"/>
        <v>1</v>
      </c>
    </row>
    <row r="389" spans="4:11" ht="15.75" thickBot="1">
      <c r="D389" s="8"/>
      <c r="E389" s="9" t="s">
        <v>0</v>
      </c>
      <c r="F389" s="9" t="s">
        <v>22</v>
      </c>
      <c r="G389" s="17" t="s">
        <v>178</v>
      </c>
      <c r="H389" s="17"/>
      <c r="I389" s="1" t="str">
        <f t="shared" si="20"/>
        <v/>
      </c>
      <c r="J389" s="1" t="str">
        <f t="shared" si="18"/>
        <v/>
      </c>
      <c r="K389" s="1" t="str">
        <f t="shared" si="19"/>
        <v/>
      </c>
    </row>
    <row r="390" spans="4:11" ht="15" customHeight="1">
      <c r="D390" s="6" t="s">
        <v>68</v>
      </c>
      <c r="E390" s="7"/>
      <c r="F390" s="7"/>
      <c r="G390" s="17" t="s">
        <v>180</v>
      </c>
      <c r="H390" s="17">
        <v>1</v>
      </c>
      <c r="I390" s="1">
        <f t="shared" si="20"/>
        <v>1</v>
      </c>
      <c r="J390" s="1">
        <f t="shared" si="18"/>
        <v>0</v>
      </c>
      <c r="K390" s="1">
        <f t="shared" si="19"/>
        <v>1</v>
      </c>
    </row>
    <row r="391" spans="4:11" ht="15.75" thickBot="1">
      <c r="D391" s="8"/>
      <c r="E391" s="9" t="s">
        <v>41</v>
      </c>
      <c r="F391" s="9" t="s">
        <v>34</v>
      </c>
      <c r="G391" s="17" t="s">
        <v>178</v>
      </c>
      <c r="H391" s="17"/>
      <c r="I391" s="1" t="str">
        <f t="shared" si="20"/>
        <v/>
      </c>
      <c r="J391" s="1" t="str">
        <f t="shared" si="18"/>
        <v/>
      </c>
      <c r="K391" s="1" t="str">
        <f t="shared" si="19"/>
        <v/>
      </c>
    </row>
    <row r="392" spans="4:11" ht="15" customHeight="1">
      <c r="D392" s="6" t="s">
        <v>68</v>
      </c>
      <c r="E392" s="7"/>
      <c r="F392" s="7"/>
      <c r="G392" s="17" t="s">
        <v>182</v>
      </c>
      <c r="H392" s="17">
        <v>2</v>
      </c>
      <c r="I392" s="1">
        <f t="shared" si="20"/>
        <v>1</v>
      </c>
      <c r="J392" s="1">
        <f t="shared" si="18"/>
        <v>0</v>
      </c>
      <c r="K392" s="1">
        <f t="shared" si="19"/>
        <v>1</v>
      </c>
    </row>
    <row r="393" spans="4:11" ht="15.75" thickBot="1">
      <c r="D393" s="8"/>
      <c r="E393" s="9" t="s">
        <v>3</v>
      </c>
      <c r="F393" s="9" t="s">
        <v>33</v>
      </c>
      <c r="G393" s="17" t="s">
        <v>178</v>
      </c>
      <c r="H393" s="17"/>
      <c r="I393" s="1" t="str">
        <f t="shared" si="20"/>
        <v/>
      </c>
      <c r="J393" s="1" t="str">
        <f t="shared" si="18"/>
        <v/>
      </c>
      <c r="K393" s="1" t="str">
        <f t="shared" si="19"/>
        <v/>
      </c>
    </row>
    <row r="394" spans="4:11" ht="15" customHeight="1">
      <c r="D394" s="6" t="s">
        <v>69</v>
      </c>
      <c r="E394" s="7"/>
      <c r="F394" s="7"/>
      <c r="G394" s="17" t="s">
        <v>182</v>
      </c>
      <c r="H394" s="17">
        <v>2</v>
      </c>
      <c r="I394" s="1">
        <f t="shared" si="20"/>
        <v>1</v>
      </c>
      <c r="J394" s="1">
        <f t="shared" si="18"/>
        <v>2550</v>
      </c>
      <c r="K394" s="1">
        <f t="shared" si="19"/>
        <v>6497401</v>
      </c>
    </row>
    <row r="395" spans="4:11" ht="15.75" thickBot="1">
      <c r="D395" s="8"/>
      <c r="E395" s="9" t="s">
        <v>24</v>
      </c>
      <c r="F395" s="9" t="s">
        <v>8</v>
      </c>
      <c r="G395" s="17" t="s">
        <v>178</v>
      </c>
      <c r="H395" s="17"/>
      <c r="I395" s="1" t="str">
        <f t="shared" si="20"/>
        <v/>
      </c>
      <c r="J395" s="1" t="str">
        <f t="shared" si="18"/>
        <v/>
      </c>
      <c r="K395" s="1" t="str">
        <f t="shared" si="19"/>
        <v/>
      </c>
    </row>
    <row r="396" spans="4:11" ht="15" customHeight="1">
      <c r="D396" s="6" t="s">
        <v>69</v>
      </c>
      <c r="E396" s="7"/>
      <c r="F396" s="7"/>
      <c r="G396" s="17" t="s">
        <v>180</v>
      </c>
      <c r="H396" s="17">
        <v>3</v>
      </c>
      <c r="I396" s="1">
        <f t="shared" si="20"/>
        <v>-1</v>
      </c>
      <c r="J396" s="1">
        <f t="shared" si="18"/>
        <v>0</v>
      </c>
      <c r="K396" s="1">
        <f t="shared" si="19"/>
        <v>1</v>
      </c>
    </row>
    <row r="397" spans="4:11" ht="15.75" thickBot="1">
      <c r="D397" s="8"/>
      <c r="E397" s="9" t="s">
        <v>7</v>
      </c>
      <c r="F397" s="9" t="s">
        <v>28</v>
      </c>
      <c r="G397" s="17" t="s">
        <v>178</v>
      </c>
      <c r="H397" s="17"/>
      <c r="I397" s="1" t="str">
        <f t="shared" si="20"/>
        <v/>
      </c>
      <c r="J397" s="1" t="str">
        <f t="shared" si="18"/>
        <v/>
      </c>
      <c r="K397" s="1" t="str">
        <f t="shared" si="19"/>
        <v/>
      </c>
    </row>
    <row r="398" spans="4:11" ht="15" customHeight="1">
      <c r="D398" s="6" t="s">
        <v>69</v>
      </c>
      <c r="E398" s="7"/>
      <c r="F398" s="7"/>
      <c r="G398" s="17" t="s">
        <v>180</v>
      </c>
      <c r="H398" s="17">
        <v>4</v>
      </c>
      <c r="I398" s="1">
        <f t="shared" si="20"/>
        <v>-2</v>
      </c>
      <c r="J398" s="1">
        <f t="shared" si="18"/>
        <v>0</v>
      </c>
      <c r="K398" s="1">
        <f t="shared" si="19"/>
        <v>4</v>
      </c>
    </row>
    <row r="399" spans="4:11" ht="15.75" thickBot="1">
      <c r="D399" s="8"/>
      <c r="E399" s="9" t="s">
        <v>36</v>
      </c>
      <c r="F399" s="9" t="s">
        <v>13</v>
      </c>
      <c r="G399" s="17" t="s">
        <v>178</v>
      </c>
      <c r="H399" s="17"/>
      <c r="I399" s="1" t="str">
        <f t="shared" si="20"/>
        <v/>
      </c>
      <c r="J399" s="1" t="str">
        <f t="shared" si="18"/>
        <v/>
      </c>
      <c r="K399" s="1" t="str">
        <f t="shared" si="19"/>
        <v/>
      </c>
    </row>
    <row r="400" spans="4:11" ht="15" customHeight="1">
      <c r="D400" s="6" t="s">
        <v>69</v>
      </c>
      <c r="E400" s="7"/>
      <c r="F400" s="7"/>
      <c r="G400" s="17" t="s">
        <v>182</v>
      </c>
      <c r="H400" s="17">
        <v>2</v>
      </c>
      <c r="I400" s="1">
        <f t="shared" si="20"/>
        <v>1</v>
      </c>
      <c r="J400" s="1">
        <f t="shared" si="18"/>
        <v>0</v>
      </c>
      <c r="K400" s="1">
        <f t="shared" si="19"/>
        <v>1</v>
      </c>
    </row>
    <row r="401" spans="4:11" ht="15.75" thickBot="1">
      <c r="D401" s="8"/>
      <c r="E401" s="9" t="s">
        <v>12</v>
      </c>
      <c r="F401" s="9" t="s">
        <v>20</v>
      </c>
      <c r="G401" s="17" t="s">
        <v>178</v>
      </c>
      <c r="H401" s="17"/>
      <c r="I401" s="1" t="str">
        <f t="shared" si="20"/>
        <v/>
      </c>
      <c r="J401" s="1" t="str">
        <f t="shared" si="18"/>
        <v/>
      </c>
      <c r="K401" s="1" t="str">
        <f t="shared" si="19"/>
        <v/>
      </c>
    </row>
    <row r="402" spans="4:11" ht="18" customHeight="1">
      <c r="D402" s="6" t="s">
        <v>69</v>
      </c>
      <c r="E402" s="7"/>
      <c r="F402" s="7"/>
      <c r="G402" s="17" t="s">
        <v>182</v>
      </c>
      <c r="H402" s="17">
        <v>2</v>
      </c>
      <c r="I402" s="1">
        <f t="shared" si="20"/>
        <v>1</v>
      </c>
      <c r="J402" s="1">
        <f t="shared" si="18"/>
        <v>0</v>
      </c>
      <c r="K402" s="1">
        <f t="shared" si="19"/>
        <v>1</v>
      </c>
    </row>
    <row r="403" spans="4:11" ht="15.75" thickBot="1">
      <c r="D403" s="8"/>
      <c r="E403" s="9" t="s">
        <v>26</v>
      </c>
      <c r="F403" s="9" t="s">
        <v>10</v>
      </c>
      <c r="G403" s="17" t="s">
        <v>178</v>
      </c>
      <c r="H403" s="17"/>
      <c r="I403" s="1" t="str">
        <f t="shared" si="20"/>
        <v/>
      </c>
      <c r="J403" s="1" t="str">
        <f t="shared" si="18"/>
        <v/>
      </c>
      <c r="K403" s="1" t="str">
        <f t="shared" si="19"/>
        <v/>
      </c>
    </row>
    <row r="404" spans="4:11" ht="18" customHeight="1">
      <c r="D404" s="6" t="s">
        <v>70</v>
      </c>
      <c r="E404" s="7"/>
      <c r="F404" s="7"/>
      <c r="G404" s="17" t="s">
        <v>183</v>
      </c>
      <c r="H404" s="17">
        <v>4</v>
      </c>
      <c r="I404" s="1">
        <f t="shared" si="20"/>
        <v>2</v>
      </c>
      <c r="J404" s="1">
        <f t="shared" si="18"/>
        <v>0</v>
      </c>
      <c r="K404" s="1">
        <f t="shared" si="19"/>
        <v>4</v>
      </c>
    </row>
    <row r="405" spans="4:11" ht="15.75" thickBot="1">
      <c r="D405" s="8"/>
      <c r="E405" s="9" t="s">
        <v>4</v>
      </c>
      <c r="F405" s="9" t="s">
        <v>14</v>
      </c>
      <c r="G405" s="17" t="s">
        <v>178</v>
      </c>
      <c r="H405" s="17"/>
      <c r="I405" s="1" t="str">
        <f t="shared" si="20"/>
        <v/>
      </c>
      <c r="J405" s="1" t="str">
        <f t="shared" si="18"/>
        <v/>
      </c>
      <c r="K405" s="1" t="str">
        <f t="shared" si="19"/>
        <v/>
      </c>
    </row>
    <row r="406" spans="4:11" ht="15" customHeight="1">
      <c r="D406" s="6" t="s">
        <v>70</v>
      </c>
      <c r="E406" s="7"/>
      <c r="F406" s="7"/>
      <c r="G406" s="17" t="s">
        <v>183</v>
      </c>
      <c r="H406" s="17">
        <v>1</v>
      </c>
      <c r="I406" s="1">
        <f t="shared" si="20"/>
        <v>5</v>
      </c>
      <c r="J406" s="1">
        <f t="shared" si="18"/>
        <v>2550</v>
      </c>
      <c r="K406" s="1">
        <f t="shared" si="19"/>
        <v>6477025</v>
      </c>
    </row>
    <row r="407" spans="4:11" ht="15.75" thickBot="1">
      <c r="D407" s="8"/>
      <c r="E407" s="9" t="s">
        <v>11</v>
      </c>
      <c r="F407" s="9" t="s">
        <v>8</v>
      </c>
      <c r="G407" s="17" t="s">
        <v>178</v>
      </c>
      <c r="H407" s="17"/>
      <c r="I407" s="1" t="str">
        <f t="shared" si="20"/>
        <v/>
      </c>
      <c r="J407" s="1" t="str">
        <f t="shared" si="18"/>
        <v/>
      </c>
      <c r="K407" s="1" t="str">
        <f t="shared" si="19"/>
        <v/>
      </c>
    </row>
    <row r="408" spans="4:11" ht="15" customHeight="1">
      <c r="D408" s="6" t="s">
        <v>70</v>
      </c>
      <c r="E408" s="7"/>
      <c r="F408" s="7"/>
      <c r="G408" s="17" t="s">
        <v>184</v>
      </c>
      <c r="H408" s="17">
        <v>5</v>
      </c>
      <c r="I408" s="1">
        <f t="shared" si="20"/>
        <v>-1</v>
      </c>
      <c r="J408" s="1">
        <f t="shared" si="18"/>
        <v>0</v>
      </c>
      <c r="K408" s="1">
        <f t="shared" si="19"/>
        <v>1</v>
      </c>
    </row>
    <row r="409" spans="4:11" ht="15.75" thickBot="1">
      <c r="D409" s="8"/>
      <c r="E409" s="9" t="s">
        <v>38</v>
      </c>
      <c r="F409" s="9" t="s">
        <v>0</v>
      </c>
      <c r="G409" s="17" t="s">
        <v>178</v>
      </c>
      <c r="H409" s="17"/>
      <c r="I409" s="1" t="str">
        <f t="shared" si="20"/>
        <v/>
      </c>
      <c r="J409" s="1" t="str">
        <f t="shared" si="18"/>
        <v/>
      </c>
      <c r="K409" s="1" t="str">
        <f t="shared" si="19"/>
        <v/>
      </c>
    </row>
    <row r="410" spans="4:11" ht="15" customHeight="1">
      <c r="D410" s="6" t="s">
        <v>70</v>
      </c>
      <c r="E410" s="7"/>
      <c r="F410" s="7"/>
      <c r="G410" s="17" t="s">
        <v>181</v>
      </c>
      <c r="H410" s="17">
        <v>4</v>
      </c>
      <c r="I410" s="1">
        <f t="shared" si="20"/>
        <v>-3</v>
      </c>
      <c r="J410" s="1">
        <f t="shared" si="18"/>
        <v>0</v>
      </c>
      <c r="K410" s="1">
        <f t="shared" si="19"/>
        <v>9</v>
      </c>
    </row>
    <row r="411" spans="4:11" ht="15.75" thickBot="1">
      <c r="D411" s="8"/>
      <c r="E411" s="9" t="s">
        <v>23</v>
      </c>
      <c r="F411" s="9" t="s">
        <v>230</v>
      </c>
      <c r="G411" s="17" t="s">
        <v>178</v>
      </c>
      <c r="H411" s="17"/>
      <c r="I411" s="1" t="str">
        <f t="shared" si="20"/>
        <v/>
      </c>
      <c r="J411" s="1" t="str">
        <f t="shared" si="18"/>
        <v/>
      </c>
      <c r="K411" s="1" t="str">
        <f t="shared" si="19"/>
        <v/>
      </c>
    </row>
    <row r="412" spans="4:11" ht="18" customHeight="1">
      <c r="D412" s="6" t="s">
        <v>70</v>
      </c>
      <c r="E412" s="7"/>
      <c r="F412" s="7"/>
      <c r="G412" s="17" t="s">
        <v>180</v>
      </c>
      <c r="H412" s="17">
        <v>1</v>
      </c>
      <c r="I412" s="1">
        <f t="shared" si="20"/>
        <v>1</v>
      </c>
      <c r="J412" s="1">
        <f t="shared" si="18"/>
        <v>0</v>
      </c>
      <c r="K412" s="1">
        <f t="shared" si="19"/>
        <v>1</v>
      </c>
    </row>
    <row r="413" spans="4:11" ht="15.75" thickBot="1">
      <c r="D413" s="8"/>
      <c r="E413" s="9" t="s">
        <v>25</v>
      </c>
      <c r="F413" s="9" t="s">
        <v>18</v>
      </c>
      <c r="G413" s="17" t="s">
        <v>178</v>
      </c>
      <c r="H413" s="17"/>
      <c r="I413" s="1" t="str">
        <f t="shared" si="20"/>
        <v/>
      </c>
      <c r="J413" s="1" t="str">
        <f t="shared" si="18"/>
        <v/>
      </c>
      <c r="K413" s="1" t="str">
        <f t="shared" si="19"/>
        <v/>
      </c>
    </row>
    <row r="414" spans="4:11" ht="15" customHeight="1">
      <c r="D414" s="6" t="s">
        <v>70</v>
      </c>
      <c r="E414" s="7"/>
      <c r="F414" s="7"/>
      <c r="G414" s="17" t="s">
        <v>182</v>
      </c>
      <c r="H414" s="17">
        <v>4</v>
      </c>
      <c r="I414" s="1">
        <f t="shared" si="20"/>
        <v>-1</v>
      </c>
      <c r="J414" s="1">
        <f t="shared" si="18"/>
        <v>0</v>
      </c>
      <c r="K414" s="1">
        <f t="shared" si="19"/>
        <v>1</v>
      </c>
    </row>
    <row r="415" spans="4:11" ht="30.75" thickBot="1">
      <c r="D415" s="8"/>
      <c r="E415" s="9" t="s">
        <v>22</v>
      </c>
      <c r="F415" s="9" t="s">
        <v>1</v>
      </c>
      <c r="G415" s="17" t="s">
        <v>178</v>
      </c>
      <c r="H415" s="17"/>
      <c r="I415" s="1" t="str">
        <f t="shared" si="20"/>
        <v/>
      </c>
      <c r="J415" s="1" t="str">
        <f t="shared" si="18"/>
        <v/>
      </c>
      <c r="K415" s="1" t="str">
        <f t="shared" si="19"/>
        <v/>
      </c>
    </row>
    <row r="416" spans="4:11" ht="15" customHeight="1">
      <c r="D416" s="6" t="s">
        <v>70</v>
      </c>
      <c r="E416" s="7"/>
      <c r="F416" s="7"/>
      <c r="G416" s="17" t="s">
        <v>186</v>
      </c>
      <c r="H416" s="17">
        <v>4</v>
      </c>
      <c r="I416" s="1">
        <f t="shared" si="20"/>
        <v>3</v>
      </c>
      <c r="J416" s="1">
        <f t="shared" si="18"/>
        <v>0</v>
      </c>
      <c r="K416" s="1">
        <f t="shared" si="19"/>
        <v>9</v>
      </c>
    </row>
    <row r="417" spans="4:11" ht="15.75" thickBot="1">
      <c r="D417" s="8"/>
      <c r="E417" s="9" t="s">
        <v>37</v>
      </c>
      <c r="F417" s="9" t="s">
        <v>7</v>
      </c>
      <c r="G417" s="17" t="s">
        <v>178</v>
      </c>
      <c r="H417" s="17"/>
      <c r="I417" s="1" t="str">
        <f t="shared" si="20"/>
        <v/>
      </c>
      <c r="J417" s="1" t="str">
        <f t="shared" si="18"/>
        <v/>
      </c>
      <c r="K417" s="1" t="str">
        <f t="shared" si="19"/>
        <v/>
      </c>
    </row>
    <row r="418" spans="4:11" ht="15" customHeight="1">
      <c r="D418" s="6" t="s">
        <v>70</v>
      </c>
      <c r="E418" s="7"/>
      <c r="F418" s="7"/>
      <c r="G418" s="17" t="s">
        <v>182</v>
      </c>
      <c r="H418" s="17">
        <v>4</v>
      </c>
      <c r="I418" s="1">
        <f t="shared" si="20"/>
        <v>-1</v>
      </c>
      <c r="J418" s="1">
        <f t="shared" si="18"/>
        <v>0</v>
      </c>
      <c r="K418" s="1">
        <f t="shared" si="19"/>
        <v>1</v>
      </c>
    </row>
    <row r="419" spans="4:11" ht="30.75" thickBot="1">
      <c r="D419" s="8"/>
      <c r="E419" s="9" t="s">
        <v>28</v>
      </c>
      <c r="F419" s="9" t="s">
        <v>12</v>
      </c>
      <c r="G419" s="17" t="s">
        <v>178</v>
      </c>
      <c r="H419" s="17"/>
      <c r="I419" s="1" t="str">
        <f t="shared" si="20"/>
        <v/>
      </c>
      <c r="J419" s="1" t="str">
        <f t="shared" si="18"/>
        <v/>
      </c>
      <c r="K419" s="1" t="str">
        <f t="shared" si="19"/>
        <v/>
      </c>
    </row>
    <row r="420" spans="4:11" ht="18" customHeight="1">
      <c r="D420" s="6" t="s">
        <v>70</v>
      </c>
      <c r="E420" s="7"/>
      <c r="F420" s="7"/>
      <c r="G420" s="17" t="s">
        <v>180</v>
      </c>
      <c r="H420" s="17">
        <v>1</v>
      </c>
      <c r="I420" s="1">
        <f t="shared" si="20"/>
        <v>1</v>
      </c>
      <c r="J420" s="1">
        <f t="shared" si="18"/>
        <v>0</v>
      </c>
      <c r="K420" s="1">
        <f t="shared" si="19"/>
        <v>1</v>
      </c>
    </row>
    <row r="421" spans="4:11" ht="15.75" thickBot="1">
      <c r="D421" s="8"/>
      <c r="E421" s="9" t="s">
        <v>19</v>
      </c>
      <c r="F421" s="9" t="s">
        <v>39</v>
      </c>
      <c r="G421" s="17" t="s">
        <v>178</v>
      </c>
      <c r="H421" s="17"/>
      <c r="I421" s="1" t="str">
        <f t="shared" si="20"/>
        <v/>
      </c>
      <c r="J421" s="1" t="str">
        <f t="shared" si="18"/>
        <v/>
      </c>
      <c r="K421" s="1" t="str">
        <f t="shared" si="19"/>
        <v/>
      </c>
    </row>
    <row r="422" spans="4:11" ht="18" customHeight="1">
      <c r="D422" s="6" t="s">
        <v>70</v>
      </c>
      <c r="E422" s="7"/>
      <c r="F422" s="7"/>
      <c r="G422" s="17" t="s">
        <v>185</v>
      </c>
      <c r="H422" s="17">
        <v>3</v>
      </c>
      <c r="I422" s="1">
        <f t="shared" si="20"/>
        <v>2</v>
      </c>
      <c r="J422" s="1">
        <f t="shared" si="18"/>
        <v>0</v>
      </c>
      <c r="K422" s="1">
        <f t="shared" si="19"/>
        <v>4</v>
      </c>
    </row>
    <row r="423" spans="4:11" ht="15.75" thickBot="1">
      <c r="D423" s="8"/>
      <c r="E423" s="9" t="s">
        <v>33</v>
      </c>
      <c r="F423" s="9" t="s">
        <v>21</v>
      </c>
      <c r="G423" s="17" t="s">
        <v>178</v>
      </c>
      <c r="H423" s="17"/>
      <c r="I423" s="1" t="str">
        <f t="shared" si="20"/>
        <v/>
      </c>
      <c r="J423" s="1" t="str">
        <f t="shared" si="18"/>
        <v/>
      </c>
      <c r="K423" s="1" t="str">
        <f t="shared" si="19"/>
        <v/>
      </c>
    </row>
    <row r="424" spans="4:11" ht="15" customHeight="1">
      <c r="D424" s="6" t="s">
        <v>70</v>
      </c>
      <c r="E424" s="7"/>
      <c r="F424" s="7"/>
      <c r="G424" s="17" t="s">
        <v>181</v>
      </c>
      <c r="H424" s="17">
        <v>0</v>
      </c>
      <c r="I424" s="1">
        <f t="shared" si="20"/>
        <v>1</v>
      </c>
      <c r="J424" s="1">
        <f t="shared" si="18"/>
        <v>0</v>
      </c>
      <c r="K424" s="1">
        <f t="shared" si="19"/>
        <v>1</v>
      </c>
    </row>
    <row r="425" spans="4:11" ht="15.75" thickBot="1">
      <c r="D425" s="8"/>
      <c r="E425" s="9" t="s">
        <v>41</v>
      </c>
      <c r="F425" s="9" t="s">
        <v>26</v>
      </c>
      <c r="G425" s="17" t="s">
        <v>178</v>
      </c>
      <c r="H425" s="17"/>
      <c r="I425" s="1" t="str">
        <f t="shared" si="20"/>
        <v/>
      </c>
      <c r="J425" s="1" t="str">
        <f t="shared" si="18"/>
        <v/>
      </c>
      <c r="K425" s="1" t="str">
        <f t="shared" si="19"/>
        <v/>
      </c>
    </row>
    <row r="426" spans="4:11" ht="15" customHeight="1">
      <c r="D426" s="6" t="s">
        <v>70</v>
      </c>
      <c r="E426" s="7"/>
      <c r="F426" s="7"/>
      <c r="G426" s="17" t="s">
        <v>181</v>
      </c>
      <c r="H426" s="17">
        <v>5</v>
      </c>
      <c r="I426" s="1">
        <f t="shared" si="20"/>
        <v>-4</v>
      </c>
      <c r="J426" s="1">
        <f t="shared" si="18"/>
        <v>0</v>
      </c>
      <c r="K426" s="1">
        <f t="shared" si="19"/>
        <v>16</v>
      </c>
    </row>
    <row r="427" spans="4:11" ht="15.75" thickBot="1">
      <c r="D427" s="8"/>
      <c r="E427" s="9" t="s">
        <v>3</v>
      </c>
      <c r="F427" s="9" t="s">
        <v>34</v>
      </c>
      <c r="G427" s="17" t="s">
        <v>178</v>
      </c>
      <c r="H427" s="17"/>
      <c r="I427" s="1" t="str">
        <f t="shared" si="20"/>
        <v/>
      </c>
      <c r="J427" s="1" t="str">
        <f t="shared" si="18"/>
        <v/>
      </c>
      <c r="K427" s="1" t="str">
        <f t="shared" si="19"/>
        <v/>
      </c>
    </row>
    <row r="428" spans="4:11" ht="18" customHeight="1">
      <c r="D428" s="6" t="s">
        <v>71</v>
      </c>
      <c r="E428" s="7"/>
      <c r="F428" s="7"/>
      <c r="G428" s="17" t="s">
        <v>185</v>
      </c>
      <c r="H428" s="17">
        <v>3</v>
      </c>
      <c r="I428" s="1">
        <f t="shared" si="20"/>
        <v>2</v>
      </c>
      <c r="J428" s="1">
        <f t="shared" si="18"/>
        <v>0</v>
      </c>
      <c r="K428" s="1">
        <f t="shared" si="19"/>
        <v>4</v>
      </c>
    </row>
    <row r="429" spans="4:11" ht="15.75" thickBot="1">
      <c r="D429" s="8"/>
      <c r="E429" s="9" t="s">
        <v>0</v>
      </c>
      <c r="F429" s="9" t="s">
        <v>18</v>
      </c>
      <c r="G429" s="17" t="s">
        <v>178</v>
      </c>
      <c r="H429" s="17"/>
      <c r="I429" s="1" t="str">
        <f t="shared" si="20"/>
        <v/>
      </c>
      <c r="J429" s="1" t="str">
        <f t="shared" si="18"/>
        <v/>
      </c>
      <c r="K429" s="1" t="str">
        <f t="shared" si="19"/>
        <v/>
      </c>
    </row>
    <row r="430" spans="4:11" ht="15" customHeight="1">
      <c r="D430" s="6" t="s">
        <v>71</v>
      </c>
      <c r="E430" s="7"/>
      <c r="F430" s="7"/>
      <c r="G430" s="17" t="s">
        <v>184</v>
      </c>
      <c r="H430" s="17">
        <v>3</v>
      </c>
      <c r="I430" s="1">
        <f t="shared" si="20"/>
        <v>1</v>
      </c>
      <c r="J430" s="1">
        <f t="shared" si="18"/>
        <v>0</v>
      </c>
      <c r="K430" s="1">
        <f t="shared" si="19"/>
        <v>1</v>
      </c>
    </row>
    <row r="431" spans="4:11" ht="15.75" thickBot="1">
      <c r="D431" s="8"/>
      <c r="E431" s="9" t="s">
        <v>37</v>
      </c>
      <c r="F431" s="9" t="s">
        <v>13</v>
      </c>
      <c r="G431" s="17" t="s">
        <v>178</v>
      </c>
      <c r="H431" s="17"/>
      <c r="I431" s="1" t="str">
        <f t="shared" si="20"/>
        <v/>
      </c>
      <c r="J431" s="1" t="str">
        <f t="shared" si="18"/>
        <v/>
      </c>
      <c r="K431" s="1" t="str">
        <f t="shared" si="19"/>
        <v/>
      </c>
    </row>
    <row r="432" spans="4:11" ht="15" customHeight="1">
      <c r="D432" s="6" t="s">
        <v>71</v>
      </c>
      <c r="E432" s="7"/>
      <c r="F432" s="7"/>
      <c r="G432" s="17" t="s">
        <v>182</v>
      </c>
      <c r="H432" s="17">
        <v>1</v>
      </c>
      <c r="I432" s="1">
        <f t="shared" si="20"/>
        <v>2</v>
      </c>
      <c r="J432" s="1">
        <f t="shared" si="18"/>
        <v>0</v>
      </c>
      <c r="K432" s="1">
        <f t="shared" si="19"/>
        <v>4</v>
      </c>
    </row>
    <row r="433" spans="4:11" ht="15.75" thickBot="1">
      <c r="D433" s="8"/>
      <c r="E433" s="9" t="s">
        <v>24</v>
      </c>
      <c r="F433" s="9" t="s">
        <v>38</v>
      </c>
      <c r="G433" s="17" t="s">
        <v>178</v>
      </c>
      <c r="H433" s="17"/>
      <c r="I433" s="1" t="str">
        <f t="shared" si="20"/>
        <v/>
      </c>
      <c r="J433" s="1" t="str">
        <f t="shared" si="18"/>
        <v/>
      </c>
      <c r="K433" s="1" t="str">
        <f t="shared" si="19"/>
        <v/>
      </c>
    </row>
    <row r="434" spans="4:11" ht="15" customHeight="1">
      <c r="D434" s="6" t="s">
        <v>71</v>
      </c>
      <c r="E434" s="7"/>
      <c r="F434" s="7"/>
      <c r="G434" s="17" t="s">
        <v>180</v>
      </c>
      <c r="H434" s="17">
        <v>5</v>
      </c>
      <c r="I434" s="1">
        <f t="shared" si="20"/>
        <v>-3</v>
      </c>
      <c r="J434" s="1">
        <f t="shared" si="18"/>
        <v>0</v>
      </c>
      <c r="K434" s="1">
        <f t="shared" si="19"/>
        <v>9</v>
      </c>
    </row>
    <row r="435" spans="4:11" ht="15.75" thickBot="1">
      <c r="D435" s="8"/>
      <c r="E435" s="9" t="s">
        <v>33</v>
      </c>
      <c r="F435" s="9" t="s">
        <v>20</v>
      </c>
      <c r="G435" s="17" t="s">
        <v>178</v>
      </c>
      <c r="H435" s="17"/>
      <c r="I435" s="1" t="str">
        <f t="shared" si="20"/>
        <v/>
      </c>
      <c r="J435" s="1" t="str">
        <f t="shared" si="18"/>
        <v/>
      </c>
      <c r="K435" s="1" t="str">
        <f t="shared" si="19"/>
        <v/>
      </c>
    </row>
    <row r="436" spans="4:11" ht="15" customHeight="1">
      <c r="D436" s="6" t="s">
        <v>71</v>
      </c>
      <c r="E436" s="7"/>
      <c r="F436" s="7"/>
      <c r="G436" s="17" t="s">
        <v>180</v>
      </c>
      <c r="H436" s="17">
        <v>1</v>
      </c>
      <c r="I436" s="1">
        <f t="shared" si="20"/>
        <v>1</v>
      </c>
      <c r="J436" s="1">
        <f t="shared" si="18"/>
        <v>0</v>
      </c>
      <c r="K436" s="1">
        <f t="shared" si="19"/>
        <v>1</v>
      </c>
    </row>
    <row r="437" spans="4:11" ht="15.75" thickBot="1">
      <c r="D437" s="8"/>
      <c r="E437" s="9" t="s">
        <v>3</v>
      </c>
      <c r="F437" s="9" t="s">
        <v>10</v>
      </c>
      <c r="G437" s="17" t="s">
        <v>178</v>
      </c>
      <c r="H437" s="17"/>
      <c r="I437" s="1" t="str">
        <f t="shared" si="20"/>
        <v/>
      </c>
      <c r="J437" s="1" t="str">
        <f t="shared" si="18"/>
        <v/>
      </c>
      <c r="K437" s="1" t="str">
        <f t="shared" si="19"/>
        <v/>
      </c>
    </row>
    <row r="438" spans="4:11" ht="15" customHeight="1">
      <c r="D438" s="6" t="s">
        <v>72</v>
      </c>
      <c r="E438" s="7"/>
      <c r="F438" s="7"/>
      <c r="G438" s="17" t="s">
        <v>180</v>
      </c>
      <c r="H438" s="17">
        <v>4</v>
      </c>
      <c r="I438" s="1">
        <f t="shared" si="20"/>
        <v>-2</v>
      </c>
      <c r="J438" s="1">
        <f t="shared" si="18"/>
        <v>0</v>
      </c>
      <c r="K438" s="1">
        <f t="shared" si="19"/>
        <v>4</v>
      </c>
    </row>
    <row r="439" spans="4:11" ht="15.75" thickBot="1">
      <c r="D439" s="8"/>
      <c r="E439" s="9" t="s">
        <v>36</v>
      </c>
      <c r="F439" s="9" t="s">
        <v>2</v>
      </c>
      <c r="G439" s="17" t="s">
        <v>178</v>
      </c>
      <c r="H439" s="17"/>
      <c r="I439" s="1" t="str">
        <f t="shared" si="20"/>
        <v/>
      </c>
      <c r="J439" s="1" t="str">
        <f t="shared" si="18"/>
        <v/>
      </c>
      <c r="K439" s="1" t="str">
        <f t="shared" si="19"/>
        <v/>
      </c>
    </row>
    <row r="440" spans="4:11" ht="15" customHeight="1">
      <c r="D440" s="6" t="s">
        <v>72</v>
      </c>
      <c r="E440" s="7"/>
      <c r="F440" s="7"/>
      <c r="G440" s="17" t="s">
        <v>181</v>
      </c>
      <c r="H440" s="17">
        <v>4</v>
      </c>
      <c r="I440" s="1">
        <f t="shared" si="20"/>
        <v>-3</v>
      </c>
      <c r="J440" s="1">
        <f t="shared" si="18"/>
        <v>0</v>
      </c>
      <c r="K440" s="1">
        <f t="shared" si="19"/>
        <v>9</v>
      </c>
    </row>
    <row r="441" spans="4:11" ht="15.75" thickBot="1">
      <c r="D441" s="8"/>
      <c r="E441" s="9" t="s">
        <v>4</v>
      </c>
      <c r="F441" s="9" t="s">
        <v>28</v>
      </c>
      <c r="G441" s="17" t="s">
        <v>178</v>
      </c>
      <c r="H441" s="17"/>
      <c r="I441" s="1" t="str">
        <f t="shared" si="20"/>
        <v/>
      </c>
      <c r="J441" s="1" t="str">
        <f t="shared" si="18"/>
        <v/>
      </c>
      <c r="K441" s="1" t="str">
        <f t="shared" si="19"/>
        <v/>
      </c>
    </row>
    <row r="442" spans="4:11" ht="15" customHeight="1">
      <c r="D442" s="6" t="s">
        <v>73</v>
      </c>
      <c r="E442" s="7"/>
      <c r="F442" s="7"/>
      <c r="G442" s="17" t="s">
        <v>181</v>
      </c>
      <c r="H442" s="17">
        <v>3</v>
      </c>
      <c r="I442" s="1">
        <f t="shared" si="20"/>
        <v>-2</v>
      </c>
      <c r="J442" s="1">
        <f t="shared" si="18"/>
        <v>0</v>
      </c>
      <c r="K442" s="1">
        <f t="shared" si="19"/>
        <v>4</v>
      </c>
    </row>
    <row r="443" spans="4:11" ht="15.75" thickBot="1">
      <c r="D443" s="8"/>
      <c r="E443" s="9" t="s">
        <v>23</v>
      </c>
      <c r="F443" s="9" t="s">
        <v>36</v>
      </c>
      <c r="G443" s="17" t="s">
        <v>178</v>
      </c>
      <c r="H443" s="17"/>
      <c r="I443" s="1" t="str">
        <f t="shared" si="20"/>
        <v/>
      </c>
      <c r="J443" s="1" t="str">
        <f t="shared" si="18"/>
        <v/>
      </c>
      <c r="K443" s="1" t="str">
        <f t="shared" si="19"/>
        <v/>
      </c>
    </row>
    <row r="444" spans="4:11" ht="15" customHeight="1">
      <c r="D444" s="6" t="s">
        <v>73</v>
      </c>
      <c r="E444" s="7"/>
      <c r="F444" s="7"/>
      <c r="G444" s="17" t="s">
        <v>179</v>
      </c>
      <c r="H444" s="17">
        <v>6</v>
      </c>
      <c r="I444" s="1">
        <f t="shared" si="20"/>
        <v>-6</v>
      </c>
      <c r="J444" s="1">
        <f t="shared" si="18"/>
        <v>0</v>
      </c>
      <c r="K444" s="1">
        <f t="shared" si="19"/>
        <v>36</v>
      </c>
    </row>
    <row r="445" spans="4:11" ht="15.75" thickBot="1">
      <c r="D445" s="8"/>
      <c r="E445" s="9" t="s">
        <v>22</v>
      </c>
      <c r="F445" s="9" t="s">
        <v>41</v>
      </c>
      <c r="G445" s="17" t="s">
        <v>178</v>
      </c>
      <c r="H445" s="17"/>
      <c r="I445" s="1" t="str">
        <f t="shared" si="20"/>
        <v/>
      </c>
      <c r="J445" s="1" t="str">
        <f t="shared" si="18"/>
        <v/>
      </c>
      <c r="K445" s="1" t="str">
        <f t="shared" si="19"/>
        <v/>
      </c>
    </row>
    <row r="446" spans="4:11" ht="15" customHeight="1">
      <c r="D446" s="6" t="s">
        <v>73</v>
      </c>
      <c r="E446" s="7"/>
      <c r="F446" s="7"/>
      <c r="G446" s="17" t="s">
        <v>179</v>
      </c>
      <c r="H446" s="17">
        <v>5</v>
      </c>
      <c r="I446" s="1">
        <f t="shared" si="20"/>
        <v>-5</v>
      </c>
      <c r="J446" s="1">
        <f t="shared" si="18"/>
        <v>0</v>
      </c>
      <c r="K446" s="1">
        <f t="shared" si="19"/>
        <v>25</v>
      </c>
    </row>
    <row r="447" spans="4:11" ht="15.75" thickBot="1">
      <c r="D447" s="8"/>
      <c r="E447" s="9" t="s">
        <v>11</v>
      </c>
      <c r="F447" s="9" t="s">
        <v>38</v>
      </c>
      <c r="G447" s="17" t="s">
        <v>178</v>
      </c>
      <c r="H447" s="17"/>
      <c r="I447" s="1" t="str">
        <f t="shared" si="20"/>
        <v/>
      </c>
      <c r="J447" s="1" t="str">
        <f t="shared" si="18"/>
        <v/>
      </c>
      <c r="K447" s="1" t="str">
        <f t="shared" si="19"/>
        <v/>
      </c>
    </row>
    <row r="448" spans="4:11" ht="15" customHeight="1">
      <c r="D448" s="6" t="s">
        <v>73</v>
      </c>
      <c r="E448" s="7"/>
      <c r="F448" s="7"/>
      <c r="G448" s="17" t="s">
        <v>180</v>
      </c>
      <c r="H448" s="17">
        <v>4</v>
      </c>
      <c r="I448" s="1">
        <f t="shared" si="20"/>
        <v>-2</v>
      </c>
      <c r="J448" s="1">
        <f t="shared" si="18"/>
        <v>0</v>
      </c>
      <c r="K448" s="1">
        <f t="shared" si="19"/>
        <v>4</v>
      </c>
    </row>
    <row r="449" spans="4:11" ht="30.75" thickBot="1">
      <c r="D449" s="8"/>
      <c r="E449" s="9" t="s">
        <v>7</v>
      </c>
      <c r="F449" s="9" t="s">
        <v>12</v>
      </c>
      <c r="G449" s="17" t="s">
        <v>178</v>
      </c>
      <c r="H449" s="17"/>
      <c r="I449" s="1" t="str">
        <f t="shared" si="20"/>
        <v/>
      </c>
      <c r="J449" s="1" t="str">
        <f t="shared" si="18"/>
        <v/>
      </c>
      <c r="K449" s="1" t="str">
        <f t="shared" si="19"/>
        <v/>
      </c>
    </row>
    <row r="450" spans="4:11" ht="15" customHeight="1">
      <c r="D450" s="6" t="s">
        <v>73</v>
      </c>
      <c r="E450" s="7"/>
      <c r="F450" s="7"/>
      <c r="G450" s="17" t="s">
        <v>179</v>
      </c>
      <c r="H450" s="17">
        <v>3</v>
      </c>
      <c r="I450" s="1">
        <f t="shared" si="20"/>
        <v>-3</v>
      </c>
      <c r="J450" s="1">
        <f t="shared" si="18"/>
        <v>0</v>
      </c>
      <c r="K450" s="1">
        <f t="shared" si="19"/>
        <v>9</v>
      </c>
    </row>
    <row r="451" spans="4:11" ht="15.75" thickBot="1">
      <c r="D451" s="8"/>
      <c r="E451" s="9" t="s">
        <v>25</v>
      </c>
      <c r="F451" s="9" t="s">
        <v>230</v>
      </c>
      <c r="G451" s="17" t="s">
        <v>178</v>
      </c>
      <c r="H451" s="17"/>
      <c r="I451" s="1" t="str">
        <f t="shared" si="20"/>
        <v/>
      </c>
      <c r="J451" s="1" t="str">
        <f t="shared" ref="J451:J514" si="21">IF(F452="","",VLOOKUP(F452,$A$2:$B$31,2)+$B$33-VLOOKUP(E452,$A$2:$B$31,2))</f>
        <v/>
      </c>
      <c r="K451" s="1" t="str">
        <f t="shared" ref="K451:K514" si="22">IF(G451="","",(I451-J451)^2)</f>
        <v/>
      </c>
    </row>
    <row r="452" spans="4:11" ht="18" customHeight="1">
      <c r="D452" s="6" t="s">
        <v>73</v>
      </c>
      <c r="E452" s="7"/>
      <c r="F452" s="7"/>
      <c r="G452" s="17" t="s">
        <v>181</v>
      </c>
      <c r="H452" s="17">
        <v>4</v>
      </c>
      <c r="I452" s="1">
        <f t="shared" ref="I452:I515" si="23">IF(G452="","",G452-H452)</f>
        <v>-3</v>
      </c>
      <c r="J452" s="1">
        <f t="shared" si="21"/>
        <v>0</v>
      </c>
      <c r="K452" s="1">
        <f t="shared" si="22"/>
        <v>9</v>
      </c>
    </row>
    <row r="453" spans="4:11" ht="15.75" thickBot="1">
      <c r="D453" s="8"/>
      <c r="E453" s="9" t="s">
        <v>33</v>
      </c>
      <c r="F453" s="9" t="s">
        <v>14</v>
      </c>
      <c r="G453" s="17" t="s">
        <v>178</v>
      </c>
      <c r="H453" s="17"/>
      <c r="I453" s="1" t="str">
        <f t="shared" si="23"/>
        <v/>
      </c>
      <c r="J453" s="1" t="str">
        <f t="shared" si="21"/>
        <v/>
      </c>
      <c r="K453" s="1" t="str">
        <f t="shared" si="22"/>
        <v/>
      </c>
    </row>
    <row r="454" spans="4:11" ht="18" customHeight="1">
      <c r="D454" s="6" t="s">
        <v>73</v>
      </c>
      <c r="E454" s="7"/>
      <c r="F454" s="7"/>
      <c r="G454" s="17" t="s">
        <v>181</v>
      </c>
      <c r="H454" s="17">
        <v>6</v>
      </c>
      <c r="I454" s="1">
        <f t="shared" si="23"/>
        <v>-5</v>
      </c>
      <c r="J454" s="1">
        <f t="shared" si="21"/>
        <v>-2550</v>
      </c>
      <c r="K454" s="1">
        <f t="shared" si="22"/>
        <v>6477025</v>
      </c>
    </row>
    <row r="455" spans="4:11" ht="15.75" thickBot="1">
      <c r="D455" s="8"/>
      <c r="E455" s="9" t="s">
        <v>8</v>
      </c>
      <c r="F455" s="9" t="s">
        <v>39</v>
      </c>
      <c r="G455" s="17" t="s">
        <v>178</v>
      </c>
      <c r="H455" s="17"/>
      <c r="I455" s="1" t="str">
        <f t="shared" si="23"/>
        <v/>
      </c>
      <c r="J455" s="1" t="str">
        <f t="shared" si="21"/>
        <v/>
      </c>
      <c r="K455" s="1" t="str">
        <f t="shared" si="22"/>
        <v/>
      </c>
    </row>
    <row r="456" spans="4:11" ht="15" customHeight="1">
      <c r="D456" s="6" t="s">
        <v>73</v>
      </c>
      <c r="E456" s="7"/>
      <c r="F456" s="7"/>
      <c r="G456" s="17" t="s">
        <v>180</v>
      </c>
      <c r="H456" s="17">
        <v>3</v>
      </c>
      <c r="I456" s="1">
        <f t="shared" si="23"/>
        <v>-1</v>
      </c>
      <c r="J456" s="1">
        <f t="shared" si="21"/>
        <v>0</v>
      </c>
      <c r="K456" s="1">
        <f t="shared" si="22"/>
        <v>1</v>
      </c>
    </row>
    <row r="457" spans="4:11" ht="15.75" thickBot="1">
      <c r="D457" s="8"/>
      <c r="E457" s="9" t="s">
        <v>24</v>
      </c>
      <c r="F457" s="9" t="s">
        <v>19</v>
      </c>
      <c r="G457" s="17" t="s">
        <v>178</v>
      </c>
      <c r="H457" s="17"/>
      <c r="I457" s="1" t="str">
        <f t="shared" si="23"/>
        <v/>
      </c>
      <c r="J457" s="1" t="str">
        <f t="shared" si="21"/>
        <v/>
      </c>
      <c r="K457" s="1" t="str">
        <f t="shared" si="22"/>
        <v/>
      </c>
    </row>
    <row r="458" spans="4:11" ht="15" customHeight="1">
      <c r="D458" s="6" t="s">
        <v>73</v>
      </c>
      <c r="E458" s="7"/>
      <c r="F458" s="7"/>
      <c r="G458" s="17" t="s">
        <v>180</v>
      </c>
      <c r="H458" s="17">
        <v>3</v>
      </c>
      <c r="I458" s="1">
        <f t="shared" si="23"/>
        <v>-1</v>
      </c>
      <c r="J458" s="1">
        <f t="shared" si="21"/>
        <v>0</v>
      </c>
      <c r="K458" s="1">
        <f t="shared" si="22"/>
        <v>1</v>
      </c>
    </row>
    <row r="459" spans="4:11" ht="15.75" thickBot="1">
      <c r="D459" s="8"/>
      <c r="E459" s="9" t="s">
        <v>37</v>
      </c>
      <c r="F459" s="9" t="s">
        <v>20</v>
      </c>
      <c r="G459" s="17" t="s">
        <v>178</v>
      </c>
      <c r="H459" s="17"/>
      <c r="I459" s="1" t="str">
        <f t="shared" si="23"/>
        <v/>
      </c>
      <c r="J459" s="1" t="str">
        <f t="shared" si="21"/>
        <v/>
      </c>
      <c r="K459" s="1" t="str">
        <f t="shared" si="22"/>
        <v/>
      </c>
    </row>
    <row r="460" spans="4:11" ht="15" customHeight="1">
      <c r="D460" s="6" t="s">
        <v>73</v>
      </c>
      <c r="E460" s="7"/>
      <c r="F460" s="7"/>
      <c r="G460" s="17" t="s">
        <v>184</v>
      </c>
      <c r="H460" s="17">
        <v>3</v>
      </c>
      <c r="I460" s="1">
        <f t="shared" si="23"/>
        <v>1</v>
      </c>
      <c r="J460" s="1">
        <f t="shared" si="21"/>
        <v>0</v>
      </c>
      <c r="K460" s="1">
        <f t="shared" si="22"/>
        <v>1</v>
      </c>
    </row>
    <row r="461" spans="4:11" ht="15.75" thickBot="1">
      <c r="D461" s="8"/>
      <c r="E461" s="9" t="s">
        <v>21</v>
      </c>
      <c r="F461" s="9" t="s">
        <v>26</v>
      </c>
      <c r="G461" s="17" t="s">
        <v>178</v>
      </c>
      <c r="H461" s="17"/>
      <c r="I461" s="1" t="str">
        <f t="shared" si="23"/>
        <v/>
      </c>
      <c r="J461" s="1" t="str">
        <f t="shared" si="21"/>
        <v/>
      </c>
      <c r="K461" s="1" t="str">
        <f t="shared" si="22"/>
        <v/>
      </c>
    </row>
    <row r="462" spans="4:11" ht="15" customHeight="1">
      <c r="D462" s="6" t="s">
        <v>73</v>
      </c>
      <c r="E462" s="7"/>
      <c r="F462" s="7"/>
      <c r="G462" s="17" t="s">
        <v>182</v>
      </c>
      <c r="H462" s="17">
        <v>4</v>
      </c>
      <c r="I462" s="1">
        <f t="shared" si="23"/>
        <v>-1</v>
      </c>
      <c r="J462" s="1">
        <f t="shared" si="21"/>
        <v>0</v>
      </c>
      <c r="K462" s="1">
        <f t="shared" si="22"/>
        <v>1</v>
      </c>
    </row>
    <row r="463" spans="4:11" ht="15.75" thickBot="1">
      <c r="D463" s="8"/>
      <c r="E463" s="9" t="s">
        <v>18</v>
      </c>
      <c r="F463" s="9" t="s">
        <v>3</v>
      </c>
      <c r="G463" s="17" t="s">
        <v>178</v>
      </c>
      <c r="H463" s="17"/>
      <c r="I463" s="1" t="str">
        <f t="shared" si="23"/>
        <v/>
      </c>
      <c r="J463" s="1" t="str">
        <f t="shared" si="21"/>
        <v/>
      </c>
      <c r="K463" s="1" t="str">
        <f t="shared" si="22"/>
        <v/>
      </c>
    </row>
    <row r="464" spans="4:11" ht="18" customHeight="1">
      <c r="D464" s="6" t="s">
        <v>74</v>
      </c>
      <c r="E464" s="7"/>
      <c r="F464" s="7"/>
      <c r="G464" s="17" t="s">
        <v>181</v>
      </c>
      <c r="H464" s="17">
        <v>6</v>
      </c>
      <c r="I464" s="1">
        <f t="shared" si="23"/>
        <v>-5</v>
      </c>
      <c r="J464" s="1">
        <f t="shared" si="21"/>
        <v>0</v>
      </c>
      <c r="K464" s="1">
        <f t="shared" si="22"/>
        <v>25</v>
      </c>
    </row>
    <row r="465" spans="4:11" ht="15.75" thickBot="1">
      <c r="D465" s="8"/>
      <c r="E465" s="9" t="s">
        <v>2</v>
      </c>
      <c r="F465" s="9" t="s">
        <v>0</v>
      </c>
      <c r="G465" s="17" t="s">
        <v>178</v>
      </c>
      <c r="H465" s="17"/>
      <c r="I465" s="1" t="str">
        <f t="shared" si="23"/>
        <v/>
      </c>
      <c r="J465" s="1" t="str">
        <f t="shared" si="21"/>
        <v/>
      </c>
      <c r="K465" s="1" t="str">
        <f t="shared" si="22"/>
        <v/>
      </c>
    </row>
    <row r="466" spans="4:11" ht="15" customHeight="1">
      <c r="D466" s="6" t="s">
        <v>74</v>
      </c>
      <c r="E466" s="7"/>
      <c r="F466" s="7"/>
      <c r="G466" s="17" t="s">
        <v>185</v>
      </c>
      <c r="H466" s="17">
        <v>6</v>
      </c>
      <c r="I466" s="1">
        <f t="shared" si="23"/>
        <v>-1</v>
      </c>
      <c r="J466" s="1">
        <f t="shared" si="21"/>
        <v>0</v>
      </c>
      <c r="K466" s="1">
        <f t="shared" si="22"/>
        <v>1</v>
      </c>
    </row>
    <row r="467" spans="4:11" ht="15.75" thickBot="1">
      <c r="D467" s="8"/>
      <c r="E467" s="9" t="s">
        <v>34</v>
      </c>
      <c r="F467" s="9" t="s">
        <v>10</v>
      </c>
      <c r="G467" s="17" t="s">
        <v>178</v>
      </c>
      <c r="H467" s="17"/>
      <c r="I467" s="1" t="str">
        <f t="shared" si="23"/>
        <v/>
      </c>
      <c r="J467" s="1" t="str">
        <f t="shared" si="21"/>
        <v/>
      </c>
      <c r="K467" s="1" t="str">
        <f t="shared" si="22"/>
        <v/>
      </c>
    </row>
    <row r="468" spans="4:11" ht="15" customHeight="1">
      <c r="D468" s="6" t="s">
        <v>75</v>
      </c>
      <c r="E468" s="7"/>
      <c r="F468" s="7"/>
      <c r="G468" s="17" t="s">
        <v>184</v>
      </c>
      <c r="H468" s="17">
        <v>3</v>
      </c>
      <c r="I468" s="1">
        <f t="shared" si="23"/>
        <v>1</v>
      </c>
      <c r="J468" s="1">
        <f t="shared" si="21"/>
        <v>0</v>
      </c>
      <c r="K468" s="1">
        <f t="shared" si="22"/>
        <v>1</v>
      </c>
    </row>
    <row r="469" spans="4:11" ht="15.75" thickBot="1">
      <c r="D469" s="8"/>
      <c r="E469" s="9" t="s">
        <v>22</v>
      </c>
      <c r="F469" s="9" t="s">
        <v>38</v>
      </c>
      <c r="G469" s="17" t="s">
        <v>178</v>
      </c>
      <c r="H469" s="17"/>
      <c r="I469" s="1" t="str">
        <f t="shared" si="23"/>
        <v/>
      </c>
      <c r="J469" s="1" t="str">
        <f t="shared" si="21"/>
        <v/>
      </c>
      <c r="K469" s="1" t="str">
        <f t="shared" si="22"/>
        <v/>
      </c>
    </row>
    <row r="470" spans="4:11" ht="15" customHeight="1">
      <c r="D470" s="6" t="s">
        <v>75</v>
      </c>
      <c r="E470" s="7"/>
      <c r="F470" s="7"/>
      <c r="G470" s="17" t="s">
        <v>182</v>
      </c>
      <c r="H470" s="17">
        <v>1</v>
      </c>
      <c r="I470" s="1">
        <f t="shared" si="23"/>
        <v>2</v>
      </c>
      <c r="J470" s="1">
        <f t="shared" si="21"/>
        <v>0</v>
      </c>
      <c r="K470" s="1">
        <f t="shared" si="22"/>
        <v>4</v>
      </c>
    </row>
    <row r="471" spans="4:11" ht="15.75" thickBot="1">
      <c r="D471" s="8"/>
      <c r="E471" s="9" t="s">
        <v>25</v>
      </c>
      <c r="F471" s="9" t="s">
        <v>28</v>
      </c>
      <c r="G471" s="17" t="s">
        <v>178</v>
      </c>
      <c r="H471" s="17"/>
      <c r="I471" s="1" t="str">
        <f t="shared" si="23"/>
        <v/>
      </c>
      <c r="J471" s="1" t="str">
        <f t="shared" si="21"/>
        <v/>
      </c>
      <c r="K471" s="1" t="str">
        <f t="shared" si="22"/>
        <v/>
      </c>
    </row>
    <row r="472" spans="4:11" ht="15" customHeight="1">
      <c r="D472" s="6" t="s">
        <v>75</v>
      </c>
      <c r="E472" s="7"/>
      <c r="F472" s="7"/>
      <c r="G472" s="17" t="s">
        <v>181</v>
      </c>
      <c r="H472" s="17">
        <v>5</v>
      </c>
      <c r="I472" s="1">
        <f t="shared" si="23"/>
        <v>-4</v>
      </c>
      <c r="J472" s="1">
        <f t="shared" si="21"/>
        <v>0</v>
      </c>
      <c r="K472" s="1">
        <f t="shared" si="22"/>
        <v>16</v>
      </c>
    </row>
    <row r="473" spans="4:11" ht="15.75" thickBot="1">
      <c r="D473" s="8"/>
      <c r="E473" s="9" t="s">
        <v>2</v>
      </c>
      <c r="F473" s="9" t="s">
        <v>230</v>
      </c>
      <c r="G473" s="17" t="s">
        <v>178</v>
      </c>
      <c r="H473" s="17"/>
      <c r="I473" s="1" t="str">
        <f t="shared" si="23"/>
        <v/>
      </c>
      <c r="J473" s="1" t="str">
        <f t="shared" si="21"/>
        <v/>
      </c>
      <c r="K473" s="1" t="str">
        <f t="shared" si="22"/>
        <v/>
      </c>
    </row>
    <row r="474" spans="4:11" ht="15" customHeight="1">
      <c r="D474" s="6" t="s">
        <v>75</v>
      </c>
      <c r="E474" s="7"/>
      <c r="F474" s="7"/>
      <c r="G474" s="17" t="s">
        <v>180</v>
      </c>
      <c r="H474" s="17">
        <v>1</v>
      </c>
      <c r="I474" s="1">
        <f t="shared" si="23"/>
        <v>1</v>
      </c>
      <c r="J474" s="1">
        <f t="shared" si="21"/>
        <v>0</v>
      </c>
      <c r="K474" s="1">
        <f t="shared" si="22"/>
        <v>1</v>
      </c>
    </row>
    <row r="475" spans="4:11" ht="15.75" thickBot="1">
      <c r="D475" s="8"/>
      <c r="E475" s="9" t="s">
        <v>33</v>
      </c>
      <c r="F475" s="9" t="s">
        <v>37</v>
      </c>
      <c r="G475" s="17" t="s">
        <v>178</v>
      </c>
      <c r="H475" s="17"/>
      <c r="I475" s="1" t="str">
        <f t="shared" si="23"/>
        <v/>
      </c>
      <c r="J475" s="1" t="str">
        <f t="shared" si="21"/>
        <v/>
      </c>
      <c r="K475" s="1" t="str">
        <f t="shared" si="22"/>
        <v/>
      </c>
    </row>
    <row r="476" spans="4:11" ht="18" customHeight="1">
      <c r="D476" s="6" t="s">
        <v>75</v>
      </c>
      <c r="E476" s="7"/>
      <c r="F476" s="7"/>
      <c r="G476" s="17" t="s">
        <v>182</v>
      </c>
      <c r="H476" s="17">
        <v>4</v>
      </c>
      <c r="I476" s="1">
        <f t="shared" si="23"/>
        <v>-1</v>
      </c>
      <c r="J476" s="1">
        <f t="shared" si="21"/>
        <v>0</v>
      </c>
      <c r="K476" s="1">
        <f t="shared" si="22"/>
        <v>1</v>
      </c>
    </row>
    <row r="477" spans="4:11" ht="15.75" thickBot="1">
      <c r="D477" s="8"/>
      <c r="E477" s="9" t="s">
        <v>19</v>
      </c>
      <c r="F477" s="9" t="s">
        <v>39</v>
      </c>
      <c r="G477" s="17" t="s">
        <v>178</v>
      </c>
      <c r="H477" s="17"/>
      <c r="I477" s="1" t="str">
        <f t="shared" si="23"/>
        <v/>
      </c>
      <c r="J477" s="1" t="str">
        <f t="shared" si="21"/>
        <v/>
      </c>
      <c r="K477" s="1" t="str">
        <f t="shared" si="22"/>
        <v/>
      </c>
    </row>
    <row r="478" spans="4:11" ht="15" customHeight="1">
      <c r="D478" s="6" t="s">
        <v>75</v>
      </c>
      <c r="E478" s="7"/>
      <c r="F478" s="7"/>
      <c r="G478" s="17" t="s">
        <v>182</v>
      </c>
      <c r="H478" s="17">
        <v>6</v>
      </c>
      <c r="I478" s="1">
        <f t="shared" si="23"/>
        <v>-3</v>
      </c>
      <c r="J478" s="1">
        <f t="shared" si="21"/>
        <v>-2550</v>
      </c>
      <c r="K478" s="1">
        <f t="shared" si="22"/>
        <v>6487209</v>
      </c>
    </row>
    <row r="479" spans="4:11" ht="15.75" thickBot="1">
      <c r="D479" s="8"/>
      <c r="E479" s="9" t="s">
        <v>8</v>
      </c>
      <c r="F479" s="9" t="s">
        <v>23</v>
      </c>
      <c r="G479" s="17" t="s">
        <v>178</v>
      </c>
      <c r="H479" s="17"/>
      <c r="I479" s="1" t="str">
        <f t="shared" si="23"/>
        <v/>
      </c>
      <c r="J479" s="1" t="str">
        <f t="shared" si="21"/>
        <v/>
      </c>
      <c r="K479" s="1" t="str">
        <f t="shared" si="22"/>
        <v/>
      </c>
    </row>
    <row r="480" spans="4:11" ht="18" customHeight="1">
      <c r="D480" s="6" t="s">
        <v>75</v>
      </c>
      <c r="E480" s="7"/>
      <c r="F480" s="7"/>
      <c r="G480" s="17" t="s">
        <v>182</v>
      </c>
      <c r="H480" s="17">
        <v>5</v>
      </c>
      <c r="I480" s="1">
        <f t="shared" si="23"/>
        <v>-2</v>
      </c>
      <c r="J480" s="1">
        <f t="shared" si="21"/>
        <v>0</v>
      </c>
      <c r="K480" s="1">
        <f t="shared" si="22"/>
        <v>4</v>
      </c>
    </row>
    <row r="481" spans="4:11" ht="15.75" thickBot="1">
      <c r="D481" s="8"/>
      <c r="E481" s="9" t="s">
        <v>26</v>
      </c>
      <c r="F481" s="9" t="s">
        <v>4</v>
      </c>
      <c r="G481" s="17" t="s">
        <v>178</v>
      </c>
      <c r="H481" s="17"/>
      <c r="I481" s="1" t="str">
        <f t="shared" si="23"/>
        <v/>
      </c>
      <c r="J481" s="1" t="str">
        <f t="shared" si="21"/>
        <v/>
      </c>
      <c r="K481" s="1" t="str">
        <f t="shared" si="22"/>
        <v/>
      </c>
    </row>
    <row r="482" spans="4:11" ht="15" customHeight="1">
      <c r="D482" s="6" t="s">
        <v>75</v>
      </c>
      <c r="E482" s="7"/>
      <c r="F482" s="7"/>
      <c r="G482" s="17" t="s">
        <v>184</v>
      </c>
      <c r="H482" s="17">
        <v>3</v>
      </c>
      <c r="I482" s="1">
        <f t="shared" si="23"/>
        <v>1</v>
      </c>
      <c r="J482" s="1">
        <f t="shared" si="21"/>
        <v>0</v>
      </c>
      <c r="K482" s="1">
        <f t="shared" si="22"/>
        <v>1</v>
      </c>
    </row>
    <row r="483" spans="4:11" ht="15.75" thickBot="1">
      <c r="D483" s="8"/>
      <c r="E483" s="9" t="s">
        <v>18</v>
      </c>
      <c r="F483" s="9" t="s">
        <v>24</v>
      </c>
      <c r="G483" s="17" t="s">
        <v>178</v>
      </c>
      <c r="H483" s="17"/>
      <c r="I483" s="1" t="str">
        <f t="shared" si="23"/>
        <v/>
      </c>
      <c r="J483" s="1" t="str">
        <f t="shared" si="21"/>
        <v/>
      </c>
      <c r="K483" s="1" t="str">
        <f t="shared" si="22"/>
        <v/>
      </c>
    </row>
    <row r="484" spans="4:11" ht="15" customHeight="1">
      <c r="D484" s="6" t="s">
        <v>75</v>
      </c>
      <c r="E484" s="7"/>
      <c r="F484" s="7"/>
      <c r="G484" s="17" t="s">
        <v>180</v>
      </c>
      <c r="H484" s="17">
        <v>0</v>
      </c>
      <c r="I484" s="1">
        <f t="shared" si="23"/>
        <v>2</v>
      </c>
      <c r="J484" s="1">
        <f t="shared" si="21"/>
        <v>0</v>
      </c>
      <c r="K484" s="1">
        <f t="shared" si="22"/>
        <v>4</v>
      </c>
    </row>
    <row r="485" spans="4:11" ht="15.75" thickBot="1">
      <c r="D485" s="8"/>
      <c r="E485" s="9" t="s">
        <v>21</v>
      </c>
      <c r="F485" s="9" t="s">
        <v>34</v>
      </c>
      <c r="G485" s="17" t="s">
        <v>178</v>
      </c>
      <c r="H485" s="17"/>
      <c r="I485" s="1" t="str">
        <f t="shared" si="23"/>
        <v/>
      </c>
      <c r="J485" s="1" t="str">
        <f t="shared" si="21"/>
        <v/>
      </c>
      <c r="K485" s="1" t="str">
        <f t="shared" si="22"/>
        <v/>
      </c>
    </row>
    <row r="486" spans="4:11" ht="15" customHeight="1">
      <c r="D486" s="6" t="s">
        <v>76</v>
      </c>
      <c r="E486" s="7"/>
      <c r="F486" s="7"/>
      <c r="G486" s="17" t="s">
        <v>184</v>
      </c>
      <c r="H486" s="17">
        <v>3</v>
      </c>
      <c r="I486" s="1">
        <f t="shared" si="23"/>
        <v>1</v>
      </c>
      <c r="J486" s="1">
        <f t="shared" si="21"/>
        <v>0</v>
      </c>
      <c r="K486" s="1">
        <f t="shared" si="22"/>
        <v>1</v>
      </c>
    </row>
    <row r="487" spans="4:11" ht="30.75" thickBot="1">
      <c r="D487" s="8"/>
      <c r="E487" s="9" t="s">
        <v>7</v>
      </c>
      <c r="F487" s="9" t="s">
        <v>1</v>
      </c>
      <c r="G487" s="17" t="s">
        <v>178</v>
      </c>
      <c r="H487" s="17"/>
      <c r="I487" s="1" t="str">
        <f t="shared" si="23"/>
        <v/>
      </c>
      <c r="J487" s="1" t="str">
        <f t="shared" si="21"/>
        <v/>
      </c>
      <c r="K487" s="1" t="str">
        <f t="shared" si="22"/>
        <v/>
      </c>
    </row>
    <row r="488" spans="4:11" ht="15" customHeight="1">
      <c r="D488" s="6" t="s">
        <v>76</v>
      </c>
      <c r="E488" s="7"/>
      <c r="F488" s="7"/>
      <c r="G488" s="17" t="s">
        <v>181</v>
      </c>
      <c r="H488" s="17">
        <v>0</v>
      </c>
      <c r="I488" s="1">
        <f t="shared" si="23"/>
        <v>1</v>
      </c>
      <c r="J488" s="1">
        <f t="shared" si="21"/>
        <v>0</v>
      </c>
      <c r="K488" s="1">
        <f t="shared" si="22"/>
        <v>1</v>
      </c>
    </row>
    <row r="489" spans="4:11" ht="30.75" thickBot="1">
      <c r="D489" s="8"/>
      <c r="E489" s="9" t="s">
        <v>36</v>
      </c>
      <c r="F489" s="9" t="s">
        <v>12</v>
      </c>
      <c r="G489" s="17" t="s">
        <v>178</v>
      </c>
      <c r="H489" s="17"/>
      <c r="I489" s="1" t="str">
        <f t="shared" si="23"/>
        <v/>
      </c>
      <c r="J489" s="1" t="str">
        <f t="shared" si="21"/>
        <v/>
      </c>
      <c r="K489" s="1" t="str">
        <f t="shared" si="22"/>
        <v/>
      </c>
    </row>
    <row r="490" spans="4:11" ht="15" customHeight="1">
      <c r="D490" s="6" t="s">
        <v>76</v>
      </c>
      <c r="E490" s="7"/>
      <c r="F490" s="7"/>
      <c r="G490" s="17" t="s">
        <v>180</v>
      </c>
      <c r="H490" s="17">
        <v>1</v>
      </c>
      <c r="I490" s="1">
        <f t="shared" si="23"/>
        <v>1</v>
      </c>
      <c r="J490" s="1">
        <f t="shared" si="21"/>
        <v>0</v>
      </c>
      <c r="K490" s="1">
        <f t="shared" si="22"/>
        <v>1</v>
      </c>
    </row>
    <row r="491" spans="4:11" ht="15.75" thickBot="1">
      <c r="D491" s="8"/>
      <c r="E491" s="9" t="s">
        <v>11</v>
      </c>
      <c r="F491" s="9" t="s">
        <v>0</v>
      </c>
      <c r="G491" s="17" t="s">
        <v>178</v>
      </c>
      <c r="H491" s="17"/>
      <c r="I491" s="1" t="str">
        <f t="shared" si="23"/>
        <v/>
      </c>
      <c r="J491" s="1" t="str">
        <f t="shared" si="21"/>
        <v/>
      </c>
      <c r="K491" s="1" t="str">
        <f t="shared" si="22"/>
        <v/>
      </c>
    </row>
    <row r="492" spans="4:11" ht="18" customHeight="1">
      <c r="D492" s="6" t="s">
        <v>76</v>
      </c>
      <c r="E492" s="7"/>
      <c r="F492" s="7"/>
      <c r="G492" s="17" t="s">
        <v>181</v>
      </c>
      <c r="H492" s="17">
        <v>4</v>
      </c>
      <c r="I492" s="1">
        <f t="shared" si="23"/>
        <v>-3</v>
      </c>
      <c r="J492" s="1">
        <f t="shared" si="21"/>
        <v>0</v>
      </c>
      <c r="K492" s="1">
        <f t="shared" si="22"/>
        <v>9</v>
      </c>
    </row>
    <row r="493" spans="4:11" ht="15.75" thickBot="1">
      <c r="D493" s="8"/>
      <c r="E493" s="9" t="s">
        <v>20</v>
      </c>
      <c r="F493" s="9" t="s">
        <v>13</v>
      </c>
      <c r="G493" s="17" t="s">
        <v>178</v>
      </c>
      <c r="H493" s="17"/>
      <c r="I493" s="1" t="str">
        <f t="shared" si="23"/>
        <v/>
      </c>
      <c r="J493" s="1" t="str">
        <f t="shared" si="21"/>
        <v/>
      </c>
      <c r="K493" s="1" t="str">
        <f t="shared" si="22"/>
        <v/>
      </c>
    </row>
    <row r="494" spans="4:11" ht="15" customHeight="1">
      <c r="D494" s="6" t="s">
        <v>76</v>
      </c>
      <c r="E494" s="7"/>
      <c r="F494" s="7"/>
      <c r="G494" s="17" t="s">
        <v>184</v>
      </c>
      <c r="H494" s="17">
        <v>3</v>
      </c>
      <c r="I494" s="1">
        <f t="shared" si="23"/>
        <v>1</v>
      </c>
      <c r="J494" s="1">
        <f t="shared" si="21"/>
        <v>0</v>
      </c>
      <c r="K494" s="1">
        <f t="shared" si="22"/>
        <v>1</v>
      </c>
    </row>
    <row r="495" spans="4:11" ht="15.75" thickBot="1">
      <c r="D495" s="8"/>
      <c r="E495" s="9" t="s">
        <v>41</v>
      </c>
      <c r="F495" s="9" t="s">
        <v>14</v>
      </c>
      <c r="G495" s="17" t="s">
        <v>178</v>
      </c>
      <c r="H495" s="17"/>
      <c r="I495" s="1" t="str">
        <f t="shared" si="23"/>
        <v/>
      </c>
      <c r="J495" s="1" t="str">
        <f t="shared" si="21"/>
        <v/>
      </c>
      <c r="K495" s="1" t="str">
        <f t="shared" si="22"/>
        <v/>
      </c>
    </row>
    <row r="496" spans="4:11" ht="15" customHeight="1">
      <c r="D496" s="6" t="s">
        <v>76</v>
      </c>
      <c r="E496" s="7"/>
      <c r="F496" s="7"/>
      <c r="G496" s="17" t="s">
        <v>185</v>
      </c>
      <c r="H496" s="17">
        <v>0</v>
      </c>
      <c r="I496" s="1">
        <f t="shared" si="23"/>
        <v>5</v>
      </c>
      <c r="J496" s="1">
        <f t="shared" si="21"/>
        <v>0</v>
      </c>
      <c r="K496" s="1">
        <f t="shared" si="22"/>
        <v>25</v>
      </c>
    </row>
    <row r="497" spans="4:11" ht="15.75" thickBot="1">
      <c r="D497" s="8"/>
      <c r="E497" s="9" t="s">
        <v>26</v>
      </c>
      <c r="F497" s="9" t="s">
        <v>3</v>
      </c>
      <c r="G497" s="17" t="s">
        <v>178</v>
      </c>
      <c r="H497" s="17"/>
      <c r="I497" s="1" t="str">
        <f t="shared" si="23"/>
        <v/>
      </c>
      <c r="J497" s="1" t="str">
        <f t="shared" si="21"/>
        <v/>
      </c>
      <c r="K497" s="1" t="str">
        <f t="shared" si="22"/>
        <v/>
      </c>
    </row>
    <row r="498" spans="4:11" ht="18" customHeight="1">
      <c r="D498" s="6" t="s">
        <v>77</v>
      </c>
      <c r="E498" s="7"/>
      <c r="F498" s="7"/>
      <c r="G498" s="17" t="s">
        <v>181</v>
      </c>
      <c r="H498" s="17">
        <v>2</v>
      </c>
      <c r="I498" s="1">
        <f t="shared" si="23"/>
        <v>-1</v>
      </c>
      <c r="J498" s="1">
        <f t="shared" si="21"/>
        <v>0</v>
      </c>
      <c r="K498" s="1">
        <f t="shared" si="22"/>
        <v>1</v>
      </c>
    </row>
    <row r="499" spans="4:11" ht="15.75" thickBot="1">
      <c r="D499" s="8"/>
      <c r="E499" s="9" t="s">
        <v>28</v>
      </c>
      <c r="F499" s="9" t="s">
        <v>2</v>
      </c>
      <c r="G499" s="17" t="s">
        <v>178</v>
      </c>
      <c r="H499" s="17"/>
      <c r="I499" s="1" t="str">
        <f t="shared" si="23"/>
        <v/>
      </c>
      <c r="J499" s="1" t="str">
        <f t="shared" si="21"/>
        <v/>
      </c>
      <c r="K499" s="1" t="str">
        <f t="shared" si="22"/>
        <v/>
      </c>
    </row>
    <row r="500" spans="4:11" ht="15" customHeight="1">
      <c r="D500" s="6" t="s">
        <v>77</v>
      </c>
      <c r="E500" s="7"/>
      <c r="F500" s="7"/>
      <c r="G500" s="17" t="s">
        <v>180</v>
      </c>
      <c r="H500" s="17">
        <v>1</v>
      </c>
      <c r="I500" s="1">
        <f t="shared" si="23"/>
        <v>1</v>
      </c>
      <c r="J500" s="1">
        <f t="shared" si="21"/>
        <v>0</v>
      </c>
      <c r="K500" s="1">
        <f t="shared" si="22"/>
        <v>1</v>
      </c>
    </row>
    <row r="501" spans="4:11" ht="15.75" thickBot="1">
      <c r="D501" s="8"/>
      <c r="E501" s="9" t="s">
        <v>23</v>
      </c>
      <c r="F501" s="9" t="s">
        <v>21</v>
      </c>
      <c r="G501" s="17" t="s">
        <v>178</v>
      </c>
      <c r="H501" s="17"/>
      <c r="I501" s="1" t="str">
        <f t="shared" si="23"/>
        <v/>
      </c>
      <c r="J501" s="1" t="str">
        <f t="shared" si="21"/>
        <v/>
      </c>
      <c r="K501" s="1" t="str">
        <f t="shared" si="22"/>
        <v/>
      </c>
    </row>
    <row r="502" spans="4:11" ht="15" customHeight="1">
      <c r="D502" s="6" t="s">
        <v>77</v>
      </c>
      <c r="E502" s="7"/>
      <c r="F502" s="7"/>
      <c r="G502" s="17" t="s">
        <v>180</v>
      </c>
      <c r="H502" s="17">
        <v>3</v>
      </c>
      <c r="I502" s="1">
        <f t="shared" si="23"/>
        <v>-1</v>
      </c>
      <c r="J502" s="1">
        <f t="shared" si="21"/>
        <v>0</v>
      </c>
      <c r="K502" s="1">
        <f t="shared" si="22"/>
        <v>1</v>
      </c>
    </row>
    <row r="503" spans="4:11" ht="15.75" thickBot="1">
      <c r="D503" s="8"/>
      <c r="E503" s="9" t="s">
        <v>10</v>
      </c>
      <c r="F503" s="9" t="s">
        <v>34</v>
      </c>
      <c r="G503" s="17" t="s">
        <v>178</v>
      </c>
      <c r="H503" s="17"/>
      <c r="I503" s="1" t="str">
        <f t="shared" si="23"/>
        <v/>
      </c>
      <c r="J503" s="1" t="str">
        <f t="shared" si="21"/>
        <v/>
      </c>
      <c r="K503" s="1" t="str">
        <f t="shared" si="22"/>
        <v/>
      </c>
    </row>
    <row r="504" spans="4:11" ht="18" customHeight="1">
      <c r="D504" s="6" t="s">
        <v>77</v>
      </c>
      <c r="E504" s="7"/>
      <c r="F504" s="7"/>
      <c r="G504" s="17" t="s">
        <v>180</v>
      </c>
      <c r="H504" s="17">
        <v>6</v>
      </c>
      <c r="I504" s="1">
        <f t="shared" si="23"/>
        <v>-4</v>
      </c>
      <c r="J504" s="1">
        <f t="shared" si="21"/>
        <v>2550</v>
      </c>
      <c r="K504" s="1">
        <f t="shared" si="22"/>
        <v>6522916</v>
      </c>
    </row>
    <row r="505" spans="4:11" ht="15.75" thickBot="1">
      <c r="D505" s="8"/>
      <c r="E505" s="9" t="s">
        <v>0</v>
      </c>
      <c r="F505" s="9" t="s">
        <v>8</v>
      </c>
      <c r="G505" s="17" t="s">
        <v>178</v>
      </c>
      <c r="H505" s="17"/>
      <c r="I505" s="1" t="str">
        <f t="shared" si="23"/>
        <v/>
      </c>
      <c r="J505" s="1" t="str">
        <f t="shared" si="21"/>
        <v/>
      </c>
      <c r="K505" s="1" t="str">
        <f t="shared" si="22"/>
        <v/>
      </c>
    </row>
    <row r="506" spans="4:11" ht="15" customHeight="1">
      <c r="D506" s="6" t="s">
        <v>77</v>
      </c>
      <c r="E506" s="7"/>
      <c r="F506" s="7"/>
      <c r="G506" s="17" t="s">
        <v>182</v>
      </c>
      <c r="H506" s="17">
        <v>6</v>
      </c>
      <c r="I506" s="1">
        <f t="shared" si="23"/>
        <v>-3</v>
      </c>
      <c r="J506" s="1">
        <f t="shared" si="21"/>
        <v>0</v>
      </c>
      <c r="K506" s="1">
        <f t="shared" si="22"/>
        <v>9</v>
      </c>
    </row>
    <row r="507" spans="4:11" ht="15.75" thickBot="1">
      <c r="D507" s="8"/>
      <c r="E507" s="9" t="s">
        <v>1</v>
      </c>
      <c r="F507" s="9" t="s">
        <v>230</v>
      </c>
      <c r="G507" s="17" t="s">
        <v>178</v>
      </c>
      <c r="H507" s="17"/>
      <c r="I507" s="1" t="str">
        <f t="shared" si="23"/>
        <v/>
      </c>
      <c r="J507" s="1" t="str">
        <f t="shared" si="21"/>
        <v/>
      </c>
      <c r="K507" s="1" t="str">
        <f t="shared" si="22"/>
        <v/>
      </c>
    </row>
    <row r="508" spans="4:11" ht="15" customHeight="1">
      <c r="D508" s="6" t="s">
        <v>77</v>
      </c>
      <c r="E508" s="7"/>
      <c r="F508" s="7"/>
      <c r="G508" s="17" t="s">
        <v>180</v>
      </c>
      <c r="H508" s="17">
        <v>5</v>
      </c>
      <c r="I508" s="1">
        <f t="shared" si="23"/>
        <v>-3</v>
      </c>
      <c r="J508" s="1">
        <f t="shared" si="21"/>
        <v>0</v>
      </c>
      <c r="K508" s="1">
        <f t="shared" si="22"/>
        <v>9</v>
      </c>
    </row>
    <row r="509" spans="4:11" ht="15.75" thickBot="1">
      <c r="D509" s="8"/>
      <c r="E509" s="9" t="s">
        <v>41</v>
      </c>
      <c r="F509" s="9" t="s">
        <v>37</v>
      </c>
      <c r="G509" s="17" t="s">
        <v>178</v>
      </c>
      <c r="H509" s="17"/>
      <c r="I509" s="1" t="str">
        <f t="shared" si="23"/>
        <v/>
      </c>
      <c r="J509" s="1" t="str">
        <f t="shared" si="21"/>
        <v/>
      </c>
      <c r="K509" s="1" t="str">
        <f t="shared" si="22"/>
        <v/>
      </c>
    </row>
    <row r="510" spans="4:11" ht="15" customHeight="1">
      <c r="D510" s="6" t="s">
        <v>77</v>
      </c>
      <c r="E510" s="7"/>
      <c r="F510" s="7"/>
      <c r="G510" s="17" t="s">
        <v>182</v>
      </c>
      <c r="H510" s="17">
        <v>2</v>
      </c>
      <c r="I510" s="1">
        <f t="shared" si="23"/>
        <v>1</v>
      </c>
      <c r="J510" s="1">
        <f t="shared" si="21"/>
        <v>0</v>
      </c>
      <c r="K510" s="1">
        <f t="shared" si="22"/>
        <v>1</v>
      </c>
    </row>
    <row r="511" spans="4:11" ht="15.75" thickBot="1">
      <c r="D511" s="8"/>
      <c r="E511" s="9" t="s">
        <v>22</v>
      </c>
      <c r="F511" s="9" t="s">
        <v>36</v>
      </c>
      <c r="G511" s="17" t="s">
        <v>178</v>
      </c>
      <c r="H511" s="17"/>
      <c r="I511" s="1" t="str">
        <f t="shared" si="23"/>
        <v/>
      </c>
      <c r="J511" s="1" t="str">
        <f t="shared" si="21"/>
        <v/>
      </c>
      <c r="K511" s="1" t="str">
        <f t="shared" si="22"/>
        <v/>
      </c>
    </row>
    <row r="512" spans="4:11" ht="15" customHeight="1">
      <c r="D512" s="6" t="s">
        <v>77</v>
      </c>
      <c r="E512" s="7"/>
      <c r="F512" s="7"/>
      <c r="G512" s="17" t="s">
        <v>180</v>
      </c>
      <c r="H512" s="17">
        <v>3</v>
      </c>
      <c r="I512" s="1">
        <f t="shared" si="23"/>
        <v>-1</v>
      </c>
      <c r="J512" s="1">
        <f t="shared" si="21"/>
        <v>0</v>
      </c>
      <c r="K512" s="1">
        <f t="shared" si="22"/>
        <v>1</v>
      </c>
    </row>
    <row r="513" spans="4:11" ht="15.75" thickBot="1">
      <c r="D513" s="8"/>
      <c r="E513" s="9" t="s">
        <v>38</v>
      </c>
      <c r="F513" s="9" t="s">
        <v>11</v>
      </c>
      <c r="G513" s="17" t="s">
        <v>178</v>
      </c>
      <c r="H513" s="17"/>
      <c r="I513" s="1" t="str">
        <f t="shared" si="23"/>
        <v/>
      </c>
      <c r="J513" s="1" t="str">
        <f t="shared" si="21"/>
        <v/>
      </c>
      <c r="K513" s="1" t="str">
        <f t="shared" si="22"/>
        <v/>
      </c>
    </row>
    <row r="514" spans="4:11" ht="15" customHeight="1">
      <c r="D514" s="6" t="s">
        <v>77</v>
      </c>
      <c r="E514" s="7"/>
      <c r="F514" s="7"/>
      <c r="G514" s="17" t="s">
        <v>181</v>
      </c>
      <c r="H514" s="17">
        <v>2</v>
      </c>
      <c r="I514" s="1">
        <f t="shared" si="23"/>
        <v>-1</v>
      </c>
      <c r="J514" s="1">
        <f t="shared" si="21"/>
        <v>0</v>
      </c>
      <c r="K514" s="1">
        <f t="shared" si="22"/>
        <v>1</v>
      </c>
    </row>
    <row r="515" spans="4:11" ht="15.75" thickBot="1">
      <c r="D515" s="8"/>
      <c r="E515" s="9" t="s">
        <v>33</v>
      </c>
      <c r="F515" s="9" t="s">
        <v>7</v>
      </c>
      <c r="G515" s="17" t="s">
        <v>178</v>
      </c>
      <c r="H515" s="17"/>
      <c r="I515" s="1" t="str">
        <f t="shared" si="23"/>
        <v/>
      </c>
      <c r="J515" s="1" t="str">
        <f t="shared" ref="J515:J578" si="24">IF(F516="","",VLOOKUP(F516,$A$2:$B$31,2)+$B$33-VLOOKUP(E516,$A$2:$B$31,2))</f>
        <v/>
      </c>
      <c r="K515" s="1" t="str">
        <f t="shared" ref="K515:K578" si="25">IF(G515="","",(I515-J515)^2)</f>
        <v/>
      </c>
    </row>
    <row r="516" spans="4:11" ht="15" customHeight="1">
      <c r="D516" s="6" t="s">
        <v>77</v>
      </c>
      <c r="E516" s="7"/>
      <c r="F516" s="7"/>
      <c r="G516" s="17" t="s">
        <v>181</v>
      </c>
      <c r="H516" s="17">
        <v>2</v>
      </c>
      <c r="I516" s="1">
        <f t="shared" ref="I516:I579" si="26">IF(G516="","",G516-H516)</f>
        <v>-1</v>
      </c>
      <c r="J516" s="1">
        <f t="shared" si="24"/>
        <v>0</v>
      </c>
      <c r="K516" s="1">
        <f t="shared" si="25"/>
        <v>1</v>
      </c>
    </row>
    <row r="517" spans="4:11" ht="15.75" thickBot="1">
      <c r="D517" s="8"/>
      <c r="E517" s="9" t="s">
        <v>25</v>
      </c>
      <c r="F517" s="9" t="s">
        <v>19</v>
      </c>
      <c r="G517" s="17" t="s">
        <v>178</v>
      </c>
      <c r="H517" s="17"/>
      <c r="I517" s="1" t="str">
        <f t="shared" si="26"/>
        <v/>
      </c>
      <c r="J517" s="1" t="str">
        <f t="shared" si="24"/>
        <v/>
      </c>
      <c r="K517" s="1" t="str">
        <f t="shared" si="25"/>
        <v/>
      </c>
    </row>
    <row r="518" spans="4:11" ht="15" customHeight="1">
      <c r="D518" s="6" t="s">
        <v>77</v>
      </c>
      <c r="E518" s="7"/>
      <c r="F518" s="7"/>
      <c r="G518" s="17" t="s">
        <v>181</v>
      </c>
      <c r="H518" s="17">
        <v>4</v>
      </c>
      <c r="I518" s="1">
        <f t="shared" si="26"/>
        <v>-3</v>
      </c>
      <c r="J518" s="1">
        <f t="shared" si="24"/>
        <v>0</v>
      </c>
      <c r="K518" s="1">
        <f t="shared" si="25"/>
        <v>9</v>
      </c>
    </row>
    <row r="519" spans="4:11" ht="15.75" thickBot="1">
      <c r="D519" s="8"/>
      <c r="E519" s="9" t="s">
        <v>12</v>
      </c>
      <c r="F519" s="9" t="s">
        <v>39</v>
      </c>
      <c r="G519" s="17" t="s">
        <v>178</v>
      </c>
      <c r="H519" s="17"/>
      <c r="I519" s="1" t="str">
        <f t="shared" si="26"/>
        <v/>
      </c>
      <c r="J519" s="1" t="str">
        <f t="shared" si="24"/>
        <v/>
      </c>
      <c r="K519" s="1" t="str">
        <f t="shared" si="25"/>
        <v/>
      </c>
    </row>
    <row r="520" spans="4:11" ht="18" customHeight="1">
      <c r="D520" s="6" t="s">
        <v>77</v>
      </c>
      <c r="E520" s="7"/>
      <c r="F520" s="7"/>
      <c r="G520" s="17" t="s">
        <v>180</v>
      </c>
      <c r="H520" s="17">
        <v>4</v>
      </c>
      <c r="I520" s="1">
        <f t="shared" si="26"/>
        <v>-2</v>
      </c>
      <c r="J520" s="1">
        <f t="shared" si="24"/>
        <v>0</v>
      </c>
      <c r="K520" s="1">
        <f t="shared" si="25"/>
        <v>4</v>
      </c>
    </row>
    <row r="521" spans="4:11" ht="15.75" thickBot="1">
      <c r="D521" s="8"/>
      <c r="E521" s="9" t="s">
        <v>18</v>
      </c>
      <c r="F521" s="9" t="s">
        <v>4</v>
      </c>
      <c r="G521" s="17" t="s">
        <v>178</v>
      </c>
      <c r="H521" s="17"/>
      <c r="I521" s="1" t="str">
        <f t="shared" si="26"/>
        <v/>
      </c>
      <c r="J521" s="1" t="str">
        <f t="shared" si="24"/>
        <v/>
      </c>
      <c r="K521" s="1" t="str">
        <f t="shared" si="25"/>
        <v/>
      </c>
    </row>
    <row r="522" spans="4:11" ht="15" customHeight="1">
      <c r="D522" s="6" t="s">
        <v>78</v>
      </c>
      <c r="E522" s="7"/>
      <c r="F522" s="7"/>
      <c r="G522" s="17" t="s">
        <v>180</v>
      </c>
      <c r="H522" s="17">
        <v>0</v>
      </c>
      <c r="I522" s="1">
        <f t="shared" si="26"/>
        <v>2</v>
      </c>
      <c r="J522" s="1">
        <f t="shared" si="24"/>
        <v>0</v>
      </c>
      <c r="K522" s="1">
        <f t="shared" si="25"/>
        <v>4</v>
      </c>
    </row>
    <row r="523" spans="4:11" ht="15.75" thickBot="1">
      <c r="D523" s="8"/>
      <c r="E523" s="9" t="s">
        <v>33</v>
      </c>
      <c r="F523" s="9" t="s">
        <v>28</v>
      </c>
      <c r="G523" s="17" t="s">
        <v>178</v>
      </c>
      <c r="H523" s="17"/>
      <c r="I523" s="1" t="str">
        <f t="shared" si="26"/>
        <v/>
      </c>
      <c r="J523" s="1" t="str">
        <f t="shared" si="24"/>
        <v/>
      </c>
      <c r="K523" s="1" t="str">
        <f t="shared" si="25"/>
        <v/>
      </c>
    </row>
    <row r="524" spans="4:11" ht="15" customHeight="1">
      <c r="D524" s="6" t="s">
        <v>78</v>
      </c>
      <c r="E524" s="7"/>
      <c r="F524" s="7"/>
      <c r="G524" s="17" t="s">
        <v>182</v>
      </c>
      <c r="H524" s="17">
        <v>4</v>
      </c>
      <c r="I524" s="1">
        <f t="shared" si="26"/>
        <v>-1</v>
      </c>
      <c r="J524" s="1">
        <f t="shared" si="24"/>
        <v>0</v>
      </c>
      <c r="K524" s="1">
        <f t="shared" si="25"/>
        <v>1</v>
      </c>
    </row>
    <row r="525" spans="4:11" ht="15.75" thickBot="1">
      <c r="D525" s="8"/>
      <c r="E525" s="9" t="s">
        <v>25</v>
      </c>
      <c r="F525" s="9" t="s">
        <v>23</v>
      </c>
      <c r="G525" s="17" t="s">
        <v>178</v>
      </c>
      <c r="H525" s="17"/>
      <c r="I525" s="1" t="str">
        <f t="shared" si="26"/>
        <v/>
      </c>
      <c r="J525" s="1" t="str">
        <f t="shared" si="24"/>
        <v/>
      </c>
      <c r="K525" s="1" t="str">
        <f t="shared" si="25"/>
        <v/>
      </c>
    </row>
    <row r="526" spans="4:11" ht="18" customHeight="1">
      <c r="D526" s="6" t="s">
        <v>78</v>
      </c>
      <c r="E526" s="7"/>
      <c r="F526" s="7"/>
      <c r="G526" s="17" t="s">
        <v>184</v>
      </c>
      <c r="H526" s="17">
        <v>1</v>
      </c>
      <c r="I526" s="1">
        <f t="shared" si="26"/>
        <v>3</v>
      </c>
      <c r="J526" s="1">
        <f t="shared" si="24"/>
        <v>0</v>
      </c>
      <c r="K526" s="1">
        <f t="shared" si="25"/>
        <v>9</v>
      </c>
    </row>
    <row r="527" spans="4:11" ht="15.75" thickBot="1">
      <c r="D527" s="8"/>
      <c r="E527" s="9" t="s">
        <v>230</v>
      </c>
      <c r="F527" s="9" t="s">
        <v>13</v>
      </c>
      <c r="G527" s="17" t="s">
        <v>178</v>
      </c>
      <c r="H527" s="17"/>
      <c r="I527" s="1" t="str">
        <f t="shared" si="26"/>
        <v/>
      </c>
      <c r="J527" s="1" t="str">
        <f t="shared" si="24"/>
        <v/>
      </c>
      <c r="K527" s="1" t="str">
        <f t="shared" si="25"/>
        <v/>
      </c>
    </row>
    <row r="528" spans="4:11" ht="15" customHeight="1">
      <c r="D528" s="6" t="s">
        <v>78</v>
      </c>
      <c r="E528" s="7"/>
      <c r="F528" s="7"/>
      <c r="G528" s="17" t="s">
        <v>180</v>
      </c>
      <c r="H528" s="17">
        <v>6</v>
      </c>
      <c r="I528" s="1">
        <f t="shared" si="26"/>
        <v>-4</v>
      </c>
      <c r="J528" s="1">
        <f t="shared" si="24"/>
        <v>0</v>
      </c>
      <c r="K528" s="1">
        <f t="shared" si="25"/>
        <v>16</v>
      </c>
    </row>
    <row r="529" spans="4:11" ht="15.75" thickBot="1">
      <c r="D529" s="8"/>
      <c r="E529" s="9" t="s">
        <v>21</v>
      </c>
      <c r="F529" s="9" t="s">
        <v>20</v>
      </c>
      <c r="G529" s="17" t="s">
        <v>178</v>
      </c>
      <c r="H529" s="17"/>
      <c r="I529" s="1" t="str">
        <f t="shared" si="26"/>
        <v/>
      </c>
      <c r="J529" s="1" t="str">
        <f t="shared" si="24"/>
        <v/>
      </c>
      <c r="K529" s="1" t="str">
        <f t="shared" si="25"/>
        <v/>
      </c>
    </row>
    <row r="530" spans="4:11" ht="18" customHeight="1">
      <c r="D530" s="6" t="s">
        <v>78</v>
      </c>
      <c r="E530" s="7"/>
      <c r="F530" s="7"/>
      <c r="G530" s="17" t="s">
        <v>183</v>
      </c>
      <c r="H530" s="17">
        <v>2</v>
      </c>
      <c r="I530" s="1">
        <f t="shared" si="26"/>
        <v>4</v>
      </c>
      <c r="J530" s="1">
        <f t="shared" si="24"/>
        <v>0</v>
      </c>
      <c r="K530" s="1">
        <f t="shared" si="25"/>
        <v>16</v>
      </c>
    </row>
    <row r="531" spans="4:11" ht="15.75" thickBot="1">
      <c r="D531" s="8"/>
      <c r="E531" s="9" t="s">
        <v>14</v>
      </c>
      <c r="F531" s="9" t="s">
        <v>10</v>
      </c>
      <c r="G531" s="17" t="s">
        <v>178</v>
      </c>
      <c r="H531" s="17"/>
      <c r="I531" s="1" t="str">
        <f t="shared" si="26"/>
        <v/>
      </c>
      <c r="J531" s="1" t="str">
        <f t="shared" si="24"/>
        <v/>
      </c>
      <c r="K531" s="1" t="str">
        <f t="shared" si="25"/>
        <v/>
      </c>
    </row>
    <row r="532" spans="4:11" ht="15" customHeight="1">
      <c r="D532" s="6" t="s">
        <v>78</v>
      </c>
      <c r="E532" s="7"/>
      <c r="F532" s="7"/>
      <c r="G532" s="17" t="s">
        <v>180</v>
      </c>
      <c r="H532" s="17">
        <v>1</v>
      </c>
      <c r="I532" s="1">
        <f t="shared" si="26"/>
        <v>1</v>
      </c>
      <c r="J532" s="1">
        <f t="shared" si="24"/>
        <v>0</v>
      </c>
      <c r="K532" s="1">
        <f t="shared" si="25"/>
        <v>1</v>
      </c>
    </row>
    <row r="533" spans="4:11" ht="15.75" thickBot="1">
      <c r="D533" s="8"/>
      <c r="E533" s="9" t="s">
        <v>26</v>
      </c>
      <c r="F533" s="9" t="s">
        <v>24</v>
      </c>
      <c r="G533" s="17" t="s">
        <v>178</v>
      </c>
      <c r="H533" s="17"/>
      <c r="I533" s="1" t="str">
        <f t="shared" si="26"/>
        <v/>
      </c>
      <c r="J533" s="1" t="str">
        <f t="shared" si="24"/>
        <v/>
      </c>
      <c r="K533" s="1" t="str">
        <f t="shared" si="25"/>
        <v/>
      </c>
    </row>
    <row r="534" spans="4:11" ht="15" customHeight="1">
      <c r="D534" s="6" t="s">
        <v>79</v>
      </c>
      <c r="E534" s="7"/>
      <c r="F534" s="7"/>
      <c r="G534" s="17" t="s">
        <v>185</v>
      </c>
      <c r="H534" s="17">
        <v>1</v>
      </c>
      <c r="I534" s="1">
        <f t="shared" si="26"/>
        <v>4</v>
      </c>
      <c r="J534" s="1">
        <f t="shared" si="24"/>
        <v>0</v>
      </c>
      <c r="K534" s="1">
        <f t="shared" si="25"/>
        <v>16</v>
      </c>
    </row>
    <row r="535" spans="4:11" ht="15.75" thickBot="1">
      <c r="D535" s="8"/>
      <c r="E535" s="9" t="s">
        <v>37</v>
      </c>
      <c r="F535" s="9" t="s">
        <v>38</v>
      </c>
      <c r="G535" s="17" t="s">
        <v>178</v>
      </c>
      <c r="H535" s="17"/>
      <c r="I535" s="1" t="str">
        <f t="shared" si="26"/>
        <v/>
      </c>
      <c r="J535" s="1" t="str">
        <f t="shared" si="24"/>
        <v/>
      </c>
      <c r="K535" s="1" t="str">
        <f t="shared" si="25"/>
        <v/>
      </c>
    </row>
    <row r="536" spans="4:11" ht="18" customHeight="1">
      <c r="D536" s="6" t="s">
        <v>80</v>
      </c>
      <c r="E536" s="7"/>
      <c r="F536" s="7"/>
      <c r="G536" s="17" t="s">
        <v>179</v>
      </c>
      <c r="H536" s="17">
        <v>2</v>
      </c>
      <c r="I536" s="1">
        <f t="shared" si="26"/>
        <v>-2</v>
      </c>
      <c r="J536" s="1">
        <f t="shared" si="24"/>
        <v>0</v>
      </c>
      <c r="K536" s="1">
        <f t="shared" si="25"/>
        <v>4</v>
      </c>
    </row>
    <row r="537" spans="4:11" ht="15.75" thickBot="1">
      <c r="D537" s="8"/>
      <c r="E537" s="9" t="s">
        <v>39</v>
      </c>
      <c r="F537" s="9" t="s">
        <v>2</v>
      </c>
      <c r="G537" s="17" t="s">
        <v>178</v>
      </c>
      <c r="H537" s="17"/>
      <c r="I537" s="1" t="str">
        <f t="shared" si="26"/>
        <v/>
      </c>
      <c r="J537" s="1" t="str">
        <f t="shared" si="24"/>
        <v/>
      </c>
      <c r="K537" s="1" t="str">
        <f t="shared" si="25"/>
        <v/>
      </c>
    </row>
    <row r="538" spans="4:11" ht="15" customHeight="1">
      <c r="D538" s="6" t="s">
        <v>80</v>
      </c>
      <c r="E538" s="7"/>
      <c r="F538" s="7"/>
      <c r="G538" s="17" t="s">
        <v>180</v>
      </c>
      <c r="H538" s="17">
        <v>5</v>
      </c>
      <c r="I538" s="1">
        <f t="shared" si="26"/>
        <v>-3</v>
      </c>
      <c r="J538" s="1">
        <f t="shared" si="24"/>
        <v>0</v>
      </c>
      <c r="K538" s="1">
        <f t="shared" si="25"/>
        <v>9</v>
      </c>
    </row>
    <row r="539" spans="4:11" ht="15.75" thickBot="1">
      <c r="D539" s="8"/>
      <c r="E539" s="9" t="s">
        <v>37</v>
      </c>
      <c r="F539" s="9" t="s">
        <v>41</v>
      </c>
      <c r="G539" s="17" t="s">
        <v>178</v>
      </c>
      <c r="H539" s="17"/>
      <c r="I539" s="1" t="str">
        <f t="shared" si="26"/>
        <v/>
      </c>
      <c r="J539" s="1" t="str">
        <f t="shared" si="24"/>
        <v/>
      </c>
      <c r="K539" s="1" t="str">
        <f t="shared" si="25"/>
        <v/>
      </c>
    </row>
    <row r="540" spans="4:11" ht="15" customHeight="1">
      <c r="D540" s="6" t="s">
        <v>80</v>
      </c>
      <c r="E540" s="7"/>
      <c r="F540" s="7"/>
      <c r="G540" s="17" t="s">
        <v>185</v>
      </c>
      <c r="H540" s="17">
        <v>0</v>
      </c>
      <c r="I540" s="1">
        <f t="shared" si="26"/>
        <v>5</v>
      </c>
      <c r="J540" s="1">
        <f t="shared" si="24"/>
        <v>0</v>
      </c>
      <c r="K540" s="1">
        <f t="shared" si="25"/>
        <v>25</v>
      </c>
    </row>
    <row r="541" spans="4:11" ht="15.75" thickBot="1">
      <c r="D541" s="8"/>
      <c r="E541" s="9" t="s">
        <v>13</v>
      </c>
      <c r="F541" s="9" t="s">
        <v>7</v>
      </c>
      <c r="G541" s="17" t="s">
        <v>178</v>
      </c>
      <c r="H541" s="17"/>
      <c r="I541" s="1" t="str">
        <f t="shared" si="26"/>
        <v/>
      </c>
      <c r="J541" s="1" t="str">
        <f t="shared" si="24"/>
        <v/>
      </c>
      <c r="K541" s="1" t="str">
        <f t="shared" si="25"/>
        <v/>
      </c>
    </row>
    <row r="542" spans="4:11" ht="18" customHeight="1">
      <c r="D542" s="6" t="s">
        <v>80</v>
      </c>
      <c r="E542" s="7"/>
      <c r="F542" s="7"/>
      <c r="G542" s="17" t="s">
        <v>181</v>
      </c>
      <c r="H542" s="17">
        <v>4</v>
      </c>
      <c r="I542" s="1">
        <f t="shared" si="26"/>
        <v>-3</v>
      </c>
      <c r="J542" s="1">
        <f t="shared" si="24"/>
        <v>2550</v>
      </c>
      <c r="K542" s="1">
        <f t="shared" si="25"/>
        <v>6517809</v>
      </c>
    </row>
    <row r="543" spans="4:11" ht="15.75" thickBot="1">
      <c r="D543" s="8"/>
      <c r="E543" s="9" t="s">
        <v>33</v>
      </c>
      <c r="F543" s="9" t="s">
        <v>8</v>
      </c>
      <c r="G543" s="17" t="s">
        <v>178</v>
      </c>
      <c r="H543" s="17"/>
      <c r="I543" s="1" t="str">
        <f t="shared" si="26"/>
        <v/>
      </c>
      <c r="J543" s="1" t="str">
        <f t="shared" si="24"/>
        <v/>
      </c>
      <c r="K543" s="1" t="str">
        <f t="shared" si="25"/>
        <v/>
      </c>
    </row>
    <row r="544" spans="4:11" ht="18" customHeight="1">
      <c r="D544" s="6" t="s">
        <v>80</v>
      </c>
      <c r="E544" s="7"/>
      <c r="F544" s="7"/>
      <c r="G544" s="17" t="s">
        <v>187</v>
      </c>
      <c r="H544" s="17">
        <v>2</v>
      </c>
      <c r="I544" s="1">
        <f t="shared" si="26"/>
        <v>7</v>
      </c>
      <c r="J544" s="1">
        <f t="shared" si="24"/>
        <v>0</v>
      </c>
      <c r="K544" s="1">
        <f t="shared" si="25"/>
        <v>49</v>
      </c>
    </row>
    <row r="545" spans="4:11" ht="15.75" thickBot="1">
      <c r="D545" s="8"/>
      <c r="E545" s="9" t="s">
        <v>19</v>
      </c>
      <c r="F545" s="9" t="s">
        <v>0</v>
      </c>
      <c r="G545" s="17" t="s">
        <v>178</v>
      </c>
      <c r="H545" s="17"/>
      <c r="I545" s="1" t="str">
        <f t="shared" si="26"/>
        <v/>
      </c>
      <c r="J545" s="1" t="str">
        <f t="shared" si="24"/>
        <v/>
      </c>
      <c r="K545" s="1" t="str">
        <f t="shared" si="25"/>
        <v/>
      </c>
    </row>
    <row r="546" spans="4:11" ht="15" customHeight="1">
      <c r="D546" s="6" t="s">
        <v>80</v>
      </c>
      <c r="E546" s="7"/>
      <c r="F546" s="7"/>
      <c r="G546" s="17" t="s">
        <v>184</v>
      </c>
      <c r="H546" s="17">
        <v>0</v>
      </c>
      <c r="I546" s="1">
        <f t="shared" si="26"/>
        <v>4</v>
      </c>
      <c r="J546" s="1">
        <f t="shared" si="24"/>
        <v>0</v>
      </c>
      <c r="K546" s="1">
        <f t="shared" si="25"/>
        <v>16</v>
      </c>
    </row>
    <row r="547" spans="4:11" ht="15.75" thickBot="1">
      <c r="D547" s="8"/>
      <c r="E547" s="9" t="s">
        <v>11</v>
      </c>
      <c r="F547" s="9" t="s">
        <v>230</v>
      </c>
      <c r="G547" s="17" t="s">
        <v>178</v>
      </c>
      <c r="H547" s="17"/>
      <c r="I547" s="1" t="str">
        <f t="shared" si="26"/>
        <v/>
      </c>
      <c r="J547" s="1" t="str">
        <f t="shared" si="24"/>
        <v/>
      </c>
      <c r="K547" s="1" t="str">
        <f t="shared" si="25"/>
        <v/>
      </c>
    </row>
    <row r="548" spans="4:11" ht="15" customHeight="1">
      <c r="D548" s="6" t="s">
        <v>80</v>
      </c>
      <c r="E548" s="7"/>
      <c r="F548" s="7"/>
      <c r="G548" s="17" t="s">
        <v>181</v>
      </c>
      <c r="H548" s="17">
        <v>3</v>
      </c>
      <c r="I548" s="1">
        <f t="shared" si="26"/>
        <v>-2</v>
      </c>
      <c r="J548" s="1">
        <f t="shared" si="24"/>
        <v>0</v>
      </c>
      <c r="K548" s="1">
        <f t="shared" si="25"/>
        <v>4</v>
      </c>
    </row>
    <row r="549" spans="4:11" ht="15.75" thickBot="1">
      <c r="D549" s="8"/>
      <c r="E549" s="9" t="s">
        <v>36</v>
      </c>
      <c r="F549" s="9" t="s">
        <v>25</v>
      </c>
      <c r="G549" s="17" t="s">
        <v>178</v>
      </c>
      <c r="H549" s="17"/>
      <c r="I549" s="1" t="str">
        <f t="shared" si="26"/>
        <v/>
      </c>
      <c r="J549" s="1" t="str">
        <f t="shared" si="24"/>
        <v/>
      </c>
      <c r="K549" s="1" t="str">
        <f t="shared" si="25"/>
        <v/>
      </c>
    </row>
    <row r="550" spans="4:11" ht="18" customHeight="1">
      <c r="D550" s="6" t="s">
        <v>80</v>
      </c>
      <c r="E550" s="7"/>
      <c r="F550" s="7"/>
      <c r="G550" s="17" t="s">
        <v>183</v>
      </c>
      <c r="H550" s="17">
        <v>4</v>
      </c>
      <c r="I550" s="1">
        <f t="shared" si="26"/>
        <v>2</v>
      </c>
      <c r="J550" s="1">
        <f t="shared" si="24"/>
        <v>0</v>
      </c>
      <c r="K550" s="1">
        <f t="shared" si="25"/>
        <v>4</v>
      </c>
    </row>
    <row r="551" spans="4:11" ht="15.75" thickBot="1">
      <c r="D551" s="8"/>
      <c r="E551" s="9" t="s">
        <v>28</v>
      </c>
      <c r="F551" s="9" t="s">
        <v>21</v>
      </c>
      <c r="G551" s="17" t="s">
        <v>178</v>
      </c>
      <c r="H551" s="17"/>
      <c r="I551" s="1" t="str">
        <f t="shared" si="26"/>
        <v/>
      </c>
      <c r="J551" s="1" t="str">
        <f t="shared" si="24"/>
        <v/>
      </c>
      <c r="K551" s="1" t="str">
        <f t="shared" si="25"/>
        <v/>
      </c>
    </row>
    <row r="552" spans="4:11" ht="18" customHeight="1">
      <c r="D552" s="6" t="s">
        <v>80</v>
      </c>
      <c r="E552" s="7"/>
      <c r="F552" s="7"/>
      <c r="G552" s="17" t="s">
        <v>182</v>
      </c>
      <c r="H552" s="17">
        <v>4</v>
      </c>
      <c r="I552" s="1">
        <f t="shared" si="26"/>
        <v>-1</v>
      </c>
      <c r="J552" s="1">
        <f t="shared" si="24"/>
        <v>0</v>
      </c>
      <c r="K552" s="1">
        <f t="shared" si="25"/>
        <v>1</v>
      </c>
    </row>
    <row r="553" spans="4:11" ht="15.75" thickBot="1">
      <c r="D553" s="8"/>
      <c r="E553" s="9" t="s">
        <v>10</v>
      </c>
      <c r="F553" s="9" t="s">
        <v>4</v>
      </c>
      <c r="G553" s="17" t="s">
        <v>178</v>
      </c>
      <c r="H553" s="17"/>
      <c r="I553" s="1" t="str">
        <f t="shared" si="26"/>
        <v/>
      </c>
      <c r="J553" s="1" t="str">
        <f t="shared" si="24"/>
        <v/>
      </c>
      <c r="K553" s="1" t="str">
        <f t="shared" si="25"/>
        <v/>
      </c>
    </row>
    <row r="554" spans="4:11" ht="15" customHeight="1">
      <c r="D554" s="6" t="s">
        <v>80</v>
      </c>
      <c r="E554" s="7"/>
      <c r="F554" s="7"/>
      <c r="G554" s="17" t="s">
        <v>180</v>
      </c>
      <c r="H554" s="17">
        <v>1</v>
      </c>
      <c r="I554" s="1">
        <f t="shared" si="26"/>
        <v>1</v>
      </c>
      <c r="J554" s="1">
        <f t="shared" si="24"/>
        <v>0</v>
      </c>
      <c r="K554" s="1">
        <f t="shared" si="25"/>
        <v>1</v>
      </c>
    </row>
    <row r="555" spans="4:11" ht="15.75" thickBot="1">
      <c r="D555" s="8"/>
      <c r="E555" s="9" t="s">
        <v>12</v>
      </c>
      <c r="F555" s="9" t="s">
        <v>26</v>
      </c>
      <c r="G555" s="17" t="s">
        <v>178</v>
      </c>
      <c r="H555" s="17"/>
      <c r="I555" s="1" t="str">
        <f t="shared" si="26"/>
        <v/>
      </c>
      <c r="J555" s="1" t="str">
        <f t="shared" si="24"/>
        <v/>
      </c>
      <c r="K555" s="1" t="str">
        <f t="shared" si="25"/>
        <v/>
      </c>
    </row>
    <row r="556" spans="4:11" ht="15" customHeight="1">
      <c r="D556" s="6" t="s">
        <v>80</v>
      </c>
      <c r="E556" s="7"/>
      <c r="F556" s="7"/>
      <c r="G556" s="17" t="s">
        <v>180</v>
      </c>
      <c r="H556" s="17">
        <v>5</v>
      </c>
      <c r="I556" s="1">
        <f t="shared" si="26"/>
        <v>-3</v>
      </c>
      <c r="J556" s="1">
        <f t="shared" si="24"/>
        <v>0</v>
      </c>
      <c r="K556" s="1">
        <f t="shared" si="25"/>
        <v>9</v>
      </c>
    </row>
    <row r="557" spans="4:11" ht="15.75" thickBot="1">
      <c r="D557" s="8"/>
      <c r="E557" s="9" t="s">
        <v>14</v>
      </c>
      <c r="F557" s="9" t="s">
        <v>34</v>
      </c>
      <c r="G557" s="17" t="s">
        <v>178</v>
      </c>
      <c r="H557" s="17"/>
      <c r="I557" s="1" t="str">
        <f t="shared" si="26"/>
        <v/>
      </c>
      <c r="J557" s="1" t="str">
        <f t="shared" si="24"/>
        <v/>
      </c>
      <c r="K557" s="1" t="str">
        <f t="shared" si="25"/>
        <v/>
      </c>
    </row>
    <row r="558" spans="4:11" ht="15" customHeight="1">
      <c r="D558" s="6" t="s">
        <v>81</v>
      </c>
      <c r="E558" s="7"/>
      <c r="F558" s="7"/>
      <c r="G558" s="17" t="s">
        <v>179</v>
      </c>
      <c r="H558" s="17">
        <v>2</v>
      </c>
      <c r="I558" s="1">
        <f t="shared" si="26"/>
        <v>-2</v>
      </c>
      <c r="J558" s="1">
        <f t="shared" si="24"/>
        <v>0</v>
      </c>
      <c r="K558" s="1">
        <f t="shared" si="25"/>
        <v>4</v>
      </c>
    </row>
    <row r="559" spans="4:11" ht="15.75" thickBot="1">
      <c r="D559" s="8"/>
      <c r="E559" s="9" t="s">
        <v>1</v>
      </c>
      <c r="F559" s="9" t="s">
        <v>38</v>
      </c>
      <c r="G559" s="17" t="s">
        <v>178</v>
      </c>
      <c r="H559" s="17"/>
      <c r="I559" s="1" t="str">
        <f t="shared" si="26"/>
        <v/>
      </c>
      <c r="J559" s="1" t="str">
        <f t="shared" si="24"/>
        <v/>
      </c>
      <c r="K559" s="1" t="str">
        <f t="shared" si="25"/>
        <v/>
      </c>
    </row>
    <row r="560" spans="4:11" ht="15" customHeight="1">
      <c r="D560" s="6" t="s">
        <v>81</v>
      </c>
      <c r="E560" s="7"/>
      <c r="F560" s="7"/>
      <c r="G560" s="17" t="s">
        <v>185</v>
      </c>
      <c r="H560" s="17">
        <v>4</v>
      </c>
      <c r="I560" s="1">
        <f t="shared" si="26"/>
        <v>1</v>
      </c>
      <c r="J560" s="1">
        <f t="shared" si="24"/>
        <v>0</v>
      </c>
      <c r="K560" s="1">
        <f t="shared" si="25"/>
        <v>1</v>
      </c>
    </row>
    <row r="561" spans="4:11" ht="15.75" thickBot="1">
      <c r="D561" s="8"/>
      <c r="E561" s="9" t="s">
        <v>3</v>
      </c>
      <c r="F561" s="9" t="s">
        <v>24</v>
      </c>
      <c r="G561" s="17" t="s">
        <v>178</v>
      </c>
      <c r="H561" s="17"/>
      <c r="I561" s="1" t="str">
        <f t="shared" si="26"/>
        <v/>
      </c>
      <c r="J561" s="1" t="str">
        <f t="shared" si="24"/>
        <v/>
      </c>
      <c r="K561" s="1" t="str">
        <f t="shared" si="25"/>
        <v/>
      </c>
    </row>
    <row r="562" spans="4:11" ht="15" customHeight="1">
      <c r="D562" s="6" t="s">
        <v>82</v>
      </c>
      <c r="E562" s="7"/>
      <c r="F562" s="7"/>
      <c r="G562" s="17" t="s">
        <v>182</v>
      </c>
      <c r="H562" s="17">
        <v>2</v>
      </c>
      <c r="I562" s="1">
        <f t="shared" si="26"/>
        <v>1</v>
      </c>
      <c r="J562" s="1">
        <f t="shared" si="24"/>
        <v>0</v>
      </c>
      <c r="K562" s="1">
        <f t="shared" si="25"/>
        <v>1</v>
      </c>
    </row>
    <row r="563" spans="4:11" ht="30.75" thickBot="1">
      <c r="D563" s="8"/>
      <c r="E563" s="9" t="s">
        <v>23</v>
      </c>
      <c r="F563" s="9" t="s">
        <v>1</v>
      </c>
      <c r="G563" s="17" t="s">
        <v>178</v>
      </c>
      <c r="H563" s="17"/>
      <c r="I563" s="1" t="str">
        <f t="shared" si="26"/>
        <v/>
      </c>
      <c r="J563" s="1" t="str">
        <f t="shared" si="24"/>
        <v/>
      </c>
      <c r="K563" s="1" t="str">
        <f t="shared" si="25"/>
        <v/>
      </c>
    </row>
    <row r="564" spans="4:11" ht="15" customHeight="1">
      <c r="D564" s="6" t="s">
        <v>82</v>
      </c>
      <c r="E564" s="7"/>
      <c r="F564" s="7"/>
      <c r="G564" s="17" t="s">
        <v>180</v>
      </c>
      <c r="H564" s="17">
        <v>5</v>
      </c>
      <c r="I564" s="1">
        <f t="shared" si="26"/>
        <v>-3</v>
      </c>
      <c r="J564" s="1">
        <f t="shared" si="24"/>
        <v>0</v>
      </c>
      <c r="K564" s="1">
        <f t="shared" si="25"/>
        <v>9</v>
      </c>
    </row>
    <row r="565" spans="4:11" ht="15.75" thickBot="1">
      <c r="D565" s="8"/>
      <c r="E565" s="9" t="s">
        <v>37</v>
      </c>
      <c r="F565" s="9" t="s">
        <v>0</v>
      </c>
      <c r="G565" s="17" t="s">
        <v>178</v>
      </c>
      <c r="H565" s="17"/>
      <c r="I565" s="1" t="str">
        <f t="shared" si="26"/>
        <v/>
      </c>
      <c r="J565" s="1" t="str">
        <f t="shared" si="24"/>
        <v/>
      </c>
      <c r="K565" s="1" t="str">
        <f t="shared" si="25"/>
        <v/>
      </c>
    </row>
    <row r="566" spans="4:11" ht="15" customHeight="1">
      <c r="D566" s="6" t="s">
        <v>82</v>
      </c>
      <c r="E566" s="7"/>
      <c r="F566" s="7"/>
      <c r="G566" s="17" t="s">
        <v>181</v>
      </c>
      <c r="H566" s="17">
        <v>4</v>
      </c>
      <c r="I566" s="1">
        <f t="shared" si="26"/>
        <v>-3</v>
      </c>
      <c r="J566" s="1">
        <f t="shared" si="24"/>
        <v>0</v>
      </c>
      <c r="K566" s="1">
        <f t="shared" si="25"/>
        <v>9</v>
      </c>
    </row>
    <row r="567" spans="4:11" ht="15.75" thickBot="1">
      <c r="D567" s="8"/>
      <c r="E567" s="9" t="s">
        <v>39</v>
      </c>
      <c r="F567" s="9" t="s">
        <v>230</v>
      </c>
      <c r="G567" s="17" t="s">
        <v>178</v>
      </c>
      <c r="H567" s="17"/>
      <c r="I567" s="1" t="str">
        <f t="shared" si="26"/>
        <v/>
      </c>
      <c r="J567" s="1" t="str">
        <f t="shared" si="24"/>
        <v/>
      </c>
      <c r="K567" s="1" t="str">
        <f t="shared" si="25"/>
        <v/>
      </c>
    </row>
    <row r="568" spans="4:11" ht="18" customHeight="1">
      <c r="D568" s="6" t="s">
        <v>82</v>
      </c>
      <c r="E568" s="7"/>
      <c r="F568" s="7"/>
      <c r="G568" s="17" t="s">
        <v>180</v>
      </c>
      <c r="H568" s="17">
        <v>3</v>
      </c>
      <c r="I568" s="1">
        <f t="shared" si="26"/>
        <v>-1</v>
      </c>
      <c r="J568" s="1">
        <f t="shared" si="24"/>
        <v>0</v>
      </c>
      <c r="K568" s="1">
        <f t="shared" si="25"/>
        <v>1</v>
      </c>
    </row>
    <row r="569" spans="4:11" ht="15.75" thickBot="1">
      <c r="D569" s="8"/>
      <c r="E569" s="9" t="s">
        <v>19</v>
      </c>
      <c r="F569" s="9" t="s">
        <v>18</v>
      </c>
      <c r="G569" s="17" t="s">
        <v>178</v>
      </c>
      <c r="H569" s="17"/>
      <c r="I569" s="1" t="str">
        <f t="shared" si="26"/>
        <v/>
      </c>
      <c r="J569" s="1" t="str">
        <f t="shared" si="24"/>
        <v/>
      </c>
      <c r="K569" s="1" t="str">
        <f t="shared" si="25"/>
        <v/>
      </c>
    </row>
    <row r="570" spans="4:11" ht="15" customHeight="1">
      <c r="D570" s="6" t="s">
        <v>82</v>
      </c>
      <c r="E570" s="7"/>
      <c r="F570" s="7"/>
      <c r="G570" s="17" t="s">
        <v>184</v>
      </c>
      <c r="H570" s="17">
        <v>3</v>
      </c>
      <c r="I570" s="1">
        <f t="shared" si="26"/>
        <v>1</v>
      </c>
      <c r="J570" s="1">
        <f t="shared" si="24"/>
        <v>0</v>
      </c>
      <c r="K570" s="1">
        <f t="shared" si="25"/>
        <v>1</v>
      </c>
    </row>
    <row r="571" spans="4:11" ht="15.75" thickBot="1">
      <c r="D571" s="8"/>
      <c r="E571" s="9" t="s">
        <v>13</v>
      </c>
      <c r="F571" s="9" t="s">
        <v>25</v>
      </c>
      <c r="G571" s="17" t="s">
        <v>178</v>
      </c>
      <c r="H571" s="17"/>
      <c r="I571" s="1" t="str">
        <f t="shared" si="26"/>
        <v/>
      </c>
      <c r="J571" s="1" t="str">
        <f t="shared" si="24"/>
        <v/>
      </c>
      <c r="K571" s="1" t="str">
        <f t="shared" si="25"/>
        <v/>
      </c>
    </row>
    <row r="572" spans="4:11" ht="18" customHeight="1">
      <c r="D572" s="6" t="s">
        <v>82</v>
      </c>
      <c r="E572" s="7"/>
      <c r="F572" s="7"/>
      <c r="G572" s="17" t="s">
        <v>181</v>
      </c>
      <c r="H572" s="17">
        <v>3</v>
      </c>
      <c r="I572" s="1">
        <f t="shared" si="26"/>
        <v>-2</v>
      </c>
      <c r="J572" s="1">
        <f t="shared" si="24"/>
        <v>0</v>
      </c>
      <c r="K572" s="1">
        <f t="shared" si="25"/>
        <v>4</v>
      </c>
    </row>
    <row r="573" spans="4:11" ht="15.75" thickBot="1">
      <c r="D573" s="8"/>
      <c r="E573" s="9" t="s">
        <v>26</v>
      </c>
      <c r="F573" s="9" t="s">
        <v>21</v>
      </c>
      <c r="G573" s="17" t="s">
        <v>178</v>
      </c>
      <c r="H573" s="17"/>
      <c r="I573" s="1" t="str">
        <f t="shared" si="26"/>
        <v/>
      </c>
      <c r="J573" s="1" t="str">
        <f t="shared" si="24"/>
        <v/>
      </c>
      <c r="K573" s="1" t="str">
        <f t="shared" si="25"/>
        <v/>
      </c>
    </row>
    <row r="574" spans="4:11" ht="15" customHeight="1">
      <c r="D574" s="6" t="s">
        <v>82</v>
      </c>
      <c r="E574" s="7"/>
      <c r="F574" s="7"/>
      <c r="G574" s="17" t="s">
        <v>182</v>
      </c>
      <c r="H574" s="17">
        <v>2</v>
      </c>
      <c r="I574" s="1">
        <f t="shared" si="26"/>
        <v>1</v>
      </c>
      <c r="J574" s="1">
        <f t="shared" si="24"/>
        <v>0</v>
      </c>
      <c r="K574" s="1">
        <f t="shared" si="25"/>
        <v>1</v>
      </c>
    </row>
    <row r="575" spans="4:11" ht="15.75" thickBot="1">
      <c r="D575" s="8"/>
      <c r="E575" s="9" t="s">
        <v>12</v>
      </c>
      <c r="F575" s="9" t="s">
        <v>22</v>
      </c>
      <c r="G575" s="17" t="s">
        <v>178</v>
      </c>
      <c r="H575" s="17"/>
      <c r="I575" s="1" t="str">
        <f t="shared" si="26"/>
        <v/>
      </c>
      <c r="J575" s="1" t="str">
        <f t="shared" si="24"/>
        <v/>
      </c>
      <c r="K575" s="1" t="str">
        <f t="shared" si="25"/>
        <v/>
      </c>
    </row>
    <row r="576" spans="4:11" ht="18" customHeight="1">
      <c r="D576" s="6" t="s">
        <v>82</v>
      </c>
      <c r="E576" s="7"/>
      <c r="F576" s="7"/>
      <c r="G576" s="17" t="s">
        <v>184</v>
      </c>
      <c r="H576" s="17">
        <v>3</v>
      </c>
      <c r="I576" s="1">
        <f t="shared" si="26"/>
        <v>1</v>
      </c>
      <c r="J576" s="1">
        <f t="shared" si="24"/>
        <v>0</v>
      </c>
      <c r="K576" s="1">
        <f t="shared" si="25"/>
        <v>1</v>
      </c>
    </row>
    <row r="577" spans="4:11" ht="15.75" thickBot="1">
      <c r="D577" s="8"/>
      <c r="E577" s="9" t="s">
        <v>20</v>
      </c>
      <c r="F577" s="9" t="s">
        <v>4</v>
      </c>
      <c r="G577" s="17" t="s">
        <v>178</v>
      </c>
      <c r="H577" s="17"/>
      <c r="I577" s="1" t="str">
        <f t="shared" si="26"/>
        <v/>
      </c>
      <c r="J577" s="1" t="str">
        <f t="shared" si="24"/>
        <v/>
      </c>
      <c r="K577" s="1" t="str">
        <f t="shared" si="25"/>
        <v/>
      </c>
    </row>
    <row r="578" spans="4:11" ht="15" customHeight="1">
      <c r="D578" s="6" t="s">
        <v>82</v>
      </c>
      <c r="E578" s="7"/>
      <c r="F578" s="7"/>
      <c r="G578" s="17" t="s">
        <v>184</v>
      </c>
      <c r="H578" s="17">
        <v>3</v>
      </c>
      <c r="I578" s="1">
        <f t="shared" si="26"/>
        <v>1</v>
      </c>
      <c r="J578" s="1">
        <f t="shared" si="24"/>
        <v>0</v>
      </c>
      <c r="K578" s="1">
        <f t="shared" si="25"/>
        <v>1</v>
      </c>
    </row>
    <row r="579" spans="4:11" ht="15.75" thickBot="1">
      <c r="D579" s="8"/>
      <c r="E579" s="9" t="s">
        <v>10</v>
      </c>
      <c r="F579" s="9" t="s">
        <v>3</v>
      </c>
      <c r="G579" s="17" t="s">
        <v>178</v>
      </c>
      <c r="H579" s="17"/>
      <c r="I579" s="1" t="str">
        <f t="shared" si="26"/>
        <v/>
      </c>
      <c r="J579" s="1" t="str">
        <f t="shared" ref="J579:J642" si="27">IF(F580="","",VLOOKUP(F580,$A$2:$B$31,2)+$B$33-VLOOKUP(E580,$A$2:$B$31,2))</f>
        <v/>
      </c>
      <c r="K579" s="1" t="str">
        <f t="shared" ref="K579:K642" si="28">IF(G579="","",(I579-J579)^2)</f>
        <v/>
      </c>
    </row>
    <row r="580" spans="4:11" ht="15" customHeight="1">
      <c r="D580" s="6" t="s">
        <v>82</v>
      </c>
      <c r="E580" s="7"/>
      <c r="F580" s="7"/>
      <c r="G580" s="17" t="s">
        <v>180</v>
      </c>
      <c r="H580" s="17">
        <v>3</v>
      </c>
      <c r="I580" s="1">
        <f t="shared" ref="I580:I643" si="29">IF(G580="","",G580-H580)</f>
        <v>-1</v>
      </c>
      <c r="J580" s="1">
        <f t="shared" si="27"/>
        <v>0</v>
      </c>
      <c r="K580" s="1">
        <f t="shared" si="28"/>
        <v>1</v>
      </c>
    </row>
    <row r="581" spans="4:11" ht="15.75" thickBot="1">
      <c r="D581" s="8"/>
      <c r="E581" s="9" t="s">
        <v>28</v>
      </c>
      <c r="F581" s="9" t="s">
        <v>34</v>
      </c>
      <c r="G581" s="17" t="s">
        <v>178</v>
      </c>
      <c r="H581" s="17"/>
      <c r="I581" s="1" t="str">
        <f t="shared" si="29"/>
        <v/>
      </c>
      <c r="J581" s="1" t="str">
        <f t="shared" si="27"/>
        <v/>
      </c>
      <c r="K581" s="1" t="str">
        <f t="shared" si="28"/>
        <v/>
      </c>
    </row>
    <row r="582" spans="4:11" ht="18" customHeight="1">
      <c r="D582" s="6" t="s">
        <v>82</v>
      </c>
      <c r="E582" s="7"/>
      <c r="F582" s="7"/>
      <c r="G582" s="17" t="s">
        <v>182</v>
      </c>
      <c r="H582" s="17">
        <v>2</v>
      </c>
      <c r="I582" s="1">
        <f t="shared" si="29"/>
        <v>1</v>
      </c>
      <c r="J582" s="1">
        <f t="shared" si="27"/>
        <v>0</v>
      </c>
      <c r="K582" s="1">
        <f t="shared" si="28"/>
        <v>1</v>
      </c>
    </row>
    <row r="583" spans="4:11" ht="15.75" thickBot="1">
      <c r="D583" s="8"/>
      <c r="E583" s="9" t="s">
        <v>14</v>
      </c>
      <c r="F583" s="9" t="s">
        <v>33</v>
      </c>
      <c r="G583" s="17" t="s">
        <v>178</v>
      </c>
      <c r="H583" s="17"/>
      <c r="I583" s="1" t="str">
        <f t="shared" si="29"/>
        <v/>
      </c>
      <c r="J583" s="1" t="str">
        <f t="shared" si="27"/>
        <v/>
      </c>
      <c r="K583" s="1" t="str">
        <f t="shared" si="28"/>
        <v/>
      </c>
    </row>
    <row r="584" spans="4:11" ht="15" customHeight="1">
      <c r="D584" s="6" t="s">
        <v>83</v>
      </c>
      <c r="E584" s="7"/>
      <c r="F584" s="7"/>
      <c r="G584" s="17" t="s">
        <v>185</v>
      </c>
      <c r="H584" s="17">
        <v>4</v>
      </c>
      <c r="I584" s="1">
        <f t="shared" si="29"/>
        <v>1</v>
      </c>
      <c r="J584" s="1">
        <f t="shared" si="27"/>
        <v>0</v>
      </c>
      <c r="K584" s="1">
        <f t="shared" si="28"/>
        <v>1</v>
      </c>
    </row>
    <row r="585" spans="4:11" ht="15.75" thickBot="1">
      <c r="D585" s="8"/>
      <c r="E585" s="9" t="s">
        <v>41</v>
      </c>
      <c r="F585" s="9" t="s">
        <v>11</v>
      </c>
      <c r="G585" s="17" t="s">
        <v>178</v>
      </c>
      <c r="H585" s="17"/>
      <c r="I585" s="1" t="str">
        <f t="shared" si="29"/>
        <v/>
      </c>
      <c r="J585" s="1" t="str">
        <f t="shared" si="27"/>
        <v/>
      </c>
      <c r="K585" s="1" t="str">
        <f t="shared" si="28"/>
        <v/>
      </c>
    </row>
    <row r="586" spans="4:11" ht="15" customHeight="1">
      <c r="D586" s="6" t="s">
        <v>83</v>
      </c>
      <c r="E586" s="7"/>
      <c r="F586" s="7"/>
      <c r="G586" s="17" t="s">
        <v>184</v>
      </c>
      <c r="H586" s="17">
        <v>3</v>
      </c>
      <c r="I586" s="1">
        <f t="shared" si="29"/>
        <v>1</v>
      </c>
      <c r="J586" s="1">
        <f t="shared" si="27"/>
        <v>0</v>
      </c>
      <c r="K586" s="1">
        <f t="shared" si="28"/>
        <v>1</v>
      </c>
    </row>
    <row r="587" spans="4:11" ht="15.75" thickBot="1">
      <c r="D587" s="8"/>
      <c r="E587" s="9" t="s">
        <v>2</v>
      </c>
      <c r="F587" s="9" t="s">
        <v>7</v>
      </c>
      <c r="G587" s="17" t="s">
        <v>178</v>
      </c>
      <c r="H587" s="17"/>
      <c r="I587" s="1" t="str">
        <f t="shared" si="29"/>
        <v/>
      </c>
      <c r="J587" s="1" t="str">
        <f t="shared" si="27"/>
        <v/>
      </c>
      <c r="K587" s="1" t="str">
        <f t="shared" si="28"/>
        <v/>
      </c>
    </row>
    <row r="588" spans="4:11" ht="15" customHeight="1">
      <c r="D588" s="6" t="s">
        <v>83</v>
      </c>
      <c r="E588" s="7"/>
      <c r="F588" s="7"/>
      <c r="G588" s="17" t="s">
        <v>180</v>
      </c>
      <c r="H588" s="17">
        <v>0</v>
      </c>
      <c r="I588" s="1">
        <f t="shared" si="29"/>
        <v>2</v>
      </c>
      <c r="J588" s="1">
        <f t="shared" si="27"/>
        <v>0</v>
      </c>
      <c r="K588" s="1">
        <f t="shared" si="28"/>
        <v>4</v>
      </c>
    </row>
    <row r="589" spans="4:11" ht="15.75" thickBot="1">
      <c r="D589" s="8"/>
      <c r="E589" s="9" t="s">
        <v>36</v>
      </c>
      <c r="F589" s="9" t="s">
        <v>24</v>
      </c>
      <c r="G589" s="17" t="s">
        <v>178</v>
      </c>
      <c r="H589" s="17"/>
      <c r="I589" s="1" t="str">
        <f t="shared" si="29"/>
        <v/>
      </c>
      <c r="J589" s="1" t="str">
        <f t="shared" si="27"/>
        <v/>
      </c>
      <c r="K589" s="1" t="str">
        <f t="shared" si="28"/>
        <v/>
      </c>
    </row>
    <row r="590" spans="4:11" ht="18" customHeight="1">
      <c r="D590" s="6" t="s">
        <v>84</v>
      </c>
      <c r="E590" s="7"/>
      <c r="F590" s="7"/>
      <c r="G590" s="17" t="s">
        <v>182</v>
      </c>
      <c r="H590" s="17">
        <v>2</v>
      </c>
      <c r="I590" s="1">
        <f t="shared" si="29"/>
        <v>1</v>
      </c>
      <c r="J590" s="1">
        <f t="shared" si="27"/>
        <v>0</v>
      </c>
      <c r="K590" s="1">
        <f t="shared" si="28"/>
        <v>1</v>
      </c>
    </row>
    <row r="591" spans="4:11" ht="15.75" thickBot="1">
      <c r="D591" s="8"/>
      <c r="E591" s="9" t="s">
        <v>39</v>
      </c>
      <c r="F591" s="9" t="s">
        <v>18</v>
      </c>
      <c r="G591" s="17" t="s">
        <v>178</v>
      </c>
      <c r="H591" s="17"/>
      <c r="I591" s="1" t="str">
        <f t="shared" si="29"/>
        <v/>
      </c>
      <c r="J591" s="1" t="str">
        <f t="shared" si="27"/>
        <v/>
      </c>
      <c r="K591" s="1" t="str">
        <f t="shared" si="28"/>
        <v/>
      </c>
    </row>
    <row r="592" spans="4:11" ht="18" customHeight="1">
      <c r="D592" s="6" t="s">
        <v>84</v>
      </c>
      <c r="E592" s="7"/>
      <c r="F592" s="7"/>
      <c r="G592" s="17" t="s">
        <v>180</v>
      </c>
      <c r="H592" s="17">
        <v>0</v>
      </c>
      <c r="I592" s="1">
        <f t="shared" si="29"/>
        <v>2</v>
      </c>
      <c r="J592" s="1">
        <f t="shared" si="27"/>
        <v>0</v>
      </c>
      <c r="K592" s="1">
        <f t="shared" si="28"/>
        <v>4</v>
      </c>
    </row>
    <row r="593" spans="4:11" ht="15.75" thickBot="1">
      <c r="D593" s="8"/>
      <c r="E593" s="9" t="s">
        <v>230</v>
      </c>
      <c r="F593" s="9" t="s">
        <v>2</v>
      </c>
      <c r="G593" s="17" t="s">
        <v>178</v>
      </c>
      <c r="H593" s="17"/>
      <c r="I593" s="1" t="str">
        <f t="shared" si="29"/>
        <v/>
      </c>
      <c r="J593" s="1" t="str">
        <f t="shared" si="27"/>
        <v/>
      </c>
      <c r="K593" s="1" t="str">
        <f t="shared" si="28"/>
        <v/>
      </c>
    </row>
    <row r="594" spans="4:11" ht="18" customHeight="1">
      <c r="D594" s="6" t="s">
        <v>84</v>
      </c>
      <c r="E594" s="7"/>
      <c r="F594" s="7"/>
      <c r="G594" s="17" t="s">
        <v>181</v>
      </c>
      <c r="H594" s="17">
        <v>4</v>
      </c>
      <c r="I594" s="1">
        <f t="shared" si="29"/>
        <v>-3</v>
      </c>
      <c r="J594" s="1">
        <f t="shared" si="27"/>
        <v>0</v>
      </c>
      <c r="K594" s="1">
        <f t="shared" si="28"/>
        <v>9</v>
      </c>
    </row>
    <row r="595" spans="4:11" ht="15.75" thickBot="1">
      <c r="D595" s="8"/>
      <c r="E595" s="9" t="s">
        <v>13</v>
      </c>
      <c r="F595" s="9" t="s">
        <v>0</v>
      </c>
      <c r="G595" s="17" t="s">
        <v>178</v>
      </c>
      <c r="H595" s="17"/>
      <c r="I595" s="1" t="str">
        <f t="shared" si="29"/>
        <v/>
      </c>
      <c r="J595" s="1" t="str">
        <f t="shared" si="27"/>
        <v/>
      </c>
      <c r="K595" s="1" t="str">
        <f t="shared" si="28"/>
        <v/>
      </c>
    </row>
    <row r="596" spans="4:11" ht="15" customHeight="1">
      <c r="D596" s="6" t="s">
        <v>84</v>
      </c>
      <c r="E596" s="7"/>
      <c r="F596" s="7"/>
      <c r="G596" s="17" t="s">
        <v>181</v>
      </c>
      <c r="H596" s="17">
        <v>2</v>
      </c>
      <c r="I596" s="1">
        <f t="shared" si="29"/>
        <v>-1</v>
      </c>
      <c r="J596" s="1">
        <f t="shared" si="27"/>
        <v>0</v>
      </c>
      <c r="K596" s="1">
        <f t="shared" si="28"/>
        <v>1</v>
      </c>
    </row>
    <row r="597" spans="4:11" ht="15.75" thickBot="1">
      <c r="D597" s="8"/>
      <c r="E597" s="9" t="s">
        <v>23</v>
      </c>
      <c r="F597" s="9" t="s">
        <v>37</v>
      </c>
      <c r="G597" s="17" t="s">
        <v>178</v>
      </c>
      <c r="H597" s="17"/>
      <c r="I597" s="1" t="str">
        <f t="shared" si="29"/>
        <v/>
      </c>
      <c r="J597" s="1" t="str">
        <f t="shared" si="27"/>
        <v/>
      </c>
      <c r="K597" s="1" t="str">
        <f t="shared" si="28"/>
        <v/>
      </c>
    </row>
    <row r="598" spans="4:11" ht="15" customHeight="1">
      <c r="D598" s="6" t="s">
        <v>84</v>
      </c>
      <c r="E598" s="7"/>
      <c r="F598" s="7"/>
      <c r="G598" s="17" t="s">
        <v>181</v>
      </c>
      <c r="H598" s="17">
        <v>4</v>
      </c>
      <c r="I598" s="1">
        <f t="shared" si="29"/>
        <v>-3</v>
      </c>
      <c r="J598" s="1">
        <f t="shared" si="27"/>
        <v>0</v>
      </c>
      <c r="K598" s="1">
        <f t="shared" si="28"/>
        <v>9</v>
      </c>
    </row>
    <row r="599" spans="4:11" ht="15.75" thickBot="1">
      <c r="D599" s="8"/>
      <c r="E599" s="9" t="s">
        <v>11</v>
      </c>
      <c r="F599" s="9" t="s">
        <v>41</v>
      </c>
      <c r="G599" s="17" t="s">
        <v>178</v>
      </c>
      <c r="H599" s="17"/>
      <c r="I599" s="1" t="str">
        <f t="shared" si="29"/>
        <v/>
      </c>
      <c r="J599" s="1" t="str">
        <f t="shared" si="27"/>
        <v/>
      </c>
      <c r="K599" s="1" t="str">
        <f t="shared" si="28"/>
        <v/>
      </c>
    </row>
    <row r="600" spans="4:11" ht="15" customHeight="1">
      <c r="D600" s="6" t="s">
        <v>84</v>
      </c>
      <c r="E600" s="7"/>
      <c r="F600" s="7"/>
      <c r="G600" s="17" t="s">
        <v>180</v>
      </c>
      <c r="H600" s="17">
        <v>4</v>
      </c>
      <c r="I600" s="1">
        <f t="shared" si="29"/>
        <v>-2</v>
      </c>
      <c r="J600" s="1">
        <f t="shared" si="27"/>
        <v>0</v>
      </c>
      <c r="K600" s="1">
        <f t="shared" si="28"/>
        <v>4</v>
      </c>
    </row>
    <row r="601" spans="4:11" ht="30.75" thickBot="1">
      <c r="D601" s="8"/>
      <c r="E601" s="9" t="s">
        <v>7</v>
      </c>
      <c r="F601" s="9" t="s">
        <v>1</v>
      </c>
      <c r="G601" s="17" t="s">
        <v>178</v>
      </c>
      <c r="H601" s="17"/>
      <c r="I601" s="1" t="str">
        <f t="shared" si="29"/>
        <v/>
      </c>
      <c r="J601" s="1" t="str">
        <f t="shared" si="27"/>
        <v/>
      </c>
      <c r="K601" s="1" t="str">
        <f t="shared" si="28"/>
        <v/>
      </c>
    </row>
    <row r="602" spans="4:11" ht="15" customHeight="1">
      <c r="D602" s="6" t="s">
        <v>84</v>
      </c>
      <c r="E602" s="7"/>
      <c r="F602" s="7"/>
      <c r="G602" s="17" t="s">
        <v>180</v>
      </c>
      <c r="H602" s="17">
        <v>1</v>
      </c>
      <c r="I602" s="1">
        <f t="shared" si="29"/>
        <v>1</v>
      </c>
      <c r="J602" s="1">
        <f t="shared" si="27"/>
        <v>-2550</v>
      </c>
      <c r="K602" s="1">
        <f t="shared" si="28"/>
        <v>6507601</v>
      </c>
    </row>
    <row r="603" spans="4:11" ht="30.75" thickBot="1">
      <c r="D603" s="8"/>
      <c r="E603" s="9" t="s">
        <v>8</v>
      </c>
      <c r="F603" s="9" t="s">
        <v>12</v>
      </c>
      <c r="G603" s="17" t="s">
        <v>178</v>
      </c>
      <c r="H603" s="17"/>
      <c r="I603" s="1" t="str">
        <f t="shared" si="29"/>
        <v/>
      </c>
      <c r="J603" s="1" t="str">
        <f t="shared" si="27"/>
        <v/>
      </c>
      <c r="K603" s="1" t="str">
        <f t="shared" si="28"/>
        <v/>
      </c>
    </row>
    <row r="604" spans="4:11" ht="15" customHeight="1">
      <c r="D604" s="6" t="s">
        <v>84</v>
      </c>
      <c r="E604" s="7"/>
      <c r="F604" s="7"/>
      <c r="G604" s="17" t="s">
        <v>180</v>
      </c>
      <c r="H604" s="17">
        <v>3</v>
      </c>
      <c r="I604" s="1">
        <f t="shared" si="29"/>
        <v>-1</v>
      </c>
      <c r="J604" s="1">
        <f t="shared" si="27"/>
        <v>0</v>
      </c>
      <c r="K604" s="1">
        <f t="shared" si="28"/>
        <v>1</v>
      </c>
    </row>
    <row r="605" spans="4:11" ht="15.75" thickBot="1">
      <c r="D605" s="8"/>
      <c r="E605" s="9" t="s">
        <v>14</v>
      </c>
      <c r="F605" s="9" t="s">
        <v>19</v>
      </c>
      <c r="G605" s="17" t="s">
        <v>178</v>
      </c>
      <c r="H605" s="17"/>
      <c r="I605" s="1" t="str">
        <f t="shared" si="29"/>
        <v/>
      </c>
      <c r="J605" s="1" t="str">
        <f t="shared" si="27"/>
        <v/>
      </c>
      <c r="K605" s="1" t="str">
        <f t="shared" si="28"/>
        <v/>
      </c>
    </row>
    <row r="606" spans="4:11" ht="15" customHeight="1">
      <c r="D606" s="6" t="s">
        <v>84</v>
      </c>
      <c r="E606" s="7"/>
      <c r="F606" s="7"/>
      <c r="G606" s="17" t="s">
        <v>184</v>
      </c>
      <c r="H606" s="17">
        <v>5</v>
      </c>
      <c r="I606" s="1">
        <f t="shared" si="29"/>
        <v>-1</v>
      </c>
      <c r="J606" s="1">
        <f t="shared" si="27"/>
        <v>0</v>
      </c>
      <c r="K606" s="1">
        <f t="shared" si="28"/>
        <v>1</v>
      </c>
    </row>
    <row r="607" spans="4:11" ht="15.75" thickBot="1">
      <c r="D607" s="8"/>
      <c r="E607" s="9" t="s">
        <v>34</v>
      </c>
      <c r="F607" s="9" t="s">
        <v>21</v>
      </c>
      <c r="G607" s="17" t="s">
        <v>178</v>
      </c>
      <c r="H607" s="17"/>
      <c r="I607" s="1" t="str">
        <f t="shared" si="29"/>
        <v/>
      </c>
      <c r="J607" s="1" t="str">
        <f t="shared" si="27"/>
        <v/>
      </c>
      <c r="K607" s="1" t="str">
        <f t="shared" si="28"/>
        <v/>
      </c>
    </row>
    <row r="608" spans="4:11" ht="15" customHeight="1">
      <c r="D608" s="6" t="s">
        <v>84</v>
      </c>
      <c r="E608" s="7"/>
      <c r="F608" s="7"/>
      <c r="G608" s="17" t="s">
        <v>182</v>
      </c>
      <c r="H608" s="17">
        <v>4</v>
      </c>
      <c r="I608" s="1">
        <f t="shared" si="29"/>
        <v>-1</v>
      </c>
      <c r="J608" s="1">
        <f t="shared" si="27"/>
        <v>0</v>
      </c>
      <c r="K608" s="1">
        <f t="shared" si="28"/>
        <v>1</v>
      </c>
    </row>
    <row r="609" spans="4:11" ht="15.75" thickBot="1">
      <c r="D609" s="8"/>
      <c r="E609" s="9" t="s">
        <v>28</v>
      </c>
      <c r="F609" s="9" t="s">
        <v>22</v>
      </c>
      <c r="G609" s="17" t="s">
        <v>178</v>
      </c>
      <c r="H609" s="17"/>
      <c r="I609" s="1" t="str">
        <f t="shared" si="29"/>
        <v/>
      </c>
      <c r="J609" s="1" t="str">
        <f t="shared" si="27"/>
        <v/>
      </c>
      <c r="K609" s="1" t="str">
        <f t="shared" si="28"/>
        <v/>
      </c>
    </row>
    <row r="610" spans="4:11" ht="15" customHeight="1">
      <c r="D610" s="6" t="s">
        <v>84</v>
      </c>
      <c r="E610" s="7"/>
      <c r="F610" s="7"/>
      <c r="G610" s="17" t="s">
        <v>184</v>
      </c>
      <c r="H610" s="17">
        <v>5</v>
      </c>
      <c r="I610" s="1">
        <f t="shared" si="29"/>
        <v>-1</v>
      </c>
      <c r="J610" s="1">
        <f t="shared" si="27"/>
        <v>0</v>
      </c>
      <c r="K610" s="1">
        <f t="shared" si="28"/>
        <v>1</v>
      </c>
    </row>
    <row r="611" spans="4:11" ht="15.75" thickBot="1">
      <c r="D611" s="8"/>
      <c r="E611" s="9" t="s">
        <v>36</v>
      </c>
      <c r="F611" s="9" t="s">
        <v>4</v>
      </c>
      <c r="G611" s="17" t="s">
        <v>178</v>
      </c>
      <c r="H611" s="17"/>
      <c r="I611" s="1" t="str">
        <f t="shared" si="29"/>
        <v/>
      </c>
      <c r="J611" s="1" t="str">
        <f t="shared" si="27"/>
        <v/>
      </c>
      <c r="K611" s="1" t="str">
        <f t="shared" si="28"/>
        <v/>
      </c>
    </row>
    <row r="612" spans="4:11" ht="15" customHeight="1">
      <c r="D612" s="6" t="s">
        <v>84</v>
      </c>
      <c r="E612" s="7"/>
      <c r="F612" s="7"/>
      <c r="G612" s="17" t="s">
        <v>186</v>
      </c>
      <c r="H612" s="17">
        <v>1</v>
      </c>
      <c r="I612" s="1">
        <f t="shared" si="29"/>
        <v>6</v>
      </c>
      <c r="J612" s="1">
        <f t="shared" si="27"/>
        <v>0</v>
      </c>
      <c r="K612" s="1">
        <f t="shared" si="28"/>
        <v>36</v>
      </c>
    </row>
    <row r="613" spans="4:11" ht="15.75" thickBot="1">
      <c r="D613" s="8"/>
      <c r="E613" s="9" t="s">
        <v>20</v>
      </c>
      <c r="F613" s="9" t="s">
        <v>24</v>
      </c>
      <c r="G613" s="17" t="s">
        <v>178</v>
      </c>
      <c r="H613" s="17"/>
      <c r="I613" s="1" t="str">
        <f t="shared" si="29"/>
        <v/>
      </c>
      <c r="J613" s="1" t="str">
        <f t="shared" si="27"/>
        <v/>
      </c>
      <c r="K613" s="1" t="str">
        <f t="shared" si="28"/>
        <v/>
      </c>
    </row>
    <row r="614" spans="4:11" ht="18" customHeight="1">
      <c r="D614" s="6" t="s">
        <v>84</v>
      </c>
      <c r="E614" s="7"/>
      <c r="F614" s="7"/>
      <c r="G614" s="17" t="s">
        <v>184</v>
      </c>
      <c r="H614" s="17">
        <v>3</v>
      </c>
      <c r="I614" s="1">
        <f t="shared" si="29"/>
        <v>1</v>
      </c>
      <c r="J614" s="1">
        <f t="shared" si="27"/>
        <v>0</v>
      </c>
      <c r="K614" s="1">
        <f t="shared" si="28"/>
        <v>1</v>
      </c>
    </row>
    <row r="615" spans="4:11" ht="15.75" thickBot="1">
      <c r="D615" s="8"/>
      <c r="E615" s="9" t="s">
        <v>26</v>
      </c>
      <c r="F615" s="9" t="s">
        <v>33</v>
      </c>
      <c r="G615" s="17" t="s">
        <v>178</v>
      </c>
      <c r="H615" s="17"/>
      <c r="I615" s="1" t="str">
        <f t="shared" si="29"/>
        <v/>
      </c>
      <c r="J615" s="1" t="str">
        <f t="shared" si="27"/>
        <v/>
      </c>
      <c r="K615" s="1" t="str">
        <f t="shared" si="28"/>
        <v/>
      </c>
    </row>
    <row r="616" spans="4:11" ht="15" customHeight="1">
      <c r="D616" s="6" t="s">
        <v>85</v>
      </c>
      <c r="E616" s="7"/>
      <c r="F616" s="7"/>
      <c r="G616" s="17" t="s">
        <v>184</v>
      </c>
      <c r="H616" s="17">
        <v>2</v>
      </c>
      <c r="I616" s="1">
        <f t="shared" si="29"/>
        <v>2</v>
      </c>
      <c r="J616" s="1">
        <f t="shared" si="27"/>
        <v>0</v>
      </c>
      <c r="K616" s="1">
        <f t="shared" si="28"/>
        <v>4</v>
      </c>
    </row>
    <row r="617" spans="4:11" ht="15.75" thickBot="1">
      <c r="D617" s="8"/>
      <c r="E617" s="9" t="s">
        <v>39</v>
      </c>
      <c r="F617" s="9" t="s">
        <v>25</v>
      </c>
      <c r="G617" s="17" t="s">
        <v>178</v>
      </c>
      <c r="H617" s="17"/>
      <c r="I617" s="1" t="str">
        <f t="shared" si="29"/>
        <v/>
      </c>
      <c r="J617" s="1" t="str">
        <f t="shared" si="27"/>
        <v/>
      </c>
      <c r="K617" s="1" t="str">
        <f t="shared" si="28"/>
        <v/>
      </c>
    </row>
    <row r="618" spans="4:11" ht="15" customHeight="1">
      <c r="D618" s="6" t="s">
        <v>85</v>
      </c>
      <c r="E618" s="7"/>
      <c r="F618" s="7"/>
      <c r="G618" s="17" t="s">
        <v>179</v>
      </c>
      <c r="H618" s="17">
        <v>5</v>
      </c>
      <c r="I618" s="1">
        <f t="shared" si="29"/>
        <v>-5</v>
      </c>
      <c r="J618" s="1">
        <f t="shared" si="27"/>
        <v>0</v>
      </c>
      <c r="K618" s="1">
        <f t="shared" si="28"/>
        <v>25</v>
      </c>
    </row>
    <row r="619" spans="4:11" ht="15.75" thickBot="1">
      <c r="D619" s="8"/>
      <c r="E619" s="9" t="s">
        <v>230</v>
      </c>
      <c r="F619" s="9" t="s">
        <v>38</v>
      </c>
      <c r="G619" s="17" t="s">
        <v>178</v>
      </c>
      <c r="H619" s="17"/>
      <c r="I619" s="1" t="str">
        <f t="shared" si="29"/>
        <v/>
      </c>
      <c r="J619" s="1" t="str">
        <f t="shared" si="27"/>
        <v/>
      </c>
      <c r="K619" s="1" t="str">
        <f t="shared" si="28"/>
        <v/>
      </c>
    </row>
    <row r="620" spans="4:11" ht="18" customHeight="1">
      <c r="D620" s="6" t="s">
        <v>85</v>
      </c>
      <c r="E620" s="7"/>
      <c r="F620" s="7"/>
      <c r="G620" s="17" t="s">
        <v>181</v>
      </c>
      <c r="H620" s="17">
        <v>2</v>
      </c>
      <c r="I620" s="1">
        <f t="shared" si="29"/>
        <v>-1</v>
      </c>
      <c r="J620" s="1">
        <f t="shared" si="27"/>
        <v>0</v>
      </c>
      <c r="K620" s="1">
        <f t="shared" si="28"/>
        <v>1</v>
      </c>
    </row>
    <row r="621" spans="4:11" ht="15.75" thickBot="1">
      <c r="D621" s="8"/>
      <c r="E621" s="9" t="s">
        <v>26</v>
      </c>
      <c r="F621" s="9" t="s">
        <v>10</v>
      </c>
      <c r="G621" s="17" t="s">
        <v>178</v>
      </c>
      <c r="H621" s="17"/>
      <c r="I621" s="1" t="str">
        <f t="shared" si="29"/>
        <v/>
      </c>
      <c r="J621" s="1" t="str">
        <f t="shared" si="27"/>
        <v/>
      </c>
      <c r="K621" s="1" t="str">
        <f t="shared" si="28"/>
        <v/>
      </c>
    </row>
    <row r="622" spans="4:11" ht="15" customHeight="1">
      <c r="D622" s="6" t="s">
        <v>85</v>
      </c>
      <c r="E622" s="7"/>
      <c r="F622" s="7"/>
      <c r="G622" s="17" t="s">
        <v>181</v>
      </c>
      <c r="H622" s="17">
        <v>4</v>
      </c>
      <c r="I622" s="1">
        <f t="shared" si="29"/>
        <v>-3</v>
      </c>
      <c r="J622" s="1">
        <f t="shared" si="27"/>
        <v>0</v>
      </c>
      <c r="K622" s="1">
        <f t="shared" si="28"/>
        <v>9</v>
      </c>
    </row>
    <row r="623" spans="4:11" ht="15.75" thickBot="1">
      <c r="D623" s="8"/>
      <c r="E623" s="9" t="s">
        <v>20</v>
      </c>
      <c r="F623" s="9" t="s">
        <v>3</v>
      </c>
      <c r="G623" s="17" t="s">
        <v>178</v>
      </c>
      <c r="H623" s="17"/>
      <c r="I623" s="1" t="str">
        <f t="shared" si="29"/>
        <v/>
      </c>
      <c r="J623" s="1" t="str">
        <f t="shared" si="27"/>
        <v/>
      </c>
      <c r="K623" s="1" t="str">
        <f t="shared" si="28"/>
        <v/>
      </c>
    </row>
    <row r="624" spans="4:11" ht="15" customHeight="1">
      <c r="D624" s="6" t="s">
        <v>86</v>
      </c>
      <c r="E624" s="7"/>
      <c r="F624" s="7"/>
      <c r="G624" s="17" t="s">
        <v>182</v>
      </c>
      <c r="H624" s="17">
        <v>2</v>
      </c>
      <c r="I624" s="1">
        <f t="shared" si="29"/>
        <v>1</v>
      </c>
      <c r="J624" s="1">
        <f t="shared" si="27"/>
        <v>0</v>
      </c>
      <c r="K624" s="1">
        <f t="shared" si="28"/>
        <v>1</v>
      </c>
    </row>
    <row r="625" spans="4:11" ht="15.75" thickBot="1">
      <c r="D625" s="8"/>
      <c r="E625" s="9" t="s">
        <v>11</v>
      </c>
      <c r="F625" s="9" t="s">
        <v>2</v>
      </c>
      <c r="G625" s="17" t="s">
        <v>178</v>
      </c>
      <c r="H625" s="17"/>
      <c r="I625" s="1" t="str">
        <f t="shared" si="29"/>
        <v/>
      </c>
      <c r="J625" s="1" t="str">
        <f t="shared" si="27"/>
        <v/>
      </c>
      <c r="K625" s="1" t="str">
        <f t="shared" si="28"/>
        <v/>
      </c>
    </row>
    <row r="626" spans="4:11" ht="15" customHeight="1">
      <c r="D626" s="6" t="s">
        <v>86</v>
      </c>
      <c r="E626" s="7"/>
      <c r="F626" s="7"/>
      <c r="G626" s="17" t="s">
        <v>179</v>
      </c>
      <c r="H626" s="17">
        <v>1</v>
      </c>
      <c r="I626" s="1">
        <f t="shared" si="29"/>
        <v>-1</v>
      </c>
      <c r="J626" s="1">
        <f t="shared" si="27"/>
        <v>0</v>
      </c>
      <c r="K626" s="1">
        <f t="shared" si="28"/>
        <v>1</v>
      </c>
    </row>
    <row r="627" spans="4:11" ht="15.75" thickBot="1">
      <c r="D627" s="8"/>
      <c r="E627" s="9" t="s">
        <v>1</v>
      </c>
      <c r="F627" s="9" t="s">
        <v>41</v>
      </c>
      <c r="G627" s="17" t="s">
        <v>178</v>
      </c>
      <c r="H627" s="17"/>
      <c r="I627" s="1" t="str">
        <f t="shared" si="29"/>
        <v/>
      </c>
      <c r="J627" s="1" t="str">
        <f t="shared" si="27"/>
        <v/>
      </c>
      <c r="K627" s="1" t="str">
        <f t="shared" si="28"/>
        <v/>
      </c>
    </row>
    <row r="628" spans="4:11" ht="18" customHeight="1">
      <c r="D628" s="6" t="s">
        <v>86</v>
      </c>
      <c r="E628" s="7"/>
      <c r="F628" s="7"/>
      <c r="G628" s="17" t="s">
        <v>182</v>
      </c>
      <c r="H628" s="17">
        <v>4</v>
      </c>
      <c r="I628" s="1">
        <f t="shared" si="29"/>
        <v>-1</v>
      </c>
      <c r="J628" s="1">
        <f t="shared" si="27"/>
        <v>0</v>
      </c>
      <c r="K628" s="1">
        <f t="shared" si="28"/>
        <v>1</v>
      </c>
    </row>
    <row r="629" spans="4:11" ht="15.75" thickBot="1">
      <c r="D629" s="8"/>
      <c r="E629" s="9" t="s">
        <v>18</v>
      </c>
      <c r="F629" s="9" t="s">
        <v>13</v>
      </c>
      <c r="G629" s="17" t="s">
        <v>178</v>
      </c>
      <c r="H629" s="17"/>
      <c r="I629" s="1" t="str">
        <f t="shared" si="29"/>
        <v/>
      </c>
      <c r="J629" s="1" t="str">
        <f t="shared" si="27"/>
        <v/>
      </c>
      <c r="K629" s="1" t="str">
        <f t="shared" si="28"/>
        <v/>
      </c>
    </row>
    <row r="630" spans="4:11" ht="15" customHeight="1">
      <c r="D630" s="6" t="s">
        <v>86</v>
      </c>
      <c r="E630" s="7"/>
      <c r="F630" s="7"/>
      <c r="G630" s="17" t="s">
        <v>184</v>
      </c>
      <c r="H630" s="17">
        <v>1</v>
      </c>
      <c r="I630" s="1">
        <f t="shared" si="29"/>
        <v>3</v>
      </c>
      <c r="J630" s="1">
        <f t="shared" si="27"/>
        <v>0</v>
      </c>
      <c r="K630" s="1">
        <f t="shared" si="28"/>
        <v>9</v>
      </c>
    </row>
    <row r="631" spans="4:11" ht="15.75" thickBot="1">
      <c r="D631" s="8"/>
      <c r="E631" s="9" t="s">
        <v>23</v>
      </c>
      <c r="F631" s="9" t="s">
        <v>14</v>
      </c>
      <c r="G631" s="17" t="s">
        <v>178</v>
      </c>
      <c r="H631" s="17"/>
      <c r="I631" s="1" t="str">
        <f t="shared" si="29"/>
        <v/>
      </c>
      <c r="J631" s="1" t="str">
        <f t="shared" si="27"/>
        <v/>
      </c>
      <c r="K631" s="1" t="str">
        <f t="shared" si="28"/>
        <v/>
      </c>
    </row>
    <row r="632" spans="4:11" ht="15" customHeight="1">
      <c r="D632" s="6" t="s">
        <v>87</v>
      </c>
      <c r="E632" s="7"/>
      <c r="F632" s="7"/>
      <c r="G632" s="17" t="s">
        <v>184</v>
      </c>
      <c r="H632" s="17">
        <v>2</v>
      </c>
      <c r="I632" s="1">
        <f t="shared" si="29"/>
        <v>2</v>
      </c>
      <c r="J632" s="1">
        <f t="shared" si="27"/>
        <v>0</v>
      </c>
      <c r="K632" s="1">
        <f t="shared" si="28"/>
        <v>4</v>
      </c>
    </row>
    <row r="633" spans="4:11" ht="15.75" thickBot="1">
      <c r="D633" s="8"/>
      <c r="E633" s="9" t="s">
        <v>25</v>
      </c>
      <c r="F633" s="9" t="s">
        <v>7</v>
      </c>
      <c r="G633" s="17" t="s">
        <v>178</v>
      </c>
      <c r="H633" s="17"/>
      <c r="I633" s="1" t="str">
        <f t="shared" si="29"/>
        <v/>
      </c>
      <c r="J633" s="1" t="str">
        <f t="shared" si="27"/>
        <v/>
      </c>
      <c r="K633" s="1" t="str">
        <f t="shared" si="28"/>
        <v/>
      </c>
    </row>
    <row r="634" spans="4:11" ht="18" customHeight="1">
      <c r="D634" s="6" t="s">
        <v>87</v>
      </c>
      <c r="E634" s="7"/>
      <c r="F634" s="7"/>
      <c r="G634" s="17" t="s">
        <v>182</v>
      </c>
      <c r="H634" s="17">
        <v>2</v>
      </c>
      <c r="I634" s="1">
        <f t="shared" si="29"/>
        <v>1</v>
      </c>
      <c r="J634" s="1">
        <f t="shared" si="27"/>
        <v>0</v>
      </c>
      <c r="K634" s="1">
        <f t="shared" si="28"/>
        <v>1</v>
      </c>
    </row>
    <row r="635" spans="4:11" ht="15.75" thickBot="1">
      <c r="D635" s="8"/>
      <c r="E635" s="9" t="s">
        <v>18</v>
      </c>
      <c r="F635" s="9" t="s">
        <v>39</v>
      </c>
      <c r="G635" s="17" t="s">
        <v>178</v>
      </c>
      <c r="H635" s="17"/>
      <c r="I635" s="1" t="str">
        <f t="shared" si="29"/>
        <v/>
      </c>
      <c r="J635" s="1" t="str">
        <f t="shared" si="27"/>
        <v/>
      </c>
      <c r="K635" s="1" t="str">
        <f t="shared" si="28"/>
        <v/>
      </c>
    </row>
    <row r="636" spans="4:11" ht="15" customHeight="1">
      <c r="D636" s="6" t="s">
        <v>87</v>
      </c>
      <c r="E636" s="7"/>
      <c r="F636" s="7"/>
      <c r="G636" s="17" t="s">
        <v>182</v>
      </c>
      <c r="H636" s="17">
        <v>4</v>
      </c>
      <c r="I636" s="1">
        <f t="shared" si="29"/>
        <v>-1</v>
      </c>
      <c r="J636" s="1">
        <f t="shared" si="27"/>
        <v>0</v>
      </c>
      <c r="K636" s="1">
        <f t="shared" si="28"/>
        <v>1</v>
      </c>
    </row>
    <row r="637" spans="4:11" ht="15.75" thickBot="1">
      <c r="D637" s="8"/>
      <c r="E637" s="9" t="s">
        <v>34</v>
      </c>
      <c r="F637" s="9" t="s">
        <v>19</v>
      </c>
      <c r="G637" s="17" t="s">
        <v>178</v>
      </c>
      <c r="H637" s="17"/>
      <c r="I637" s="1" t="str">
        <f t="shared" si="29"/>
        <v/>
      </c>
      <c r="J637" s="1" t="str">
        <f t="shared" si="27"/>
        <v/>
      </c>
      <c r="K637" s="1" t="str">
        <f t="shared" si="28"/>
        <v/>
      </c>
    </row>
    <row r="638" spans="4:11" ht="15" customHeight="1">
      <c r="D638" s="6" t="s">
        <v>87</v>
      </c>
      <c r="E638" s="7"/>
      <c r="F638" s="7"/>
      <c r="G638" s="17" t="s">
        <v>180</v>
      </c>
      <c r="H638" s="17">
        <v>3</v>
      </c>
      <c r="I638" s="1">
        <f t="shared" si="29"/>
        <v>-1</v>
      </c>
      <c r="J638" s="1">
        <f t="shared" si="27"/>
        <v>0</v>
      </c>
      <c r="K638" s="1">
        <f t="shared" si="28"/>
        <v>1</v>
      </c>
    </row>
    <row r="639" spans="4:11" ht="15.75" thickBot="1">
      <c r="D639" s="8"/>
      <c r="E639" s="9" t="s">
        <v>24</v>
      </c>
      <c r="F639" s="9" t="s">
        <v>21</v>
      </c>
      <c r="G639" s="17" t="s">
        <v>178</v>
      </c>
      <c r="H639" s="17"/>
      <c r="I639" s="1" t="str">
        <f t="shared" si="29"/>
        <v/>
      </c>
      <c r="J639" s="1" t="str">
        <f t="shared" si="27"/>
        <v/>
      </c>
      <c r="K639" s="1" t="str">
        <f t="shared" si="28"/>
        <v/>
      </c>
    </row>
    <row r="640" spans="4:11" ht="15" customHeight="1">
      <c r="D640" s="6" t="s">
        <v>87</v>
      </c>
      <c r="E640" s="7"/>
      <c r="F640" s="7"/>
      <c r="G640" s="17" t="s">
        <v>184</v>
      </c>
      <c r="H640" s="17">
        <v>3</v>
      </c>
      <c r="I640" s="1">
        <f t="shared" si="29"/>
        <v>1</v>
      </c>
      <c r="J640" s="1">
        <f t="shared" si="27"/>
        <v>0</v>
      </c>
      <c r="K640" s="1">
        <f t="shared" si="28"/>
        <v>1</v>
      </c>
    </row>
    <row r="641" spans="4:11" ht="15.75" thickBot="1">
      <c r="D641" s="8"/>
      <c r="E641" s="9" t="s">
        <v>22</v>
      </c>
      <c r="F641" s="9" t="s">
        <v>26</v>
      </c>
      <c r="G641" s="17" t="s">
        <v>178</v>
      </c>
      <c r="H641" s="17"/>
      <c r="I641" s="1" t="str">
        <f t="shared" si="29"/>
        <v/>
      </c>
      <c r="J641" s="1" t="str">
        <f t="shared" si="27"/>
        <v/>
      </c>
      <c r="K641" s="1" t="str">
        <f t="shared" si="28"/>
        <v/>
      </c>
    </row>
    <row r="642" spans="4:11" ht="15" customHeight="1">
      <c r="D642" s="6" t="s">
        <v>87</v>
      </c>
      <c r="E642" s="7"/>
      <c r="F642" s="7"/>
      <c r="G642" s="17" t="s">
        <v>179</v>
      </c>
      <c r="H642" s="17">
        <v>2</v>
      </c>
      <c r="I642" s="1">
        <f t="shared" si="29"/>
        <v>-2</v>
      </c>
      <c r="J642" s="1">
        <f t="shared" si="27"/>
        <v>0</v>
      </c>
      <c r="K642" s="1">
        <f t="shared" si="28"/>
        <v>4</v>
      </c>
    </row>
    <row r="643" spans="4:11" ht="15.75" thickBot="1">
      <c r="D643" s="8"/>
      <c r="E643" s="9" t="s">
        <v>36</v>
      </c>
      <c r="F643" s="9" t="s">
        <v>3</v>
      </c>
      <c r="G643" s="17" t="s">
        <v>178</v>
      </c>
      <c r="H643" s="17"/>
      <c r="I643" s="1" t="str">
        <f t="shared" si="29"/>
        <v/>
      </c>
      <c r="J643" s="1" t="str">
        <f t="shared" ref="J643:J706" si="30">IF(F644="","",VLOOKUP(F644,$A$2:$B$31,2)+$B$33-VLOOKUP(E644,$A$2:$B$31,2))</f>
        <v/>
      </c>
      <c r="K643" s="1" t="str">
        <f t="shared" ref="K643:K706" si="31">IF(G643="","",(I643-J643)^2)</f>
        <v/>
      </c>
    </row>
    <row r="644" spans="4:11" ht="18" customHeight="1">
      <c r="D644" s="6" t="s">
        <v>87</v>
      </c>
      <c r="E644" s="7"/>
      <c r="F644" s="7"/>
      <c r="G644" s="17" t="s">
        <v>180</v>
      </c>
      <c r="H644" s="17">
        <v>3</v>
      </c>
      <c r="I644" s="1">
        <f t="shared" ref="I644:I707" si="32">IF(G644="","",G644-H644)</f>
        <v>-1</v>
      </c>
      <c r="J644" s="1">
        <f t="shared" si="30"/>
        <v>0</v>
      </c>
      <c r="K644" s="1">
        <f t="shared" si="31"/>
        <v>1</v>
      </c>
    </row>
    <row r="645" spans="4:11" ht="15.75" thickBot="1">
      <c r="D645" s="8"/>
      <c r="E645" s="9" t="s">
        <v>4</v>
      </c>
      <c r="F645" s="9" t="s">
        <v>10</v>
      </c>
      <c r="G645" s="17" t="s">
        <v>178</v>
      </c>
      <c r="H645" s="17"/>
      <c r="I645" s="1" t="str">
        <f t="shared" si="32"/>
        <v/>
      </c>
      <c r="J645" s="1" t="str">
        <f t="shared" si="30"/>
        <v/>
      </c>
      <c r="K645" s="1" t="str">
        <f t="shared" si="31"/>
        <v/>
      </c>
    </row>
    <row r="646" spans="4:11" ht="18" customHeight="1">
      <c r="D646" s="6" t="s">
        <v>88</v>
      </c>
      <c r="E646" s="7"/>
      <c r="F646" s="7"/>
      <c r="G646" s="17" t="s">
        <v>180</v>
      </c>
      <c r="H646" s="17">
        <v>1</v>
      </c>
      <c r="I646" s="1">
        <f t="shared" si="32"/>
        <v>1</v>
      </c>
      <c r="J646" s="1">
        <f t="shared" si="30"/>
        <v>2550</v>
      </c>
      <c r="K646" s="1">
        <f t="shared" si="31"/>
        <v>6497401</v>
      </c>
    </row>
    <row r="647" spans="4:11" ht="15.75" thickBot="1">
      <c r="D647" s="8"/>
      <c r="E647" s="9" t="s">
        <v>25</v>
      </c>
      <c r="F647" s="9" t="s">
        <v>8</v>
      </c>
      <c r="G647" s="17" t="s">
        <v>178</v>
      </c>
      <c r="H647" s="17"/>
      <c r="I647" s="1" t="str">
        <f t="shared" si="32"/>
        <v/>
      </c>
      <c r="J647" s="1" t="str">
        <f t="shared" si="30"/>
        <v/>
      </c>
      <c r="K647" s="1" t="str">
        <f t="shared" si="31"/>
        <v/>
      </c>
    </row>
    <row r="648" spans="4:11" ht="15" customHeight="1">
      <c r="D648" s="6" t="s">
        <v>88</v>
      </c>
      <c r="E648" s="7"/>
      <c r="F648" s="7"/>
      <c r="G648" s="17" t="s">
        <v>180</v>
      </c>
      <c r="H648" s="17">
        <v>3</v>
      </c>
      <c r="I648" s="1">
        <f t="shared" si="32"/>
        <v>-1</v>
      </c>
      <c r="J648" s="1">
        <f t="shared" si="30"/>
        <v>0</v>
      </c>
      <c r="K648" s="1">
        <f t="shared" si="31"/>
        <v>1</v>
      </c>
    </row>
    <row r="649" spans="4:11" ht="15.75" thickBot="1">
      <c r="D649" s="8"/>
      <c r="E649" s="9" t="s">
        <v>12</v>
      </c>
      <c r="F649" s="9" t="s">
        <v>41</v>
      </c>
      <c r="G649" s="17" t="s">
        <v>178</v>
      </c>
      <c r="H649" s="17"/>
      <c r="I649" s="1" t="str">
        <f t="shared" si="32"/>
        <v/>
      </c>
      <c r="J649" s="1" t="str">
        <f t="shared" si="30"/>
        <v/>
      </c>
      <c r="K649" s="1" t="str">
        <f t="shared" si="31"/>
        <v/>
      </c>
    </row>
    <row r="650" spans="4:11" ht="15" customHeight="1">
      <c r="D650" s="6" t="s">
        <v>88</v>
      </c>
      <c r="E650" s="7"/>
      <c r="F650" s="7"/>
      <c r="G650" s="17" t="s">
        <v>180</v>
      </c>
      <c r="H650" s="17">
        <v>5</v>
      </c>
      <c r="I650" s="1">
        <f t="shared" si="32"/>
        <v>-3</v>
      </c>
      <c r="J650" s="1">
        <f t="shared" si="30"/>
        <v>0</v>
      </c>
      <c r="K650" s="1">
        <f t="shared" si="31"/>
        <v>9</v>
      </c>
    </row>
    <row r="651" spans="4:11" ht="15.75" thickBot="1">
      <c r="D651" s="8"/>
      <c r="E651" s="9" t="s">
        <v>1</v>
      </c>
      <c r="F651" s="9" t="s">
        <v>13</v>
      </c>
      <c r="G651" s="17" t="s">
        <v>178</v>
      </c>
      <c r="H651" s="17"/>
      <c r="I651" s="1" t="str">
        <f t="shared" si="32"/>
        <v/>
      </c>
      <c r="J651" s="1" t="str">
        <f t="shared" si="30"/>
        <v/>
      </c>
      <c r="K651" s="1" t="str">
        <f t="shared" si="31"/>
        <v/>
      </c>
    </row>
    <row r="652" spans="4:11" ht="15" customHeight="1">
      <c r="D652" s="6" t="s">
        <v>88</v>
      </c>
      <c r="E652" s="7"/>
      <c r="F652" s="7"/>
      <c r="G652" s="17" t="s">
        <v>182</v>
      </c>
      <c r="H652" s="17">
        <v>4</v>
      </c>
      <c r="I652" s="1">
        <f t="shared" si="32"/>
        <v>-1</v>
      </c>
      <c r="J652" s="1">
        <f t="shared" si="30"/>
        <v>0</v>
      </c>
      <c r="K652" s="1">
        <f t="shared" si="31"/>
        <v>1</v>
      </c>
    </row>
    <row r="653" spans="4:11" ht="15.75" thickBot="1">
      <c r="D653" s="8"/>
      <c r="E653" s="9" t="s">
        <v>38</v>
      </c>
      <c r="F653" s="9" t="s">
        <v>37</v>
      </c>
      <c r="G653" s="17" t="s">
        <v>178</v>
      </c>
      <c r="H653" s="17"/>
      <c r="I653" s="1" t="str">
        <f t="shared" si="32"/>
        <v/>
      </c>
      <c r="J653" s="1" t="str">
        <f t="shared" si="30"/>
        <v/>
      </c>
      <c r="K653" s="1" t="str">
        <f t="shared" si="31"/>
        <v/>
      </c>
    </row>
    <row r="654" spans="4:11" ht="18" customHeight="1">
      <c r="D654" s="6" t="s">
        <v>88</v>
      </c>
      <c r="E654" s="7"/>
      <c r="F654" s="7"/>
      <c r="G654" s="17" t="s">
        <v>179</v>
      </c>
      <c r="H654" s="17">
        <v>1</v>
      </c>
      <c r="I654" s="1">
        <f t="shared" si="32"/>
        <v>-1</v>
      </c>
      <c r="J654" s="1">
        <f t="shared" si="30"/>
        <v>0</v>
      </c>
      <c r="K654" s="1">
        <f t="shared" si="31"/>
        <v>1</v>
      </c>
    </row>
    <row r="655" spans="4:11" ht="15.75" thickBot="1">
      <c r="D655" s="8"/>
      <c r="E655" s="9" t="s">
        <v>28</v>
      </c>
      <c r="F655" s="9" t="s">
        <v>14</v>
      </c>
      <c r="G655" s="17" t="s">
        <v>178</v>
      </c>
      <c r="H655" s="17"/>
      <c r="I655" s="1" t="str">
        <f t="shared" si="32"/>
        <v/>
      </c>
      <c r="J655" s="1" t="str">
        <f t="shared" si="30"/>
        <v/>
      </c>
      <c r="K655" s="1" t="str">
        <f t="shared" si="31"/>
        <v/>
      </c>
    </row>
    <row r="656" spans="4:11" ht="15" customHeight="1">
      <c r="D656" s="6" t="s">
        <v>88</v>
      </c>
      <c r="E656" s="7"/>
      <c r="F656" s="7"/>
      <c r="G656" s="17" t="s">
        <v>182</v>
      </c>
      <c r="H656" s="17">
        <v>4</v>
      </c>
      <c r="I656" s="1">
        <f t="shared" si="32"/>
        <v>-1</v>
      </c>
      <c r="J656" s="1">
        <f t="shared" si="30"/>
        <v>0</v>
      </c>
      <c r="K656" s="1">
        <f t="shared" si="31"/>
        <v>1</v>
      </c>
    </row>
    <row r="657" spans="4:11" ht="15.75" thickBot="1">
      <c r="D657" s="8"/>
      <c r="E657" s="9" t="s">
        <v>0</v>
      </c>
      <c r="F657" s="9" t="s">
        <v>11</v>
      </c>
      <c r="G657" s="17" t="s">
        <v>178</v>
      </c>
      <c r="H657" s="17"/>
      <c r="I657" s="1" t="str">
        <f t="shared" si="32"/>
        <v/>
      </c>
      <c r="J657" s="1" t="str">
        <f t="shared" si="30"/>
        <v/>
      </c>
      <c r="K657" s="1" t="str">
        <f t="shared" si="31"/>
        <v/>
      </c>
    </row>
    <row r="658" spans="4:11" ht="15" customHeight="1">
      <c r="D658" s="6" t="s">
        <v>88</v>
      </c>
      <c r="E658" s="7"/>
      <c r="F658" s="7"/>
      <c r="G658" s="17" t="s">
        <v>184</v>
      </c>
      <c r="H658" s="17">
        <v>0</v>
      </c>
      <c r="I658" s="1">
        <f t="shared" si="32"/>
        <v>4</v>
      </c>
      <c r="J658" s="1">
        <f t="shared" si="30"/>
        <v>0</v>
      </c>
      <c r="K658" s="1">
        <f t="shared" si="31"/>
        <v>16</v>
      </c>
    </row>
    <row r="659" spans="4:11" ht="15.75" thickBot="1">
      <c r="D659" s="8"/>
      <c r="E659" s="9" t="s">
        <v>34</v>
      </c>
      <c r="F659" s="9" t="s">
        <v>23</v>
      </c>
      <c r="G659" s="17" t="s">
        <v>178</v>
      </c>
      <c r="H659" s="17"/>
      <c r="I659" s="1" t="str">
        <f t="shared" si="32"/>
        <v/>
      </c>
      <c r="J659" s="1" t="str">
        <f t="shared" si="30"/>
        <v/>
      </c>
      <c r="K659" s="1" t="str">
        <f t="shared" si="31"/>
        <v/>
      </c>
    </row>
    <row r="660" spans="4:11" ht="15" customHeight="1">
      <c r="D660" s="6" t="s">
        <v>88</v>
      </c>
      <c r="E660" s="7"/>
      <c r="F660" s="7"/>
      <c r="G660" s="17" t="s">
        <v>182</v>
      </c>
      <c r="H660" s="17">
        <v>2</v>
      </c>
      <c r="I660" s="1">
        <f t="shared" si="32"/>
        <v>1</v>
      </c>
      <c r="J660" s="1">
        <f t="shared" si="30"/>
        <v>0</v>
      </c>
      <c r="K660" s="1">
        <f t="shared" si="31"/>
        <v>1</v>
      </c>
    </row>
    <row r="661" spans="4:11" ht="15.75" thickBot="1">
      <c r="D661" s="8"/>
      <c r="E661" s="9" t="s">
        <v>20</v>
      </c>
      <c r="F661" s="9" t="s">
        <v>22</v>
      </c>
      <c r="G661" s="17" t="s">
        <v>178</v>
      </c>
      <c r="H661" s="17"/>
      <c r="I661" s="1" t="str">
        <f t="shared" si="32"/>
        <v/>
      </c>
      <c r="J661" s="1" t="str">
        <f t="shared" si="30"/>
        <v/>
      </c>
      <c r="K661" s="1" t="str">
        <f t="shared" si="31"/>
        <v/>
      </c>
    </row>
    <row r="662" spans="4:11" ht="18" customHeight="1">
      <c r="D662" s="6" t="s">
        <v>88</v>
      </c>
      <c r="E662" s="7"/>
      <c r="F662" s="7"/>
      <c r="G662" s="17" t="s">
        <v>180</v>
      </c>
      <c r="H662" s="17">
        <v>0</v>
      </c>
      <c r="I662" s="1">
        <f t="shared" si="32"/>
        <v>2</v>
      </c>
      <c r="J662" s="1">
        <f t="shared" si="30"/>
        <v>0</v>
      </c>
      <c r="K662" s="1">
        <f t="shared" si="31"/>
        <v>4</v>
      </c>
    </row>
    <row r="663" spans="4:11" ht="15.75" thickBot="1">
      <c r="D663" s="8"/>
      <c r="E663" s="9" t="s">
        <v>4</v>
      </c>
      <c r="F663" s="9" t="s">
        <v>33</v>
      </c>
      <c r="G663" s="17" t="s">
        <v>178</v>
      </c>
      <c r="H663" s="17"/>
      <c r="I663" s="1" t="str">
        <f t="shared" si="32"/>
        <v/>
      </c>
      <c r="J663" s="1" t="str">
        <f t="shared" si="30"/>
        <v/>
      </c>
      <c r="K663" s="1" t="str">
        <f t="shared" si="31"/>
        <v/>
      </c>
    </row>
    <row r="664" spans="4:11" ht="15" customHeight="1">
      <c r="D664" s="6" t="s">
        <v>89</v>
      </c>
      <c r="E664" s="7"/>
      <c r="F664" s="7"/>
      <c r="G664" s="17" t="s">
        <v>179</v>
      </c>
      <c r="H664" s="17">
        <v>1</v>
      </c>
      <c r="I664" s="1">
        <f t="shared" si="32"/>
        <v>-1</v>
      </c>
      <c r="J664" s="1">
        <f t="shared" si="30"/>
        <v>0</v>
      </c>
      <c r="K664" s="1">
        <f t="shared" si="31"/>
        <v>1</v>
      </c>
    </row>
    <row r="665" spans="4:11" ht="15.75" thickBot="1">
      <c r="D665" s="8"/>
      <c r="E665" s="9" t="s">
        <v>24</v>
      </c>
      <c r="F665" s="9" t="s">
        <v>19</v>
      </c>
      <c r="G665" s="17" t="s">
        <v>178</v>
      </c>
      <c r="H665" s="17"/>
      <c r="I665" s="1" t="str">
        <f t="shared" si="32"/>
        <v/>
      </c>
      <c r="J665" s="1" t="str">
        <f t="shared" si="30"/>
        <v/>
      </c>
      <c r="K665" s="1" t="str">
        <f t="shared" si="31"/>
        <v/>
      </c>
    </row>
    <row r="666" spans="4:11" ht="15" customHeight="1">
      <c r="D666" s="6" t="s">
        <v>90</v>
      </c>
      <c r="E666" s="7"/>
      <c r="F666" s="7"/>
      <c r="G666" s="17" t="s">
        <v>182</v>
      </c>
      <c r="H666" s="17">
        <v>0</v>
      </c>
      <c r="I666" s="1">
        <f t="shared" si="32"/>
        <v>3</v>
      </c>
      <c r="J666" s="1">
        <f t="shared" si="30"/>
        <v>0</v>
      </c>
      <c r="K666" s="1">
        <f t="shared" si="31"/>
        <v>9</v>
      </c>
    </row>
    <row r="667" spans="4:11" ht="30.75" thickBot="1">
      <c r="D667" s="13"/>
      <c r="E667" s="9" t="s">
        <v>38</v>
      </c>
      <c r="F667" s="9" t="s">
        <v>1</v>
      </c>
      <c r="G667" s="17" t="s">
        <v>178</v>
      </c>
      <c r="H667" s="17"/>
      <c r="I667" s="1" t="str">
        <f t="shared" si="32"/>
        <v/>
      </c>
      <c r="J667" s="1" t="str">
        <f t="shared" si="30"/>
        <v/>
      </c>
      <c r="K667" s="1" t="str">
        <f t="shared" si="31"/>
        <v/>
      </c>
    </row>
    <row r="668" spans="4:11" ht="18" customHeight="1">
      <c r="D668" s="14" t="s">
        <v>90</v>
      </c>
      <c r="E668" s="7"/>
      <c r="F668" s="7"/>
      <c r="G668" s="17" t="s">
        <v>184</v>
      </c>
      <c r="H668" s="17">
        <v>1</v>
      </c>
      <c r="I668" s="1">
        <f t="shared" si="32"/>
        <v>3</v>
      </c>
      <c r="J668" s="1">
        <f t="shared" si="30"/>
        <v>0</v>
      </c>
      <c r="K668" s="1">
        <f t="shared" si="31"/>
        <v>9</v>
      </c>
    </row>
    <row r="669" spans="4:11" ht="15.75" thickBot="1">
      <c r="D669" s="8"/>
      <c r="E669" s="9" t="s">
        <v>20</v>
      </c>
      <c r="F669" s="9" t="s">
        <v>10</v>
      </c>
      <c r="G669" s="17" t="s">
        <v>178</v>
      </c>
      <c r="H669" s="17"/>
      <c r="I669" s="1" t="str">
        <f t="shared" si="32"/>
        <v/>
      </c>
      <c r="J669" s="1" t="str">
        <f t="shared" si="30"/>
        <v/>
      </c>
      <c r="K669" s="1" t="str">
        <f t="shared" si="31"/>
        <v/>
      </c>
    </row>
    <row r="670" spans="4:11" ht="15" customHeight="1">
      <c r="D670" s="6" t="s">
        <v>90</v>
      </c>
      <c r="E670" s="7"/>
      <c r="F670" s="7"/>
      <c r="G670" s="17" t="s">
        <v>180</v>
      </c>
      <c r="H670" s="17">
        <v>5</v>
      </c>
      <c r="I670" s="1">
        <f t="shared" si="32"/>
        <v>-3</v>
      </c>
      <c r="J670" s="1">
        <f t="shared" si="30"/>
        <v>0</v>
      </c>
      <c r="K670" s="1">
        <f t="shared" si="31"/>
        <v>9</v>
      </c>
    </row>
    <row r="671" spans="4:11" ht="30.75" thickBot="1">
      <c r="D671" s="8"/>
      <c r="E671" s="9" t="s">
        <v>41</v>
      </c>
      <c r="F671" s="9" t="s">
        <v>12</v>
      </c>
      <c r="G671" s="17" t="s">
        <v>178</v>
      </c>
      <c r="H671" s="17"/>
      <c r="I671" s="1" t="str">
        <f t="shared" si="32"/>
        <v/>
      </c>
      <c r="J671" s="1" t="str">
        <f t="shared" si="30"/>
        <v/>
      </c>
      <c r="K671" s="1" t="str">
        <f t="shared" si="31"/>
        <v/>
      </c>
    </row>
    <row r="672" spans="4:11" ht="18" customHeight="1">
      <c r="D672" s="6" t="s">
        <v>90</v>
      </c>
      <c r="E672" s="7"/>
      <c r="F672" s="7"/>
      <c r="G672" s="17" t="s">
        <v>181</v>
      </c>
      <c r="H672" s="17">
        <v>2</v>
      </c>
      <c r="I672" s="1">
        <f t="shared" si="32"/>
        <v>-1</v>
      </c>
      <c r="J672" s="1">
        <f t="shared" si="30"/>
        <v>0</v>
      </c>
      <c r="K672" s="1">
        <f t="shared" si="31"/>
        <v>1</v>
      </c>
    </row>
    <row r="673" spans="4:11" ht="15.75" thickBot="1">
      <c r="D673" s="8"/>
      <c r="E673" s="9" t="s">
        <v>25</v>
      </c>
      <c r="F673" s="9" t="s">
        <v>2</v>
      </c>
      <c r="G673" s="17" t="s">
        <v>178</v>
      </c>
      <c r="H673" s="17"/>
      <c r="I673" s="1" t="str">
        <f t="shared" si="32"/>
        <v/>
      </c>
      <c r="J673" s="1" t="str">
        <f t="shared" si="30"/>
        <v/>
      </c>
      <c r="K673" s="1" t="str">
        <f t="shared" si="31"/>
        <v/>
      </c>
    </row>
    <row r="674" spans="4:11" ht="18" customHeight="1">
      <c r="D674" s="6" t="s">
        <v>90</v>
      </c>
      <c r="E674" s="7"/>
      <c r="F674" s="7"/>
      <c r="G674" s="17" t="s">
        <v>181</v>
      </c>
      <c r="H674" s="17">
        <v>2</v>
      </c>
      <c r="I674" s="1">
        <f t="shared" si="32"/>
        <v>-1</v>
      </c>
      <c r="J674" s="1">
        <f t="shared" si="30"/>
        <v>2550</v>
      </c>
      <c r="K674" s="1">
        <f t="shared" si="31"/>
        <v>6507601</v>
      </c>
    </row>
    <row r="675" spans="4:11" ht="15.75" thickBot="1">
      <c r="D675" s="8"/>
      <c r="E675" s="9" t="s">
        <v>230</v>
      </c>
      <c r="F675" s="9" t="s">
        <v>8</v>
      </c>
      <c r="G675" s="17" t="s">
        <v>178</v>
      </c>
      <c r="H675" s="17"/>
      <c r="I675" s="1" t="str">
        <f t="shared" si="32"/>
        <v/>
      </c>
      <c r="J675" s="1" t="str">
        <f t="shared" si="30"/>
        <v/>
      </c>
      <c r="K675" s="1" t="str">
        <f t="shared" si="31"/>
        <v/>
      </c>
    </row>
    <row r="676" spans="4:11" ht="15" customHeight="1">
      <c r="D676" s="6" t="s">
        <v>90</v>
      </c>
      <c r="E676" s="7"/>
      <c r="F676" s="7"/>
      <c r="G676" s="17" t="s">
        <v>185</v>
      </c>
      <c r="H676" s="17">
        <v>4</v>
      </c>
      <c r="I676" s="1">
        <f t="shared" si="32"/>
        <v>1</v>
      </c>
      <c r="J676" s="1">
        <f t="shared" si="30"/>
        <v>0</v>
      </c>
      <c r="K676" s="1">
        <f t="shared" si="31"/>
        <v>1</v>
      </c>
    </row>
    <row r="677" spans="4:11" ht="15.75" thickBot="1">
      <c r="D677" s="8"/>
      <c r="E677" s="9" t="s">
        <v>13</v>
      </c>
      <c r="F677" s="9" t="s">
        <v>36</v>
      </c>
      <c r="G677" s="17" t="s">
        <v>178</v>
      </c>
      <c r="H677" s="17"/>
      <c r="I677" s="1" t="str">
        <f t="shared" si="32"/>
        <v/>
      </c>
      <c r="J677" s="1" t="str">
        <f t="shared" si="30"/>
        <v/>
      </c>
      <c r="K677" s="1" t="str">
        <f t="shared" si="31"/>
        <v/>
      </c>
    </row>
    <row r="678" spans="4:11" ht="15" customHeight="1">
      <c r="D678" s="6" t="s">
        <v>90</v>
      </c>
      <c r="E678" s="7"/>
      <c r="F678" s="7"/>
      <c r="G678" s="17" t="s">
        <v>184</v>
      </c>
      <c r="H678" s="17">
        <v>2</v>
      </c>
      <c r="I678" s="1">
        <f t="shared" si="32"/>
        <v>2</v>
      </c>
      <c r="J678" s="1">
        <f t="shared" si="30"/>
        <v>0</v>
      </c>
      <c r="K678" s="1">
        <f t="shared" si="31"/>
        <v>4</v>
      </c>
    </row>
    <row r="679" spans="4:11" ht="15.75" thickBot="1">
      <c r="D679" s="8"/>
      <c r="E679" s="9" t="s">
        <v>28</v>
      </c>
      <c r="F679" s="9" t="s">
        <v>11</v>
      </c>
      <c r="G679" s="17" t="s">
        <v>178</v>
      </c>
      <c r="H679" s="17"/>
      <c r="I679" s="1" t="str">
        <f t="shared" si="32"/>
        <v/>
      </c>
      <c r="J679" s="1" t="str">
        <f t="shared" si="30"/>
        <v/>
      </c>
      <c r="K679" s="1" t="str">
        <f t="shared" si="31"/>
        <v/>
      </c>
    </row>
    <row r="680" spans="4:11" ht="15" customHeight="1">
      <c r="D680" s="6" t="s">
        <v>90</v>
      </c>
      <c r="E680" s="7"/>
      <c r="F680" s="7"/>
      <c r="G680" s="17" t="s">
        <v>185</v>
      </c>
      <c r="H680" s="17">
        <v>0</v>
      </c>
      <c r="I680" s="1">
        <f t="shared" si="32"/>
        <v>5</v>
      </c>
      <c r="J680" s="1">
        <f t="shared" si="30"/>
        <v>0</v>
      </c>
      <c r="K680" s="1">
        <f t="shared" si="31"/>
        <v>25</v>
      </c>
    </row>
    <row r="681" spans="4:11" ht="15.75" thickBot="1">
      <c r="D681" s="8"/>
      <c r="E681" s="9" t="s">
        <v>3</v>
      </c>
      <c r="F681" s="9" t="s">
        <v>7</v>
      </c>
      <c r="G681" s="17" t="s">
        <v>178</v>
      </c>
      <c r="H681" s="17"/>
      <c r="I681" s="1" t="str">
        <f t="shared" si="32"/>
        <v/>
      </c>
      <c r="J681" s="1" t="str">
        <f t="shared" si="30"/>
        <v/>
      </c>
      <c r="K681" s="1" t="str">
        <f t="shared" si="31"/>
        <v/>
      </c>
    </row>
    <row r="682" spans="4:11" ht="18" customHeight="1">
      <c r="D682" s="6" t="s">
        <v>90</v>
      </c>
      <c r="E682" s="7"/>
      <c r="F682" s="7"/>
      <c r="G682" s="17" t="s">
        <v>180</v>
      </c>
      <c r="H682" s="17">
        <v>3</v>
      </c>
      <c r="I682" s="1">
        <f t="shared" si="32"/>
        <v>-1</v>
      </c>
      <c r="J682" s="1">
        <f t="shared" si="30"/>
        <v>0</v>
      </c>
      <c r="K682" s="1">
        <f t="shared" si="31"/>
        <v>1</v>
      </c>
    </row>
    <row r="683" spans="4:11" ht="15.75" thickBot="1">
      <c r="D683" s="8"/>
      <c r="E683" s="9" t="s">
        <v>18</v>
      </c>
      <c r="F683" s="9" t="s">
        <v>14</v>
      </c>
      <c r="G683" s="17" t="s">
        <v>178</v>
      </c>
      <c r="H683" s="17"/>
      <c r="I683" s="1" t="str">
        <f t="shared" si="32"/>
        <v/>
      </c>
      <c r="J683" s="1" t="str">
        <f t="shared" si="30"/>
        <v/>
      </c>
      <c r="K683" s="1" t="str">
        <f t="shared" si="31"/>
        <v/>
      </c>
    </row>
    <row r="684" spans="4:11" ht="15" customHeight="1">
      <c r="D684" s="6" t="s">
        <v>90</v>
      </c>
      <c r="E684" s="7"/>
      <c r="F684" s="7"/>
      <c r="G684" s="17" t="s">
        <v>182</v>
      </c>
      <c r="H684" s="17">
        <v>4</v>
      </c>
      <c r="I684" s="1">
        <f t="shared" si="32"/>
        <v>-1</v>
      </c>
      <c r="J684" s="1">
        <f t="shared" si="30"/>
        <v>0</v>
      </c>
      <c r="K684" s="1">
        <f t="shared" si="31"/>
        <v>1</v>
      </c>
    </row>
    <row r="685" spans="4:11" ht="15.75" thickBot="1">
      <c r="D685" s="8"/>
      <c r="E685" s="9" t="s">
        <v>24</v>
      </c>
      <c r="F685" s="9" t="s">
        <v>39</v>
      </c>
      <c r="G685" s="17" t="s">
        <v>178</v>
      </c>
      <c r="H685" s="17"/>
      <c r="I685" s="1" t="str">
        <f t="shared" si="32"/>
        <v/>
      </c>
      <c r="J685" s="1" t="str">
        <f t="shared" si="30"/>
        <v/>
      </c>
      <c r="K685" s="1" t="str">
        <f t="shared" si="31"/>
        <v/>
      </c>
    </row>
    <row r="686" spans="4:11" ht="15" customHeight="1">
      <c r="D686" s="6" t="s">
        <v>90</v>
      </c>
      <c r="E686" s="7"/>
      <c r="F686" s="7"/>
      <c r="G686" s="17" t="s">
        <v>185</v>
      </c>
      <c r="H686" s="17">
        <v>4</v>
      </c>
      <c r="I686" s="1">
        <f t="shared" si="32"/>
        <v>1</v>
      </c>
      <c r="J686" s="1">
        <f t="shared" si="30"/>
        <v>0</v>
      </c>
      <c r="K686" s="1">
        <f t="shared" si="31"/>
        <v>1</v>
      </c>
    </row>
    <row r="687" spans="4:11" ht="15.75" thickBot="1">
      <c r="D687" s="8"/>
      <c r="E687" s="9" t="s">
        <v>23</v>
      </c>
      <c r="F687" s="9" t="s">
        <v>21</v>
      </c>
      <c r="G687" s="17" t="s">
        <v>178</v>
      </c>
      <c r="H687" s="17"/>
      <c r="I687" s="1" t="str">
        <f t="shared" si="32"/>
        <v/>
      </c>
      <c r="J687" s="1" t="str">
        <f t="shared" si="30"/>
        <v/>
      </c>
      <c r="K687" s="1" t="str">
        <f t="shared" si="31"/>
        <v/>
      </c>
    </row>
    <row r="688" spans="4:11" ht="15" customHeight="1">
      <c r="D688" s="6" t="s">
        <v>91</v>
      </c>
      <c r="E688" s="7"/>
      <c r="F688" s="7"/>
      <c r="G688" s="17" t="s">
        <v>180</v>
      </c>
      <c r="H688" s="17">
        <v>5</v>
      </c>
      <c r="I688" s="1">
        <f t="shared" si="32"/>
        <v>-3</v>
      </c>
      <c r="J688" s="1">
        <f t="shared" si="30"/>
        <v>0</v>
      </c>
      <c r="K688" s="1">
        <f t="shared" si="31"/>
        <v>9</v>
      </c>
    </row>
    <row r="689" spans="4:11" ht="15.75" thickBot="1">
      <c r="D689" s="8"/>
      <c r="E689" s="9" t="s">
        <v>1</v>
      </c>
      <c r="F689" s="9" t="s">
        <v>38</v>
      </c>
      <c r="G689" s="17" t="s">
        <v>178</v>
      </c>
      <c r="H689" s="17"/>
      <c r="I689" s="1" t="str">
        <f t="shared" si="32"/>
        <v/>
      </c>
      <c r="J689" s="1" t="str">
        <f t="shared" si="30"/>
        <v/>
      </c>
      <c r="K689" s="1" t="str">
        <f t="shared" si="31"/>
        <v/>
      </c>
    </row>
    <row r="690" spans="4:11" ht="15" customHeight="1">
      <c r="D690" s="6" t="s">
        <v>91</v>
      </c>
      <c r="E690" s="7"/>
      <c r="F690" s="7"/>
      <c r="G690" s="17" t="s">
        <v>180</v>
      </c>
      <c r="H690" s="17">
        <v>6</v>
      </c>
      <c r="I690" s="1">
        <f t="shared" si="32"/>
        <v>-4</v>
      </c>
      <c r="J690" s="1">
        <f t="shared" si="30"/>
        <v>0</v>
      </c>
      <c r="K690" s="1">
        <f t="shared" si="31"/>
        <v>16</v>
      </c>
    </row>
    <row r="691" spans="4:11" ht="15.75" thickBot="1">
      <c r="D691" s="8"/>
      <c r="E691" s="9" t="s">
        <v>12</v>
      </c>
      <c r="F691" s="9" t="s">
        <v>0</v>
      </c>
      <c r="G691" s="17" t="s">
        <v>178</v>
      </c>
      <c r="H691" s="17"/>
      <c r="I691" s="1" t="str">
        <f t="shared" si="32"/>
        <v/>
      </c>
      <c r="J691" s="1" t="str">
        <f t="shared" si="30"/>
        <v/>
      </c>
      <c r="K691" s="1" t="str">
        <f t="shared" si="31"/>
        <v/>
      </c>
    </row>
    <row r="692" spans="4:11" ht="15" customHeight="1">
      <c r="D692" s="6" t="s">
        <v>91</v>
      </c>
      <c r="E692" s="7"/>
      <c r="F692" s="7"/>
      <c r="G692" s="17" t="s">
        <v>184</v>
      </c>
      <c r="H692" s="17">
        <v>3</v>
      </c>
      <c r="I692" s="1">
        <f t="shared" si="32"/>
        <v>1</v>
      </c>
      <c r="J692" s="1">
        <f t="shared" si="30"/>
        <v>-2550</v>
      </c>
      <c r="K692" s="1">
        <f t="shared" si="31"/>
        <v>6507601</v>
      </c>
    </row>
    <row r="693" spans="4:11" ht="15.75" thickBot="1">
      <c r="D693" s="8"/>
      <c r="E693" s="9" t="s">
        <v>8</v>
      </c>
      <c r="F693" s="9" t="s">
        <v>230</v>
      </c>
      <c r="G693" s="17" t="s">
        <v>178</v>
      </c>
      <c r="H693" s="17"/>
      <c r="I693" s="1" t="str">
        <f t="shared" si="32"/>
        <v/>
      </c>
      <c r="J693" s="1" t="str">
        <f t="shared" si="30"/>
        <v/>
      </c>
      <c r="K693" s="1" t="str">
        <f t="shared" si="31"/>
        <v/>
      </c>
    </row>
    <row r="694" spans="4:11" ht="15" customHeight="1">
      <c r="D694" s="6" t="s">
        <v>91</v>
      </c>
      <c r="E694" s="7"/>
      <c r="F694" s="7"/>
      <c r="G694" s="17" t="s">
        <v>181</v>
      </c>
      <c r="H694" s="17">
        <v>4</v>
      </c>
      <c r="I694" s="1">
        <f t="shared" si="32"/>
        <v>-3</v>
      </c>
      <c r="J694" s="1">
        <f t="shared" si="30"/>
        <v>0</v>
      </c>
      <c r="K694" s="1">
        <f t="shared" si="31"/>
        <v>9</v>
      </c>
    </row>
    <row r="695" spans="4:11" ht="15.75" thickBot="1">
      <c r="D695" s="8"/>
      <c r="E695" s="9" t="s">
        <v>18</v>
      </c>
      <c r="F695" s="9" t="s">
        <v>37</v>
      </c>
      <c r="G695" s="17" t="s">
        <v>178</v>
      </c>
      <c r="H695" s="17"/>
      <c r="I695" s="1" t="str">
        <f t="shared" si="32"/>
        <v/>
      </c>
      <c r="J695" s="1" t="str">
        <f t="shared" si="30"/>
        <v/>
      </c>
      <c r="K695" s="1" t="str">
        <f t="shared" si="31"/>
        <v/>
      </c>
    </row>
    <row r="696" spans="4:11" ht="15" customHeight="1">
      <c r="D696" s="6" t="s">
        <v>91</v>
      </c>
      <c r="E696" s="7"/>
      <c r="F696" s="7"/>
      <c r="G696" s="17" t="s">
        <v>181</v>
      </c>
      <c r="H696" s="17">
        <v>3</v>
      </c>
      <c r="I696" s="1">
        <f t="shared" si="32"/>
        <v>-2</v>
      </c>
      <c r="J696" s="1">
        <f t="shared" si="30"/>
        <v>0</v>
      </c>
      <c r="K696" s="1">
        <f t="shared" si="31"/>
        <v>4</v>
      </c>
    </row>
    <row r="697" spans="4:11" ht="15.75" thickBot="1">
      <c r="D697" s="8"/>
      <c r="E697" s="9" t="s">
        <v>36</v>
      </c>
      <c r="F697" s="9" t="s">
        <v>41</v>
      </c>
      <c r="G697" s="17" t="s">
        <v>178</v>
      </c>
      <c r="H697" s="17"/>
      <c r="I697" s="1" t="str">
        <f t="shared" si="32"/>
        <v/>
      </c>
      <c r="J697" s="1" t="str">
        <f t="shared" si="30"/>
        <v/>
      </c>
      <c r="K697" s="1" t="str">
        <f t="shared" si="31"/>
        <v/>
      </c>
    </row>
    <row r="698" spans="4:11" ht="15" customHeight="1">
      <c r="D698" s="6" t="s">
        <v>91</v>
      </c>
      <c r="E698" s="7"/>
      <c r="F698" s="7"/>
      <c r="G698" s="17" t="s">
        <v>182</v>
      </c>
      <c r="H698" s="17">
        <v>2</v>
      </c>
      <c r="I698" s="1">
        <f t="shared" si="32"/>
        <v>1</v>
      </c>
      <c r="J698" s="1">
        <f t="shared" si="30"/>
        <v>0</v>
      </c>
      <c r="K698" s="1">
        <f t="shared" si="31"/>
        <v>1</v>
      </c>
    </row>
    <row r="699" spans="4:11" ht="15.75" thickBot="1">
      <c r="D699" s="8"/>
      <c r="E699" s="9" t="s">
        <v>11</v>
      </c>
      <c r="F699" s="9" t="s">
        <v>28</v>
      </c>
      <c r="G699" s="17" t="s">
        <v>178</v>
      </c>
      <c r="H699" s="17"/>
      <c r="I699" s="1" t="str">
        <f t="shared" si="32"/>
        <v/>
      </c>
      <c r="J699" s="1" t="str">
        <f t="shared" si="30"/>
        <v/>
      </c>
      <c r="K699" s="1" t="str">
        <f t="shared" si="31"/>
        <v/>
      </c>
    </row>
    <row r="700" spans="4:11" ht="15" customHeight="1">
      <c r="D700" s="6" t="s">
        <v>91</v>
      </c>
      <c r="E700" s="7"/>
      <c r="F700" s="7"/>
      <c r="G700" s="17" t="s">
        <v>181</v>
      </c>
      <c r="H700" s="17">
        <v>2</v>
      </c>
      <c r="I700" s="1">
        <f t="shared" si="32"/>
        <v>-1</v>
      </c>
      <c r="J700" s="1">
        <f t="shared" si="30"/>
        <v>0</v>
      </c>
      <c r="K700" s="1">
        <f t="shared" si="31"/>
        <v>1</v>
      </c>
    </row>
    <row r="701" spans="4:11" ht="15.75" thickBot="1">
      <c r="D701" s="8"/>
      <c r="E701" s="9" t="s">
        <v>7</v>
      </c>
      <c r="F701" s="9" t="s">
        <v>19</v>
      </c>
      <c r="G701" s="17" t="s">
        <v>178</v>
      </c>
      <c r="H701" s="17"/>
      <c r="I701" s="1" t="str">
        <f t="shared" si="32"/>
        <v/>
      </c>
      <c r="J701" s="1" t="str">
        <f t="shared" si="30"/>
        <v/>
      </c>
      <c r="K701" s="1" t="str">
        <f t="shared" si="31"/>
        <v/>
      </c>
    </row>
    <row r="702" spans="4:11" ht="15" customHeight="1">
      <c r="D702" s="6" t="s">
        <v>91</v>
      </c>
      <c r="E702" s="7"/>
      <c r="F702" s="7"/>
      <c r="G702" s="17" t="s">
        <v>182</v>
      </c>
      <c r="H702" s="17">
        <v>2</v>
      </c>
      <c r="I702" s="1">
        <f t="shared" si="32"/>
        <v>1</v>
      </c>
      <c r="J702" s="1">
        <f t="shared" si="30"/>
        <v>0</v>
      </c>
      <c r="K702" s="1">
        <f t="shared" si="31"/>
        <v>1</v>
      </c>
    </row>
    <row r="703" spans="4:11" ht="15.75" thickBot="1">
      <c r="D703" s="8"/>
      <c r="E703" s="9" t="s">
        <v>39</v>
      </c>
      <c r="F703" s="9" t="s">
        <v>23</v>
      </c>
      <c r="G703" s="17" t="s">
        <v>178</v>
      </c>
      <c r="H703" s="17"/>
      <c r="I703" s="1" t="str">
        <f t="shared" si="32"/>
        <v/>
      </c>
      <c r="J703" s="1" t="str">
        <f t="shared" si="30"/>
        <v/>
      </c>
      <c r="K703" s="1" t="str">
        <f t="shared" si="31"/>
        <v/>
      </c>
    </row>
    <row r="704" spans="4:11" ht="15" customHeight="1">
      <c r="D704" s="6" t="s">
        <v>91</v>
      </c>
      <c r="E704" s="7"/>
      <c r="F704" s="7"/>
      <c r="G704" s="17" t="s">
        <v>180</v>
      </c>
      <c r="H704" s="17">
        <v>5</v>
      </c>
      <c r="I704" s="1">
        <f t="shared" si="32"/>
        <v>-3</v>
      </c>
      <c r="J704" s="1">
        <f t="shared" si="30"/>
        <v>0</v>
      </c>
      <c r="K704" s="1">
        <f t="shared" si="31"/>
        <v>9</v>
      </c>
    </row>
    <row r="705" spans="4:11" ht="15.75" thickBot="1">
      <c r="D705" s="8"/>
      <c r="E705" s="9" t="s">
        <v>21</v>
      </c>
      <c r="F705" s="9" t="s">
        <v>22</v>
      </c>
      <c r="G705" s="17" t="s">
        <v>178</v>
      </c>
      <c r="H705" s="17"/>
      <c r="I705" s="1" t="str">
        <f t="shared" si="32"/>
        <v/>
      </c>
      <c r="J705" s="1" t="str">
        <f t="shared" si="30"/>
        <v/>
      </c>
      <c r="K705" s="1" t="str">
        <f t="shared" si="31"/>
        <v/>
      </c>
    </row>
    <row r="706" spans="4:11" ht="18" customHeight="1">
      <c r="D706" s="6" t="s">
        <v>91</v>
      </c>
      <c r="E706" s="7"/>
      <c r="F706" s="7"/>
      <c r="G706" s="17" t="s">
        <v>182</v>
      </c>
      <c r="H706" s="17">
        <v>0</v>
      </c>
      <c r="I706" s="1">
        <f t="shared" si="32"/>
        <v>3</v>
      </c>
      <c r="J706" s="1">
        <f t="shared" si="30"/>
        <v>0</v>
      </c>
      <c r="K706" s="1">
        <f t="shared" si="31"/>
        <v>9</v>
      </c>
    </row>
    <row r="707" spans="4:11" ht="15.75" thickBot="1">
      <c r="D707" s="8"/>
      <c r="E707" s="9" t="s">
        <v>4</v>
      </c>
      <c r="F707" s="9" t="s">
        <v>26</v>
      </c>
      <c r="G707" s="17" t="s">
        <v>178</v>
      </c>
      <c r="H707" s="17"/>
      <c r="I707" s="1" t="str">
        <f t="shared" si="32"/>
        <v/>
      </c>
      <c r="J707" s="1" t="str">
        <f t="shared" ref="J707:J770" si="33">IF(F708="","",VLOOKUP(F708,$A$2:$B$31,2)+$B$33-VLOOKUP(E708,$A$2:$B$31,2))</f>
        <v/>
      </c>
      <c r="K707" s="1" t="str">
        <f t="shared" ref="K707:K770" si="34">IF(G707="","",(I707-J707)^2)</f>
        <v/>
      </c>
    </row>
    <row r="708" spans="4:11" ht="15" customHeight="1">
      <c r="D708" s="6" t="s">
        <v>91</v>
      </c>
      <c r="E708" s="7"/>
      <c r="F708" s="7"/>
      <c r="G708" s="17" t="s">
        <v>184</v>
      </c>
      <c r="H708" s="17">
        <v>1</v>
      </c>
      <c r="I708" s="1">
        <f t="shared" ref="I708:I771" si="35">IF(G708="","",G708-H708)</f>
        <v>3</v>
      </c>
      <c r="J708" s="1">
        <f t="shared" si="33"/>
        <v>0</v>
      </c>
      <c r="K708" s="1">
        <f t="shared" si="34"/>
        <v>9</v>
      </c>
    </row>
    <row r="709" spans="4:11" ht="15.75" thickBot="1">
      <c r="D709" s="8"/>
      <c r="E709" s="9" t="s">
        <v>20</v>
      </c>
      <c r="F709" s="9" t="s">
        <v>34</v>
      </c>
      <c r="G709" s="17" t="s">
        <v>178</v>
      </c>
      <c r="H709" s="17"/>
      <c r="I709" s="1" t="str">
        <f t="shared" si="35"/>
        <v/>
      </c>
      <c r="J709" s="1" t="str">
        <f t="shared" si="33"/>
        <v/>
      </c>
      <c r="K709" s="1" t="str">
        <f t="shared" si="34"/>
        <v/>
      </c>
    </row>
    <row r="710" spans="4:11" ht="18" customHeight="1">
      <c r="D710" s="6" t="s">
        <v>91</v>
      </c>
      <c r="E710" s="7"/>
      <c r="F710" s="7"/>
      <c r="G710" s="17" t="s">
        <v>184</v>
      </c>
      <c r="H710" s="17">
        <v>6</v>
      </c>
      <c r="I710" s="1">
        <f t="shared" si="35"/>
        <v>-2</v>
      </c>
      <c r="J710" s="1">
        <f t="shared" si="33"/>
        <v>0</v>
      </c>
      <c r="K710" s="1">
        <f t="shared" si="34"/>
        <v>4</v>
      </c>
    </row>
    <row r="711" spans="4:11" ht="15.75" thickBot="1">
      <c r="D711" s="8"/>
      <c r="E711" s="9" t="s">
        <v>10</v>
      </c>
      <c r="F711" s="9" t="s">
        <v>33</v>
      </c>
      <c r="G711" s="17" t="s">
        <v>178</v>
      </c>
      <c r="H711" s="17"/>
      <c r="I711" s="1" t="str">
        <f t="shared" si="35"/>
        <v/>
      </c>
      <c r="J711" s="1" t="str">
        <f t="shared" si="33"/>
        <v/>
      </c>
      <c r="K711" s="1" t="str">
        <f t="shared" si="34"/>
        <v/>
      </c>
    </row>
    <row r="712" spans="4:11" ht="15" customHeight="1">
      <c r="D712" s="6" t="s">
        <v>92</v>
      </c>
      <c r="E712" s="7"/>
      <c r="F712" s="7"/>
      <c r="G712" s="17" t="s">
        <v>182</v>
      </c>
      <c r="H712" s="17">
        <v>5</v>
      </c>
      <c r="I712" s="1">
        <f t="shared" si="35"/>
        <v>-2</v>
      </c>
      <c r="J712" s="1">
        <f t="shared" si="33"/>
        <v>0</v>
      </c>
      <c r="K712" s="1">
        <f t="shared" si="34"/>
        <v>4</v>
      </c>
    </row>
    <row r="713" spans="4:11" ht="15.75" thickBot="1">
      <c r="D713" s="8"/>
      <c r="E713" s="11" t="s">
        <v>3</v>
      </c>
      <c r="F713" s="11" t="s">
        <v>13</v>
      </c>
      <c r="G713" s="17" t="s">
        <v>178</v>
      </c>
      <c r="H713" s="17"/>
      <c r="I713" s="1" t="str">
        <f t="shared" si="35"/>
        <v/>
      </c>
      <c r="J713" s="1" t="str">
        <f t="shared" si="33"/>
        <v/>
      </c>
      <c r="K713" s="1" t="str">
        <f t="shared" si="34"/>
        <v/>
      </c>
    </row>
    <row r="714" spans="4:11" ht="15" customHeight="1">
      <c r="D714" s="6" t="s">
        <v>93</v>
      </c>
      <c r="E714" s="12"/>
      <c r="F714" s="12"/>
      <c r="G714" s="17" t="s">
        <v>183</v>
      </c>
      <c r="H714" s="17">
        <v>3</v>
      </c>
      <c r="I714" s="1">
        <f t="shared" si="35"/>
        <v>3</v>
      </c>
      <c r="J714" s="1">
        <f t="shared" si="33"/>
        <v>0</v>
      </c>
      <c r="K714" s="1">
        <f t="shared" si="34"/>
        <v>9</v>
      </c>
    </row>
    <row r="715" spans="4:11" ht="15.75" thickBot="1">
      <c r="D715" s="8"/>
      <c r="E715" s="15" t="s">
        <v>37</v>
      </c>
      <c r="F715" s="15" t="s">
        <v>38</v>
      </c>
      <c r="G715" s="17" t="s">
        <v>178</v>
      </c>
      <c r="H715" s="17"/>
      <c r="I715" s="1" t="str">
        <f t="shared" si="35"/>
        <v/>
      </c>
      <c r="J715" s="1" t="str">
        <f t="shared" si="33"/>
        <v/>
      </c>
      <c r="K715" s="1" t="str">
        <f t="shared" si="34"/>
        <v/>
      </c>
    </row>
    <row r="716" spans="4:11" ht="15" customHeight="1">
      <c r="D716" s="6" t="s">
        <v>93</v>
      </c>
      <c r="E716" s="7"/>
      <c r="F716" s="7"/>
      <c r="G716" s="17" t="s">
        <v>181</v>
      </c>
      <c r="H716" s="17">
        <v>2</v>
      </c>
      <c r="I716" s="1">
        <f t="shared" si="35"/>
        <v>-1</v>
      </c>
      <c r="J716" s="1">
        <f t="shared" si="33"/>
        <v>0</v>
      </c>
      <c r="K716" s="1">
        <f t="shared" si="34"/>
        <v>1</v>
      </c>
    </row>
    <row r="717" spans="4:11" ht="15.75" thickBot="1">
      <c r="D717" s="8"/>
      <c r="E717" s="15" t="s">
        <v>14</v>
      </c>
      <c r="F717" s="15" t="s">
        <v>7</v>
      </c>
      <c r="G717" s="17" t="s">
        <v>178</v>
      </c>
      <c r="H717" s="17"/>
      <c r="I717" s="1" t="str">
        <f t="shared" si="35"/>
        <v/>
      </c>
      <c r="J717" s="1" t="str">
        <f t="shared" si="33"/>
        <v/>
      </c>
      <c r="K717" s="1" t="str">
        <f t="shared" si="34"/>
        <v/>
      </c>
    </row>
    <row r="718" spans="4:11" ht="15" customHeight="1">
      <c r="D718" s="6" t="s">
        <v>93</v>
      </c>
      <c r="E718" s="7"/>
      <c r="F718" s="7"/>
      <c r="G718" s="17" t="s">
        <v>184</v>
      </c>
      <c r="H718" s="17">
        <v>3</v>
      </c>
      <c r="I718" s="1">
        <f t="shared" si="35"/>
        <v>1</v>
      </c>
      <c r="J718" s="1">
        <f t="shared" si="33"/>
        <v>0</v>
      </c>
      <c r="K718" s="1">
        <f t="shared" si="34"/>
        <v>1</v>
      </c>
    </row>
    <row r="719" spans="4:11" ht="15.75" thickBot="1">
      <c r="D719" s="8"/>
      <c r="E719" s="15" t="s">
        <v>230</v>
      </c>
      <c r="F719" s="15" t="s">
        <v>22</v>
      </c>
      <c r="G719" s="17" t="s">
        <v>178</v>
      </c>
      <c r="H719" s="17"/>
      <c r="I719" s="1" t="str">
        <f t="shared" si="35"/>
        <v/>
      </c>
      <c r="J719" s="1" t="str">
        <f t="shared" si="33"/>
        <v/>
      </c>
      <c r="K719" s="1" t="str">
        <f t="shared" si="34"/>
        <v/>
      </c>
    </row>
    <row r="720" spans="4:11" ht="15" customHeight="1">
      <c r="D720" s="6" t="s">
        <v>93</v>
      </c>
      <c r="E720" s="7"/>
      <c r="F720" s="7"/>
      <c r="G720" s="17" t="s">
        <v>185</v>
      </c>
      <c r="H720" s="17">
        <v>2</v>
      </c>
      <c r="I720" s="1">
        <f t="shared" si="35"/>
        <v>3</v>
      </c>
      <c r="J720" s="1">
        <f t="shared" si="33"/>
        <v>0</v>
      </c>
      <c r="K720" s="1">
        <f t="shared" si="34"/>
        <v>9</v>
      </c>
    </row>
    <row r="721" spans="4:11" ht="15.75" thickBot="1">
      <c r="D721" s="8"/>
      <c r="E721" s="15" t="s">
        <v>26</v>
      </c>
      <c r="F721" s="15" t="s">
        <v>24</v>
      </c>
      <c r="G721" s="17" t="s">
        <v>178</v>
      </c>
      <c r="H721" s="17"/>
      <c r="I721" s="1" t="str">
        <f t="shared" si="35"/>
        <v/>
      </c>
      <c r="J721" s="1" t="str">
        <f t="shared" si="33"/>
        <v/>
      </c>
      <c r="K721" s="1" t="str">
        <f t="shared" si="34"/>
        <v/>
      </c>
    </row>
    <row r="722" spans="4:11" ht="18" customHeight="1">
      <c r="D722" s="6" t="s">
        <v>93</v>
      </c>
      <c r="E722" s="7"/>
      <c r="F722" s="7"/>
      <c r="G722" s="17" t="s">
        <v>180</v>
      </c>
      <c r="H722" s="17">
        <v>3</v>
      </c>
      <c r="I722" s="1">
        <f t="shared" si="35"/>
        <v>-1</v>
      </c>
      <c r="J722" s="1">
        <f t="shared" si="33"/>
        <v>0</v>
      </c>
      <c r="K722" s="1">
        <f t="shared" si="34"/>
        <v>1</v>
      </c>
    </row>
    <row r="723" spans="4:11" ht="15.75" thickBot="1">
      <c r="D723" s="8"/>
      <c r="E723" s="15" t="s">
        <v>2</v>
      </c>
      <c r="F723" s="15" t="s">
        <v>10</v>
      </c>
      <c r="G723" s="17" t="s">
        <v>178</v>
      </c>
      <c r="H723" s="17"/>
      <c r="I723" s="1" t="str">
        <f t="shared" si="35"/>
        <v/>
      </c>
      <c r="J723" s="1" t="str">
        <f t="shared" si="33"/>
        <v/>
      </c>
      <c r="K723" s="1" t="str">
        <f t="shared" si="34"/>
        <v/>
      </c>
    </row>
    <row r="724" spans="4:11" ht="15" customHeight="1">
      <c r="D724" s="6" t="s">
        <v>94</v>
      </c>
      <c r="E724" s="7"/>
      <c r="F724" s="7"/>
      <c r="G724" s="17" t="s">
        <v>180</v>
      </c>
      <c r="H724" s="17">
        <v>3</v>
      </c>
      <c r="I724" s="1">
        <f t="shared" si="35"/>
        <v>-1</v>
      </c>
      <c r="J724" s="1">
        <f t="shared" si="33"/>
        <v>0</v>
      </c>
      <c r="K724" s="1">
        <f t="shared" si="34"/>
        <v>1</v>
      </c>
    </row>
    <row r="725" spans="4:11" ht="15.75" thickBot="1">
      <c r="D725" s="8"/>
      <c r="E725" s="15" t="s">
        <v>18</v>
      </c>
      <c r="F725" s="15" t="s">
        <v>41</v>
      </c>
      <c r="G725" s="17" t="s">
        <v>178</v>
      </c>
      <c r="H725" s="17"/>
      <c r="I725" s="1" t="str">
        <f t="shared" si="35"/>
        <v/>
      </c>
      <c r="J725" s="1" t="str">
        <f t="shared" si="33"/>
        <v/>
      </c>
      <c r="K725" s="1" t="str">
        <f t="shared" si="34"/>
        <v/>
      </c>
    </row>
    <row r="726" spans="4:11" ht="15" customHeight="1">
      <c r="D726" s="6" t="s">
        <v>94</v>
      </c>
      <c r="E726" s="7"/>
      <c r="F726" s="7"/>
      <c r="G726" s="17" t="s">
        <v>179</v>
      </c>
      <c r="H726" s="17">
        <v>1</v>
      </c>
      <c r="I726" s="1">
        <f t="shared" si="35"/>
        <v>-1</v>
      </c>
      <c r="J726" s="1">
        <f t="shared" si="33"/>
        <v>0</v>
      </c>
      <c r="K726" s="1">
        <f t="shared" si="34"/>
        <v>1</v>
      </c>
    </row>
    <row r="727" spans="4:11" ht="15.75" thickBot="1">
      <c r="D727" s="8"/>
      <c r="E727" s="15" t="s">
        <v>36</v>
      </c>
      <c r="F727" s="15" t="s">
        <v>11</v>
      </c>
      <c r="G727" s="17" t="s">
        <v>178</v>
      </c>
      <c r="H727" s="17"/>
      <c r="I727" s="1" t="str">
        <f t="shared" si="35"/>
        <v/>
      </c>
      <c r="J727" s="1" t="str">
        <f t="shared" si="33"/>
        <v/>
      </c>
      <c r="K727" s="1" t="str">
        <f t="shared" si="34"/>
        <v/>
      </c>
    </row>
    <row r="728" spans="4:11" ht="15" customHeight="1">
      <c r="D728" s="6" t="s">
        <v>94</v>
      </c>
      <c r="E728" s="7"/>
      <c r="F728" s="7"/>
      <c r="G728" s="17" t="s">
        <v>184</v>
      </c>
      <c r="H728" s="17">
        <v>3</v>
      </c>
      <c r="I728" s="1">
        <f t="shared" si="35"/>
        <v>1</v>
      </c>
      <c r="J728" s="1">
        <f t="shared" si="33"/>
        <v>0</v>
      </c>
      <c r="K728" s="1">
        <f t="shared" si="34"/>
        <v>1</v>
      </c>
    </row>
    <row r="729" spans="4:11" ht="30.75" thickBot="1">
      <c r="D729" s="8"/>
      <c r="E729" s="15" t="s">
        <v>3</v>
      </c>
      <c r="F729" s="15" t="s">
        <v>12</v>
      </c>
      <c r="G729" s="17" t="s">
        <v>178</v>
      </c>
      <c r="H729" s="17"/>
      <c r="I729" s="1" t="str">
        <f t="shared" si="35"/>
        <v/>
      </c>
      <c r="J729" s="1" t="str">
        <f t="shared" si="33"/>
        <v/>
      </c>
      <c r="K729" s="1" t="str">
        <f t="shared" si="34"/>
        <v/>
      </c>
    </row>
    <row r="730" spans="4:11" ht="15" customHeight="1">
      <c r="D730" s="6" t="s">
        <v>94</v>
      </c>
      <c r="E730" s="7"/>
      <c r="F730" s="7"/>
      <c r="G730" s="17" t="s">
        <v>181</v>
      </c>
      <c r="H730" s="17">
        <v>2</v>
      </c>
      <c r="I730" s="1">
        <f t="shared" si="35"/>
        <v>-1</v>
      </c>
      <c r="J730" s="1">
        <f t="shared" si="33"/>
        <v>0</v>
      </c>
      <c r="K730" s="1">
        <f t="shared" si="34"/>
        <v>1</v>
      </c>
    </row>
    <row r="731" spans="4:11" ht="15.75" thickBot="1">
      <c r="D731" s="8"/>
      <c r="E731" s="15" t="s">
        <v>19</v>
      </c>
      <c r="F731" s="15" t="s">
        <v>28</v>
      </c>
      <c r="G731" s="17" t="s">
        <v>178</v>
      </c>
      <c r="H731" s="17"/>
      <c r="I731" s="1" t="str">
        <f t="shared" si="35"/>
        <v/>
      </c>
      <c r="J731" s="1" t="str">
        <f t="shared" si="33"/>
        <v/>
      </c>
      <c r="K731" s="1" t="str">
        <f t="shared" si="34"/>
        <v/>
      </c>
    </row>
    <row r="732" spans="4:11" ht="15" customHeight="1">
      <c r="D732" s="6" t="s">
        <v>94</v>
      </c>
      <c r="E732" s="7"/>
      <c r="F732" s="7"/>
      <c r="G732" s="17" t="s">
        <v>181</v>
      </c>
      <c r="H732" s="17">
        <v>2</v>
      </c>
      <c r="I732" s="1">
        <f t="shared" si="35"/>
        <v>-1</v>
      </c>
      <c r="J732" s="1">
        <f t="shared" si="33"/>
        <v>2550</v>
      </c>
      <c r="K732" s="1">
        <f t="shared" si="34"/>
        <v>6507601</v>
      </c>
    </row>
    <row r="733" spans="4:11" ht="15.75" thickBot="1">
      <c r="D733" s="8"/>
      <c r="E733" s="15" t="s">
        <v>37</v>
      </c>
      <c r="F733" s="15" t="s">
        <v>8</v>
      </c>
      <c r="G733" s="17" t="s">
        <v>178</v>
      </c>
      <c r="H733" s="17"/>
      <c r="I733" s="1" t="str">
        <f t="shared" si="35"/>
        <v/>
      </c>
      <c r="J733" s="1" t="str">
        <f t="shared" si="33"/>
        <v/>
      </c>
      <c r="K733" s="1" t="str">
        <f t="shared" si="34"/>
        <v/>
      </c>
    </row>
    <row r="734" spans="4:11" ht="18" customHeight="1">
      <c r="D734" s="6" t="s">
        <v>94</v>
      </c>
      <c r="E734" s="7"/>
      <c r="F734" s="7"/>
      <c r="G734" s="17" t="s">
        <v>182</v>
      </c>
      <c r="H734" s="17">
        <v>5</v>
      </c>
      <c r="I734" s="1">
        <f t="shared" si="35"/>
        <v>-2</v>
      </c>
      <c r="J734" s="1">
        <f t="shared" si="33"/>
        <v>0</v>
      </c>
      <c r="K734" s="1">
        <f t="shared" si="34"/>
        <v>4</v>
      </c>
    </row>
    <row r="735" spans="4:11" ht="15.75" thickBot="1">
      <c r="D735" s="8"/>
      <c r="E735" s="15" t="s">
        <v>21</v>
      </c>
      <c r="F735" s="15" t="s">
        <v>0</v>
      </c>
      <c r="G735" s="17" t="s">
        <v>178</v>
      </c>
      <c r="H735" s="17"/>
      <c r="I735" s="1" t="str">
        <f t="shared" si="35"/>
        <v/>
      </c>
      <c r="J735" s="1" t="str">
        <f t="shared" si="33"/>
        <v/>
      </c>
      <c r="K735" s="1" t="str">
        <f t="shared" si="34"/>
        <v/>
      </c>
    </row>
    <row r="736" spans="4:11" ht="18" customHeight="1">
      <c r="D736" s="6" t="s">
        <v>94</v>
      </c>
      <c r="E736" s="7"/>
      <c r="F736" s="7"/>
      <c r="G736" s="17" t="s">
        <v>184</v>
      </c>
      <c r="H736" s="17">
        <v>3</v>
      </c>
      <c r="I736" s="1">
        <f t="shared" si="35"/>
        <v>1</v>
      </c>
      <c r="J736" s="1">
        <f t="shared" si="33"/>
        <v>0</v>
      </c>
      <c r="K736" s="1">
        <f t="shared" si="34"/>
        <v>1</v>
      </c>
    </row>
    <row r="737" spans="4:11" ht="15.75" thickBot="1">
      <c r="D737" s="8"/>
      <c r="E737" s="15" t="s">
        <v>14</v>
      </c>
      <c r="F737" s="15" t="s">
        <v>13</v>
      </c>
      <c r="G737" s="17" t="s">
        <v>178</v>
      </c>
      <c r="H737" s="17"/>
      <c r="I737" s="1" t="str">
        <f t="shared" si="35"/>
        <v/>
      </c>
      <c r="J737" s="1" t="str">
        <f t="shared" si="33"/>
        <v/>
      </c>
      <c r="K737" s="1" t="str">
        <f t="shared" si="34"/>
        <v/>
      </c>
    </row>
    <row r="738" spans="4:11" ht="18" customHeight="1">
      <c r="D738" s="6" t="s">
        <v>94</v>
      </c>
      <c r="E738" s="7"/>
      <c r="F738" s="7"/>
      <c r="G738" s="17" t="s">
        <v>180</v>
      </c>
      <c r="H738" s="17">
        <v>5</v>
      </c>
      <c r="I738" s="1">
        <f t="shared" si="35"/>
        <v>-3</v>
      </c>
      <c r="J738" s="1">
        <f t="shared" si="33"/>
        <v>0</v>
      </c>
      <c r="K738" s="1">
        <f t="shared" si="34"/>
        <v>9</v>
      </c>
    </row>
    <row r="739" spans="4:11" ht="15.75" thickBot="1">
      <c r="D739" s="8"/>
      <c r="E739" s="15" t="s">
        <v>26</v>
      </c>
      <c r="F739" s="15" t="s">
        <v>4</v>
      </c>
      <c r="G739" s="17" t="s">
        <v>178</v>
      </c>
      <c r="H739" s="17"/>
      <c r="I739" s="1" t="str">
        <f t="shared" si="35"/>
        <v/>
      </c>
      <c r="J739" s="1" t="str">
        <f t="shared" si="33"/>
        <v/>
      </c>
      <c r="K739" s="1" t="str">
        <f t="shared" si="34"/>
        <v/>
      </c>
    </row>
    <row r="740" spans="4:11" ht="15" customHeight="1">
      <c r="D740" s="6" t="s">
        <v>94</v>
      </c>
      <c r="E740" s="7"/>
      <c r="F740" s="7"/>
      <c r="G740" s="17" t="s">
        <v>181</v>
      </c>
      <c r="H740" s="17">
        <v>2</v>
      </c>
      <c r="I740" s="1">
        <f t="shared" si="35"/>
        <v>-1</v>
      </c>
      <c r="J740" s="1">
        <f t="shared" si="33"/>
        <v>0</v>
      </c>
      <c r="K740" s="1">
        <f t="shared" si="34"/>
        <v>1</v>
      </c>
    </row>
    <row r="741" spans="4:11" ht="15.75" thickBot="1">
      <c r="D741" s="8"/>
      <c r="E741" s="15" t="s">
        <v>1</v>
      </c>
      <c r="F741" s="15" t="s">
        <v>33</v>
      </c>
      <c r="G741" s="17" t="s">
        <v>178</v>
      </c>
      <c r="H741" s="17"/>
      <c r="I741" s="1" t="str">
        <f t="shared" si="35"/>
        <v/>
      </c>
      <c r="J741" s="1" t="str">
        <f t="shared" si="33"/>
        <v/>
      </c>
      <c r="K741" s="1" t="str">
        <f t="shared" si="34"/>
        <v/>
      </c>
    </row>
    <row r="742" spans="4:11" ht="15" customHeight="1">
      <c r="D742" s="6" t="s">
        <v>94</v>
      </c>
      <c r="E742" s="7"/>
      <c r="F742" s="7"/>
      <c r="G742" s="17" t="s">
        <v>179</v>
      </c>
      <c r="H742" s="17">
        <v>2</v>
      </c>
      <c r="I742" s="1">
        <f t="shared" si="35"/>
        <v>-2</v>
      </c>
      <c r="J742" s="1">
        <f t="shared" si="33"/>
        <v>0</v>
      </c>
      <c r="K742" s="1">
        <f t="shared" si="34"/>
        <v>4</v>
      </c>
    </row>
    <row r="743" spans="4:11" ht="15.75" thickBot="1">
      <c r="D743" s="8"/>
      <c r="E743" s="15" t="s">
        <v>2</v>
      </c>
      <c r="F743" s="15" t="s">
        <v>34</v>
      </c>
      <c r="G743" s="17" t="s">
        <v>178</v>
      </c>
      <c r="H743" s="17"/>
      <c r="I743" s="1" t="str">
        <f t="shared" si="35"/>
        <v/>
      </c>
      <c r="J743" s="1" t="str">
        <f t="shared" si="33"/>
        <v/>
      </c>
      <c r="K743" s="1" t="str">
        <f t="shared" si="34"/>
        <v/>
      </c>
    </row>
    <row r="744" spans="4:11" ht="15" customHeight="1">
      <c r="D744" s="6" t="s">
        <v>95</v>
      </c>
      <c r="E744" s="7"/>
      <c r="F744" s="7"/>
      <c r="G744" s="17" t="s">
        <v>181</v>
      </c>
      <c r="H744" s="17">
        <v>2</v>
      </c>
      <c r="I744" s="1">
        <f t="shared" si="35"/>
        <v>-1</v>
      </c>
      <c r="J744" s="1">
        <f t="shared" si="33"/>
        <v>0</v>
      </c>
      <c r="K744" s="1">
        <f t="shared" si="34"/>
        <v>1</v>
      </c>
    </row>
    <row r="745" spans="4:11" ht="15.75" thickBot="1">
      <c r="D745" s="8"/>
      <c r="E745" s="15" t="s">
        <v>230</v>
      </c>
      <c r="F745" s="15" t="s">
        <v>23</v>
      </c>
      <c r="G745" s="17" t="s">
        <v>178</v>
      </c>
      <c r="H745" s="17"/>
      <c r="I745" s="1" t="str">
        <f t="shared" si="35"/>
        <v/>
      </c>
      <c r="J745" s="1" t="str">
        <f t="shared" si="33"/>
        <v/>
      </c>
      <c r="K745" s="1" t="str">
        <f t="shared" si="34"/>
        <v/>
      </c>
    </row>
    <row r="746" spans="4:11" ht="15" customHeight="1">
      <c r="D746" s="6" t="s">
        <v>95</v>
      </c>
      <c r="E746" s="7"/>
      <c r="F746" s="7"/>
      <c r="G746" s="17" t="s">
        <v>181</v>
      </c>
      <c r="H746" s="17">
        <v>4</v>
      </c>
      <c r="I746" s="1">
        <f t="shared" si="35"/>
        <v>-3</v>
      </c>
      <c r="J746" s="1">
        <f t="shared" si="33"/>
        <v>0</v>
      </c>
      <c r="K746" s="1">
        <f t="shared" si="34"/>
        <v>9</v>
      </c>
    </row>
    <row r="747" spans="4:11" ht="15.75" thickBot="1">
      <c r="D747" s="8"/>
      <c r="E747" s="15" t="s">
        <v>39</v>
      </c>
      <c r="F747" s="15" t="s">
        <v>20</v>
      </c>
      <c r="G747" s="17" t="s">
        <v>178</v>
      </c>
      <c r="H747" s="17"/>
      <c r="I747" s="1" t="str">
        <f t="shared" si="35"/>
        <v/>
      </c>
      <c r="J747" s="1" t="str">
        <f t="shared" si="33"/>
        <v/>
      </c>
      <c r="K747" s="1" t="str">
        <f t="shared" si="34"/>
        <v/>
      </c>
    </row>
    <row r="748" spans="4:11" ht="15" customHeight="1">
      <c r="D748" s="6" t="s">
        <v>95</v>
      </c>
      <c r="E748" s="7"/>
      <c r="F748" s="7"/>
      <c r="G748" s="17" t="s">
        <v>180</v>
      </c>
      <c r="H748" s="17">
        <v>3</v>
      </c>
      <c r="I748" s="1">
        <f t="shared" si="35"/>
        <v>-1</v>
      </c>
      <c r="J748" s="1">
        <f t="shared" si="33"/>
        <v>0</v>
      </c>
      <c r="K748" s="1">
        <f t="shared" si="34"/>
        <v>1</v>
      </c>
    </row>
    <row r="749" spans="4:11" ht="15.75" thickBot="1">
      <c r="D749" s="8"/>
      <c r="E749" s="15" t="s">
        <v>24</v>
      </c>
      <c r="F749" s="15" t="s">
        <v>25</v>
      </c>
      <c r="G749" s="17" t="s">
        <v>178</v>
      </c>
      <c r="H749" s="17"/>
      <c r="I749" s="1" t="str">
        <f t="shared" si="35"/>
        <v/>
      </c>
      <c r="J749" s="1" t="str">
        <f t="shared" si="33"/>
        <v/>
      </c>
      <c r="K749" s="1" t="str">
        <f t="shared" si="34"/>
        <v/>
      </c>
    </row>
    <row r="750" spans="4:11" ht="15" customHeight="1">
      <c r="D750" s="6" t="s">
        <v>95</v>
      </c>
      <c r="E750" s="7"/>
      <c r="F750" s="7"/>
      <c r="G750" s="17" t="s">
        <v>184</v>
      </c>
      <c r="H750" s="17">
        <v>5</v>
      </c>
      <c r="I750" s="1">
        <f t="shared" si="35"/>
        <v>-1</v>
      </c>
      <c r="J750" s="1">
        <f t="shared" si="33"/>
        <v>0</v>
      </c>
      <c r="K750" s="1">
        <f t="shared" si="34"/>
        <v>1</v>
      </c>
    </row>
    <row r="751" spans="4:11" ht="15.75" thickBot="1">
      <c r="D751" s="8"/>
      <c r="E751" s="15" t="s">
        <v>1</v>
      </c>
      <c r="F751" s="15" t="s">
        <v>10</v>
      </c>
      <c r="G751" s="17" t="s">
        <v>178</v>
      </c>
      <c r="H751" s="17"/>
      <c r="I751" s="1" t="str">
        <f t="shared" si="35"/>
        <v/>
      </c>
      <c r="J751" s="1" t="str">
        <f t="shared" si="33"/>
        <v/>
      </c>
      <c r="K751" s="1" t="str">
        <f t="shared" si="34"/>
        <v/>
      </c>
    </row>
    <row r="752" spans="4:11" ht="15" customHeight="1">
      <c r="D752" s="6" t="s">
        <v>96</v>
      </c>
      <c r="E752" s="7"/>
      <c r="F752" s="7"/>
      <c r="G752" s="17" t="s">
        <v>182</v>
      </c>
      <c r="H752" s="17">
        <v>0</v>
      </c>
      <c r="I752" s="1">
        <f t="shared" si="35"/>
        <v>3</v>
      </c>
      <c r="J752" s="1">
        <f t="shared" si="33"/>
        <v>0</v>
      </c>
      <c r="K752" s="1">
        <f t="shared" si="34"/>
        <v>9</v>
      </c>
    </row>
    <row r="753" spans="4:11" ht="15.75" thickBot="1">
      <c r="D753" s="8"/>
      <c r="E753" s="15" t="s">
        <v>3</v>
      </c>
      <c r="F753" s="15" t="s">
        <v>11</v>
      </c>
      <c r="G753" s="17" t="s">
        <v>178</v>
      </c>
      <c r="H753" s="17"/>
      <c r="I753" s="1" t="str">
        <f t="shared" si="35"/>
        <v/>
      </c>
      <c r="J753" s="1" t="str">
        <f t="shared" si="33"/>
        <v/>
      </c>
      <c r="K753" s="1" t="str">
        <f t="shared" si="34"/>
        <v/>
      </c>
    </row>
    <row r="754" spans="4:11" ht="15" customHeight="1">
      <c r="D754" s="6" t="s">
        <v>96</v>
      </c>
      <c r="E754" s="7"/>
      <c r="F754" s="7"/>
      <c r="G754" s="17" t="s">
        <v>180</v>
      </c>
      <c r="H754" s="17">
        <v>1</v>
      </c>
      <c r="I754" s="1">
        <f t="shared" si="35"/>
        <v>1</v>
      </c>
      <c r="J754" s="1">
        <f t="shared" si="33"/>
        <v>0</v>
      </c>
      <c r="K754" s="1">
        <f t="shared" si="34"/>
        <v>1</v>
      </c>
    </row>
    <row r="755" spans="4:11" ht="15.75" thickBot="1">
      <c r="D755" s="8"/>
      <c r="E755" s="15" t="s">
        <v>12</v>
      </c>
      <c r="F755" s="15" t="s">
        <v>28</v>
      </c>
      <c r="G755" s="17" t="s">
        <v>178</v>
      </c>
      <c r="H755" s="17"/>
      <c r="I755" s="1" t="str">
        <f t="shared" si="35"/>
        <v/>
      </c>
      <c r="J755" s="1" t="str">
        <f t="shared" si="33"/>
        <v/>
      </c>
      <c r="K755" s="1" t="str">
        <f t="shared" si="34"/>
        <v/>
      </c>
    </row>
    <row r="756" spans="4:11" ht="15" customHeight="1">
      <c r="D756" s="6" t="s">
        <v>96</v>
      </c>
      <c r="E756" s="7"/>
      <c r="F756" s="7"/>
      <c r="G756" s="17" t="s">
        <v>185</v>
      </c>
      <c r="H756" s="17">
        <v>3</v>
      </c>
      <c r="I756" s="1">
        <f t="shared" si="35"/>
        <v>2</v>
      </c>
      <c r="J756" s="1">
        <f t="shared" si="33"/>
        <v>0</v>
      </c>
      <c r="K756" s="1">
        <f t="shared" si="34"/>
        <v>4</v>
      </c>
    </row>
    <row r="757" spans="4:11" ht="15.75" thickBot="1">
      <c r="D757" s="8"/>
      <c r="E757" s="15" t="s">
        <v>36</v>
      </c>
      <c r="F757" s="15" t="s">
        <v>0</v>
      </c>
      <c r="G757" s="17" t="s">
        <v>178</v>
      </c>
      <c r="H757" s="17"/>
      <c r="I757" s="1" t="str">
        <f t="shared" si="35"/>
        <v/>
      </c>
      <c r="J757" s="1" t="str">
        <f t="shared" si="33"/>
        <v/>
      </c>
      <c r="K757" s="1" t="str">
        <f t="shared" si="34"/>
        <v/>
      </c>
    </row>
    <row r="758" spans="4:11" ht="15" customHeight="1">
      <c r="D758" s="6" t="s">
        <v>96</v>
      </c>
      <c r="E758" s="7"/>
      <c r="F758" s="7"/>
      <c r="G758" s="17" t="s">
        <v>180</v>
      </c>
      <c r="H758" s="17">
        <v>1</v>
      </c>
      <c r="I758" s="1">
        <f t="shared" si="35"/>
        <v>1</v>
      </c>
      <c r="J758" s="1">
        <f t="shared" si="33"/>
        <v>0</v>
      </c>
      <c r="K758" s="1">
        <f t="shared" si="34"/>
        <v>1</v>
      </c>
    </row>
    <row r="759" spans="4:11" ht="15.75" thickBot="1">
      <c r="D759" s="8"/>
      <c r="E759" s="15" t="s">
        <v>41</v>
      </c>
      <c r="F759" s="15" t="s">
        <v>18</v>
      </c>
      <c r="G759" s="17" t="s">
        <v>178</v>
      </c>
      <c r="H759" s="17"/>
      <c r="I759" s="1" t="str">
        <f t="shared" si="35"/>
        <v/>
      </c>
      <c r="J759" s="1" t="str">
        <f t="shared" si="33"/>
        <v/>
      </c>
      <c r="K759" s="1" t="str">
        <f t="shared" si="34"/>
        <v/>
      </c>
    </row>
    <row r="760" spans="4:11" ht="18" customHeight="1">
      <c r="D760" s="6" t="s">
        <v>96</v>
      </c>
      <c r="E760" s="7"/>
      <c r="F760" s="7"/>
      <c r="G760" s="17" t="s">
        <v>180</v>
      </c>
      <c r="H760" s="17">
        <v>5</v>
      </c>
      <c r="I760" s="1">
        <f t="shared" si="35"/>
        <v>-3</v>
      </c>
      <c r="J760" s="1">
        <f t="shared" si="33"/>
        <v>0</v>
      </c>
      <c r="K760" s="1">
        <f t="shared" si="34"/>
        <v>9</v>
      </c>
    </row>
    <row r="761" spans="4:11" ht="15.75" thickBot="1">
      <c r="D761" s="8"/>
      <c r="E761" s="15" t="s">
        <v>21</v>
      </c>
      <c r="F761" s="15" t="s">
        <v>13</v>
      </c>
      <c r="G761" s="17" t="s">
        <v>178</v>
      </c>
      <c r="H761" s="17"/>
      <c r="I761" s="1" t="str">
        <f t="shared" si="35"/>
        <v/>
      </c>
      <c r="J761" s="1" t="str">
        <f t="shared" si="33"/>
        <v/>
      </c>
      <c r="K761" s="1" t="str">
        <f t="shared" si="34"/>
        <v/>
      </c>
    </row>
    <row r="762" spans="4:11" ht="15" customHeight="1">
      <c r="D762" s="6" t="s">
        <v>96</v>
      </c>
      <c r="E762" s="7"/>
      <c r="F762" s="7"/>
      <c r="G762" s="17" t="s">
        <v>179</v>
      </c>
      <c r="H762" s="17">
        <v>5</v>
      </c>
      <c r="I762" s="1">
        <f t="shared" si="35"/>
        <v>-5</v>
      </c>
      <c r="J762" s="1">
        <f t="shared" si="33"/>
        <v>-2550</v>
      </c>
      <c r="K762" s="1">
        <f t="shared" si="34"/>
        <v>6477025</v>
      </c>
    </row>
    <row r="763" spans="4:11" ht="15.75" thickBot="1">
      <c r="D763" s="8"/>
      <c r="E763" s="15" t="s">
        <v>8</v>
      </c>
      <c r="F763" s="15" t="s">
        <v>37</v>
      </c>
      <c r="G763" s="17" t="s">
        <v>178</v>
      </c>
      <c r="H763" s="17"/>
      <c r="I763" s="1" t="str">
        <f t="shared" si="35"/>
        <v/>
      </c>
      <c r="J763" s="1" t="str">
        <f t="shared" si="33"/>
        <v/>
      </c>
      <c r="K763" s="1" t="str">
        <f t="shared" si="34"/>
        <v/>
      </c>
    </row>
    <row r="764" spans="4:11" ht="18" customHeight="1">
      <c r="D764" s="6" t="s">
        <v>96</v>
      </c>
      <c r="E764" s="7"/>
      <c r="F764" s="7"/>
      <c r="G764" s="17" t="s">
        <v>184</v>
      </c>
      <c r="H764" s="17">
        <v>3</v>
      </c>
      <c r="I764" s="1">
        <f t="shared" si="35"/>
        <v>1</v>
      </c>
      <c r="J764" s="1">
        <f t="shared" si="33"/>
        <v>0</v>
      </c>
      <c r="K764" s="1">
        <f t="shared" si="34"/>
        <v>1</v>
      </c>
    </row>
    <row r="765" spans="4:11" ht="15.75" thickBot="1">
      <c r="D765" s="8"/>
      <c r="E765" s="15" t="s">
        <v>7</v>
      </c>
      <c r="F765" s="15" t="s">
        <v>14</v>
      </c>
      <c r="G765" s="17" t="s">
        <v>178</v>
      </c>
      <c r="H765" s="17"/>
      <c r="I765" s="1" t="str">
        <f t="shared" si="35"/>
        <v/>
      </c>
      <c r="J765" s="1" t="str">
        <f t="shared" si="33"/>
        <v/>
      </c>
      <c r="K765" s="1" t="str">
        <f t="shared" si="34"/>
        <v/>
      </c>
    </row>
    <row r="766" spans="4:11" ht="15" customHeight="1">
      <c r="D766" s="6" t="s">
        <v>96</v>
      </c>
      <c r="E766" s="7"/>
      <c r="F766" s="7"/>
      <c r="G766" s="17" t="s">
        <v>182</v>
      </c>
      <c r="H766" s="17">
        <v>4</v>
      </c>
      <c r="I766" s="1">
        <f t="shared" si="35"/>
        <v>-1</v>
      </c>
      <c r="J766" s="1">
        <f t="shared" si="33"/>
        <v>0</v>
      </c>
      <c r="K766" s="1">
        <f t="shared" si="34"/>
        <v>1</v>
      </c>
    </row>
    <row r="767" spans="4:11" ht="15.75" thickBot="1">
      <c r="D767" s="8"/>
      <c r="E767" s="15" t="s">
        <v>39</v>
      </c>
      <c r="F767" s="15" t="s">
        <v>19</v>
      </c>
      <c r="G767" s="17" t="s">
        <v>178</v>
      </c>
      <c r="H767" s="17"/>
      <c r="I767" s="1" t="str">
        <f t="shared" si="35"/>
        <v/>
      </c>
      <c r="J767" s="1" t="str">
        <f t="shared" si="33"/>
        <v/>
      </c>
      <c r="K767" s="1" t="str">
        <f t="shared" si="34"/>
        <v/>
      </c>
    </row>
    <row r="768" spans="4:11" ht="15" customHeight="1">
      <c r="D768" s="6" t="s">
        <v>96</v>
      </c>
      <c r="E768" s="7"/>
      <c r="F768" s="7"/>
      <c r="G768" s="17" t="s">
        <v>182</v>
      </c>
      <c r="H768" s="17">
        <v>4</v>
      </c>
      <c r="I768" s="1">
        <f t="shared" si="35"/>
        <v>-1</v>
      </c>
      <c r="J768" s="1">
        <f t="shared" si="33"/>
        <v>0</v>
      </c>
      <c r="K768" s="1">
        <f t="shared" si="34"/>
        <v>1</v>
      </c>
    </row>
    <row r="769" spans="4:11" ht="15.75" thickBot="1">
      <c r="D769" s="8"/>
      <c r="E769" s="15" t="s">
        <v>22</v>
      </c>
      <c r="F769" s="15" t="s">
        <v>4</v>
      </c>
      <c r="G769" s="17" t="s">
        <v>178</v>
      </c>
      <c r="H769" s="17"/>
      <c r="I769" s="1" t="str">
        <f t="shared" si="35"/>
        <v/>
      </c>
      <c r="J769" s="1" t="str">
        <f t="shared" si="33"/>
        <v/>
      </c>
      <c r="K769" s="1" t="str">
        <f t="shared" si="34"/>
        <v/>
      </c>
    </row>
    <row r="770" spans="4:11" ht="15" customHeight="1">
      <c r="D770" s="6" t="s">
        <v>96</v>
      </c>
      <c r="E770" s="7"/>
      <c r="F770" s="7"/>
      <c r="G770" s="17" t="s">
        <v>184</v>
      </c>
      <c r="H770" s="17">
        <v>0</v>
      </c>
      <c r="I770" s="1">
        <f t="shared" si="35"/>
        <v>4</v>
      </c>
      <c r="J770" s="1">
        <f t="shared" si="33"/>
        <v>0</v>
      </c>
      <c r="K770" s="1">
        <f t="shared" si="34"/>
        <v>16</v>
      </c>
    </row>
    <row r="771" spans="4:11" ht="15.75" thickBot="1">
      <c r="D771" s="8"/>
      <c r="E771" s="15" t="s">
        <v>34</v>
      </c>
      <c r="F771" s="15" t="s">
        <v>26</v>
      </c>
      <c r="G771" s="17" t="s">
        <v>178</v>
      </c>
      <c r="H771" s="17"/>
      <c r="I771" s="1" t="str">
        <f t="shared" si="35"/>
        <v/>
      </c>
      <c r="J771" s="1" t="str">
        <f t="shared" ref="J771:J834" si="36">IF(F772="","",VLOOKUP(F772,$A$2:$B$31,2)+$B$33-VLOOKUP(E772,$A$2:$B$31,2))</f>
        <v/>
      </c>
      <c r="K771" s="1" t="str">
        <f t="shared" ref="K771:K834" si="37">IF(G771="","",(I771-J771)^2)</f>
        <v/>
      </c>
    </row>
    <row r="772" spans="4:11" ht="18" customHeight="1">
      <c r="D772" s="6" t="s">
        <v>96</v>
      </c>
      <c r="E772" s="7"/>
      <c r="F772" s="7"/>
      <c r="G772" s="17" t="s">
        <v>184</v>
      </c>
      <c r="H772" s="17">
        <v>7</v>
      </c>
      <c r="I772" s="1">
        <f t="shared" ref="I772:I835" si="38">IF(G772="","",G772-H772)</f>
        <v>-3</v>
      </c>
      <c r="J772" s="1">
        <f t="shared" si="36"/>
        <v>0</v>
      </c>
      <c r="K772" s="1">
        <f t="shared" si="37"/>
        <v>9</v>
      </c>
    </row>
    <row r="773" spans="4:11" ht="15.75" thickBot="1">
      <c r="D773" s="8"/>
      <c r="E773" s="15" t="s">
        <v>2</v>
      </c>
      <c r="F773" s="15" t="s">
        <v>33</v>
      </c>
      <c r="G773" s="17" t="s">
        <v>178</v>
      </c>
      <c r="H773" s="17"/>
      <c r="I773" s="1" t="str">
        <f t="shared" si="38"/>
        <v/>
      </c>
      <c r="J773" s="1" t="str">
        <f t="shared" si="36"/>
        <v/>
      </c>
      <c r="K773" s="1" t="str">
        <f t="shared" si="37"/>
        <v/>
      </c>
    </row>
    <row r="774" spans="4:11" ht="15" customHeight="1">
      <c r="D774" s="6" t="s">
        <v>97</v>
      </c>
      <c r="E774" s="7"/>
      <c r="F774" s="7"/>
      <c r="G774" s="17" t="s">
        <v>185</v>
      </c>
      <c r="H774" s="17">
        <v>4</v>
      </c>
      <c r="I774" s="1">
        <f t="shared" si="38"/>
        <v>1</v>
      </c>
      <c r="J774" s="1">
        <f t="shared" si="36"/>
        <v>0</v>
      </c>
      <c r="K774" s="1">
        <f t="shared" si="37"/>
        <v>1</v>
      </c>
    </row>
    <row r="775" spans="4:11" ht="15.75" thickBot="1">
      <c r="D775" s="8"/>
      <c r="E775" s="15" t="s">
        <v>10</v>
      </c>
      <c r="F775" s="15" t="s">
        <v>23</v>
      </c>
      <c r="G775" s="17" t="s">
        <v>178</v>
      </c>
      <c r="H775" s="17"/>
      <c r="I775" s="1" t="str">
        <f t="shared" si="38"/>
        <v/>
      </c>
      <c r="J775" s="1" t="str">
        <f t="shared" si="36"/>
        <v/>
      </c>
      <c r="K775" s="1" t="str">
        <f t="shared" si="37"/>
        <v/>
      </c>
    </row>
    <row r="776" spans="4:11" ht="15" customHeight="1">
      <c r="D776" s="6" t="s">
        <v>97</v>
      </c>
      <c r="E776" s="7"/>
      <c r="F776" s="7"/>
      <c r="G776" s="17" t="s">
        <v>180</v>
      </c>
      <c r="H776" s="17">
        <v>6</v>
      </c>
      <c r="I776" s="1">
        <f t="shared" si="38"/>
        <v>-4</v>
      </c>
      <c r="J776" s="1">
        <f t="shared" si="36"/>
        <v>0</v>
      </c>
      <c r="K776" s="1">
        <f t="shared" si="37"/>
        <v>16</v>
      </c>
    </row>
    <row r="777" spans="4:11" ht="15.75" thickBot="1">
      <c r="D777" s="8"/>
      <c r="E777" s="15" t="s">
        <v>22</v>
      </c>
      <c r="F777" s="15" t="s">
        <v>25</v>
      </c>
      <c r="G777" s="17" t="s">
        <v>178</v>
      </c>
      <c r="H777" s="17"/>
      <c r="I777" s="1" t="str">
        <f t="shared" si="38"/>
        <v/>
      </c>
      <c r="J777" s="1" t="str">
        <f t="shared" si="36"/>
        <v/>
      </c>
      <c r="K777" s="1" t="str">
        <f t="shared" si="37"/>
        <v/>
      </c>
    </row>
    <row r="778" spans="4:11" ht="18" customHeight="1">
      <c r="D778" s="6" t="s">
        <v>97</v>
      </c>
      <c r="E778" s="7"/>
      <c r="F778" s="7"/>
      <c r="G778" s="17" t="s">
        <v>182</v>
      </c>
      <c r="H778" s="17">
        <v>4</v>
      </c>
      <c r="I778" s="1">
        <f t="shared" si="38"/>
        <v>-1</v>
      </c>
      <c r="J778" s="1">
        <f t="shared" si="36"/>
        <v>0</v>
      </c>
      <c r="K778" s="1">
        <f t="shared" si="37"/>
        <v>1</v>
      </c>
    </row>
    <row r="779" spans="4:11" ht="15.75" thickBot="1">
      <c r="D779" s="8"/>
      <c r="E779" s="15" t="s">
        <v>230</v>
      </c>
      <c r="F779" s="15" t="s">
        <v>20</v>
      </c>
      <c r="G779" s="17" t="s">
        <v>178</v>
      </c>
      <c r="H779" s="17"/>
      <c r="I779" s="1" t="str">
        <f t="shared" si="38"/>
        <v/>
      </c>
      <c r="J779" s="1" t="str">
        <f t="shared" si="36"/>
        <v/>
      </c>
      <c r="K779" s="1" t="str">
        <f t="shared" si="37"/>
        <v/>
      </c>
    </row>
    <row r="780" spans="4:11" ht="15" customHeight="1">
      <c r="D780" s="6" t="s">
        <v>98</v>
      </c>
      <c r="E780" s="7"/>
      <c r="F780" s="7"/>
      <c r="G780" s="17" t="s">
        <v>180</v>
      </c>
      <c r="H780" s="17">
        <v>3</v>
      </c>
      <c r="I780" s="1">
        <f t="shared" si="38"/>
        <v>-1</v>
      </c>
      <c r="J780" s="1">
        <f t="shared" si="36"/>
        <v>0</v>
      </c>
      <c r="K780" s="1">
        <f t="shared" si="37"/>
        <v>1</v>
      </c>
    </row>
    <row r="781" spans="4:11" ht="15.75" thickBot="1">
      <c r="D781" s="8"/>
      <c r="E781" s="15" t="s">
        <v>18</v>
      </c>
      <c r="F781" s="15" t="s">
        <v>11</v>
      </c>
      <c r="G781" s="17" t="s">
        <v>178</v>
      </c>
      <c r="H781" s="17"/>
      <c r="I781" s="1" t="str">
        <f t="shared" si="38"/>
        <v/>
      </c>
      <c r="J781" s="1" t="str">
        <f t="shared" si="36"/>
        <v/>
      </c>
      <c r="K781" s="1" t="str">
        <f t="shared" si="37"/>
        <v/>
      </c>
    </row>
    <row r="782" spans="4:11" ht="15" customHeight="1">
      <c r="D782" s="6" t="s">
        <v>98</v>
      </c>
      <c r="E782" s="7"/>
      <c r="F782" s="7"/>
      <c r="G782" s="17" t="s">
        <v>183</v>
      </c>
      <c r="H782" s="17">
        <v>4</v>
      </c>
      <c r="I782" s="1">
        <f t="shared" si="38"/>
        <v>2</v>
      </c>
      <c r="J782" s="1">
        <f t="shared" si="36"/>
        <v>0</v>
      </c>
      <c r="K782" s="1">
        <f t="shared" si="37"/>
        <v>4</v>
      </c>
    </row>
    <row r="783" spans="4:11" ht="15.75" thickBot="1">
      <c r="D783" s="8"/>
      <c r="E783" s="15" t="s">
        <v>39</v>
      </c>
      <c r="F783" s="15" t="s">
        <v>41</v>
      </c>
      <c r="G783" s="17" t="s">
        <v>178</v>
      </c>
      <c r="H783" s="17"/>
      <c r="I783" s="1" t="str">
        <f t="shared" si="38"/>
        <v/>
      </c>
      <c r="J783" s="1" t="str">
        <f t="shared" si="36"/>
        <v/>
      </c>
      <c r="K783" s="1" t="str">
        <f t="shared" si="37"/>
        <v/>
      </c>
    </row>
    <row r="784" spans="4:11" ht="15" customHeight="1">
      <c r="D784" s="6" t="s">
        <v>98</v>
      </c>
      <c r="E784" s="7"/>
      <c r="F784" s="7"/>
      <c r="G784" s="17" t="s">
        <v>180</v>
      </c>
      <c r="H784" s="17">
        <v>1</v>
      </c>
      <c r="I784" s="1">
        <f t="shared" si="38"/>
        <v>1</v>
      </c>
      <c r="J784" s="1">
        <f t="shared" si="36"/>
        <v>0</v>
      </c>
      <c r="K784" s="1">
        <f t="shared" si="37"/>
        <v>1</v>
      </c>
    </row>
    <row r="785" spans="4:11" ht="15.75" thickBot="1">
      <c r="D785" s="8"/>
      <c r="E785" s="15" t="s">
        <v>1</v>
      </c>
      <c r="F785" s="15" t="s">
        <v>34</v>
      </c>
      <c r="G785" s="17" t="s">
        <v>178</v>
      </c>
      <c r="H785" s="17"/>
      <c r="I785" s="1" t="str">
        <f t="shared" si="38"/>
        <v/>
      </c>
      <c r="J785" s="1" t="str">
        <f t="shared" si="36"/>
        <v/>
      </c>
      <c r="K785" s="1" t="str">
        <f t="shared" si="37"/>
        <v/>
      </c>
    </row>
    <row r="786" spans="4:11" ht="15" customHeight="1">
      <c r="D786" s="6" t="s">
        <v>98</v>
      </c>
      <c r="E786" s="7"/>
      <c r="F786" s="7"/>
      <c r="G786" s="17" t="s">
        <v>180</v>
      </c>
      <c r="H786" s="17">
        <v>5</v>
      </c>
      <c r="I786" s="1">
        <f t="shared" si="38"/>
        <v>-3</v>
      </c>
      <c r="J786" s="1">
        <f t="shared" si="36"/>
        <v>0</v>
      </c>
      <c r="K786" s="1">
        <f t="shared" si="37"/>
        <v>9</v>
      </c>
    </row>
    <row r="787" spans="4:11" ht="15.75" thickBot="1">
      <c r="D787" s="8"/>
      <c r="E787" s="15" t="s">
        <v>3</v>
      </c>
      <c r="F787" s="15" t="s">
        <v>0</v>
      </c>
      <c r="G787" s="17" t="s">
        <v>178</v>
      </c>
      <c r="H787" s="17"/>
      <c r="I787" s="1" t="str">
        <f t="shared" si="38"/>
        <v/>
      </c>
      <c r="J787" s="1" t="str">
        <f t="shared" si="36"/>
        <v/>
      </c>
      <c r="K787" s="1" t="str">
        <f t="shared" si="37"/>
        <v/>
      </c>
    </row>
    <row r="788" spans="4:11" ht="15" customHeight="1">
      <c r="D788" s="6" t="s">
        <v>98</v>
      </c>
      <c r="E788" s="7"/>
      <c r="F788" s="7"/>
      <c r="G788" s="17" t="s">
        <v>180</v>
      </c>
      <c r="H788" s="17">
        <v>3</v>
      </c>
      <c r="I788" s="1">
        <f t="shared" si="38"/>
        <v>-1</v>
      </c>
      <c r="J788" s="1">
        <f t="shared" si="36"/>
        <v>0</v>
      </c>
      <c r="K788" s="1">
        <f t="shared" si="37"/>
        <v>1</v>
      </c>
    </row>
    <row r="789" spans="4:11" ht="15.75" thickBot="1">
      <c r="D789" s="8"/>
      <c r="E789" s="15" t="s">
        <v>38</v>
      </c>
      <c r="F789" s="15" t="s">
        <v>13</v>
      </c>
      <c r="G789" s="17" t="s">
        <v>178</v>
      </c>
      <c r="H789" s="17"/>
      <c r="I789" s="1" t="str">
        <f t="shared" si="38"/>
        <v/>
      </c>
      <c r="J789" s="1" t="str">
        <f t="shared" si="36"/>
        <v/>
      </c>
      <c r="K789" s="1" t="str">
        <f t="shared" si="37"/>
        <v/>
      </c>
    </row>
    <row r="790" spans="4:11" ht="15" customHeight="1">
      <c r="D790" s="6" t="s">
        <v>98</v>
      </c>
      <c r="E790" s="7"/>
      <c r="F790" s="7"/>
      <c r="G790" s="17" t="s">
        <v>182</v>
      </c>
      <c r="H790" s="17">
        <v>1</v>
      </c>
      <c r="I790" s="1">
        <f t="shared" si="38"/>
        <v>2</v>
      </c>
      <c r="J790" s="1">
        <f t="shared" si="36"/>
        <v>0</v>
      </c>
      <c r="K790" s="1">
        <f t="shared" si="37"/>
        <v>4</v>
      </c>
    </row>
    <row r="791" spans="4:11" ht="15.75" thickBot="1">
      <c r="D791" s="8"/>
      <c r="E791" s="15" t="s">
        <v>7</v>
      </c>
      <c r="F791" s="15" t="s">
        <v>37</v>
      </c>
      <c r="G791" s="17" t="s">
        <v>178</v>
      </c>
      <c r="H791" s="17"/>
      <c r="I791" s="1" t="str">
        <f t="shared" si="38"/>
        <v/>
      </c>
      <c r="J791" s="1" t="str">
        <f t="shared" si="36"/>
        <v/>
      </c>
      <c r="K791" s="1" t="str">
        <f t="shared" si="37"/>
        <v/>
      </c>
    </row>
    <row r="792" spans="4:11" ht="18" customHeight="1">
      <c r="D792" s="6" t="s">
        <v>98</v>
      </c>
      <c r="E792" s="7"/>
      <c r="F792" s="7"/>
      <c r="G792" s="17" t="s">
        <v>180</v>
      </c>
      <c r="H792" s="17">
        <v>3</v>
      </c>
      <c r="I792" s="1">
        <f t="shared" si="38"/>
        <v>-1</v>
      </c>
      <c r="J792" s="1">
        <f t="shared" si="36"/>
        <v>-2550</v>
      </c>
      <c r="K792" s="1">
        <f t="shared" si="37"/>
        <v>6497401</v>
      </c>
    </row>
    <row r="793" spans="4:11" ht="15.75" thickBot="1">
      <c r="D793" s="8"/>
      <c r="E793" s="15" t="s">
        <v>8</v>
      </c>
      <c r="F793" s="15" t="s">
        <v>14</v>
      </c>
      <c r="G793" s="17" t="s">
        <v>178</v>
      </c>
      <c r="H793" s="17"/>
      <c r="I793" s="1" t="str">
        <f t="shared" si="38"/>
        <v/>
      </c>
      <c r="J793" s="1" t="str">
        <f t="shared" si="36"/>
        <v/>
      </c>
      <c r="K793" s="1" t="str">
        <f t="shared" si="37"/>
        <v/>
      </c>
    </row>
    <row r="794" spans="4:11" ht="15" customHeight="1">
      <c r="D794" s="6" t="s">
        <v>98</v>
      </c>
      <c r="E794" s="7"/>
      <c r="F794" s="7"/>
      <c r="G794" s="17" t="s">
        <v>184</v>
      </c>
      <c r="H794" s="17">
        <v>1</v>
      </c>
      <c r="I794" s="1">
        <f t="shared" si="38"/>
        <v>3</v>
      </c>
      <c r="J794" s="1">
        <f t="shared" si="36"/>
        <v>0</v>
      </c>
      <c r="K794" s="1">
        <f t="shared" si="37"/>
        <v>9</v>
      </c>
    </row>
    <row r="795" spans="4:11" ht="15.75" thickBot="1">
      <c r="D795" s="8"/>
      <c r="E795" s="15" t="s">
        <v>12</v>
      </c>
      <c r="F795" s="15" t="s">
        <v>36</v>
      </c>
      <c r="G795" s="17" t="s">
        <v>178</v>
      </c>
      <c r="H795" s="17"/>
      <c r="I795" s="1" t="str">
        <f t="shared" si="38"/>
        <v/>
      </c>
      <c r="J795" s="1" t="str">
        <f t="shared" si="36"/>
        <v/>
      </c>
      <c r="K795" s="1" t="str">
        <f t="shared" si="37"/>
        <v/>
      </c>
    </row>
    <row r="796" spans="4:11" ht="15" customHeight="1">
      <c r="D796" s="6" t="s">
        <v>98</v>
      </c>
      <c r="E796" s="7"/>
      <c r="F796" s="7"/>
      <c r="G796" s="17" t="s">
        <v>182</v>
      </c>
      <c r="H796" s="17">
        <v>1</v>
      </c>
      <c r="I796" s="1">
        <f t="shared" si="38"/>
        <v>2</v>
      </c>
      <c r="J796" s="1">
        <f t="shared" si="36"/>
        <v>0</v>
      </c>
      <c r="K796" s="1">
        <f t="shared" si="37"/>
        <v>4</v>
      </c>
    </row>
    <row r="797" spans="4:11" ht="15.75" thickBot="1">
      <c r="D797" s="8"/>
      <c r="E797" s="15" t="s">
        <v>20</v>
      </c>
      <c r="F797" s="15" t="s">
        <v>19</v>
      </c>
      <c r="G797" s="17" t="s">
        <v>178</v>
      </c>
      <c r="H797" s="17"/>
      <c r="I797" s="1" t="str">
        <f t="shared" si="38"/>
        <v/>
      </c>
      <c r="J797" s="1" t="str">
        <f t="shared" si="36"/>
        <v/>
      </c>
      <c r="K797" s="1" t="str">
        <f t="shared" si="37"/>
        <v/>
      </c>
    </row>
    <row r="798" spans="4:11" ht="18" customHeight="1">
      <c r="D798" s="6" t="s">
        <v>98</v>
      </c>
      <c r="E798" s="7"/>
      <c r="F798" s="7"/>
      <c r="G798" s="17" t="s">
        <v>181</v>
      </c>
      <c r="H798" s="17">
        <v>4</v>
      </c>
      <c r="I798" s="1">
        <f t="shared" si="38"/>
        <v>-3</v>
      </c>
      <c r="J798" s="1">
        <f t="shared" si="36"/>
        <v>0</v>
      </c>
      <c r="K798" s="1">
        <f t="shared" si="37"/>
        <v>9</v>
      </c>
    </row>
    <row r="799" spans="4:11" ht="15.75" thickBot="1">
      <c r="D799" s="8"/>
      <c r="E799" s="15" t="s">
        <v>230</v>
      </c>
      <c r="F799" s="15" t="s">
        <v>21</v>
      </c>
      <c r="G799" s="17" t="s">
        <v>178</v>
      </c>
      <c r="H799" s="17"/>
      <c r="I799" s="1" t="str">
        <f t="shared" si="38"/>
        <v/>
      </c>
      <c r="J799" s="1" t="str">
        <f t="shared" si="36"/>
        <v/>
      </c>
      <c r="K799" s="1" t="str">
        <f t="shared" si="37"/>
        <v/>
      </c>
    </row>
    <row r="800" spans="4:11" ht="15" customHeight="1">
      <c r="D800" s="6" t="s">
        <v>98</v>
      </c>
      <c r="E800" s="7"/>
      <c r="F800" s="7"/>
      <c r="G800" s="17" t="s">
        <v>185</v>
      </c>
      <c r="H800" s="17">
        <v>2</v>
      </c>
      <c r="I800" s="1">
        <f t="shared" si="38"/>
        <v>3</v>
      </c>
      <c r="J800" s="1">
        <f t="shared" si="36"/>
        <v>0</v>
      </c>
      <c r="K800" s="1">
        <f t="shared" si="37"/>
        <v>9</v>
      </c>
    </row>
    <row r="801" spans="4:11" ht="15.75" thickBot="1">
      <c r="D801" s="8"/>
      <c r="E801" s="15" t="s">
        <v>2</v>
      </c>
      <c r="F801" s="15" t="s">
        <v>26</v>
      </c>
      <c r="G801" s="17" t="s">
        <v>178</v>
      </c>
      <c r="H801" s="17"/>
      <c r="I801" s="1" t="str">
        <f t="shared" si="38"/>
        <v/>
      </c>
      <c r="J801" s="1" t="str">
        <f t="shared" si="36"/>
        <v/>
      </c>
      <c r="K801" s="1" t="str">
        <f t="shared" si="37"/>
        <v/>
      </c>
    </row>
    <row r="802" spans="4:11" ht="18" customHeight="1">
      <c r="D802" s="6" t="s">
        <v>98</v>
      </c>
      <c r="E802" s="7"/>
      <c r="F802" s="7"/>
      <c r="G802" s="17" t="s">
        <v>182</v>
      </c>
      <c r="H802" s="17">
        <v>2</v>
      </c>
      <c r="I802" s="1">
        <f t="shared" si="38"/>
        <v>1</v>
      </c>
      <c r="J802" s="1">
        <f t="shared" si="36"/>
        <v>0</v>
      </c>
      <c r="K802" s="1">
        <f t="shared" si="37"/>
        <v>1</v>
      </c>
    </row>
    <row r="803" spans="4:11" ht="15.75" thickBot="1">
      <c r="D803" s="8"/>
      <c r="E803" s="15" t="s">
        <v>33</v>
      </c>
      <c r="F803" s="15" t="s">
        <v>4</v>
      </c>
      <c r="G803" s="17" t="s">
        <v>178</v>
      </c>
      <c r="H803" s="17"/>
      <c r="I803" s="1" t="str">
        <f t="shared" si="38"/>
        <v/>
      </c>
      <c r="J803" s="1" t="str">
        <f t="shared" si="36"/>
        <v/>
      </c>
      <c r="K803" s="1" t="str">
        <f t="shared" si="37"/>
        <v/>
      </c>
    </row>
    <row r="804" spans="4:11" ht="15" customHeight="1">
      <c r="D804" s="6" t="s">
        <v>99</v>
      </c>
      <c r="E804" s="7"/>
      <c r="F804" s="7"/>
      <c r="G804" s="17" t="s">
        <v>184</v>
      </c>
      <c r="H804" s="17">
        <v>3</v>
      </c>
      <c r="I804" s="1">
        <f t="shared" si="38"/>
        <v>1</v>
      </c>
      <c r="J804" s="1">
        <f t="shared" si="36"/>
        <v>0</v>
      </c>
      <c r="K804" s="1">
        <f t="shared" si="37"/>
        <v>1</v>
      </c>
    </row>
    <row r="805" spans="4:11" ht="15.75" thickBot="1">
      <c r="D805" s="8"/>
      <c r="E805" s="15" t="s">
        <v>10</v>
      </c>
      <c r="F805" s="15" t="s">
        <v>25</v>
      </c>
      <c r="G805" s="17" t="s">
        <v>178</v>
      </c>
      <c r="H805" s="17"/>
      <c r="I805" s="1" t="str">
        <f t="shared" si="38"/>
        <v/>
      </c>
      <c r="J805" s="1" t="str">
        <f t="shared" si="36"/>
        <v/>
      </c>
      <c r="K805" s="1" t="str">
        <f t="shared" si="37"/>
        <v/>
      </c>
    </row>
    <row r="806" spans="4:11" ht="15" customHeight="1">
      <c r="D806" s="6" t="s">
        <v>99</v>
      </c>
      <c r="E806" s="7"/>
      <c r="F806" s="7"/>
      <c r="G806" s="17" t="s">
        <v>182</v>
      </c>
      <c r="H806" s="17">
        <v>1</v>
      </c>
      <c r="I806" s="1">
        <f t="shared" si="38"/>
        <v>2</v>
      </c>
      <c r="J806" s="1">
        <f t="shared" si="36"/>
        <v>0</v>
      </c>
      <c r="K806" s="1">
        <f t="shared" si="37"/>
        <v>4</v>
      </c>
    </row>
    <row r="807" spans="4:11" ht="15.75" thickBot="1">
      <c r="D807" s="8"/>
      <c r="E807" s="15" t="s">
        <v>13</v>
      </c>
      <c r="F807" s="15" t="s">
        <v>28</v>
      </c>
      <c r="G807" s="17" t="s">
        <v>178</v>
      </c>
      <c r="H807" s="17"/>
      <c r="I807" s="1" t="str">
        <f t="shared" si="38"/>
        <v/>
      </c>
      <c r="J807" s="1" t="str">
        <f t="shared" si="36"/>
        <v/>
      </c>
      <c r="K807" s="1" t="str">
        <f t="shared" si="37"/>
        <v/>
      </c>
    </row>
    <row r="808" spans="4:11" ht="15" customHeight="1">
      <c r="D808" s="6" t="s">
        <v>99</v>
      </c>
      <c r="E808" s="7"/>
      <c r="F808" s="7"/>
      <c r="G808" s="17" t="s">
        <v>182</v>
      </c>
      <c r="H808" s="17">
        <v>4</v>
      </c>
      <c r="I808" s="1">
        <f t="shared" si="38"/>
        <v>-1</v>
      </c>
      <c r="J808" s="1">
        <f t="shared" si="36"/>
        <v>0</v>
      </c>
      <c r="K808" s="1">
        <f t="shared" si="37"/>
        <v>1</v>
      </c>
    </row>
    <row r="809" spans="4:11" ht="15.75" thickBot="1">
      <c r="D809" s="8"/>
      <c r="E809" s="15" t="s">
        <v>3</v>
      </c>
      <c r="F809" s="15" t="s">
        <v>18</v>
      </c>
      <c r="G809" s="17" t="s">
        <v>178</v>
      </c>
      <c r="H809" s="17"/>
      <c r="I809" s="1" t="str">
        <f t="shared" si="38"/>
        <v/>
      </c>
      <c r="J809" s="1" t="str">
        <f t="shared" si="36"/>
        <v/>
      </c>
      <c r="K809" s="1" t="str">
        <f t="shared" si="37"/>
        <v/>
      </c>
    </row>
    <row r="810" spans="4:11" ht="15" customHeight="1">
      <c r="D810" s="6" t="s">
        <v>99</v>
      </c>
      <c r="E810" s="7"/>
      <c r="F810" s="7"/>
      <c r="G810" s="17" t="s">
        <v>181</v>
      </c>
      <c r="H810" s="17">
        <v>2</v>
      </c>
      <c r="I810" s="1">
        <f t="shared" si="38"/>
        <v>-1</v>
      </c>
      <c r="J810" s="1">
        <f t="shared" si="36"/>
        <v>0</v>
      </c>
      <c r="K810" s="1">
        <f t="shared" si="37"/>
        <v>1</v>
      </c>
    </row>
    <row r="811" spans="4:11" ht="15.75" thickBot="1">
      <c r="D811" s="8"/>
      <c r="E811" s="15" t="s">
        <v>33</v>
      </c>
      <c r="F811" s="15" t="s">
        <v>24</v>
      </c>
      <c r="G811" s="17" t="s">
        <v>178</v>
      </c>
      <c r="H811" s="17"/>
      <c r="I811" s="1" t="str">
        <f t="shared" si="38"/>
        <v/>
      </c>
      <c r="J811" s="1" t="str">
        <f t="shared" si="36"/>
        <v/>
      </c>
      <c r="K811" s="1" t="str">
        <f t="shared" si="37"/>
        <v/>
      </c>
    </row>
    <row r="812" spans="4:11" ht="15" customHeight="1">
      <c r="D812" s="6" t="s">
        <v>100</v>
      </c>
      <c r="E812" s="7"/>
      <c r="F812" s="7"/>
      <c r="G812" s="17" t="s">
        <v>182</v>
      </c>
      <c r="H812" s="17">
        <v>4</v>
      </c>
      <c r="I812" s="1">
        <f t="shared" si="38"/>
        <v>-1</v>
      </c>
      <c r="J812" s="1">
        <f t="shared" si="36"/>
        <v>0</v>
      </c>
      <c r="K812" s="1">
        <f t="shared" si="37"/>
        <v>1</v>
      </c>
    </row>
    <row r="813" spans="4:11" ht="15.75" thickBot="1">
      <c r="D813" s="8"/>
      <c r="E813" s="15" t="s">
        <v>11</v>
      </c>
      <c r="F813" s="15" t="s">
        <v>38</v>
      </c>
      <c r="G813" s="17" t="s">
        <v>178</v>
      </c>
      <c r="H813" s="17"/>
      <c r="I813" s="1" t="str">
        <f t="shared" si="38"/>
        <v/>
      </c>
      <c r="J813" s="1" t="str">
        <f t="shared" si="36"/>
        <v/>
      </c>
      <c r="K813" s="1" t="str">
        <f t="shared" si="37"/>
        <v/>
      </c>
    </row>
    <row r="814" spans="4:11" ht="15" customHeight="1">
      <c r="D814" s="6" t="s">
        <v>100</v>
      </c>
      <c r="E814" s="7"/>
      <c r="F814" s="7"/>
      <c r="G814" s="17" t="s">
        <v>180</v>
      </c>
      <c r="H814" s="17">
        <v>1</v>
      </c>
      <c r="I814" s="1">
        <f t="shared" si="38"/>
        <v>1</v>
      </c>
      <c r="J814" s="1">
        <f t="shared" si="36"/>
        <v>0</v>
      </c>
      <c r="K814" s="1">
        <f t="shared" si="37"/>
        <v>1</v>
      </c>
    </row>
    <row r="815" spans="4:11" ht="15.75" thickBot="1">
      <c r="D815" s="8"/>
      <c r="E815" s="15" t="s">
        <v>36</v>
      </c>
      <c r="F815" s="15" t="s">
        <v>28</v>
      </c>
      <c r="G815" s="17" t="s">
        <v>178</v>
      </c>
      <c r="H815" s="17"/>
      <c r="I815" s="1" t="str">
        <f t="shared" si="38"/>
        <v/>
      </c>
      <c r="J815" s="1" t="str">
        <f t="shared" si="36"/>
        <v/>
      </c>
      <c r="K815" s="1" t="str">
        <f t="shared" si="37"/>
        <v/>
      </c>
    </row>
    <row r="816" spans="4:11" ht="18" customHeight="1">
      <c r="D816" s="6" t="s">
        <v>100</v>
      </c>
      <c r="E816" s="7"/>
      <c r="F816" s="7"/>
      <c r="G816" s="17" t="s">
        <v>180</v>
      </c>
      <c r="H816" s="17">
        <v>4</v>
      </c>
      <c r="I816" s="1">
        <f t="shared" si="38"/>
        <v>-2</v>
      </c>
      <c r="J816" s="1">
        <f t="shared" si="36"/>
        <v>0</v>
      </c>
      <c r="K816" s="1">
        <f t="shared" si="37"/>
        <v>4</v>
      </c>
    </row>
    <row r="817" spans="4:11" ht="15.75" thickBot="1">
      <c r="D817" s="8"/>
      <c r="E817" s="15" t="s">
        <v>14</v>
      </c>
      <c r="F817" s="15" t="s">
        <v>39</v>
      </c>
      <c r="G817" s="17" t="s">
        <v>178</v>
      </c>
      <c r="H817" s="17"/>
      <c r="I817" s="1" t="str">
        <f t="shared" si="38"/>
        <v/>
      </c>
      <c r="J817" s="1" t="str">
        <f t="shared" si="36"/>
        <v/>
      </c>
      <c r="K817" s="1" t="str">
        <f t="shared" si="37"/>
        <v/>
      </c>
    </row>
    <row r="818" spans="4:11" ht="15" customHeight="1">
      <c r="D818" s="6" t="s">
        <v>101</v>
      </c>
      <c r="E818" s="7"/>
      <c r="F818" s="7"/>
      <c r="G818" s="17" t="s">
        <v>182</v>
      </c>
      <c r="H818" s="17">
        <v>2</v>
      </c>
      <c r="I818" s="1">
        <f t="shared" si="38"/>
        <v>1</v>
      </c>
      <c r="J818" s="1">
        <f t="shared" si="36"/>
        <v>0</v>
      </c>
      <c r="K818" s="1">
        <f t="shared" si="37"/>
        <v>1</v>
      </c>
    </row>
    <row r="819" spans="4:11" ht="15.75" thickBot="1">
      <c r="D819" s="8"/>
      <c r="E819" s="15" t="s">
        <v>20</v>
      </c>
      <c r="F819" s="15" t="s">
        <v>36</v>
      </c>
      <c r="G819" s="17" t="s">
        <v>178</v>
      </c>
      <c r="H819" s="17"/>
      <c r="I819" s="1" t="str">
        <f t="shared" si="38"/>
        <v/>
      </c>
      <c r="J819" s="1" t="str">
        <f t="shared" si="36"/>
        <v/>
      </c>
      <c r="K819" s="1" t="str">
        <f t="shared" si="37"/>
        <v/>
      </c>
    </row>
    <row r="820" spans="4:11" ht="15" customHeight="1">
      <c r="D820" s="6" t="s">
        <v>101</v>
      </c>
      <c r="E820" s="7"/>
      <c r="F820" s="7"/>
      <c r="G820" s="17" t="s">
        <v>180</v>
      </c>
      <c r="H820" s="17">
        <v>3</v>
      </c>
      <c r="I820" s="1">
        <f t="shared" si="38"/>
        <v>-1</v>
      </c>
      <c r="J820" s="1">
        <f t="shared" si="36"/>
        <v>0</v>
      </c>
      <c r="K820" s="1">
        <f t="shared" si="37"/>
        <v>1</v>
      </c>
    </row>
    <row r="821" spans="4:11" ht="15.75" thickBot="1">
      <c r="D821" s="8"/>
      <c r="E821" s="15" t="s">
        <v>1</v>
      </c>
      <c r="F821" s="15" t="s">
        <v>7</v>
      </c>
      <c r="G821" s="17" t="s">
        <v>178</v>
      </c>
      <c r="H821" s="17"/>
      <c r="I821" s="1" t="str">
        <f t="shared" si="38"/>
        <v/>
      </c>
      <c r="J821" s="1" t="str">
        <f t="shared" si="36"/>
        <v/>
      </c>
      <c r="K821" s="1" t="str">
        <f t="shared" si="37"/>
        <v/>
      </c>
    </row>
    <row r="822" spans="4:11" ht="15" customHeight="1">
      <c r="D822" s="6" t="s">
        <v>101</v>
      </c>
      <c r="E822" s="7"/>
      <c r="F822" s="7"/>
      <c r="G822" s="17" t="s">
        <v>179</v>
      </c>
      <c r="H822" s="17">
        <v>1</v>
      </c>
      <c r="I822" s="1">
        <f t="shared" si="38"/>
        <v>-1</v>
      </c>
      <c r="J822" s="1">
        <f t="shared" si="36"/>
        <v>2550</v>
      </c>
      <c r="K822" s="1">
        <f t="shared" si="37"/>
        <v>6507601</v>
      </c>
    </row>
    <row r="823" spans="4:11" ht="15.75" thickBot="1">
      <c r="D823" s="8"/>
      <c r="E823" s="15" t="s">
        <v>34</v>
      </c>
      <c r="F823" s="15" t="s">
        <v>8</v>
      </c>
      <c r="G823" s="17" t="s">
        <v>178</v>
      </c>
      <c r="H823" s="17"/>
      <c r="I823" s="1" t="str">
        <f t="shared" si="38"/>
        <v/>
      </c>
      <c r="J823" s="1" t="str">
        <f t="shared" si="36"/>
        <v/>
      </c>
      <c r="K823" s="1" t="str">
        <f t="shared" si="37"/>
        <v/>
      </c>
    </row>
    <row r="824" spans="4:11" ht="18" customHeight="1">
      <c r="D824" s="6" t="s">
        <v>101</v>
      </c>
      <c r="E824" s="7"/>
      <c r="F824" s="7"/>
      <c r="G824" s="17" t="s">
        <v>181</v>
      </c>
      <c r="H824" s="17">
        <v>4</v>
      </c>
      <c r="I824" s="1">
        <f t="shared" si="38"/>
        <v>-3</v>
      </c>
      <c r="J824" s="1">
        <f t="shared" si="36"/>
        <v>0</v>
      </c>
      <c r="K824" s="1">
        <f t="shared" si="37"/>
        <v>9</v>
      </c>
    </row>
    <row r="825" spans="4:11" ht="15.75" thickBot="1">
      <c r="D825" s="8"/>
      <c r="E825" s="15" t="s">
        <v>4</v>
      </c>
      <c r="F825" s="15" t="s">
        <v>0</v>
      </c>
      <c r="G825" s="17" t="s">
        <v>178</v>
      </c>
      <c r="H825" s="17"/>
      <c r="I825" s="1" t="str">
        <f t="shared" si="38"/>
        <v/>
      </c>
      <c r="J825" s="1" t="str">
        <f t="shared" si="36"/>
        <v/>
      </c>
      <c r="K825" s="1" t="str">
        <f t="shared" si="37"/>
        <v/>
      </c>
    </row>
    <row r="826" spans="4:11" ht="15" customHeight="1">
      <c r="D826" s="6" t="s">
        <v>101</v>
      </c>
      <c r="E826" s="7"/>
      <c r="F826" s="7"/>
      <c r="G826" s="17" t="s">
        <v>181</v>
      </c>
      <c r="H826" s="17">
        <v>3</v>
      </c>
      <c r="I826" s="1">
        <f t="shared" si="38"/>
        <v>-2</v>
      </c>
      <c r="J826" s="1">
        <f t="shared" si="36"/>
        <v>0</v>
      </c>
      <c r="K826" s="1">
        <f t="shared" si="37"/>
        <v>4</v>
      </c>
    </row>
    <row r="827" spans="4:11" ht="15.75" thickBot="1">
      <c r="D827" s="8"/>
      <c r="E827" s="15" t="s">
        <v>3</v>
      </c>
      <c r="F827" s="15" t="s">
        <v>230</v>
      </c>
      <c r="G827" s="17" t="s">
        <v>178</v>
      </c>
      <c r="H827" s="17"/>
      <c r="I827" s="1" t="str">
        <f t="shared" si="38"/>
        <v/>
      </c>
      <c r="J827" s="1" t="str">
        <f t="shared" si="36"/>
        <v/>
      </c>
      <c r="K827" s="1" t="str">
        <f t="shared" si="37"/>
        <v/>
      </c>
    </row>
    <row r="828" spans="4:11" ht="15" customHeight="1">
      <c r="D828" s="6" t="s">
        <v>101</v>
      </c>
      <c r="E828" s="7"/>
      <c r="F828" s="7"/>
      <c r="G828" s="17" t="s">
        <v>185</v>
      </c>
      <c r="H828" s="17">
        <v>3</v>
      </c>
      <c r="I828" s="1">
        <f t="shared" si="38"/>
        <v>2</v>
      </c>
      <c r="J828" s="1">
        <f t="shared" si="36"/>
        <v>0</v>
      </c>
      <c r="K828" s="1">
        <f t="shared" si="37"/>
        <v>4</v>
      </c>
    </row>
    <row r="829" spans="4:11" ht="15.75" thickBot="1">
      <c r="D829" s="8"/>
      <c r="E829" s="15" t="s">
        <v>12</v>
      </c>
      <c r="F829" s="15" t="s">
        <v>37</v>
      </c>
      <c r="G829" s="17" t="s">
        <v>178</v>
      </c>
      <c r="H829" s="17"/>
      <c r="I829" s="1" t="str">
        <f t="shared" si="38"/>
        <v/>
      </c>
      <c r="J829" s="1" t="str">
        <f t="shared" si="36"/>
        <v/>
      </c>
      <c r="K829" s="1" t="str">
        <f t="shared" si="37"/>
        <v/>
      </c>
    </row>
    <row r="830" spans="4:11" ht="15" customHeight="1">
      <c r="D830" s="6" t="s">
        <v>101</v>
      </c>
      <c r="E830" s="7"/>
      <c r="F830" s="7"/>
      <c r="G830" s="17" t="s">
        <v>184</v>
      </c>
      <c r="H830" s="17">
        <v>5</v>
      </c>
      <c r="I830" s="1">
        <f t="shared" si="38"/>
        <v>-1</v>
      </c>
      <c r="J830" s="1">
        <f t="shared" si="36"/>
        <v>0</v>
      </c>
      <c r="K830" s="1">
        <f t="shared" si="37"/>
        <v>1</v>
      </c>
    </row>
    <row r="831" spans="4:11" ht="15.75" thickBot="1">
      <c r="D831" s="8"/>
      <c r="E831" s="15" t="s">
        <v>41</v>
      </c>
      <c r="F831" s="15" t="s">
        <v>23</v>
      </c>
      <c r="G831" s="17" t="s">
        <v>178</v>
      </c>
      <c r="H831" s="17"/>
      <c r="I831" s="1" t="str">
        <f t="shared" si="38"/>
        <v/>
      </c>
      <c r="J831" s="1" t="str">
        <f t="shared" si="36"/>
        <v/>
      </c>
      <c r="K831" s="1" t="str">
        <f t="shared" si="37"/>
        <v/>
      </c>
    </row>
    <row r="832" spans="4:11" ht="18" customHeight="1">
      <c r="D832" s="6" t="s">
        <v>101</v>
      </c>
      <c r="E832" s="7"/>
      <c r="F832" s="7"/>
      <c r="G832" s="17" t="s">
        <v>185</v>
      </c>
      <c r="H832" s="17">
        <v>2</v>
      </c>
      <c r="I832" s="1">
        <f t="shared" si="38"/>
        <v>3</v>
      </c>
      <c r="J832" s="1">
        <f t="shared" si="36"/>
        <v>0</v>
      </c>
      <c r="K832" s="1">
        <f t="shared" si="37"/>
        <v>9</v>
      </c>
    </row>
    <row r="833" spans="4:11" ht="15.75" thickBot="1">
      <c r="D833" s="8"/>
      <c r="E833" s="15" t="s">
        <v>25</v>
      </c>
      <c r="F833" s="15" t="s">
        <v>21</v>
      </c>
      <c r="G833" s="17" t="s">
        <v>178</v>
      </c>
      <c r="H833" s="17"/>
      <c r="I833" s="1" t="str">
        <f t="shared" si="38"/>
        <v/>
      </c>
      <c r="J833" s="1" t="str">
        <f t="shared" si="36"/>
        <v/>
      </c>
      <c r="K833" s="1" t="str">
        <f t="shared" si="37"/>
        <v/>
      </c>
    </row>
    <row r="834" spans="4:11" ht="15" customHeight="1">
      <c r="D834" s="6" t="s">
        <v>101</v>
      </c>
      <c r="E834" s="7"/>
      <c r="F834" s="7"/>
      <c r="G834" s="17" t="s">
        <v>182</v>
      </c>
      <c r="H834" s="17">
        <v>0</v>
      </c>
      <c r="I834" s="1">
        <f t="shared" si="38"/>
        <v>3</v>
      </c>
      <c r="J834" s="1">
        <f t="shared" si="36"/>
        <v>0</v>
      </c>
      <c r="K834" s="1">
        <f t="shared" si="37"/>
        <v>9</v>
      </c>
    </row>
    <row r="835" spans="4:11" ht="15.75" thickBot="1">
      <c r="D835" s="8"/>
      <c r="E835" s="15" t="s">
        <v>19</v>
      </c>
      <c r="F835" s="15" t="s">
        <v>22</v>
      </c>
      <c r="G835" s="17" t="s">
        <v>178</v>
      </c>
      <c r="H835" s="17"/>
      <c r="I835" s="1" t="str">
        <f t="shared" si="38"/>
        <v/>
      </c>
      <c r="J835" s="1" t="str">
        <f t="shared" ref="J835:J898" si="39">IF(F836="","",VLOOKUP(F836,$A$2:$B$31,2)+$B$33-VLOOKUP(E836,$A$2:$B$31,2))</f>
        <v/>
      </c>
      <c r="K835" s="1" t="str">
        <f t="shared" ref="K835:K898" si="40">IF(G835="","",(I835-J835)^2)</f>
        <v/>
      </c>
    </row>
    <row r="836" spans="4:11" ht="15" customHeight="1">
      <c r="D836" s="6" t="s">
        <v>101</v>
      </c>
      <c r="E836" s="7"/>
      <c r="F836" s="7"/>
      <c r="G836" s="17" t="s">
        <v>180</v>
      </c>
      <c r="H836" s="17">
        <v>5</v>
      </c>
      <c r="I836" s="1">
        <f t="shared" ref="I836:I899" si="41">IF(G836="","",G836-H836)</f>
        <v>-3</v>
      </c>
      <c r="J836" s="1">
        <f t="shared" si="39"/>
        <v>0</v>
      </c>
      <c r="K836" s="1">
        <f t="shared" si="40"/>
        <v>9</v>
      </c>
    </row>
    <row r="837" spans="4:11" ht="15.75" thickBot="1">
      <c r="D837" s="8"/>
      <c r="E837" s="15" t="s">
        <v>24</v>
      </c>
      <c r="F837" s="15" t="s">
        <v>33</v>
      </c>
      <c r="G837" s="17" t="s">
        <v>178</v>
      </c>
      <c r="H837" s="17"/>
      <c r="I837" s="1" t="str">
        <f t="shared" si="41"/>
        <v/>
      </c>
      <c r="J837" s="1" t="str">
        <f t="shared" si="39"/>
        <v/>
      </c>
      <c r="K837" s="1" t="str">
        <f t="shared" si="40"/>
        <v/>
      </c>
    </row>
    <row r="838" spans="4:11" ht="18" customHeight="1">
      <c r="D838" s="6" t="s">
        <v>102</v>
      </c>
      <c r="E838" s="7"/>
      <c r="F838" s="7"/>
      <c r="G838" s="17" t="s">
        <v>180</v>
      </c>
      <c r="H838" s="17">
        <v>1</v>
      </c>
      <c r="I838" s="1">
        <f t="shared" si="41"/>
        <v>1</v>
      </c>
      <c r="J838" s="1">
        <f t="shared" si="39"/>
        <v>0</v>
      </c>
      <c r="K838" s="1">
        <f t="shared" si="40"/>
        <v>1</v>
      </c>
    </row>
    <row r="839" spans="4:11" ht="15.75" thickBot="1">
      <c r="D839" s="8"/>
      <c r="E839" s="15" t="s">
        <v>0</v>
      </c>
      <c r="F839" s="15" t="s">
        <v>13</v>
      </c>
      <c r="G839" s="17" t="s">
        <v>178</v>
      </c>
      <c r="H839" s="17"/>
      <c r="I839" s="1" t="str">
        <f t="shared" si="41"/>
        <v/>
      </c>
      <c r="J839" s="1" t="str">
        <f t="shared" si="39"/>
        <v/>
      </c>
      <c r="K839" s="1" t="str">
        <f t="shared" si="40"/>
        <v/>
      </c>
    </row>
    <row r="840" spans="4:11" ht="15" customHeight="1">
      <c r="D840" s="6" t="s">
        <v>102</v>
      </c>
      <c r="E840" s="7"/>
      <c r="F840" s="7"/>
      <c r="G840" s="17" t="s">
        <v>181</v>
      </c>
      <c r="H840" s="17">
        <v>2</v>
      </c>
      <c r="I840" s="1">
        <f t="shared" si="41"/>
        <v>-1</v>
      </c>
      <c r="J840" s="1">
        <f t="shared" si="39"/>
        <v>0</v>
      </c>
      <c r="K840" s="1">
        <f t="shared" si="40"/>
        <v>1</v>
      </c>
    </row>
    <row r="841" spans="4:11" ht="15.75" thickBot="1">
      <c r="D841" s="8"/>
      <c r="E841" s="15" t="s">
        <v>24</v>
      </c>
      <c r="F841" s="15" t="s">
        <v>10</v>
      </c>
      <c r="G841" s="17" t="s">
        <v>178</v>
      </c>
      <c r="H841" s="17"/>
      <c r="I841" s="1" t="str">
        <f t="shared" si="41"/>
        <v/>
      </c>
      <c r="J841" s="1" t="str">
        <f t="shared" si="39"/>
        <v/>
      </c>
      <c r="K841" s="1" t="str">
        <f t="shared" si="40"/>
        <v/>
      </c>
    </row>
    <row r="842" spans="4:11" ht="18" customHeight="1">
      <c r="D842" s="6" t="s">
        <v>103</v>
      </c>
      <c r="E842" s="7"/>
      <c r="F842" s="7"/>
      <c r="G842" s="17" t="s">
        <v>182</v>
      </c>
      <c r="H842" s="17">
        <v>2</v>
      </c>
      <c r="I842" s="1">
        <f t="shared" si="41"/>
        <v>1</v>
      </c>
      <c r="J842" s="1">
        <f t="shared" si="39"/>
        <v>0</v>
      </c>
      <c r="K842" s="1">
        <f t="shared" si="40"/>
        <v>1</v>
      </c>
    </row>
    <row r="843" spans="4:11" ht="15.75" thickBot="1">
      <c r="D843" s="8"/>
      <c r="E843" s="15" t="s">
        <v>20</v>
      </c>
      <c r="F843" s="15" t="s">
        <v>2</v>
      </c>
      <c r="G843" s="17" t="s">
        <v>178</v>
      </c>
      <c r="H843" s="17"/>
      <c r="I843" s="1" t="str">
        <f t="shared" si="41"/>
        <v/>
      </c>
      <c r="J843" s="1" t="str">
        <f t="shared" si="39"/>
        <v/>
      </c>
      <c r="K843" s="1" t="str">
        <f t="shared" si="40"/>
        <v/>
      </c>
    </row>
    <row r="844" spans="4:11" ht="18" customHeight="1">
      <c r="D844" s="6" t="s">
        <v>103</v>
      </c>
      <c r="E844" s="7"/>
      <c r="F844" s="7"/>
      <c r="G844" s="17" t="s">
        <v>182</v>
      </c>
      <c r="H844" s="17">
        <v>4</v>
      </c>
      <c r="I844" s="1">
        <f t="shared" si="41"/>
        <v>-1</v>
      </c>
      <c r="J844" s="1">
        <f t="shared" si="39"/>
        <v>2550</v>
      </c>
      <c r="K844" s="1">
        <f t="shared" si="40"/>
        <v>6507601</v>
      </c>
    </row>
    <row r="845" spans="4:11" ht="15.75" thickBot="1">
      <c r="D845" s="8"/>
      <c r="E845" s="15" t="s">
        <v>4</v>
      </c>
      <c r="F845" s="15" t="s">
        <v>8</v>
      </c>
      <c r="G845" s="17" t="s">
        <v>178</v>
      </c>
      <c r="H845" s="17"/>
      <c r="I845" s="1" t="str">
        <f t="shared" si="41"/>
        <v/>
      </c>
      <c r="J845" s="1" t="str">
        <f t="shared" si="39"/>
        <v/>
      </c>
      <c r="K845" s="1" t="str">
        <f t="shared" si="40"/>
        <v/>
      </c>
    </row>
    <row r="846" spans="4:11" ht="15" customHeight="1">
      <c r="D846" s="6" t="s">
        <v>103</v>
      </c>
      <c r="E846" s="7"/>
      <c r="F846" s="7"/>
      <c r="G846" s="17" t="s">
        <v>181</v>
      </c>
      <c r="H846" s="17">
        <v>4</v>
      </c>
      <c r="I846" s="1">
        <f t="shared" si="41"/>
        <v>-3</v>
      </c>
      <c r="J846" s="1">
        <f t="shared" si="39"/>
        <v>0</v>
      </c>
      <c r="K846" s="1">
        <f t="shared" si="40"/>
        <v>9</v>
      </c>
    </row>
    <row r="847" spans="4:11" ht="30.75" thickBot="1">
      <c r="D847" s="8"/>
      <c r="E847" s="15" t="s">
        <v>36</v>
      </c>
      <c r="F847" s="15" t="s">
        <v>1</v>
      </c>
      <c r="G847" s="17" t="s">
        <v>178</v>
      </c>
      <c r="H847" s="17"/>
      <c r="I847" s="1" t="str">
        <f t="shared" si="41"/>
        <v/>
      </c>
      <c r="J847" s="1" t="str">
        <f t="shared" si="39"/>
        <v/>
      </c>
      <c r="K847" s="1" t="str">
        <f t="shared" si="40"/>
        <v/>
      </c>
    </row>
    <row r="848" spans="4:11" ht="15" customHeight="1">
      <c r="D848" s="6" t="s">
        <v>103</v>
      </c>
      <c r="E848" s="7"/>
      <c r="F848" s="7"/>
      <c r="G848" s="17" t="s">
        <v>182</v>
      </c>
      <c r="H848" s="17">
        <v>2</v>
      </c>
      <c r="I848" s="1">
        <f t="shared" si="41"/>
        <v>1</v>
      </c>
      <c r="J848" s="1">
        <f t="shared" si="39"/>
        <v>0</v>
      </c>
      <c r="K848" s="1">
        <f t="shared" si="40"/>
        <v>1</v>
      </c>
    </row>
    <row r="849" spans="4:11" ht="30.75" thickBot="1">
      <c r="D849" s="8"/>
      <c r="E849" s="15" t="s">
        <v>7</v>
      </c>
      <c r="F849" s="15" t="s">
        <v>12</v>
      </c>
      <c r="G849" s="17" t="s">
        <v>178</v>
      </c>
      <c r="H849" s="17"/>
      <c r="I849" s="1" t="str">
        <f t="shared" si="41"/>
        <v/>
      </c>
      <c r="J849" s="1" t="str">
        <f t="shared" si="39"/>
        <v/>
      </c>
      <c r="K849" s="1" t="str">
        <f t="shared" si="40"/>
        <v/>
      </c>
    </row>
    <row r="850" spans="4:11" ht="15" customHeight="1">
      <c r="D850" s="6" t="s">
        <v>103</v>
      </c>
      <c r="E850" s="7"/>
      <c r="F850" s="7"/>
      <c r="G850" s="17" t="s">
        <v>185</v>
      </c>
      <c r="H850" s="17">
        <v>3</v>
      </c>
      <c r="I850" s="1">
        <f t="shared" si="41"/>
        <v>2</v>
      </c>
      <c r="J850" s="1">
        <f t="shared" si="39"/>
        <v>0</v>
      </c>
      <c r="K850" s="1">
        <f t="shared" si="40"/>
        <v>4</v>
      </c>
    </row>
    <row r="851" spans="4:11" ht="15.75" thickBot="1">
      <c r="D851" s="8"/>
      <c r="E851" s="15" t="s">
        <v>34</v>
      </c>
      <c r="F851" s="15" t="s">
        <v>18</v>
      </c>
      <c r="G851" s="17" t="s">
        <v>178</v>
      </c>
      <c r="H851" s="17"/>
      <c r="I851" s="1" t="str">
        <f t="shared" si="41"/>
        <v/>
      </c>
      <c r="J851" s="1" t="str">
        <f t="shared" si="39"/>
        <v/>
      </c>
      <c r="K851" s="1" t="str">
        <f t="shared" si="40"/>
        <v/>
      </c>
    </row>
    <row r="852" spans="4:11" ht="15" customHeight="1">
      <c r="D852" s="6" t="s">
        <v>103</v>
      </c>
      <c r="E852" s="7"/>
      <c r="F852" s="7"/>
      <c r="G852" s="17" t="s">
        <v>181</v>
      </c>
      <c r="H852" s="17">
        <v>2</v>
      </c>
      <c r="I852" s="1">
        <f t="shared" si="41"/>
        <v>-1</v>
      </c>
      <c r="J852" s="1">
        <f t="shared" si="39"/>
        <v>0</v>
      </c>
      <c r="K852" s="1">
        <f t="shared" si="40"/>
        <v>1</v>
      </c>
    </row>
    <row r="853" spans="4:11" ht="15.75" thickBot="1">
      <c r="D853" s="8"/>
      <c r="E853" s="15" t="s">
        <v>28</v>
      </c>
      <c r="F853" s="15" t="s">
        <v>37</v>
      </c>
      <c r="G853" s="17" t="s">
        <v>178</v>
      </c>
      <c r="H853" s="17"/>
      <c r="I853" s="1" t="str">
        <f t="shared" si="41"/>
        <v/>
      </c>
      <c r="J853" s="1" t="str">
        <f t="shared" si="39"/>
        <v/>
      </c>
      <c r="K853" s="1" t="str">
        <f t="shared" si="40"/>
        <v/>
      </c>
    </row>
    <row r="854" spans="4:11" ht="15" customHeight="1">
      <c r="D854" s="6" t="s">
        <v>103</v>
      </c>
      <c r="E854" s="7"/>
      <c r="F854" s="7"/>
      <c r="G854" s="17" t="s">
        <v>182</v>
      </c>
      <c r="H854" s="17">
        <v>6</v>
      </c>
      <c r="I854" s="1">
        <f t="shared" si="41"/>
        <v>-3</v>
      </c>
      <c r="J854" s="1">
        <f t="shared" si="39"/>
        <v>0</v>
      </c>
      <c r="K854" s="1">
        <f t="shared" si="40"/>
        <v>9</v>
      </c>
    </row>
    <row r="855" spans="4:11" ht="15.75" thickBot="1">
      <c r="D855" s="8"/>
      <c r="E855" s="15" t="s">
        <v>41</v>
      </c>
      <c r="F855" s="15" t="s">
        <v>39</v>
      </c>
      <c r="G855" s="17" t="s">
        <v>178</v>
      </c>
      <c r="H855" s="17"/>
      <c r="I855" s="1" t="str">
        <f t="shared" si="41"/>
        <v/>
      </c>
      <c r="J855" s="1" t="str">
        <f t="shared" si="39"/>
        <v/>
      </c>
      <c r="K855" s="1" t="str">
        <f t="shared" si="40"/>
        <v/>
      </c>
    </row>
    <row r="856" spans="4:11" ht="15" customHeight="1">
      <c r="D856" s="6" t="s">
        <v>103</v>
      </c>
      <c r="E856" s="7"/>
      <c r="F856" s="7"/>
      <c r="G856" s="17" t="s">
        <v>182</v>
      </c>
      <c r="H856" s="17">
        <v>4</v>
      </c>
      <c r="I856" s="1">
        <f t="shared" si="41"/>
        <v>-1</v>
      </c>
      <c r="J856" s="1">
        <f t="shared" si="39"/>
        <v>0</v>
      </c>
      <c r="K856" s="1">
        <f t="shared" si="40"/>
        <v>1</v>
      </c>
    </row>
    <row r="857" spans="4:11" ht="15.75" thickBot="1">
      <c r="D857" s="8"/>
      <c r="E857" s="15" t="s">
        <v>25</v>
      </c>
      <c r="F857" s="15" t="s">
        <v>22</v>
      </c>
      <c r="G857" s="17" t="s">
        <v>178</v>
      </c>
      <c r="H857" s="17"/>
      <c r="I857" s="1" t="str">
        <f t="shared" si="41"/>
        <v/>
      </c>
      <c r="J857" s="1" t="str">
        <f t="shared" si="39"/>
        <v/>
      </c>
      <c r="K857" s="1" t="str">
        <f t="shared" si="40"/>
        <v/>
      </c>
    </row>
    <row r="858" spans="4:11" ht="15" customHeight="1">
      <c r="D858" s="6" t="s">
        <v>103</v>
      </c>
      <c r="E858" s="7"/>
      <c r="F858" s="7"/>
      <c r="G858" s="17" t="s">
        <v>185</v>
      </c>
      <c r="H858" s="17">
        <v>1</v>
      </c>
      <c r="I858" s="1">
        <f t="shared" si="41"/>
        <v>4</v>
      </c>
      <c r="J858" s="1">
        <f t="shared" si="39"/>
        <v>0</v>
      </c>
      <c r="K858" s="1">
        <f t="shared" si="40"/>
        <v>16</v>
      </c>
    </row>
    <row r="859" spans="4:11" ht="15.75" thickBot="1">
      <c r="D859" s="8"/>
      <c r="E859" s="15" t="s">
        <v>19</v>
      </c>
      <c r="F859" s="15" t="s">
        <v>26</v>
      </c>
      <c r="G859" s="17" t="s">
        <v>178</v>
      </c>
      <c r="H859" s="17"/>
      <c r="I859" s="1" t="str">
        <f t="shared" si="41"/>
        <v/>
      </c>
      <c r="J859" s="1" t="str">
        <f t="shared" si="39"/>
        <v/>
      </c>
      <c r="K859" s="1" t="str">
        <f t="shared" si="40"/>
        <v/>
      </c>
    </row>
    <row r="860" spans="4:11" ht="15" customHeight="1">
      <c r="D860" s="6" t="s">
        <v>103</v>
      </c>
      <c r="E860" s="7"/>
      <c r="F860" s="7"/>
      <c r="G860" s="17" t="s">
        <v>181</v>
      </c>
      <c r="H860" s="17">
        <v>2</v>
      </c>
      <c r="I860" s="1">
        <f t="shared" si="41"/>
        <v>-1</v>
      </c>
      <c r="J860" s="1">
        <f t="shared" si="39"/>
        <v>0</v>
      </c>
      <c r="K860" s="1">
        <f t="shared" si="40"/>
        <v>1</v>
      </c>
    </row>
    <row r="861" spans="4:11" ht="15.75" thickBot="1">
      <c r="D861" s="8"/>
      <c r="E861" s="15" t="s">
        <v>23</v>
      </c>
      <c r="F861" s="15" t="s">
        <v>33</v>
      </c>
      <c r="G861" s="17" t="s">
        <v>178</v>
      </c>
      <c r="H861" s="17"/>
      <c r="I861" s="1" t="str">
        <f t="shared" si="41"/>
        <v/>
      </c>
      <c r="J861" s="1" t="str">
        <f t="shared" si="39"/>
        <v/>
      </c>
      <c r="K861" s="1" t="str">
        <f t="shared" si="40"/>
        <v/>
      </c>
    </row>
    <row r="862" spans="4:11" ht="15" customHeight="1">
      <c r="D862" s="6" t="s">
        <v>104</v>
      </c>
      <c r="E862" s="7"/>
      <c r="F862" s="7"/>
      <c r="G862" s="17" t="s">
        <v>181</v>
      </c>
      <c r="H862" s="17">
        <v>3</v>
      </c>
      <c r="I862" s="1">
        <f t="shared" si="41"/>
        <v>-2</v>
      </c>
      <c r="J862" s="1">
        <f t="shared" si="39"/>
        <v>0</v>
      </c>
      <c r="K862" s="1">
        <f t="shared" si="40"/>
        <v>4</v>
      </c>
    </row>
    <row r="863" spans="4:11" ht="15.75" thickBot="1">
      <c r="D863" s="8"/>
      <c r="E863" s="15" t="s">
        <v>4</v>
      </c>
      <c r="F863" s="15" t="s">
        <v>11</v>
      </c>
      <c r="G863" s="17" t="s">
        <v>178</v>
      </c>
      <c r="H863" s="17"/>
      <c r="I863" s="1" t="str">
        <f t="shared" si="41"/>
        <v/>
      </c>
      <c r="J863" s="1" t="str">
        <f t="shared" si="39"/>
        <v/>
      </c>
      <c r="K863" s="1" t="str">
        <f t="shared" si="40"/>
        <v/>
      </c>
    </row>
    <row r="864" spans="4:11" ht="15" customHeight="1">
      <c r="D864" s="6" t="s">
        <v>104</v>
      </c>
      <c r="E864" s="7"/>
      <c r="F864" s="7"/>
      <c r="G864" s="17" t="s">
        <v>180</v>
      </c>
      <c r="H864" s="17">
        <v>6</v>
      </c>
      <c r="I864" s="1">
        <f t="shared" si="41"/>
        <v>-4</v>
      </c>
      <c r="J864" s="1">
        <f t="shared" si="39"/>
        <v>0</v>
      </c>
      <c r="K864" s="1">
        <f t="shared" si="40"/>
        <v>16</v>
      </c>
    </row>
    <row r="865" spans="4:11" ht="15.75" thickBot="1">
      <c r="D865" s="8"/>
      <c r="E865" s="15" t="s">
        <v>34</v>
      </c>
      <c r="F865" s="15" t="s">
        <v>230</v>
      </c>
      <c r="G865" s="17" t="s">
        <v>178</v>
      </c>
      <c r="H865" s="17"/>
      <c r="I865" s="1" t="str">
        <f t="shared" si="41"/>
        <v/>
      </c>
      <c r="J865" s="1" t="str">
        <f t="shared" si="39"/>
        <v/>
      </c>
      <c r="K865" s="1" t="str">
        <f t="shared" si="40"/>
        <v/>
      </c>
    </row>
    <row r="866" spans="4:11" ht="18" customHeight="1">
      <c r="D866" s="6" t="s">
        <v>104</v>
      </c>
      <c r="E866" s="7"/>
      <c r="F866" s="7"/>
      <c r="G866" s="17" t="s">
        <v>182</v>
      </c>
      <c r="H866" s="17">
        <v>2</v>
      </c>
      <c r="I866" s="1">
        <f t="shared" si="41"/>
        <v>1</v>
      </c>
      <c r="J866" s="1">
        <f t="shared" si="39"/>
        <v>0</v>
      </c>
      <c r="K866" s="1">
        <f t="shared" si="40"/>
        <v>1</v>
      </c>
    </row>
    <row r="867" spans="4:11" ht="15.75" thickBot="1">
      <c r="D867" s="8"/>
      <c r="E867" s="15" t="s">
        <v>14</v>
      </c>
      <c r="F867" s="15" t="s">
        <v>13</v>
      </c>
      <c r="G867" s="17" t="s">
        <v>178</v>
      </c>
      <c r="H867" s="17"/>
      <c r="I867" s="1" t="str">
        <f t="shared" si="41"/>
        <v/>
      </c>
      <c r="J867" s="1" t="str">
        <f t="shared" si="39"/>
        <v/>
      </c>
      <c r="K867" s="1" t="str">
        <f t="shared" si="40"/>
        <v/>
      </c>
    </row>
    <row r="868" spans="4:11" ht="15" customHeight="1">
      <c r="D868" s="6" t="s">
        <v>104</v>
      </c>
      <c r="E868" s="7"/>
      <c r="F868" s="7"/>
      <c r="G868" s="17" t="s">
        <v>184</v>
      </c>
      <c r="H868" s="17">
        <v>2</v>
      </c>
      <c r="I868" s="1">
        <f t="shared" si="41"/>
        <v>2</v>
      </c>
      <c r="J868" s="1">
        <f t="shared" si="39"/>
        <v>0</v>
      </c>
      <c r="K868" s="1">
        <f t="shared" si="40"/>
        <v>4</v>
      </c>
    </row>
    <row r="869" spans="4:11" ht="15.75" thickBot="1">
      <c r="D869" s="8"/>
      <c r="E869" s="15" t="s">
        <v>10</v>
      </c>
      <c r="F869" s="15" t="s">
        <v>24</v>
      </c>
      <c r="G869" s="17" t="s">
        <v>178</v>
      </c>
      <c r="H869" s="17"/>
      <c r="I869" s="1" t="str">
        <f t="shared" si="41"/>
        <v/>
      </c>
      <c r="J869" s="1" t="str">
        <f t="shared" si="39"/>
        <v/>
      </c>
      <c r="K869" s="1" t="str">
        <f t="shared" si="40"/>
        <v/>
      </c>
    </row>
    <row r="870" spans="4:11" ht="18" customHeight="1">
      <c r="D870" s="6" t="s">
        <v>105</v>
      </c>
      <c r="E870" s="7"/>
      <c r="F870" s="7"/>
      <c r="G870" s="17" t="s">
        <v>182</v>
      </c>
      <c r="H870" s="17">
        <v>2</v>
      </c>
      <c r="I870" s="1">
        <f t="shared" si="41"/>
        <v>1</v>
      </c>
      <c r="J870" s="1">
        <f t="shared" si="39"/>
        <v>0</v>
      </c>
      <c r="K870" s="1">
        <f t="shared" si="40"/>
        <v>1</v>
      </c>
    </row>
    <row r="871" spans="4:11" ht="15.75" thickBot="1">
      <c r="D871" s="8"/>
      <c r="E871" s="15" t="s">
        <v>18</v>
      </c>
      <c r="F871" s="15" t="s">
        <v>2</v>
      </c>
      <c r="G871" s="17" t="s">
        <v>178</v>
      </c>
      <c r="H871" s="17"/>
      <c r="I871" s="1" t="str">
        <f t="shared" si="41"/>
        <v/>
      </c>
      <c r="J871" s="1" t="str">
        <f t="shared" si="39"/>
        <v/>
      </c>
      <c r="K871" s="1" t="str">
        <f t="shared" si="40"/>
        <v/>
      </c>
    </row>
    <row r="872" spans="4:11" ht="15" customHeight="1">
      <c r="D872" s="6" t="s">
        <v>105</v>
      </c>
      <c r="E872" s="7"/>
      <c r="F872" s="7"/>
      <c r="G872" s="17" t="s">
        <v>181</v>
      </c>
      <c r="H872" s="17">
        <v>5</v>
      </c>
      <c r="I872" s="1">
        <f t="shared" si="41"/>
        <v>-4</v>
      </c>
      <c r="J872" s="1">
        <f t="shared" si="39"/>
        <v>0</v>
      </c>
      <c r="K872" s="1">
        <f t="shared" si="40"/>
        <v>16</v>
      </c>
    </row>
    <row r="873" spans="4:11" ht="30.75" thickBot="1">
      <c r="D873" s="8"/>
      <c r="E873" s="15" t="s">
        <v>28</v>
      </c>
      <c r="F873" s="15" t="s">
        <v>1</v>
      </c>
      <c r="G873" s="17" t="s">
        <v>178</v>
      </c>
      <c r="H873" s="17"/>
      <c r="I873" s="1" t="str">
        <f t="shared" si="41"/>
        <v/>
      </c>
      <c r="J873" s="1" t="str">
        <f t="shared" si="39"/>
        <v/>
      </c>
      <c r="K873" s="1" t="str">
        <f t="shared" si="40"/>
        <v/>
      </c>
    </row>
    <row r="874" spans="4:11" ht="18" customHeight="1">
      <c r="D874" s="6" t="s">
        <v>105</v>
      </c>
      <c r="E874" s="7"/>
      <c r="F874" s="7"/>
      <c r="G874" s="17" t="s">
        <v>182</v>
      </c>
      <c r="H874" s="17">
        <v>4</v>
      </c>
      <c r="I874" s="1">
        <f t="shared" si="41"/>
        <v>-1</v>
      </c>
      <c r="J874" s="1">
        <f t="shared" si="39"/>
        <v>2550</v>
      </c>
      <c r="K874" s="1">
        <f t="shared" si="40"/>
        <v>6507601</v>
      </c>
    </row>
    <row r="875" spans="4:11" ht="15.75" thickBot="1">
      <c r="D875" s="8"/>
      <c r="E875" s="15" t="s">
        <v>14</v>
      </c>
      <c r="F875" s="15" t="s">
        <v>8</v>
      </c>
      <c r="G875" s="17" t="s">
        <v>178</v>
      </c>
      <c r="H875" s="17"/>
      <c r="I875" s="1" t="str">
        <f t="shared" si="41"/>
        <v/>
      </c>
      <c r="J875" s="1" t="str">
        <f t="shared" si="39"/>
        <v/>
      </c>
      <c r="K875" s="1" t="str">
        <f t="shared" si="40"/>
        <v/>
      </c>
    </row>
    <row r="876" spans="4:11" ht="18" customHeight="1">
      <c r="D876" s="6" t="s">
        <v>105</v>
      </c>
      <c r="E876" s="7"/>
      <c r="F876" s="7"/>
      <c r="G876" s="17" t="s">
        <v>181</v>
      </c>
      <c r="H876" s="17">
        <v>4</v>
      </c>
      <c r="I876" s="1">
        <f t="shared" si="41"/>
        <v>-3</v>
      </c>
      <c r="J876" s="1">
        <f t="shared" si="39"/>
        <v>0</v>
      </c>
      <c r="K876" s="1">
        <f t="shared" si="40"/>
        <v>9</v>
      </c>
    </row>
    <row r="877" spans="4:11" ht="15.75" thickBot="1">
      <c r="D877" s="8"/>
      <c r="E877" s="15" t="s">
        <v>13</v>
      </c>
      <c r="F877" s="15" t="s">
        <v>0</v>
      </c>
      <c r="G877" s="17" t="s">
        <v>178</v>
      </c>
      <c r="H877" s="17"/>
      <c r="I877" s="1" t="str">
        <f t="shared" si="41"/>
        <v/>
      </c>
      <c r="J877" s="1" t="str">
        <f t="shared" si="39"/>
        <v/>
      </c>
      <c r="K877" s="1" t="str">
        <f t="shared" si="40"/>
        <v/>
      </c>
    </row>
    <row r="878" spans="4:11" ht="15" customHeight="1">
      <c r="D878" s="6" t="s">
        <v>105</v>
      </c>
      <c r="E878" s="7"/>
      <c r="F878" s="7"/>
      <c r="G878" s="17" t="s">
        <v>180</v>
      </c>
      <c r="H878" s="17">
        <v>3</v>
      </c>
      <c r="I878" s="1">
        <f t="shared" si="41"/>
        <v>-1</v>
      </c>
      <c r="J878" s="1">
        <f t="shared" si="39"/>
        <v>0</v>
      </c>
      <c r="K878" s="1">
        <f t="shared" si="40"/>
        <v>1</v>
      </c>
    </row>
    <row r="879" spans="4:11" ht="15.75" thickBot="1">
      <c r="D879" s="8"/>
      <c r="E879" s="15" t="s">
        <v>20</v>
      </c>
      <c r="F879" s="15" t="s">
        <v>41</v>
      </c>
      <c r="G879" s="17" t="s">
        <v>178</v>
      </c>
      <c r="H879" s="17"/>
      <c r="I879" s="1" t="str">
        <f t="shared" si="41"/>
        <v/>
      </c>
      <c r="J879" s="1" t="str">
        <f t="shared" si="39"/>
        <v/>
      </c>
      <c r="K879" s="1" t="str">
        <f t="shared" si="40"/>
        <v/>
      </c>
    </row>
    <row r="880" spans="4:11" ht="15" customHeight="1">
      <c r="D880" s="6" t="s">
        <v>105</v>
      </c>
      <c r="E880" s="7"/>
      <c r="F880" s="7"/>
      <c r="G880" s="17" t="s">
        <v>180</v>
      </c>
      <c r="H880" s="17">
        <v>4</v>
      </c>
      <c r="I880" s="1">
        <f t="shared" si="41"/>
        <v>-2</v>
      </c>
      <c r="J880" s="1">
        <f t="shared" si="39"/>
        <v>0</v>
      </c>
      <c r="K880" s="1">
        <f t="shared" si="40"/>
        <v>4</v>
      </c>
    </row>
    <row r="881" spans="4:11" ht="30.75" thickBot="1">
      <c r="D881" s="8"/>
      <c r="E881" s="15" t="s">
        <v>37</v>
      </c>
      <c r="F881" s="15" t="s">
        <v>12</v>
      </c>
      <c r="G881" s="17" t="s">
        <v>178</v>
      </c>
      <c r="H881" s="17"/>
      <c r="I881" s="1" t="str">
        <f t="shared" si="41"/>
        <v/>
      </c>
      <c r="J881" s="1" t="str">
        <f t="shared" si="39"/>
        <v/>
      </c>
      <c r="K881" s="1" t="str">
        <f t="shared" si="40"/>
        <v/>
      </c>
    </row>
    <row r="882" spans="4:11" ht="15" customHeight="1">
      <c r="D882" s="6" t="s">
        <v>105</v>
      </c>
      <c r="E882" s="7"/>
      <c r="F882" s="7"/>
      <c r="G882" s="17" t="s">
        <v>182</v>
      </c>
      <c r="H882" s="17">
        <v>4</v>
      </c>
      <c r="I882" s="1">
        <f t="shared" si="41"/>
        <v>-1</v>
      </c>
      <c r="J882" s="1">
        <f t="shared" si="39"/>
        <v>0</v>
      </c>
      <c r="K882" s="1">
        <f t="shared" si="40"/>
        <v>1</v>
      </c>
    </row>
    <row r="883" spans="4:11" ht="15.75" thickBot="1">
      <c r="D883" s="8"/>
      <c r="E883" s="15" t="s">
        <v>11</v>
      </c>
      <c r="F883" s="15" t="s">
        <v>7</v>
      </c>
      <c r="G883" s="17" t="s">
        <v>178</v>
      </c>
      <c r="H883" s="17"/>
      <c r="I883" s="1" t="str">
        <f t="shared" si="41"/>
        <v/>
      </c>
      <c r="J883" s="1" t="str">
        <f t="shared" si="39"/>
        <v/>
      </c>
      <c r="K883" s="1" t="str">
        <f t="shared" si="40"/>
        <v/>
      </c>
    </row>
    <row r="884" spans="4:11" ht="15" customHeight="1">
      <c r="D884" s="6" t="s">
        <v>105</v>
      </c>
      <c r="E884" s="7"/>
      <c r="F884" s="7"/>
      <c r="G884" s="17" t="s">
        <v>184</v>
      </c>
      <c r="H884" s="17">
        <v>1</v>
      </c>
      <c r="I884" s="1">
        <f t="shared" si="41"/>
        <v>3</v>
      </c>
      <c r="J884" s="1">
        <f t="shared" si="39"/>
        <v>0</v>
      </c>
      <c r="K884" s="1">
        <f t="shared" si="40"/>
        <v>9</v>
      </c>
    </row>
    <row r="885" spans="4:11" ht="15.75" thickBot="1">
      <c r="D885" s="8"/>
      <c r="E885" s="15" t="s">
        <v>10</v>
      </c>
      <c r="F885" s="15" t="s">
        <v>25</v>
      </c>
      <c r="G885" s="17" t="s">
        <v>178</v>
      </c>
      <c r="H885" s="17"/>
      <c r="I885" s="1" t="str">
        <f t="shared" si="41"/>
        <v/>
      </c>
      <c r="J885" s="1" t="str">
        <f t="shared" si="39"/>
        <v/>
      </c>
      <c r="K885" s="1" t="str">
        <f t="shared" si="40"/>
        <v/>
      </c>
    </row>
    <row r="886" spans="4:11" ht="15" customHeight="1">
      <c r="D886" s="6" t="s">
        <v>105</v>
      </c>
      <c r="E886" s="7"/>
      <c r="F886" s="7"/>
      <c r="G886" s="17" t="s">
        <v>184</v>
      </c>
      <c r="H886" s="17">
        <v>3</v>
      </c>
      <c r="I886" s="1">
        <f t="shared" si="41"/>
        <v>1</v>
      </c>
      <c r="J886" s="1">
        <f t="shared" si="39"/>
        <v>0</v>
      </c>
      <c r="K886" s="1">
        <f t="shared" si="40"/>
        <v>1</v>
      </c>
    </row>
    <row r="887" spans="4:11" ht="15.75" thickBot="1">
      <c r="D887" s="8"/>
      <c r="E887" s="15" t="s">
        <v>23</v>
      </c>
      <c r="F887" s="15" t="s">
        <v>26</v>
      </c>
      <c r="G887" s="17" t="s">
        <v>178</v>
      </c>
      <c r="H887" s="17"/>
      <c r="I887" s="1" t="str">
        <f t="shared" si="41"/>
        <v/>
      </c>
      <c r="J887" s="1" t="str">
        <f t="shared" si="39"/>
        <v/>
      </c>
      <c r="K887" s="1" t="str">
        <f t="shared" si="40"/>
        <v/>
      </c>
    </row>
    <row r="888" spans="4:11" ht="15" customHeight="1">
      <c r="D888" s="6" t="s">
        <v>105</v>
      </c>
      <c r="E888" s="7"/>
      <c r="F888" s="7"/>
      <c r="G888" s="17" t="s">
        <v>182</v>
      </c>
      <c r="H888" s="17">
        <v>4</v>
      </c>
      <c r="I888" s="1">
        <f t="shared" si="41"/>
        <v>-1</v>
      </c>
      <c r="J888" s="1">
        <f t="shared" si="39"/>
        <v>0</v>
      </c>
      <c r="K888" s="1">
        <f t="shared" si="40"/>
        <v>1</v>
      </c>
    </row>
    <row r="889" spans="4:11" ht="15.75" thickBot="1">
      <c r="D889" s="8"/>
      <c r="E889" s="15" t="s">
        <v>36</v>
      </c>
      <c r="F889" s="15" t="s">
        <v>21</v>
      </c>
      <c r="G889" s="17" t="s">
        <v>178</v>
      </c>
      <c r="H889" s="17"/>
      <c r="I889" s="1" t="str">
        <f t="shared" si="41"/>
        <v/>
      </c>
      <c r="J889" s="1" t="str">
        <f t="shared" si="39"/>
        <v/>
      </c>
      <c r="K889" s="1" t="str">
        <f t="shared" si="40"/>
        <v/>
      </c>
    </row>
    <row r="890" spans="4:11" ht="15" customHeight="1">
      <c r="D890" s="6" t="s">
        <v>105</v>
      </c>
      <c r="E890" s="7"/>
      <c r="F890" s="7"/>
      <c r="G890" s="17" t="s">
        <v>182</v>
      </c>
      <c r="H890" s="17">
        <v>2</v>
      </c>
      <c r="I890" s="1">
        <f t="shared" si="41"/>
        <v>1</v>
      </c>
      <c r="J890" s="1">
        <f t="shared" si="39"/>
        <v>0</v>
      </c>
      <c r="K890" s="1">
        <f t="shared" si="40"/>
        <v>1</v>
      </c>
    </row>
    <row r="891" spans="4:11" ht="15.75" thickBot="1">
      <c r="D891" s="8"/>
      <c r="E891" s="15" t="s">
        <v>39</v>
      </c>
      <c r="F891" s="15" t="s">
        <v>22</v>
      </c>
      <c r="G891" s="17" t="s">
        <v>178</v>
      </c>
      <c r="H891" s="17"/>
      <c r="I891" s="1" t="str">
        <f t="shared" si="41"/>
        <v/>
      </c>
      <c r="J891" s="1" t="str">
        <f t="shared" si="39"/>
        <v/>
      </c>
      <c r="K891" s="1" t="str">
        <f t="shared" si="40"/>
        <v/>
      </c>
    </row>
    <row r="892" spans="4:11" ht="15" customHeight="1">
      <c r="D892" s="6" t="s">
        <v>105</v>
      </c>
      <c r="E892" s="7"/>
      <c r="F892" s="7"/>
      <c r="G892" s="17" t="s">
        <v>185</v>
      </c>
      <c r="H892" s="17">
        <v>1</v>
      </c>
      <c r="I892" s="1">
        <f t="shared" si="41"/>
        <v>4</v>
      </c>
      <c r="J892" s="1">
        <f t="shared" si="39"/>
        <v>0</v>
      </c>
      <c r="K892" s="1">
        <f t="shared" si="40"/>
        <v>16</v>
      </c>
    </row>
    <row r="893" spans="4:11" ht="15.75" thickBot="1">
      <c r="D893" s="8"/>
      <c r="E893" s="15" t="s">
        <v>38</v>
      </c>
      <c r="F893" s="15" t="s">
        <v>3</v>
      </c>
      <c r="G893" s="17" t="s">
        <v>178</v>
      </c>
      <c r="H893" s="17"/>
      <c r="I893" s="1" t="str">
        <f t="shared" si="41"/>
        <v/>
      </c>
      <c r="J893" s="1" t="str">
        <f t="shared" si="39"/>
        <v/>
      </c>
      <c r="K893" s="1" t="str">
        <f t="shared" si="40"/>
        <v/>
      </c>
    </row>
    <row r="894" spans="4:11" ht="18" customHeight="1">
      <c r="D894" s="6" t="s">
        <v>105</v>
      </c>
      <c r="E894" s="7"/>
      <c r="F894" s="7"/>
      <c r="G894" s="17" t="s">
        <v>179</v>
      </c>
      <c r="H894" s="17">
        <v>2</v>
      </c>
      <c r="I894" s="1">
        <f t="shared" si="41"/>
        <v>-2</v>
      </c>
      <c r="J894" s="1">
        <f t="shared" si="39"/>
        <v>0</v>
      </c>
      <c r="K894" s="1">
        <f t="shared" si="40"/>
        <v>4</v>
      </c>
    </row>
    <row r="895" spans="4:11" ht="15.75" thickBot="1">
      <c r="D895" s="8"/>
      <c r="E895" s="15" t="s">
        <v>19</v>
      </c>
      <c r="F895" s="15" t="s">
        <v>33</v>
      </c>
      <c r="G895" s="17" t="s">
        <v>178</v>
      </c>
      <c r="H895" s="17"/>
      <c r="I895" s="1" t="str">
        <f t="shared" si="41"/>
        <v/>
      </c>
      <c r="J895" s="1" t="str">
        <f t="shared" si="39"/>
        <v/>
      </c>
      <c r="K895" s="1" t="str">
        <f t="shared" si="40"/>
        <v/>
      </c>
    </row>
    <row r="896" spans="4:11" ht="15" customHeight="1">
      <c r="D896" s="6" t="s">
        <v>106</v>
      </c>
      <c r="E896" s="7"/>
      <c r="F896" s="7"/>
      <c r="G896" s="17" t="s">
        <v>182</v>
      </c>
      <c r="H896" s="17">
        <v>4</v>
      </c>
      <c r="I896" s="1">
        <f t="shared" si="41"/>
        <v>-1</v>
      </c>
      <c r="J896" s="1">
        <f t="shared" si="39"/>
        <v>0</v>
      </c>
      <c r="K896" s="1">
        <f t="shared" si="40"/>
        <v>1</v>
      </c>
    </row>
    <row r="897" spans="4:11" ht="15.75" thickBot="1">
      <c r="D897" s="8"/>
      <c r="E897" s="15" t="s">
        <v>34</v>
      </c>
      <c r="F897" s="15" t="s">
        <v>0</v>
      </c>
      <c r="G897" s="17" t="s">
        <v>178</v>
      </c>
      <c r="H897" s="17"/>
      <c r="I897" s="1" t="str">
        <f t="shared" si="41"/>
        <v/>
      </c>
      <c r="J897" s="1" t="str">
        <f t="shared" si="39"/>
        <v/>
      </c>
      <c r="K897" s="1" t="str">
        <f t="shared" si="40"/>
        <v/>
      </c>
    </row>
    <row r="898" spans="4:11" ht="18" customHeight="1">
      <c r="D898" s="6" t="s">
        <v>106</v>
      </c>
      <c r="E898" s="7"/>
      <c r="F898" s="7"/>
      <c r="G898" s="17" t="s">
        <v>181</v>
      </c>
      <c r="H898" s="17">
        <v>2</v>
      </c>
      <c r="I898" s="1">
        <f t="shared" si="41"/>
        <v>-1</v>
      </c>
      <c r="J898" s="1">
        <f t="shared" si="39"/>
        <v>0</v>
      </c>
      <c r="K898" s="1">
        <f t="shared" si="40"/>
        <v>1</v>
      </c>
    </row>
    <row r="899" spans="4:11" ht="15.75" thickBot="1">
      <c r="D899" s="8"/>
      <c r="E899" s="15" t="s">
        <v>4</v>
      </c>
      <c r="F899" s="15" t="s">
        <v>20</v>
      </c>
      <c r="G899" s="17" t="s">
        <v>178</v>
      </c>
      <c r="H899" s="17"/>
      <c r="I899" s="1" t="str">
        <f t="shared" si="41"/>
        <v/>
      </c>
      <c r="J899" s="1" t="str">
        <f t="shared" ref="J899:J962" si="42">IF(F900="","",VLOOKUP(F900,$A$2:$B$31,2)+$B$33-VLOOKUP(E900,$A$2:$B$31,2))</f>
        <v/>
      </c>
      <c r="K899" s="1" t="str">
        <f t="shared" ref="K899:K962" si="43">IF(G899="","",(I899-J899)^2)</f>
        <v/>
      </c>
    </row>
    <row r="900" spans="4:11" ht="15" customHeight="1">
      <c r="D900" s="6" t="s">
        <v>106</v>
      </c>
      <c r="E900" s="7"/>
      <c r="F900" s="7"/>
      <c r="G900" s="17" t="s">
        <v>180</v>
      </c>
      <c r="H900" s="17">
        <v>0</v>
      </c>
      <c r="I900" s="1">
        <f t="shared" ref="I900:I963" si="44">IF(G900="","",G900-H900)</f>
        <v>2</v>
      </c>
      <c r="J900" s="1">
        <f t="shared" si="42"/>
        <v>0</v>
      </c>
      <c r="K900" s="1">
        <f t="shared" si="43"/>
        <v>4</v>
      </c>
    </row>
    <row r="901" spans="4:11" ht="15.75" thickBot="1">
      <c r="D901" s="8"/>
      <c r="E901" s="15" t="s">
        <v>38</v>
      </c>
      <c r="F901" s="15" t="s">
        <v>24</v>
      </c>
      <c r="G901" s="17" t="s">
        <v>178</v>
      </c>
      <c r="H901" s="17"/>
      <c r="I901" s="1" t="str">
        <f t="shared" si="44"/>
        <v/>
      </c>
      <c r="J901" s="1" t="str">
        <f t="shared" si="42"/>
        <v/>
      </c>
      <c r="K901" s="1" t="str">
        <f t="shared" si="43"/>
        <v/>
      </c>
    </row>
    <row r="902" spans="4:11" ht="15" customHeight="1">
      <c r="D902" s="6" t="s">
        <v>107</v>
      </c>
      <c r="E902" s="7"/>
      <c r="F902" s="7"/>
      <c r="G902" s="17" t="s">
        <v>180</v>
      </c>
      <c r="H902" s="17">
        <v>3</v>
      </c>
      <c r="I902" s="1">
        <f t="shared" si="44"/>
        <v>-1</v>
      </c>
      <c r="J902" s="1">
        <f t="shared" si="42"/>
        <v>0</v>
      </c>
      <c r="K902" s="1">
        <f t="shared" si="43"/>
        <v>1</v>
      </c>
    </row>
    <row r="903" spans="4:11" ht="15.75" thickBot="1">
      <c r="D903" s="8"/>
      <c r="E903" s="15" t="s">
        <v>36</v>
      </c>
      <c r="F903" s="15" t="s">
        <v>41</v>
      </c>
      <c r="G903" s="17" t="s">
        <v>178</v>
      </c>
      <c r="H903" s="17"/>
      <c r="I903" s="1" t="str">
        <f t="shared" si="44"/>
        <v/>
      </c>
      <c r="J903" s="1" t="str">
        <f t="shared" si="42"/>
        <v/>
      </c>
      <c r="K903" s="1" t="str">
        <f t="shared" si="43"/>
        <v/>
      </c>
    </row>
    <row r="904" spans="4:11" ht="15" customHeight="1">
      <c r="D904" s="6" t="s">
        <v>107</v>
      </c>
      <c r="E904" s="7"/>
      <c r="F904" s="7"/>
      <c r="G904" s="17" t="s">
        <v>180</v>
      </c>
      <c r="H904" s="17">
        <v>4</v>
      </c>
      <c r="I904" s="1">
        <f t="shared" si="44"/>
        <v>-2</v>
      </c>
      <c r="J904" s="1">
        <f t="shared" si="42"/>
        <v>0</v>
      </c>
      <c r="K904" s="1">
        <f t="shared" si="43"/>
        <v>4</v>
      </c>
    </row>
    <row r="905" spans="4:11" ht="15.75" thickBot="1">
      <c r="D905" s="8"/>
      <c r="E905" s="15" t="s">
        <v>37</v>
      </c>
      <c r="F905" s="15" t="s">
        <v>11</v>
      </c>
      <c r="G905" s="17" t="s">
        <v>178</v>
      </c>
      <c r="H905" s="17"/>
      <c r="I905" s="1" t="str">
        <f t="shared" si="44"/>
        <v/>
      </c>
      <c r="J905" s="1" t="str">
        <f t="shared" si="42"/>
        <v/>
      </c>
      <c r="K905" s="1" t="str">
        <f t="shared" si="43"/>
        <v/>
      </c>
    </row>
    <row r="906" spans="4:11" ht="18" customHeight="1">
      <c r="D906" s="6" t="s">
        <v>107</v>
      </c>
      <c r="E906" s="7"/>
      <c r="F906" s="7"/>
      <c r="G906" s="17" t="s">
        <v>184</v>
      </c>
      <c r="H906" s="17">
        <v>5</v>
      </c>
      <c r="I906" s="1">
        <f t="shared" si="44"/>
        <v>-1</v>
      </c>
      <c r="J906" s="1">
        <f t="shared" si="42"/>
        <v>2550</v>
      </c>
      <c r="K906" s="1">
        <f t="shared" si="43"/>
        <v>6507601</v>
      </c>
    </row>
    <row r="907" spans="4:11" ht="15.75" thickBot="1">
      <c r="D907" s="8"/>
      <c r="E907" s="15" t="s">
        <v>18</v>
      </c>
      <c r="F907" s="15" t="s">
        <v>8</v>
      </c>
      <c r="G907" s="17" t="s">
        <v>178</v>
      </c>
      <c r="H907" s="17"/>
      <c r="I907" s="1" t="str">
        <f t="shared" si="44"/>
        <v/>
      </c>
      <c r="J907" s="1" t="str">
        <f t="shared" si="42"/>
        <v/>
      </c>
      <c r="K907" s="1" t="str">
        <f t="shared" si="43"/>
        <v/>
      </c>
    </row>
    <row r="908" spans="4:11" ht="15" customHeight="1">
      <c r="D908" s="6" t="s">
        <v>108</v>
      </c>
      <c r="E908" s="7"/>
      <c r="F908" s="7"/>
      <c r="G908" s="17" t="s">
        <v>182</v>
      </c>
      <c r="H908" s="17">
        <v>1</v>
      </c>
      <c r="I908" s="1">
        <f t="shared" si="44"/>
        <v>2</v>
      </c>
      <c r="J908" s="1">
        <f t="shared" si="42"/>
        <v>0</v>
      </c>
      <c r="K908" s="1">
        <f t="shared" si="43"/>
        <v>4</v>
      </c>
    </row>
    <row r="909" spans="4:11" ht="30.75" thickBot="1">
      <c r="D909" s="8"/>
      <c r="E909" s="15" t="s">
        <v>37</v>
      </c>
      <c r="F909" s="15" t="s">
        <v>1</v>
      </c>
      <c r="G909" s="17" t="s">
        <v>178</v>
      </c>
      <c r="H909" s="17"/>
      <c r="I909" s="1" t="str">
        <f t="shared" si="44"/>
        <v/>
      </c>
      <c r="J909" s="1" t="str">
        <f t="shared" si="42"/>
        <v/>
      </c>
      <c r="K909" s="1" t="str">
        <f t="shared" si="43"/>
        <v/>
      </c>
    </row>
    <row r="910" spans="4:11" ht="18" customHeight="1">
      <c r="D910" s="6" t="s">
        <v>108</v>
      </c>
      <c r="E910" s="7"/>
      <c r="F910" s="7"/>
      <c r="G910" s="17" t="s">
        <v>180</v>
      </c>
      <c r="H910" s="17">
        <v>6</v>
      </c>
      <c r="I910" s="1">
        <f t="shared" si="44"/>
        <v>-4</v>
      </c>
      <c r="J910" s="1">
        <f t="shared" si="42"/>
        <v>0</v>
      </c>
      <c r="K910" s="1">
        <f t="shared" si="43"/>
        <v>16</v>
      </c>
    </row>
    <row r="911" spans="4:11" ht="15.75" thickBot="1">
      <c r="D911" s="8"/>
      <c r="E911" s="15" t="s">
        <v>10</v>
      </c>
      <c r="F911" s="15" t="s">
        <v>0</v>
      </c>
      <c r="G911" s="17" t="s">
        <v>178</v>
      </c>
      <c r="H911" s="17"/>
      <c r="I911" s="1" t="str">
        <f t="shared" si="44"/>
        <v/>
      </c>
      <c r="J911" s="1" t="str">
        <f t="shared" si="42"/>
        <v/>
      </c>
      <c r="K911" s="1" t="str">
        <f t="shared" si="43"/>
        <v/>
      </c>
    </row>
    <row r="912" spans="4:11" ht="15" customHeight="1">
      <c r="D912" s="6" t="s">
        <v>108</v>
      </c>
      <c r="E912" s="7"/>
      <c r="F912" s="7"/>
      <c r="G912" s="17" t="s">
        <v>181</v>
      </c>
      <c r="H912" s="17">
        <v>4</v>
      </c>
      <c r="I912" s="1">
        <f t="shared" si="44"/>
        <v>-3</v>
      </c>
      <c r="J912" s="1">
        <f t="shared" si="42"/>
        <v>0</v>
      </c>
      <c r="K912" s="1">
        <f t="shared" si="43"/>
        <v>9</v>
      </c>
    </row>
    <row r="913" spans="4:11" ht="15.75" thickBot="1">
      <c r="D913" s="8"/>
      <c r="E913" s="15" t="s">
        <v>28</v>
      </c>
      <c r="F913" s="15" t="s">
        <v>230</v>
      </c>
      <c r="G913" s="17" t="s">
        <v>178</v>
      </c>
      <c r="H913" s="17"/>
      <c r="I913" s="1" t="str">
        <f t="shared" si="44"/>
        <v/>
      </c>
      <c r="J913" s="1" t="str">
        <f t="shared" si="42"/>
        <v/>
      </c>
      <c r="K913" s="1" t="str">
        <f t="shared" si="43"/>
        <v/>
      </c>
    </row>
    <row r="914" spans="4:11" ht="18" customHeight="1">
      <c r="D914" s="6" t="s">
        <v>108</v>
      </c>
      <c r="E914" s="7"/>
      <c r="F914" s="7"/>
      <c r="G914" s="17" t="s">
        <v>181</v>
      </c>
      <c r="H914" s="17">
        <v>0</v>
      </c>
      <c r="I914" s="1">
        <f t="shared" si="44"/>
        <v>1</v>
      </c>
      <c r="J914" s="1">
        <f t="shared" si="42"/>
        <v>0</v>
      </c>
      <c r="K914" s="1">
        <f t="shared" si="43"/>
        <v>1</v>
      </c>
    </row>
    <row r="915" spans="4:11" ht="15.75" thickBot="1">
      <c r="D915" s="8"/>
      <c r="E915" s="15" t="s">
        <v>7</v>
      </c>
      <c r="F915" s="15" t="s">
        <v>13</v>
      </c>
      <c r="G915" s="17" t="s">
        <v>178</v>
      </c>
      <c r="H915" s="17"/>
      <c r="I915" s="1" t="str">
        <f t="shared" si="44"/>
        <v/>
      </c>
      <c r="J915" s="1" t="str">
        <f t="shared" si="42"/>
        <v/>
      </c>
      <c r="K915" s="1" t="str">
        <f t="shared" si="43"/>
        <v/>
      </c>
    </row>
    <row r="916" spans="4:11" ht="15" customHeight="1">
      <c r="D916" s="6" t="s">
        <v>108</v>
      </c>
      <c r="E916" s="7"/>
      <c r="F916" s="7"/>
      <c r="G916" s="17" t="s">
        <v>181</v>
      </c>
      <c r="H916" s="17">
        <v>2</v>
      </c>
      <c r="I916" s="1">
        <f t="shared" si="44"/>
        <v>-1</v>
      </c>
      <c r="J916" s="1">
        <f t="shared" si="42"/>
        <v>0</v>
      </c>
      <c r="K916" s="1">
        <f t="shared" si="43"/>
        <v>1</v>
      </c>
    </row>
    <row r="917" spans="4:11" ht="15.75" thickBot="1">
      <c r="D917" s="8"/>
      <c r="E917" s="15" t="s">
        <v>12</v>
      </c>
      <c r="F917" s="15" t="s">
        <v>14</v>
      </c>
      <c r="G917" s="17" t="s">
        <v>178</v>
      </c>
      <c r="H917" s="17"/>
      <c r="I917" s="1" t="str">
        <f t="shared" si="44"/>
        <v/>
      </c>
      <c r="J917" s="1" t="str">
        <f t="shared" si="42"/>
        <v/>
      </c>
      <c r="K917" s="1" t="str">
        <f t="shared" si="43"/>
        <v/>
      </c>
    </row>
    <row r="918" spans="4:11" ht="15" customHeight="1">
      <c r="D918" s="6" t="s">
        <v>108</v>
      </c>
      <c r="E918" s="7"/>
      <c r="F918" s="7"/>
      <c r="G918" s="17" t="s">
        <v>180</v>
      </c>
      <c r="H918" s="17">
        <v>5</v>
      </c>
      <c r="I918" s="1">
        <f t="shared" si="44"/>
        <v>-3</v>
      </c>
      <c r="J918" s="1">
        <f t="shared" si="42"/>
        <v>0</v>
      </c>
      <c r="K918" s="1">
        <f t="shared" si="43"/>
        <v>9</v>
      </c>
    </row>
    <row r="919" spans="4:11" ht="15.75" thickBot="1">
      <c r="D919" s="8"/>
      <c r="E919" s="15" t="s">
        <v>34</v>
      </c>
      <c r="F919" s="15" t="s">
        <v>39</v>
      </c>
      <c r="G919" s="17" t="s">
        <v>178</v>
      </c>
      <c r="H919" s="17"/>
      <c r="I919" s="1" t="str">
        <f t="shared" si="44"/>
        <v/>
      </c>
      <c r="J919" s="1" t="str">
        <f t="shared" si="42"/>
        <v/>
      </c>
      <c r="K919" s="1" t="str">
        <f t="shared" si="43"/>
        <v/>
      </c>
    </row>
    <row r="920" spans="4:11" ht="15" customHeight="1">
      <c r="D920" s="6" t="s">
        <v>108</v>
      </c>
      <c r="E920" s="7"/>
      <c r="F920" s="7"/>
      <c r="G920" s="17" t="s">
        <v>180</v>
      </c>
      <c r="H920" s="17">
        <v>3</v>
      </c>
      <c r="I920" s="1">
        <f t="shared" si="44"/>
        <v>-1</v>
      </c>
      <c r="J920" s="1">
        <f t="shared" si="42"/>
        <v>0</v>
      </c>
      <c r="K920" s="1">
        <f t="shared" si="43"/>
        <v>1</v>
      </c>
    </row>
    <row r="921" spans="4:11" ht="15.75" thickBot="1">
      <c r="D921" s="8"/>
      <c r="E921" s="15" t="s">
        <v>2</v>
      </c>
      <c r="F921" s="15" t="s">
        <v>19</v>
      </c>
      <c r="G921" s="17" t="s">
        <v>178</v>
      </c>
      <c r="H921" s="17"/>
      <c r="I921" s="1" t="str">
        <f t="shared" si="44"/>
        <v/>
      </c>
      <c r="J921" s="1" t="str">
        <f t="shared" si="42"/>
        <v/>
      </c>
      <c r="K921" s="1" t="str">
        <f t="shared" si="43"/>
        <v/>
      </c>
    </row>
    <row r="922" spans="4:11" ht="15" customHeight="1">
      <c r="D922" s="6" t="s">
        <v>108</v>
      </c>
      <c r="E922" s="7"/>
      <c r="F922" s="7"/>
      <c r="G922" s="17" t="s">
        <v>181</v>
      </c>
      <c r="H922" s="17">
        <v>5</v>
      </c>
      <c r="I922" s="1">
        <f t="shared" si="44"/>
        <v>-4</v>
      </c>
      <c r="J922" s="1">
        <f t="shared" si="42"/>
        <v>-2550</v>
      </c>
      <c r="K922" s="1">
        <f t="shared" si="43"/>
        <v>6482116</v>
      </c>
    </row>
    <row r="923" spans="4:11" ht="15.75" thickBot="1">
      <c r="D923" s="8"/>
      <c r="E923" s="15" t="s">
        <v>8</v>
      </c>
      <c r="F923" s="15" t="s">
        <v>25</v>
      </c>
      <c r="G923" s="17" t="s">
        <v>178</v>
      </c>
      <c r="H923" s="17"/>
      <c r="I923" s="1" t="str">
        <f t="shared" si="44"/>
        <v/>
      </c>
      <c r="J923" s="1" t="str">
        <f t="shared" si="42"/>
        <v/>
      </c>
      <c r="K923" s="1" t="str">
        <f t="shared" si="43"/>
        <v/>
      </c>
    </row>
    <row r="924" spans="4:11" ht="15" customHeight="1">
      <c r="D924" s="6" t="s">
        <v>108</v>
      </c>
      <c r="E924" s="7"/>
      <c r="F924" s="7"/>
      <c r="G924" s="17" t="s">
        <v>182</v>
      </c>
      <c r="H924" s="17">
        <v>5</v>
      </c>
      <c r="I924" s="1">
        <f t="shared" si="44"/>
        <v>-2</v>
      </c>
      <c r="J924" s="1">
        <f t="shared" si="42"/>
        <v>0</v>
      </c>
      <c r="K924" s="1">
        <f t="shared" si="43"/>
        <v>4</v>
      </c>
    </row>
    <row r="925" spans="4:11" ht="15.75" thickBot="1">
      <c r="D925" s="8"/>
      <c r="E925" s="15" t="s">
        <v>23</v>
      </c>
      <c r="F925" s="15" t="s">
        <v>20</v>
      </c>
      <c r="G925" s="17" t="s">
        <v>178</v>
      </c>
      <c r="H925" s="17"/>
      <c r="I925" s="1" t="str">
        <f t="shared" si="44"/>
        <v/>
      </c>
      <c r="J925" s="1" t="str">
        <f t="shared" si="42"/>
        <v/>
      </c>
      <c r="K925" s="1" t="str">
        <f t="shared" si="43"/>
        <v/>
      </c>
    </row>
    <row r="926" spans="4:11" ht="15" customHeight="1">
      <c r="D926" s="6" t="s">
        <v>108</v>
      </c>
      <c r="E926" s="7"/>
      <c r="F926" s="7"/>
      <c r="G926" s="17" t="s">
        <v>185</v>
      </c>
      <c r="H926" s="17">
        <v>2</v>
      </c>
      <c r="I926" s="1">
        <f t="shared" si="44"/>
        <v>3</v>
      </c>
      <c r="J926" s="1">
        <f t="shared" si="42"/>
        <v>0</v>
      </c>
      <c r="K926" s="1">
        <f t="shared" si="43"/>
        <v>9</v>
      </c>
    </row>
    <row r="927" spans="4:11" ht="15.75" thickBot="1">
      <c r="D927" s="8"/>
      <c r="E927" s="15" t="s">
        <v>38</v>
      </c>
      <c r="F927" s="15" t="s">
        <v>4</v>
      </c>
      <c r="G927" s="17" t="s">
        <v>178</v>
      </c>
      <c r="H927" s="17"/>
      <c r="I927" s="1" t="str">
        <f t="shared" si="44"/>
        <v/>
      </c>
      <c r="J927" s="1" t="str">
        <f t="shared" si="42"/>
        <v/>
      </c>
      <c r="K927" s="1" t="str">
        <f t="shared" si="43"/>
        <v/>
      </c>
    </row>
    <row r="928" spans="4:11" ht="15" customHeight="1">
      <c r="D928" s="6" t="s">
        <v>108</v>
      </c>
      <c r="E928" s="7"/>
      <c r="F928" s="7"/>
      <c r="G928" s="17" t="s">
        <v>181</v>
      </c>
      <c r="H928" s="17">
        <v>2</v>
      </c>
      <c r="I928" s="1">
        <f t="shared" si="44"/>
        <v>-1</v>
      </c>
      <c r="J928" s="1">
        <f t="shared" si="42"/>
        <v>0</v>
      </c>
      <c r="K928" s="1">
        <f t="shared" si="43"/>
        <v>1</v>
      </c>
    </row>
    <row r="929" spans="4:11" ht="15.75" thickBot="1">
      <c r="D929" s="8"/>
      <c r="E929" s="15" t="s">
        <v>24</v>
      </c>
      <c r="F929" s="15" t="s">
        <v>26</v>
      </c>
      <c r="G929" s="17" t="s">
        <v>178</v>
      </c>
      <c r="H929" s="17"/>
      <c r="I929" s="1" t="str">
        <f t="shared" si="44"/>
        <v/>
      </c>
      <c r="J929" s="1" t="str">
        <f t="shared" si="42"/>
        <v/>
      </c>
      <c r="K929" s="1" t="str">
        <f t="shared" si="43"/>
        <v/>
      </c>
    </row>
    <row r="930" spans="4:11" ht="15" customHeight="1">
      <c r="D930" s="6" t="s">
        <v>109</v>
      </c>
      <c r="E930" s="7"/>
      <c r="F930" s="7"/>
      <c r="G930" s="17" t="s">
        <v>180</v>
      </c>
      <c r="H930" s="17">
        <v>0</v>
      </c>
      <c r="I930" s="1">
        <f t="shared" si="44"/>
        <v>2</v>
      </c>
      <c r="J930" s="1">
        <f t="shared" si="42"/>
        <v>0</v>
      </c>
      <c r="K930" s="1">
        <f t="shared" si="43"/>
        <v>4</v>
      </c>
    </row>
    <row r="931" spans="4:11" ht="15.75" thickBot="1">
      <c r="D931" s="8"/>
      <c r="E931" s="15" t="s">
        <v>18</v>
      </c>
      <c r="F931" s="15" t="s">
        <v>36</v>
      </c>
      <c r="G931" s="17" t="s">
        <v>178</v>
      </c>
      <c r="H931" s="17"/>
      <c r="I931" s="1" t="str">
        <f t="shared" si="44"/>
        <v/>
      </c>
      <c r="J931" s="1" t="str">
        <f t="shared" si="42"/>
        <v/>
      </c>
      <c r="K931" s="1" t="str">
        <f t="shared" si="43"/>
        <v/>
      </c>
    </row>
    <row r="932" spans="4:11" ht="15" customHeight="1">
      <c r="D932" s="6" t="s">
        <v>109</v>
      </c>
      <c r="E932" s="7"/>
      <c r="F932" s="7"/>
      <c r="G932" s="17" t="s">
        <v>182</v>
      </c>
      <c r="H932" s="17">
        <v>2</v>
      </c>
      <c r="I932" s="1">
        <f t="shared" si="44"/>
        <v>1</v>
      </c>
      <c r="J932" s="1">
        <f t="shared" si="42"/>
        <v>0</v>
      </c>
      <c r="K932" s="1">
        <f t="shared" si="43"/>
        <v>1</v>
      </c>
    </row>
    <row r="933" spans="4:11" ht="15.75" thickBot="1">
      <c r="D933" s="8"/>
      <c r="E933" s="15" t="s">
        <v>2</v>
      </c>
      <c r="F933" s="15" t="s">
        <v>23</v>
      </c>
      <c r="G933" s="17" t="s">
        <v>178</v>
      </c>
      <c r="H933" s="17"/>
      <c r="I933" s="1" t="str">
        <f t="shared" si="44"/>
        <v/>
      </c>
      <c r="J933" s="1" t="str">
        <f t="shared" si="42"/>
        <v/>
      </c>
      <c r="K933" s="1" t="str">
        <f t="shared" si="43"/>
        <v/>
      </c>
    </row>
    <row r="934" spans="4:11" ht="15" customHeight="1">
      <c r="D934" s="6" t="s">
        <v>109</v>
      </c>
      <c r="E934" s="7"/>
      <c r="F934" s="7"/>
      <c r="G934" s="17" t="s">
        <v>180</v>
      </c>
      <c r="H934" s="17">
        <v>0</v>
      </c>
      <c r="I934" s="1">
        <f t="shared" si="44"/>
        <v>2</v>
      </c>
      <c r="J934" s="1">
        <f t="shared" si="42"/>
        <v>0</v>
      </c>
      <c r="K934" s="1">
        <f t="shared" si="43"/>
        <v>4</v>
      </c>
    </row>
    <row r="935" spans="4:11" ht="15.75" thickBot="1">
      <c r="D935" s="8"/>
      <c r="E935" s="15" t="s">
        <v>21</v>
      </c>
      <c r="F935" s="15" t="s">
        <v>3</v>
      </c>
      <c r="G935" s="17" t="s">
        <v>178</v>
      </c>
      <c r="H935" s="17"/>
      <c r="I935" s="1" t="str">
        <f t="shared" si="44"/>
        <v/>
      </c>
      <c r="J935" s="1" t="str">
        <f t="shared" si="42"/>
        <v/>
      </c>
      <c r="K935" s="1" t="str">
        <f t="shared" si="43"/>
        <v/>
      </c>
    </row>
    <row r="936" spans="4:11" ht="15" customHeight="1">
      <c r="D936" s="6" t="s">
        <v>110</v>
      </c>
      <c r="E936" s="7"/>
      <c r="F936" s="7"/>
      <c r="G936" s="17" t="s">
        <v>180</v>
      </c>
      <c r="H936" s="17">
        <v>1</v>
      </c>
      <c r="I936" s="1">
        <f t="shared" si="44"/>
        <v>1</v>
      </c>
      <c r="J936" s="1">
        <f t="shared" si="42"/>
        <v>0</v>
      </c>
      <c r="K936" s="1">
        <f t="shared" si="43"/>
        <v>1</v>
      </c>
    </row>
    <row r="937" spans="4:11" ht="30.75" thickBot="1">
      <c r="D937" s="8"/>
      <c r="E937" s="15" t="s">
        <v>14</v>
      </c>
      <c r="F937" s="15" t="s">
        <v>1</v>
      </c>
      <c r="G937" s="17" t="s">
        <v>178</v>
      </c>
      <c r="H937" s="17"/>
      <c r="I937" s="1" t="str">
        <f t="shared" si="44"/>
        <v/>
      </c>
      <c r="J937" s="1" t="str">
        <f t="shared" si="42"/>
        <v/>
      </c>
      <c r="K937" s="1" t="str">
        <f t="shared" si="43"/>
        <v/>
      </c>
    </row>
    <row r="938" spans="4:11" ht="15" customHeight="1">
      <c r="D938" s="6" t="s">
        <v>110</v>
      </c>
      <c r="E938" s="7"/>
      <c r="F938" s="7"/>
      <c r="G938" s="17" t="s">
        <v>179</v>
      </c>
      <c r="H938" s="17">
        <v>1</v>
      </c>
      <c r="I938" s="1">
        <f t="shared" si="44"/>
        <v>-1</v>
      </c>
      <c r="J938" s="1">
        <f t="shared" si="42"/>
        <v>0</v>
      </c>
      <c r="K938" s="1">
        <f t="shared" si="43"/>
        <v>1</v>
      </c>
    </row>
    <row r="939" spans="4:11" ht="15.75" thickBot="1">
      <c r="D939" s="8"/>
      <c r="E939" s="15" t="s">
        <v>22</v>
      </c>
      <c r="F939" s="15" t="s">
        <v>11</v>
      </c>
      <c r="G939" s="17" t="s">
        <v>178</v>
      </c>
      <c r="H939" s="17"/>
      <c r="I939" s="1" t="str">
        <f t="shared" si="44"/>
        <v/>
      </c>
      <c r="J939" s="1" t="str">
        <f t="shared" si="42"/>
        <v/>
      </c>
      <c r="K939" s="1" t="str">
        <f t="shared" si="43"/>
        <v/>
      </c>
    </row>
    <row r="940" spans="4:11" ht="15" customHeight="1">
      <c r="D940" s="6" t="s">
        <v>110</v>
      </c>
      <c r="E940" s="7"/>
      <c r="F940" s="7"/>
      <c r="G940" s="17" t="s">
        <v>181</v>
      </c>
      <c r="H940" s="17">
        <v>4</v>
      </c>
      <c r="I940" s="1">
        <f t="shared" si="44"/>
        <v>-3</v>
      </c>
      <c r="J940" s="1">
        <f t="shared" si="42"/>
        <v>0</v>
      </c>
      <c r="K940" s="1">
        <f t="shared" si="43"/>
        <v>9</v>
      </c>
    </row>
    <row r="941" spans="4:11" ht="15.75" thickBot="1">
      <c r="D941" s="8"/>
      <c r="E941" s="15" t="s">
        <v>0</v>
      </c>
      <c r="F941" s="15" t="s">
        <v>28</v>
      </c>
      <c r="G941" s="17" t="s">
        <v>178</v>
      </c>
      <c r="H941" s="17"/>
      <c r="I941" s="1" t="str">
        <f t="shared" si="44"/>
        <v/>
      </c>
      <c r="J941" s="1" t="str">
        <f t="shared" si="42"/>
        <v/>
      </c>
      <c r="K941" s="1" t="str">
        <f t="shared" si="43"/>
        <v/>
      </c>
    </row>
    <row r="942" spans="4:11" ht="15" customHeight="1">
      <c r="D942" s="6" t="s">
        <v>110</v>
      </c>
      <c r="E942" s="7"/>
      <c r="F942" s="7"/>
      <c r="G942" s="17" t="s">
        <v>185</v>
      </c>
      <c r="H942" s="17">
        <v>4</v>
      </c>
      <c r="I942" s="1">
        <f t="shared" si="44"/>
        <v>1</v>
      </c>
      <c r="J942" s="1">
        <f t="shared" si="42"/>
        <v>0</v>
      </c>
      <c r="K942" s="1">
        <f t="shared" si="43"/>
        <v>1</v>
      </c>
    </row>
    <row r="943" spans="4:11" ht="15.75" thickBot="1">
      <c r="D943" s="8"/>
      <c r="E943" s="15" t="s">
        <v>12</v>
      </c>
      <c r="F943" s="15" t="s">
        <v>7</v>
      </c>
      <c r="G943" s="17" t="s">
        <v>178</v>
      </c>
      <c r="H943" s="17"/>
      <c r="I943" s="1" t="str">
        <f t="shared" si="44"/>
        <v/>
      </c>
      <c r="J943" s="1" t="str">
        <f t="shared" si="42"/>
        <v/>
      </c>
      <c r="K943" s="1" t="str">
        <f t="shared" si="43"/>
        <v/>
      </c>
    </row>
    <row r="944" spans="4:11" ht="15" customHeight="1">
      <c r="D944" s="6" t="s">
        <v>110</v>
      </c>
      <c r="E944" s="7"/>
      <c r="F944" s="7"/>
      <c r="G944" s="17" t="s">
        <v>180</v>
      </c>
      <c r="H944" s="17">
        <v>1</v>
      </c>
      <c r="I944" s="1">
        <f t="shared" si="44"/>
        <v>1</v>
      </c>
      <c r="J944" s="1">
        <f t="shared" si="42"/>
        <v>0</v>
      </c>
      <c r="K944" s="1">
        <f t="shared" si="43"/>
        <v>1</v>
      </c>
    </row>
    <row r="945" spans="4:11" ht="15.75" thickBot="1">
      <c r="D945" s="8"/>
      <c r="E945" s="15" t="s">
        <v>10</v>
      </c>
      <c r="F945" s="15" t="s">
        <v>230</v>
      </c>
      <c r="G945" s="17" t="s">
        <v>178</v>
      </c>
      <c r="H945" s="17"/>
      <c r="I945" s="1" t="str">
        <f t="shared" si="44"/>
        <v/>
      </c>
      <c r="J945" s="1" t="str">
        <f t="shared" si="42"/>
        <v/>
      </c>
      <c r="K945" s="1" t="str">
        <f t="shared" si="43"/>
        <v/>
      </c>
    </row>
    <row r="946" spans="4:11" ht="15" customHeight="1">
      <c r="D946" s="6" t="s">
        <v>110</v>
      </c>
      <c r="E946" s="7"/>
      <c r="F946" s="7"/>
      <c r="G946" s="17" t="s">
        <v>184</v>
      </c>
      <c r="H946" s="17">
        <v>6</v>
      </c>
      <c r="I946" s="1">
        <f t="shared" si="44"/>
        <v>-2</v>
      </c>
      <c r="J946" s="1">
        <f t="shared" si="42"/>
        <v>0</v>
      </c>
      <c r="K946" s="1">
        <f t="shared" si="43"/>
        <v>4</v>
      </c>
    </row>
    <row r="947" spans="4:11" ht="15.75" thickBot="1">
      <c r="D947" s="8"/>
      <c r="E947" s="15" t="s">
        <v>39</v>
      </c>
      <c r="F947" s="15" t="s">
        <v>34</v>
      </c>
      <c r="G947" s="17" t="s">
        <v>178</v>
      </c>
      <c r="H947" s="17"/>
      <c r="I947" s="1" t="str">
        <f t="shared" si="44"/>
        <v/>
      </c>
      <c r="J947" s="1" t="str">
        <f t="shared" si="42"/>
        <v/>
      </c>
      <c r="K947" s="1" t="str">
        <f t="shared" si="43"/>
        <v/>
      </c>
    </row>
    <row r="948" spans="4:11" ht="15" customHeight="1">
      <c r="D948" s="6" t="s">
        <v>110</v>
      </c>
      <c r="E948" s="7"/>
      <c r="F948" s="7"/>
      <c r="G948" s="17" t="s">
        <v>182</v>
      </c>
      <c r="H948" s="17">
        <v>4</v>
      </c>
      <c r="I948" s="1">
        <f t="shared" si="44"/>
        <v>-1</v>
      </c>
      <c r="J948" s="1">
        <f t="shared" si="42"/>
        <v>0</v>
      </c>
      <c r="K948" s="1">
        <f t="shared" si="43"/>
        <v>1</v>
      </c>
    </row>
    <row r="949" spans="4:11" ht="15.75" thickBot="1">
      <c r="D949" s="8"/>
      <c r="E949" s="15" t="s">
        <v>24</v>
      </c>
      <c r="F949" s="15" t="s">
        <v>33</v>
      </c>
      <c r="G949" s="17" t="s">
        <v>178</v>
      </c>
      <c r="H949" s="17"/>
      <c r="I949" s="1" t="str">
        <f t="shared" si="44"/>
        <v/>
      </c>
      <c r="J949" s="1" t="str">
        <f t="shared" si="42"/>
        <v/>
      </c>
      <c r="K949" s="1" t="str">
        <f t="shared" si="43"/>
        <v/>
      </c>
    </row>
    <row r="950" spans="4:11" ht="15" customHeight="1">
      <c r="D950" s="6" t="s">
        <v>111</v>
      </c>
      <c r="E950" s="7"/>
      <c r="F950" s="7"/>
      <c r="G950" s="17" t="s">
        <v>180</v>
      </c>
      <c r="H950" s="17">
        <v>3</v>
      </c>
      <c r="I950" s="1">
        <f t="shared" si="44"/>
        <v>-1</v>
      </c>
      <c r="J950" s="1">
        <f t="shared" si="42"/>
        <v>0</v>
      </c>
      <c r="K950" s="1">
        <f t="shared" si="43"/>
        <v>1</v>
      </c>
    </row>
    <row r="951" spans="4:11" ht="15.75" thickBot="1">
      <c r="D951" s="8"/>
      <c r="E951" s="15" t="s">
        <v>37</v>
      </c>
      <c r="F951" s="15" t="s">
        <v>36</v>
      </c>
      <c r="G951" s="17" t="s">
        <v>178</v>
      </c>
      <c r="H951" s="17"/>
      <c r="I951" s="1" t="str">
        <f t="shared" si="44"/>
        <v/>
      </c>
      <c r="J951" s="1" t="str">
        <f t="shared" si="42"/>
        <v/>
      </c>
      <c r="K951" s="1" t="str">
        <f t="shared" si="43"/>
        <v/>
      </c>
    </row>
    <row r="952" spans="4:11" ht="18" customHeight="1">
      <c r="D952" s="6" t="s">
        <v>111</v>
      </c>
      <c r="E952" s="7"/>
      <c r="F952" s="7"/>
      <c r="G952" s="17" t="s">
        <v>180</v>
      </c>
      <c r="H952" s="17">
        <v>6</v>
      </c>
      <c r="I952" s="1">
        <f t="shared" si="44"/>
        <v>-4</v>
      </c>
      <c r="J952" s="1">
        <f t="shared" si="42"/>
        <v>0</v>
      </c>
      <c r="K952" s="1">
        <f t="shared" si="43"/>
        <v>16</v>
      </c>
    </row>
    <row r="953" spans="4:11" ht="15.75" thickBot="1">
      <c r="D953" s="8"/>
      <c r="E953" s="15" t="s">
        <v>10</v>
      </c>
      <c r="F953" s="15" t="s">
        <v>18</v>
      </c>
      <c r="G953" s="17" t="s">
        <v>178</v>
      </c>
      <c r="H953" s="17"/>
      <c r="I953" s="1" t="str">
        <f t="shared" si="44"/>
        <v/>
      </c>
      <c r="J953" s="1" t="str">
        <f t="shared" si="42"/>
        <v/>
      </c>
      <c r="K953" s="1" t="str">
        <f t="shared" si="43"/>
        <v/>
      </c>
    </row>
    <row r="954" spans="4:11" ht="15" customHeight="1">
      <c r="D954" s="6" t="s">
        <v>111</v>
      </c>
      <c r="E954" s="7"/>
      <c r="F954" s="7"/>
      <c r="G954" s="17" t="s">
        <v>180</v>
      </c>
      <c r="H954" s="17">
        <v>1</v>
      </c>
      <c r="I954" s="1">
        <f t="shared" si="44"/>
        <v>1</v>
      </c>
      <c r="J954" s="1">
        <f t="shared" si="42"/>
        <v>0</v>
      </c>
      <c r="K954" s="1">
        <f t="shared" si="43"/>
        <v>1</v>
      </c>
    </row>
    <row r="955" spans="4:11" ht="15.75" thickBot="1">
      <c r="D955" s="8"/>
      <c r="E955" s="15" t="s">
        <v>41</v>
      </c>
      <c r="F955" s="15" t="s">
        <v>13</v>
      </c>
      <c r="G955" s="17" t="s">
        <v>178</v>
      </c>
      <c r="H955" s="17"/>
      <c r="I955" s="1" t="str">
        <f t="shared" si="44"/>
        <v/>
      </c>
      <c r="J955" s="1" t="str">
        <f t="shared" si="42"/>
        <v/>
      </c>
      <c r="K955" s="1" t="str">
        <f t="shared" si="43"/>
        <v/>
      </c>
    </row>
    <row r="956" spans="4:11" ht="15" customHeight="1">
      <c r="D956" s="6" t="s">
        <v>111</v>
      </c>
      <c r="E956" s="7"/>
      <c r="F956" s="7"/>
      <c r="G956" s="17" t="s">
        <v>181</v>
      </c>
      <c r="H956" s="17">
        <v>2</v>
      </c>
      <c r="I956" s="1">
        <f t="shared" si="44"/>
        <v>-1</v>
      </c>
      <c r="J956" s="1">
        <f t="shared" si="42"/>
        <v>0</v>
      </c>
      <c r="K956" s="1">
        <f t="shared" si="43"/>
        <v>1</v>
      </c>
    </row>
    <row r="957" spans="4:11" ht="15.75" thickBot="1">
      <c r="D957" s="8"/>
      <c r="E957" s="15" t="s">
        <v>2</v>
      </c>
      <c r="F957" s="15" t="s">
        <v>25</v>
      </c>
      <c r="G957" s="17" t="s">
        <v>178</v>
      </c>
      <c r="H957" s="17"/>
      <c r="I957" s="1" t="str">
        <f t="shared" si="44"/>
        <v/>
      </c>
      <c r="J957" s="1" t="str">
        <f t="shared" si="42"/>
        <v/>
      </c>
      <c r="K957" s="1" t="str">
        <f t="shared" si="43"/>
        <v/>
      </c>
    </row>
    <row r="958" spans="4:11" ht="18" customHeight="1">
      <c r="D958" s="6" t="s">
        <v>111</v>
      </c>
      <c r="E958" s="7"/>
      <c r="F958" s="7"/>
      <c r="G958" s="17" t="s">
        <v>180</v>
      </c>
      <c r="H958" s="17">
        <v>1</v>
      </c>
      <c r="I958" s="1">
        <f t="shared" si="44"/>
        <v>1</v>
      </c>
      <c r="J958" s="1">
        <f t="shared" si="42"/>
        <v>0</v>
      </c>
      <c r="K958" s="1">
        <f t="shared" si="43"/>
        <v>1</v>
      </c>
    </row>
    <row r="959" spans="4:11" ht="15.75" thickBot="1">
      <c r="D959" s="8"/>
      <c r="E959" s="15" t="s">
        <v>21</v>
      </c>
      <c r="F959" s="15" t="s">
        <v>4</v>
      </c>
      <c r="G959" s="17" t="s">
        <v>178</v>
      </c>
      <c r="H959" s="17"/>
      <c r="I959" s="1" t="str">
        <f t="shared" si="44"/>
        <v/>
      </c>
      <c r="J959" s="1" t="str">
        <f t="shared" si="42"/>
        <v/>
      </c>
      <c r="K959" s="1" t="str">
        <f t="shared" si="43"/>
        <v/>
      </c>
    </row>
    <row r="960" spans="4:11" ht="15" customHeight="1">
      <c r="D960" s="6" t="s">
        <v>112</v>
      </c>
      <c r="E960" s="7"/>
      <c r="F960" s="7"/>
      <c r="G960" s="17" t="s">
        <v>180</v>
      </c>
      <c r="H960" s="17">
        <v>4</v>
      </c>
      <c r="I960" s="1">
        <f t="shared" si="44"/>
        <v>-2</v>
      </c>
      <c r="J960" s="1">
        <f t="shared" si="42"/>
        <v>0</v>
      </c>
      <c r="K960" s="1">
        <f t="shared" si="43"/>
        <v>4</v>
      </c>
    </row>
    <row r="961" spans="4:11" ht="15.75" thickBot="1">
      <c r="D961" s="8"/>
      <c r="E961" s="15" t="s">
        <v>26</v>
      </c>
      <c r="F961" s="15" t="s">
        <v>34</v>
      </c>
      <c r="G961" s="17" t="s">
        <v>178</v>
      </c>
      <c r="H961" s="17"/>
      <c r="I961" s="1" t="str">
        <f t="shared" si="44"/>
        <v/>
      </c>
      <c r="J961" s="1" t="str">
        <f t="shared" si="42"/>
        <v/>
      </c>
      <c r="K961" s="1" t="str">
        <f t="shared" si="43"/>
        <v/>
      </c>
    </row>
    <row r="962" spans="4:11" ht="15" customHeight="1">
      <c r="D962" s="6" t="s">
        <v>112</v>
      </c>
      <c r="E962" s="7"/>
      <c r="F962" s="7"/>
      <c r="G962" s="17" t="s">
        <v>185</v>
      </c>
      <c r="H962" s="17">
        <v>1</v>
      </c>
      <c r="I962" s="1">
        <f t="shared" si="44"/>
        <v>4</v>
      </c>
      <c r="J962" s="1">
        <f t="shared" si="42"/>
        <v>2550</v>
      </c>
      <c r="K962" s="1">
        <f t="shared" si="43"/>
        <v>6482116</v>
      </c>
    </row>
    <row r="963" spans="4:11" ht="15.75" thickBot="1">
      <c r="D963" s="8"/>
      <c r="E963" s="15" t="s">
        <v>22</v>
      </c>
      <c r="F963" s="15" t="s">
        <v>8</v>
      </c>
      <c r="G963" s="17" t="s">
        <v>178</v>
      </c>
      <c r="H963" s="17"/>
      <c r="I963" s="1" t="str">
        <f t="shared" si="44"/>
        <v/>
      </c>
      <c r="J963" s="1" t="str">
        <f t="shared" ref="J963:J1026" si="45">IF(F964="","",VLOOKUP(F964,$A$2:$B$31,2)+$B$33-VLOOKUP(E964,$A$2:$B$31,2))</f>
        <v/>
      </c>
      <c r="K963" s="1" t="str">
        <f t="shared" ref="K963:K1026" si="46">IF(G963="","",(I963-J963)^2)</f>
        <v/>
      </c>
    </row>
    <row r="964" spans="4:11" ht="15" customHeight="1">
      <c r="D964" s="6" t="s">
        <v>112</v>
      </c>
      <c r="E964" s="7"/>
      <c r="F964" s="7"/>
      <c r="G964" s="17" t="s">
        <v>186</v>
      </c>
      <c r="H964" s="17">
        <v>4</v>
      </c>
      <c r="I964" s="1">
        <f t="shared" ref="I964:I1027" si="47">IF(G964="","",G964-H964)</f>
        <v>3</v>
      </c>
      <c r="J964" s="1">
        <f t="shared" si="45"/>
        <v>0</v>
      </c>
      <c r="K964" s="1">
        <f t="shared" si="46"/>
        <v>9</v>
      </c>
    </row>
    <row r="965" spans="4:11" ht="15.75" thickBot="1">
      <c r="D965" s="8"/>
      <c r="E965" s="15" t="s">
        <v>1</v>
      </c>
      <c r="F965" s="15" t="s">
        <v>0</v>
      </c>
      <c r="G965" s="17" t="s">
        <v>178</v>
      </c>
      <c r="H965" s="17"/>
      <c r="I965" s="1" t="str">
        <f t="shared" si="47"/>
        <v/>
      </c>
      <c r="J965" s="1" t="str">
        <f t="shared" si="45"/>
        <v/>
      </c>
      <c r="K965" s="1" t="str">
        <f t="shared" si="46"/>
        <v/>
      </c>
    </row>
    <row r="966" spans="4:11" ht="15" customHeight="1">
      <c r="D966" s="6" t="s">
        <v>112</v>
      </c>
      <c r="E966" s="7"/>
      <c r="F966" s="7"/>
      <c r="G966" s="17" t="s">
        <v>181</v>
      </c>
      <c r="H966" s="17">
        <v>4</v>
      </c>
      <c r="I966" s="1">
        <f t="shared" si="47"/>
        <v>-3</v>
      </c>
      <c r="J966" s="1">
        <f t="shared" si="45"/>
        <v>0</v>
      </c>
      <c r="K966" s="1">
        <f t="shared" si="46"/>
        <v>9</v>
      </c>
    </row>
    <row r="967" spans="4:11" ht="15.75" thickBot="1">
      <c r="D967" s="8"/>
      <c r="E967" s="15" t="s">
        <v>18</v>
      </c>
      <c r="F967" s="15" t="s">
        <v>230</v>
      </c>
      <c r="G967" s="17" t="s">
        <v>178</v>
      </c>
      <c r="H967" s="17"/>
      <c r="I967" s="1" t="str">
        <f t="shared" si="47"/>
        <v/>
      </c>
      <c r="J967" s="1" t="str">
        <f t="shared" si="45"/>
        <v/>
      </c>
      <c r="K967" s="1" t="str">
        <f t="shared" si="46"/>
        <v/>
      </c>
    </row>
    <row r="968" spans="4:11" ht="15" customHeight="1">
      <c r="D968" s="6" t="s">
        <v>112</v>
      </c>
      <c r="E968" s="7"/>
      <c r="F968" s="7"/>
      <c r="G968" s="17" t="s">
        <v>184</v>
      </c>
      <c r="H968" s="17">
        <v>0</v>
      </c>
      <c r="I968" s="1">
        <f t="shared" si="47"/>
        <v>4</v>
      </c>
      <c r="J968" s="1">
        <f t="shared" si="45"/>
        <v>0</v>
      </c>
      <c r="K968" s="1">
        <f t="shared" si="46"/>
        <v>16</v>
      </c>
    </row>
    <row r="969" spans="4:11" ht="15.75" thickBot="1">
      <c r="D969" s="8"/>
      <c r="E969" s="15" t="s">
        <v>12</v>
      </c>
      <c r="F969" s="15" t="s">
        <v>36</v>
      </c>
      <c r="G969" s="17" t="s">
        <v>178</v>
      </c>
      <c r="H969" s="17"/>
      <c r="I969" s="1" t="str">
        <f t="shared" si="47"/>
        <v/>
      </c>
      <c r="J969" s="1" t="str">
        <f t="shared" si="45"/>
        <v/>
      </c>
      <c r="K969" s="1" t="str">
        <f t="shared" si="46"/>
        <v/>
      </c>
    </row>
    <row r="970" spans="4:11" ht="15" customHeight="1">
      <c r="D970" s="6" t="s">
        <v>112</v>
      </c>
      <c r="E970" s="7"/>
      <c r="F970" s="7"/>
      <c r="G970" s="17" t="s">
        <v>181</v>
      </c>
      <c r="H970" s="17">
        <v>3</v>
      </c>
      <c r="I970" s="1">
        <f t="shared" si="47"/>
        <v>-2</v>
      </c>
      <c r="J970" s="1">
        <f t="shared" si="45"/>
        <v>0</v>
      </c>
      <c r="K970" s="1">
        <f t="shared" si="46"/>
        <v>4</v>
      </c>
    </row>
    <row r="971" spans="4:11" ht="15.75" thickBot="1">
      <c r="D971" s="8"/>
      <c r="E971" s="15" t="s">
        <v>37</v>
      </c>
      <c r="F971" s="15" t="s">
        <v>41</v>
      </c>
      <c r="G971" s="17" t="s">
        <v>178</v>
      </c>
      <c r="H971" s="17"/>
      <c r="I971" s="1" t="str">
        <f t="shared" si="47"/>
        <v/>
      </c>
      <c r="J971" s="1" t="str">
        <f t="shared" si="45"/>
        <v/>
      </c>
      <c r="K971" s="1" t="str">
        <f t="shared" si="46"/>
        <v/>
      </c>
    </row>
    <row r="972" spans="4:11" ht="15" customHeight="1">
      <c r="D972" s="6" t="s">
        <v>112</v>
      </c>
      <c r="E972" s="7"/>
      <c r="F972" s="7"/>
      <c r="G972" s="17" t="s">
        <v>181</v>
      </c>
      <c r="H972" s="17">
        <v>3</v>
      </c>
      <c r="I972" s="1">
        <f t="shared" si="47"/>
        <v>-2</v>
      </c>
      <c r="J972" s="1">
        <f t="shared" si="45"/>
        <v>0</v>
      </c>
      <c r="K972" s="1">
        <f t="shared" si="46"/>
        <v>4</v>
      </c>
    </row>
    <row r="973" spans="4:11" ht="15.75" thickBot="1">
      <c r="D973" s="8"/>
      <c r="E973" s="15" t="s">
        <v>14</v>
      </c>
      <c r="F973" s="15" t="s">
        <v>11</v>
      </c>
      <c r="G973" s="17" t="s">
        <v>178</v>
      </c>
      <c r="H973" s="17"/>
      <c r="I973" s="1" t="str">
        <f t="shared" si="47"/>
        <v/>
      </c>
      <c r="J973" s="1" t="str">
        <f t="shared" si="45"/>
        <v/>
      </c>
      <c r="K973" s="1" t="str">
        <f t="shared" si="46"/>
        <v/>
      </c>
    </row>
    <row r="974" spans="4:11" ht="15" customHeight="1">
      <c r="D974" s="6" t="s">
        <v>112</v>
      </c>
      <c r="E974" s="7"/>
      <c r="F974" s="7"/>
      <c r="G974" s="17" t="s">
        <v>182</v>
      </c>
      <c r="H974" s="17">
        <v>2</v>
      </c>
      <c r="I974" s="1">
        <f t="shared" si="47"/>
        <v>1</v>
      </c>
      <c r="J974" s="1">
        <f t="shared" si="45"/>
        <v>0</v>
      </c>
      <c r="K974" s="1">
        <f t="shared" si="46"/>
        <v>1</v>
      </c>
    </row>
    <row r="975" spans="4:11" ht="15.75" thickBot="1">
      <c r="D975" s="8"/>
      <c r="E975" s="15" t="s">
        <v>38</v>
      </c>
      <c r="F975" s="15" t="s">
        <v>28</v>
      </c>
      <c r="G975" s="17" t="s">
        <v>178</v>
      </c>
      <c r="H975" s="17"/>
      <c r="I975" s="1" t="str">
        <f t="shared" si="47"/>
        <v/>
      </c>
      <c r="J975" s="1" t="str">
        <f t="shared" si="45"/>
        <v/>
      </c>
      <c r="K975" s="1" t="str">
        <f t="shared" si="46"/>
        <v/>
      </c>
    </row>
    <row r="976" spans="4:11" ht="15" customHeight="1">
      <c r="D976" s="6" t="s">
        <v>112</v>
      </c>
      <c r="E976" s="7"/>
      <c r="F976" s="7"/>
      <c r="G976" s="17" t="s">
        <v>180</v>
      </c>
      <c r="H976" s="17">
        <v>3</v>
      </c>
      <c r="I976" s="1">
        <f t="shared" si="47"/>
        <v>-1</v>
      </c>
      <c r="J976" s="1">
        <f t="shared" si="45"/>
        <v>0</v>
      </c>
      <c r="K976" s="1">
        <f t="shared" si="46"/>
        <v>1</v>
      </c>
    </row>
    <row r="977" spans="4:11" ht="15.75" thickBot="1">
      <c r="D977" s="8"/>
      <c r="E977" s="15" t="s">
        <v>20</v>
      </c>
      <c r="F977" s="15" t="s">
        <v>7</v>
      </c>
      <c r="G977" s="17" t="s">
        <v>178</v>
      </c>
      <c r="H977" s="17"/>
      <c r="I977" s="1" t="str">
        <f t="shared" si="47"/>
        <v/>
      </c>
      <c r="J977" s="1" t="str">
        <f t="shared" si="45"/>
        <v/>
      </c>
      <c r="K977" s="1" t="str">
        <f t="shared" si="46"/>
        <v/>
      </c>
    </row>
    <row r="978" spans="4:11" ht="15" customHeight="1">
      <c r="D978" s="6" t="s">
        <v>112</v>
      </c>
      <c r="E978" s="7"/>
      <c r="F978" s="7"/>
      <c r="G978" s="17" t="s">
        <v>183</v>
      </c>
      <c r="H978" s="17">
        <v>5</v>
      </c>
      <c r="I978" s="1">
        <f t="shared" si="47"/>
        <v>1</v>
      </c>
      <c r="J978" s="1">
        <f t="shared" si="45"/>
        <v>0</v>
      </c>
      <c r="K978" s="1">
        <f t="shared" si="46"/>
        <v>1</v>
      </c>
    </row>
    <row r="979" spans="4:11" ht="15.75" thickBot="1">
      <c r="D979" s="8"/>
      <c r="E979" s="15" t="s">
        <v>19</v>
      </c>
      <c r="F979" s="15" t="s">
        <v>23</v>
      </c>
      <c r="G979" s="17" t="s">
        <v>178</v>
      </c>
      <c r="H979" s="17"/>
      <c r="I979" s="1" t="str">
        <f t="shared" si="47"/>
        <v/>
      </c>
      <c r="J979" s="1" t="str">
        <f t="shared" si="45"/>
        <v/>
      </c>
      <c r="K979" s="1" t="str">
        <f t="shared" si="46"/>
        <v/>
      </c>
    </row>
    <row r="980" spans="4:11" ht="15" customHeight="1">
      <c r="D980" s="6" t="s">
        <v>112</v>
      </c>
      <c r="E980" s="7"/>
      <c r="F980" s="7"/>
      <c r="G980" s="17" t="s">
        <v>180</v>
      </c>
      <c r="H980" s="17">
        <v>3</v>
      </c>
      <c r="I980" s="1">
        <f t="shared" si="47"/>
        <v>-1</v>
      </c>
      <c r="J980" s="1">
        <f t="shared" si="45"/>
        <v>0</v>
      </c>
      <c r="K980" s="1">
        <f t="shared" si="46"/>
        <v>1</v>
      </c>
    </row>
    <row r="981" spans="4:11" ht="15.75" thickBot="1">
      <c r="D981" s="8"/>
      <c r="E981" s="15" t="s">
        <v>4</v>
      </c>
      <c r="F981" s="15" t="s">
        <v>3</v>
      </c>
      <c r="G981" s="17" t="s">
        <v>178</v>
      </c>
      <c r="H981" s="17"/>
      <c r="I981" s="1" t="str">
        <f t="shared" si="47"/>
        <v/>
      </c>
      <c r="J981" s="1" t="str">
        <f t="shared" si="45"/>
        <v/>
      </c>
      <c r="K981" s="1" t="str">
        <f t="shared" si="46"/>
        <v/>
      </c>
    </row>
    <row r="982" spans="4:11" ht="18" customHeight="1">
      <c r="D982" s="6" t="s">
        <v>112</v>
      </c>
      <c r="E982" s="7"/>
      <c r="F982" s="7"/>
      <c r="G982" s="17" t="s">
        <v>180</v>
      </c>
      <c r="H982" s="17">
        <v>3</v>
      </c>
      <c r="I982" s="1">
        <f t="shared" si="47"/>
        <v>-1</v>
      </c>
      <c r="J982" s="1">
        <f t="shared" si="45"/>
        <v>0</v>
      </c>
      <c r="K982" s="1">
        <f t="shared" si="46"/>
        <v>1</v>
      </c>
    </row>
    <row r="983" spans="4:11" ht="15.75" thickBot="1">
      <c r="D983" s="8"/>
      <c r="E983" s="15" t="s">
        <v>39</v>
      </c>
      <c r="F983" s="15" t="s">
        <v>33</v>
      </c>
      <c r="G983" s="17" t="s">
        <v>178</v>
      </c>
      <c r="H983" s="17"/>
      <c r="I983" s="1" t="str">
        <f t="shared" si="47"/>
        <v/>
      </c>
      <c r="J983" s="1" t="str">
        <f t="shared" si="45"/>
        <v/>
      </c>
      <c r="K983" s="1" t="str">
        <f t="shared" si="46"/>
        <v/>
      </c>
    </row>
    <row r="984" spans="4:11" ht="15" customHeight="1">
      <c r="D984" s="6" t="s">
        <v>113</v>
      </c>
      <c r="E984" s="7"/>
      <c r="F984" s="7"/>
      <c r="G984" s="17" t="s">
        <v>180</v>
      </c>
      <c r="H984" s="17">
        <v>1</v>
      </c>
      <c r="I984" s="1">
        <f t="shared" si="47"/>
        <v>1</v>
      </c>
      <c r="J984" s="1">
        <f t="shared" si="45"/>
        <v>0</v>
      </c>
      <c r="K984" s="1">
        <f t="shared" si="46"/>
        <v>1</v>
      </c>
    </row>
    <row r="985" spans="4:11" ht="15.75" thickBot="1">
      <c r="D985" s="8"/>
      <c r="E985" s="15" t="s">
        <v>22</v>
      </c>
      <c r="F985" s="15" t="s">
        <v>13</v>
      </c>
      <c r="G985" s="17" t="s">
        <v>178</v>
      </c>
      <c r="H985" s="17"/>
      <c r="I985" s="1" t="str">
        <f t="shared" si="47"/>
        <v/>
      </c>
      <c r="J985" s="1" t="str">
        <f t="shared" si="45"/>
        <v/>
      </c>
      <c r="K985" s="1" t="str">
        <f t="shared" si="46"/>
        <v/>
      </c>
    </row>
    <row r="986" spans="4:11" ht="15" customHeight="1">
      <c r="D986" s="6" t="s">
        <v>113</v>
      </c>
      <c r="E986" s="7"/>
      <c r="F986" s="7"/>
      <c r="G986" s="17" t="s">
        <v>183</v>
      </c>
      <c r="H986" s="17">
        <v>5</v>
      </c>
      <c r="I986" s="1">
        <f t="shared" si="47"/>
        <v>1</v>
      </c>
      <c r="J986" s="1">
        <f t="shared" si="45"/>
        <v>0</v>
      </c>
      <c r="K986" s="1">
        <f t="shared" si="46"/>
        <v>1</v>
      </c>
    </row>
    <row r="987" spans="4:11" ht="15.75" thickBot="1">
      <c r="D987" s="8"/>
      <c r="E987" s="15" t="s">
        <v>21</v>
      </c>
      <c r="F987" s="15" t="s">
        <v>24</v>
      </c>
      <c r="G987" s="17" t="s">
        <v>178</v>
      </c>
      <c r="H987" s="17"/>
      <c r="I987" s="1" t="str">
        <f t="shared" si="47"/>
        <v/>
      </c>
      <c r="J987" s="1" t="str">
        <f t="shared" si="45"/>
        <v/>
      </c>
      <c r="K987" s="1" t="str">
        <f t="shared" si="46"/>
        <v/>
      </c>
    </row>
    <row r="988" spans="4:11" ht="18" customHeight="1">
      <c r="D988" s="6" t="s">
        <v>113</v>
      </c>
      <c r="E988" s="7"/>
      <c r="F988" s="7"/>
      <c r="G988" s="17" t="s">
        <v>182</v>
      </c>
      <c r="H988" s="17">
        <v>4</v>
      </c>
      <c r="I988" s="1">
        <f t="shared" si="47"/>
        <v>-1</v>
      </c>
      <c r="J988" s="1">
        <f t="shared" si="45"/>
        <v>-2550</v>
      </c>
      <c r="K988" s="1">
        <f t="shared" si="46"/>
        <v>6497401</v>
      </c>
    </row>
    <row r="989" spans="4:11" ht="15.75" thickBot="1">
      <c r="D989" s="8"/>
      <c r="E989" s="15" t="s">
        <v>8</v>
      </c>
      <c r="F989" s="15" t="s">
        <v>2</v>
      </c>
      <c r="G989" s="17" t="s">
        <v>178</v>
      </c>
      <c r="H989" s="17"/>
      <c r="I989" s="1" t="str">
        <f t="shared" si="47"/>
        <v/>
      </c>
      <c r="J989" s="1" t="str">
        <f t="shared" si="45"/>
        <v/>
      </c>
      <c r="K989" s="1" t="str">
        <f t="shared" si="46"/>
        <v/>
      </c>
    </row>
    <row r="990" spans="4:11" ht="15" customHeight="1">
      <c r="D990" s="6" t="s">
        <v>113</v>
      </c>
      <c r="E990" s="7"/>
      <c r="F990" s="7"/>
      <c r="G990" s="17" t="s">
        <v>179</v>
      </c>
      <c r="H990" s="17">
        <v>1</v>
      </c>
      <c r="I990" s="1">
        <f t="shared" si="47"/>
        <v>-1</v>
      </c>
      <c r="J990" s="1">
        <f t="shared" si="45"/>
        <v>0</v>
      </c>
      <c r="K990" s="1">
        <f t="shared" si="46"/>
        <v>1</v>
      </c>
    </row>
    <row r="991" spans="4:11" ht="15.75" thickBot="1">
      <c r="D991" s="8"/>
      <c r="E991" s="15" t="s">
        <v>28</v>
      </c>
      <c r="F991" s="15" t="s">
        <v>38</v>
      </c>
      <c r="G991" s="17" t="s">
        <v>178</v>
      </c>
      <c r="H991" s="17"/>
      <c r="I991" s="1" t="str">
        <f t="shared" si="47"/>
        <v/>
      </c>
      <c r="J991" s="1" t="str">
        <f t="shared" si="45"/>
        <v/>
      </c>
      <c r="K991" s="1" t="str">
        <f t="shared" si="46"/>
        <v/>
      </c>
    </row>
    <row r="992" spans="4:11" ht="15" customHeight="1">
      <c r="D992" s="6" t="s">
        <v>113</v>
      </c>
      <c r="E992" s="7"/>
      <c r="F992" s="7"/>
      <c r="G992" s="17" t="s">
        <v>179</v>
      </c>
      <c r="H992" s="17">
        <v>4</v>
      </c>
      <c r="I992" s="1">
        <f t="shared" si="47"/>
        <v>-4</v>
      </c>
      <c r="J992" s="1">
        <f t="shared" si="45"/>
        <v>0</v>
      </c>
      <c r="K992" s="1">
        <f t="shared" si="46"/>
        <v>16</v>
      </c>
    </row>
    <row r="993" spans="4:11" ht="15.75" thickBot="1">
      <c r="D993" s="8"/>
      <c r="E993" s="15" t="s">
        <v>0</v>
      </c>
      <c r="F993" s="15" t="s">
        <v>20</v>
      </c>
      <c r="G993" s="17" t="s">
        <v>178</v>
      </c>
      <c r="H993" s="17"/>
      <c r="I993" s="1" t="str">
        <f t="shared" si="47"/>
        <v/>
      </c>
      <c r="J993" s="1" t="str">
        <f t="shared" si="45"/>
        <v/>
      </c>
      <c r="K993" s="1" t="str">
        <f t="shared" si="46"/>
        <v/>
      </c>
    </row>
    <row r="994" spans="4:11" ht="15" customHeight="1">
      <c r="D994" s="6" t="s">
        <v>113</v>
      </c>
      <c r="E994" s="7"/>
      <c r="F994" s="7"/>
      <c r="G994" s="17" t="s">
        <v>184</v>
      </c>
      <c r="H994" s="17">
        <v>3</v>
      </c>
      <c r="I994" s="1">
        <f t="shared" si="47"/>
        <v>1</v>
      </c>
      <c r="J994" s="1">
        <f t="shared" si="45"/>
        <v>0</v>
      </c>
      <c r="K994" s="1">
        <f t="shared" si="46"/>
        <v>1</v>
      </c>
    </row>
    <row r="995" spans="4:11" ht="15.75" thickBot="1">
      <c r="D995" s="8"/>
      <c r="E995" s="15" t="s">
        <v>1</v>
      </c>
      <c r="F995" s="15" t="s">
        <v>25</v>
      </c>
      <c r="G995" s="17" t="s">
        <v>178</v>
      </c>
      <c r="H995" s="17"/>
      <c r="I995" s="1" t="str">
        <f t="shared" si="47"/>
        <v/>
      </c>
      <c r="J995" s="1" t="str">
        <f t="shared" si="45"/>
        <v/>
      </c>
      <c r="K995" s="1" t="str">
        <f t="shared" si="46"/>
        <v/>
      </c>
    </row>
    <row r="996" spans="4:11" ht="15" customHeight="1">
      <c r="D996" s="6" t="s">
        <v>114</v>
      </c>
      <c r="E996" s="7"/>
      <c r="F996" s="7"/>
      <c r="G996" s="17" t="s">
        <v>181</v>
      </c>
      <c r="H996" s="17">
        <v>2</v>
      </c>
      <c r="I996" s="1">
        <f t="shared" si="47"/>
        <v>-1</v>
      </c>
      <c r="J996" s="1">
        <f t="shared" si="45"/>
        <v>0</v>
      </c>
      <c r="K996" s="1">
        <f t="shared" si="46"/>
        <v>1</v>
      </c>
    </row>
    <row r="997" spans="4:11" ht="30.75" thickBot="1">
      <c r="D997" s="8"/>
      <c r="E997" s="15" t="s">
        <v>18</v>
      </c>
      <c r="F997" s="15" t="s">
        <v>12</v>
      </c>
      <c r="G997" s="17" t="s">
        <v>178</v>
      </c>
      <c r="H997" s="17"/>
      <c r="I997" s="1" t="str">
        <f t="shared" si="47"/>
        <v/>
      </c>
      <c r="J997" s="1" t="str">
        <f t="shared" si="45"/>
        <v/>
      </c>
      <c r="K997" s="1" t="str">
        <f t="shared" si="46"/>
        <v/>
      </c>
    </row>
    <row r="998" spans="4:11" ht="15" customHeight="1">
      <c r="D998" s="6" t="s">
        <v>114</v>
      </c>
      <c r="E998" s="7"/>
      <c r="F998" s="7"/>
      <c r="G998" s="17" t="s">
        <v>185</v>
      </c>
      <c r="H998" s="17">
        <v>1</v>
      </c>
      <c r="I998" s="1">
        <f t="shared" si="47"/>
        <v>4</v>
      </c>
      <c r="J998" s="1">
        <f t="shared" si="45"/>
        <v>0</v>
      </c>
      <c r="K998" s="1">
        <f t="shared" si="46"/>
        <v>16</v>
      </c>
    </row>
    <row r="999" spans="4:11" ht="15.75" thickBot="1">
      <c r="D999" s="8"/>
      <c r="E999" s="15" t="s">
        <v>19</v>
      </c>
      <c r="F999" s="15" t="s">
        <v>7</v>
      </c>
      <c r="G999" s="17" t="s">
        <v>178</v>
      </c>
      <c r="H999" s="17"/>
      <c r="I999" s="1" t="str">
        <f t="shared" si="47"/>
        <v/>
      </c>
      <c r="J999" s="1" t="str">
        <f t="shared" si="45"/>
        <v/>
      </c>
      <c r="K999" s="1" t="str">
        <f t="shared" si="46"/>
        <v/>
      </c>
    </row>
    <row r="1000" spans="4:11" ht="15" customHeight="1">
      <c r="D1000" s="6" t="s">
        <v>114</v>
      </c>
      <c r="E1000" s="7"/>
      <c r="F1000" s="7"/>
      <c r="G1000" s="17" t="s">
        <v>182</v>
      </c>
      <c r="H1000" s="17">
        <v>4</v>
      </c>
      <c r="I1000" s="1">
        <f t="shared" si="47"/>
        <v>-1</v>
      </c>
      <c r="J1000" s="1">
        <f t="shared" si="45"/>
        <v>0</v>
      </c>
      <c r="K1000" s="1">
        <f t="shared" si="46"/>
        <v>1</v>
      </c>
    </row>
    <row r="1001" spans="4:11" ht="15.75" thickBot="1">
      <c r="D1001" s="8"/>
      <c r="E1001" s="15" t="s">
        <v>11</v>
      </c>
      <c r="F1001" s="15" t="s">
        <v>14</v>
      </c>
      <c r="G1001" s="17" t="s">
        <v>178</v>
      </c>
      <c r="H1001" s="17"/>
      <c r="I1001" s="1" t="str">
        <f t="shared" si="47"/>
        <v/>
      </c>
      <c r="J1001" s="1" t="str">
        <f t="shared" si="45"/>
        <v/>
      </c>
      <c r="K1001" s="1" t="str">
        <f t="shared" si="46"/>
        <v/>
      </c>
    </row>
    <row r="1002" spans="4:11" ht="15" customHeight="1">
      <c r="D1002" s="6" t="s">
        <v>114</v>
      </c>
      <c r="E1002" s="7"/>
      <c r="F1002" s="7"/>
      <c r="G1002" s="17" t="s">
        <v>181</v>
      </c>
      <c r="H1002" s="17">
        <v>7</v>
      </c>
      <c r="I1002" s="1">
        <f t="shared" si="47"/>
        <v>-6</v>
      </c>
      <c r="J1002" s="1">
        <f t="shared" si="45"/>
        <v>0</v>
      </c>
      <c r="K1002" s="1">
        <f t="shared" si="46"/>
        <v>36</v>
      </c>
    </row>
    <row r="1003" spans="4:11" ht="15.75" thickBot="1">
      <c r="D1003" s="8"/>
      <c r="E1003" s="15" t="s">
        <v>26</v>
      </c>
      <c r="F1003" s="15" t="s">
        <v>3</v>
      </c>
      <c r="G1003" s="17" t="s">
        <v>178</v>
      </c>
      <c r="H1003" s="17"/>
      <c r="I1003" s="1" t="str">
        <f t="shared" si="47"/>
        <v/>
      </c>
      <c r="J1003" s="1" t="str">
        <f t="shared" si="45"/>
        <v/>
      </c>
      <c r="K1003" s="1" t="str">
        <f t="shared" si="46"/>
        <v/>
      </c>
    </row>
    <row r="1004" spans="4:11" ht="18" customHeight="1">
      <c r="D1004" s="6" t="s">
        <v>114</v>
      </c>
      <c r="E1004" s="7"/>
      <c r="F1004" s="7"/>
      <c r="G1004" s="17" t="s">
        <v>180</v>
      </c>
      <c r="H1004" s="17">
        <v>3</v>
      </c>
      <c r="I1004" s="1">
        <f t="shared" si="47"/>
        <v>-1</v>
      </c>
      <c r="J1004" s="1">
        <f t="shared" si="45"/>
        <v>0</v>
      </c>
      <c r="K1004" s="1">
        <f t="shared" si="46"/>
        <v>1</v>
      </c>
    </row>
    <row r="1005" spans="4:11" ht="15.75" thickBot="1">
      <c r="D1005" s="8"/>
      <c r="E1005" s="15" t="s">
        <v>33</v>
      </c>
      <c r="F1005" s="15" t="s">
        <v>10</v>
      </c>
      <c r="G1005" s="17" t="s">
        <v>178</v>
      </c>
      <c r="H1005" s="17"/>
      <c r="I1005" s="1" t="str">
        <f t="shared" si="47"/>
        <v/>
      </c>
      <c r="J1005" s="1" t="str">
        <f t="shared" si="45"/>
        <v/>
      </c>
      <c r="K1005" s="1" t="str">
        <f t="shared" si="46"/>
        <v/>
      </c>
    </row>
    <row r="1006" spans="4:11" ht="15" customHeight="1">
      <c r="D1006" s="6" t="s">
        <v>114</v>
      </c>
      <c r="E1006" s="7"/>
      <c r="F1006" s="7"/>
      <c r="G1006" s="17" t="s">
        <v>184</v>
      </c>
      <c r="H1006" s="17">
        <v>3</v>
      </c>
      <c r="I1006" s="1">
        <f t="shared" si="47"/>
        <v>1</v>
      </c>
      <c r="J1006" s="1">
        <f t="shared" si="45"/>
        <v>0</v>
      </c>
      <c r="K1006" s="1">
        <f t="shared" si="46"/>
        <v>1</v>
      </c>
    </row>
    <row r="1007" spans="4:11" ht="15.75" thickBot="1">
      <c r="D1007" s="8"/>
      <c r="E1007" s="15" t="s">
        <v>4</v>
      </c>
      <c r="F1007" s="15" t="s">
        <v>34</v>
      </c>
      <c r="G1007" s="17" t="s">
        <v>178</v>
      </c>
      <c r="H1007" s="17"/>
      <c r="I1007" s="1" t="str">
        <f t="shared" si="47"/>
        <v/>
      </c>
      <c r="J1007" s="1" t="str">
        <f t="shared" si="45"/>
        <v/>
      </c>
      <c r="K1007" s="1" t="str">
        <f t="shared" si="46"/>
        <v/>
      </c>
    </row>
    <row r="1008" spans="4:11" ht="18" customHeight="1">
      <c r="D1008" s="6" t="s">
        <v>115</v>
      </c>
      <c r="E1008" s="7"/>
      <c r="F1008" s="7"/>
      <c r="G1008" s="17" t="s">
        <v>182</v>
      </c>
      <c r="H1008" s="17">
        <v>5</v>
      </c>
      <c r="I1008" s="1">
        <f t="shared" si="47"/>
        <v>-2</v>
      </c>
      <c r="J1008" s="1">
        <f t="shared" si="45"/>
        <v>0</v>
      </c>
      <c r="K1008" s="1">
        <f t="shared" si="46"/>
        <v>4</v>
      </c>
    </row>
    <row r="1009" spans="4:11" ht="15.75" thickBot="1">
      <c r="D1009" s="8"/>
      <c r="E1009" s="15" t="s">
        <v>19</v>
      </c>
      <c r="F1009" s="15" t="s">
        <v>2</v>
      </c>
      <c r="G1009" s="17" t="s">
        <v>178</v>
      </c>
      <c r="H1009" s="17"/>
      <c r="I1009" s="1" t="str">
        <f t="shared" si="47"/>
        <v/>
      </c>
      <c r="J1009" s="1" t="str">
        <f t="shared" si="45"/>
        <v/>
      </c>
      <c r="K1009" s="1" t="str">
        <f t="shared" si="46"/>
        <v/>
      </c>
    </row>
    <row r="1010" spans="4:11" ht="15" customHeight="1">
      <c r="D1010" s="6" t="s">
        <v>115</v>
      </c>
      <c r="E1010" s="7"/>
      <c r="F1010" s="7"/>
      <c r="G1010" s="17" t="s">
        <v>180</v>
      </c>
      <c r="H1010" s="17">
        <v>1</v>
      </c>
      <c r="I1010" s="1">
        <f t="shared" si="47"/>
        <v>1</v>
      </c>
      <c r="J1010" s="1">
        <f t="shared" si="45"/>
        <v>0</v>
      </c>
      <c r="K1010" s="1">
        <f t="shared" si="46"/>
        <v>1</v>
      </c>
    </row>
    <row r="1011" spans="4:11" ht="15.75" thickBot="1">
      <c r="D1011" s="8"/>
      <c r="E1011" s="15" t="s">
        <v>28</v>
      </c>
      <c r="F1011" s="15" t="s">
        <v>36</v>
      </c>
      <c r="G1011" s="17" t="s">
        <v>178</v>
      </c>
      <c r="H1011" s="17"/>
      <c r="I1011" s="1" t="str">
        <f t="shared" si="47"/>
        <v/>
      </c>
      <c r="J1011" s="1" t="str">
        <f t="shared" si="45"/>
        <v/>
      </c>
      <c r="K1011" s="1" t="str">
        <f t="shared" si="46"/>
        <v/>
      </c>
    </row>
    <row r="1012" spans="4:11" ht="15" customHeight="1">
      <c r="D1012" s="6" t="s">
        <v>115</v>
      </c>
      <c r="E1012" s="7"/>
      <c r="F1012" s="7"/>
      <c r="G1012" s="17" t="s">
        <v>182</v>
      </c>
      <c r="H1012" s="17">
        <v>1</v>
      </c>
      <c r="I1012" s="1">
        <f t="shared" si="47"/>
        <v>2</v>
      </c>
      <c r="J1012" s="1">
        <f t="shared" si="45"/>
        <v>0</v>
      </c>
      <c r="K1012" s="1">
        <f t="shared" si="46"/>
        <v>4</v>
      </c>
    </row>
    <row r="1013" spans="4:11" ht="15.75" thickBot="1">
      <c r="D1013" s="8"/>
      <c r="E1013" s="15" t="s">
        <v>230</v>
      </c>
      <c r="F1013" s="15" t="s">
        <v>41</v>
      </c>
      <c r="G1013" s="17" t="s">
        <v>178</v>
      </c>
      <c r="H1013" s="17"/>
      <c r="I1013" s="1" t="str">
        <f t="shared" si="47"/>
        <v/>
      </c>
      <c r="J1013" s="1" t="str">
        <f t="shared" si="45"/>
        <v/>
      </c>
      <c r="K1013" s="1" t="str">
        <f t="shared" si="46"/>
        <v/>
      </c>
    </row>
    <row r="1014" spans="4:11" ht="15" customHeight="1">
      <c r="D1014" s="6" t="s">
        <v>115</v>
      </c>
      <c r="E1014" s="7"/>
      <c r="F1014" s="7"/>
      <c r="G1014" s="17" t="s">
        <v>180</v>
      </c>
      <c r="H1014" s="17">
        <v>4</v>
      </c>
      <c r="I1014" s="1">
        <f t="shared" si="47"/>
        <v>-2</v>
      </c>
      <c r="J1014" s="1">
        <f t="shared" si="45"/>
        <v>0</v>
      </c>
      <c r="K1014" s="1">
        <f t="shared" si="46"/>
        <v>4</v>
      </c>
    </row>
    <row r="1015" spans="4:11" ht="15.75" thickBot="1">
      <c r="D1015" s="8"/>
      <c r="E1015" s="15" t="s">
        <v>12</v>
      </c>
      <c r="F1015" s="15" t="s">
        <v>38</v>
      </c>
      <c r="G1015" s="17" t="s">
        <v>178</v>
      </c>
      <c r="H1015" s="17"/>
      <c r="I1015" s="1" t="str">
        <f t="shared" si="47"/>
        <v/>
      </c>
      <c r="J1015" s="1" t="str">
        <f t="shared" si="45"/>
        <v/>
      </c>
      <c r="K1015" s="1" t="str">
        <f t="shared" si="46"/>
        <v/>
      </c>
    </row>
    <row r="1016" spans="4:11" ht="15" customHeight="1">
      <c r="D1016" s="6" t="s">
        <v>115</v>
      </c>
      <c r="E1016" s="7"/>
      <c r="F1016" s="7"/>
      <c r="G1016" s="17" t="s">
        <v>185</v>
      </c>
      <c r="H1016" s="17">
        <v>2</v>
      </c>
      <c r="I1016" s="1">
        <f t="shared" si="47"/>
        <v>3</v>
      </c>
      <c r="J1016" s="1">
        <f t="shared" si="45"/>
        <v>0</v>
      </c>
      <c r="K1016" s="1">
        <f t="shared" si="46"/>
        <v>9</v>
      </c>
    </row>
    <row r="1017" spans="4:11" ht="15.75" thickBot="1">
      <c r="D1017" s="8"/>
      <c r="E1017" s="15" t="s">
        <v>1</v>
      </c>
      <c r="F1017" s="15" t="s">
        <v>23</v>
      </c>
      <c r="G1017" s="17" t="s">
        <v>178</v>
      </c>
      <c r="H1017" s="17"/>
      <c r="I1017" s="1" t="str">
        <f t="shared" si="47"/>
        <v/>
      </c>
      <c r="J1017" s="1" t="str">
        <f t="shared" si="45"/>
        <v/>
      </c>
      <c r="K1017" s="1" t="str">
        <f t="shared" si="46"/>
        <v/>
      </c>
    </row>
    <row r="1018" spans="4:11" ht="18" customHeight="1">
      <c r="D1018" s="6" t="s">
        <v>115</v>
      </c>
      <c r="E1018" s="7"/>
      <c r="F1018" s="7"/>
      <c r="G1018" s="17" t="s">
        <v>184</v>
      </c>
      <c r="H1018" s="17">
        <v>0</v>
      </c>
      <c r="I1018" s="1">
        <f t="shared" si="47"/>
        <v>4</v>
      </c>
      <c r="J1018" s="1">
        <f t="shared" si="45"/>
        <v>0</v>
      </c>
      <c r="K1018" s="1">
        <f t="shared" si="46"/>
        <v>16</v>
      </c>
    </row>
    <row r="1019" spans="4:11" ht="15.75" thickBot="1">
      <c r="D1019" s="8"/>
      <c r="E1019" s="15" t="s">
        <v>0</v>
      </c>
      <c r="F1019" s="15" t="s">
        <v>21</v>
      </c>
      <c r="G1019" s="17" t="s">
        <v>178</v>
      </c>
      <c r="H1019" s="17"/>
      <c r="I1019" s="1" t="str">
        <f t="shared" si="47"/>
        <v/>
      </c>
      <c r="J1019" s="1" t="str">
        <f t="shared" si="45"/>
        <v/>
      </c>
      <c r="K1019" s="1" t="str">
        <f t="shared" si="46"/>
        <v/>
      </c>
    </row>
    <row r="1020" spans="4:11" ht="18" customHeight="1">
      <c r="D1020" s="6" t="s">
        <v>115</v>
      </c>
      <c r="E1020" s="7"/>
      <c r="F1020" s="7"/>
      <c r="G1020" s="17" t="s">
        <v>182</v>
      </c>
      <c r="H1020" s="17">
        <v>6</v>
      </c>
      <c r="I1020" s="1">
        <f t="shared" si="47"/>
        <v>-3</v>
      </c>
      <c r="J1020" s="1">
        <f t="shared" si="45"/>
        <v>-2550</v>
      </c>
      <c r="K1020" s="1">
        <f t="shared" si="46"/>
        <v>6487209</v>
      </c>
    </row>
    <row r="1021" spans="4:11" ht="15.75" thickBot="1">
      <c r="D1021" s="8"/>
      <c r="E1021" s="15" t="s">
        <v>8</v>
      </c>
      <c r="F1021" s="15" t="s">
        <v>13</v>
      </c>
      <c r="G1021" s="17" t="s">
        <v>178</v>
      </c>
      <c r="H1021" s="17"/>
      <c r="I1021" s="1" t="str">
        <f t="shared" si="47"/>
        <v/>
      </c>
      <c r="J1021" s="1" t="str">
        <f t="shared" si="45"/>
        <v/>
      </c>
      <c r="K1021" s="1" t="str">
        <f t="shared" si="46"/>
        <v/>
      </c>
    </row>
    <row r="1022" spans="4:11" ht="15" customHeight="1">
      <c r="D1022" s="6" t="s">
        <v>115</v>
      </c>
      <c r="E1022" s="7"/>
      <c r="F1022" s="7"/>
      <c r="G1022" s="17" t="s">
        <v>182</v>
      </c>
      <c r="H1022" s="17">
        <v>4</v>
      </c>
      <c r="I1022" s="1">
        <f t="shared" si="47"/>
        <v>-1</v>
      </c>
      <c r="J1022" s="1">
        <f t="shared" si="45"/>
        <v>0</v>
      </c>
      <c r="K1022" s="1">
        <f t="shared" si="46"/>
        <v>1</v>
      </c>
    </row>
    <row r="1023" spans="4:11" ht="15.75" thickBot="1">
      <c r="D1023" s="8"/>
      <c r="E1023" s="15" t="s">
        <v>11</v>
      </c>
      <c r="F1023" s="15" t="s">
        <v>37</v>
      </c>
      <c r="G1023" s="17" t="s">
        <v>178</v>
      </c>
      <c r="H1023" s="17"/>
      <c r="I1023" s="1" t="str">
        <f t="shared" si="47"/>
        <v/>
      </c>
      <c r="J1023" s="1" t="str">
        <f t="shared" si="45"/>
        <v/>
      </c>
      <c r="K1023" s="1" t="str">
        <f t="shared" si="46"/>
        <v/>
      </c>
    </row>
    <row r="1024" spans="4:11" ht="15" customHeight="1">
      <c r="D1024" s="6" t="s">
        <v>115</v>
      </c>
      <c r="E1024" s="7"/>
      <c r="F1024" s="7"/>
      <c r="G1024" s="17" t="s">
        <v>185</v>
      </c>
      <c r="H1024" s="17">
        <v>1</v>
      </c>
      <c r="I1024" s="1">
        <f t="shared" si="47"/>
        <v>4</v>
      </c>
      <c r="J1024" s="1">
        <f t="shared" si="45"/>
        <v>0</v>
      </c>
      <c r="K1024" s="1">
        <f t="shared" si="46"/>
        <v>16</v>
      </c>
    </row>
    <row r="1025" spans="4:11" ht="15.75" thickBot="1">
      <c r="D1025" s="8"/>
      <c r="E1025" s="15" t="s">
        <v>26</v>
      </c>
      <c r="F1025" s="15" t="s">
        <v>24</v>
      </c>
      <c r="G1025" s="17" t="s">
        <v>178</v>
      </c>
      <c r="H1025" s="17"/>
      <c r="I1025" s="1" t="str">
        <f t="shared" si="47"/>
        <v/>
      </c>
      <c r="J1025" s="1" t="str">
        <f t="shared" si="45"/>
        <v/>
      </c>
      <c r="K1025" s="1" t="str">
        <f t="shared" si="46"/>
        <v/>
      </c>
    </row>
    <row r="1026" spans="4:11" ht="15" customHeight="1">
      <c r="D1026" s="6" t="s">
        <v>115</v>
      </c>
      <c r="E1026" s="7"/>
      <c r="F1026" s="7"/>
      <c r="G1026" s="17" t="s">
        <v>179</v>
      </c>
      <c r="H1026" s="17">
        <v>5</v>
      </c>
      <c r="I1026" s="1">
        <f t="shared" si="47"/>
        <v>-5</v>
      </c>
      <c r="J1026" s="1">
        <f t="shared" si="45"/>
        <v>0</v>
      </c>
      <c r="K1026" s="1">
        <f t="shared" si="46"/>
        <v>25</v>
      </c>
    </row>
    <row r="1027" spans="4:11" ht="15.75" thickBot="1">
      <c r="D1027" s="8"/>
      <c r="E1027" s="15" t="s">
        <v>39</v>
      </c>
      <c r="F1027" s="15" t="s">
        <v>22</v>
      </c>
      <c r="G1027" s="17" t="s">
        <v>178</v>
      </c>
      <c r="H1027" s="17"/>
      <c r="I1027" s="1" t="str">
        <f t="shared" si="47"/>
        <v/>
      </c>
      <c r="J1027" s="1" t="str">
        <f t="shared" ref="J1027:J1090" si="48">IF(F1028="","",VLOOKUP(F1028,$A$2:$B$31,2)+$B$33-VLOOKUP(E1028,$A$2:$B$31,2))</f>
        <v/>
      </c>
      <c r="K1027" s="1" t="str">
        <f t="shared" ref="K1027:K1090" si="49">IF(G1027="","",(I1027-J1027)^2)</f>
        <v/>
      </c>
    </row>
    <row r="1028" spans="4:11" ht="18" customHeight="1">
      <c r="D1028" s="6" t="s">
        <v>115</v>
      </c>
      <c r="E1028" s="7"/>
      <c r="F1028" s="7"/>
      <c r="G1028" s="17" t="s">
        <v>185</v>
      </c>
      <c r="H1028" s="17">
        <v>1</v>
      </c>
      <c r="I1028" s="1">
        <f t="shared" ref="I1028:I1091" si="50">IF(G1028="","",G1028-H1028)</f>
        <v>4</v>
      </c>
      <c r="J1028" s="1">
        <f t="shared" si="48"/>
        <v>0</v>
      </c>
      <c r="K1028" s="1">
        <f t="shared" si="49"/>
        <v>16</v>
      </c>
    </row>
    <row r="1029" spans="4:11" ht="15.75" thickBot="1">
      <c r="D1029" s="8"/>
      <c r="E1029" s="15" t="s">
        <v>25</v>
      </c>
      <c r="F1029" s="15" t="s">
        <v>20</v>
      </c>
      <c r="G1029" s="17" t="s">
        <v>178</v>
      </c>
      <c r="H1029" s="17"/>
      <c r="I1029" s="1" t="str">
        <f t="shared" si="50"/>
        <v/>
      </c>
      <c r="J1029" s="1" t="str">
        <f t="shared" si="48"/>
        <v/>
      </c>
      <c r="K1029" s="1" t="str">
        <f t="shared" si="49"/>
        <v/>
      </c>
    </row>
    <row r="1030" spans="4:11" ht="15" customHeight="1">
      <c r="D1030" s="6" t="s">
        <v>116</v>
      </c>
      <c r="E1030" s="7"/>
      <c r="F1030" s="7"/>
      <c r="G1030" s="17" t="s">
        <v>182</v>
      </c>
      <c r="H1030" s="17">
        <v>4</v>
      </c>
      <c r="I1030" s="1">
        <f t="shared" si="50"/>
        <v>-1</v>
      </c>
      <c r="J1030" s="1">
        <f t="shared" si="48"/>
        <v>2550</v>
      </c>
      <c r="K1030" s="1">
        <f t="shared" si="49"/>
        <v>6507601</v>
      </c>
    </row>
    <row r="1031" spans="4:11" ht="15.75" thickBot="1">
      <c r="D1031" s="8"/>
      <c r="E1031" s="15" t="s">
        <v>41</v>
      </c>
      <c r="F1031" s="15" t="s">
        <v>8</v>
      </c>
      <c r="G1031" s="17" t="s">
        <v>178</v>
      </c>
      <c r="H1031" s="17"/>
      <c r="I1031" s="1" t="str">
        <f t="shared" si="50"/>
        <v/>
      </c>
      <c r="J1031" s="1" t="str">
        <f t="shared" si="48"/>
        <v/>
      </c>
      <c r="K1031" s="1" t="str">
        <f t="shared" si="49"/>
        <v/>
      </c>
    </row>
    <row r="1032" spans="4:11" ht="18" customHeight="1">
      <c r="D1032" s="6" t="s">
        <v>116</v>
      </c>
      <c r="E1032" s="7"/>
      <c r="F1032" s="7"/>
      <c r="G1032" s="17" t="s">
        <v>182</v>
      </c>
      <c r="H1032" s="17">
        <v>2</v>
      </c>
      <c r="I1032" s="1">
        <f t="shared" si="50"/>
        <v>1</v>
      </c>
      <c r="J1032" s="1">
        <f t="shared" si="48"/>
        <v>0</v>
      </c>
      <c r="K1032" s="1">
        <f t="shared" si="49"/>
        <v>1</v>
      </c>
    </row>
    <row r="1033" spans="4:11" ht="15.75" thickBot="1">
      <c r="D1033" s="8"/>
      <c r="E1033" s="15" t="s">
        <v>13</v>
      </c>
      <c r="F1033" s="15" t="s">
        <v>18</v>
      </c>
      <c r="G1033" s="17" t="s">
        <v>178</v>
      </c>
      <c r="H1033" s="17"/>
      <c r="I1033" s="1" t="str">
        <f t="shared" si="50"/>
        <v/>
      </c>
      <c r="J1033" s="1" t="str">
        <f t="shared" si="48"/>
        <v/>
      </c>
      <c r="K1033" s="1" t="str">
        <f t="shared" si="49"/>
        <v/>
      </c>
    </row>
    <row r="1034" spans="4:11" ht="15" customHeight="1">
      <c r="D1034" s="6" t="s">
        <v>116</v>
      </c>
      <c r="E1034" s="7"/>
      <c r="F1034" s="7"/>
      <c r="G1034" s="17" t="s">
        <v>181</v>
      </c>
      <c r="H1034" s="17">
        <v>2</v>
      </c>
      <c r="I1034" s="1">
        <f t="shared" si="50"/>
        <v>-1</v>
      </c>
      <c r="J1034" s="1">
        <f t="shared" si="48"/>
        <v>0</v>
      </c>
      <c r="K1034" s="1">
        <f t="shared" si="49"/>
        <v>1</v>
      </c>
    </row>
    <row r="1035" spans="4:11" ht="15.75" thickBot="1">
      <c r="D1035" s="8"/>
      <c r="E1035" s="15" t="s">
        <v>28</v>
      </c>
      <c r="F1035" s="15" t="s">
        <v>37</v>
      </c>
      <c r="G1035" s="17" t="s">
        <v>178</v>
      </c>
      <c r="H1035" s="17"/>
      <c r="I1035" s="1" t="str">
        <f t="shared" si="50"/>
        <v/>
      </c>
      <c r="J1035" s="1" t="str">
        <f t="shared" si="48"/>
        <v/>
      </c>
      <c r="K1035" s="1" t="str">
        <f t="shared" si="49"/>
        <v/>
      </c>
    </row>
    <row r="1036" spans="4:11" ht="15" customHeight="1">
      <c r="D1036" s="6" t="s">
        <v>116</v>
      </c>
      <c r="E1036" s="7"/>
      <c r="F1036" s="7"/>
      <c r="G1036" s="17" t="s">
        <v>181</v>
      </c>
      <c r="H1036" s="17">
        <v>3</v>
      </c>
      <c r="I1036" s="1">
        <f t="shared" si="50"/>
        <v>-2</v>
      </c>
      <c r="J1036" s="1">
        <f t="shared" si="48"/>
        <v>0</v>
      </c>
      <c r="K1036" s="1">
        <f t="shared" si="49"/>
        <v>4</v>
      </c>
    </row>
    <row r="1037" spans="4:11" ht="15.75" thickBot="1">
      <c r="D1037" s="8"/>
      <c r="E1037" s="15" t="s">
        <v>36</v>
      </c>
      <c r="F1037" s="15" t="s">
        <v>38</v>
      </c>
      <c r="G1037" s="17" t="s">
        <v>178</v>
      </c>
      <c r="H1037" s="17"/>
      <c r="I1037" s="1" t="str">
        <f t="shared" si="50"/>
        <v/>
      </c>
      <c r="J1037" s="1" t="str">
        <f t="shared" si="48"/>
        <v/>
      </c>
      <c r="K1037" s="1" t="str">
        <f t="shared" si="49"/>
        <v/>
      </c>
    </row>
    <row r="1038" spans="4:11" ht="15" customHeight="1">
      <c r="D1038" s="6" t="s">
        <v>116</v>
      </c>
      <c r="E1038" s="7"/>
      <c r="F1038" s="7"/>
      <c r="G1038" s="17" t="s">
        <v>180</v>
      </c>
      <c r="H1038" s="17">
        <v>6</v>
      </c>
      <c r="I1038" s="1">
        <f t="shared" si="50"/>
        <v>-4</v>
      </c>
      <c r="J1038" s="1">
        <f t="shared" si="48"/>
        <v>0</v>
      </c>
      <c r="K1038" s="1">
        <f t="shared" si="49"/>
        <v>16</v>
      </c>
    </row>
    <row r="1039" spans="4:11" ht="15.75" thickBot="1">
      <c r="D1039" s="8"/>
      <c r="E1039" s="15" t="s">
        <v>2</v>
      </c>
      <c r="F1039" s="15" t="s">
        <v>7</v>
      </c>
      <c r="G1039" s="17" t="s">
        <v>178</v>
      </c>
      <c r="H1039" s="17"/>
      <c r="I1039" s="1" t="str">
        <f t="shared" si="50"/>
        <v/>
      </c>
      <c r="J1039" s="1" t="str">
        <f t="shared" si="48"/>
        <v/>
      </c>
      <c r="K1039" s="1" t="str">
        <f t="shared" si="49"/>
        <v/>
      </c>
    </row>
    <row r="1040" spans="4:11" ht="15" customHeight="1">
      <c r="D1040" s="6" t="s">
        <v>116</v>
      </c>
      <c r="E1040" s="7"/>
      <c r="F1040" s="7"/>
      <c r="G1040" s="17" t="s">
        <v>184</v>
      </c>
      <c r="H1040" s="17">
        <v>3</v>
      </c>
      <c r="I1040" s="1">
        <f t="shared" si="50"/>
        <v>1</v>
      </c>
      <c r="J1040" s="1">
        <f t="shared" si="48"/>
        <v>0</v>
      </c>
      <c r="K1040" s="1">
        <f t="shared" si="49"/>
        <v>1</v>
      </c>
    </row>
    <row r="1041" spans="4:11" ht="15.75" thickBot="1">
      <c r="D1041" s="8"/>
      <c r="E1041" s="15" t="s">
        <v>25</v>
      </c>
      <c r="F1041" s="15" t="s">
        <v>23</v>
      </c>
      <c r="G1041" s="17" t="s">
        <v>178</v>
      </c>
      <c r="H1041" s="17"/>
      <c r="I1041" s="1" t="str">
        <f t="shared" si="50"/>
        <v/>
      </c>
      <c r="J1041" s="1" t="str">
        <f t="shared" si="48"/>
        <v/>
      </c>
      <c r="K1041" s="1" t="str">
        <f t="shared" si="49"/>
        <v/>
      </c>
    </row>
    <row r="1042" spans="4:11" ht="15" customHeight="1">
      <c r="D1042" s="6" t="s">
        <v>116</v>
      </c>
      <c r="E1042" s="7"/>
      <c r="F1042" s="7"/>
      <c r="G1042" s="17" t="s">
        <v>182</v>
      </c>
      <c r="H1042" s="17">
        <v>0</v>
      </c>
      <c r="I1042" s="1">
        <f t="shared" si="50"/>
        <v>3</v>
      </c>
      <c r="J1042" s="1">
        <f t="shared" si="48"/>
        <v>0</v>
      </c>
      <c r="K1042" s="1">
        <f t="shared" si="49"/>
        <v>9</v>
      </c>
    </row>
    <row r="1043" spans="4:11" ht="15.75" thickBot="1">
      <c r="D1043" s="8"/>
      <c r="E1043" s="15" t="s">
        <v>12</v>
      </c>
      <c r="F1043" s="15" t="s">
        <v>11</v>
      </c>
      <c r="G1043" s="17" t="s">
        <v>178</v>
      </c>
      <c r="H1043" s="17"/>
      <c r="I1043" s="1" t="str">
        <f t="shared" si="50"/>
        <v/>
      </c>
      <c r="J1043" s="1" t="str">
        <f t="shared" si="48"/>
        <v/>
      </c>
      <c r="K1043" s="1" t="str">
        <f t="shared" si="49"/>
        <v/>
      </c>
    </row>
    <row r="1044" spans="4:11" ht="18" customHeight="1">
      <c r="D1044" s="6" t="s">
        <v>116</v>
      </c>
      <c r="E1044" s="7"/>
      <c r="F1044" s="7"/>
      <c r="G1044" s="17" t="s">
        <v>184</v>
      </c>
      <c r="H1044" s="17">
        <v>3</v>
      </c>
      <c r="I1044" s="1">
        <f t="shared" si="50"/>
        <v>1</v>
      </c>
      <c r="J1044" s="1">
        <f t="shared" si="48"/>
        <v>0</v>
      </c>
      <c r="K1044" s="1">
        <f t="shared" si="49"/>
        <v>1</v>
      </c>
    </row>
    <row r="1045" spans="4:11" ht="15.75" thickBot="1">
      <c r="D1045" s="8"/>
      <c r="E1045" s="15" t="s">
        <v>21</v>
      </c>
      <c r="F1045" s="15" t="s">
        <v>39</v>
      </c>
      <c r="G1045" s="17" t="s">
        <v>178</v>
      </c>
      <c r="H1045" s="17"/>
      <c r="I1045" s="1" t="str">
        <f t="shared" si="50"/>
        <v/>
      </c>
      <c r="J1045" s="1" t="str">
        <f t="shared" si="48"/>
        <v/>
      </c>
      <c r="K1045" s="1" t="str">
        <f t="shared" si="49"/>
        <v/>
      </c>
    </row>
    <row r="1046" spans="4:11" ht="15" customHeight="1">
      <c r="D1046" s="6" t="s">
        <v>116</v>
      </c>
      <c r="E1046" s="7"/>
      <c r="F1046" s="7"/>
      <c r="G1046" s="17" t="s">
        <v>181</v>
      </c>
      <c r="H1046" s="17">
        <v>4</v>
      </c>
      <c r="I1046" s="1">
        <f t="shared" si="50"/>
        <v>-3</v>
      </c>
      <c r="J1046" s="1">
        <f t="shared" si="48"/>
        <v>0</v>
      </c>
      <c r="K1046" s="1">
        <f t="shared" si="49"/>
        <v>9</v>
      </c>
    </row>
    <row r="1047" spans="4:11" ht="15.75" thickBot="1">
      <c r="D1047" s="8"/>
      <c r="E1047" s="15" t="s">
        <v>1</v>
      </c>
      <c r="F1047" s="15" t="s">
        <v>19</v>
      </c>
      <c r="G1047" s="17" t="s">
        <v>178</v>
      </c>
      <c r="H1047" s="17"/>
      <c r="I1047" s="1" t="str">
        <f t="shared" si="50"/>
        <v/>
      </c>
      <c r="J1047" s="1" t="str">
        <f t="shared" si="48"/>
        <v/>
      </c>
      <c r="K1047" s="1" t="str">
        <f t="shared" si="49"/>
        <v/>
      </c>
    </row>
    <row r="1048" spans="4:11" ht="18" customHeight="1">
      <c r="D1048" s="6" t="s">
        <v>116</v>
      </c>
      <c r="E1048" s="7"/>
      <c r="F1048" s="7"/>
      <c r="G1048" s="17" t="s">
        <v>181</v>
      </c>
      <c r="H1048" s="17">
        <v>2</v>
      </c>
      <c r="I1048" s="1">
        <f t="shared" si="50"/>
        <v>-1</v>
      </c>
      <c r="J1048" s="1">
        <f t="shared" si="48"/>
        <v>0</v>
      </c>
      <c r="K1048" s="1">
        <f t="shared" si="49"/>
        <v>1</v>
      </c>
    </row>
    <row r="1049" spans="4:11" ht="15.75" thickBot="1">
      <c r="D1049" s="8"/>
      <c r="E1049" s="15" t="s">
        <v>10</v>
      </c>
      <c r="F1049" s="15" t="s">
        <v>26</v>
      </c>
      <c r="G1049" s="17" t="s">
        <v>178</v>
      </c>
      <c r="H1049" s="17"/>
      <c r="I1049" s="1" t="str">
        <f t="shared" si="50"/>
        <v/>
      </c>
      <c r="J1049" s="1" t="str">
        <f t="shared" si="48"/>
        <v/>
      </c>
      <c r="K1049" s="1" t="str">
        <f t="shared" si="49"/>
        <v/>
      </c>
    </row>
    <row r="1050" spans="4:11" ht="15" customHeight="1">
      <c r="D1050" s="6" t="s">
        <v>116</v>
      </c>
      <c r="E1050" s="7"/>
      <c r="F1050" s="7"/>
      <c r="G1050" s="17" t="s">
        <v>185</v>
      </c>
      <c r="H1050" s="17">
        <v>2</v>
      </c>
      <c r="I1050" s="1">
        <f t="shared" si="50"/>
        <v>3</v>
      </c>
      <c r="J1050" s="1">
        <f t="shared" si="48"/>
        <v>0</v>
      </c>
      <c r="K1050" s="1">
        <f t="shared" si="49"/>
        <v>9</v>
      </c>
    </row>
    <row r="1051" spans="4:11" ht="15.75" thickBot="1">
      <c r="D1051" s="8"/>
      <c r="E1051" s="15" t="s">
        <v>20</v>
      </c>
      <c r="F1051" s="15" t="s">
        <v>22</v>
      </c>
      <c r="G1051" s="17" t="s">
        <v>178</v>
      </c>
      <c r="H1051" s="17"/>
      <c r="I1051" s="1" t="str">
        <f t="shared" si="50"/>
        <v/>
      </c>
      <c r="J1051" s="1" t="str">
        <f t="shared" si="48"/>
        <v/>
      </c>
      <c r="K1051" s="1" t="str">
        <f t="shared" si="49"/>
        <v/>
      </c>
    </row>
    <row r="1052" spans="4:11" ht="15" customHeight="1">
      <c r="D1052" s="6" t="s">
        <v>116</v>
      </c>
      <c r="E1052" s="7"/>
      <c r="F1052" s="7"/>
      <c r="G1052" s="17" t="s">
        <v>181</v>
      </c>
      <c r="H1052" s="17">
        <v>4</v>
      </c>
      <c r="I1052" s="1">
        <f t="shared" si="50"/>
        <v>-3</v>
      </c>
      <c r="J1052" s="1">
        <f t="shared" si="48"/>
        <v>0</v>
      </c>
      <c r="K1052" s="1">
        <f t="shared" si="49"/>
        <v>9</v>
      </c>
    </row>
    <row r="1053" spans="4:11" ht="15.75" thickBot="1">
      <c r="D1053" s="8"/>
      <c r="E1053" s="15" t="s">
        <v>24</v>
      </c>
      <c r="F1053" s="15" t="s">
        <v>4</v>
      </c>
      <c r="G1053" s="17" t="s">
        <v>178</v>
      </c>
      <c r="H1053" s="17"/>
      <c r="I1053" s="1" t="str">
        <f t="shared" si="50"/>
        <v/>
      </c>
      <c r="J1053" s="1" t="str">
        <f t="shared" si="48"/>
        <v/>
      </c>
      <c r="K1053" s="1" t="str">
        <f t="shared" si="49"/>
        <v/>
      </c>
    </row>
    <row r="1054" spans="4:11" ht="15" customHeight="1">
      <c r="D1054" s="6" t="s">
        <v>116</v>
      </c>
      <c r="E1054" s="7"/>
      <c r="F1054" s="7"/>
      <c r="G1054" s="17" t="s">
        <v>181</v>
      </c>
      <c r="H1054" s="17">
        <v>3</v>
      </c>
      <c r="I1054" s="1">
        <f t="shared" si="50"/>
        <v>-2</v>
      </c>
      <c r="J1054" s="1">
        <f t="shared" si="48"/>
        <v>0</v>
      </c>
      <c r="K1054" s="1">
        <f t="shared" si="49"/>
        <v>4</v>
      </c>
    </row>
    <row r="1055" spans="4:11" ht="15.75" thickBot="1">
      <c r="D1055" s="8"/>
      <c r="E1055" s="15" t="s">
        <v>33</v>
      </c>
      <c r="F1055" s="15" t="s">
        <v>34</v>
      </c>
      <c r="G1055" s="17" t="s">
        <v>178</v>
      </c>
      <c r="H1055" s="17"/>
      <c r="I1055" s="1" t="str">
        <f t="shared" si="50"/>
        <v/>
      </c>
      <c r="J1055" s="1" t="str">
        <f t="shared" si="48"/>
        <v/>
      </c>
      <c r="K1055" s="1" t="str">
        <f t="shared" si="49"/>
        <v/>
      </c>
    </row>
    <row r="1056" spans="4:11" ht="18" customHeight="1">
      <c r="D1056" s="6" t="s">
        <v>117</v>
      </c>
      <c r="E1056" s="7"/>
      <c r="F1056" s="7"/>
      <c r="G1056" s="17" t="s">
        <v>184</v>
      </c>
      <c r="H1056" s="17">
        <v>6</v>
      </c>
      <c r="I1056" s="1">
        <f t="shared" si="50"/>
        <v>-2</v>
      </c>
      <c r="J1056" s="1">
        <f t="shared" si="48"/>
        <v>0</v>
      </c>
      <c r="K1056" s="1">
        <f t="shared" si="49"/>
        <v>4</v>
      </c>
    </row>
    <row r="1057" spans="4:11" ht="15.75" thickBot="1">
      <c r="D1057" s="8"/>
      <c r="E1057" s="15" t="s">
        <v>0</v>
      </c>
      <c r="F1057" s="15" t="s">
        <v>14</v>
      </c>
      <c r="G1057" s="17" t="s">
        <v>178</v>
      </c>
      <c r="H1057" s="17"/>
      <c r="I1057" s="1" t="str">
        <f t="shared" si="50"/>
        <v/>
      </c>
      <c r="J1057" s="1" t="str">
        <f t="shared" si="48"/>
        <v/>
      </c>
      <c r="K1057" s="1" t="str">
        <f t="shared" si="49"/>
        <v/>
      </c>
    </row>
    <row r="1058" spans="4:11" ht="15" customHeight="1">
      <c r="D1058" s="6" t="s">
        <v>117</v>
      </c>
      <c r="E1058" s="7"/>
      <c r="F1058" s="7"/>
      <c r="G1058" s="17" t="s">
        <v>181</v>
      </c>
      <c r="H1058" s="17">
        <v>2</v>
      </c>
      <c r="I1058" s="1">
        <f t="shared" si="50"/>
        <v>-1</v>
      </c>
      <c r="J1058" s="1">
        <f t="shared" si="48"/>
        <v>0</v>
      </c>
      <c r="K1058" s="1">
        <f t="shared" si="49"/>
        <v>1</v>
      </c>
    </row>
    <row r="1059" spans="4:11" ht="15.75" thickBot="1">
      <c r="D1059" s="8"/>
      <c r="E1059" s="15" t="s">
        <v>3</v>
      </c>
      <c r="F1059" s="15" t="s">
        <v>10</v>
      </c>
      <c r="G1059" s="17" t="s">
        <v>178</v>
      </c>
      <c r="H1059" s="17"/>
      <c r="I1059" s="1" t="str">
        <f t="shared" si="50"/>
        <v/>
      </c>
      <c r="J1059" s="1" t="str">
        <f t="shared" si="48"/>
        <v/>
      </c>
      <c r="K1059" s="1" t="str">
        <f t="shared" si="49"/>
        <v/>
      </c>
    </row>
    <row r="1060" spans="4:11" ht="18" customHeight="1">
      <c r="D1060" s="6" t="s">
        <v>118</v>
      </c>
      <c r="E1060" s="7"/>
      <c r="F1060" s="7"/>
      <c r="G1060" s="17" t="s">
        <v>180</v>
      </c>
      <c r="H1060" s="17">
        <v>5</v>
      </c>
      <c r="I1060" s="1">
        <f t="shared" si="50"/>
        <v>-3</v>
      </c>
      <c r="J1060" s="1">
        <f t="shared" si="48"/>
        <v>0</v>
      </c>
      <c r="K1060" s="1">
        <f t="shared" si="49"/>
        <v>9</v>
      </c>
    </row>
    <row r="1061" spans="4:11" ht="15.75" thickBot="1">
      <c r="D1061" s="8"/>
      <c r="E1061" s="15" t="s">
        <v>13</v>
      </c>
      <c r="F1061" s="15" t="s">
        <v>2</v>
      </c>
      <c r="G1061" s="17" t="s">
        <v>178</v>
      </c>
      <c r="H1061" s="17"/>
      <c r="I1061" s="1" t="str">
        <f t="shared" si="50"/>
        <v/>
      </c>
      <c r="J1061" s="1" t="str">
        <f t="shared" si="48"/>
        <v/>
      </c>
      <c r="K1061" s="1" t="str">
        <f t="shared" si="49"/>
        <v/>
      </c>
    </row>
    <row r="1062" spans="4:11" ht="15" customHeight="1">
      <c r="D1062" s="6" t="s">
        <v>118</v>
      </c>
      <c r="E1062" s="7"/>
      <c r="F1062" s="7"/>
      <c r="G1062" s="17" t="s">
        <v>181</v>
      </c>
      <c r="H1062" s="17">
        <v>3</v>
      </c>
      <c r="I1062" s="1">
        <f t="shared" si="50"/>
        <v>-2</v>
      </c>
      <c r="J1062" s="1">
        <f t="shared" si="48"/>
        <v>0</v>
      </c>
      <c r="K1062" s="1">
        <f t="shared" si="49"/>
        <v>4</v>
      </c>
    </row>
    <row r="1063" spans="4:11" ht="15.75" thickBot="1">
      <c r="D1063" s="8"/>
      <c r="E1063" s="15" t="s">
        <v>11</v>
      </c>
      <c r="F1063" s="15" t="s">
        <v>36</v>
      </c>
      <c r="G1063" s="17" t="s">
        <v>178</v>
      </c>
      <c r="H1063" s="17"/>
      <c r="I1063" s="1" t="str">
        <f t="shared" si="50"/>
        <v/>
      </c>
      <c r="J1063" s="1" t="str">
        <f t="shared" si="48"/>
        <v/>
      </c>
      <c r="K1063" s="1" t="str">
        <f t="shared" si="49"/>
        <v/>
      </c>
    </row>
    <row r="1064" spans="4:11" ht="15" customHeight="1">
      <c r="D1064" s="6" t="s">
        <v>118</v>
      </c>
      <c r="E1064" s="7"/>
      <c r="F1064" s="7"/>
      <c r="G1064" s="17" t="s">
        <v>182</v>
      </c>
      <c r="H1064" s="17">
        <v>4</v>
      </c>
      <c r="I1064" s="1">
        <f t="shared" si="50"/>
        <v>-1</v>
      </c>
      <c r="J1064" s="1">
        <f t="shared" si="48"/>
        <v>0</v>
      </c>
      <c r="K1064" s="1">
        <f t="shared" si="49"/>
        <v>1</v>
      </c>
    </row>
    <row r="1065" spans="4:11" ht="15.75" thickBot="1">
      <c r="D1065" s="8"/>
      <c r="E1065" s="15" t="s">
        <v>12</v>
      </c>
      <c r="F1065" s="15" t="s">
        <v>41</v>
      </c>
      <c r="G1065" s="17" t="s">
        <v>178</v>
      </c>
      <c r="H1065" s="17"/>
      <c r="I1065" s="1" t="str">
        <f t="shared" si="50"/>
        <v/>
      </c>
      <c r="J1065" s="1" t="str">
        <f t="shared" si="48"/>
        <v/>
      </c>
      <c r="K1065" s="1" t="str">
        <f t="shared" si="49"/>
        <v/>
      </c>
    </row>
    <row r="1066" spans="4:11" ht="15" customHeight="1">
      <c r="D1066" s="6" t="s">
        <v>118</v>
      </c>
      <c r="E1066" s="7"/>
      <c r="F1066" s="7"/>
      <c r="G1066" s="17" t="s">
        <v>182</v>
      </c>
      <c r="H1066" s="17">
        <v>1</v>
      </c>
      <c r="I1066" s="1">
        <f t="shared" si="50"/>
        <v>2</v>
      </c>
      <c r="J1066" s="1">
        <f t="shared" si="48"/>
        <v>0</v>
      </c>
      <c r="K1066" s="1">
        <f t="shared" si="49"/>
        <v>4</v>
      </c>
    </row>
    <row r="1067" spans="4:11" ht="15.75" thickBot="1">
      <c r="D1067" s="8"/>
      <c r="E1067" s="15" t="s">
        <v>230</v>
      </c>
      <c r="F1067" s="15" t="s">
        <v>28</v>
      </c>
      <c r="G1067" s="17" t="s">
        <v>178</v>
      </c>
      <c r="H1067" s="17"/>
      <c r="I1067" s="1" t="str">
        <f t="shared" si="50"/>
        <v/>
      </c>
      <c r="J1067" s="1" t="str">
        <f t="shared" si="48"/>
        <v/>
      </c>
      <c r="K1067" s="1" t="str">
        <f t="shared" si="49"/>
        <v/>
      </c>
    </row>
    <row r="1068" spans="4:11" ht="18" customHeight="1">
      <c r="D1068" s="6" t="s">
        <v>118</v>
      </c>
      <c r="E1068" s="7"/>
      <c r="F1068" s="7"/>
      <c r="G1068" s="17" t="s">
        <v>180</v>
      </c>
      <c r="H1068" s="17">
        <v>5</v>
      </c>
      <c r="I1068" s="1">
        <f t="shared" si="50"/>
        <v>-3</v>
      </c>
      <c r="J1068" s="1">
        <f t="shared" si="48"/>
        <v>-2550</v>
      </c>
      <c r="K1068" s="1">
        <f t="shared" si="49"/>
        <v>6487209</v>
      </c>
    </row>
    <row r="1069" spans="4:11" ht="15.75" thickBot="1">
      <c r="D1069" s="8"/>
      <c r="E1069" s="15" t="s">
        <v>8</v>
      </c>
      <c r="F1069" s="15" t="s">
        <v>18</v>
      </c>
      <c r="G1069" s="17" t="s">
        <v>178</v>
      </c>
      <c r="H1069" s="17"/>
      <c r="I1069" s="1" t="str">
        <f t="shared" si="50"/>
        <v/>
      </c>
      <c r="J1069" s="1" t="str">
        <f t="shared" si="48"/>
        <v/>
      </c>
      <c r="K1069" s="1" t="str">
        <f t="shared" si="49"/>
        <v/>
      </c>
    </row>
    <row r="1070" spans="4:11" ht="15" customHeight="1">
      <c r="D1070" s="6" t="s">
        <v>118</v>
      </c>
      <c r="E1070" s="7"/>
      <c r="F1070" s="7"/>
      <c r="G1070" s="17" t="s">
        <v>180</v>
      </c>
      <c r="H1070" s="17">
        <v>3</v>
      </c>
      <c r="I1070" s="1">
        <f t="shared" si="50"/>
        <v>-1</v>
      </c>
      <c r="J1070" s="1">
        <f t="shared" si="48"/>
        <v>0</v>
      </c>
      <c r="K1070" s="1">
        <f t="shared" si="49"/>
        <v>1</v>
      </c>
    </row>
    <row r="1071" spans="4:11" ht="15.75" thickBot="1">
      <c r="D1071" s="8"/>
      <c r="E1071" s="15" t="s">
        <v>0</v>
      </c>
      <c r="F1071" s="15" t="s">
        <v>37</v>
      </c>
      <c r="G1071" s="17" t="s">
        <v>178</v>
      </c>
      <c r="H1071" s="17"/>
      <c r="I1071" s="1" t="str">
        <f t="shared" si="50"/>
        <v/>
      </c>
      <c r="J1071" s="1" t="str">
        <f t="shared" si="48"/>
        <v/>
      </c>
      <c r="K1071" s="1" t="str">
        <f t="shared" si="49"/>
        <v/>
      </c>
    </row>
    <row r="1072" spans="4:11" ht="15" customHeight="1">
      <c r="D1072" s="6" t="s">
        <v>118</v>
      </c>
      <c r="E1072" s="7"/>
      <c r="F1072" s="7"/>
      <c r="G1072" s="17" t="s">
        <v>179</v>
      </c>
      <c r="H1072" s="17">
        <v>3</v>
      </c>
      <c r="I1072" s="1">
        <f t="shared" si="50"/>
        <v>-3</v>
      </c>
      <c r="J1072" s="1">
        <f t="shared" si="48"/>
        <v>0</v>
      </c>
      <c r="K1072" s="1">
        <f t="shared" si="49"/>
        <v>9</v>
      </c>
    </row>
    <row r="1073" spans="4:11" ht="15.75" thickBot="1">
      <c r="D1073" s="8"/>
      <c r="E1073" s="15" t="s">
        <v>22</v>
      </c>
      <c r="F1073" s="15" t="s">
        <v>39</v>
      </c>
      <c r="G1073" s="17" t="s">
        <v>178</v>
      </c>
      <c r="H1073" s="17"/>
      <c r="I1073" s="1" t="str">
        <f t="shared" si="50"/>
        <v/>
      </c>
      <c r="J1073" s="1" t="str">
        <f t="shared" si="48"/>
        <v/>
      </c>
      <c r="K1073" s="1" t="str">
        <f t="shared" si="49"/>
        <v/>
      </c>
    </row>
    <row r="1074" spans="4:11" ht="15" customHeight="1">
      <c r="D1074" s="6" t="s">
        <v>118</v>
      </c>
      <c r="E1074" s="7"/>
      <c r="F1074" s="7"/>
      <c r="G1074" s="17" t="s">
        <v>182</v>
      </c>
      <c r="H1074" s="17">
        <v>2</v>
      </c>
      <c r="I1074" s="1">
        <f t="shared" si="50"/>
        <v>1</v>
      </c>
      <c r="J1074" s="1">
        <f t="shared" si="48"/>
        <v>0</v>
      </c>
      <c r="K1074" s="1">
        <f t="shared" si="49"/>
        <v>1</v>
      </c>
    </row>
    <row r="1075" spans="4:11" ht="15.75" thickBot="1">
      <c r="D1075" s="8"/>
      <c r="E1075" s="15" t="s">
        <v>23</v>
      </c>
      <c r="F1075" s="15" t="s">
        <v>25</v>
      </c>
      <c r="G1075" s="17" t="s">
        <v>178</v>
      </c>
      <c r="H1075" s="17"/>
      <c r="I1075" s="1" t="str">
        <f t="shared" si="50"/>
        <v/>
      </c>
      <c r="J1075" s="1" t="str">
        <f t="shared" si="48"/>
        <v/>
      </c>
      <c r="K1075" s="1" t="str">
        <f t="shared" si="49"/>
        <v/>
      </c>
    </row>
    <row r="1076" spans="4:11" ht="18" customHeight="1">
      <c r="D1076" s="6" t="s">
        <v>118</v>
      </c>
      <c r="E1076" s="7"/>
      <c r="F1076" s="7"/>
      <c r="G1076" s="17" t="s">
        <v>184</v>
      </c>
      <c r="H1076" s="17">
        <v>5</v>
      </c>
      <c r="I1076" s="1">
        <f t="shared" si="50"/>
        <v>-1</v>
      </c>
      <c r="J1076" s="1">
        <f t="shared" si="48"/>
        <v>0</v>
      </c>
      <c r="K1076" s="1">
        <f t="shared" si="49"/>
        <v>1</v>
      </c>
    </row>
    <row r="1077" spans="4:11" ht="15.75" thickBot="1">
      <c r="D1077" s="8"/>
      <c r="E1077" s="15" t="s">
        <v>19</v>
      </c>
      <c r="F1077" s="15" t="s">
        <v>20</v>
      </c>
      <c r="G1077" s="17" t="s">
        <v>178</v>
      </c>
      <c r="H1077" s="17"/>
      <c r="I1077" s="1" t="str">
        <f t="shared" si="50"/>
        <v/>
      </c>
      <c r="J1077" s="1" t="str">
        <f t="shared" si="48"/>
        <v/>
      </c>
      <c r="K1077" s="1" t="str">
        <f t="shared" si="49"/>
        <v/>
      </c>
    </row>
    <row r="1078" spans="4:11" ht="15" customHeight="1">
      <c r="D1078" s="6" t="s">
        <v>118</v>
      </c>
      <c r="E1078" s="7"/>
      <c r="F1078" s="7"/>
      <c r="G1078" s="17" t="s">
        <v>180</v>
      </c>
      <c r="H1078" s="17">
        <v>3</v>
      </c>
      <c r="I1078" s="1">
        <f t="shared" si="50"/>
        <v>-1</v>
      </c>
      <c r="J1078" s="1">
        <f t="shared" si="48"/>
        <v>0</v>
      </c>
      <c r="K1078" s="1">
        <f t="shared" si="49"/>
        <v>1</v>
      </c>
    </row>
    <row r="1079" spans="4:11" ht="15.75" thickBot="1">
      <c r="D1079" s="8"/>
      <c r="E1079" s="15" t="s">
        <v>38</v>
      </c>
      <c r="F1079" s="15" t="s">
        <v>21</v>
      </c>
      <c r="G1079" s="17" t="s">
        <v>178</v>
      </c>
      <c r="H1079" s="17"/>
      <c r="I1079" s="1" t="str">
        <f t="shared" si="50"/>
        <v/>
      </c>
      <c r="J1079" s="1" t="str">
        <f t="shared" si="48"/>
        <v/>
      </c>
      <c r="K1079" s="1" t="str">
        <f t="shared" si="49"/>
        <v/>
      </c>
    </row>
    <row r="1080" spans="4:11" ht="15" customHeight="1">
      <c r="D1080" s="6" t="s">
        <v>118</v>
      </c>
      <c r="E1080" s="7"/>
      <c r="F1080" s="7"/>
      <c r="G1080" s="17" t="s">
        <v>181</v>
      </c>
      <c r="H1080" s="17">
        <v>2</v>
      </c>
      <c r="I1080" s="1">
        <f t="shared" si="50"/>
        <v>-1</v>
      </c>
      <c r="J1080" s="1">
        <f t="shared" si="48"/>
        <v>0</v>
      </c>
      <c r="K1080" s="1">
        <f t="shared" si="49"/>
        <v>1</v>
      </c>
    </row>
    <row r="1081" spans="4:11" ht="15.75" thickBot="1">
      <c r="D1081" s="8"/>
      <c r="E1081" s="15" t="s">
        <v>34</v>
      </c>
      <c r="F1081" s="15" t="s">
        <v>4</v>
      </c>
      <c r="G1081" s="17" t="s">
        <v>178</v>
      </c>
      <c r="H1081" s="17"/>
      <c r="I1081" s="1" t="str">
        <f t="shared" si="50"/>
        <v/>
      </c>
      <c r="J1081" s="1" t="str">
        <f t="shared" si="48"/>
        <v/>
      </c>
      <c r="K1081" s="1" t="str">
        <f t="shared" si="49"/>
        <v/>
      </c>
    </row>
    <row r="1082" spans="4:11" ht="15" customHeight="1">
      <c r="D1082" s="6" t="s">
        <v>118</v>
      </c>
      <c r="E1082" s="7"/>
      <c r="F1082" s="7"/>
      <c r="G1082" s="17" t="s">
        <v>180</v>
      </c>
      <c r="H1082" s="17">
        <v>4</v>
      </c>
      <c r="I1082" s="1">
        <f t="shared" si="50"/>
        <v>-2</v>
      </c>
      <c r="J1082" s="1">
        <f t="shared" si="48"/>
        <v>0</v>
      </c>
      <c r="K1082" s="1">
        <f t="shared" si="49"/>
        <v>4</v>
      </c>
    </row>
    <row r="1083" spans="4:11" ht="15.75" thickBot="1">
      <c r="D1083" s="8"/>
      <c r="E1083" s="15" t="s">
        <v>1</v>
      </c>
      <c r="F1083" s="15" t="s">
        <v>26</v>
      </c>
      <c r="G1083" s="17" t="s">
        <v>178</v>
      </c>
      <c r="H1083" s="17"/>
      <c r="I1083" s="1" t="str">
        <f t="shared" si="50"/>
        <v/>
      </c>
      <c r="J1083" s="1" t="str">
        <f t="shared" si="48"/>
        <v/>
      </c>
      <c r="K1083" s="1" t="str">
        <f t="shared" si="49"/>
        <v/>
      </c>
    </row>
    <row r="1084" spans="4:11" ht="18" customHeight="1">
      <c r="D1084" s="6" t="s">
        <v>119</v>
      </c>
      <c r="E1084" s="7"/>
      <c r="F1084" s="7"/>
      <c r="G1084" s="17" t="s">
        <v>180</v>
      </c>
      <c r="H1084" s="17">
        <v>1</v>
      </c>
      <c r="I1084" s="1">
        <f t="shared" si="50"/>
        <v>1</v>
      </c>
      <c r="J1084" s="1">
        <f t="shared" si="48"/>
        <v>0</v>
      </c>
      <c r="K1084" s="1">
        <f t="shared" si="49"/>
        <v>1</v>
      </c>
    </row>
    <row r="1085" spans="4:11" ht="15.75" thickBot="1">
      <c r="D1085" s="8"/>
      <c r="E1085" s="15" t="s">
        <v>230</v>
      </c>
      <c r="F1085" s="15" t="s">
        <v>14</v>
      </c>
      <c r="G1085" s="17" t="s">
        <v>178</v>
      </c>
      <c r="H1085" s="17"/>
      <c r="I1085" s="1" t="str">
        <f t="shared" si="50"/>
        <v/>
      </c>
      <c r="J1085" s="1" t="str">
        <f t="shared" si="48"/>
        <v/>
      </c>
      <c r="K1085" s="1" t="str">
        <f t="shared" si="49"/>
        <v/>
      </c>
    </row>
    <row r="1086" spans="4:11" ht="15" customHeight="1">
      <c r="D1086" s="6" t="s">
        <v>119</v>
      </c>
      <c r="E1086" s="7"/>
      <c r="F1086" s="7"/>
      <c r="G1086" s="17" t="s">
        <v>180</v>
      </c>
      <c r="H1086" s="17">
        <v>3</v>
      </c>
      <c r="I1086" s="1">
        <f t="shared" si="50"/>
        <v>-1</v>
      </c>
      <c r="J1086" s="1">
        <f t="shared" si="48"/>
        <v>0</v>
      </c>
      <c r="K1086" s="1">
        <f t="shared" si="49"/>
        <v>1</v>
      </c>
    </row>
    <row r="1087" spans="4:11" ht="15.75" thickBot="1">
      <c r="D1087" s="8"/>
      <c r="E1087" s="15" t="s">
        <v>39</v>
      </c>
      <c r="F1087" s="15" t="s">
        <v>19</v>
      </c>
      <c r="G1087" s="17" t="s">
        <v>178</v>
      </c>
      <c r="H1087" s="17"/>
      <c r="I1087" s="1" t="str">
        <f t="shared" si="50"/>
        <v/>
      </c>
      <c r="J1087" s="1" t="str">
        <f t="shared" si="48"/>
        <v/>
      </c>
      <c r="K1087" s="1" t="str">
        <f t="shared" si="49"/>
        <v/>
      </c>
    </row>
    <row r="1088" spans="4:11" ht="15" customHeight="1">
      <c r="D1088" s="6" t="s">
        <v>119</v>
      </c>
      <c r="E1088" s="7"/>
      <c r="F1088" s="7"/>
      <c r="G1088" s="17" t="s">
        <v>180</v>
      </c>
      <c r="H1088" s="17">
        <v>3</v>
      </c>
      <c r="I1088" s="1">
        <f t="shared" si="50"/>
        <v>-1</v>
      </c>
      <c r="J1088" s="1">
        <f t="shared" si="48"/>
        <v>0</v>
      </c>
      <c r="K1088" s="1">
        <f t="shared" si="49"/>
        <v>1</v>
      </c>
    </row>
    <row r="1089" spans="4:11" ht="15.75" thickBot="1">
      <c r="D1089" s="8"/>
      <c r="E1089" s="15" t="s">
        <v>34</v>
      </c>
      <c r="F1089" s="15" t="s">
        <v>24</v>
      </c>
      <c r="G1089" s="17" t="s">
        <v>178</v>
      </c>
      <c r="H1089" s="17"/>
      <c r="I1089" s="1" t="str">
        <f t="shared" si="50"/>
        <v/>
      </c>
      <c r="J1089" s="1" t="str">
        <f t="shared" si="48"/>
        <v/>
      </c>
      <c r="K1089" s="1" t="str">
        <f t="shared" si="49"/>
        <v/>
      </c>
    </row>
    <row r="1090" spans="4:11" ht="15" customHeight="1">
      <c r="D1090" s="6" t="s">
        <v>119</v>
      </c>
      <c r="E1090" s="7"/>
      <c r="F1090" s="7"/>
      <c r="G1090" s="17" t="s">
        <v>182</v>
      </c>
      <c r="H1090" s="17">
        <v>1</v>
      </c>
      <c r="I1090" s="1">
        <f t="shared" si="50"/>
        <v>2</v>
      </c>
      <c r="J1090" s="1">
        <f t="shared" si="48"/>
        <v>0</v>
      </c>
      <c r="K1090" s="1">
        <f t="shared" si="49"/>
        <v>4</v>
      </c>
    </row>
    <row r="1091" spans="4:11" ht="15.75" thickBot="1">
      <c r="D1091" s="8"/>
      <c r="E1091" s="15" t="s">
        <v>3</v>
      </c>
      <c r="F1091" s="15" t="s">
        <v>33</v>
      </c>
      <c r="G1091" s="17" t="s">
        <v>178</v>
      </c>
      <c r="H1091" s="17"/>
      <c r="I1091" s="1" t="str">
        <f t="shared" si="50"/>
        <v/>
      </c>
      <c r="J1091" s="1" t="str">
        <f t="shared" ref="J1091:J1154" si="51">IF(F1092="","",VLOOKUP(F1092,$A$2:$B$31,2)+$B$33-VLOOKUP(E1092,$A$2:$B$31,2))</f>
        <v/>
      </c>
      <c r="K1091" s="1" t="str">
        <f t="shared" ref="K1091:K1154" si="52">IF(G1091="","",(I1091-J1091)^2)</f>
        <v/>
      </c>
    </row>
    <row r="1092" spans="4:11" ht="15" customHeight="1">
      <c r="D1092" s="6" t="s">
        <v>120</v>
      </c>
      <c r="E1092" s="7"/>
      <c r="F1092" s="7"/>
      <c r="G1092" s="17" t="s">
        <v>185</v>
      </c>
      <c r="H1092" s="17">
        <v>2</v>
      </c>
      <c r="I1092" s="1">
        <f t="shared" ref="I1092:I1155" si="53">IF(G1092="","",G1092-H1092)</f>
        <v>3</v>
      </c>
      <c r="J1092" s="1">
        <f t="shared" si="51"/>
        <v>0</v>
      </c>
      <c r="K1092" s="1">
        <f t="shared" si="52"/>
        <v>9</v>
      </c>
    </row>
    <row r="1093" spans="4:11" ht="15.75" thickBot="1">
      <c r="D1093" s="8"/>
      <c r="E1093" s="15" t="s">
        <v>41</v>
      </c>
      <c r="F1093" s="15" t="s">
        <v>25</v>
      </c>
      <c r="G1093" s="17" t="s">
        <v>178</v>
      </c>
      <c r="H1093" s="17"/>
      <c r="I1093" s="1" t="str">
        <f t="shared" si="53"/>
        <v/>
      </c>
      <c r="J1093" s="1" t="str">
        <f t="shared" si="51"/>
        <v/>
      </c>
      <c r="K1093" s="1" t="str">
        <f t="shared" si="52"/>
        <v/>
      </c>
    </row>
    <row r="1094" spans="4:11" ht="15" customHeight="1">
      <c r="D1094" s="6" t="s">
        <v>120</v>
      </c>
      <c r="E1094" s="7"/>
      <c r="F1094" s="7"/>
      <c r="G1094" s="17" t="s">
        <v>185</v>
      </c>
      <c r="H1094" s="17">
        <v>1</v>
      </c>
      <c r="I1094" s="1">
        <f t="shared" si="53"/>
        <v>4</v>
      </c>
      <c r="J1094" s="1">
        <f t="shared" si="51"/>
        <v>2550</v>
      </c>
      <c r="K1094" s="1">
        <f t="shared" si="52"/>
        <v>6482116</v>
      </c>
    </row>
    <row r="1095" spans="4:11" ht="15.75" thickBot="1">
      <c r="D1095" s="8"/>
      <c r="E1095" s="15" t="s">
        <v>37</v>
      </c>
      <c r="F1095" s="15" t="s">
        <v>8</v>
      </c>
      <c r="G1095" s="17" t="s">
        <v>178</v>
      </c>
      <c r="H1095" s="17"/>
      <c r="I1095" s="1" t="str">
        <f t="shared" si="53"/>
        <v/>
      </c>
      <c r="J1095" s="1" t="str">
        <f t="shared" si="51"/>
        <v/>
      </c>
      <c r="K1095" s="1" t="str">
        <f t="shared" si="52"/>
        <v/>
      </c>
    </row>
    <row r="1096" spans="4:11" ht="15" customHeight="1">
      <c r="D1096" s="6" t="s">
        <v>120</v>
      </c>
      <c r="E1096" s="7"/>
      <c r="F1096" s="7"/>
      <c r="G1096" s="17" t="s">
        <v>185</v>
      </c>
      <c r="H1096" s="17">
        <v>2</v>
      </c>
      <c r="I1096" s="1">
        <f t="shared" si="53"/>
        <v>3</v>
      </c>
      <c r="J1096" s="1">
        <f t="shared" si="51"/>
        <v>0</v>
      </c>
      <c r="K1096" s="1">
        <f t="shared" si="52"/>
        <v>9</v>
      </c>
    </row>
    <row r="1097" spans="4:11" ht="15.75" thickBot="1">
      <c r="D1097" s="8"/>
      <c r="E1097" s="15" t="s">
        <v>38</v>
      </c>
      <c r="F1097" s="15" t="s">
        <v>14</v>
      </c>
      <c r="G1097" s="17" t="s">
        <v>178</v>
      </c>
      <c r="H1097" s="17"/>
      <c r="I1097" s="1" t="str">
        <f t="shared" si="53"/>
        <v/>
      </c>
      <c r="J1097" s="1" t="str">
        <f t="shared" si="51"/>
        <v/>
      </c>
      <c r="K1097" s="1" t="str">
        <f t="shared" si="52"/>
        <v/>
      </c>
    </row>
    <row r="1098" spans="4:11" ht="18" customHeight="1">
      <c r="D1098" s="6" t="s">
        <v>120</v>
      </c>
      <c r="E1098" s="7"/>
      <c r="F1098" s="7"/>
      <c r="G1098" s="17" t="s">
        <v>184</v>
      </c>
      <c r="H1098" s="17">
        <v>3</v>
      </c>
      <c r="I1098" s="1">
        <f t="shared" si="53"/>
        <v>1</v>
      </c>
      <c r="J1098" s="1">
        <f t="shared" si="51"/>
        <v>0</v>
      </c>
      <c r="K1098" s="1">
        <f t="shared" si="52"/>
        <v>1</v>
      </c>
    </row>
    <row r="1099" spans="4:11" ht="15.75" thickBot="1">
      <c r="D1099" s="8"/>
      <c r="E1099" s="15" t="s">
        <v>0</v>
      </c>
      <c r="F1099" s="15" t="s">
        <v>2</v>
      </c>
      <c r="G1099" s="17" t="s">
        <v>178</v>
      </c>
      <c r="H1099" s="17"/>
      <c r="I1099" s="1" t="str">
        <f t="shared" si="53"/>
        <v/>
      </c>
      <c r="J1099" s="1" t="str">
        <f t="shared" si="51"/>
        <v/>
      </c>
      <c r="K1099" s="1" t="str">
        <f t="shared" si="52"/>
        <v/>
      </c>
    </row>
    <row r="1100" spans="4:11" ht="15" customHeight="1">
      <c r="D1100" s="6" t="s">
        <v>120</v>
      </c>
      <c r="E1100" s="7"/>
      <c r="F1100" s="7"/>
      <c r="G1100" s="17" t="s">
        <v>181</v>
      </c>
      <c r="H1100" s="17">
        <v>2</v>
      </c>
      <c r="I1100" s="1">
        <f t="shared" si="53"/>
        <v>-1</v>
      </c>
      <c r="J1100" s="1">
        <f t="shared" si="51"/>
        <v>0</v>
      </c>
      <c r="K1100" s="1">
        <f t="shared" si="52"/>
        <v>1</v>
      </c>
    </row>
    <row r="1101" spans="4:11" ht="15.75" thickBot="1">
      <c r="D1101" s="8"/>
      <c r="E1101" s="15" t="s">
        <v>28</v>
      </c>
      <c r="F1101" s="15" t="s">
        <v>11</v>
      </c>
      <c r="G1101" s="17" t="s">
        <v>178</v>
      </c>
      <c r="H1101" s="17"/>
      <c r="I1101" s="1" t="str">
        <f t="shared" si="53"/>
        <v/>
      </c>
      <c r="J1101" s="1" t="str">
        <f t="shared" si="51"/>
        <v/>
      </c>
      <c r="K1101" s="1" t="str">
        <f t="shared" si="52"/>
        <v/>
      </c>
    </row>
    <row r="1102" spans="4:11" ht="15" customHeight="1">
      <c r="D1102" s="6" t="s">
        <v>120</v>
      </c>
      <c r="E1102" s="7"/>
      <c r="F1102" s="7"/>
      <c r="G1102" s="17" t="s">
        <v>181</v>
      </c>
      <c r="H1102" s="17">
        <v>3</v>
      </c>
      <c r="I1102" s="1">
        <f t="shared" si="53"/>
        <v>-2</v>
      </c>
      <c r="J1102" s="1">
        <f t="shared" si="51"/>
        <v>0</v>
      </c>
      <c r="K1102" s="1">
        <f t="shared" si="52"/>
        <v>4</v>
      </c>
    </row>
    <row r="1103" spans="4:11" ht="15.75" thickBot="1">
      <c r="D1103" s="8"/>
      <c r="E1103" s="15" t="s">
        <v>23</v>
      </c>
      <c r="F1103" s="15" t="s">
        <v>7</v>
      </c>
      <c r="G1103" s="17" t="s">
        <v>178</v>
      </c>
      <c r="H1103" s="17"/>
      <c r="I1103" s="1" t="str">
        <f t="shared" si="53"/>
        <v/>
      </c>
      <c r="J1103" s="1" t="str">
        <f t="shared" si="51"/>
        <v/>
      </c>
      <c r="K1103" s="1" t="str">
        <f t="shared" si="52"/>
        <v/>
      </c>
    </row>
    <row r="1104" spans="4:11" ht="15" customHeight="1">
      <c r="D1104" s="6" t="s">
        <v>120</v>
      </c>
      <c r="E1104" s="7"/>
      <c r="F1104" s="7"/>
      <c r="G1104" s="17" t="s">
        <v>181</v>
      </c>
      <c r="H1104" s="17">
        <v>3</v>
      </c>
      <c r="I1104" s="1">
        <f t="shared" si="53"/>
        <v>-2</v>
      </c>
      <c r="J1104" s="1">
        <f t="shared" si="51"/>
        <v>0</v>
      </c>
      <c r="K1104" s="1">
        <f t="shared" si="52"/>
        <v>4</v>
      </c>
    </row>
    <row r="1105" spans="4:11" ht="15.75" thickBot="1">
      <c r="D1105" s="8"/>
      <c r="E1105" s="15" t="s">
        <v>36</v>
      </c>
      <c r="F1105" s="15" t="s">
        <v>13</v>
      </c>
      <c r="G1105" s="17" t="s">
        <v>178</v>
      </c>
      <c r="H1105" s="17"/>
      <c r="I1105" s="1" t="str">
        <f t="shared" si="53"/>
        <v/>
      </c>
      <c r="J1105" s="1" t="str">
        <f t="shared" si="51"/>
        <v/>
      </c>
      <c r="K1105" s="1" t="str">
        <f t="shared" si="52"/>
        <v/>
      </c>
    </row>
    <row r="1106" spans="4:11" ht="18" customHeight="1">
      <c r="D1106" s="6" t="s">
        <v>120</v>
      </c>
      <c r="E1106" s="7"/>
      <c r="F1106" s="7"/>
      <c r="G1106" s="17" t="s">
        <v>182</v>
      </c>
      <c r="H1106" s="17">
        <v>0</v>
      </c>
      <c r="I1106" s="1">
        <f t="shared" si="53"/>
        <v>3</v>
      </c>
      <c r="J1106" s="1">
        <f t="shared" si="51"/>
        <v>0</v>
      </c>
      <c r="K1106" s="1">
        <f t="shared" si="52"/>
        <v>9</v>
      </c>
    </row>
    <row r="1107" spans="4:11" ht="15.75" thickBot="1">
      <c r="D1107" s="8"/>
      <c r="E1107" s="15" t="s">
        <v>33</v>
      </c>
      <c r="F1107" s="15" t="s">
        <v>10</v>
      </c>
      <c r="G1107" s="17" t="s">
        <v>178</v>
      </c>
      <c r="H1107" s="17"/>
      <c r="I1107" s="1" t="str">
        <f t="shared" si="53"/>
        <v/>
      </c>
      <c r="J1107" s="1" t="str">
        <f t="shared" si="51"/>
        <v/>
      </c>
      <c r="K1107" s="1" t="str">
        <f t="shared" si="52"/>
        <v/>
      </c>
    </row>
    <row r="1108" spans="4:11" ht="18" customHeight="1">
      <c r="D1108" s="6" t="s">
        <v>120</v>
      </c>
      <c r="E1108" s="7"/>
      <c r="F1108" s="7"/>
      <c r="G1108" s="17" t="s">
        <v>179</v>
      </c>
      <c r="H1108" s="17">
        <v>6</v>
      </c>
      <c r="I1108" s="1">
        <f t="shared" si="53"/>
        <v>-6</v>
      </c>
      <c r="J1108" s="1">
        <f t="shared" si="51"/>
        <v>0</v>
      </c>
      <c r="K1108" s="1">
        <f t="shared" si="52"/>
        <v>36</v>
      </c>
    </row>
    <row r="1109" spans="4:11" ht="15.75" thickBot="1">
      <c r="D1109" s="8"/>
      <c r="E1109" s="15" t="s">
        <v>26</v>
      </c>
      <c r="F1109" s="15" t="s">
        <v>21</v>
      </c>
      <c r="G1109" s="17" t="s">
        <v>178</v>
      </c>
      <c r="H1109" s="17"/>
      <c r="I1109" s="1" t="str">
        <f t="shared" si="53"/>
        <v/>
      </c>
      <c r="J1109" s="1" t="str">
        <f t="shared" si="51"/>
        <v/>
      </c>
      <c r="K1109" s="1" t="str">
        <f t="shared" si="52"/>
        <v/>
      </c>
    </row>
    <row r="1110" spans="4:11" ht="15" customHeight="1">
      <c r="D1110" s="6" t="s">
        <v>120</v>
      </c>
      <c r="E1110" s="7"/>
      <c r="F1110" s="7"/>
      <c r="G1110" s="17" t="s">
        <v>182</v>
      </c>
      <c r="H1110" s="17">
        <v>4</v>
      </c>
      <c r="I1110" s="1">
        <f t="shared" si="53"/>
        <v>-1</v>
      </c>
      <c r="J1110" s="1">
        <f t="shared" si="51"/>
        <v>0</v>
      </c>
      <c r="K1110" s="1">
        <f t="shared" si="52"/>
        <v>1</v>
      </c>
    </row>
    <row r="1111" spans="4:11" ht="15.75" thickBot="1">
      <c r="D1111" s="8"/>
      <c r="E1111" s="15" t="s">
        <v>1</v>
      </c>
      <c r="F1111" s="15" t="s">
        <v>22</v>
      </c>
      <c r="G1111" s="17" t="s">
        <v>178</v>
      </c>
      <c r="H1111" s="17"/>
      <c r="I1111" s="1" t="str">
        <f t="shared" si="53"/>
        <v/>
      </c>
      <c r="J1111" s="1" t="str">
        <f t="shared" si="51"/>
        <v/>
      </c>
      <c r="K1111" s="1" t="str">
        <f t="shared" si="52"/>
        <v/>
      </c>
    </row>
    <row r="1112" spans="4:11" ht="15" customHeight="1">
      <c r="D1112" s="6" t="s">
        <v>120</v>
      </c>
      <c r="E1112" s="7"/>
      <c r="F1112" s="7"/>
      <c r="G1112" s="17" t="s">
        <v>182</v>
      </c>
      <c r="H1112" s="17">
        <v>4</v>
      </c>
      <c r="I1112" s="1">
        <f t="shared" si="53"/>
        <v>-1</v>
      </c>
      <c r="J1112" s="1">
        <f t="shared" si="51"/>
        <v>0</v>
      </c>
      <c r="K1112" s="1">
        <f t="shared" si="52"/>
        <v>1</v>
      </c>
    </row>
    <row r="1113" spans="4:11" ht="15.75" thickBot="1">
      <c r="D1113" s="8"/>
      <c r="E1113" s="16" t="s">
        <v>24</v>
      </c>
      <c r="F1113" s="16" t="s">
        <v>4</v>
      </c>
      <c r="G1113" s="17" t="s">
        <v>178</v>
      </c>
      <c r="H1113" s="17"/>
      <c r="I1113" s="1" t="str">
        <f t="shared" si="53"/>
        <v/>
      </c>
      <c r="J1113" s="1" t="str">
        <f t="shared" si="51"/>
        <v/>
      </c>
      <c r="K1113" s="1" t="str">
        <f t="shared" si="52"/>
        <v/>
      </c>
    </row>
    <row r="1114" spans="4:11" ht="15" customHeight="1">
      <c r="D1114" s="6" t="s">
        <v>121</v>
      </c>
      <c r="E1114" s="12"/>
      <c r="F1114" s="12"/>
      <c r="G1114" s="17" t="s">
        <v>180</v>
      </c>
      <c r="H1114" s="17">
        <v>3</v>
      </c>
      <c r="I1114" s="1">
        <f t="shared" si="53"/>
        <v>-1</v>
      </c>
      <c r="J1114" s="1">
        <f t="shared" si="51"/>
        <v>0</v>
      </c>
      <c r="K1114" s="1">
        <f t="shared" si="52"/>
        <v>1</v>
      </c>
    </row>
    <row r="1115" spans="4:11" ht="30.75" thickBot="1">
      <c r="D1115" s="8"/>
      <c r="E1115" s="15" t="s">
        <v>20</v>
      </c>
      <c r="F1115" s="15" t="s">
        <v>12</v>
      </c>
      <c r="G1115" s="17"/>
      <c r="H1115" s="17"/>
      <c r="I1115" s="1" t="str">
        <f t="shared" si="53"/>
        <v/>
      </c>
      <c r="J1115" s="1" t="str">
        <f t="shared" si="51"/>
        <v/>
      </c>
      <c r="K1115" s="1" t="str">
        <f t="shared" si="52"/>
        <v/>
      </c>
    </row>
    <row r="1116" spans="4:11" ht="15" customHeight="1">
      <c r="D1116" s="14" t="s">
        <v>121</v>
      </c>
      <c r="E1116" s="7"/>
      <c r="F1116" s="7"/>
      <c r="G1116" s="17">
        <v>3</v>
      </c>
      <c r="H1116" s="17">
        <v>2</v>
      </c>
      <c r="I1116" s="1">
        <f t="shared" si="53"/>
        <v>1</v>
      </c>
      <c r="J1116" s="1">
        <f t="shared" si="51"/>
        <v>0</v>
      </c>
      <c r="K1116" s="1">
        <f t="shared" si="52"/>
        <v>1</v>
      </c>
    </row>
    <row r="1117" spans="4:11" ht="15.75" thickBot="1">
      <c r="D1117" s="8"/>
      <c r="E1117" s="15" t="s">
        <v>34</v>
      </c>
      <c r="F1117" s="15" t="s">
        <v>3</v>
      </c>
      <c r="G1117" s="17"/>
      <c r="H1117" s="17"/>
      <c r="I1117" s="1" t="str">
        <f t="shared" si="53"/>
        <v/>
      </c>
      <c r="J1117" s="1" t="str">
        <f t="shared" si="51"/>
        <v/>
      </c>
      <c r="K1117" s="1" t="str">
        <f t="shared" si="52"/>
        <v/>
      </c>
    </row>
    <row r="1118" spans="4:11" ht="18" customHeight="1">
      <c r="D1118" s="6" t="s">
        <v>122</v>
      </c>
      <c r="E1118" s="7"/>
      <c r="F1118" s="7"/>
      <c r="G1118" s="17" t="s">
        <v>180</v>
      </c>
      <c r="H1118" s="17">
        <v>0</v>
      </c>
      <c r="I1118" s="1">
        <f t="shared" si="53"/>
        <v>2</v>
      </c>
      <c r="J1118" s="1">
        <f t="shared" si="51"/>
        <v>2550</v>
      </c>
      <c r="K1118" s="1">
        <f t="shared" si="52"/>
        <v>6492304</v>
      </c>
    </row>
    <row r="1119" spans="4:11" ht="15.75" thickBot="1">
      <c r="D1119" s="8"/>
      <c r="E1119" s="15" t="s">
        <v>14</v>
      </c>
      <c r="F1119" s="15" t="s">
        <v>8</v>
      </c>
      <c r="G1119" s="17" t="s">
        <v>178</v>
      </c>
      <c r="H1119" s="17"/>
      <c r="I1119" s="1" t="str">
        <f t="shared" si="53"/>
        <v/>
      </c>
      <c r="J1119" s="1" t="str">
        <f t="shared" si="51"/>
        <v/>
      </c>
      <c r="K1119" s="1" t="str">
        <f t="shared" si="52"/>
        <v/>
      </c>
    </row>
    <row r="1120" spans="4:11" ht="15" customHeight="1">
      <c r="D1120" s="6" t="s">
        <v>122</v>
      </c>
      <c r="E1120" s="7"/>
      <c r="F1120" s="7"/>
      <c r="G1120" s="17" t="s">
        <v>184</v>
      </c>
      <c r="H1120" s="17">
        <v>2</v>
      </c>
      <c r="I1120" s="1">
        <f t="shared" si="53"/>
        <v>2</v>
      </c>
      <c r="J1120" s="1">
        <f t="shared" si="51"/>
        <v>0</v>
      </c>
      <c r="K1120" s="1">
        <f t="shared" si="52"/>
        <v>4</v>
      </c>
    </row>
    <row r="1121" spans="4:11" ht="15.75" thickBot="1">
      <c r="D1121" s="8"/>
      <c r="E1121" s="15" t="s">
        <v>230</v>
      </c>
      <c r="F1121" s="15" t="s">
        <v>36</v>
      </c>
      <c r="G1121" s="17" t="s">
        <v>178</v>
      </c>
      <c r="H1121" s="17"/>
      <c r="I1121" s="1" t="str">
        <f t="shared" si="53"/>
        <v/>
      </c>
      <c r="J1121" s="1" t="str">
        <f t="shared" si="51"/>
        <v/>
      </c>
      <c r="K1121" s="1" t="str">
        <f t="shared" si="52"/>
        <v/>
      </c>
    </row>
    <row r="1122" spans="4:11" ht="15" customHeight="1">
      <c r="D1122" s="6" t="s">
        <v>122</v>
      </c>
      <c r="E1122" s="7"/>
      <c r="F1122" s="7"/>
      <c r="G1122" s="17" t="s">
        <v>182</v>
      </c>
      <c r="H1122" s="17">
        <v>6</v>
      </c>
      <c r="I1122" s="1">
        <f t="shared" si="53"/>
        <v>-3</v>
      </c>
      <c r="J1122" s="1">
        <f t="shared" si="51"/>
        <v>0</v>
      </c>
      <c r="K1122" s="1">
        <f t="shared" si="52"/>
        <v>9</v>
      </c>
    </row>
    <row r="1123" spans="4:11" ht="15.75" thickBot="1">
      <c r="D1123" s="8"/>
      <c r="E1123" s="15" t="s">
        <v>37</v>
      </c>
      <c r="F1123" s="15" t="s">
        <v>11</v>
      </c>
      <c r="G1123" s="17" t="s">
        <v>178</v>
      </c>
      <c r="H1123" s="17"/>
      <c r="I1123" s="1" t="str">
        <f t="shared" si="53"/>
        <v/>
      </c>
      <c r="J1123" s="1" t="str">
        <f t="shared" si="51"/>
        <v/>
      </c>
      <c r="K1123" s="1" t="str">
        <f t="shared" si="52"/>
        <v/>
      </c>
    </row>
    <row r="1124" spans="4:11" ht="15" customHeight="1">
      <c r="D1124" s="6" t="s">
        <v>122</v>
      </c>
      <c r="E1124" s="7"/>
      <c r="F1124" s="7"/>
      <c r="G1124" s="17" t="s">
        <v>181</v>
      </c>
      <c r="H1124" s="17">
        <v>2</v>
      </c>
      <c r="I1124" s="1">
        <f t="shared" si="53"/>
        <v>-1</v>
      </c>
      <c r="J1124" s="1">
        <f t="shared" si="51"/>
        <v>0</v>
      </c>
      <c r="K1124" s="1">
        <f t="shared" si="52"/>
        <v>1</v>
      </c>
    </row>
    <row r="1125" spans="4:11" ht="15.75" thickBot="1">
      <c r="D1125" s="8"/>
      <c r="E1125" s="15" t="s">
        <v>1</v>
      </c>
      <c r="F1125" s="15" t="s">
        <v>28</v>
      </c>
      <c r="G1125" s="17" t="s">
        <v>178</v>
      </c>
      <c r="H1125" s="17"/>
      <c r="I1125" s="1" t="str">
        <f t="shared" si="53"/>
        <v/>
      </c>
      <c r="J1125" s="1" t="str">
        <f t="shared" si="51"/>
        <v/>
      </c>
      <c r="K1125" s="1" t="str">
        <f t="shared" si="52"/>
        <v/>
      </c>
    </row>
    <row r="1126" spans="4:11" ht="15" customHeight="1">
      <c r="D1126" s="6" t="s">
        <v>122</v>
      </c>
      <c r="E1126" s="7"/>
      <c r="F1126" s="7"/>
      <c r="G1126" s="17" t="s">
        <v>181</v>
      </c>
      <c r="H1126" s="17">
        <v>3</v>
      </c>
      <c r="I1126" s="1">
        <f t="shared" si="53"/>
        <v>-2</v>
      </c>
      <c r="J1126" s="1">
        <f t="shared" si="51"/>
        <v>0</v>
      </c>
      <c r="K1126" s="1">
        <f t="shared" si="52"/>
        <v>4</v>
      </c>
    </row>
    <row r="1127" spans="4:11" ht="15.75" thickBot="1">
      <c r="D1127" s="8"/>
      <c r="E1127" s="15" t="s">
        <v>0</v>
      </c>
      <c r="F1127" s="15" t="s">
        <v>23</v>
      </c>
      <c r="G1127" s="17" t="s">
        <v>178</v>
      </c>
      <c r="H1127" s="17"/>
      <c r="I1127" s="1" t="str">
        <f t="shared" si="53"/>
        <v/>
      </c>
      <c r="J1127" s="1" t="str">
        <f t="shared" si="51"/>
        <v/>
      </c>
      <c r="K1127" s="1" t="str">
        <f t="shared" si="52"/>
        <v/>
      </c>
    </row>
    <row r="1128" spans="4:11" ht="15" customHeight="1">
      <c r="D1128" s="6" t="s">
        <v>122</v>
      </c>
      <c r="E1128" s="7"/>
      <c r="F1128" s="7"/>
      <c r="G1128" s="17" t="s">
        <v>181</v>
      </c>
      <c r="H1128" s="17">
        <v>2</v>
      </c>
      <c r="I1128" s="1">
        <f t="shared" si="53"/>
        <v>-1</v>
      </c>
      <c r="J1128" s="1">
        <f t="shared" si="51"/>
        <v>0</v>
      </c>
      <c r="K1128" s="1">
        <f t="shared" si="52"/>
        <v>1</v>
      </c>
    </row>
    <row r="1129" spans="4:11" ht="15.75" thickBot="1">
      <c r="D1129" s="8"/>
      <c r="E1129" s="15" t="s">
        <v>24</v>
      </c>
      <c r="F1129" s="15" t="s">
        <v>22</v>
      </c>
      <c r="G1129" s="17" t="s">
        <v>178</v>
      </c>
      <c r="H1129" s="17"/>
      <c r="I1129" s="1" t="str">
        <f t="shared" si="53"/>
        <v/>
      </c>
      <c r="J1129" s="1" t="str">
        <f t="shared" si="51"/>
        <v/>
      </c>
      <c r="K1129" s="1" t="str">
        <f t="shared" si="52"/>
        <v/>
      </c>
    </row>
    <row r="1130" spans="4:11" ht="15" customHeight="1">
      <c r="D1130" s="6" t="s">
        <v>122</v>
      </c>
      <c r="E1130" s="7"/>
      <c r="F1130" s="7"/>
      <c r="G1130" s="17" t="s">
        <v>180</v>
      </c>
      <c r="H1130" s="17">
        <v>1</v>
      </c>
      <c r="I1130" s="1">
        <f t="shared" si="53"/>
        <v>1</v>
      </c>
      <c r="J1130" s="1">
        <f t="shared" si="51"/>
        <v>0</v>
      </c>
      <c r="K1130" s="1">
        <f t="shared" si="52"/>
        <v>1</v>
      </c>
    </row>
    <row r="1131" spans="4:11" ht="15.75" thickBot="1">
      <c r="D1131" s="8"/>
      <c r="E1131" s="15" t="s">
        <v>41</v>
      </c>
      <c r="F1131" s="15" t="s">
        <v>4</v>
      </c>
      <c r="G1131" s="17" t="s">
        <v>178</v>
      </c>
      <c r="H1131" s="17"/>
      <c r="I1131" s="1" t="str">
        <f t="shared" si="53"/>
        <v/>
      </c>
      <c r="J1131" s="1" t="str">
        <f t="shared" si="51"/>
        <v/>
      </c>
      <c r="K1131" s="1" t="str">
        <f t="shared" si="52"/>
        <v/>
      </c>
    </row>
    <row r="1132" spans="4:11" ht="18" customHeight="1">
      <c r="D1132" s="6" t="s">
        <v>122</v>
      </c>
      <c r="E1132" s="7"/>
      <c r="F1132" s="7"/>
      <c r="G1132" s="17" t="s">
        <v>182</v>
      </c>
      <c r="H1132" s="17">
        <v>4</v>
      </c>
      <c r="I1132" s="1">
        <f t="shared" si="53"/>
        <v>-1</v>
      </c>
      <c r="J1132" s="1">
        <f t="shared" si="51"/>
        <v>0</v>
      </c>
      <c r="K1132" s="1">
        <f t="shared" si="52"/>
        <v>1</v>
      </c>
    </row>
    <row r="1133" spans="4:11" ht="15.75" thickBot="1">
      <c r="D1133" s="8"/>
      <c r="E1133" s="15" t="s">
        <v>39</v>
      </c>
      <c r="F1133" s="15" t="s">
        <v>10</v>
      </c>
      <c r="G1133" s="17" t="s">
        <v>178</v>
      </c>
      <c r="H1133" s="17"/>
      <c r="I1133" s="1" t="str">
        <f t="shared" si="53"/>
        <v/>
      </c>
      <c r="J1133" s="1" t="str">
        <f t="shared" si="51"/>
        <v/>
      </c>
      <c r="K1133" s="1" t="str">
        <f t="shared" si="52"/>
        <v/>
      </c>
    </row>
    <row r="1134" spans="4:11" ht="18" customHeight="1">
      <c r="D1134" s="6" t="s">
        <v>123</v>
      </c>
      <c r="E1134" s="7"/>
      <c r="F1134" s="7"/>
      <c r="G1134" s="17" t="s">
        <v>182</v>
      </c>
      <c r="H1134" s="17">
        <v>2</v>
      </c>
      <c r="I1134" s="1">
        <f t="shared" si="53"/>
        <v>1</v>
      </c>
      <c r="J1134" s="1">
        <f t="shared" si="51"/>
        <v>0</v>
      </c>
      <c r="K1134" s="1">
        <f t="shared" si="52"/>
        <v>1</v>
      </c>
    </row>
    <row r="1135" spans="4:11" ht="15.75" thickBot="1">
      <c r="D1135" s="8"/>
      <c r="E1135" s="15" t="s">
        <v>18</v>
      </c>
      <c r="F1135" s="15" t="s">
        <v>2</v>
      </c>
      <c r="G1135" s="17" t="s">
        <v>178</v>
      </c>
      <c r="H1135" s="17"/>
      <c r="I1135" s="1" t="str">
        <f t="shared" si="53"/>
        <v/>
      </c>
      <c r="J1135" s="1" t="str">
        <f t="shared" si="51"/>
        <v/>
      </c>
      <c r="K1135" s="1" t="str">
        <f t="shared" si="52"/>
        <v/>
      </c>
    </row>
    <row r="1136" spans="4:11" ht="15" customHeight="1">
      <c r="D1136" s="6" t="s">
        <v>123</v>
      </c>
      <c r="E1136" s="7"/>
      <c r="F1136" s="7"/>
      <c r="G1136" s="17" t="s">
        <v>186</v>
      </c>
      <c r="H1136" s="17">
        <v>6</v>
      </c>
      <c r="I1136" s="1">
        <f t="shared" si="53"/>
        <v>1</v>
      </c>
      <c r="J1136" s="1">
        <f t="shared" si="51"/>
        <v>0</v>
      </c>
      <c r="K1136" s="1">
        <f t="shared" si="52"/>
        <v>1</v>
      </c>
    </row>
    <row r="1137" spans="4:11" ht="15.75" thickBot="1">
      <c r="D1137" s="8"/>
      <c r="E1137" s="15" t="s">
        <v>19</v>
      </c>
      <c r="F1137" s="15" t="s">
        <v>34</v>
      </c>
      <c r="G1137" s="17" t="s">
        <v>178</v>
      </c>
      <c r="H1137" s="17"/>
      <c r="I1137" s="1" t="str">
        <f t="shared" si="53"/>
        <v/>
      </c>
      <c r="J1137" s="1" t="str">
        <f t="shared" si="51"/>
        <v/>
      </c>
      <c r="K1137" s="1" t="str">
        <f t="shared" si="52"/>
        <v/>
      </c>
    </row>
    <row r="1138" spans="4:11" ht="15" customHeight="1">
      <c r="D1138" s="6" t="s">
        <v>123</v>
      </c>
      <c r="E1138" s="7"/>
      <c r="F1138" s="7"/>
      <c r="G1138" s="17" t="s">
        <v>180</v>
      </c>
      <c r="H1138" s="17">
        <v>5</v>
      </c>
      <c r="I1138" s="1">
        <f t="shared" si="53"/>
        <v>-3</v>
      </c>
      <c r="J1138" s="1">
        <f t="shared" si="51"/>
        <v>0</v>
      </c>
      <c r="K1138" s="1">
        <f t="shared" si="52"/>
        <v>9</v>
      </c>
    </row>
    <row r="1139" spans="4:11" ht="15.75" thickBot="1">
      <c r="D1139" s="8"/>
      <c r="E1139" s="15" t="s">
        <v>1</v>
      </c>
      <c r="F1139" s="15" t="s">
        <v>36</v>
      </c>
      <c r="G1139" s="17" t="s">
        <v>178</v>
      </c>
      <c r="H1139" s="17"/>
      <c r="I1139" s="1" t="str">
        <f t="shared" si="53"/>
        <v/>
      </c>
      <c r="J1139" s="1" t="str">
        <f t="shared" si="51"/>
        <v/>
      </c>
      <c r="K1139" s="1" t="str">
        <f t="shared" si="52"/>
        <v/>
      </c>
    </row>
    <row r="1140" spans="4:11" ht="15" customHeight="1">
      <c r="D1140" s="6" t="s">
        <v>123</v>
      </c>
      <c r="E1140" s="7"/>
      <c r="F1140" s="7"/>
      <c r="G1140" s="17" t="s">
        <v>181</v>
      </c>
      <c r="H1140" s="17">
        <v>6</v>
      </c>
      <c r="I1140" s="1">
        <f t="shared" si="53"/>
        <v>-5</v>
      </c>
      <c r="J1140" s="1">
        <f t="shared" si="51"/>
        <v>-2550</v>
      </c>
      <c r="K1140" s="1">
        <f t="shared" si="52"/>
        <v>6477025</v>
      </c>
    </row>
    <row r="1141" spans="4:11" ht="15.75" thickBot="1">
      <c r="D1141" s="8"/>
      <c r="E1141" s="15" t="s">
        <v>8</v>
      </c>
      <c r="F1141" s="15" t="s">
        <v>38</v>
      </c>
      <c r="G1141" s="17" t="s">
        <v>178</v>
      </c>
      <c r="H1141" s="17"/>
      <c r="I1141" s="1" t="str">
        <f t="shared" si="53"/>
        <v/>
      </c>
      <c r="J1141" s="1" t="str">
        <f t="shared" si="51"/>
        <v/>
      </c>
      <c r="K1141" s="1" t="str">
        <f t="shared" si="52"/>
        <v/>
      </c>
    </row>
    <row r="1142" spans="4:11" ht="15" customHeight="1">
      <c r="D1142" s="6" t="s">
        <v>123</v>
      </c>
      <c r="E1142" s="7"/>
      <c r="F1142" s="7"/>
      <c r="G1142" s="17" t="s">
        <v>184</v>
      </c>
      <c r="H1142" s="17">
        <v>1</v>
      </c>
      <c r="I1142" s="1">
        <f t="shared" si="53"/>
        <v>3</v>
      </c>
      <c r="J1142" s="1">
        <f t="shared" si="51"/>
        <v>0</v>
      </c>
      <c r="K1142" s="1">
        <f t="shared" si="52"/>
        <v>9</v>
      </c>
    </row>
    <row r="1143" spans="4:11" ht="15.75" thickBot="1">
      <c r="D1143" s="8"/>
      <c r="E1143" s="15" t="s">
        <v>230</v>
      </c>
      <c r="F1143" s="15" t="s">
        <v>11</v>
      </c>
      <c r="G1143" s="17" t="s">
        <v>178</v>
      </c>
      <c r="H1143" s="17"/>
      <c r="I1143" s="1" t="str">
        <f t="shared" si="53"/>
        <v/>
      </c>
      <c r="J1143" s="1" t="str">
        <f t="shared" si="51"/>
        <v/>
      </c>
      <c r="K1143" s="1" t="str">
        <f t="shared" si="52"/>
        <v/>
      </c>
    </row>
    <row r="1144" spans="4:11" ht="15" customHeight="1">
      <c r="D1144" s="6" t="s">
        <v>123</v>
      </c>
      <c r="E1144" s="7"/>
      <c r="F1144" s="7"/>
      <c r="G1144" s="17" t="s">
        <v>181</v>
      </c>
      <c r="H1144" s="17">
        <v>5</v>
      </c>
      <c r="I1144" s="1">
        <f t="shared" si="53"/>
        <v>-4</v>
      </c>
      <c r="J1144" s="1">
        <f t="shared" si="51"/>
        <v>0</v>
      </c>
      <c r="K1144" s="1">
        <f t="shared" si="52"/>
        <v>16</v>
      </c>
    </row>
    <row r="1145" spans="4:11" ht="15.75" thickBot="1">
      <c r="D1145" s="8"/>
      <c r="E1145" s="15" t="s">
        <v>0</v>
      </c>
      <c r="F1145" s="15" t="s">
        <v>25</v>
      </c>
      <c r="G1145" s="17" t="s">
        <v>178</v>
      </c>
      <c r="H1145" s="17"/>
      <c r="I1145" s="1" t="str">
        <f t="shared" si="53"/>
        <v/>
      </c>
      <c r="J1145" s="1" t="str">
        <f t="shared" si="51"/>
        <v/>
      </c>
      <c r="K1145" s="1" t="str">
        <f t="shared" si="52"/>
        <v/>
      </c>
    </row>
    <row r="1146" spans="4:11" ht="15" customHeight="1">
      <c r="D1146" s="6" t="s">
        <v>123</v>
      </c>
      <c r="E1146" s="7"/>
      <c r="F1146" s="7"/>
      <c r="G1146" s="17" t="s">
        <v>181</v>
      </c>
      <c r="H1146" s="17">
        <v>7</v>
      </c>
      <c r="I1146" s="1">
        <f t="shared" si="53"/>
        <v>-6</v>
      </c>
      <c r="J1146" s="1">
        <f t="shared" si="51"/>
        <v>0</v>
      </c>
      <c r="K1146" s="1">
        <f t="shared" si="52"/>
        <v>36</v>
      </c>
    </row>
    <row r="1147" spans="4:11" ht="15.75" thickBot="1">
      <c r="D1147" s="8"/>
      <c r="E1147" s="15" t="s">
        <v>23</v>
      </c>
      <c r="F1147" s="15" t="s">
        <v>21</v>
      </c>
      <c r="G1147" s="17" t="s">
        <v>178</v>
      </c>
      <c r="H1147" s="17"/>
      <c r="I1147" s="1" t="str">
        <f t="shared" si="53"/>
        <v/>
      </c>
      <c r="J1147" s="1" t="str">
        <f t="shared" si="51"/>
        <v/>
      </c>
      <c r="K1147" s="1" t="str">
        <f t="shared" si="52"/>
        <v/>
      </c>
    </row>
    <row r="1148" spans="4:11" ht="15" customHeight="1">
      <c r="D1148" s="6" t="s">
        <v>123</v>
      </c>
      <c r="E1148" s="7"/>
      <c r="F1148" s="7"/>
      <c r="G1148" s="17" t="s">
        <v>182</v>
      </c>
      <c r="H1148" s="17">
        <v>6</v>
      </c>
      <c r="I1148" s="1">
        <f t="shared" si="53"/>
        <v>-3</v>
      </c>
      <c r="J1148" s="1">
        <f t="shared" si="51"/>
        <v>0</v>
      </c>
      <c r="K1148" s="1">
        <f t="shared" si="52"/>
        <v>9</v>
      </c>
    </row>
    <row r="1149" spans="4:11" ht="15.75" thickBot="1">
      <c r="D1149" s="8"/>
      <c r="E1149" s="15" t="s">
        <v>7</v>
      </c>
      <c r="F1149" s="15" t="s">
        <v>26</v>
      </c>
      <c r="G1149" s="17" t="s">
        <v>178</v>
      </c>
      <c r="H1149" s="17"/>
      <c r="I1149" s="1" t="str">
        <f t="shared" si="53"/>
        <v/>
      </c>
      <c r="J1149" s="1" t="str">
        <f t="shared" si="51"/>
        <v/>
      </c>
      <c r="K1149" s="1" t="str">
        <f t="shared" si="52"/>
        <v/>
      </c>
    </row>
    <row r="1150" spans="4:11" ht="15" customHeight="1">
      <c r="D1150" s="6" t="s">
        <v>123</v>
      </c>
      <c r="E1150" s="7"/>
      <c r="F1150" s="7"/>
      <c r="G1150" s="17" t="s">
        <v>181</v>
      </c>
      <c r="H1150" s="17">
        <v>4</v>
      </c>
      <c r="I1150" s="1">
        <f t="shared" si="53"/>
        <v>-3</v>
      </c>
      <c r="J1150" s="1">
        <f t="shared" si="51"/>
        <v>0</v>
      </c>
      <c r="K1150" s="1">
        <f t="shared" si="52"/>
        <v>9</v>
      </c>
    </row>
    <row r="1151" spans="4:11" ht="15.75" thickBot="1">
      <c r="D1151" s="8"/>
      <c r="E1151" s="15" t="s">
        <v>13</v>
      </c>
      <c r="F1151" s="15" t="s">
        <v>3</v>
      </c>
      <c r="G1151" s="17" t="s">
        <v>178</v>
      </c>
      <c r="H1151" s="17"/>
      <c r="I1151" s="1" t="str">
        <f t="shared" si="53"/>
        <v/>
      </c>
      <c r="J1151" s="1" t="str">
        <f t="shared" si="51"/>
        <v/>
      </c>
      <c r="K1151" s="1" t="str">
        <f t="shared" si="52"/>
        <v/>
      </c>
    </row>
    <row r="1152" spans="4:11" ht="18" customHeight="1">
      <c r="D1152" s="6" t="s">
        <v>123</v>
      </c>
      <c r="E1152" s="7"/>
      <c r="F1152" s="7"/>
      <c r="G1152" s="17" t="s">
        <v>186</v>
      </c>
      <c r="H1152" s="17">
        <v>2</v>
      </c>
      <c r="I1152" s="1">
        <f t="shared" si="53"/>
        <v>5</v>
      </c>
      <c r="J1152" s="1">
        <f t="shared" si="51"/>
        <v>0</v>
      </c>
      <c r="K1152" s="1">
        <f t="shared" si="52"/>
        <v>25</v>
      </c>
    </row>
    <row r="1153" spans="4:11" ht="15.75" thickBot="1">
      <c r="D1153" s="8"/>
      <c r="E1153" s="15" t="s">
        <v>39</v>
      </c>
      <c r="F1153" s="15" t="s">
        <v>33</v>
      </c>
      <c r="G1153" s="17" t="s">
        <v>178</v>
      </c>
      <c r="H1153" s="17"/>
      <c r="I1153" s="1" t="str">
        <f t="shared" si="53"/>
        <v/>
      </c>
      <c r="J1153" s="1" t="str">
        <f t="shared" si="51"/>
        <v/>
      </c>
      <c r="K1153" s="1" t="str">
        <f t="shared" si="52"/>
        <v/>
      </c>
    </row>
    <row r="1154" spans="4:11" ht="15" customHeight="1">
      <c r="D1154" s="6" t="s">
        <v>124</v>
      </c>
      <c r="E1154" s="7"/>
      <c r="F1154" s="7"/>
      <c r="G1154" s="17" t="s">
        <v>181</v>
      </c>
      <c r="H1154" s="17">
        <v>2</v>
      </c>
      <c r="I1154" s="1">
        <f t="shared" si="53"/>
        <v>-1</v>
      </c>
      <c r="J1154" s="1">
        <f t="shared" si="51"/>
        <v>0</v>
      </c>
      <c r="K1154" s="1">
        <f t="shared" si="52"/>
        <v>1</v>
      </c>
    </row>
    <row r="1155" spans="4:11" ht="15.75" thickBot="1">
      <c r="D1155" s="8"/>
      <c r="E1155" s="15" t="s">
        <v>2</v>
      </c>
      <c r="F1155" s="15" t="s">
        <v>28</v>
      </c>
      <c r="G1155" s="17" t="s">
        <v>178</v>
      </c>
      <c r="H1155" s="17"/>
      <c r="I1155" s="1" t="str">
        <f t="shared" si="53"/>
        <v/>
      </c>
      <c r="J1155" s="1" t="str">
        <f t="shared" ref="J1155:J1218" si="54">IF(F1156="","",VLOOKUP(F1156,$A$2:$B$31,2)+$B$33-VLOOKUP(E1156,$A$2:$B$31,2))</f>
        <v/>
      </c>
      <c r="K1155" s="1" t="str">
        <f t="shared" ref="K1155:K1218" si="55">IF(G1155="","",(I1155-J1155)^2)</f>
        <v/>
      </c>
    </row>
    <row r="1156" spans="4:11" ht="15" customHeight="1">
      <c r="D1156" s="6" t="s">
        <v>124</v>
      </c>
      <c r="E1156" s="7"/>
      <c r="F1156" s="7"/>
      <c r="G1156" s="17" t="s">
        <v>182</v>
      </c>
      <c r="H1156" s="17">
        <v>4</v>
      </c>
      <c r="I1156" s="1">
        <f t="shared" ref="I1156:I1219" si="56">IF(G1156="","",G1156-H1156)</f>
        <v>-1</v>
      </c>
      <c r="J1156" s="1">
        <f t="shared" si="54"/>
        <v>0</v>
      </c>
      <c r="K1156" s="1">
        <f t="shared" si="55"/>
        <v>1</v>
      </c>
    </row>
    <row r="1157" spans="4:11" ht="30.75" thickBot="1">
      <c r="D1157" s="8"/>
      <c r="E1157" s="15" t="s">
        <v>14</v>
      </c>
      <c r="F1157" s="15" t="s">
        <v>12</v>
      </c>
      <c r="G1157" s="17" t="s">
        <v>178</v>
      </c>
      <c r="H1157" s="17"/>
      <c r="I1157" s="1" t="str">
        <f t="shared" si="56"/>
        <v/>
      </c>
      <c r="J1157" s="1" t="str">
        <f t="shared" si="54"/>
        <v/>
      </c>
      <c r="K1157" s="1" t="str">
        <f t="shared" si="55"/>
        <v/>
      </c>
    </row>
    <row r="1158" spans="4:11" ht="15" customHeight="1">
      <c r="D1158" s="6" t="s">
        <v>124</v>
      </c>
      <c r="E1158" s="7"/>
      <c r="F1158" s="7"/>
      <c r="G1158" s="17" t="s">
        <v>184</v>
      </c>
      <c r="H1158" s="17">
        <v>2</v>
      </c>
      <c r="I1158" s="1">
        <f t="shared" si="56"/>
        <v>2</v>
      </c>
      <c r="J1158" s="1">
        <f t="shared" si="54"/>
        <v>0</v>
      </c>
      <c r="K1158" s="1">
        <f t="shared" si="55"/>
        <v>4</v>
      </c>
    </row>
    <row r="1159" spans="4:11" ht="15.75" thickBot="1">
      <c r="D1159" s="8"/>
      <c r="E1159" s="15" t="s">
        <v>37</v>
      </c>
      <c r="F1159" s="15" t="s">
        <v>18</v>
      </c>
      <c r="G1159" s="17" t="s">
        <v>178</v>
      </c>
      <c r="H1159" s="17"/>
      <c r="I1159" s="1" t="str">
        <f t="shared" si="56"/>
        <v/>
      </c>
      <c r="J1159" s="1" t="str">
        <f t="shared" si="54"/>
        <v/>
      </c>
      <c r="K1159" s="1" t="str">
        <f t="shared" si="55"/>
        <v/>
      </c>
    </row>
    <row r="1160" spans="4:11" ht="18" customHeight="1">
      <c r="D1160" s="6" t="s">
        <v>124</v>
      </c>
      <c r="E1160" s="7"/>
      <c r="F1160" s="7"/>
      <c r="G1160" s="17" t="s">
        <v>184</v>
      </c>
      <c r="H1160" s="17">
        <v>5</v>
      </c>
      <c r="I1160" s="1">
        <f t="shared" si="56"/>
        <v>-1</v>
      </c>
      <c r="J1160" s="1">
        <f t="shared" si="54"/>
        <v>0</v>
      </c>
      <c r="K1160" s="1">
        <f t="shared" si="55"/>
        <v>1</v>
      </c>
    </row>
    <row r="1161" spans="4:11" ht="15.75" thickBot="1">
      <c r="D1161" s="8"/>
      <c r="E1161" s="15" t="s">
        <v>21</v>
      </c>
      <c r="F1161" s="15" t="s">
        <v>20</v>
      </c>
      <c r="G1161" s="17" t="s">
        <v>178</v>
      </c>
      <c r="H1161" s="17"/>
      <c r="I1161" s="1" t="str">
        <f t="shared" si="56"/>
        <v/>
      </c>
      <c r="J1161" s="1" t="str">
        <f t="shared" si="54"/>
        <v/>
      </c>
      <c r="K1161" s="1" t="str">
        <f t="shared" si="55"/>
        <v/>
      </c>
    </row>
    <row r="1162" spans="4:11" ht="15" customHeight="1">
      <c r="D1162" s="6" t="s">
        <v>124</v>
      </c>
      <c r="E1162" s="7"/>
      <c r="F1162" s="7"/>
      <c r="G1162" s="17" t="s">
        <v>184</v>
      </c>
      <c r="H1162" s="17">
        <v>3</v>
      </c>
      <c r="I1162" s="1">
        <f t="shared" si="56"/>
        <v>1</v>
      </c>
      <c r="J1162" s="1">
        <f t="shared" si="54"/>
        <v>0</v>
      </c>
      <c r="K1162" s="1">
        <f t="shared" si="55"/>
        <v>1</v>
      </c>
    </row>
    <row r="1163" spans="4:11" ht="15.75" thickBot="1">
      <c r="D1163" s="8"/>
      <c r="E1163" s="15" t="s">
        <v>7</v>
      </c>
      <c r="F1163" s="15" t="s">
        <v>22</v>
      </c>
      <c r="G1163" s="17" t="s">
        <v>178</v>
      </c>
      <c r="H1163" s="17"/>
      <c r="I1163" s="1" t="str">
        <f t="shared" si="56"/>
        <v/>
      </c>
      <c r="J1163" s="1" t="str">
        <f t="shared" si="54"/>
        <v/>
      </c>
      <c r="K1163" s="1" t="str">
        <f t="shared" si="55"/>
        <v/>
      </c>
    </row>
    <row r="1164" spans="4:11" ht="18" customHeight="1">
      <c r="D1164" s="6" t="s">
        <v>124</v>
      </c>
      <c r="E1164" s="7"/>
      <c r="F1164" s="7"/>
      <c r="G1164" s="17" t="s">
        <v>182</v>
      </c>
      <c r="H1164" s="17">
        <v>4</v>
      </c>
      <c r="I1164" s="1">
        <f t="shared" si="56"/>
        <v>-1</v>
      </c>
      <c r="J1164" s="1">
        <f t="shared" si="54"/>
        <v>0</v>
      </c>
      <c r="K1164" s="1">
        <f t="shared" si="55"/>
        <v>1</v>
      </c>
    </row>
    <row r="1165" spans="4:11" ht="15.75" thickBot="1">
      <c r="D1165" s="8"/>
      <c r="E1165" s="15" t="s">
        <v>19</v>
      </c>
      <c r="F1165" s="15" t="s">
        <v>10</v>
      </c>
      <c r="G1165" s="17" t="s">
        <v>178</v>
      </c>
      <c r="H1165" s="17"/>
      <c r="I1165" s="1" t="str">
        <f t="shared" si="56"/>
        <v/>
      </c>
      <c r="J1165" s="1" t="str">
        <f t="shared" si="54"/>
        <v/>
      </c>
      <c r="K1165" s="1" t="str">
        <f t="shared" si="55"/>
        <v/>
      </c>
    </row>
    <row r="1166" spans="4:11" ht="15" customHeight="1">
      <c r="D1166" s="6" t="s">
        <v>124</v>
      </c>
      <c r="E1166" s="7"/>
      <c r="F1166" s="7"/>
      <c r="G1166" s="17" t="s">
        <v>180</v>
      </c>
      <c r="H1166" s="17">
        <v>5</v>
      </c>
      <c r="I1166" s="1">
        <f t="shared" si="56"/>
        <v>-3</v>
      </c>
      <c r="J1166" s="1">
        <f t="shared" si="54"/>
        <v>0</v>
      </c>
      <c r="K1166" s="1">
        <f t="shared" si="55"/>
        <v>9</v>
      </c>
    </row>
    <row r="1167" spans="4:11" ht="15.75" thickBot="1">
      <c r="D1167" s="8"/>
      <c r="E1167" s="15" t="s">
        <v>41</v>
      </c>
      <c r="F1167" s="15" t="s">
        <v>24</v>
      </c>
      <c r="G1167" s="17" t="s">
        <v>178</v>
      </c>
      <c r="H1167" s="17"/>
      <c r="I1167" s="1" t="str">
        <f t="shared" si="56"/>
        <v/>
      </c>
      <c r="J1167" s="1" t="str">
        <f t="shared" si="54"/>
        <v/>
      </c>
      <c r="K1167" s="1" t="str">
        <f t="shared" si="55"/>
        <v/>
      </c>
    </row>
    <row r="1168" spans="4:11" ht="15" customHeight="1">
      <c r="D1168" s="6" t="s">
        <v>125</v>
      </c>
      <c r="E1168" s="7"/>
      <c r="F1168" s="7"/>
      <c r="G1168" s="17" t="s">
        <v>182</v>
      </c>
      <c r="H1168" s="17">
        <v>2</v>
      </c>
      <c r="I1168" s="1">
        <f t="shared" si="56"/>
        <v>1</v>
      </c>
      <c r="J1168" s="1">
        <f t="shared" si="54"/>
        <v>0</v>
      </c>
      <c r="K1168" s="1">
        <f t="shared" si="55"/>
        <v>1</v>
      </c>
    </row>
    <row r="1169" spans="4:11" ht="15.75" thickBot="1">
      <c r="D1169" s="8"/>
      <c r="E1169" s="15" t="s">
        <v>33</v>
      </c>
      <c r="F1169" s="15" t="s">
        <v>25</v>
      </c>
      <c r="G1169" s="17" t="s">
        <v>178</v>
      </c>
      <c r="H1169" s="17"/>
      <c r="I1169" s="1" t="str">
        <f t="shared" si="56"/>
        <v/>
      </c>
      <c r="J1169" s="1" t="str">
        <f t="shared" si="54"/>
        <v/>
      </c>
      <c r="K1169" s="1" t="str">
        <f t="shared" si="55"/>
        <v/>
      </c>
    </row>
    <row r="1170" spans="4:11" ht="15" customHeight="1">
      <c r="D1170" s="6" t="s">
        <v>126</v>
      </c>
      <c r="E1170" s="7"/>
      <c r="F1170" s="7"/>
      <c r="G1170" s="17" t="s">
        <v>181</v>
      </c>
      <c r="H1170" s="17">
        <v>4</v>
      </c>
      <c r="I1170" s="1">
        <f t="shared" si="56"/>
        <v>-3</v>
      </c>
      <c r="J1170" s="1">
        <f t="shared" si="54"/>
        <v>-2550</v>
      </c>
      <c r="K1170" s="1">
        <f t="shared" si="55"/>
        <v>6487209</v>
      </c>
    </row>
    <row r="1171" spans="4:11" ht="15.75" thickBot="1">
      <c r="D1171" s="8"/>
      <c r="E1171" s="15" t="s">
        <v>8</v>
      </c>
      <c r="F1171" s="15" t="s">
        <v>36</v>
      </c>
      <c r="G1171" s="17" t="s">
        <v>178</v>
      </c>
      <c r="H1171" s="17"/>
      <c r="I1171" s="1" t="str">
        <f t="shared" si="56"/>
        <v/>
      </c>
      <c r="J1171" s="1" t="str">
        <f t="shared" si="54"/>
        <v/>
      </c>
      <c r="K1171" s="1" t="str">
        <f t="shared" si="55"/>
        <v/>
      </c>
    </row>
    <row r="1172" spans="4:11" ht="15" customHeight="1">
      <c r="D1172" s="6" t="s">
        <v>126</v>
      </c>
      <c r="E1172" s="7"/>
      <c r="F1172" s="7"/>
      <c r="G1172" s="17" t="s">
        <v>181</v>
      </c>
      <c r="H1172" s="17">
        <v>2</v>
      </c>
      <c r="I1172" s="1">
        <f t="shared" si="56"/>
        <v>-1</v>
      </c>
      <c r="J1172" s="1">
        <f t="shared" si="54"/>
        <v>0</v>
      </c>
      <c r="K1172" s="1">
        <f t="shared" si="55"/>
        <v>1</v>
      </c>
    </row>
    <row r="1173" spans="4:11" ht="30.75" thickBot="1">
      <c r="D1173" s="8"/>
      <c r="E1173" s="15" t="s">
        <v>18</v>
      </c>
      <c r="F1173" s="15" t="s">
        <v>1</v>
      </c>
      <c r="G1173" s="17" t="s">
        <v>178</v>
      </c>
      <c r="H1173" s="17"/>
      <c r="I1173" s="1" t="str">
        <f t="shared" si="56"/>
        <v/>
      </c>
      <c r="J1173" s="1" t="str">
        <f t="shared" si="54"/>
        <v/>
      </c>
      <c r="K1173" s="1" t="str">
        <f t="shared" si="55"/>
        <v/>
      </c>
    </row>
    <row r="1174" spans="4:11" ht="15" customHeight="1">
      <c r="D1174" s="6" t="s">
        <v>126</v>
      </c>
      <c r="E1174" s="7"/>
      <c r="F1174" s="7"/>
      <c r="G1174" s="17" t="s">
        <v>184</v>
      </c>
      <c r="H1174" s="17">
        <v>2</v>
      </c>
      <c r="I1174" s="1">
        <f t="shared" si="56"/>
        <v>2</v>
      </c>
      <c r="J1174" s="1">
        <f t="shared" si="54"/>
        <v>0</v>
      </c>
      <c r="K1174" s="1">
        <f t="shared" si="55"/>
        <v>4</v>
      </c>
    </row>
    <row r="1175" spans="4:11" ht="15.75" thickBot="1">
      <c r="D1175" s="8"/>
      <c r="E1175" s="15" t="s">
        <v>37</v>
      </c>
      <c r="F1175" s="15" t="s">
        <v>230</v>
      </c>
      <c r="G1175" s="17" t="s">
        <v>178</v>
      </c>
      <c r="H1175" s="17"/>
      <c r="I1175" s="1" t="str">
        <f t="shared" si="56"/>
        <v/>
      </c>
      <c r="J1175" s="1" t="str">
        <f t="shared" si="54"/>
        <v/>
      </c>
      <c r="K1175" s="1" t="str">
        <f t="shared" si="55"/>
        <v/>
      </c>
    </row>
    <row r="1176" spans="4:11" ht="15" customHeight="1">
      <c r="D1176" s="6" t="s">
        <v>126</v>
      </c>
      <c r="E1176" s="7"/>
      <c r="F1176" s="7"/>
      <c r="G1176" s="17" t="s">
        <v>180</v>
      </c>
      <c r="H1176" s="17">
        <v>3</v>
      </c>
      <c r="I1176" s="1">
        <f t="shared" si="56"/>
        <v>-1</v>
      </c>
      <c r="J1176" s="1">
        <f t="shared" si="54"/>
        <v>0</v>
      </c>
      <c r="K1176" s="1">
        <f t="shared" si="55"/>
        <v>1</v>
      </c>
    </row>
    <row r="1177" spans="4:11" ht="15.75" thickBot="1">
      <c r="D1177" s="8"/>
      <c r="E1177" s="15" t="s">
        <v>28</v>
      </c>
      <c r="F1177" s="15" t="s">
        <v>19</v>
      </c>
      <c r="G1177" s="17" t="s">
        <v>178</v>
      </c>
      <c r="H1177" s="17"/>
      <c r="I1177" s="1" t="str">
        <f t="shared" si="56"/>
        <v/>
      </c>
      <c r="J1177" s="1" t="str">
        <f t="shared" si="54"/>
        <v/>
      </c>
      <c r="K1177" s="1" t="str">
        <f t="shared" si="55"/>
        <v/>
      </c>
    </row>
    <row r="1178" spans="4:11" ht="15" customHeight="1">
      <c r="D1178" s="6" t="s">
        <v>126</v>
      </c>
      <c r="E1178" s="7"/>
      <c r="F1178" s="7"/>
      <c r="G1178" s="17" t="s">
        <v>184</v>
      </c>
      <c r="H1178" s="17">
        <v>3</v>
      </c>
      <c r="I1178" s="1">
        <f t="shared" si="56"/>
        <v>1</v>
      </c>
      <c r="J1178" s="1">
        <f t="shared" si="54"/>
        <v>0</v>
      </c>
      <c r="K1178" s="1">
        <f t="shared" si="55"/>
        <v>1</v>
      </c>
    </row>
    <row r="1179" spans="4:11" ht="15.75" thickBot="1">
      <c r="D1179" s="8"/>
      <c r="E1179" s="15" t="s">
        <v>33</v>
      </c>
      <c r="F1179" s="15" t="s">
        <v>23</v>
      </c>
      <c r="G1179" s="17" t="s">
        <v>178</v>
      </c>
      <c r="H1179" s="17"/>
      <c r="I1179" s="1" t="str">
        <f t="shared" si="56"/>
        <v/>
      </c>
      <c r="J1179" s="1" t="str">
        <f t="shared" si="54"/>
        <v/>
      </c>
      <c r="K1179" s="1" t="str">
        <f t="shared" si="55"/>
        <v/>
      </c>
    </row>
    <row r="1180" spans="4:11" ht="15" customHeight="1">
      <c r="D1180" s="6" t="s">
        <v>126</v>
      </c>
      <c r="E1180" s="7"/>
      <c r="F1180" s="7"/>
      <c r="G1180" s="17" t="s">
        <v>180</v>
      </c>
      <c r="H1180" s="17">
        <v>0</v>
      </c>
      <c r="I1180" s="1">
        <f t="shared" si="56"/>
        <v>2</v>
      </c>
      <c r="J1180" s="1">
        <f t="shared" si="54"/>
        <v>0</v>
      </c>
      <c r="K1180" s="1">
        <f t="shared" si="55"/>
        <v>4</v>
      </c>
    </row>
    <row r="1181" spans="4:11" ht="15.75" thickBot="1">
      <c r="D1181" s="8"/>
      <c r="E1181" s="15" t="s">
        <v>22</v>
      </c>
      <c r="F1181" s="15" t="s">
        <v>20</v>
      </c>
      <c r="G1181" s="17" t="s">
        <v>178</v>
      </c>
      <c r="H1181" s="17"/>
      <c r="I1181" s="1" t="str">
        <f t="shared" si="56"/>
        <v/>
      </c>
      <c r="J1181" s="1" t="str">
        <f t="shared" si="54"/>
        <v/>
      </c>
      <c r="K1181" s="1" t="str">
        <f t="shared" si="55"/>
        <v/>
      </c>
    </row>
    <row r="1182" spans="4:11" ht="18" customHeight="1">
      <c r="D1182" s="6" t="s">
        <v>126</v>
      </c>
      <c r="E1182" s="7"/>
      <c r="F1182" s="7"/>
      <c r="G1182" s="17" t="s">
        <v>184</v>
      </c>
      <c r="H1182" s="17">
        <v>2</v>
      </c>
      <c r="I1182" s="1">
        <f t="shared" si="56"/>
        <v>2</v>
      </c>
      <c r="J1182" s="1">
        <f t="shared" si="54"/>
        <v>0</v>
      </c>
      <c r="K1182" s="1">
        <f t="shared" si="55"/>
        <v>4</v>
      </c>
    </row>
    <row r="1183" spans="4:11" ht="15.75" thickBot="1">
      <c r="D1183" s="8"/>
      <c r="E1183" s="15" t="s">
        <v>7</v>
      </c>
      <c r="F1183" s="15" t="s">
        <v>21</v>
      </c>
      <c r="G1183" s="17" t="s">
        <v>178</v>
      </c>
      <c r="H1183" s="17"/>
      <c r="I1183" s="1" t="str">
        <f t="shared" si="56"/>
        <v/>
      </c>
      <c r="J1183" s="1" t="str">
        <f t="shared" si="54"/>
        <v/>
      </c>
      <c r="K1183" s="1" t="str">
        <f t="shared" si="55"/>
        <v/>
      </c>
    </row>
    <row r="1184" spans="4:11" ht="15" customHeight="1">
      <c r="D1184" s="6" t="s">
        <v>126</v>
      </c>
      <c r="E1184" s="7"/>
      <c r="F1184" s="7"/>
      <c r="G1184" s="17" t="s">
        <v>183</v>
      </c>
      <c r="H1184" s="17">
        <v>0</v>
      </c>
      <c r="I1184" s="1">
        <f t="shared" si="56"/>
        <v>6</v>
      </c>
      <c r="J1184" s="1">
        <f t="shared" si="54"/>
        <v>0</v>
      </c>
      <c r="K1184" s="1">
        <f t="shared" si="55"/>
        <v>36</v>
      </c>
    </row>
    <row r="1185" spans="4:11" ht="15.75" thickBot="1">
      <c r="D1185" s="8"/>
      <c r="E1185" s="15" t="s">
        <v>39</v>
      </c>
      <c r="F1185" s="15" t="s">
        <v>26</v>
      </c>
      <c r="G1185" s="17" t="s">
        <v>178</v>
      </c>
      <c r="H1185" s="17"/>
      <c r="I1185" s="1" t="str">
        <f t="shared" si="56"/>
        <v/>
      </c>
      <c r="J1185" s="1" t="str">
        <f t="shared" si="54"/>
        <v/>
      </c>
      <c r="K1185" s="1" t="str">
        <f t="shared" si="55"/>
        <v/>
      </c>
    </row>
    <row r="1186" spans="4:11" ht="15" customHeight="1">
      <c r="D1186" s="6" t="s">
        <v>126</v>
      </c>
      <c r="E1186" s="7"/>
      <c r="F1186" s="7"/>
      <c r="G1186" s="17" t="s">
        <v>184</v>
      </c>
      <c r="H1186" s="17">
        <v>2</v>
      </c>
      <c r="I1186" s="1">
        <f t="shared" si="56"/>
        <v>2</v>
      </c>
      <c r="J1186" s="1">
        <f t="shared" si="54"/>
        <v>0</v>
      </c>
      <c r="K1186" s="1">
        <f t="shared" si="55"/>
        <v>4</v>
      </c>
    </row>
    <row r="1187" spans="4:11" ht="15.75" thickBot="1">
      <c r="D1187" s="8"/>
      <c r="E1187" s="15" t="s">
        <v>13</v>
      </c>
      <c r="F1187" s="15" t="s">
        <v>24</v>
      </c>
      <c r="G1187" s="17" t="s">
        <v>178</v>
      </c>
      <c r="H1187" s="17"/>
      <c r="I1187" s="1" t="str">
        <f t="shared" si="56"/>
        <v/>
      </c>
      <c r="J1187" s="1" t="str">
        <f t="shared" si="54"/>
        <v/>
      </c>
      <c r="K1187" s="1" t="str">
        <f t="shared" si="55"/>
        <v/>
      </c>
    </row>
    <row r="1188" spans="4:11" ht="15" customHeight="1">
      <c r="D1188" s="6" t="s">
        <v>126</v>
      </c>
      <c r="E1188" s="7"/>
      <c r="F1188" s="7"/>
      <c r="G1188" s="17" t="s">
        <v>180</v>
      </c>
      <c r="H1188" s="17">
        <v>3</v>
      </c>
      <c r="I1188" s="1">
        <f t="shared" si="56"/>
        <v>-1</v>
      </c>
      <c r="J1188" s="1">
        <f t="shared" si="54"/>
        <v>0</v>
      </c>
      <c r="K1188" s="1">
        <f t="shared" si="55"/>
        <v>1</v>
      </c>
    </row>
    <row r="1189" spans="4:11" ht="15.75" thickBot="1">
      <c r="D1189" s="8"/>
      <c r="E1189" s="15" t="s">
        <v>41</v>
      </c>
      <c r="F1189" s="15" t="s">
        <v>3</v>
      </c>
      <c r="G1189" s="17" t="s">
        <v>178</v>
      </c>
      <c r="H1189" s="17"/>
      <c r="I1189" s="1" t="str">
        <f t="shared" si="56"/>
        <v/>
      </c>
      <c r="J1189" s="1" t="str">
        <f t="shared" si="54"/>
        <v/>
      </c>
      <c r="K1189" s="1" t="str">
        <f t="shared" si="55"/>
        <v/>
      </c>
    </row>
    <row r="1190" spans="4:11" ht="15" customHeight="1">
      <c r="D1190" s="6" t="s">
        <v>127</v>
      </c>
      <c r="E1190" s="7"/>
      <c r="F1190" s="7"/>
      <c r="G1190" s="17" t="s">
        <v>183</v>
      </c>
      <c r="H1190" s="17">
        <v>2</v>
      </c>
      <c r="I1190" s="1">
        <f t="shared" si="56"/>
        <v>4</v>
      </c>
      <c r="J1190" s="1">
        <f t="shared" si="54"/>
        <v>0</v>
      </c>
      <c r="K1190" s="1">
        <f t="shared" si="55"/>
        <v>16</v>
      </c>
    </row>
    <row r="1191" spans="4:11" ht="15.75" thickBot="1">
      <c r="D1191" s="8"/>
      <c r="E1191" s="15" t="s">
        <v>12</v>
      </c>
      <c r="F1191" s="15" t="s">
        <v>0</v>
      </c>
      <c r="G1191" s="17" t="s">
        <v>178</v>
      </c>
      <c r="H1191" s="17"/>
      <c r="I1191" s="1" t="str">
        <f t="shared" si="56"/>
        <v/>
      </c>
      <c r="J1191" s="1" t="str">
        <f t="shared" si="54"/>
        <v/>
      </c>
      <c r="K1191" s="1" t="str">
        <f t="shared" si="55"/>
        <v/>
      </c>
    </row>
    <row r="1192" spans="4:11" ht="15" customHeight="1">
      <c r="D1192" s="6" t="s">
        <v>127</v>
      </c>
      <c r="E1192" s="7"/>
      <c r="F1192" s="7"/>
      <c r="G1192" s="17" t="s">
        <v>182</v>
      </c>
      <c r="H1192" s="17">
        <v>2</v>
      </c>
      <c r="I1192" s="1">
        <f t="shared" si="56"/>
        <v>1</v>
      </c>
      <c r="J1192" s="1">
        <f t="shared" si="54"/>
        <v>0</v>
      </c>
      <c r="K1192" s="1">
        <f t="shared" si="55"/>
        <v>1</v>
      </c>
    </row>
    <row r="1193" spans="4:11" ht="15.75" thickBot="1">
      <c r="D1193" s="8"/>
      <c r="E1193" s="15" t="s">
        <v>2</v>
      </c>
      <c r="F1193" s="15" t="s">
        <v>11</v>
      </c>
      <c r="G1193" s="17" t="s">
        <v>178</v>
      </c>
      <c r="H1193" s="17"/>
      <c r="I1193" s="1" t="str">
        <f t="shared" si="56"/>
        <v/>
      </c>
      <c r="J1193" s="1" t="str">
        <f t="shared" si="54"/>
        <v/>
      </c>
      <c r="K1193" s="1" t="str">
        <f t="shared" si="55"/>
        <v/>
      </c>
    </row>
    <row r="1194" spans="4:11" ht="18" customHeight="1">
      <c r="D1194" s="6" t="s">
        <v>127</v>
      </c>
      <c r="E1194" s="7"/>
      <c r="F1194" s="7"/>
      <c r="G1194" s="17" t="s">
        <v>182</v>
      </c>
      <c r="H1194" s="17">
        <v>2</v>
      </c>
      <c r="I1194" s="1">
        <f t="shared" si="56"/>
        <v>1</v>
      </c>
      <c r="J1194" s="1">
        <f t="shared" si="54"/>
        <v>0</v>
      </c>
      <c r="K1194" s="1">
        <f t="shared" si="55"/>
        <v>1</v>
      </c>
    </row>
    <row r="1195" spans="4:11" ht="15.75" thickBot="1">
      <c r="D1195" s="8"/>
      <c r="E1195" s="15" t="s">
        <v>13</v>
      </c>
      <c r="F1195" s="15" t="s">
        <v>4</v>
      </c>
      <c r="G1195" s="17" t="s">
        <v>178</v>
      </c>
      <c r="H1195" s="17"/>
      <c r="I1195" s="1" t="str">
        <f t="shared" si="56"/>
        <v/>
      </c>
      <c r="J1195" s="1" t="str">
        <f t="shared" si="54"/>
        <v/>
      </c>
      <c r="K1195" s="1" t="str">
        <f t="shared" si="55"/>
        <v/>
      </c>
    </row>
    <row r="1196" spans="4:11" ht="15" customHeight="1">
      <c r="D1196" s="6" t="s">
        <v>127</v>
      </c>
      <c r="E1196" s="7"/>
      <c r="F1196" s="7"/>
      <c r="G1196" s="17" t="s">
        <v>184</v>
      </c>
      <c r="H1196" s="17">
        <v>1</v>
      </c>
      <c r="I1196" s="1">
        <f t="shared" si="56"/>
        <v>3</v>
      </c>
      <c r="J1196" s="1">
        <f t="shared" si="54"/>
        <v>0</v>
      </c>
      <c r="K1196" s="1">
        <f t="shared" si="55"/>
        <v>9</v>
      </c>
    </row>
    <row r="1197" spans="4:11" ht="15.75" thickBot="1">
      <c r="D1197" s="8"/>
      <c r="E1197" s="15" t="s">
        <v>38</v>
      </c>
      <c r="F1197" s="15" t="s">
        <v>10</v>
      </c>
      <c r="G1197" s="17" t="s">
        <v>178</v>
      </c>
      <c r="H1197" s="17"/>
      <c r="I1197" s="1" t="str">
        <f t="shared" si="56"/>
        <v/>
      </c>
      <c r="J1197" s="1" t="str">
        <f t="shared" si="54"/>
        <v/>
      </c>
      <c r="K1197" s="1" t="str">
        <f t="shared" si="55"/>
        <v/>
      </c>
    </row>
    <row r="1198" spans="4:11" ht="15" customHeight="1">
      <c r="D1198" s="6" t="s">
        <v>128</v>
      </c>
      <c r="E1198" s="7"/>
      <c r="F1198" s="7"/>
      <c r="G1198" s="17" t="s">
        <v>179</v>
      </c>
      <c r="H1198" s="17">
        <v>3</v>
      </c>
      <c r="I1198" s="1">
        <f t="shared" si="56"/>
        <v>-3</v>
      </c>
      <c r="J1198" s="1">
        <f t="shared" si="54"/>
        <v>0</v>
      </c>
      <c r="K1198" s="1">
        <f t="shared" si="55"/>
        <v>9</v>
      </c>
    </row>
    <row r="1199" spans="4:11" ht="15.75" thickBot="1">
      <c r="D1199" s="8"/>
      <c r="E1199" s="15" t="s">
        <v>36</v>
      </c>
      <c r="F1199" s="15" t="s">
        <v>2</v>
      </c>
      <c r="G1199" s="17" t="s">
        <v>178</v>
      </c>
      <c r="H1199" s="17"/>
      <c r="I1199" s="1" t="str">
        <f t="shared" si="56"/>
        <v/>
      </c>
      <c r="J1199" s="1" t="str">
        <f t="shared" si="54"/>
        <v/>
      </c>
      <c r="K1199" s="1" t="str">
        <f t="shared" si="55"/>
        <v/>
      </c>
    </row>
    <row r="1200" spans="4:11" ht="15" customHeight="1">
      <c r="D1200" s="6" t="s">
        <v>128</v>
      </c>
      <c r="E1200" s="7"/>
      <c r="F1200" s="7"/>
      <c r="G1200" s="17" t="s">
        <v>180</v>
      </c>
      <c r="H1200" s="17">
        <v>3</v>
      </c>
      <c r="I1200" s="1">
        <f t="shared" si="56"/>
        <v>-1</v>
      </c>
      <c r="J1200" s="1">
        <f t="shared" si="54"/>
        <v>0</v>
      </c>
      <c r="K1200" s="1">
        <f t="shared" si="55"/>
        <v>1</v>
      </c>
    </row>
    <row r="1201" spans="4:11" ht="30.75" thickBot="1">
      <c r="D1201" s="8"/>
      <c r="E1201" s="15" t="s">
        <v>12</v>
      </c>
      <c r="F1201" s="15" t="s">
        <v>1</v>
      </c>
      <c r="G1201" s="17" t="s">
        <v>178</v>
      </c>
      <c r="H1201" s="17"/>
      <c r="I1201" s="1" t="str">
        <f t="shared" si="56"/>
        <v/>
      </c>
      <c r="J1201" s="1" t="str">
        <f t="shared" si="54"/>
        <v/>
      </c>
      <c r="K1201" s="1" t="str">
        <f t="shared" si="55"/>
        <v/>
      </c>
    </row>
    <row r="1202" spans="4:11" ht="15" customHeight="1">
      <c r="D1202" s="6" t="s">
        <v>128</v>
      </c>
      <c r="E1202" s="7"/>
      <c r="F1202" s="7"/>
      <c r="G1202" s="17" t="s">
        <v>180</v>
      </c>
      <c r="H1202" s="17">
        <v>5</v>
      </c>
      <c r="I1202" s="1">
        <f t="shared" si="56"/>
        <v>-3</v>
      </c>
      <c r="J1202" s="1">
        <f t="shared" si="54"/>
        <v>-2550</v>
      </c>
      <c r="K1202" s="1">
        <f t="shared" si="55"/>
        <v>6487209</v>
      </c>
    </row>
    <row r="1203" spans="4:11" ht="15.75" thickBot="1">
      <c r="D1203" s="8"/>
      <c r="E1203" s="15" t="s">
        <v>8</v>
      </c>
      <c r="F1203" s="15" t="s">
        <v>28</v>
      </c>
      <c r="G1203" s="17" t="s">
        <v>178</v>
      </c>
      <c r="H1203" s="17"/>
      <c r="I1203" s="1" t="str">
        <f t="shared" si="56"/>
        <v/>
      </c>
      <c r="J1203" s="1" t="str">
        <f t="shared" si="54"/>
        <v/>
      </c>
      <c r="K1203" s="1" t="str">
        <f t="shared" si="55"/>
        <v/>
      </c>
    </row>
    <row r="1204" spans="4:11" ht="18" customHeight="1">
      <c r="D1204" s="6" t="s">
        <v>128</v>
      </c>
      <c r="E1204" s="7"/>
      <c r="F1204" s="7"/>
      <c r="G1204" s="17" t="s">
        <v>180</v>
      </c>
      <c r="H1204" s="17">
        <v>7</v>
      </c>
      <c r="I1204" s="1">
        <f t="shared" si="56"/>
        <v>-5</v>
      </c>
      <c r="J1204" s="1">
        <f t="shared" si="54"/>
        <v>0</v>
      </c>
      <c r="K1204" s="1">
        <f t="shared" si="55"/>
        <v>25</v>
      </c>
    </row>
    <row r="1205" spans="4:11" ht="15.75" thickBot="1">
      <c r="D1205" s="8"/>
      <c r="E1205" s="15" t="s">
        <v>33</v>
      </c>
      <c r="F1205" s="15" t="s">
        <v>39</v>
      </c>
      <c r="G1205" s="17" t="s">
        <v>178</v>
      </c>
      <c r="H1205" s="17"/>
      <c r="I1205" s="1" t="str">
        <f t="shared" si="56"/>
        <v/>
      </c>
      <c r="J1205" s="1" t="str">
        <f t="shared" si="54"/>
        <v/>
      </c>
      <c r="K1205" s="1" t="str">
        <f t="shared" si="55"/>
        <v/>
      </c>
    </row>
    <row r="1206" spans="4:11" ht="15" customHeight="1">
      <c r="D1206" s="6" t="s">
        <v>128</v>
      </c>
      <c r="E1206" s="7"/>
      <c r="F1206" s="7"/>
      <c r="G1206" s="17" t="s">
        <v>180</v>
      </c>
      <c r="H1206" s="17">
        <v>3</v>
      </c>
      <c r="I1206" s="1">
        <f t="shared" si="56"/>
        <v>-1</v>
      </c>
      <c r="J1206" s="1">
        <f t="shared" si="54"/>
        <v>0</v>
      </c>
      <c r="K1206" s="1">
        <f t="shared" si="55"/>
        <v>1</v>
      </c>
    </row>
    <row r="1207" spans="4:11" ht="15.75" thickBot="1">
      <c r="D1207" s="8"/>
      <c r="E1207" s="15" t="s">
        <v>21</v>
      </c>
      <c r="F1207" s="15" t="s">
        <v>19</v>
      </c>
      <c r="G1207" s="17" t="s">
        <v>178</v>
      </c>
      <c r="H1207" s="17"/>
      <c r="I1207" s="1" t="str">
        <f t="shared" si="56"/>
        <v/>
      </c>
      <c r="J1207" s="1" t="str">
        <f t="shared" si="54"/>
        <v/>
      </c>
      <c r="K1207" s="1" t="str">
        <f t="shared" si="55"/>
        <v/>
      </c>
    </row>
    <row r="1208" spans="4:11" ht="15" customHeight="1">
      <c r="D1208" s="6" t="s">
        <v>128</v>
      </c>
      <c r="E1208" s="7"/>
      <c r="F1208" s="7"/>
      <c r="G1208" s="17" t="s">
        <v>184</v>
      </c>
      <c r="H1208" s="17">
        <v>2</v>
      </c>
      <c r="I1208" s="1">
        <f t="shared" si="56"/>
        <v>2</v>
      </c>
      <c r="J1208" s="1">
        <f t="shared" si="54"/>
        <v>0</v>
      </c>
      <c r="K1208" s="1">
        <f t="shared" si="55"/>
        <v>4</v>
      </c>
    </row>
    <row r="1209" spans="4:11" ht="15.75" thickBot="1">
      <c r="D1209" s="8"/>
      <c r="E1209" s="15" t="s">
        <v>20</v>
      </c>
      <c r="F1209" s="15" t="s">
        <v>23</v>
      </c>
      <c r="G1209" s="17" t="s">
        <v>178</v>
      </c>
      <c r="H1209" s="17"/>
      <c r="I1209" s="1" t="str">
        <f t="shared" si="56"/>
        <v/>
      </c>
      <c r="J1209" s="1" t="str">
        <f t="shared" si="54"/>
        <v/>
      </c>
      <c r="K1209" s="1" t="str">
        <f t="shared" si="55"/>
        <v/>
      </c>
    </row>
    <row r="1210" spans="4:11" ht="15" customHeight="1">
      <c r="D1210" s="6" t="s">
        <v>128</v>
      </c>
      <c r="E1210" s="7"/>
      <c r="F1210" s="7"/>
      <c r="G1210" s="17" t="s">
        <v>180</v>
      </c>
      <c r="H1210" s="17">
        <v>5</v>
      </c>
      <c r="I1210" s="1">
        <f t="shared" si="56"/>
        <v>-3</v>
      </c>
      <c r="J1210" s="1">
        <f t="shared" si="54"/>
        <v>0</v>
      </c>
      <c r="K1210" s="1">
        <f t="shared" si="55"/>
        <v>9</v>
      </c>
    </row>
    <row r="1211" spans="4:11" ht="15.75" thickBot="1">
      <c r="D1211" s="8"/>
      <c r="E1211" s="15" t="s">
        <v>18</v>
      </c>
      <c r="F1211" s="15" t="s">
        <v>22</v>
      </c>
      <c r="G1211" s="17" t="s">
        <v>178</v>
      </c>
      <c r="H1211" s="17"/>
      <c r="I1211" s="1" t="str">
        <f t="shared" si="56"/>
        <v/>
      </c>
      <c r="J1211" s="1" t="str">
        <f t="shared" si="54"/>
        <v/>
      </c>
      <c r="K1211" s="1" t="str">
        <f t="shared" si="55"/>
        <v/>
      </c>
    </row>
    <row r="1212" spans="4:11" ht="18" customHeight="1">
      <c r="D1212" s="6" t="s">
        <v>128</v>
      </c>
      <c r="E1212" s="7"/>
      <c r="F1212" s="7"/>
      <c r="G1212" s="17" t="s">
        <v>181</v>
      </c>
      <c r="H1212" s="17">
        <v>4</v>
      </c>
      <c r="I1212" s="1">
        <f t="shared" si="56"/>
        <v>-3</v>
      </c>
      <c r="J1212" s="1">
        <f t="shared" si="54"/>
        <v>0</v>
      </c>
      <c r="K1212" s="1">
        <f t="shared" si="55"/>
        <v>9</v>
      </c>
    </row>
    <row r="1213" spans="4:11" ht="15.75" thickBot="1">
      <c r="D1213" s="8"/>
      <c r="E1213" s="15" t="s">
        <v>25</v>
      </c>
      <c r="F1213" s="15" t="s">
        <v>26</v>
      </c>
      <c r="G1213" s="17" t="s">
        <v>178</v>
      </c>
      <c r="H1213" s="17"/>
      <c r="I1213" s="1" t="str">
        <f t="shared" si="56"/>
        <v/>
      </c>
      <c r="J1213" s="1" t="str">
        <f t="shared" si="54"/>
        <v/>
      </c>
      <c r="K1213" s="1" t="str">
        <f t="shared" si="55"/>
        <v/>
      </c>
    </row>
    <row r="1214" spans="4:11" ht="15" customHeight="1">
      <c r="D1214" s="6" t="s">
        <v>128</v>
      </c>
      <c r="E1214" s="7"/>
      <c r="F1214" s="7"/>
      <c r="G1214" s="17" t="s">
        <v>182</v>
      </c>
      <c r="H1214" s="17">
        <v>1</v>
      </c>
      <c r="I1214" s="1">
        <f t="shared" si="56"/>
        <v>2</v>
      </c>
      <c r="J1214" s="1">
        <f t="shared" si="54"/>
        <v>0</v>
      </c>
      <c r="K1214" s="1">
        <f t="shared" si="55"/>
        <v>4</v>
      </c>
    </row>
    <row r="1215" spans="4:11" ht="15.75" thickBot="1">
      <c r="D1215" s="8"/>
      <c r="E1215" s="15" t="s">
        <v>14</v>
      </c>
      <c r="F1215" s="15" t="s">
        <v>3</v>
      </c>
      <c r="G1215" s="17" t="s">
        <v>178</v>
      </c>
      <c r="H1215" s="17"/>
      <c r="I1215" s="1" t="str">
        <f t="shared" si="56"/>
        <v/>
      </c>
      <c r="J1215" s="1" t="str">
        <f t="shared" si="54"/>
        <v/>
      </c>
      <c r="K1215" s="1" t="str">
        <f t="shared" si="55"/>
        <v/>
      </c>
    </row>
    <row r="1216" spans="4:11" ht="15" customHeight="1">
      <c r="D1216" s="6" t="s">
        <v>128</v>
      </c>
      <c r="E1216" s="7"/>
      <c r="F1216" s="7"/>
      <c r="G1216" s="17" t="s">
        <v>184</v>
      </c>
      <c r="H1216" s="17">
        <v>3</v>
      </c>
      <c r="I1216" s="1">
        <f t="shared" si="56"/>
        <v>1</v>
      </c>
      <c r="J1216" s="1">
        <f t="shared" si="54"/>
        <v>0</v>
      </c>
      <c r="K1216" s="1">
        <f t="shared" si="55"/>
        <v>1</v>
      </c>
    </row>
    <row r="1217" spans="4:11" ht="15.75" thickBot="1">
      <c r="D1217" s="8"/>
      <c r="E1217" s="15" t="s">
        <v>38</v>
      </c>
      <c r="F1217" s="15" t="s">
        <v>34</v>
      </c>
      <c r="G1217" s="17" t="s">
        <v>178</v>
      </c>
      <c r="H1217" s="17"/>
      <c r="I1217" s="1" t="str">
        <f t="shared" si="56"/>
        <v/>
      </c>
      <c r="J1217" s="1" t="str">
        <f t="shared" si="54"/>
        <v/>
      </c>
      <c r="K1217" s="1" t="str">
        <f t="shared" si="55"/>
        <v/>
      </c>
    </row>
    <row r="1218" spans="4:11" ht="15" customHeight="1">
      <c r="D1218" s="6" t="s">
        <v>129</v>
      </c>
      <c r="E1218" s="7"/>
      <c r="F1218" s="7"/>
      <c r="G1218" s="17" t="s">
        <v>182</v>
      </c>
      <c r="H1218" s="17">
        <v>2</v>
      </c>
      <c r="I1218" s="1">
        <f t="shared" si="56"/>
        <v>1</v>
      </c>
      <c r="J1218" s="1">
        <f t="shared" si="54"/>
        <v>0</v>
      </c>
      <c r="K1218" s="1">
        <f t="shared" si="55"/>
        <v>1</v>
      </c>
    </row>
    <row r="1219" spans="4:11" ht="15.75" thickBot="1">
      <c r="D1219" s="8"/>
      <c r="E1219" s="15" t="s">
        <v>41</v>
      </c>
      <c r="F1219" s="15" t="s">
        <v>36</v>
      </c>
      <c r="G1219" s="17" t="s">
        <v>178</v>
      </c>
      <c r="H1219" s="17"/>
      <c r="I1219" s="1" t="str">
        <f t="shared" si="56"/>
        <v/>
      </c>
      <c r="J1219" s="1" t="str">
        <f t="shared" ref="J1219:J1282" si="57">IF(F1220="","",VLOOKUP(F1220,$A$2:$B$31,2)+$B$33-VLOOKUP(E1220,$A$2:$B$31,2))</f>
        <v/>
      </c>
      <c r="K1219" s="1" t="str">
        <f t="shared" ref="K1219:K1282" si="58">IF(G1219="","",(I1219-J1219)^2)</f>
        <v/>
      </c>
    </row>
    <row r="1220" spans="4:11" ht="18" customHeight="1">
      <c r="D1220" s="6" t="s">
        <v>129</v>
      </c>
      <c r="E1220" s="7"/>
      <c r="F1220" s="7"/>
      <c r="G1220" s="17" t="s">
        <v>180</v>
      </c>
      <c r="H1220" s="17">
        <v>5</v>
      </c>
      <c r="I1220" s="1">
        <f t="shared" ref="I1220:I1283" si="59">IF(G1220="","",G1220-H1220)</f>
        <v>-3</v>
      </c>
      <c r="J1220" s="1">
        <f t="shared" si="57"/>
        <v>0</v>
      </c>
      <c r="K1220" s="1">
        <f t="shared" si="58"/>
        <v>9</v>
      </c>
    </row>
    <row r="1221" spans="4:11" ht="15.75" thickBot="1">
      <c r="D1221" s="8"/>
      <c r="E1221" s="15" t="s">
        <v>7</v>
      </c>
      <c r="F1221" s="15" t="s">
        <v>0</v>
      </c>
      <c r="G1221" s="17" t="s">
        <v>178</v>
      </c>
      <c r="H1221" s="17"/>
      <c r="I1221" s="1" t="str">
        <f t="shared" si="59"/>
        <v/>
      </c>
      <c r="J1221" s="1" t="str">
        <f t="shared" si="57"/>
        <v/>
      </c>
      <c r="K1221" s="1" t="str">
        <f t="shared" si="58"/>
        <v/>
      </c>
    </row>
    <row r="1222" spans="4:11" ht="15" customHeight="1">
      <c r="D1222" s="6" t="s">
        <v>129</v>
      </c>
      <c r="E1222" s="7"/>
      <c r="F1222" s="7"/>
      <c r="G1222" s="17" t="s">
        <v>181</v>
      </c>
      <c r="H1222" s="17">
        <v>2</v>
      </c>
      <c r="I1222" s="1">
        <f t="shared" si="59"/>
        <v>-1</v>
      </c>
      <c r="J1222" s="1">
        <f t="shared" si="57"/>
        <v>-2550</v>
      </c>
      <c r="K1222" s="1">
        <f t="shared" si="58"/>
        <v>6497401</v>
      </c>
    </row>
    <row r="1223" spans="4:11" ht="15.75" thickBot="1">
      <c r="D1223" s="8"/>
      <c r="E1223" s="15" t="s">
        <v>8</v>
      </c>
      <c r="F1223" s="15" t="s">
        <v>37</v>
      </c>
      <c r="G1223" s="17" t="s">
        <v>178</v>
      </c>
      <c r="H1223" s="17"/>
      <c r="I1223" s="1" t="str">
        <f t="shared" si="59"/>
        <v/>
      </c>
      <c r="J1223" s="1" t="str">
        <f t="shared" si="57"/>
        <v/>
      </c>
      <c r="K1223" s="1" t="str">
        <f t="shared" si="58"/>
        <v/>
      </c>
    </row>
    <row r="1224" spans="4:11" ht="18" customHeight="1">
      <c r="D1224" s="6" t="s">
        <v>129</v>
      </c>
      <c r="E1224" s="7"/>
      <c r="F1224" s="7"/>
      <c r="G1224" s="17" t="s">
        <v>183</v>
      </c>
      <c r="H1224" s="17">
        <v>5</v>
      </c>
      <c r="I1224" s="1">
        <f t="shared" si="59"/>
        <v>1</v>
      </c>
      <c r="J1224" s="1">
        <f t="shared" si="57"/>
        <v>0</v>
      </c>
      <c r="K1224" s="1">
        <f t="shared" si="58"/>
        <v>1</v>
      </c>
    </row>
    <row r="1225" spans="4:11" ht="15.75" thickBot="1">
      <c r="D1225" s="8"/>
      <c r="E1225" s="15" t="s">
        <v>14</v>
      </c>
      <c r="F1225" s="15" t="s">
        <v>4</v>
      </c>
      <c r="G1225" s="17" t="s">
        <v>178</v>
      </c>
      <c r="H1225" s="17"/>
      <c r="I1225" s="1" t="str">
        <f t="shared" si="59"/>
        <v/>
      </c>
      <c r="J1225" s="1" t="str">
        <f t="shared" si="57"/>
        <v/>
      </c>
      <c r="K1225" s="1" t="str">
        <f t="shared" si="58"/>
        <v/>
      </c>
    </row>
    <row r="1226" spans="4:11" ht="15" customHeight="1">
      <c r="D1226" s="6" t="s">
        <v>129</v>
      </c>
      <c r="E1226" s="7"/>
      <c r="F1226" s="7"/>
      <c r="G1226" s="17" t="s">
        <v>180</v>
      </c>
      <c r="H1226" s="17">
        <v>5</v>
      </c>
      <c r="I1226" s="1">
        <f t="shared" si="59"/>
        <v>-3</v>
      </c>
      <c r="J1226" s="1">
        <f t="shared" si="57"/>
        <v>0</v>
      </c>
      <c r="K1226" s="1">
        <f t="shared" si="58"/>
        <v>9</v>
      </c>
    </row>
    <row r="1227" spans="4:11" ht="15.75" thickBot="1">
      <c r="D1227" s="8"/>
      <c r="E1227" s="15" t="s">
        <v>20</v>
      </c>
      <c r="F1227" s="15" t="s">
        <v>24</v>
      </c>
      <c r="G1227" s="17" t="s">
        <v>178</v>
      </c>
      <c r="H1227" s="17"/>
      <c r="I1227" s="1" t="str">
        <f t="shared" si="59"/>
        <v/>
      </c>
      <c r="J1227" s="1" t="str">
        <f t="shared" si="57"/>
        <v/>
      </c>
      <c r="K1227" s="1" t="str">
        <f t="shared" si="58"/>
        <v/>
      </c>
    </row>
    <row r="1228" spans="4:11" ht="15" customHeight="1">
      <c r="D1228" s="6" t="s">
        <v>130</v>
      </c>
      <c r="E1228" s="7"/>
      <c r="F1228" s="7"/>
      <c r="G1228" s="17" t="s">
        <v>182</v>
      </c>
      <c r="H1228" s="17">
        <v>1</v>
      </c>
      <c r="I1228" s="1">
        <f t="shared" si="59"/>
        <v>2</v>
      </c>
      <c r="J1228" s="1">
        <f t="shared" si="57"/>
        <v>0</v>
      </c>
      <c r="K1228" s="1">
        <f t="shared" si="58"/>
        <v>4</v>
      </c>
    </row>
    <row r="1229" spans="4:11" ht="30.75" thickBot="1">
      <c r="D1229" s="8"/>
      <c r="E1229" s="15" t="s">
        <v>2</v>
      </c>
      <c r="F1229" s="15" t="s">
        <v>1</v>
      </c>
      <c r="G1229" s="17" t="s">
        <v>178</v>
      </c>
      <c r="H1229" s="17"/>
      <c r="I1229" s="1" t="str">
        <f t="shared" si="59"/>
        <v/>
      </c>
      <c r="J1229" s="1" t="str">
        <f t="shared" si="57"/>
        <v/>
      </c>
      <c r="K1229" s="1" t="str">
        <f t="shared" si="58"/>
        <v/>
      </c>
    </row>
    <row r="1230" spans="4:11" ht="15" customHeight="1">
      <c r="D1230" s="6" t="s">
        <v>130</v>
      </c>
      <c r="E1230" s="7"/>
      <c r="F1230" s="7"/>
      <c r="G1230" s="17" t="s">
        <v>182</v>
      </c>
      <c r="H1230" s="17">
        <v>1</v>
      </c>
      <c r="I1230" s="1">
        <f t="shared" si="59"/>
        <v>2</v>
      </c>
      <c r="J1230" s="1">
        <f t="shared" si="57"/>
        <v>0</v>
      </c>
      <c r="K1230" s="1">
        <f t="shared" si="58"/>
        <v>4</v>
      </c>
    </row>
    <row r="1231" spans="4:11" ht="15.75" thickBot="1">
      <c r="D1231" s="8"/>
      <c r="E1231" s="15" t="s">
        <v>19</v>
      </c>
      <c r="F1231" s="15" t="s">
        <v>23</v>
      </c>
      <c r="G1231" s="17" t="s">
        <v>178</v>
      </c>
      <c r="H1231" s="17"/>
      <c r="I1231" s="1" t="str">
        <f t="shared" si="59"/>
        <v/>
      </c>
      <c r="J1231" s="1" t="str">
        <f t="shared" si="57"/>
        <v/>
      </c>
      <c r="K1231" s="1" t="str">
        <f t="shared" si="58"/>
        <v/>
      </c>
    </row>
    <row r="1232" spans="4:11" ht="15" customHeight="1">
      <c r="D1232" s="6" t="s">
        <v>130</v>
      </c>
      <c r="E1232" s="7"/>
      <c r="F1232" s="7"/>
      <c r="G1232" s="17" t="s">
        <v>182</v>
      </c>
      <c r="H1232" s="17">
        <v>4</v>
      </c>
      <c r="I1232" s="1">
        <f t="shared" si="59"/>
        <v>-1</v>
      </c>
      <c r="J1232" s="1">
        <f t="shared" si="57"/>
        <v>0</v>
      </c>
      <c r="K1232" s="1">
        <f t="shared" si="58"/>
        <v>1</v>
      </c>
    </row>
    <row r="1233" spans="4:11" ht="15.75" thickBot="1">
      <c r="D1233" s="8"/>
      <c r="E1233" s="15" t="s">
        <v>21</v>
      </c>
      <c r="F1233" s="15" t="s">
        <v>22</v>
      </c>
      <c r="G1233" s="17" t="s">
        <v>178</v>
      </c>
      <c r="H1233" s="17"/>
      <c r="I1233" s="1" t="str">
        <f t="shared" si="59"/>
        <v/>
      </c>
      <c r="J1233" s="1" t="str">
        <f t="shared" si="57"/>
        <v/>
      </c>
      <c r="K1233" s="1" t="str">
        <f t="shared" si="58"/>
        <v/>
      </c>
    </row>
    <row r="1234" spans="4:11" ht="15" customHeight="1">
      <c r="D1234" s="6" t="s">
        <v>130</v>
      </c>
      <c r="E1234" s="7"/>
      <c r="F1234" s="7"/>
      <c r="G1234" s="17" t="s">
        <v>180</v>
      </c>
      <c r="H1234" s="17">
        <v>1</v>
      </c>
      <c r="I1234" s="1">
        <f t="shared" si="59"/>
        <v>1</v>
      </c>
      <c r="J1234" s="1">
        <f t="shared" si="57"/>
        <v>0</v>
      </c>
      <c r="K1234" s="1">
        <f t="shared" si="58"/>
        <v>1</v>
      </c>
    </row>
    <row r="1235" spans="4:11" ht="15.75" thickBot="1">
      <c r="D1235" s="8"/>
      <c r="E1235" s="15" t="s">
        <v>11</v>
      </c>
      <c r="F1235" s="15" t="s">
        <v>230</v>
      </c>
      <c r="G1235" s="17" t="s">
        <v>178</v>
      </c>
      <c r="H1235" s="17"/>
      <c r="I1235" s="1" t="str">
        <f t="shared" si="59"/>
        <v/>
      </c>
      <c r="J1235" s="1" t="str">
        <f t="shared" si="57"/>
        <v/>
      </c>
      <c r="K1235" s="1" t="str">
        <f t="shared" si="58"/>
        <v/>
      </c>
    </row>
    <row r="1236" spans="4:11" ht="15" customHeight="1">
      <c r="D1236" s="6" t="s">
        <v>130</v>
      </c>
      <c r="E1236" s="7"/>
      <c r="F1236" s="7"/>
      <c r="G1236" s="17" t="s">
        <v>181</v>
      </c>
      <c r="H1236" s="17">
        <v>3</v>
      </c>
      <c r="I1236" s="1">
        <f t="shared" si="59"/>
        <v>-2</v>
      </c>
      <c r="J1236" s="1">
        <f t="shared" si="57"/>
        <v>0</v>
      </c>
      <c r="K1236" s="1">
        <f t="shared" si="58"/>
        <v>4</v>
      </c>
    </row>
    <row r="1237" spans="4:11" ht="30.75" thickBot="1">
      <c r="D1237" s="8"/>
      <c r="E1237" s="15" t="s">
        <v>13</v>
      </c>
      <c r="F1237" s="15" t="s">
        <v>12</v>
      </c>
      <c r="G1237" s="17" t="s">
        <v>178</v>
      </c>
      <c r="H1237" s="17"/>
      <c r="I1237" s="1" t="str">
        <f t="shared" si="59"/>
        <v/>
      </c>
      <c r="J1237" s="1" t="str">
        <f t="shared" si="57"/>
        <v/>
      </c>
      <c r="K1237" s="1" t="str">
        <f t="shared" si="58"/>
        <v/>
      </c>
    </row>
    <row r="1238" spans="4:11" ht="15" customHeight="1">
      <c r="D1238" s="6" t="s">
        <v>130</v>
      </c>
      <c r="E1238" s="7"/>
      <c r="F1238" s="7"/>
      <c r="G1238" s="17" t="s">
        <v>185</v>
      </c>
      <c r="H1238" s="17">
        <v>2</v>
      </c>
      <c r="I1238" s="1">
        <f t="shared" si="59"/>
        <v>3</v>
      </c>
      <c r="J1238" s="1">
        <f t="shared" si="57"/>
        <v>0</v>
      </c>
      <c r="K1238" s="1">
        <f t="shared" si="58"/>
        <v>9</v>
      </c>
    </row>
    <row r="1239" spans="4:11" ht="15.75" thickBot="1">
      <c r="D1239" s="8"/>
      <c r="E1239" s="15" t="s">
        <v>41</v>
      </c>
      <c r="F1239" s="15" t="s">
        <v>7</v>
      </c>
      <c r="G1239" s="17" t="s">
        <v>178</v>
      </c>
      <c r="H1239" s="17"/>
      <c r="I1239" s="1" t="str">
        <f t="shared" si="59"/>
        <v/>
      </c>
      <c r="J1239" s="1" t="str">
        <f t="shared" si="57"/>
        <v/>
      </c>
      <c r="K1239" s="1" t="str">
        <f t="shared" si="58"/>
        <v/>
      </c>
    </row>
    <row r="1240" spans="4:11" ht="15" customHeight="1">
      <c r="D1240" s="6" t="s">
        <v>130</v>
      </c>
      <c r="E1240" s="7"/>
      <c r="F1240" s="7"/>
      <c r="G1240" s="17" t="s">
        <v>185</v>
      </c>
      <c r="H1240" s="17">
        <v>1</v>
      </c>
      <c r="I1240" s="1">
        <f t="shared" si="59"/>
        <v>4</v>
      </c>
      <c r="J1240" s="1">
        <f t="shared" si="57"/>
        <v>0</v>
      </c>
      <c r="K1240" s="1">
        <f t="shared" si="58"/>
        <v>16</v>
      </c>
    </row>
    <row r="1241" spans="4:11" ht="15.75" thickBot="1">
      <c r="D1241" s="8"/>
      <c r="E1241" s="15" t="s">
        <v>18</v>
      </c>
      <c r="F1241" s="15" t="s">
        <v>26</v>
      </c>
      <c r="G1241" s="17" t="s">
        <v>178</v>
      </c>
      <c r="H1241" s="17"/>
      <c r="I1241" s="1" t="str">
        <f t="shared" si="59"/>
        <v/>
      </c>
      <c r="J1241" s="1" t="str">
        <f t="shared" si="57"/>
        <v/>
      </c>
      <c r="K1241" s="1" t="str">
        <f t="shared" si="58"/>
        <v/>
      </c>
    </row>
    <row r="1242" spans="4:11" ht="18" customHeight="1">
      <c r="D1242" s="6" t="s">
        <v>130</v>
      </c>
      <c r="E1242" s="7"/>
      <c r="F1242" s="7"/>
      <c r="G1242" s="17" t="s">
        <v>184</v>
      </c>
      <c r="H1242" s="17">
        <v>5</v>
      </c>
      <c r="I1242" s="1">
        <f t="shared" si="59"/>
        <v>-1</v>
      </c>
      <c r="J1242" s="1">
        <f t="shared" si="57"/>
        <v>0</v>
      </c>
      <c r="K1242" s="1">
        <f t="shared" si="58"/>
        <v>1</v>
      </c>
    </row>
    <row r="1243" spans="4:11" ht="15.75" thickBot="1">
      <c r="D1243" s="8"/>
      <c r="E1243" s="15" t="s">
        <v>28</v>
      </c>
      <c r="F1243" s="15" t="s">
        <v>39</v>
      </c>
      <c r="G1243" s="17" t="s">
        <v>178</v>
      </c>
      <c r="H1243" s="17"/>
      <c r="I1243" s="1" t="str">
        <f t="shared" si="59"/>
        <v/>
      </c>
      <c r="J1243" s="1" t="str">
        <f t="shared" si="57"/>
        <v/>
      </c>
      <c r="K1243" s="1" t="str">
        <f t="shared" si="58"/>
        <v/>
      </c>
    </row>
    <row r="1244" spans="4:11" ht="15" customHeight="1">
      <c r="D1244" s="6" t="s">
        <v>130</v>
      </c>
      <c r="E1244" s="7"/>
      <c r="F1244" s="7"/>
      <c r="G1244" s="17" t="s">
        <v>181</v>
      </c>
      <c r="H1244" s="17">
        <v>0</v>
      </c>
      <c r="I1244" s="1">
        <f t="shared" si="59"/>
        <v>1</v>
      </c>
      <c r="J1244" s="1">
        <f t="shared" si="57"/>
        <v>0</v>
      </c>
      <c r="K1244" s="1">
        <f t="shared" si="58"/>
        <v>1</v>
      </c>
    </row>
    <row r="1245" spans="4:11" ht="15.75" thickBot="1">
      <c r="D1245" s="8"/>
      <c r="E1245" s="15" t="s">
        <v>4</v>
      </c>
      <c r="F1245" s="15" t="s">
        <v>3</v>
      </c>
      <c r="G1245" s="17" t="s">
        <v>178</v>
      </c>
      <c r="H1245" s="17"/>
      <c r="I1245" s="1" t="str">
        <f t="shared" si="59"/>
        <v/>
      </c>
      <c r="J1245" s="1" t="str">
        <f t="shared" si="57"/>
        <v/>
      </c>
      <c r="K1245" s="1" t="str">
        <f t="shared" si="58"/>
        <v/>
      </c>
    </row>
    <row r="1246" spans="4:11" ht="15" customHeight="1">
      <c r="D1246" s="6" t="s">
        <v>130</v>
      </c>
      <c r="E1246" s="7"/>
      <c r="F1246" s="7"/>
      <c r="G1246" s="17" t="s">
        <v>185</v>
      </c>
      <c r="H1246" s="17">
        <v>4</v>
      </c>
      <c r="I1246" s="1">
        <f t="shared" si="59"/>
        <v>1</v>
      </c>
      <c r="J1246" s="1">
        <f t="shared" si="57"/>
        <v>0</v>
      </c>
      <c r="K1246" s="1">
        <f t="shared" si="58"/>
        <v>1</v>
      </c>
    </row>
    <row r="1247" spans="4:11" ht="15.75" thickBot="1">
      <c r="D1247" s="8"/>
      <c r="E1247" s="15" t="s">
        <v>25</v>
      </c>
      <c r="F1247" s="15" t="s">
        <v>34</v>
      </c>
      <c r="G1247" s="17" t="s">
        <v>178</v>
      </c>
      <c r="H1247" s="17"/>
      <c r="I1247" s="1" t="str">
        <f t="shared" si="59"/>
        <v/>
      </c>
      <c r="J1247" s="1" t="str">
        <f t="shared" si="57"/>
        <v/>
      </c>
      <c r="K1247" s="1" t="str">
        <f t="shared" si="58"/>
        <v/>
      </c>
    </row>
    <row r="1248" spans="4:11" ht="15" customHeight="1">
      <c r="D1248" s="6" t="s">
        <v>130</v>
      </c>
      <c r="E1248" s="7"/>
      <c r="F1248" s="7"/>
      <c r="G1248" s="17" t="s">
        <v>182</v>
      </c>
      <c r="H1248" s="17">
        <v>1</v>
      </c>
      <c r="I1248" s="1">
        <f t="shared" si="59"/>
        <v>2</v>
      </c>
      <c r="J1248" s="1">
        <f t="shared" si="57"/>
        <v>0</v>
      </c>
      <c r="K1248" s="1">
        <f t="shared" si="58"/>
        <v>4</v>
      </c>
    </row>
    <row r="1249" spans="4:11" ht="15.75" thickBot="1">
      <c r="D1249" s="8"/>
      <c r="E1249" s="15" t="s">
        <v>38</v>
      </c>
      <c r="F1249" s="15" t="s">
        <v>33</v>
      </c>
      <c r="G1249" s="17" t="s">
        <v>178</v>
      </c>
      <c r="H1249" s="17"/>
      <c r="I1249" s="1" t="str">
        <f t="shared" si="59"/>
        <v/>
      </c>
      <c r="J1249" s="1" t="str">
        <f t="shared" si="57"/>
        <v/>
      </c>
      <c r="K1249" s="1" t="str">
        <f t="shared" si="58"/>
        <v/>
      </c>
    </row>
    <row r="1250" spans="4:11" ht="15" customHeight="1">
      <c r="D1250" s="6" t="s">
        <v>131</v>
      </c>
      <c r="E1250" s="7"/>
      <c r="F1250" s="7"/>
      <c r="G1250" s="17" t="s">
        <v>184</v>
      </c>
      <c r="H1250" s="17">
        <v>2</v>
      </c>
      <c r="I1250" s="1">
        <f t="shared" si="59"/>
        <v>2</v>
      </c>
      <c r="J1250" s="1">
        <f t="shared" si="57"/>
        <v>0</v>
      </c>
      <c r="K1250" s="1">
        <f t="shared" si="58"/>
        <v>4</v>
      </c>
    </row>
    <row r="1251" spans="4:11" ht="15.75" thickBot="1">
      <c r="D1251" s="8"/>
      <c r="E1251" s="15" t="s">
        <v>14</v>
      </c>
      <c r="F1251" s="15" t="s">
        <v>24</v>
      </c>
      <c r="G1251" s="17" t="s">
        <v>178</v>
      </c>
      <c r="H1251" s="17"/>
      <c r="I1251" s="1" t="str">
        <f t="shared" si="59"/>
        <v/>
      </c>
      <c r="J1251" s="1" t="str">
        <f t="shared" si="57"/>
        <v/>
      </c>
      <c r="K1251" s="1" t="str">
        <f t="shared" si="58"/>
        <v/>
      </c>
    </row>
    <row r="1252" spans="4:11" ht="15" customHeight="1">
      <c r="D1252" s="6" t="s">
        <v>131</v>
      </c>
      <c r="E1252" s="7"/>
      <c r="F1252" s="7"/>
      <c r="G1252" s="17" t="s">
        <v>181</v>
      </c>
      <c r="H1252" s="17">
        <v>4</v>
      </c>
      <c r="I1252" s="1">
        <f t="shared" si="59"/>
        <v>-3</v>
      </c>
      <c r="J1252" s="1">
        <f t="shared" si="57"/>
        <v>0</v>
      </c>
      <c r="K1252" s="1">
        <f t="shared" si="58"/>
        <v>9</v>
      </c>
    </row>
    <row r="1253" spans="4:11" ht="15.75" thickBot="1">
      <c r="D1253" s="8"/>
      <c r="E1253" s="15" t="s">
        <v>23</v>
      </c>
      <c r="F1253" s="15" t="s">
        <v>20</v>
      </c>
      <c r="G1253" s="17" t="s">
        <v>178</v>
      </c>
      <c r="H1253" s="17"/>
      <c r="I1253" s="1" t="str">
        <f t="shared" si="59"/>
        <v/>
      </c>
      <c r="J1253" s="1" t="str">
        <f t="shared" si="57"/>
        <v/>
      </c>
      <c r="K1253" s="1" t="str">
        <f t="shared" si="58"/>
        <v/>
      </c>
    </row>
    <row r="1254" spans="4:11" ht="18" customHeight="1">
      <c r="D1254" s="6" t="s">
        <v>131</v>
      </c>
      <c r="E1254" s="7"/>
      <c r="F1254" s="7"/>
      <c r="G1254" s="17" t="s">
        <v>184</v>
      </c>
      <c r="H1254" s="17">
        <v>5</v>
      </c>
      <c r="I1254" s="1">
        <f t="shared" si="59"/>
        <v>-1</v>
      </c>
      <c r="J1254" s="1">
        <f t="shared" si="57"/>
        <v>0</v>
      </c>
      <c r="K1254" s="1">
        <f t="shared" si="58"/>
        <v>1</v>
      </c>
    </row>
    <row r="1255" spans="4:11" ht="15.75" thickBot="1">
      <c r="D1255" s="8"/>
      <c r="E1255" s="15" t="s">
        <v>25</v>
      </c>
      <c r="F1255" s="15" t="s">
        <v>10</v>
      </c>
      <c r="G1255" s="17" t="s">
        <v>178</v>
      </c>
      <c r="H1255" s="17"/>
      <c r="I1255" s="1" t="str">
        <f t="shared" si="59"/>
        <v/>
      </c>
      <c r="J1255" s="1" t="str">
        <f t="shared" si="57"/>
        <v/>
      </c>
      <c r="K1255" s="1" t="str">
        <f t="shared" si="58"/>
        <v/>
      </c>
    </row>
    <row r="1256" spans="4:11" ht="15" customHeight="1">
      <c r="D1256" s="6" t="s">
        <v>132</v>
      </c>
      <c r="E1256" s="7"/>
      <c r="F1256" s="7"/>
      <c r="G1256" s="17" t="s">
        <v>182</v>
      </c>
      <c r="H1256" s="17">
        <v>7</v>
      </c>
      <c r="I1256" s="1">
        <f t="shared" si="59"/>
        <v>-4</v>
      </c>
      <c r="J1256" s="1">
        <f t="shared" si="57"/>
        <v>0</v>
      </c>
      <c r="K1256" s="1">
        <f t="shared" si="58"/>
        <v>16</v>
      </c>
    </row>
    <row r="1257" spans="4:11" ht="30.75" thickBot="1">
      <c r="D1257" s="8"/>
      <c r="E1257" s="15" t="s">
        <v>37</v>
      </c>
      <c r="F1257" s="15" t="s">
        <v>1</v>
      </c>
      <c r="G1257" s="17" t="s">
        <v>178</v>
      </c>
      <c r="H1257" s="17"/>
      <c r="I1257" s="1" t="str">
        <f t="shared" si="59"/>
        <v/>
      </c>
      <c r="J1257" s="1" t="str">
        <f t="shared" si="57"/>
        <v/>
      </c>
      <c r="K1257" s="1" t="str">
        <f t="shared" si="58"/>
        <v/>
      </c>
    </row>
    <row r="1258" spans="4:11" ht="15" customHeight="1">
      <c r="D1258" s="6" t="s">
        <v>132</v>
      </c>
      <c r="E1258" s="7"/>
      <c r="F1258" s="7"/>
      <c r="G1258" s="17" t="s">
        <v>181</v>
      </c>
      <c r="H1258" s="17">
        <v>2</v>
      </c>
      <c r="I1258" s="1">
        <f t="shared" si="59"/>
        <v>-1</v>
      </c>
      <c r="J1258" s="1">
        <f t="shared" si="57"/>
        <v>0</v>
      </c>
      <c r="K1258" s="1">
        <f t="shared" si="58"/>
        <v>1</v>
      </c>
    </row>
    <row r="1259" spans="4:11" ht="30.75" thickBot="1">
      <c r="D1259" s="8"/>
      <c r="E1259" s="15" t="s">
        <v>22</v>
      </c>
      <c r="F1259" s="15" t="s">
        <v>12</v>
      </c>
      <c r="G1259" s="17" t="s">
        <v>178</v>
      </c>
      <c r="H1259" s="17"/>
      <c r="I1259" s="1" t="str">
        <f t="shared" si="59"/>
        <v/>
      </c>
      <c r="J1259" s="1" t="str">
        <f t="shared" si="57"/>
        <v/>
      </c>
      <c r="K1259" s="1" t="str">
        <f t="shared" si="58"/>
        <v/>
      </c>
    </row>
    <row r="1260" spans="4:11" ht="15" customHeight="1">
      <c r="D1260" s="6" t="s">
        <v>132</v>
      </c>
      <c r="E1260" s="7"/>
      <c r="F1260" s="7"/>
      <c r="G1260" s="17" t="s">
        <v>179</v>
      </c>
      <c r="H1260" s="17">
        <v>2</v>
      </c>
      <c r="I1260" s="1">
        <f t="shared" si="59"/>
        <v>-2</v>
      </c>
      <c r="J1260" s="1">
        <f t="shared" si="57"/>
        <v>0</v>
      </c>
      <c r="K1260" s="1">
        <f t="shared" si="58"/>
        <v>4</v>
      </c>
    </row>
    <row r="1261" spans="4:11" ht="15.75" thickBot="1">
      <c r="D1261" s="8"/>
      <c r="E1261" s="15" t="s">
        <v>0</v>
      </c>
      <c r="F1261" s="15" t="s">
        <v>34</v>
      </c>
      <c r="G1261" s="17" t="s">
        <v>178</v>
      </c>
      <c r="H1261" s="17"/>
      <c r="I1261" s="1" t="str">
        <f t="shared" si="59"/>
        <v/>
      </c>
      <c r="J1261" s="1" t="str">
        <f t="shared" si="57"/>
        <v/>
      </c>
      <c r="K1261" s="1" t="str">
        <f t="shared" si="58"/>
        <v/>
      </c>
    </row>
    <row r="1262" spans="4:11" ht="15" customHeight="1">
      <c r="D1262" s="6" t="s">
        <v>133</v>
      </c>
      <c r="E1262" s="7"/>
      <c r="F1262" s="7"/>
      <c r="G1262" s="17" t="s">
        <v>182</v>
      </c>
      <c r="H1262" s="17">
        <v>4</v>
      </c>
      <c r="I1262" s="1">
        <f t="shared" si="59"/>
        <v>-1</v>
      </c>
      <c r="J1262" s="1">
        <f t="shared" si="57"/>
        <v>0</v>
      </c>
      <c r="K1262" s="1">
        <f t="shared" si="58"/>
        <v>1</v>
      </c>
    </row>
    <row r="1263" spans="4:11" ht="15.75" thickBot="1">
      <c r="D1263" s="8"/>
      <c r="E1263" s="15" t="s">
        <v>37</v>
      </c>
      <c r="F1263" s="15" t="s">
        <v>2</v>
      </c>
      <c r="G1263" s="17" t="s">
        <v>178</v>
      </c>
      <c r="H1263" s="17"/>
      <c r="I1263" s="1" t="str">
        <f t="shared" si="59"/>
        <v/>
      </c>
      <c r="J1263" s="1" t="str">
        <f t="shared" si="57"/>
        <v/>
      </c>
      <c r="K1263" s="1" t="str">
        <f t="shared" si="58"/>
        <v/>
      </c>
    </row>
    <row r="1264" spans="4:11" ht="18" customHeight="1">
      <c r="D1264" s="6" t="s">
        <v>133</v>
      </c>
      <c r="E1264" s="7"/>
      <c r="F1264" s="7"/>
      <c r="G1264" s="17" t="s">
        <v>182</v>
      </c>
      <c r="H1264" s="17">
        <v>1</v>
      </c>
      <c r="I1264" s="1">
        <f t="shared" si="59"/>
        <v>2</v>
      </c>
      <c r="J1264" s="1">
        <f t="shared" si="57"/>
        <v>2550</v>
      </c>
      <c r="K1264" s="1">
        <f t="shared" si="58"/>
        <v>6492304</v>
      </c>
    </row>
    <row r="1265" spans="4:11" ht="15.75" thickBot="1">
      <c r="D1265" s="8"/>
      <c r="E1265" s="15" t="s">
        <v>13</v>
      </c>
      <c r="F1265" s="15" t="s">
        <v>8</v>
      </c>
      <c r="G1265" s="17" t="s">
        <v>178</v>
      </c>
      <c r="H1265" s="17"/>
      <c r="I1265" s="1" t="str">
        <f t="shared" si="59"/>
        <v/>
      </c>
      <c r="J1265" s="1" t="str">
        <f t="shared" si="57"/>
        <v/>
      </c>
      <c r="K1265" s="1" t="str">
        <f t="shared" si="58"/>
        <v/>
      </c>
    </row>
    <row r="1266" spans="4:11" ht="15" customHeight="1">
      <c r="D1266" s="6" t="s">
        <v>133</v>
      </c>
      <c r="E1266" s="7"/>
      <c r="F1266" s="7"/>
      <c r="G1266" s="17" t="s">
        <v>182</v>
      </c>
      <c r="H1266" s="17">
        <v>0</v>
      </c>
      <c r="I1266" s="1">
        <f t="shared" si="59"/>
        <v>3</v>
      </c>
      <c r="J1266" s="1">
        <f t="shared" si="57"/>
        <v>0</v>
      </c>
      <c r="K1266" s="1">
        <f t="shared" si="58"/>
        <v>9</v>
      </c>
    </row>
    <row r="1267" spans="4:11" ht="15.75" thickBot="1">
      <c r="D1267" s="8"/>
      <c r="E1267" s="15" t="s">
        <v>41</v>
      </c>
      <c r="F1267" s="15" t="s">
        <v>38</v>
      </c>
      <c r="G1267" s="17" t="s">
        <v>178</v>
      </c>
      <c r="H1267" s="17"/>
      <c r="I1267" s="1" t="str">
        <f t="shared" si="59"/>
        <v/>
      </c>
      <c r="J1267" s="1" t="str">
        <f t="shared" si="57"/>
        <v/>
      </c>
      <c r="K1267" s="1" t="str">
        <f t="shared" si="58"/>
        <v/>
      </c>
    </row>
    <row r="1268" spans="4:11" ht="15" customHeight="1">
      <c r="D1268" s="6" t="s">
        <v>133</v>
      </c>
      <c r="E1268" s="7"/>
      <c r="F1268" s="7"/>
      <c r="G1268" s="17" t="s">
        <v>180</v>
      </c>
      <c r="H1268" s="17">
        <v>7</v>
      </c>
      <c r="I1268" s="1">
        <f t="shared" si="59"/>
        <v>-5</v>
      </c>
      <c r="J1268" s="1">
        <f t="shared" si="57"/>
        <v>0</v>
      </c>
      <c r="K1268" s="1">
        <f t="shared" si="58"/>
        <v>25</v>
      </c>
    </row>
    <row r="1269" spans="4:11" ht="15.75" thickBot="1">
      <c r="D1269" s="8"/>
      <c r="E1269" s="15" t="s">
        <v>23</v>
      </c>
      <c r="F1269" s="15" t="s">
        <v>11</v>
      </c>
      <c r="G1269" s="17" t="s">
        <v>178</v>
      </c>
      <c r="H1269" s="17"/>
      <c r="I1269" s="1" t="str">
        <f t="shared" si="59"/>
        <v/>
      </c>
      <c r="J1269" s="1" t="str">
        <f t="shared" si="57"/>
        <v/>
      </c>
      <c r="K1269" s="1" t="str">
        <f t="shared" si="58"/>
        <v/>
      </c>
    </row>
    <row r="1270" spans="4:11" ht="15" customHeight="1">
      <c r="D1270" s="6" t="s">
        <v>133</v>
      </c>
      <c r="E1270" s="7"/>
      <c r="F1270" s="7"/>
      <c r="G1270" s="17" t="s">
        <v>180</v>
      </c>
      <c r="H1270" s="17">
        <v>3</v>
      </c>
      <c r="I1270" s="1">
        <f t="shared" si="59"/>
        <v>-1</v>
      </c>
      <c r="J1270" s="1">
        <f t="shared" si="57"/>
        <v>0</v>
      </c>
      <c r="K1270" s="1">
        <f t="shared" si="58"/>
        <v>1</v>
      </c>
    </row>
    <row r="1271" spans="4:11" ht="15.75" thickBot="1">
      <c r="D1271" s="8"/>
      <c r="E1271" s="15" t="s">
        <v>22</v>
      </c>
      <c r="F1271" s="15" t="s">
        <v>28</v>
      </c>
      <c r="G1271" s="17" t="s">
        <v>178</v>
      </c>
      <c r="H1271" s="17"/>
      <c r="I1271" s="1" t="str">
        <f t="shared" si="59"/>
        <v/>
      </c>
      <c r="J1271" s="1" t="str">
        <f t="shared" si="57"/>
        <v/>
      </c>
      <c r="K1271" s="1" t="str">
        <f t="shared" si="58"/>
        <v/>
      </c>
    </row>
    <row r="1272" spans="4:11" ht="15" customHeight="1">
      <c r="D1272" s="6" t="s">
        <v>133</v>
      </c>
      <c r="E1272" s="7"/>
      <c r="F1272" s="7"/>
      <c r="G1272" s="17" t="s">
        <v>180</v>
      </c>
      <c r="H1272" s="17">
        <v>4</v>
      </c>
      <c r="I1272" s="1">
        <f t="shared" si="59"/>
        <v>-2</v>
      </c>
      <c r="J1272" s="1">
        <f t="shared" si="57"/>
        <v>0</v>
      </c>
      <c r="K1272" s="1">
        <f t="shared" si="58"/>
        <v>4</v>
      </c>
    </row>
    <row r="1273" spans="4:11" ht="15.75" thickBot="1">
      <c r="D1273" s="8"/>
      <c r="E1273" s="15" t="s">
        <v>24</v>
      </c>
      <c r="F1273" s="15" t="s">
        <v>39</v>
      </c>
      <c r="G1273" s="17" t="s">
        <v>178</v>
      </c>
      <c r="H1273" s="17"/>
      <c r="I1273" s="1" t="str">
        <f t="shared" si="59"/>
        <v/>
      </c>
      <c r="J1273" s="1" t="str">
        <f t="shared" si="57"/>
        <v/>
      </c>
      <c r="K1273" s="1" t="str">
        <f t="shared" si="58"/>
        <v/>
      </c>
    </row>
    <row r="1274" spans="4:11" ht="15" customHeight="1">
      <c r="D1274" s="6" t="s">
        <v>133</v>
      </c>
      <c r="E1274" s="7"/>
      <c r="F1274" s="7"/>
      <c r="G1274" s="17" t="s">
        <v>181</v>
      </c>
      <c r="H1274" s="17">
        <v>5</v>
      </c>
      <c r="I1274" s="1">
        <f t="shared" si="59"/>
        <v>-4</v>
      </c>
      <c r="J1274" s="1">
        <f t="shared" si="57"/>
        <v>0</v>
      </c>
      <c r="K1274" s="1">
        <f t="shared" si="58"/>
        <v>16</v>
      </c>
    </row>
    <row r="1275" spans="4:11" ht="15.75" thickBot="1">
      <c r="D1275" s="8"/>
      <c r="E1275" s="15" t="s">
        <v>3</v>
      </c>
      <c r="F1275" s="15" t="s">
        <v>19</v>
      </c>
      <c r="G1275" s="17" t="s">
        <v>178</v>
      </c>
      <c r="H1275" s="17"/>
      <c r="I1275" s="1" t="str">
        <f t="shared" si="59"/>
        <v/>
      </c>
      <c r="J1275" s="1" t="str">
        <f t="shared" si="57"/>
        <v/>
      </c>
      <c r="K1275" s="1" t="str">
        <f t="shared" si="58"/>
        <v/>
      </c>
    </row>
    <row r="1276" spans="4:11" ht="15" customHeight="1">
      <c r="D1276" s="6" t="s">
        <v>133</v>
      </c>
      <c r="E1276" s="7"/>
      <c r="F1276" s="7"/>
      <c r="G1276" s="17" t="s">
        <v>180</v>
      </c>
      <c r="H1276" s="17">
        <v>8</v>
      </c>
      <c r="I1276" s="1">
        <f t="shared" si="59"/>
        <v>-6</v>
      </c>
      <c r="J1276" s="1">
        <f t="shared" si="57"/>
        <v>0</v>
      </c>
      <c r="K1276" s="1">
        <f t="shared" si="58"/>
        <v>36</v>
      </c>
    </row>
    <row r="1277" spans="4:11" ht="15.75" thickBot="1">
      <c r="D1277" s="8"/>
      <c r="E1277" s="15" t="s">
        <v>14</v>
      </c>
      <c r="F1277" s="15" t="s">
        <v>25</v>
      </c>
      <c r="G1277" s="17" t="s">
        <v>178</v>
      </c>
      <c r="H1277" s="17"/>
      <c r="I1277" s="1" t="str">
        <f t="shared" si="59"/>
        <v/>
      </c>
      <c r="J1277" s="1" t="str">
        <f t="shared" si="57"/>
        <v/>
      </c>
      <c r="K1277" s="1" t="str">
        <f t="shared" si="58"/>
        <v/>
      </c>
    </row>
    <row r="1278" spans="4:11" ht="18" customHeight="1">
      <c r="D1278" s="6" t="s">
        <v>133</v>
      </c>
      <c r="E1278" s="7"/>
      <c r="F1278" s="7"/>
      <c r="G1278" s="17" t="s">
        <v>184</v>
      </c>
      <c r="H1278" s="17">
        <v>5</v>
      </c>
      <c r="I1278" s="1">
        <f t="shared" si="59"/>
        <v>-1</v>
      </c>
      <c r="J1278" s="1">
        <f t="shared" si="57"/>
        <v>0</v>
      </c>
      <c r="K1278" s="1">
        <f t="shared" si="58"/>
        <v>1</v>
      </c>
    </row>
    <row r="1279" spans="4:11" ht="15.75" thickBot="1">
      <c r="D1279" s="8"/>
      <c r="E1279" s="15" t="s">
        <v>18</v>
      </c>
      <c r="F1279" s="15" t="s">
        <v>21</v>
      </c>
      <c r="G1279" s="17" t="s">
        <v>178</v>
      </c>
      <c r="H1279" s="17"/>
      <c r="I1279" s="1" t="str">
        <f t="shared" si="59"/>
        <v/>
      </c>
      <c r="J1279" s="1" t="str">
        <f t="shared" si="57"/>
        <v/>
      </c>
      <c r="K1279" s="1" t="str">
        <f t="shared" si="58"/>
        <v/>
      </c>
    </row>
    <row r="1280" spans="4:11" ht="15" customHeight="1">
      <c r="D1280" s="6" t="s">
        <v>133</v>
      </c>
      <c r="E1280" s="7"/>
      <c r="F1280" s="7"/>
      <c r="G1280" s="17" t="s">
        <v>182</v>
      </c>
      <c r="H1280" s="17">
        <v>2</v>
      </c>
      <c r="I1280" s="1">
        <f t="shared" si="59"/>
        <v>1</v>
      </c>
      <c r="J1280" s="1">
        <f t="shared" si="57"/>
        <v>0</v>
      </c>
      <c r="K1280" s="1">
        <f t="shared" si="58"/>
        <v>1</v>
      </c>
    </row>
    <row r="1281" spans="4:11" ht="15.75" thickBot="1">
      <c r="D1281" s="8"/>
      <c r="E1281" s="15" t="s">
        <v>33</v>
      </c>
      <c r="F1281" s="15" t="s">
        <v>26</v>
      </c>
      <c r="G1281" s="17" t="s">
        <v>178</v>
      </c>
      <c r="H1281" s="17"/>
      <c r="I1281" s="1" t="str">
        <f t="shared" si="59"/>
        <v/>
      </c>
      <c r="J1281" s="1" t="str">
        <f t="shared" si="57"/>
        <v/>
      </c>
      <c r="K1281" s="1" t="str">
        <f t="shared" si="58"/>
        <v/>
      </c>
    </row>
    <row r="1282" spans="4:11" ht="15" customHeight="1">
      <c r="D1282" s="6" t="s">
        <v>134</v>
      </c>
      <c r="E1282" s="7"/>
      <c r="F1282" s="7"/>
      <c r="G1282" s="17" t="s">
        <v>182</v>
      </c>
      <c r="H1282" s="17">
        <v>2</v>
      </c>
      <c r="I1282" s="1">
        <f t="shared" si="59"/>
        <v>1</v>
      </c>
      <c r="J1282" s="1">
        <f t="shared" si="57"/>
        <v>0</v>
      </c>
      <c r="K1282" s="1">
        <f t="shared" si="58"/>
        <v>1</v>
      </c>
    </row>
    <row r="1283" spans="4:11" ht="15.75" thickBot="1">
      <c r="D1283" s="8"/>
      <c r="E1283" s="15" t="s">
        <v>230</v>
      </c>
      <c r="F1283" s="15" t="s">
        <v>7</v>
      </c>
      <c r="G1283" s="17" t="s">
        <v>178</v>
      </c>
      <c r="H1283" s="17"/>
      <c r="I1283" s="1" t="str">
        <f t="shared" si="59"/>
        <v/>
      </c>
      <c r="J1283" s="1" t="str">
        <f t="shared" ref="J1283:J1346" si="60">IF(F1284="","",VLOOKUP(F1284,$A$2:$B$31,2)+$B$33-VLOOKUP(E1284,$A$2:$B$31,2))</f>
        <v/>
      </c>
      <c r="K1283" s="1" t="str">
        <f t="shared" ref="K1283:K1346" si="61">IF(G1283="","",(I1283-J1283)^2)</f>
        <v/>
      </c>
    </row>
    <row r="1284" spans="4:11" ht="15" customHeight="1">
      <c r="D1284" s="6" t="s">
        <v>134</v>
      </c>
      <c r="E1284" s="7"/>
      <c r="F1284" s="7"/>
      <c r="G1284" s="17" t="s">
        <v>179</v>
      </c>
      <c r="H1284" s="17">
        <v>1</v>
      </c>
      <c r="I1284" s="1">
        <f t="shared" ref="I1284:I1347" si="62">IF(G1284="","",G1284-H1284)</f>
        <v>-1</v>
      </c>
      <c r="J1284" s="1">
        <f t="shared" si="60"/>
        <v>0</v>
      </c>
      <c r="K1284" s="1">
        <f t="shared" si="61"/>
        <v>1</v>
      </c>
    </row>
    <row r="1285" spans="4:11" ht="30.75" thickBot="1">
      <c r="D1285" s="8"/>
      <c r="E1285" s="15" t="s">
        <v>1</v>
      </c>
      <c r="F1285" s="15" t="s">
        <v>12</v>
      </c>
      <c r="G1285" s="17" t="s">
        <v>178</v>
      </c>
      <c r="H1285" s="17"/>
      <c r="I1285" s="1" t="str">
        <f t="shared" si="62"/>
        <v/>
      </c>
      <c r="J1285" s="1" t="str">
        <f t="shared" si="60"/>
        <v/>
      </c>
      <c r="K1285" s="1" t="str">
        <f t="shared" si="61"/>
        <v/>
      </c>
    </row>
    <row r="1286" spans="4:11" ht="18" customHeight="1">
      <c r="D1286" s="6" t="s">
        <v>134</v>
      </c>
      <c r="E1286" s="7"/>
      <c r="F1286" s="7"/>
      <c r="G1286" s="17" t="s">
        <v>179</v>
      </c>
      <c r="H1286" s="17">
        <v>4</v>
      </c>
      <c r="I1286" s="1">
        <f t="shared" si="62"/>
        <v>-4</v>
      </c>
      <c r="J1286" s="1">
        <f t="shared" si="60"/>
        <v>0</v>
      </c>
      <c r="K1286" s="1">
        <f t="shared" si="61"/>
        <v>16</v>
      </c>
    </row>
    <row r="1287" spans="4:11" ht="15.75" thickBot="1">
      <c r="D1287" s="8"/>
      <c r="E1287" s="15" t="s">
        <v>0</v>
      </c>
      <c r="F1287" s="15" t="s">
        <v>10</v>
      </c>
      <c r="G1287" s="17" t="s">
        <v>178</v>
      </c>
      <c r="H1287" s="17"/>
      <c r="I1287" s="1" t="str">
        <f t="shared" si="62"/>
        <v/>
      </c>
      <c r="J1287" s="1" t="str">
        <f t="shared" si="60"/>
        <v/>
      </c>
      <c r="K1287" s="1" t="str">
        <f t="shared" si="61"/>
        <v/>
      </c>
    </row>
    <row r="1288" spans="4:11" ht="15" customHeight="1">
      <c r="D1288" s="6" t="s">
        <v>134</v>
      </c>
      <c r="E1288" s="7"/>
      <c r="F1288" s="7"/>
      <c r="G1288" s="17" t="s">
        <v>185</v>
      </c>
      <c r="H1288" s="17">
        <v>3</v>
      </c>
      <c r="I1288" s="1">
        <f t="shared" si="62"/>
        <v>2</v>
      </c>
      <c r="J1288" s="1">
        <f t="shared" si="60"/>
        <v>0</v>
      </c>
      <c r="K1288" s="1">
        <f t="shared" si="61"/>
        <v>4</v>
      </c>
    </row>
    <row r="1289" spans="4:11" ht="15.75" thickBot="1">
      <c r="D1289" s="8"/>
      <c r="E1289" s="15" t="s">
        <v>36</v>
      </c>
      <c r="F1289" s="15" t="s">
        <v>34</v>
      </c>
      <c r="G1289" s="17" t="s">
        <v>178</v>
      </c>
      <c r="H1289" s="17"/>
      <c r="I1289" s="1" t="str">
        <f t="shared" si="62"/>
        <v/>
      </c>
      <c r="J1289" s="1" t="str">
        <f t="shared" si="60"/>
        <v/>
      </c>
      <c r="K1289" s="1" t="str">
        <f t="shared" si="61"/>
        <v/>
      </c>
    </row>
    <row r="1290" spans="4:11" ht="15" customHeight="1">
      <c r="D1290" s="6" t="s">
        <v>135</v>
      </c>
      <c r="E1290" s="7"/>
      <c r="F1290" s="7"/>
      <c r="G1290" s="17" t="s">
        <v>179</v>
      </c>
      <c r="H1290" s="17">
        <v>3</v>
      </c>
      <c r="I1290" s="1">
        <f t="shared" si="62"/>
        <v>-3</v>
      </c>
      <c r="J1290" s="1">
        <f t="shared" si="60"/>
        <v>0</v>
      </c>
      <c r="K1290" s="1">
        <f t="shared" si="61"/>
        <v>9</v>
      </c>
    </row>
    <row r="1291" spans="4:11" ht="15.75" thickBot="1">
      <c r="D1291" s="8"/>
      <c r="E1291" s="15" t="s">
        <v>38</v>
      </c>
      <c r="F1291" s="15" t="s">
        <v>2</v>
      </c>
      <c r="G1291" s="17" t="s">
        <v>178</v>
      </c>
      <c r="H1291" s="17"/>
      <c r="I1291" s="1" t="str">
        <f t="shared" si="62"/>
        <v/>
      </c>
      <c r="J1291" s="1" t="str">
        <f t="shared" si="60"/>
        <v/>
      </c>
      <c r="K1291" s="1" t="str">
        <f t="shared" si="61"/>
        <v/>
      </c>
    </row>
    <row r="1292" spans="4:11" ht="15" customHeight="1">
      <c r="D1292" s="6" t="s">
        <v>135</v>
      </c>
      <c r="E1292" s="7"/>
      <c r="F1292" s="7"/>
      <c r="G1292" s="17" t="s">
        <v>186</v>
      </c>
      <c r="H1292" s="17">
        <v>0</v>
      </c>
      <c r="I1292" s="1">
        <f t="shared" si="62"/>
        <v>7</v>
      </c>
      <c r="J1292" s="1">
        <f t="shared" si="60"/>
        <v>2550</v>
      </c>
      <c r="K1292" s="1">
        <f t="shared" si="61"/>
        <v>6466849</v>
      </c>
    </row>
    <row r="1293" spans="4:11" ht="15.75" thickBot="1">
      <c r="D1293" s="8"/>
      <c r="E1293" s="15" t="s">
        <v>23</v>
      </c>
      <c r="F1293" s="15" t="s">
        <v>8</v>
      </c>
      <c r="G1293" s="17" t="s">
        <v>178</v>
      </c>
      <c r="H1293" s="17"/>
      <c r="I1293" s="1" t="str">
        <f t="shared" si="62"/>
        <v/>
      </c>
      <c r="J1293" s="1" t="str">
        <f t="shared" si="60"/>
        <v/>
      </c>
      <c r="K1293" s="1" t="str">
        <f t="shared" si="61"/>
        <v/>
      </c>
    </row>
    <row r="1294" spans="4:11" ht="15" customHeight="1">
      <c r="D1294" s="6" t="s">
        <v>135</v>
      </c>
      <c r="E1294" s="7"/>
      <c r="F1294" s="7"/>
      <c r="G1294" s="17" t="s">
        <v>184</v>
      </c>
      <c r="H1294" s="17">
        <v>0</v>
      </c>
      <c r="I1294" s="1">
        <f t="shared" si="62"/>
        <v>4</v>
      </c>
      <c r="J1294" s="1">
        <f t="shared" si="60"/>
        <v>0</v>
      </c>
      <c r="K1294" s="1">
        <f t="shared" si="61"/>
        <v>16</v>
      </c>
    </row>
    <row r="1295" spans="4:11" ht="30.75" thickBot="1">
      <c r="D1295" s="8"/>
      <c r="E1295" s="15" t="s">
        <v>3</v>
      </c>
      <c r="F1295" s="15" t="s">
        <v>1</v>
      </c>
      <c r="G1295" s="17" t="s">
        <v>178</v>
      </c>
      <c r="H1295" s="17"/>
      <c r="I1295" s="1" t="str">
        <f t="shared" si="62"/>
        <v/>
      </c>
      <c r="J1295" s="1" t="str">
        <f t="shared" si="60"/>
        <v/>
      </c>
      <c r="K1295" s="1" t="str">
        <f t="shared" si="61"/>
        <v/>
      </c>
    </row>
    <row r="1296" spans="4:11" ht="18" customHeight="1">
      <c r="D1296" s="6" t="s">
        <v>135</v>
      </c>
      <c r="E1296" s="7"/>
      <c r="F1296" s="7"/>
      <c r="G1296" s="17" t="s">
        <v>181</v>
      </c>
      <c r="H1296" s="17">
        <v>4</v>
      </c>
      <c r="I1296" s="1">
        <f t="shared" si="62"/>
        <v>-3</v>
      </c>
      <c r="J1296" s="1">
        <f t="shared" si="60"/>
        <v>0</v>
      </c>
      <c r="K1296" s="1">
        <f t="shared" si="61"/>
        <v>9</v>
      </c>
    </row>
    <row r="1297" spans="4:11" ht="15.75" thickBot="1">
      <c r="D1297" s="8"/>
      <c r="E1297" s="15" t="s">
        <v>230</v>
      </c>
      <c r="F1297" s="15" t="s">
        <v>18</v>
      </c>
      <c r="G1297" s="17" t="s">
        <v>178</v>
      </c>
      <c r="H1297" s="17"/>
      <c r="I1297" s="1" t="str">
        <f t="shared" si="62"/>
        <v/>
      </c>
      <c r="J1297" s="1" t="str">
        <f t="shared" si="60"/>
        <v/>
      </c>
      <c r="K1297" s="1" t="str">
        <f t="shared" si="61"/>
        <v/>
      </c>
    </row>
    <row r="1298" spans="4:11" ht="15" customHeight="1">
      <c r="D1298" s="6" t="s">
        <v>135</v>
      </c>
      <c r="E1298" s="7"/>
      <c r="F1298" s="7"/>
      <c r="G1298" s="17" t="s">
        <v>180</v>
      </c>
      <c r="H1298" s="17">
        <v>3</v>
      </c>
      <c r="I1298" s="1">
        <f t="shared" si="62"/>
        <v>-1</v>
      </c>
      <c r="J1298" s="1">
        <f t="shared" si="60"/>
        <v>0</v>
      </c>
      <c r="K1298" s="1">
        <f t="shared" si="61"/>
        <v>1</v>
      </c>
    </row>
    <row r="1299" spans="4:11" ht="15.75" thickBot="1">
      <c r="D1299" s="8"/>
      <c r="E1299" s="15" t="s">
        <v>24</v>
      </c>
      <c r="F1299" s="15" t="s">
        <v>37</v>
      </c>
      <c r="G1299" s="17" t="s">
        <v>178</v>
      </c>
      <c r="H1299" s="17"/>
      <c r="I1299" s="1" t="str">
        <f t="shared" si="62"/>
        <v/>
      </c>
      <c r="J1299" s="1" t="str">
        <f t="shared" si="60"/>
        <v/>
      </c>
      <c r="K1299" s="1" t="str">
        <f t="shared" si="61"/>
        <v/>
      </c>
    </row>
    <row r="1300" spans="4:11" ht="15" customHeight="1">
      <c r="D1300" s="6" t="s">
        <v>135</v>
      </c>
      <c r="E1300" s="7"/>
      <c r="F1300" s="7"/>
      <c r="G1300" s="17" t="s">
        <v>184</v>
      </c>
      <c r="H1300" s="17">
        <v>2</v>
      </c>
      <c r="I1300" s="1">
        <f t="shared" si="62"/>
        <v>2</v>
      </c>
      <c r="J1300" s="1">
        <f t="shared" si="60"/>
        <v>0</v>
      </c>
      <c r="K1300" s="1">
        <f t="shared" si="61"/>
        <v>4</v>
      </c>
    </row>
    <row r="1301" spans="4:11" ht="15.75" thickBot="1">
      <c r="D1301" s="8"/>
      <c r="E1301" s="15" t="s">
        <v>22</v>
      </c>
      <c r="F1301" s="15" t="s">
        <v>14</v>
      </c>
      <c r="G1301" s="17" t="s">
        <v>178</v>
      </c>
      <c r="H1301" s="17"/>
      <c r="I1301" s="1" t="str">
        <f t="shared" si="62"/>
        <v/>
      </c>
      <c r="J1301" s="1" t="str">
        <f t="shared" si="60"/>
        <v/>
      </c>
      <c r="K1301" s="1" t="str">
        <f t="shared" si="61"/>
        <v/>
      </c>
    </row>
    <row r="1302" spans="4:11" ht="18" customHeight="1">
      <c r="D1302" s="6" t="s">
        <v>135</v>
      </c>
      <c r="E1302" s="7"/>
      <c r="F1302" s="7"/>
      <c r="G1302" s="17" t="s">
        <v>182</v>
      </c>
      <c r="H1302" s="17">
        <v>2</v>
      </c>
      <c r="I1302" s="1">
        <f t="shared" si="62"/>
        <v>1</v>
      </c>
      <c r="J1302" s="1">
        <f t="shared" si="60"/>
        <v>0</v>
      </c>
      <c r="K1302" s="1">
        <f t="shared" si="61"/>
        <v>1</v>
      </c>
    </row>
    <row r="1303" spans="4:11" ht="15.75" thickBot="1">
      <c r="D1303" s="8"/>
      <c r="E1303" s="15" t="s">
        <v>13</v>
      </c>
      <c r="F1303" s="15" t="s">
        <v>39</v>
      </c>
      <c r="G1303" s="17" t="s">
        <v>178</v>
      </c>
      <c r="H1303" s="17"/>
      <c r="I1303" s="1" t="str">
        <f t="shared" si="62"/>
        <v/>
      </c>
      <c r="J1303" s="1" t="str">
        <f t="shared" si="60"/>
        <v/>
      </c>
      <c r="K1303" s="1" t="str">
        <f t="shared" si="61"/>
        <v/>
      </c>
    </row>
    <row r="1304" spans="4:11" ht="18" customHeight="1">
      <c r="D1304" s="6" t="s">
        <v>135</v>
      </c>
      <c r="E1304" s="7"/>
      <c r="F1304" s="7"/>
      <c r="G1304" s="17" t="s">
        <v>180</v>
      </c>
      <c r="H1304" s="17">
        <v>1</v>
      </c>
      <c r="I1304" s="1">
        <f t="shared" si="62"/>
        <v>1</v>
      </c>
      <c r="J1304" s="1">
        <f t="shared" si="60"/>
        <v>0</v>
      </c>
      <c r="K1304" s="1">
        <f t="shared" si="61"/>
        <v>1</v>
      </c>
    </row>
    <row r="1305" spans="4:11" ht="15.75" thickBot="1">
      <c r="D1305" s="8"/>
      <c r="E1305" s="15" t="s">
        <v>25</v>
      </c>
      <c r="F1305" s="15" t="s">
        <v>21</v>
      </c>
      <c r="G1305" s="17" t="s">
        <v>178</v>
      </c>
      <c r="H1305" s="17"/>
      <c r="I1305" s="1" t="str">
        <f t="shared" si="62"/>
        <v/>
      </c>
      <c r="J1305" s="1" t="str">
        <f t="shared" si="60"/>
        <v/>
      </c>
      <c r="K1305" s="1" t="str">
        <f t="shared" si="61"/>
        <v/>
      </c>
    </row>
    <row r="1306" spans="4:11" ht="18" customHeight="1">
      <c r="D1306" s="6" t="s">
        <v>135</v>
      </c>
      <c r="E1306" s="7"/>
      <c r="F1306" s="7"/>
      <c r="G1306" s="17" t="s">
        <v>184</v>
      </c>
      <c r="H1306" s="17">
        <v>1</v>
      </c>
      <c r="I1306" s="1">
        <f t="shared" si="62"/>
        <v>3</v>
      </c>
      <c r="J1306" s="1">
        <f t="shared" si="60"/>
        <v>0</v>
      </c>
      <c r="K1306" s="1">
        <f t="shared" si="61"/>
        <v>9</v>
      </c>
    </row>
    <row r="1307" spans="4:11" ht="15.75" thickBot="1">
      <c r="D1307" s="8"/>
      <c r="E1307" s="15" t="s">
        <v>4</v>
      </c>
      <c r="F1307" s="15" t="s">
        <v>26</v>
      </c>
      <c r="G1307" s="17" t="s">
        <v>178</v>
      </c>
      <c r="H1307" s="17"/>
      <c r="I1307" s="1" t="str">
        <f t="shared" si="62"/>
        <v/>
      </c>
      <c r="J1307" s="1" t="str">
        <f t="shared" si="60"/>
        <v/>
      </c>
      <c r="K1307" s="1" t="str">
        <f t="shared" si="61"/>
        <v/>
      </c>
    </row>
    <row r="1308" spans="4:11" ht="18" customHeight="1">
      <c r="D1308" s="6" t="s">
        <v>135</v>
      </c>
      <c r="E1308" s="7"/>
      <c r="F1308" s="7"/>
      <c r="G1308" s="17" t="s">
        <v>181</v>
      </c>
      <c r="H1308" s="17">
        <v>3</v>
      </c>
      <c r="I1308" s="1">
        <f t="shared" si="62"/>
        <v>-2</v>
      </c>
      <c r="J1308" s="1">
        <f t="shared" si="60"/>
        <v>0</v>
      </c>
      <c r="K1308" s="1">
        <f t="shared" si="61"/>
        <v>4</v>
      </c>
    </row>
    <row r="1309" spans="4:11" ht="15.75" thickBot="1">
      <c r="D1309" s="8"/>
      <c r="E1309" s="15" t="s">
        <v>0</v>
      </c>
      <c r="F1309" s="15" t="s">
        <v>33</v>
      </c>
      <c r="G1309" s="17" t="s">
        <v>178</v>
      </c>
      <c r="H1309" s="17"/>
      <c r="I1309" s="1" t="str">
        <f t="shared" si="62"/>
        <v/>
      </c>
      <c r="J1309" s="1" t="str">
        <f t="shared" si="60"/>
        <v/>
      </c>
      <c r="K1309" s="1" t="str">
        <f t="shared" si="61"/>
        <v/>
      </c>
    </row>
    <row r="1310" spans="4:11" ht="15" customHeight="1">
      <c r="D1310" s="6" t="s">
        <v>136</v>
      </c>
      <c r="E1310" s="7"/>
      <c r="F1310" s="7"/>
      <c r="G1310" s="17" t="s">
        <v>182</v>
      </c>
      <c r="H1310" s="17">
        <v>6</v>
      </c>
      <c r="I1310" s="1">
        <f t="shared" si="62"/>
        <v>-3</v>
      </c>
      <c r="J1310" s="1">
        <f t="shared" si="60"/>
        <v>0</v>
      </c>
      <c r="K1310" s="1">
        <f t="shared" si="61"/>
        <v>9</v>
      </c>
    </row>
    <row r="1311" spans="4:11" ht="15.75" thickBot="1">
      <c r="D1311" s="8"/>
      <c r="E1311" s="15" t="s">
        <v>11</v>
      </c>
      <c r="F1311" s="15" t="s">
        <v>41</v>
      </c>
      <c r="G1311" s="17" t="s">
        <v>178</v>
      </c>
      <c r="H1311" s="17"/>
      <c r="I1311" s="1" t="str">
        <f t="shared" si="62"/>
        <v/>
      </c>
      <c r="J1311" s="1" t="str">
        <f t="shared" si="60"/>
        <v/>
      </c>
      <c r="K1311" s="1" t="str">
        <f t="shared" si="61"/>
        <v/>
      </c>
    </row>
    <row r="1312" spans="4:11" ht="15" customHeight="1">
      <c r="D1312" s="6" t="s">
        <v>136</v>
      </c>
      <c r="E1312" s="7"/>
      <c r="F1312" s="7"/>
      <c r="G1312" s="17" t="s">
        <v>182</v>
      </c>
      <c r="H1312" s="17">
        <v>0</v>
      </c>
      <c r="I1312" s="1">
        <f t="shared" si="62"/>
        <v>3</v>
      </c>
      <c r="J1312" s="1">
        <f t="shared" si="60"/>
        <v>0</v>
      </c>
      <c r="K1312" s="1">
        <f t="shared" si="61"/>
        <v>9</v>
      </c>
    </row>
    <row r="1313" spans="4:11" ht="15.75" thickBot="1">
      <c r="D1313" s="8"/>
      <c r="E1313" s="15" t="s">
        <v>3</v>
      </c>
      <c r="F1313" s="15" t="s">
        <v>28</v>
      </c>
      <c r="G1313" s="17" t="s">
        <v>178</v>
      </c>
      <c r="H1313" s="17"/>
      <c r="I1313" s="1" t="str">
        <f t="shared" si="62"/>
        <v/>
      </c>
      <c r="J1313" s="1" t="str">
        <f t="shared" si="60"/>
        <v/>
      </c>
      <c r="K1313" s="1" t="str">
        <f t="shared" si="61"/>
        <v/>
      </c>
    </row>
    <row r="1314" spans="4:11" ht="15" customHeight="1">
      <c r="D1314" s="6" t="s">
        <v>136</v>
      </c>
      <c r="E1314" s="7"/>
      <c r="F1314" s="7"/>
      <c r="G1314" s="17" t="s">
        <v>180</v>
      </c>
      <c r="H1314" s="17">
        <v>1</v>
      </c>
      <c r="I1314" s="1">
        <f t="shared" si="62"/>
        <v>1</v>
      </c>
      <c r="J1314" s="1">
        <f t="shared" si="60"/>
        <v>0</v>
      </c>
      <c r="K1314" s="1">
        <f t="shared" si="61"/>
        <v>1</v>
      </c>
    </row>
    <row r="1315" spans="4:11" ht="15.75" thickBot="1">
      <c r="D1315" s="8"/>
      <c r="E1315" s="15" t="s">
        <v>38</v>
      </c>
      <c r="F1315" s="15" t="s">
        <v>7</v>
      </c>
      <c r="G1315" s="17" t="s">
        <v>178</v>
      </c>
      <c r="H1315" s="17"/>
      <c r="I1315" s="1" t="str">
        <f t="shared" si="62"/>
        <v/>
      </c>
      <c r="J1315" s="1" t="str">
        <f t="shared" si="60"/>
        <v/>
      </c>
      <c r="K1315" s="1" t="str">
        <f t="shared" si="61"/>
        <v/>
      </c>
    </row>
    <row r="1316" spans="4:11" ht="15" customHeight="1">
      <c r="D1316" s="6" t="s">
        <v>136</v>
      </c>
      <c r="E1316" s="7"/>
      <c r="F1316" s="7"/>
      <c r="G1316" s="17" t="s">
        <v>182</v>
      </c>
      <c r="H1316" s="17">
        <v>4</v>
      </c>
      <c r="I1316" s="1">
        <f t="shared" si="62"/>
        <v>-1</v>
      </c>
      <c r="J1316" s="1">
        <f t="shared" si="60"/>
        <v>0</v>
      </c>
      <c r="K1316" s="1">
        <f t="shared" si="61"/>
        <v>1</v>
      </c>
    </row>
    <row r="1317" spans="4:11" ht="15.75" thickBot="1">
      <c r="D1317" s="8"/>
      <c r="E1317" s="15" t="s">
        <v>12</v>
      </c>
      <c r="F1317" s="15" t="s">
        <v>19</v>
      </c>
      <c r="G1317" s="17" t="s">
        <v>178</v>
      </c>
      <c r="H1317" s="17"/>
      <c r="I1317" s="1" t="str">
        <f t="shared" si="62"/>
        <v/>
      </c>
      <c r="J1317" s="1" t="str">
        <f t="shared" si="60"/>
        <v/>
      </c>
      <c r="K1317" s="1" t="str">
        <f t="shared" si="61"/>
        <v/>
      </c>
    </row>
    <row r="1318" spans="4:11" ht="18" customHeight="1">
      <c r="D1318" s="6" t="s">
        <v>136</v>
      </c>
      <c r="E1318" s="7"/>
      <c r="F1318" s="7"/>
      <c r="G1318" s="17" t="s">
        <v>184</v>
      </c>
      <c r="H1318" s="17">
        <v>2</v>
      </c>
      <c r="I1318" s="1">
        <f t="shared" si="62"/>
        <v>2</v>
      </c>
      <c r="J1318" s="1">
        <f t="shared" si="60"/>
        <v>0</v>
      </c>
      <c r="K1318" s="1">
        <f t="shared" si="61"/>
        <v>4</v>
      </c>
    </row>
    <row r="1319" spans="4:11" ht="15.75" thickBot="1">
      <c r="D1319" s="8"/>
      <c r="E1319" s="15" t="s">
        <v>25</v>
      </c>
      <c r="F1319" s="15" t="s">
        <v>20</v>
      </c>
      <c r="G1319" s="17" t="s">
        <v>178</v>
      </c>
      <c r="H1319" s="17"/>
      <c r="I1319" s="1" t="str">
        <f t="shared" si="62"/>
        <v/>
      </c>
      <c r="J1319" s="1" t="str">
        <f t="shared" si="60"/>
        <v/>
      </c>
      <c r="K1319" s="1" t="str">
        <f t="shared" si="61"/>
        <v/>
      </c>
    </row>
    <row r="1320" spans="4:11" ht="15" customHeight="1">
      <c r="D1320" s="6" t="s">
        <v>136</v>
      </c>
      <c r="E1320" s="7"/>
      <c r="F1320" s="7"/>
      <c r="G1320" s="17" t="s">
        <v>181</v>
      </c>
      <c r="H1320" s="17">
        <v>5</v>
      </c>
      <c r="I1320" s="1">
        <f t="shared" si="62"/>
        <v>-4</v>
      </c>
      <c r="J1320" s="1">
        <f t="shared" si="60"/>
        <v>0</v>
      </c>
      <c r="K1320" s="1">
        <f t="shared" si="61"/>
        <v>16</v>
      </c>
    </row>
    <row r="1321" spans="4:11" ht="15.75" thickBot="1">
      <c r="D1321" s="8"/>
      <c r="E1321" s="15" t="s">
        <v>36</v>
      </c>
      <c r="F1321" s="15" t="s">
        <v>10</v>
      </c>
      <c r="G1321" s="17" t="s">
        <v>178</v>
      </c>
      <c r="H1321" s="17"/>
      <c r="I1321" s="1" t="str">
        <f t="shared" si="62"/>
        <v/>
      </c>
      <c r="J1321" s="1" t="str">
        <f t="shared" si="60"/>
        <v/>
      </c>
      <c r="K1321" s="1" t="str">
        <f t="shared" si="61"/>
        <v/>
      </c>
    </row>
    <row r="1322" spans="4:11" ht="18" customHeight="1">
      <c r="D1322" s="6" t="s">
        <v>137</v>
      </c>
      <c r="E1322" s="7"/>
      <c r="F1322" s="7"/>
      <c r="G1322" s="17" t="s">
        <v>182</v>
      </c>
      <c r="H1322" s="17">
        <v>1</v>
      </c>
      <c r="I1322" s="1">
        <f t="shared" si="62"/>
        <v>2</v>
      </c>
      <c r="J1322" s="1">
        <f t="shared" si="60"/>
        <v>0</v>
      </c>
      <c r="K1322" s="1">
        <f t="shared" si="61"/>
        <v>4</v>
      </c>
    </row>
    <row r="1323" spans="4:11" ht="15.75" thickBot="1">
      <c r="D1323" s="8"/>
      <c r="E1323" s="15" t="s">
        <v>7</v>
      </c>
      <c r="F1323" s="15" t="s">
        <v>2</v>
      </c>
      <c r="G1323" s="17" t="s">
        <v>178</v>
      </c>
      <c r="H1323" s="17"/>
      <c r="I1323" s="1" t="str">
        <f t="shared" si="62"/>
        <v/>
      </c>
      <c r="J1323" s="1" t="str">
        <f t="shared" si="60"/>
        <v/>
      </c>
      <c r="K1323" s="1" t="str">
        <f t="shared" si="61"/>
        <v/>
      </c>
    </row>
    <row r="1324" spans="4:11" ht="15" customHeight="1">
      <c r="D1324" s="6" t="s">
        <v>137</v>
      </c>
      <c r="E1324" s="7"/>
      <c r="F1324" s="7"/>
      <c r="G1324" s="17" t="s">
        <v>184</v>
      </c>
      <c r="H1324" s="17">
        <v>3</v>
      </c>
      <c r="I1324" s="1">
        <f t="shared" si="62"/>
        <v>1</v>
      </c>
      <c r="J1324" s="1">
        <f t="shared" si="60"/>
        <v>2550</v>
      </c>
      <c r="K1324" s="1">
        <f t="shared" si="61"/>
        <v>6497401</v>
      </c>
    </row>
    <row r="1325" spans="4:11" ht="15.75" thickBot="1">
      <c r="D1325" s="8"/>
      <c r="E1325" s="15" t="s">
        <v>1</v>
      </c>
      <c r="F1325" s="15" t="s">
        <v>8</v>
      </c>
      <c r="G1325" s="17" t="s">
        <v>178</v>
      </c>
      <c r="H1325" s="17"/>
      <c r="I1325" s="1" t="str">
        <f t="shared" si="62"/>
        <v/>
      </c>
      <c r="J1325" s="1" t="str">
        <f t="shared" si="60"/>
        <v/>
      </c>
      <c r="K1325" s="1" t="str">
        <f t="shared" si="61"/>
        <v/>
      </c>
    </row>
    <row r="1326" spans="4:11" ht="15" customHeight="1">
      <c r="D1326" s="6" t="s">
        <v>137</v>
      </c>
      <c r="E1326" s="7"/>
      <c r="F1326" s="7"/>
      <c r="G1326" s="17" t="s">
        <v>184</v>
      </c>
      <c r="H1326" s="17">
        <v>6</v>
      </c>
      <c r="I1326" s="1">
        <f t="shared" si="62"/>
        <v>-2</v>
      </c>
      <c r="J1326" s="1">
        <f t="shared" si="60"/>
        <v>0</v>
      </c>
      <c r="K1326" s="1">
        <f t="shared" si="61"/>
        <v>4</v>
      </c>
    </row>
    <row r="1327" spans="4:11" ht="15.75" thickBot="1">
      <c r="D1327" s="8"/>
      <c r="E1327" s="15" t="s">
        <v>41</v>
      </c>
      <c r="F1327" s="15" t="s">
        <v>230</v>
      </c>
      <c r="G1327" s="17" t="s">
        <v>178</v>
      </c>
      <c r="H1327" s="17"/>
      <c r="I1327" s="1" t="str">
        <f t="shared" si="62"/>
        <v/>
      </c>
      <c r="J1327" s="1" t="str">
        <f t="shared" si="60"/>
        <v/>
      </c>
      <c r="K1327" s="1" t="str">
        <f t="shared" si="61"/>
        <v/>
      </c>
    </row>
    <row r="1328" spans="4:11" ht="18" customHeight="1">
      <c r="D1328" s="6" t="s">
        <v>137</v>
      </c>
      <c r="E1328" s="7"/>
      <c r="F1328" s="7"/>
      <c r="G1328" s="17" t="s">
        <v>182</v>
      </c>
      <c r="H1328" s="17">
        <v>2</v>
      </c>
      <c r="I1328" s="1">
        <f t="shared" si="62"/>
        <v>1</v>
      </c>
      <c r="J1328" s="1">
        <f t="shared" si="60"/>
        <v>0</v>
      </c>
      <c r="K1328" s="1">
        <f t="shared" si="61"/>
        <v>1</v>
      </c>
    </row>
    <row r="1329" spans="4:11" ht="15.75" thickBot="1">
      <c r="D1329" s="8"/>
      <c r="E1329" s="15" t="s">
        <v>28</v>
      </c>
      <c r="F1329" s="15" t="s">
        <v>18</v>
      </c>
      <c r="G1329" s="17" t="s">
        <v>178</v>
      </c>
      <c r="H1329" s="17"/>
      <c r="I1329" s="1" t="str">
        <f t="shared" si="62"/>
        <v/>
      </c>
      <c r="J1329" s="1" t="str">
        <f t="shared" si="60"/>
        <v/>
      </c>
      <c r="K1329" s="1" t="str">
        <f t="shared" si="61"/>
        <v/>
      </c>
    </row>
    <row r="1330" spans="4:11" ht="18" customHeight="1">
      <c r="D1330" s="6" t="s">
        <v>137</v>
      </c>
      <c r="E1330" s="7"/>
      <c r="F1330" s="7"/>
      <c r="G1330" s="17" t="s">
        <v>180</v>
      </c>
      <c r="H1330" s="17">
        <v>5</v>
      </c>
      <c r="I1330" s="1">
        <f t="shared" si="62"/>
        <v>-3</v>
      </c>
      <c r="J1330" s="1">
        <f t="shared" si="60"/>
        <v>0</v>
      </c>
      <c r="K1330" s="1">
        <f t="shared" si="61"/>
        <v>9</v>
      </c>
    </row>
    <row r="1331" spans="4:11" ht="15.75" thickBot="1">
      <c r="D1331" s="8"/>
      <c r="E1331" s="15" t="s">
        <v>19</v>
      </c>
      <c r="F1331" s="15" t="s">
        <v>13</v>
      </c>
      <c r="G1331" s="17" t="s">
        <v>178</v>
      </c>
      <c r="H1331" s="17"/>
      <c r="I1331" s="1" t="str">
        <f t="shared" si="62"/>
        <v/>
      </c>
      <c r="J1331" s="1" t="str">
        <f t="shared" si="60"/>
        <v/>
      </c>
      <c r="K1331" s="1" t="str">
        <f t="shared" si="61"/>
        <v/>
      </c>
    </row>
    <row r="1332" spans="4:11" ht="15" customHeight="1">
      <c r="D1332" s="6" t="s">
        <v>137</v>
      </c>
      <c r="E1332" s="7"/>
      <c r="F1332" s="7"/>
      <c r="G1332" s="17" t="s">
        <v>180</v>
      </c>
      <c r="H1332" s="17">
        <v>3</v>
      </c>
      <c r="I1332" s="1">
        <f t="shared" si="62"/>
        <v>-1</v>
      </c>
      <c r="J1332" s="1">
        <f t="shared" si="60"/>
        <v>0</v>
      </c>
      <c r="K1332" s="1">
        <f t="shared" si="61"/>
        <v>1</v>
      </c>
    </row>
    <row r="1333" spans="4:11" ht="15.75" thickBot="1">
      <c r="D1333" s="8"/>
      <c r="E1333" s="15" t="s">
        <v>22</v>
      </c>
      <c r="F1333" s="15" t="s">
        <v>37</v>
      </c>
      <c r="G1333" s="17" t="s">
        <v>178</v>
      </c>
      <c r="H1333" s="17"/>
      <c r="I1333" s="1" t="str">
        <f t="shared" si="62"/>
        <v/>
      </c>
      <c r="J1333" s="1" t="str">
        <f t="shared" si="60"/>
        <v/>
      </c>
      <c r="K1333" s="1" t="str">
        <f t="shared" si="61"/>
        <v/>
      </c>
    </row>
    <row r="1334" spans="4:11" ht="15" customHeight="1">
      <c r="D1334" s="6" t="s">
        <v>137</v>
      </c>
      <c r="E1334" s="7"/>
      <c r="F1334" s="7"/>
      <c r="G1334" s="17" t="s">
        <v>182</v>
      </c>
      <c r="H1334" s="17">
        <v>2</v>
      </c>
      <c r="I1334" s="1">
        <f t="shared" si="62"/>
        <v>1</v>
      </c>
      <c r="J1334" s="1">
        <f t="shared" si="60"/>
        <v>0</v>
      </c>
      <c r="K1334" s="1">
        <f t="shared" si="61"/>
        <v>1</v>
      </c>
    </row>
    <row r="1335" spans="4:11" ht="15.75" thickBot="1">
      <c r="D1335" s="8"/>
      <c r="E1335" s="15" t="s">
        <v>24</v>
      </c>
      <c r="F1335" s="15" t="s">
        <v>14</v>
      </c>
      <c r="G1335" s="17" t="s">
        <v>178</v>
      </c>
      <c r="H1335" s="17"/>
      <c r="I1335" s="1" t="str">
        <f t="shared" si="62"/>
        <v/>
      </c>
      <c r="J1335" s="1" t="str">
        <f t="shared" si="60"/>
        <v/>
      </c>
      <c r="K1335" s="1" t="str">
        <f t="shared" si="61"/>
        <v/>
      </c>
    </row>
    <row r="1336" spans="4:11" ht="18" customHeight="1">
      <c r="D1336" s="6" t="s">
        <v>137</v>
      </c>
      <c r="E1336" s="7"/>
      <c r="F1336" s="7"/>
      <c r="G1336" s="17" t="s">
        <v>179</v>
      </c>
      <c r="H1336" s="17">
        <v>3</v>
      </c>
      <c r="I1336" s="1">
        <f t="shared" si="62"/>
        <v>-3</v>
      </c>
      <c r="J1336" s="1">
        <f t="shared" si="60"/>
        <v>0</v>
      </c>
      <c r="K1336" s="1">
        <f t="shared" si="61"/>
        <v>9</v>
      </c>
    </row>
    <row r="1337" spans="4:11" ht="15.75" thickBot="1">
      <c r="D1337" s="8"/>
      <c r="E1337" s="15" t="s">
        <v>0</v>
      </c>
      <c r="F1337" s="15" t="s">
        <v>39</v>
      </c>
      <c r="G1337" s="17" t="s">
        <v>178</v>
      </c>
      <c r="H1337" s="17"/>
      <c r="I1337" s="1" t="str">
        <f t="shared" si="62"/>
        <v/>
      </c>
      <c r="J1337" s="1" t="str">
        <f t="shared" si="60"/>
        <v/>
      </c>
      <c r="K1337" s="1" t="str">
        <f t="shared" si="61"/>
        <v/>
      </c>
    </row>
    <row r="1338" spans="4:11" ht="15" customHeight="1">
      <c r="D1338" s="6" t="s">
        <v>137</v>
      </c>
      <c r="E1338" s="7"/>
      <c r="F1338" s="7"/>
      <c r="G1338" s="17" t="s">
        <v>184</v>
      </c>
      <c r="H1338" s="17">
        <v>5</v>
      </c>
      <c r="I1338" s="1">
        <f t="shared" si="62"/>
        <v>-1</v>
      </c>
      <c r="J1338" s="1">
        <f t="shared" si="60"/>
        <v>0</v>
      </c>
      <c r="K1338" s="1">
        <f t="shared" si="61"/>
        <v>1</v>
      </c>
    </row>
    <row r="1339" spans="4:11" ht="15.75" thickBot="1">
      <c r="D1339" s="8"/>
      <c r="E1339" s="15" t="s">
        <v>12</v>
      </c>
      <c r="F1339" s="15" t="s">
        <v>21</v>
      </c>
      <c r="G1339" s="17" t="s">
        <v>178</v>
      </c>
      <c r="H1339" s="17"/>
      <c r="I1339" s="1" t="str">
        <f t="shared" si="62"/>
        <v/>
      </c>
      <c r="J1339" s="1" t="str">
        <f t="shared" si="60"/>
        <v/>
      </c>
      <c r="K1339" s="1" t="str">
        <f t="shared" si="61"/>
        <v/>
      </c>
    </row>
    <row r="1340" spans="4:11" ht="15" customHeight="1">
      <c r="D1340" s="6" t="s">
        <v>137</v>
      </c>
      <c r="E1340" s="7"/>
      <c r="F1340" s="7"/>
      <c r="G1340" s="17" t="s">
        <v>181</v>
      </c>
      <c r="H1340" s="17">
        <v>3</v>
      </c>
      <c r="I1340" s="1">
        <f t="shared" si="62"/>
        <v>-2</v>
      </c>
      <c r="J1340" s="1">
        <f t="shared" si="60"/>
        <v>0</v>
      </c>
      <c r="K1340" s="1">
        <f t="shared" si="61"/>
        <v>4</v>
      </c>
    </row>
    <row r="1341" spans="4:11" ht="15.75" thickBot="1">
      <c r="D1341" s="8"/>
      <c r="E1341" s="15" t="s">
        <v>26</v>
      </c>
      <c r="F1341" s="15" t="s">
        <v>23</v>
      </c>
      <c r="G1341" s="17" t="s">
        <v>178</v>
      </c>
      <c r="H1341" s="17"/>
      <c r="I1341" s="1" t="str">
        <f t="shared" si="62"/>
        <v/>
      </c>
      <c r="J1341" s="1" t="str">
        <f t="shared" si="60"/>
        <v/>
      </c>
      <c r="K1341" s="1" t="str">
        <f t="shared" si="61"/>
        <v/>
      </c>
    </row>
    <row r="1342" spans="4:11" ht="15" customHeight="1">
      <c r="D1342" s="6" t="s">
        <v>137</v>
      </c>
      <c r="E1342" s="7"/>
      <c r="F1342" s="7"/>
      <c r="G1342" s="17" t="s">
        <v>182</v>
      </c>
      <c r="H1342" s="17">
        <v>2</v>
      </c>
      <c r="I1342" s="1">
        <f t="shared" si="62"/>
        <v>1</v>
      </c>
      <c r="J1342" s="1">
        <f t="shared" si="60"/>
        <v>0</v>
      </c>
      <c r="K1342" s="1">
        <f t="shared" si="61"/>
        <v>1</v>
      </c>
    </row>
    <row r="1343" spans="4:11" ht="15.75" thickBot="1">
      <c r="D1343" s="8"/>
      <c r="E1343" s="15" t="s">
        <v>10</v>
      </c>
      <c r="F1343" s="15" t="s">
        <v>34</v>
      </c>
      <c r="G1343" s="17" t="s">
        <v>178</v>
      </c>
      <c r="H1343" s="17"/>
      <c r="I1343" s="1" t="str">
        <f t="shared" si="62"/>
        <v/>
      </c>
      <c r="J1343" s="1" t="str">
        <f t="shared" si="60"/>
        <v/>
      </c>
      <c r="K1343" s="1" t="str">
        <f t="shared" si="61"/>
        <v/>
      </c>
    </row>
    <row r="1344" spans="4:11" ht="18" customHeight="1">
      <c r="D1344" s="6" t="s">
        <v>137</v>
      </c>
      <c r="E1344" s="7"/>
      <c r="F1344" s="7"/>
      <c r="G1344" s="17" t="s">
        <v>184</v>
      </c>
      <c r="H1344" s="17">
        <v>3</v>
      </c>
      <c r="I1344" s="1">
        <f t="shared" si="62"/>
        <v>1</v>
      </c>
      <c r="J1344" s="1">
        <f t="shared" si="60"/>
        <v>0</v>
      </c>
      <c r="K1344" s="1">
        <f t="shared" si="61"/>
        <v>1</v>
      </c>
    </row>
    <row r="1345" spans="4:11" ht="15.75" thickBot="1">
      <c r="D1345" s="8"/>
      <c r="E1345" s="15" t="s">
        <v>4</v>
      </c>
      <c r="F1345" s="15" t="s">
        <v>33</v>
      </c>
      <c r="G1345" s="17" t="s">
        <v>178</v>
      </c>
      <c r="H1345" s="17"/>
      <c r="I1345" s="1" t="str">
        <f t="shared" si="62"/>
        <v/>
      </c>
      <c r="J1345" s="1" t="str">
        <f t="shared" si="60"/>
        <v/>
      </c>
      <c r="K1345" s="1" t="str">
        <f t="shared" si="61"/>
        <v/>
      </c>
    </row>
    <row r="1346" spans="4:11" ht="15" customHeight="1">
      <c r="D1346" s="6" t="s">
        <v>138</v>
      </c>
      <c r="E1346" s="7"/>
      <c r="F1346" s="7"/>
      <c r="G1346" s="17" t="s">
        <v>185</v>
      </c>
      <c r="H1346" s="17">
        <v>2</v>
      </c>
      <c r="I1346" s="1">
        <f t="shared" si="62"/>
        <v>3</v>
      </c>
      <c r="J1346" s="1">
        <f t="shared" si="60"/>
        <v>0</v>
      </c>
      <c r="K1346" s="1">
        <f t="shared" si="61"/>
        <v>9</v>
      </c>
    </row>
    <row r="1347" spans="4:11" ht="15.75" thickBot="1">
      <c r="D1347" s="8"/>
      <c r="E1347" s="15" t="s">
        <v>38</v>
      </c>
      <c r="F1347" s="15" t="s">
        <v>11</v>
      </c>
      <c r="G1347" s="17" t="s">
        <v>178</v>
      </c>
      <c r="H1347" s="17"/>
      <c r="I1347" s="1" t="str">
        <f t="shared" si="62"/>
        <v/>
      </c>
      <c r="J1347" s="1" t="str">
        <f t="shared" ref="J1347:J1410" si="63">IF(F1348="","",VLOOKUP(F1348,$A$2:$B$31,2)+$B$33-VLOOKUP(E1348,$A$2:$B$31,2))</f>
        <v/>
      </c>
      <c r="K1347" s="1" t="str">
        <f t="shared" ref="K1347:K1410" si="64">IF(G1347="","",(I1347-J1347)^2)</f>
        <v/>
      </c>
    </row>
    <row r="1348" spans="4:11" ht="15" customHeight="1">
      <c r="D1348" s="6" t="s">
        <v>138</v>
      </c>
      <c r="E1348" s="7"/>
      <c r="F1348" s="7"/>
      <c r="G1348" s="17" t="s">
        <v>183</v>
      </c>
      <c r="H1348" s="17">
        <v>3</v>
      </c>
      <c r="I1348" s="1">
        <f t="shared" ref="I1348:I1411" si="65">IF(G1348="","",G1348-H1348)</f>
        <v>3</v>
      </c>
      <c r="J1348" s="1">
        <f t="shared" si="63"/>
        <v>0</v>
      </c>
      <c r="K1348" s="1">
        <f t="shared" si="64"/>
        <v>9</v>
      </c>
    </row>
    <row r="1349" spans="4:11" ht="15.75" thickBot="1">
      <c r="D1349" s="8"/>
      <c r="E1349" s="15" t="s">
        <v>21</v>
      </c>
      <c r="F1349" s="15" t="s">
        <v>20</v>
      </c>
      <c r="G1349" s="17" t="s">
        <v>178</v>
      </c>
      <c r="H1349" s="17"/>
      <c r="I1349" s="1" t="str">
        <f t="shared" si="65"/>
        <v/>
      </c>
      <c r="J1349" s="1" t="str">
        <f t="shared" si="63"/>
        <v/>
      </c>
      <c r="K1349" s="1" t="str">
        <f t="shared" si="64"/>
        <v/>
      </c>
    </row>
    <row r="1350" spans="4:11" ht="15" customHeight="1">
      <c r="D1350" s="6" t="s">
        <v>138</v>
      </c>
      <c r="E1350" s="7"/>
      <c r="F1350" s="7"/>
      <c r="G1350" s="17" t="s">
        <v>182</v>
      </c>
      <c r="H1350" s="17">
        <v>4</v>
      </c>
      <c r="I1350" s="1">
        <f t="shared" si="65"/>
        <v>-1</v>
      </c>
      <c r="J1350" s="1">
        <f t="shared" si="63"/>
        <v>0</v>
      </c>
      <c r="K1350" s="1">
        <f t="shared" si="64"/>
        <v>1</v>
      </c>
    </row>
    <row r="1351" spans="4:11" ht="15.75" thickBot="1">
      <c r="D1351" s="8"/>
      <c r="E1351" s="15" t="s">
        <v>26</v>
      </c>
      <c r="F1351" s="15" t="s">
        <v>25</v>
      </c>
      <c r="G1351" s="17" t="s">
        <v>178</v>
      </c>
      <c r="H1351" s="17"/>
      <c r="I1351" s="1" t="str">
        <f t="shared" si="65"/>
        <v/>
      </c>
      <c r="J1351" s="1" t="str">
        <f t="shared" si="63"/>
        <v/>
      </c>
      <c r="K1351" s="1" t="str">
        <f t="shared" si="64"/>
        <v/>
      </c>
    </row>
    <row r="1352" spans="4:11" ht="18" customHeight="1">
      <c r="D1352" s="6" t="s">
        <v>138</v>
      </c>
      <c r="E1352" s="7"/>
      <c r="F1352" s="7"/>
      <c r="G1352" s="17" t="s">
        <v>184</v>
      </c>
      <c r="H1352" s="17">
        <v>6</v>
      </c>
      <c r="I1352" s="1">
        <f t="shared" si="65"/>
        <v>-2</v>
      </c>
      <c r="J1352" s="1">
        <f t="shared" si="63"/>
        <v>-2550</v>
      </c>
      <c r="K1352" s="1">
        <f t="shared" si="64"/>
        <v>6492304</v>
      </c>
    </row>
    <row r="1353" spans="4:11" ht="15.75" thickBot="1">
      <c r="D1353" s="8"/>
      <c r="E1353" s="15" t="s">
        <v>8</v>
      </c>
      <c r="F1353" s="15" t="s">
        <v>13</v>
      </c>
      <c r="G1353" s="17" t="s">
        <v>178</v>
      </c>
      <c r="H1353" s="17"/>
      <c r="I1353" s="1" t="str">
        <f t="shared" si="65"/>
        <v/>
      </c>
      <c r="J1353" s="1" t="str">
        <f t="shared" si="63"/>
        <v/>
      </c>
      <c r="K1353" s="1" t="str">
        <f t="shared" si="64"/>
        <v/>
      </c>
    </row>
    <row r="1354" spans="4:11" ht="15" customHeight="1">
      <c r="D1354" s="6" t="s">
        <v>139</v>
      </c>
      <c r="E1354" s="7"/>
      <c r="F1354" s="7"/>
      <c r="G1354" s="17" t="s">
        <v>184</v>
      </c>
      <c r="H1354" s="17">
        <v>7</v>
      </c>
      <c r="I1354" s="1">
        <f t="shared" si="65"/>
        <v>-3</v>
      </c>
      <c r="J1354" s="1">
        <f t="shared" si="63"/>
        <v>0</v>
      </c>
      <c r="K1354" s="1">
        <f t="shared" si="64"/>
        <v>9</v>
      </c>
    </row>
    <row r="1355" spans="4:11" ht="15.75" thickBot="1">
      <c r="D1355" s="8"/>
      <c r="E1355" s="15" t="s">
        <v>1</v>
      </c>
      <c r="F1355" s="15" t="s">
        <v>41</v>
      </c>
      <c r="G1355" s="17" t="s">
        <v>178</v>
      </c>
      <c r="H1355" s="17"/>
      <c r="I1355" s="1" t="str">
        <f t="shared" si="65"/>
        <v/>
      </c>
      <c r="J1355" s="1" t="str">
        <f t="shared" si="63"/>
        <v/>
      </c>
      <c r="K1355" s="1" t="str">
        <f t="shared" si="64"/>
        <v/>
      </c>
    </row>
    <row r="1356" spans="4:11" ht="18" customHeight="1">
      <c r="D1356" s="6" t="s">
        <v>139</v>
      </c>
      <c r="E1356" s="7"/>
      <c r="F1356" s="7"/>
      <c r="G1356" s="17" t="s">
        <v>184</v>
      </c>
      <c r="H1356" s="17">
        <v>1</v>
      </c>
      <c r="I1356" s="1">
        <f t="shared" si="65"/>
        <v>3</v>
      </c>
      <c r="J1356" s="1">
        <f t="shared" si="63"/>
        <v>0</v>
      </c>
      <c r="K1356" s="1">
        <f t="shared" si="64"/>
        <v>9</v>
      </c>
    </row>
    <row r="1357" spans="4:11" ht="15.75" thickBot="1">
      <c r="D1357" s="8"/>
      <c r="E1357" s="15" t="s">
        <v>28</v>
      </c>
      <c r="F1357" s="15" t="s">
        <v>0</v>
      </c>
      <c r="G1357" s="17" t="s">
        <v>178</v>
      </c>
      <c r="H1357" s="17"/>
      <c r="I1357" s="1" t="str">
        <f t="shared" si="65"/>
        <v/>
      </c>
      <c r="J1357" s="1" t="str">
        <f t="shared" si="63"/>
        <v/>
      </c>
      <c r="K1357" s="1" t="str">
        <f t="shared" si="64"/>
        <v/>
      </c>
    </row>
    <row r="1358" spans="4:11" ht="15" customHeight="1">
      <c r="D1358" s="6" t="s">
        <v>139</v>
      </c>
      <c r="E1358" s="7"/>
      <c r="F1358" s="7"/>
      <c r="G1358" s="17" t="s">
        <v>180</v>
      </c>
      <c r="H1358" s="17">
        <v>1</v>
      </c>
      <c r="I1358" s="1">
        <f t="shared" si="65"/>
        <v>1</v>
      </c>
      <c r="J1358" s="1">
        <f t="shared" si="63"/>
        <v>0</v>
      </c>
      <c r="K1358" s="1">
        <f t="shared" si="64"/>
        <v>1</v>
      </c>
    </row>
    <row r="1359" spans="4:11" ht="15.75" thickBot="1">
      <c r="D1359" s="8"/>
      <c r="E1359" s="15" t="s">
        <v>3</v>
      </c>
      <c r="F1359" s="15" t="s">
        <v>14</v>
      </c>
      <c r="G1359" s="17" t="s">
        <v>178</v>
      </c>
      <c r="H1359" s="17"/>
      <c r="I1359" s="1" t="str">
        <f t="shared" si="65"/>
        <v/>
      </c>
      <c r="J1359" s="1" t="str">
        <f t="shared" si="63"/>
        <v/>
      </c>
      <c r="K1359" s="1" t="str">
        <f t="shared" si="64"/>
        <v/>
      </c>
    </row>
    <row r="1360" spans="4:11" ht="15" customHeight="1">
      <c r="D1360" s="6" t="s">
        <v>139</v>
      </c>
      <c r="E1360" s="7"/>
      <c r="F1360" s="7"/>
      <c r="G1360" s="17" t="s">
        <v>181</v>
      </c>
      <c r="H1360" s="17">
        <v>3</v>
      </c>
      <c r="I1360" s="1">
        <f t="shared" si="65"/>
        <v>-2</v>
      </c>
      <c r="J1360" s="1">
        <f t="shared" si="63"/>
        <v>0</v>
      </c>
      <c r="K1360" s="1">
        <f t="shared" si="64"/>
        <v>4</v>
      </c>
    </row>
    <row r="1361" spans="4:11" ht="15.75" thickBot="1">
      <c r="D1361" s="8"/>
      <c r="E1361" s="15" t="s">
        <v>22</v>
      </c>
      <c r="F1361" s="15" t="s">
        <v>39</v>
      </c>
      <c r="G1361" s="17" t="s">
        <v>178</v>
      </c>
      <c r="H1361" s="17"/>
      <c r="I1361" s="1" t="str">
        <f t="shared" si="65"/>
        <v/>
      </c>
      <c r="J1361" s="1" t="str">
        <f t="shared" si="63"/>
        <v/>
      </c>
      <c r="K1361" s="1" t="str">
        <f t="shared" si="64"/>
        <v/>
      </c>
    </row>
    <row r="1362" spans="4:11" ht="15" customHeight="1">
      <c r="D1362" s="6" t="s">
        <v>139</v>
      </c>
      <c r="E1362" s="7"/>
      <c r="F1362" s="7"/>
      <c r="G1362" s="17" t="s">
        <v>182</v>
      </c>
      <c r="H1362" s="17">
        <v>1</v>
      </c>
      <c r="I1362" s="1">
        <f t="shared" si="65"/>
        <v>2</v>
      </c>
      <c r="J1362" s="1">
        <f t="shared" si="63"/>
        <v>0</v>
      </c>
      <c r="K1362" s="1">
        <f t="shared" si="64"/>
        <v>4</v>
      </c>
    </row>
    <row r="1363" spans="4:11" ht="15.75" thickBot="1">
      <c r="D1363" s="8"/>
      <c r="E1363" s="15" t="s">
        <v>7</v>
      </c>
      <c r="F1363" s="15" t="s">
        <v>23</v>
      </c>
      <c r="G1363" s="17" t="s">
        <v>178</v>
      </c>
      <c r="H1363" s="17"/>
      <c r="I1363" s="1" t="str">
        <f t="shared" si="65"/>
        <v/>
      </c>
      <c r="J1363" s="1" t="str">
        <f t="shared" si="63"/>
        <v/>
      </c>
      <c r="K1363" s="1" t="str">
        <f t="shared" si="64"/>
        <v/>
      </c>
    </row>
    <row r="1364" spans="4:11" ht="15" customHeight="1">
      <c r="D1364" s="6" t="s">
        <v>139</v>
      </c>
      <c r="E1364" s="7"/>
      <c r="F1364" s="7"/>
      <c r="G1364" s="17" t="s">
        <v>180</v>
      </c>
      <c r="H1364" s="17">
        <v>1</v>
      </c>
      <c r="I1364" s="1">
        <f t="shared" si="65"/>
        <v>1</v>
      </c>
      <c r="J1364" s="1">
        <f t="shared" si="63"/>
        <v>0</v>
      </c>
      <c r="K1364" s="1">
        <f t="shared" si="64"/>
        <v>1</v>
      </c>
    </row>
    <row r="1365" spans="4:11" ht="15.75" thickBot="1">
      <c r="D1365" s="8"/>
      <c r="E1365" s="15" t="s">
        <v>4</v>
      </c>
      <c r="F1365" s="15" t="s">
        <v>34</v>
      </c>
      <c r="G1365" s="17" t="s">
        <v>178</v>
      </c>
      <c r="H1365" s="17"/>
      <c r="I1365" s="1" t="str">
        <f t="shared" si="65"/>
        <v/>
      </c>
      <c r="J1365" s="1" t="str">
        <f t="shared" si="63"/>
        <v/>
      </c>
      <c r="K1365" s="1" t="str">
        <f t="shared" si="64"/>
        <v/>
      </c>
    </row>
    <row r="1366" spans="4:11" ht="15" customHeight="1">
      <c r="D1366" s="6" t="s">
        <v>139</v>
      </c>
      <c r="E1366" s="7"/>
      <c r="F1366" s="7"/>
      <c r="G1366" s="17" t="s">
        <v>185</v>
      </c>
      <c r="H1366" s="17">
        <v>2</v>
      </c>
      <c r="I1366" s="1">
        <f t="shared" si="65"/>
        <v>3</v>
      </c>
      <c r="J1366" s="1">
        <f t="shared" si="63"/>
        <v>0</v>
      </c>
      <c r="K1366" s="1">
        <f t="shared" si="64"/>
        <v>9</v>
      </c>
    </row>
    <row r="1367" spans="4:11" ht="15.75" thickBot="1">
      <c r="D1367" s="8"/>
      <c r="E1367" s="15" t="s">
        <v>36</v>
      </c>
      <c r="F1367" s="15" t="s">
        <v>33</v>
      </c>
      <c r="G1367" s="17" t="s">
        <v>178</v>
      </c>
      <c r="H1367" s="17"/>
      <c r="I1367" s="1" t="str">
        <f t="shared" si="65"/>
        <v/>
      </c>
      <c r="J1367" s="1" t="str">
        <f t="shared" si="63"/>
        <v/>
      </c>
      <c r="K1367" s="1" t="str">
        <f t="shared" si="64"/>
        <v/>
      </c>
    </row>
    <row r="1368" spans="4:11" ht="15" customHeight="1">
      <c r="D1368" s="6" t="s">
        <v>140</v>
      </c>
      <c r="E1368" s="7"/>
      <c r="F1368" s="7"/>
      <c r="G1368" s="17" t="s">
        <v>180</v>
      </c>
      <c r="H1368" s="17">
        <v>3</v>
      </c>
      <c r="I1368" s="1">
        <f t="shared" si="65"/>
        <v>-1</v>
      </c>
      <c r="J1368" s="1">
        <f t="shared" si="63"/>
        <v>0</v>
      </c>
      <c r="K1368" s="1">
        <f t="shared" si="64"/>
        <v>1</v>
      </c>
    </row>
    <row r="1369" spans="4:11" ht="15.75" thickBot="1">
      <c r="D1369" s="8"/>
      <c r="E1369" s="15" t="s">
        <v>18</v>
      </c>
      <c r="F1369" s="15" t="s">
        <v>38</v>
      </c>
      <c r="G1369" s="17" t="s">
        <v>178</v>
      </c>
      <c r="H1369" s="17"/>
      <c r="I1369" s="1" t="str">
        <f t="shared" si="65"/>
        <v/>
      </c>
      <c r="J1369" s="1" t="str">
        <f t="shared" si="63"/>
        <v/>
      </c>
      <c r="K1369" s="1" t="str">
        <f t="shared" si="64"/>
        <v/>
      </c>
    </row>
    <row r="1370" spans="4:11" ht="15" customHeight="1">
      <c r="D1370" s="6" t="s">
        <v>140</v>
      </c>
      <c r="E1370" s="7"/>
      <c r="F1370" s="7"/>
      <c r="G1370" s="17" t="s">
        <v>185</v>
      </c>
      <c r="H1370" s="17">
        <v>4</v>
      </c>
      <c r="I1370" s="1">
        <f t="shared" si="65"/>
        <v>1</v>
      </c>
      <c r="J1370" s="1">
        <f t="shared" si="63"/>
        <v>0</v>
      </c>
      <c r="K1370" s="1">
        <f t="shared" si="64"/>
        <v>1</v>
      </c>
    </row>
    <row r="1371" spans="4:11" ht="30.75" thickBot="1">
      <c r="D1371" s="8"/>
      <c r="E1371" s="15" t="s">
        <v>24</v>
      </c>
      <c r="F1371" s="15" t="s">
        <v>12</v>
      </c>
      <c r="G1371" s="17" t="s">
        <v>178</v>
      </c>
      <c r="H1371" s="17"/>
      <c r="I1371" s="1" t="str">
        <f t="shared" si="65"/>
        <v/>
      </c>
      <c r="J1371" s="1" t="str">
        <f t="shared" si="63"/>
        <v/>
      </c>
      <c r="K1371" s="1" t="str">
        <f t="shared" si="64"/>
        <v/>
      </c>
    </row>
    <row r="1372" spans="4:11" ht="15" customHeight="1">
      <c r="D1372" s="6" t="s">
        <v>140</v>
      </c>
      <c r="E1372" s="7"/>
      <c r="F1372" s="7"/>
      <c r="G1372" s="17" t="s">
        <v>180</v>
      </c>
      <c r="H1372" s="17">
        <v>3</v>
      </c>
      <c r="I1372" s="1">
        <f t="shared" si="65"/>
        <v>-1</v>
      </c>
      <c r="J1372" s="1">
        <f t="shared" si="63"/>
        <v>0</v>
      </c>
      <c r="K1372" s="1">
        <f t="shared" si="64"/>
        <v>1</v>
      </c>
    </row>
    <row r="1373" spans="4:11" ht="30.75" thickBot="1">
      <c r="D1373" s="8"/>
      <c r="E1373" s="15" t="s">
        <v>11</v>
      </c>
      <c r="F1373" s="15" t="s">
        <v>1</v>
      </c>
      <c r="G1373" s="17" t="s">
        <v>178</v>
      </c>
      <c r="H1373" s="17"/>
      <c r="I1373" s="1" t="str">
        <f t="shared" si="65"/>
        <v/>
      </c>
      <c r="J1373" s="1" t="str">
        <f t="shared" si="63"/>
        <v/>
      </c>
      <c r="K1373" s="1" t="str">
        <f t="shared" si="64"/>
        <v/>
      </c>
    </row>
    <row r="1374" spans="4:11" ht="15" customHeight="1">
      <c r="D1374" s="6" t="s">
        <v>140</v>
      </c>
      <c r="E1374" s="7"/>
      <c r="F1374" s="7"/>
      <c r="G1374" s="17" t="s">
        <v>181</v>
      </c>
      <c r="H1374" s="17">
        <v>2</v>
      </c>
      <c r="I1374" s="1">
        <f t="shared" si="65"/>
        <v>-1</v>
      </c>
      <c r="J1374" s="1">
        <f t="shared" si="63"/>
        <v>0</v>
      </c>
      <c r="K1374" s="1">
        <f t="shared" si="64"/>
        <v>1</v>
      </c>
    </row>
    <row r="1375" spans="4:11" ht="15.75" thickBot="1">
      <c r="D1375" s="8"/>
      <c r="E1375" s="15" t="s">
        <v>19</v>
      </c>
      <c r="F1375" s="15" t="s">
        <v>230</v>
      </c>
      <c r="G1375" s="17" t="s">
        <v>178</v>
      </c>
      <c r="H1375" s="17"/>
      <c r="I1375" s="1" t="str">
        <f t="shared" si="65"/>
        <v/>
      </c>
      <c r="J1375" s="1" t="str">
        <f t="shared" si="63"/>
        <v/>
      </c>
      <c r="K1375" s="1" t="str">
        <f t="shared" si="64"/>
        <v/>
      </c>
    </row>
    <row r="1376" spans="4:11" ht="15" customHeight="1">
      <c r="D1376" s="6" t="s">
        <v>140</v>
      </c>
      <c r="E1376" s="7"/>
      <c r="F1376" s="7"/>
      <c r="G1376" s="17" t="s">
        <v>184</v>
      </c>
      <c r="H1376" s="17">
        <v>5</v>
      </c>
      <c r="I1376" s="1">
        <f t="shared" si="65"/>
        <v>-1</v>
      </c>
      <c r="J1376" s="1">
        <f t="shared" si="63"/>
        <v>0</v>
      </c>
      <c r="K1376" s="1">
        <f t="shared" si="64"/>
        <v>1</v>
      </c>
    </row>
    <row r="1377" spans="4:11" ht="15.75" thickBot="1">
      <c r="D1377" s="8"/>
      <c r="E1377" s="15" t="s">
        <v>23</v>
      </c>
      <c r="F1377" s="15" t="s">
        <v>13</v>
      </c>
      <c r="G1377" s="17" t="s">
        <v>178</v>
      </c>
      <c r="H1377" s="17"/>
      <c r="I1377" s="1" t="str">
        <f t="shared" si="65"/>
        <v/>
      </c>
      <c r="J1377" s="1" t="str">
        <f t="shared" si="63"/>
        <v/>
      </c>
      <c r="K1377" s="1" t="str">
        <f t="shared" si="64"/>
        <v/>
      </c>
    </row>
    <row r="1378" spans="4:11" ht="15" customHeight="1">
      <c r="D1378" s="6" t="s">
        <v>140</v>
      </c>
      <c r="E1378" s="7"/>
      <c r="F1378" s="7"/>
      <c r="G1378" s="17" t="s">
        <v>181</v>
      </c>
      <c r="H1378" s="17">
        <v>4</v>
      </c>
      <c r="I1378" s="1">
        <f t="shared" si="65"/>
        <v>-3</v>
      </c>
      <c r="J1378" s="1">
        <f t="shared" si="63"/>
        <v>0</v>
      </c>
      <c r="K1378" s="1">
        <f t="shared" si="64"/>
        <v>9</v>
      </c>
    </row>
    <row r="1379" spans="4:11" ht="15.75" thickBot="1">
      <c r="D1379" s="8"/>
      <c r="E1379" s="15" t="s">
        <v>3</v>
      </c>
      <c r="F1379" s="15" t="s">
        <v>37</v>
      </c>
      <c r="G1379" s="17" t="s">
        <v>178</v>
      </c>
      <c r="H1379" s="17"/>
      <c r="I1379" s="1" t="str">
        <f t="shared" si="65"/>
        <v/>
      </c>
      <c r="J1379" s="1" t="str">
        <f t="shared" si="63"/>
        <v/>
      </c>
      <c r="K1379" s="1" t="str">
        <f t="shared" si="64"/>
        <v/>
      </c>
    </row>
    <row r="1380" spans="4:11" ht="15" customHeight="1">
      <c r="D1380" s="6" t="s">
        <v>140</v>
      </c>
      <c r="E1380" s="7"/>
      <c r="F1380" s="7"/>
      <c r="G1380" s="17" t="s">
        <v>181</v>
      </c>
      <c r="H1380" s="17">
        <v>6</v>
      </c>
      <c r="I1380" s="1">
        <f t="shared" si="65"/>
        <v>-5</v>
      </c>
      <c r="J1380" s="1">
        <f t="shared" si="63"/>
        <v>0</v>
      </c>
      <c r="K1380" s="1">
        <f t="shared" si="64"/>
        <v>25</v>
      </c>
    </row>
    <row r="1381" spans="4:11" ht="15.75" thickBot="1">
      <c r="D1381" s="8"/>
      <c r="E1381" s="15" t="s">
        <v>26</v>
      </c>
      <c r="F1381" s="15" t="s">
        <v>20</v>
      </c>
      <c r="G1381" s="17" t="s">
        <v>178</v>
      </c>
      <c r="H1381" s="17"/>
      <c r="I1381" s="1" t="str">
        <f t="shared" si="65"/>
        <v/>
      </c>
      <c r="J1381" s="1" t="str">
        <f t="shared" si="63"/>
        <v/>
      </c>
      <c r="K1381" s="1" t="str">
        <f t="shared" si="64"/>
        <v/>
      </c>
    </row>
    <row r="1382" spans="4:11" ht="18" customHeight="1">
      <c r="D1382" s="6" t="s">
        <v>140</v>
      </c>
      <c r="E1382" s="7"/>
      <c r="F1382" s="7"/>
      <c r="G1382" s="17" t="s">
        <v>182</v>
      </c>
      <c r="H1382" s="17">
        <v>1</v>
      </c>
      <c r="I1382" s="1">
        <f t="shared" si="65"/>
        <v>2</v>
      </c>
      <c r="J1382" s="1">
        <f t="shared" si="63"/>
        <v>0</v>
      </c>
      <c r="K1382" s="1">
        <f t="shared" si="64"/>
        <v>4</v>
      </c>
    </row>
    <row r="1383" spans="4:11" ht="15.75" thickBot="1">
      <c r="D1383" s="8"/>
      <c r="E1383" s="15" t="s">
        <v>2</v>
      </c>
      <c r="F1383" s="15" t="s">
        <v>21</v>
      </c>
      <c r="G1383" s="17" t="s">
        <v>178</v>
      </c>
      <c r="H1383" s="17"/>
      <c r="I1383" s="1" t="str">
        <f t="shared" si="65"/>
        <v/>
      </c>
      <c r="J1383" s="1" t="str">
        <f t="shared" si="63"/>
        <v/>
      </c>
      <c r="K1383" s="1" t="str">
        <f t="shared" si="64"/>
        <v/>
      </c>
    </row>
    <row r="1384" spans="4:11" ht="18" customHeight="1">
      <c r="D1384" s="6" t="s">
        <v>141</v>
      </c>
      <c r="E1384" s="7"/>
      <c r="F1384" s="7"/>
      <c r="G1384" s="17" t="s">
        <v>182</v>
      </c>
      <c r="H1384" s="17">
        <v>4</v>
      </c>
      <c r="I1384" s="1">
        <f t="shared" si="65"/>
        <v>-1</v>
      </c>
      <c r="J1384" s="1">
        <f t="shared" si="63"/>
        <v>0</v>
      </c>
      <c r="K1384" s="1">
        <f t="shared" si="64"/>
        <v>1</v>
      </c>
    </row>
    <row r="1385" spans="4:11" ht="15.75" thickBot="1">
      <c r="D1385" s="8"/>
      <c r="E1385" s="15" t="s">
        <v>0</v>
      </c>
      <c r="F1385" s="15" t="s">
        <v>18</v>
      </c>
      <c r="G1385" s="17" t="s">
        <v>178</v>
      </c>
      <c r="H1385" s="17"/>
      <c r="I1385" s="1" t="str">
        <f t="shared" si="65"/>
        <v/>
      </c>
      <c r="J1385" s="1" t="str">
        <f t="shared" si="63"/>
        <v/>
      </c>
      <c r="K1385" s="1" t="str">
        <f t="shared" si="64"/>
        <v/>
      </c>
    </row>
    <row r="1386" spans="4:11" ht="15" customHeight="1">
      <c r="D1386" s="6" t="s">
        <v>141</v>
      </c>
      <c r="E1386" s="7"/>
      <c r="F1386" s="7"/>
      <c r="G1386" s="17" t="s">
        <v>182</v>
      </c>
      <c r="H1386" s="17">
        <v>2</v>
      </c>
      <c r="I1386" s="1">
        <f t="shared" si="65"/>
        <v>1</v>
      </c>
      <c r="J1386" s="1">
        <f t="shared" si="63"/>
        <v>0</v>
      </c>
      <c r="K1386" s="1">
        <f t="shared" si="64"/>
        <v>1</v>
      </c>
    </row>
    <row r="1387" spans="4:11" ht="15.75" thickBot="1">
      <c r="D1387" s="8"/>
      <c r="E1387" s="15" t="s">
        <v>20</v>
      </c>
      <c r="F1387" s="15" t="s">
        <v>11</v>
      </c>
      <c r="G1387" s="17" t="s">
        <v>178</v>
      </c>
      <c r="H1387" s="17"/>
      <c r="I1387" s="1" t="str">
        <f t="shared" si="65"/>
        <v/>
      </c>
      <c r="J1387" s="1" t="str">
        <f t="shared" si="63"/>
        <v/>
      </c>
      <c r="K1387" s="1" t="str">
        <f t="shared" si="64"/>
        <v/>
      </c>
    </row>
    <row r="1388" spans="4:11" ht="15" customHeight="1">
      <c r="D1388" s="6" t="s">
        <v>141</v>
      </c>
      <c r="E1388" s="7"/>
      <c r="F1388" s="7"/>
      <c r="G1388" s="17" t="s">
        <v>179</v>
      </c>
      <c r="H1388" s="17">
        <v>4</v>
      </c>
      <c r="I1388" s="1">
        <f t="shared" si="65"/>
        <v>-4</v>
      </c>
      <c r="J1388" s="1">
        <f t="shared" si="63"/>
        <v>0</v>
      </c>
      <c r="K1388" s="1">
        <f t="shared" si="64"/>
        <v>16</v>
      </c>
    </row>
    <row r="1389" spans="4:11" ht="15.75" thickBot="1">
      <c r="D1389" s="8"/>
      <c r="E1389" s="15" t="s">
        <v>7</v>
      </c>
      <c r="F1389" s="15" t="s">
        <v>25</v>
      </c>
      <c r="G1389" s="17" t="s">
        <v>178</v>
      </c>
      <c r="H1389" s="17"/>
      <c r="I1389" s="1" t="str">
        <f t="shared" si="65"/>
        <v/>
      </c>
      <c r="J1389" s="1" t="str">
        <f t="shared" si="63"/>
        <v/>
      </c>
      <c r="K1389" s="1" t="str">
        <f t="shared" si="64"/>
        <v/>
      </c>
    </row>
    <row r="1390" spans="4:11" ht="15" customHeight="1">
      <c r="D1390" s="6" t="s">
        <v>141</v>
      </c>
      <c r="E1390" s="7"/>
      <c r="F1390" s="7"/>
      <c r="G1390" s="17" t="s">
        <v>180</v>
      </c>
      <c r="H1390" s="17">
        <v>3</v>
      </c>
      <c r="I1390" s="1">
        <f t="shared" si="65"/>
        <v>-1</v>
      </c>
      <c r="J1390" s="1">
        <f t="shared" si="63"/>
        <v>0</v>
      </c>
      <c r="K1390" s="1">
        <f t="shared" si="64"/>
        <v>1</v>
      </c>
    </row>
    <row r="1391" spans="4:11" ht="15.75" thickBot="1">
      <c r="D1391" s="8"/>
      <c r="E1391" s="15" t="s">
        <v>2</v>
      </c>
      <c r="F1391" s="15" t="s">
        <v>22</v>
      </c>
      <c r="G1391" s="17" t="s">
        <v>178</v>
      </c>
      <c r="H1391" s="17"/>
      <c r="I1391" s="1" t="str">
        <f t="shared" si="65"/>
        <v/>
      </c>
      <c r="J1391" s="1" t="str">
        <f t="shared" si="63"/>
        <v/>
      </c>
      <c r="K1391" s="1" t="str">
        <f t="shared" si="64"/>
        <v/>
      </c>
    </row>
    <row r="1392" spans="4:11" ht="18" customHeight="1">
      <c r="D1392" s="6" t="s">
        <v>141</v>
      </c>
      <c r="E1392" s="7"/>
      <c r="F1392" s="7"/>
      <c r="G1392" s="17" t="s">
        <v>182</v>
      </c>
      <c r="H1392" s="17">
        <v>6</v>
      </c>
      <c r="I1392" s="1">
        <f t="shared" si="65"/>
        <v>-3</v>
      </c>
      <c r="J1392" s="1">
        <f t="shared" si="63"/>
        <v>0</v>
      </c>
      <c r="K1392" s="1">
        <f t="shared" si="64"/>
        <v>9</v>
      </c>
    </row>
    <row r="1393" spans="4:11" ht="15.75" thickBot="1">
      <c r="D1393" s="8"/>
      <c r="E1393" s="15" t="s">
        <v>4</v>
      </c>
      <c r="F1393" s="15" t="s">
        <v>10</v>
      </c>
      <c r="G1393" s="17" t="s">
        <v>178</v>
      </c>
      <c r="H1393" s="17"/>
      <c r="I1393" s="1" t="str">
        <f t="shared" si="65"/>
        <v/>
      </c>
      <c r="J1393" s="1" t="str">
        <f t="shared" si="63"/>
        <v/>
      </c>
      <c r="K1393" s="1" t="str">
        <f t="shared" si="64"/>
        <v/>
      </c>
    </row>
    <row r="1394" spans="4:11" ht="15" customHeight="1">
      <c r="D1394" s="6" t="s">
        <v>141</v>
      </c>
      <c r="E1394" s="7"/>
      <c r="F1394" s="7"/>
      <c r="G1394" s="17" t="s">
        <v>180</v>
      </c>
      <c r="H1394" s="17">
        <v>4</v>
      </c>
      <c r="I1394" s="1">
        <f t="shared" si="65"/>
        <v>-2</v>
      </c>
      <c r="J1394" s="1">
        <f t="shared" si="63"/>
        <v>0</v>
      </c>
      <c r="K1394" s="1">
        <f t="shared" si="64"/>
        <v>4</v>
      </c>
    </row>
    <row r="1395" spans="4:11" ht="15.75" thickBot="1">
      <c r="D1395" s="8"/>
      <c r="E1395" s="15" t="s">
        <v>34</v>
      </c>
      <c r="F1395" s="15" t="s">
        <v>33</v>
      </c>
      <c r="G1395" s="17" t="s">
        <v>178</v>
      </c>
      <c r="H1395" s="17"/>
      <c r="I1395" s="1" t="str">
        <f t="shared" si="65"/>
        <v/>
      </c>
      <c r="J1395" s="1" t="str">
        <f t="shared" si="63"/>
        <v/>
      </c>
      <c r="K1395" s="1" t="str">
        <f t="shared" si="64"/>
        <v/>
      </c>
    </row>
    <row r="1396" spans="4:11" ht="15" customHeight="1">
      <c r="D1396" s="6" t="s">
        <v>142</v>
      </c>
      <c r="E1396" s="7"/>
      <c r="F1396" s="7"/>
      <c r="G1396" s="17" t="s">
        <v>181</v>
      </c>
      <c r="H1396" s="17">
        <v>4</v>
      </c>
      <c r="I1396" s="1">
        <f t="shared" si="65"/>
        <v>-3</v>
      </c>
      <c r="J1396" s="1">
        <f t="shared" si="63"/>
        <v>0</v>
      </c>
      <c r="K1396" s="1">
        <f t="shared" si="64"/>
        <v>9</v>
      </c>
    </row>
    <row r="1397" spans="4:11" ht="15.75" thickBot="1">
      <c r="D1397" s="8"/>
      <c r="E1397" s="15" t="s">
        <v>38</v>
      </c>
      <c r="F1397" s="15" t="s">
        <v>41</v>
      </c>
      <c r="G1397" s="17" t="s">
        <v>178</v>
      </c>
      <c r="H1397" s="17"/>
      <c r="I1397" s="1" t="str">
        <f t="shared" si="65"/>
        <v/>
      </c>
      <c r="J1397" s="1" t="str">
        <f t="shared" si="63"/>
        <v/>
      </c>
      <c r="K1397" s="1" t="str">
        <f t="shared" si="64"/>
        <v/>
      </c>
    </row>
    <row r="1398" spans="4:11" ht="15" customHeight="1">
      <c r="D1398" s="6" t="s">
        <v>142</v>
      </c>
      <c r="E1398" s="7"/>
      <c r="F1398" s="7"/>
      <c r="G1398" s="17" t="s">
        <v>182</v>
      </c>
      <c r="H1398" s="17">
        <v>4</v>
      </c>
      <c r="I1398" s="1">
        <f t="shared" si="65"/>
        <v>-1</v>
      </c>
      <c r="J1398" s="1">
        <f t="shared" si="63"/>
        <v>0</v>
      </c>
      <c r="K1398" s="1">
        <f t="shared" si="64"/>
        <v>1</v>
      </c>
    </row>
    <row r="1399" spans="4:11" ht="30.75" thickBot="1">
      <c r="D1399" s="8"/>
      <c r="E1399" s="15" t="s">
        <v>26</v>
      </c>
      <c r="F1399" s="15" t="s">
        <v>1</v>
      </c>
      <c r="G1399" s="17" t="s">
        <v>178</v>
      </c>
      <c r="H1399" s="17"/>
      <c r="I1399" s="1" t="str">
        <f t="shared" si="65"/>
        <v/>
      </c>
      <c r="J1399" s="1" t="str">
        <f t="shared" si="63"/>
        <v/>
      </c>
      <c r="K1399" s="1" t="str">
        <f t="shared" si="64"/>
        <v/>
      </c>
    </row>
    <row r="1400" spans="4:11" ht="15" customHeight="1">
      <c r="D1400" s="6" t="s">
        <v>142</v>
      </c>
      <c r="E1400" s="7"/>
      <c r="F1400" s="7"/>
      <c r="G1400" s="17" t="s">
        <v>182</v>
      </c>
      <c r="H1400" s="17">
        <v>5</v>
      </c>
      <c r="I1400" s="1">
        <f t="shared" si="65"/>
        <v>-2</v>
      </c>
      <c r="J1400" s="1">
        <f t="shared" si="63"/>
        <v>0</v>
      </c>
      <c r="K1400" s="1">
        <f t="shared" si="64"/>
        <v>4</v>
      </c>
    </row>
    <row r="1401" spans="4:11" ht="15.75" thickBot="1">
      <c r="D1401" s="8"/>
      <c r="E1401" s="15" t="s">
        <v>25</v>
      </c>
      <c r="F1401" s="15" t="s">
        <v>11</v>
      </c>
      <c r="G1401" s="17" t="s">
        <v>178</v>
      </c>
      <c r="H1401" s="17"/>
      <c r="I1401" s="1" t="str">
        <f t="shared" si="65"/>
        <v/>
      </c>
      <c r="J1401" s="1" t="str">
        <f t="shared" si="63"/>
        <v/>
      </c>
      <c r="K1401" s="1" t="str">
        <f t="shared" si="64"/>
        <v/>
      </c>
    </row>
    <row r="1402" spans="4:11" ht="15" customHeight="1">
      <c r="D1402" s="6" t="s">
        <v>142</v>
      </c>
      <c r="E1402" s="7"/>
      <c r="F1402" s="7"/>
      <c r="G1402" s="17" t="s">
        <v>182</v>
      </c>
      <c r="H1402" s="17">
        <v>4</v>
      </c>
      <c r="I1402" s="1">
        <f t="shared" si="65"/>
        <v>-1</v>
      </c>
      <c r="J1402" s="1">
        <f t="shared" si="63"/>
        <v>0</v>
      </c>
      <c r="K1402" s="1">
        <f t="shared" si="64"/>
        <v>1</v>
      </c>
    </row>
    <row r="1403" spans="4:11" ht="15.75" thickBot="1">
      <c r="D1403" s="8"/>
      <c r="E1403" s="15" t="s">
        <v>12</v>
      </c>
      <c r="F1403" s="15" t="s">
        <v>7</v>
      </c>
      <c r="G1403" s="17" t="s">
        <v>178</v>
      </c>
      <c r="H1403" s="17"/>
      <c r="I1403" s="1" t="str">
        <f t="shared" si="65"/>
        <v/>
      </c>
      <c r="J1403" s="1" t="str">
        <f t="shared" si="63"/>
        <v/>
      </c>
      <c r="K1403" s="1" t="str">
        <f t="shared" si="64"/>
        <v/>
      </c>
    </row>
    <row r="1404" spans="4:11" ht="15" customHeight="1">
      <c r="D1404" s="6" t="s">
        <v>142</v>
      </c>
      <c r="E1404" s="7"/>
      <c r="F1404" s="7"/>
      <c r="G1404" s="17" t="s">
        <v>180</v>
      </c>
      <c r="H1404" s="17">
        <v>4</v>
      </c>
      <c r="I1404" s="1">
        <f t="shared" si="65"/>
        <v>-2</v>
      </c>
      <c r="J1404" s="1">
        <f t="shared" si="63"/>
        <v>0</v>
      </c>
      <c r="K1404" s="1">
        <f t="shared" si="64"/>
        <v>4</v>
      </c>
    </row>
    <row r="1405" spans="4:11" ht="15.75" thickBot="1">
      <c r="D1405" s="8"/>
      <c r="E1405" s="15" t="s">
        <v>37</v>
      </c>
      <c r="F1405" s="15" t="s">
        <v>28</v>
      </c>
      <c r="G1405" s="17" t="s">
        <v>178</v>
      </c>
      <c r="H1405" s="17"/>
      <c r="I1405" s="1" t="str">
        <f t="shared" si="65"/>
        <v/>
      </c>
      <c r="J1405" s="1" t="str">
        <f t="shared" si="63"/>
        <v/>
      </c>
      <c r="K1405" s="1" t="str">
        <f t="shared" si="64"/>
        <v/>
      </c>
    </row>
    <row r="1406" spans="4:11" ht="15" customHeight="1">
      <c r="D1406" s="6" t="s">
        <v>142</v>
      </c>
      <c r="E1406" s="7"/>
      <c r="F1406" s="7"/>
      <c r="G1406" s="17" t="s">
        <v>180</v>
      </c>
      <c r="H1406" s="17">
        <v>3</v>
      </c>
      <c r="I1406" s="1">
        <f t="shared" si="65"/>
        <v>-1</v>
      </c>
      <c r="J1406" s="1">
        <f t="shared" si="63"/>
        <v>0</v>
      </c>
      <c r="K1406" s="1">
        <f t="shared" si="64"/>
        <v>1</v>
      </c>
    </row>
    <row r="1407" spans="4:11" ht="15.75" thickBot="1">
      <c r="D1407" s="8"/>
      <c r="E1407" s="15" t="s">
        <v>21</v>
      </c>
      <c r="F1407" s="15" t="s">
        <v>230</v>
      </c>
      <c r="G1407" s="17" t="s">
        <v>178</v>
      </c>
      <c r="H1407" s="17"/>
      <c r="I1407" s="1" t="str">
        <f t="shared" si="65"/>
        <v/>
      </c>
      <c r="J1407" s="1" t="str">
        <f t="shared" si="63"/>
        <v/>
      </c>
      <c r="K1407" s="1" t="str">
        <f t="shared" si="64"/>
        <v/>
      </c>
    </row>
    <row r="1408" spans="4:11" ht="18" customHeight="1">
      <c r="D1408" s="6" t="s">
        <v>142</v>
      </c>
      <c r="E1408" s="7"/>
      <c r="F1408" s="7"/>
      <c r="G1408" s="17" t="s">
        <v>185</v>
      </c>
      <c r="H1408" s="17">
        <v>4</v>
      </c>
      <c r="I1408" s="1">
        <f t="shared" si="65"/>
        <v>1</v>
      </c>
      <c r="J1408" s="1">
        <f t="shared" si="63"/>
        <v>0</v>
      </c>
      <c r="K1408" s="1">
        <f t="shared" si="64"/>
        <v>1</v>
      </c>
    </row>
    <row r="1409" spans="4:11" ht="15.75" thickBot="1">
      <c r="D1409" s="8"/>
      <c r="E1409" s="15" t="s">
        <v>13</v>
      </c>
      <c r="F1409" s="15" t="s">
        <v>14</v>
      </c>
      <c r="G1409" s="17" t="s">
        <v>178</v>
      </c>
      <c r="H1409" s="17"/>
      <c r="I1409" s="1" t="str">
        <f t="shared" si="65"/>
        <v/>
      </c>
      <c r="J1409" s="1" t="str">
        <f t="shared" si="63"/>
        <v/>
      </c>
      <c r="K1409" s="1" t="str">
        <f t="shared" si="64"/>
        <v/>
      </c>
    </row>
    <row r="1410" spans="4:11" ht="15" customHeight="1">
      <c r="D1410" s="6" t="s">
        <v>142</v>
      </c>
      <c r="E1410" s="7"/>
      <c r="F1410" s="7"/>
      <c r="G1410" s="17" t="s">
        <v>182</v>
      </c>
      <c r="H1410" s="17">
        <v>4</v>
      </c>
      <c r="I1410" s="1">
        <f t="shared" si="65"/>
        <v>-1</v>
      </c>
      <c r="J1410" s="1">
        <f t="shared" si="63"/>
        <v>0</v>
      </c>
      <c r="K1410" s="1">
        <f t="shared" si="64"/>
        <v>1</v>
      </c>
    </row>
    <row r="1411" spans="4:11" ht="15.75" thickBot="1">
      <c r="D1411" s="8"/>
      <c r="E1411" s="15" t="s">
        <v>22</v>
      </c>
      <c r="F1411" s="15" t="s">
        <v>19</v>
      </c>
      <c r="G1411" s="17" t="s">
        <v>178</v>
      </c>
      <c r="H1411" s="17"/>
      <c r="I1411" s="1" t="str">
        <f t="shared" si="65"/>
        <v/>
      </c>
      <c r="J1411" s="1" t="str">
        <f t="shared" ref="J1411:J1474" si="66">IF(F1412="","",VLOOKUP(F1412,$A$2:$B$31,2)+$B$33-VLOOKUP(E1412,$A$2:$B$31,2))</f>
        <v/>
      </c>
      <c r="K1411" s="1" t="str">
        <f t="shared" ref="K1411:K1474" si="67">IF(G1411="","",(I1411-J1411)^2)</f>
        <v/>
      </c>
    </row>
    <row r="1412" spans="4:11" ht="18" customHeight="1">
      <c r="D1412" s="6" t="s">
        <v>142</v>
      </c>
      <c r="E1412" s="7"/>
      <c r="F1412" s="7"/>
      <c r="G1412" s="17" t="s">
        <v>181</v>
      </c>
      <c r="H1412" s="17">
        <v>4</v>
      </c>
      <c r="I1412" s="1">
        <f t="shared" ref="I1412:I1475" si="68">IF(G1412="","",G1412-H1412)</f>
        <v>-3</v>
      </c>
      <c r="J1412" s="1">
        <f t="shared" si="66"/>
        <v>-2550</v>
      </c>
      <c r="K1412" s="1">
        <f t="shared" si="67"/>
        <v>6487209</v>
      </c>
    </row>
    <row r="1413" spans="4:11" ht="15.75" thickBot="1">
      <c r="D1413" s="8"/>
      <c r="E1413" s="15" t="s">
        <v>8</v>
      </c>
      <c r="F1413" s="15" t="s">
        <v>4</v>
      </c>
      <c r="G1413" s="17" t="s">
        <v>178</v>
      </c>
      <c r="H1413" s="17"/>
      <c r="I1413" s="1" t="str">
        <f t="shared" si="68"/>
        <v/>
      </c>
      <c r="J1413" s="1" t="str">
        <f t="shared" si="66"/>
        <v/>
      </c>
      <c r="K1413" s="1" t="str">
        <f t="shared" si="67"/>
        <v/>
      </c>
    </row>
    <row r="1414" spans="4:11" ht="15" customHeight="1">
      <c r="D1414" s="6" t="s">
        <v>142</v>
      </c>
      <c r="E1414" s="7"/>
      <c r="F1414" s="7"/>
      <c r="G1414" s="17" t="s">
        <v>180</v>
      </c>
      <c r="H1414" s="17">
        <v>1</v>
      </c>
      <c r="I1414" s="1">
        <f t="shared" si="68"/>
        <v>1</v>
      </c>
      <c r="J1414" s="1">
        <f t="shared" si="66"/>
        <v>0</v>
      </c>
      <c r="K1414" s="1">
        <f t="shared" si="67"/>
        <v>1</v>
      </c>
    </row>
    <row r="1415" spans="4:11" ht="15.75" thickBot="1">
      <c r="D1415" s="8"/>
      <c r="E1415" s="15" t="s">
        <v>23</v>
      </c>
      <c r="F1415" s="15" t="s">
        <v>24</v>
      </c>
      <c r="G1415" s="17" t="s">
        <v>178</v>
      </c>
      <c r="H1415" s="17"/>
      <c r="I1415" s="1" t="str">
        <f t="shared" si="68"/>
        <v/>
      </c>
      <c r="J1415" s="1" t="str">
        <f t="shared" si="66"/>
        <v/>
      </c>
      <c r="K1415" s="1" t="str">
        <f t="shared" si="67"/>
        <v/>
      </c>
    </row>
    <row r="1416" spans="4:11" ht="15" customHeight="1">
      <c r="D1416" s="6" t="s">
        <v>142</v>
      </c>
      <c r="E1416" s="7"/>
      <c r="F1416" s="7"/>
      <c r="G1416" s="17" t="s">
        <v>184</v>
      </c>
      <c r="H1416" s="17">
        <v>0</v>
      </c>
      <c r="I1416" s="1">
        <f t="shared" si="68"/>
        <v>4</v>
      </c>
      <c r="J1416" s="1">
        <f t="shared" si="66"/>
        <v>0</v>
      </c>
      <c r="K1416" s="1">
        <f t="shared" si="67"/>
        <v>16</v>
      </c>
    </row>
    <row r="1417" spans="4:11" ht="15.75" thickBot="1">
      <c r="D1417" s="8"/>
      <c r="E1417" s="15" t="s">
        <v>10</v>
      </c>
      <c r="F1417" s="15" t="s">
        <v>3</v>
      </c>
      <c r="G1417" s="17" t="s">
        <v>178</v>
      </c>
      <c r="H1417" s="17"/>
      <c r="I1417" s="1" t="str">
        <f t="shared" si="68"/>
        <v/>
      </c>
      <c r="J1417" s="1" t="str">
        <f t="shared" si="66"/>
        <v/>
      </c>
      <c r="K1417" s="1" t="str">
        <f t="shared" si="67"/>
        <v/>
      </c>
    </row>
    <row r="1418" spans="4:11" ht="15" customHeight="1">
      <c r="D1418" s="6" t="s">
        <v>143</v>
      </c>
      <c r="E1418" s="7"/>
      <c r="F1418" s="7"/>
      <c r="G1418" s="17" t="s">
        <v>181</v>
      </c>
      <c r="H1418" s="17">
        <v>2</v>
      </c>
      <c r="I1418" s="1">
        <f t="shared" si="68"/>
        <v>-1</v>
      </c>
      <c r="J1418" s="1">
        <f t="shared" si="66"/>
        <v>0</v>
      </c>
      <c r="K1418" s="1">
        <f t="shared" si="67"/>
        <v>1</v>
      </c>
    </row>
    <row r="1419" spans="4:11" ht="15.75" thickBot="1">
      <c r="D1419" s="8"/>
      <c r="E1419" s="15" t="s">
        <v>0</v>
      </c>
      <c r="F1419" s="15" t="s">
        <v>36</v>
      </c>
      <c r="G1419" s="17" t="s">
        <v>178</v>
      </c>
      <c r="H1419" s="17"/>
      <c r="I1419" s="1" t="str">
        <f t="shared" si="68"/>
        <v/>
      </c>
      <c r="J1419" s="1" t="str">
        <f t="shared" si="66"/>
        <v/>
      </c>
      <c r="K1419" s="1" t="str">
        <f t="shared" si="67"/>
        <v/>
      </c>
    </row>
    <row r="1420" spans="4:11" ht="15" customHeight="1">
      <c r="D1420" s="6" t="s">
        <v>143</v>
      </c>
      <c r="E1420" s="7"/>
      <c r="F1420" s="7"/>
      <c r="G1420" s="17" t="s">
        <v>179</v>
      </c>
      <c r="H1420" s="17">
        <v>4</v>
      </c>
      <c r="I1420" s="1">
        <f t="shared" si="68"/>
        <v>-4</v>
      </c>
      <c r="J1420" s="1">
        <f t="shared" si="66"/>
        <v>0</v>
      </c>
      <c r="K1420" s="1">
        <f t="shared" si="67"/>
        <v>16</v>
      </c>
    </row>
    <row r="1421" spans="4:11" ht="30.75" thickBot="1">
      <c r="D1421" s="8"/>
      <c r="E1421" s="15" t="s">
        <v>11</v>
      </c>
      <c r="F1421" s="15" t="s">
        <v>12</v>
      </c>
      <c r="G1421" s="17" t="s">
        <v>178</v>
      </c>
      <c r="H1421" s="17"/>
      <c r="I1421" s="1" t="str">
        <f t="shared" si="68"/>
        <v/>
      </c>
      <c r="J1421" s="1" t="str">
        <f t="shared" si="66"/>
        <v/>
      </c>
      <c r="K1421" s="1" t="str">
        <f t="shared" si="67"/>
        <v/>
      </c>
    </row>
    <row r="1422" spans="4:11" ht="15" customHeight="1">
      <c r="D1422" s="6" t="s">
        <v>143</v>
      </c>
      <c r="E1422" s="7"/>
      <c r="F1422" s="7"/>
      <c r="G1422" s="17" t="s">
        <v>182</v>
      </c>
      <c r="H1422" s="17">
        <v>4</v>
      </c>
      <c r="I1422" s="1">
        <f t="shared" si="68"/>
        <v>-1</v>
      </c>
      <c r="J1422" s="1">
        <f t="shared" si="66"/>
        <v>0</v>
      </c>
      <c r="K1422" s="1">
        <f t="shared" si="67"/>
        <v>1</v>
      </c>
    </row>
    <row r="1423" spans="4:11" ht="15.75" thickBot="1">
      <c r="D1423" s="8"/>
      <c r="E1423" s="15" t="s">
        <v>20</v>
      </c>
      <c r="F1423" s="15" t="s">
        <v>34</v>
      </c>
      <c r="G1423" s="17" t="s">
        <v>178</v>
      </c>
      <c r="H1423" s="17"/>
      <c r="I1423" s="1" t="str">
        <f t="shared" si="68"/>
        <v/>
      </c>
      <c r="J1423" s="1" t="str">
        <f t="shared" si="66"/>
        <v/>
      </c>
      <c r="K1423" s="1" t="str">
        <f t="shared" si="67"/>
        <v/>
      </c>
    </row>
    <row r="1424" spans="4:11" ht="15" customHeight="1">
      <c r="D1424" s="6" t="s">
        <v>144</v>
      </c>
      <c r="E1424" s="7"/>
      <c r="F1424" s="7"/>
      <c r="G1424" s="17" t="s">
        <v>185</v>
      </c>
      <c r="H1424" s="17">
        <v>2</v>
      </c>
      <c r="I1424" s="1">
        <f t="shared" si="68"/>
        <v>3</v>
      </c>
      <c r="J1424" s="1">
        <f t="shared" si="66"/>
        <v>0</v>
      </c>
      <c r="K1424" s="1">
        <f t="shared" si="67"/>
        <v>9</v>
      </c>
    </row>
    <row r="1425" spans="4:11" ht="15.75" thickBot="1">
      <c r="D1425" s="8"/>
      <c r="E1425" s="15" t="s">
        <v>2</v>
      </c>
      <c r="F1425" s="15" t="s">
        <v>41</v>
      </c>
      <c r="G1425" s="17" t="s">
        <v>178</v>
      </c>
      <c r="H1425" s="17"/>
      <c r="I1425" s="1" t="str">
        <f t="shared" si="68"/>
        <v/>
      </c>
      <c r="J1425" s="1" t="str">
        <f t="shared" si="66"/>
        <v/>
      </c>
      <c r="K1425" s="1" t="str">
        <f t="shared" si="67"/>
        <v/>
      </c>
    </row>
    <row r="1426" spans="4:11" ht="15" customHeight="1">
      <c r="D1426" s="6" t="s">
        <v>144</v>
      </c>
      <c r="E1426" s="7"/>
      <c r="F1426" s="7"/>
      <c r="G1426" s="17" t="s">
        <v>181</v>
      </c>
      <c r="H1426" s="17">
        <v>0</v>
      </c>
      <c r="I1426" s="1">
        <f t="shared" si="68"/>
        <v>1</v>
      </c>
      <c r="J1426" s="1">
        <f t="shared" si="66"/>
        <v>0</v>
      </c>
      <c r="K1426" s="1">
        <f t="shared" si="67"/>
        <v>1</v>
      </c>
    </row>
    <row r="1427" spans="4:11" ht="15.75" thickBot="1">
      <c r="D1427" s="8"/>
      <c r="E1427" s="15" t="s">
        <v>230</v>
      </c>
      <c r="F1427" s="15" t="s">
        <v>38</v>
      </c>
      <c r="G1427" s="17" t="s">
        <v>178</v>
      </c>
      <c r="H1427" s="17"/>
      <c r="I1427" s="1" t="str">
        <f t="shared" si="68"/>
        <v/>
      </c>
      <c r="J1427" s="1" t="str">
        <f t="shared" si="66"/>
        <v/>
      </c>
      <c r="K1427" s="1" t="str">
        <f t="shared" si="67"/>
        <v/>
      </c>
    </row>
    <row r="1428" spans="4:11" ht="15" customHeight="1">
      <c r="D1428" s="6" t="s">
        <v>144</v>
      </c>
      <c r="E1428" s="7"/>
      <c r="F1428" s="7"/>
      <c r="G1428" s="17" t="s">
        <v>180</v>
      </c>
      <c r="H1428" s="17">
        <v>5</v>
      </c>
      <c r="I1428" s="1">
        <f t="shared" si="68"/>
        <v>-3</v>
      </c>
      <c r="J1428" s="1">
        <f t="shared" si="66"/>
        <v>0</v>
      </c>
      <c r="K1428" s="1">
        <f t="shared" si="67"/>
        <v>9</v>
      </c>
    </row>
    <row r="1429" spans="4:11" ht="30.75" thickBot="1">
      <c r="D1429" s="8"/>
      <c r="E1429" s="15" t="s">
        <v>25</v>
      </c>
      <c r="F1429" s="15" t="s">
        <v>1</v>
      </c>
      <c r="G1429" s="17" t="s">
        <v>178</v>
      </c>
      <c r="H1429" s="17"/>
      <c r="I1429" s="1" t="str">
        <f t="shared" si="68"/>
        <v/>
      </c>
      <c r="J1429" s="1" t="str">
        <f t="shared" si="66"/>
        <v/>
      </c>
      <c r="K1429" s="1" t="str">
        <f t="shared" si="67"/>
        <v/>
      </c>
    </row>
    <row r="1430" spans="4:11" ht="18" customHeight="1">
      <c r="D1430" s="6" t="s">
        <v>144</v>
      </c>
      <c r="E1430" s="7"/>
      <c r="F1430" s="7"/>
      <c r="G1430" s="17" t="s">
        <v>182</v>
      </c>
      <c r="H1430" s="17">
        <v>1</v>
      </c>
      <c r="I1430" s="1">
        <f t="shared" si="68"/>
        <v>2</v>
      </c>
      <c r="J1430" s="1">
        <f t="shared" si="66"/>
        <v>0</v>
      </c>
      <c r="K1430" s="1">
        <f t="shared" si="67"/>
        <v>4</v>
      </c>
    </row>
    <row r="1431" spans="4:11" ht="15.75" thickBot="1">
      <c r="D1431" s="8"/>
      <c r="E1431" s="15" t="s">
        <v>26</v>
      </c>
      <c r="F1431" s="15" t="s">
        <v>0</v>
      </c>
      <c r="G1431" s="17" t="s">
        <v>178</v>
      </c>
      <c r="H1431" s="17"/>
      <c r="I1431" s="1" t="str">
        <f t="shared" si="68"/>
        <v/>
      </c>
      <c r="J1431" s="1" t="str">
        <f t="shared" si="66"/>
        <v/>
      </c>
      <c r="K1431" s="1" t="str">
        <f t="shared" si="67"/>
        <v/>
      </c>
    </row>
    <row r="1432" spans="4:11" ht="18" customHeight="1">
      <c r="D1432" s="6" t="s">
        <v>144</v>
      </c>
      <c r="E1432" s="7"/>
      <c r="F1432" s="7"/>
      <c r="G1432" s="17" t="s">
        <v>183</v>
      </c>
      <c r="H1432" s="17">
        <v>3</v>
      </c>
      <c r="I1432" s="1">
        <f t="shared" si="68"/>
        <v>3</v>
      </c>
      <c r="J1432" s="1">
        <f t="shared" si="66"/>
        <v>0</v>
      </c>
      <c r="K1432" s="1">
        <f t="shared" si="67"/>
        <v>9</v>
      </c>
    </row>
    <row r="1433" spans="4:11" ht="15.75" thickBot="1">
      <c r="D1433" s="8"/>
      <c r="E1433" s="15" t="s">
        <v>21</v>
      </c>
      <c r="F1433" s="15" t="s">
        <v>18</v>
      </c>
      <c r="G1433" s="17" t="s">
        <v>178</v>
      </c>
      <c r="H1433" s="17"/>
      <c r="I1433" s="1" t="str">
        <f t="shared" si="68"/>
        <v/>
      </c>
      <c r="J1433" s="1" t="str">
        <f t="shared" si="66"/>
        <v/>
      </c>
      <c r="K1433" s="1" t="str">
        <f t="shared" si="67"/>
        <v/>
      </c>
    </row>
    <row r="1434" spans="4:11" ht="15" customHeight="1">
      <c r="D1434" s="6" t="s">
        <v>144</v>
      </c>
      <c r="E1434" s="7"/>
      <c r="F1434" s="7"/>
      <c r="G1434" s="17" t="s">
        <v>181</v>
      </c>
      <c r="H1434" s="17">
        <v>5</v>
      </c>
      <c r="I1434" s="1">
        <f t="shared" si="68"/>
        <v>-4</v>
      </c>
      <c r="J1434" s="1">
        <f t="shared" si="66"/>
        <v>0</v>
      </c>
      <c r="K1434" s="1">
        <f t="shared" si="67"/>
        <v>16</v>
      </c>
    </row>
    <row r="1435" spans="4:11" ht="15.75" thickBot="1">
      <c r="D1435" s="8"/>
      <c r="E1435" s="15" t="s">
        <v>13</v>
      </c>
      <c r="F1435" s="15" t="s">
        <v>37</v>
      </c>
      <c r="G1435" s="17" t="s">
        <v>178</v>
      </c>
      <c r="H1435" s="17"/>
      <c r="I1435" s="1" t="str">
        <f t="shared" si="68"/>
        <v/>
      </c>
      <c r="J1435" s="1" t="str">
        <f t="shared" si="66"/>
        <v/>
      </c>
      <c r="K1435" s="1" t="str">
        <f t="shared" si="67"/>
        <v/>
      </c>
    </row>
    <row r="1436" spans="4:11" ht="18" customHeight="1">
      <c r="D1436" s="6" t="s">
        <v>144</v>
      </c>
      <c r="E1436" s="7"/>
      <c r="F1436" s="7"/>
      <c r="G1436" s="17" t="s">
        <v>180</v>
      </c>
      <c r="H1436" s="17">
        <v>3</v>
      </c>
      <c r="I1436" s="1">
        <f t="shared" si="68"/>
        <v>-1</v>
      </c>
      <c r="J1436" s="1">
        <f t="shared" si="66"/>
        <v>0</v>
      </c>
      <c r="K1436" s="1">
        <f t="shared" si="67"/>
        <v>1</v>
      </c>
    </row>
    <row r="1437" spans="4:11" ht="15.75" thickBot="1">
      <c r="D1437" s="8"/>
      <c r="E1437" s="15" t="s">
        <v>7</v>
      </c>
      <c r="F1437" s="15" t="s">
        <v>14</v>
      </c>
      <c r="G1437" s="17" t="s">
        <v>178</v>
      </c>
      <c r="H1437" s="17"/>
      <c r="I1437" s="1" t="str">
        <f t="shared" si="68"/>
        <v/>
      </c>
      <c r="J1437" s="1" t="str">
        <f t="shared" si="66"/>
        <v/>
      </c>
      <c r="K1437" s="1" t="str">
        <f t="shared" si="67"/>
        <v/>
      </c>
    </row>
    <row r="1438" spans="4:11" ht="18" customHeight="1">
      <c r="D1438" s="6" t="s">
        <v>144</v>
      </c>
      <c r="E1438" s="7"/>
      <c r="F1438" s="7"/>
      <c r="G1438" s="17" t="s">
        <v>184</v>
      </c>
      <c r="H1438" s="17">
        <v>5</v>
      </c>
      <c r="I1438" s="1">
        <f t="shared" si="68"/>
        <v>-1</v>
      </c>
      <c r="J1438" s="1">
        <f t="shared" si="66"/>
        <v>0</v>
      </c>
      <c r="K1438" s="1">
        <f t="shared" si="67"/>
        <v>1</v>
      </c>
    </row>
    <row r="1439" spans="4:11" ht="15.75" thickBot="1">
      <c r="D1439" s="8"/>
      <c r="E1439" s="15" t="s">
        <v>19</v>
      </c>
      <c r="F1439" s="15" t="s">
        <v>39</v>
      </c>
      <c r="G1439" s="17" t="s">
        <v>178</v>
      </c>
      <c r="H1439" s="17"/>
      <c r="I1439" s="1" t="str">
        <f t="shared" si="68"/>
        <v/>
      </c>
      <c r="J1439" s="1" t="str">
        <f t="shared" si="66"/>
        <v/>
      </c>
      <c r="K1439" s="1" t="str">
        <f t="shared" si="67"/>
        <v/>
      </c>
    </row>
    <row r="1440" spans="4:11" ht="15" customHeight="1">
      <c r="D1440" s="6" t="s">
        <v>144</v>
      </c>
      <c r="E1440" s="7"/>
      <c r="F1440" s="7"/>
      <c r="G1440" s="17" t="s">
        <v>181</v>
      </c>
      <c r="H1440" s="17">
        <v>0</v>
      </c>
      <c r="I1440" s="1">
        <f t="shared" si="68"/>
        <v>1</v>
      </c>
      <c r="J1440" s="1">
        <f t="shared" si="66"/>
        <v>0</v>
      </c>
      <c r="K1440" s="1">
        <f t="shared" si="67"/>
        <v>1</v>
      </c>
    </row>
    <row r="1441" spans="4:11" ht="15.75" thickBot="1">
      <c r="D1441" s="8"/>
      <c r="E1441" s="15" t="s">
        <v>23</v>
      </c>
      <c r="F1441" s="15" t="s">
        <v>4</v>
      </c>
      <c r="G1441" s="17" t="s">
        <v>178</v>
      </c>
      <c r="H1441" s="17"/>
      <c r="I1441" s="1" t="str">
        <f t="shared" si="68"/>
        <v/>
      </c>
      <c r="J1441" s="1" t="str">
        <f t="shared" si="66"/>
        <v/>
      </c>
      <c r="K1441" s="1" t="str">
        <f t="shared" si="67"/>
        <v/>
      </c>
    </row>
    <row r="1442" spans="4:11" ht="15" customHeight="1">
      <c r="D1442" s="6" t="s">
        <v>144</v>
      </c>
      <c r="E1442" s="7"/>
      <c r="F1442" s="7"/>
      <c r="G1442" s="17" t="s">
        <v>180</v>
      </c>
      <c r="H1442" s="17">
        <v>3</v>
      </c>
      <c r="I1442" s="1">
        <f t="shared" si="68"/>
        <v>-1</v>
      </c>
      <c r="J1442" s="1">
        <f t="shared" si="66"/>
        <v>-2550</v>
      </c>
      <c r="K1442" s="1">
        <f t="shared" si="67"/>
        <v>6497401</v>
      </c>
    </row>
    <row r="1443" spans="4:11" ht="15.75" thickBot="1">
      <c r="D1443" s="8"/>
      <c r="E1443" s="15" t="s">
        <v>8</v>
      </c>
      <c r="F1443" s="15" t="s">
        <v>24</v>
      </c>
      <c r="G1443" s="17" t="s">
        <v>178</v>
      </c>
      <c r="H1443" s="17"/>
      <c r="I1443" s="1" t="str">
        <f t="shared" si="68"/>
        <v/>
      </c>
      <c r="J1443" s="1" t="str">
        <f t="shared" si="66"/>
        <v/>
      </c>
      <c r="K1443" s="1" t="str">
        <f t="shared" si="67"/>
        <v/>
      </c>
    </row>
    <row r="1444" spans="4:11" ht="18" customHeight="1">
      <c r="D1444" s="6" t="s">
        <v>144</v>
      </c>
      <c r="E1444" s="7"/>
      <c r="F1444" s="7"/>
      <c r="G1444" s="17" t="s">
        <v>182</v>
      </c>
      <c r="H1444" s="17">
        <v>6</v>
      </c>
      <c r="I1444" s="1">
        <f t="shared" si="68"/>
        <v>-3</v>
      </c>
      <c r="J1444" s="1">
        <f t="shared" si="66"/>
        <v>0</v>
      </c>
      <c r="K1444" s="1">
        <f t="shared" si="67"/>
        <v>9</v>
      </c>
    </row>
    <row r="1445" spans="4:11" ht="15.75" thickBot="1">
      <c r="D1445" s="8"/>
      <c r="E1445" s="15" t="s">
        <v>10</v>
      </c>
      <c r="F1445" s="15" t="s">
        <v>33</v>
      </c>
      <c r="G1445" s="17" t="s">
        <v>178</v>
      </c>
      <c r="H1445" s="17"/>
      <c r="I1445" s="1" t="str">
        <f t="shared" si="68"/>
        <v/>
      </c>
      <c r="J1445" s="1" t="str">
        <f t="shared" si="66"/>
        <v/>
      </c>
      <c r="K1445" s="1" t="str">
        <f t="shared" si="67"/>
        <v/>
      </c>
    </row>
    <row r="1446" spans="4:11" ht="15" customHeight="1">
      <c r="D1446" s="6" t="s">
        <v>145</v>
      </c>
      <c r="E1446" s="7"/>
      <c r="F1446" s="7"/>
      <c r="G1446" s="17" t="s">
        <v>180</v>
      </c>
      <c r="H1446" s="17">
        <v>1</v>
      </c>
      <c r="I1446" s="1">
        <f t="shared" si="68"/>
        <v>1</v>
      </c>
      <c r="J1446" s="1">
        <f t="shared" si="66"/>
        <v>0</v>
      </c>
      <c r="K1446" s="1">
        <f t="shared" si="67"/>
        <v>1</v>
      </c>
    </row>
    <row r="1447" spans="4:11" ht="15.75" thickBot="1">
      <c r="D1447" s="8"/>
      <c r="E1447" s="15" t="s">
        <v>11</v>
      </c>
      <c r="F1447" s="15" t="s">
        <v>36</v>
      </c>
      <c r="G1447" s="17" t="s">
        <v>178</v>
      </c>
      <c r="H1447" s="17"/>
      <c r="I1447" s="1" t="str">
        <f t="shared" si="68"/>
        <v/>
      </c>
      <c r="J1447" s="1" t="str">
        <f t="shared" si="66"/>
        <v/>
      </c>
      <c r="K1447" s="1" t="str">
        <f t="shared" si="67"/>
        <v/>
      </c>
    </row>
    <row r="1448" spans="4:11" ht="15" customHeight="1">
      <c r="D1448" s="6" t="s">
        <v>145</v>
      </c>
      <c r="E1448" s="7"/>
      <c r="F1448" s="7"/>
      <c r="G1448" s="17" t="s">
        <v>182</v>
      </c>
      <c r="H1448" s="17">
        <v>2</v>
      </c>
      <c r="I1448" s="1">
        <f t="shared" si="68"/>
        <v>1</v>
      </c>
      <c r="J1448" s="1">
        <f t="shared" si="66"/>
        <v>0</v>
      </c>
      <c r="K1448" s="1">
        <f t="shared" si="67"/>
        <v>1</v>
      </c>
    </row>
    <row r="1449" spans="4:11" ht="15.75" thickBot="1">
      <c r="D1449" s="8"/>
      <c r="E1449" s="15" t="s">
        <v>39</v>
      </c>
      <c r="F1449" s="15" t="s">
        <v>28</v>
      </c>
      <c r="G1449" s="17" t="s">
        <v>178</v>
      </c>
      <c r="H1449" s="17"/>
      <c r="I1449" s="1" t="str">
        <f t="shared" si="68"/>
        <v/>
      </c>
      <c r="J1449" s="1" t="str">
        <f t="shared" si="66"/>
        <v/>
      </c>
      <c r="K1449" s="1" t="str">
        <f t="shared" si="67"/>
        <v/>
      </c>
    </row>
    <row r="1450" spans="4:11" ht="15" customHeight="1">
      <c r="D1450" s="6" t="s">
        <v>145</v>
      </c>
      <c r="E1450" s="7"/>
      <c r="F1450" s="7"/>
      <c r="G1450" s="17" t="s">
        <v>179</v>
      </c>
      <c r="H1450" s="17">
        <v>3</v>
      </c>
      <c r="I1450" s="1">
        <f t="shared" si="68"/>
        <v>-3</v>
      </c>
      <c r="J1450" s="1">
        <f t="shared" si="66"/>
        <v>0</v>
      </c>
      <c r="K1450" s="1">
        <f t="shared" si="67"/>
        <v>9</v>
      </c>
    </row>
    <row r="1451" spans="4:11" ht="15.75" thickBot="1">
      <c r="D1451" s="8"/>
      <c r="E1451" s="15" t="s">
        <v>19</v>
      </c>
      <c r="F1451" s="15" t="s">
        <v>22</v>
      </c>
      <c r="G1451" s="17" t="s">
        <v>178</v>
      </c>
      <c r="H1451" s="17"/>
      <c r="I1451" s="1" t="str">
        <f t="shared" si="68"/>
        <v/>
      </c>
      <c r="J1451" s="1" t="str">
        <f t="shared" si="66"/>
        <v/>
      </c>
      <c r="K1451" s="1" t="str">
        <f t="shared" si="67"/>
        <v/>
      </c>
    </row>
    <row r="1452" spans="4:11" ht="15" customHeight="1">
      <c r="D1452" s="6" t="s">
        <v>145</v>
      </c>
      <c r="E1452" s="7"/>
      <c r="F1452" s="7"/>
      <c r="G1452" s="17" t="s">
        <v>180</v>
      </c>
      <c r="H1452" s="17">
        <v>5</v>
      </c>
      <c r="I1452" s="1">
        <f t="shared" si="68"/>
        <v>-3</v>
      </c>
      <c r="J1452" s="1">
        <f t="shared" si="66"/>
        <v>-2550</v>
      </c>
      <c r="K1452" s="1">
        <f t="shared" si="67"/>
        <v>6487209</v>
      </c>
    </row>
    <row r="1453" spans="4:11" ht="15.75" thickBot="1">
      <c r="D1453" s="8"/>
      <c r="E1453" s="15" t="s">
        <v>8</v>
      </c>
      <c r="F1453" s="15" t="s">
        <v>3</v>
      </c>
      <c r="G1453" s="17" t="s">
        <v>178</v>
      </c>
      <c r="H1453" s="17"/>
      <c r="I1453" s="1" t="str">
        <f t="shared" si="68"/>
        <v/>
      </c>
      <c r="J1453" s="1" t="str">
        <f t="shared" si="66"/>
        <v/>
      </c>
      <c r="K1453" s="1" t="str">
        <f t="shared" si="67"/>
        <v/>
      </c>
    </row>
    <row r="1454" spans="4:11" ht="18" customHeight="1">
      <c r="D1454" s="6" t="s">
        <v>145</v>
      </c>
      <c r="E1454" s="7"/>
      <c r="F1454" s="7"/>
      <c r="G1454" s="17" t="s">
        <v>184</v>
      </c>
      <c r="H1454" s="17">
        <v>1</v>
      </c>
      <c r="I1454" s="1">
        <f t="shared" si="68"/>
        <v>3</v>
      </c>
      <c r="J1454" s="1">
        <f t="shared" si="66"/>
        <v>0</v>
      </c>
      <c r="K1454" s="1">
        <f t="shared" si="67"/>
        <v>9</v>
      </c>
    </row>
    <row r="1455" spans="4:11" ht="15.75" thickBot="1">
      <c r="D1455" s="8"/>
      <c r="E1455" s="15" t="s">
        <v>20</v>
      </c>
      <c r="F1455" s="15" t="s">
        <v>10</v>
      </c>
      <c r="G1455" s="17" t="s">
        <v>178</v>
      </c>
      <c r="H1455" s="17"/>
      <c r="I1455" s="1" t="str">
        <f t="shared" si="68"/>
        <v/>
      </c>
      <c r="J1455" s="1" t="str">
        <f t="shared" si="66"/>
        <v/>
      </c>
      <c r="K1455" s="1" t="str">
        <f t="shared" si="67"/>
        <v/>
      </c>
    </row>
    <row r="1456" spans="4:11" ht="15" customHeight="1">
      <c r="D1456" s="6" t="s">
        <v>146</v>
      </c>
      <c r="E1456" s="7"/>
      <c r="F1456" s="7"/>
      <c r="G1456" s="17" t="s">
        <v>179</v>
      </c>
      <c r="H1456" s="17">
        <v>1</v>
      </c>
      <c r="I1456" s="1">
        <f t="shared" si="68"/>
        <v>-1</v>
      </c>
      <c r="J1456" s="1">
        <f t="shared" si="66"/>
        <v>0</v>
      </c>
      <c r="K1456" s="1">
        <f t="shared" si="67"/>
        <v>1</v>
      </c>
    </row>
    <row r="1457" spans="4:11" ht="15.75" thickBot="1">
      <c r="D1457" s="8"/>
      <c r="E1457" s="15" t="s">
        <v>12</v>
      </c>
      <c r="F1457" s="15" t="s">
        <v>230</v>
      </c>
      <c r="G1457" s="17" t="s">
        <v>178</v>
      </c>
      <c r="H1457" s="17"/>
      <c r="I1457" s="1" t="str">
        <f t="shared" si="68"/>
        <v/>
      </c>
      <c r="J1457" s="1" t="str">
        <f t="shared" si="66"/>
        <v/>
      </c>
      <c r="K1457" s="1" t="str">
        <f t="shared" si="67"/>
        <v/>
      </c>
    </row>
    <row r="1458" spans="4:11" ht="15" customHeight="1">
      <c r="D1458" s="6" t="s">
        <v>146</v>
      </c>
      <c r="E1458" s="7"/>
      <c r="F1458" s="7"/>
      <c r="G1458" s="17" t="s">
        <v>181</v>
      </c>
      <c r="H1458" s="17">
        <v>4</v>
      </c>
      <c r="I1458" s="1">
        <f t="shared" si="68"/>
        <v>-3</v>
      </c>
      <c r="J1458" s="1">
        <f t="shared" si="66"/>
        <v>0</v>
      </c>
      <c r="K1458" s="1">
        <f t="shared" si="67"/>
        <v>9</v>
      </c>
    </row>
    <row r="1459" spans="4:11" ht="15.75" thickBot="1">
      <c r="D1459" s="8"/>
      <c r="E1459" s="15" t="s">
        <v>41</v>
      </c>
      <c r="F1459" s="15" t="s">
        <v>13</v>
      </c>
      <c r="G1459" s="17" t="s">
        <v>178</v>
      </c>
      <c r="H1459" s="17"/>
      <c r="I1459" s="1" t="str">
        <f t="shared" si="68"/>
        <v/>
      </c>
      <c r="J1459" s="1" t="str">
        <f t="shared" si="66"/>
        <v/>
      </c>
      <c r="K1459" s="1" t="str">
        <f t="shared" si="67"/>
        <v/>
      </c>
    </row>
    <row r="1460" spans="4:11" ht="18" customHeight="1">
      <c r="D1460" s="6" t="s">
        <v>146</v>
      </c>
      <c r="E1460" s="7"/>
      <c r="F1460" s="7"/>
      <c r="G1460" s="17" t="s">
        <v>180</v>
      </c>
      <c r="H1460" s="17">
        <v>7</v>
      </c>
      <c r="I1460" s="1">
        <f t="shared" si="68"/>
        <v>-5</v>
      </c>
      <c r="J1460" s="1">
        <f t="shared" si="66"/>
        <v>0</v>
      </c>
      <c r="K1460" s="1">
        <f t="shared" si="67"/>
        <v>25</v>
      </c>
    </row>
    <row r="1461" spans="4:11" ht="15.75" thickBot="1">
      <c r="D1461" s="8"/>
      <c r="E1461" s="15" t="s">
        <v>26</v>
      </c>
      <c r="F1461" s="15" t="s">
        <v>18</v>
      </c>
      <c r="G1461" s="17" t="s">
        <v>178</v>
      </c>
      <c r="H1461" s="17"/>
      <c r="I1461" s="1" t="str">
        <f t="shared" si="68"/>
        <v/>
      </c>
      <c r="J1461" s="1" t="str">
        <f t="shared" si="66"/>
        <v/>
      </c>
      <c r="K1461" s="1" t="str">
        <f t="shared" si="67"/>
        <v/>
      </c>
    </row>
    <row r="1462" spans="4:11" ht="15" customHeight="1">
      <c r="D1462" s="6" t="s">
        <v>146</v>
      </c>
      <c r="E1462" s="7"/>
      <c r="F1462" s="7"/>
      <c r="G1462" s="17" t="s">
        <v>181</v>
      </c>
      <c r="H1462" s="17">
        <v>3</v>
      </c>
      <c r="I1462" s="1">
        <f t="shared" si="68"/>
        <v>-2</v>
      </c>
      <c r="J1462" s="1">
        <f t="shared" si="66"/>
        <v>0</v>
      </c>
      <c r="K1462" s="1">
        <f t="shared" si="67"/>
        <v>4</v>
      </c>
    </row>
    <row r="1463" spans="4:11" ht="15.75" thickBot="1">
      <c r="D1463" s="8"/>
      <c r="E1463" s="15" t="s">
        <v>34</v>
      </c>
      <c r="F1463" s="15" t="s">
        <v>2</v>
      </c>
      <c r="G1463" s="17" t="s">
        <v>178</v>
      </c>
      <c r="H1463" s="17"/>
      <c r="I1463" s="1" t="str">
        <f t="shared" si="68"/>
        <v/>
      </c>
      <c r="J1463" s="1" t="str">
        <f t="shared" si="66"/>
        <v/>
      </c>
      <c r="K1463" s="1" t="str">
        <f t="shared" si="67"/>
        <v/>
      </c>
    </row>
    <row r="1464" spans="4:11" ht="15" customHeight="1">
      <c r="D1464" s="6" t="s">
        <v>146</v>
      </c>
      <c r="E1464" s="7"/>
      <c r="F1464" s="7"/>
      <c r="G1464" s="17" t="s">
        <v>181</v>
      </c>
      <c r="H1464" s="17">
        <v>3</v>
      </c>
      <c r="I1464" s="1">
        <f t="shared" si="68"/>
        <v>-2</v>
      </c>
      <c r="J1464" s="1">
        <f t="shared" si="66"/>
        <v>0</v>
      </c>
      <c r="K1464" s="1">
        <f t="shared" si="67"/>
        <v>4</v>
      </c>
    </row>
    <row r="1465" spans="4:11" ht="15.75" thickBot="1">
      <c r="D1465" s="8"/>
      <c r="E1465" s="15" t="s">
        <v>14</v>
      </c>
      <c r="F1465" s="15" t="s">
        <v>36</v>
      </c>
      <c r="G1465" s="17" t="s">
        <v>178</v>
      </c>
      <c r="H1465" s="17"/>
      <c r="I1465" s="1" t="str">
        <f t="shared" si="68"/>
        <v/>
      </c>
      <c r="J1465" s="1" t="str">
        <f t="shared" si="66"/>
        <v/>
      </c>
      <c r="K1465" s="1" t="str">
        <f t="shared" si="67"/>
        <v/>
      </c>
    </row>
    <row r="1466" spans="4:11" ht="15" customHeight="1">
      <c r="D1466" s="6" t="s">
        <v>146</v>
      </c>
      <c r="E1466" s="7"/>
      <c r="F1466" s="7"/>
      <c r="G1466" s="17" t="s">
        <v>181</v>
      </c>
      <c r="H1466" s="17">
        <v>4</v>
      </c>
      <c r="I1466" s="1">
        <f t="shared" si="68"/>
        <v>-3</v>
      </c>
      <c r="J1466" s="1">
        <f t="shared" si="66"/>
        <v>0</v>
      </c>
      <c r="K1466" s="1">
        <f t="shared" si="67"/>
        <v>9</v>
      </c>
    </row>
    <row r="1467" spans="4:11" ht="15.75" thickBot="1">
      <c r="D1467" s="8"/>
      <c r="E1467" s="15" t="s">
        <v>28</v>
      </c>
      <c r="F1467" s="15" t="s">
        <v>38</v>
      </c>
      <c r="G1467" s="17" t="s">
        <v>178</v>
      </c>
      <c r="H1467" s="17"/>
      <c r="I1467" s="1" t="str">
        <f t="shared" si="68"/>
        <v/>
      </c>
      <c r="J1467" s="1" t="str">
        <f t="shared" si="66"/>
        <v/>
      </c>
      <c r="K1467" s="1" t="str">
        <f t="shared" si="67"/>
        <v/>
      </c>
    </row>
    <row r="1468" spans="4:11" ht="15" customHeight="1">
      <c r="D1468" s="6" t="s">
        <v>146</v>
      </c>
      <c r="E1468" s="7"/>
      <c r="F1468" s="7"/>
      <c r="G1468" s="17" t="s">
        <v>179</v>
      </c>
      <c r="H1468" s="17">
        <v>1</v>
      </c>
      <c r="I1468" s="1">
        <f t="shared" si="68"/>
        <v>-1</v>
      </c>
      <c r="J1468" s="1">
        <f t="shared" si="66"/>
        <v>0</v>
      </c>
      <c r="K1468" s="1">
        <f t="shared" si="67"/>
        <v>1</v>
      </c>
    </row>
    <row r="1469" spans="4:11" ht="30.75" thickBot="1">
      <c r="D1469" s="8"/>
      <c r="E1469" s="15" t="s">
        <v>0</v>
      </c>
      <c r="F1469" s="15" t="s">
        <v>1</v>
      </c>
      <c r="G1469" s="17" t="s">
        <v>178</v>
      </c>
      <c r="H1469" s="17"/>
      <c r="I1469" s="1" t="str">
        <f t="shared" si="68"/>
        <v/>
      </c>
      <c r="J1469" s="1" t="str">
        <f t="shared" si="66"/>
        <v/>
      </c>
      <c r="K1469" s="1" t="str">
        <f t="shared" si="67"/>
        <v/>
      </c>
    </row>
    <row r="1470" spans="4:11" ht="15" customHeight="1">
      <c r="D1470" s="6" t="s">
        <v>146</v>
      </c>
      <c r="E1470" s="7"/>
      <c r="F1470" s="7"/>
      <c r="G1470" s="17" t="s">
        <v>185</v>
      </c>
      <c r="H1470" s="17">
        <v>2</v>
      </c>
      <c r="I1470" s="1">
        <f t="shared" si="68"/>
        <v>3</v>
      </c>
      <c r="J1470" s="1">
        <f t="shared" si="66"/>
        <v>0</v>
      </c>
      <c r="K1470" s="1">
        <f t="shared" si="67"/>
        <v>9</v>
      </c>
    </row>
    <row r="1471" spans="4:11" ht="15.75" thickBot="1">
      <c r="D1471" s="8"/>
      <c r="E1471" s="15" t="s">
        <v>21</v>
      </c>
      <c r="F1471" s="15" t="s">
        <v>25</v>
      </c>
      <c r="G1471" s="17" t="s">
        <v>178</v>
      </c>
      <c r="H1471" s="17"/>
      <c r="I1471" s="1" t="str">
        <f t="shared" si="68"/>
        <v/>
      </c>
      <c r="J1471" s="1" t="str">
        <f t="shared" si="66"/>
        <v/>
      </c>
      <c r="K1471" s="1" t="str">
        <f t="shared" si="67"/>
        <v/>
      </c>
    </row>
    <row r="1472" spans="4:11" ht="15" customHeight="1">
      <c r="D1472" s="6" t="s">
        <v>146</v>
      </c>
      <c r="E1472" s="7"/>
      <c r="F1472" s="7"/>
      <c r="G1472" s="17" t="s">
        <v>181</v>
      </c>
      <c r="H1472" s="17">
        <v>3</v>
      </c>
      <c r="I1472" s="1">
        <f t="shared" si="68"/>
        <v>-2</v>
      </c>
      <c r="J1472" s="1">
        <f t="shared" si="66"/>
        <v>0</v>
      </c>
      <c r="K1472" s="1">
        <f t="shared" si="67"/>
        <v>4</v>
      </c>
    </row>
    <row r="1473" spans="4:11" ht="15.75" thickBot="1">
      <c r="D1473" s="8"/>
      <c r="E1473" s="15" t="s">
        <v>7</v>
      </c>
      <c r="F1473" s="15" t="s">
        <v>37</v>
      </c>
      <c r="G1473" s="17" t="s">
        <v>178</v>
      </c>
      <c r="H1473" s="17"/>
      <c r="I1473" s="1" t="str">
        <f t="shared" si="68"/>
        <v/>
      </c>
      <c r="J1473" s="1" t="str">
        <f t="shared" si="66"/>
        <v/>
      </c>
      <c r="K1473" s="1" t="str">
        <f t="shared" si="67"/>
        <v/>
      </c>
    </row>
    <row r="1474" spans="4:11" ht="15" customHeight="1">
      <c r="D1474" s="6" t="s">
        <v>146</v>
      </c>
      <c r="E1474" s="7"/>
      <c r="F1474" s="7"/>
      <c r="G1474" s="17" t="s">
        <v>180</v>
      </c>
      <c r="H1474" s="17">
        <v>4</v>
      </c>
      <c r="I1474" s="1">
        <f t="shared" si="68"/>
        <v>-2</v>
      </c>
      <c r="J1474" s="1">
        <f t="shared" si="66"/>
        <v>0</v>
      </c>
      <c r="K1474" s="1">
        <f t="shared" si="67"/>
        <v>4</v>
      </c>
    </row>
    <row r="1475" spans="4:11" ht="15.75" thickBot="1">
      <c r="D1475" s="8"/>
      <c r="E1475" s="15" t="s">
        <v>24</v>
      </c>
      <c r="F1475" s="15" t="s">
        <v>4</v>
      </c>
      <c r="G1475" s="17" t="s">
        <v>178</v>
      </c>
      <c r="H1475" s="17"/>
      <c r="I1475" s="1" t="str">
        <f t="shared" si="68"/>
        <v/>
      </c>
      <c r="J1475" s="1" t="str">
        <f t="shared" ref="J1475:J1538" si="69">IF(F1476="","",VLOOKUP(F1476,$A$2:$B$31,2)+$B$33-VLOOKUP(E1476,$A$2:$B$31,2))</f>
        <v/>
      </c>
      <c r="K1475" s="1" t="str">
        <f t="shared" ref="K1475:K1538" si="70">IF(G1475="","",(I1475-J1475)^2)</f>
        <v/>
      </c>
    </row>
    <row r="1476" spans="4:11" ht="18.75" customHeight="1">
      <c r="D1476" s="6" t="s">
        <v>146</v>
      </c>
      <c r="E1476" s="7"/>
      <c r="F1476" s="7"/>
      <c r="G1476" s="17" t="s">
        <v>179</v>
      </c>
      <c r="H1476" s="17">
        <v>2</v>
      </c>
      <c r="I1476" s="1">
        <f t="shared" ref="I1476:I1539" si="71">IF(G1476="","",G1476-H1476)</f>
        <v>-2</v>
      </c>
      <c r="J1476" s="1">
        <f t="shared" si="69"/>
        <v>0</v>
      </c>
      <c r="K1476" s="1">
        <f t="shared" si="70"/>
        <v>4</v>
      </c>
    </row>
    <row r="1477" spans="4:11" ht="15.75" thickBot="1">
      <c r="D1477" s="8"/>
      <c r="E1477" s="16" t="s">
        <v>20</v>
      </c>
      <c r="F1477" s="16" t="s">
        <v>33</v>
      </c>
      <c r="G1477" s="17" t="s">
        <v>178</v>
      </c>
      <c r="H1477" s="17"/>
      <c r="I1477" s="1" t="str">
        <f t="shared" si="71"/>
        <v/>
      </c>
      <c r="J1477" s="1" t="str">
        <f t="shared" si="69"/>
        <v/>
      </c>
      <c r="K1477" s="1" t="str">
        <f t="shared" si="70"/>
        <v/>
      </c>
    </row>
    <row r="1478" spans="4:11" ht="15" customHeight="1">
      <c r="D1478" s="6" t="s">
        <v>147</v>
      </c>
      <c r="E1478" s="12"/>
      <c r="F1478" s="12"/>
      <c r="G1478" s="17" t="s">
        <v>182</v>
      </c>
      <c r="H1478" s="17">
        <v>2</v>
      </c>
      <c r="I1478" s="1">
        <f t="shared" si="71"/>
        <v>1</v>
      </c>
      <c r="J1478" s="1">
        <f t="shared" si="69"/>
        <v>0</v>
      </c>
      <c r="K1478" s="1">
        <f t="shared" si="70"/>
        <v>1</v>
      </c>
    </row>
    <row r="1479" spans="4:11" ht="15.75" thickBot="1">
      <c r="D1479" s="8"/>
      <c r="E1479" s="15" t="s">
        <v>26</v>
      </c>
      <c r="F1479" s="15" t="s">
        <v>230</v>
      </c>
      <c r="G1479" s="17" t="s">
        <v>178</v>
      </c>
      <c r="H1479" s="17"/>
      <c r="I1479" s="1" t="str">
        <f t="shared" si="71"/>
        <v/>
      </c>
      <c r="J1479" s="1" t="str">
        <f t="shared" si="69"/>
        <v/>
      </c>
      <c r="K1479" s="1" t="str">
        <f t="shared" si="70"/>
        <v/>
      </c>
    </row>
    <row r="1480" spans="4:11" ht="15" customHeight="1">
      <c r="D1480" s="6" t="s">
        <v>147</v>
      </c>
      <c r="E1480" s="7"/>
      <c r="F1480" s="7"/>
      <c r="G1480" s="17" t="s">
        <v>184</v>
      </c>
      <c r="H1480" s="17">
        <v>3</v>
      </c>
      <c r="I1480" s="1">
        <f t="shared" si="71"/>
        <v>1</v>
      </c>
      <c r="J1480" s="1">
        <f t="shared" si="69"/>
        <v>0</v>
      </c>
      <c r="K1480" s="1">
        <f t="shared" si="70"/>
        <v>1</v>
      </c>
    </row>
    <row r="1481" spans="4:11" ht="30.75" thickBot="1">
      <c r="D1481" s="8"/>
      <c r="E1481" s="15" t="s">
        <v>39</v>
      </c>
      <c r="F1481" s="15" t="s">
        <v>12</v>
      </c>
      <c r="G1481" s="17" t="s">
        <v>178</v>
      </c>
      <c r="H1481" s="17"/>
      <c r="I1481" s="1" t="str">
        <f t="shared" si="71"/>
        <v/>
      </c>
      <c r="J1481" s="1" t="str">
        <f t="shared" si="69"/>
        <v/>
      </c>
      <c r="K1481" s="1" t="str">
        <f t="shared" si="70"/>
        <v/>
      </c>
    </row>
    <row r="1482" spans="4:11" ht="15" customHeight="1">
      <c r="D1482" s="6" t="s">
        <v>147</v>
      </c>
      <c r="E1482" s="7"/>
      <c r="F1482" s="7"/>
      <c r="G1482" s="17" t="s">
        <v>184</v>
      </c>
      <c r="H1482" s="17">
        <v>0</v>
      </c>
      <c r="I1482" s="1">
        <f t="shared" si="71"/>
        <v>4</v>
      </c>
      <c r="J1482" s="1">
        <f t="shared" si="69"/>
        <v>0</v>
      </c>
      <c r="K1482" s="1">
        <f t="shared" si="70"/>
        <v>16</v>
      </c>
    </row>
    <row r="1483" spans="4:11" ht="15.75" thickBot="1">
      <c r="D1483" s="8"/>
      <c r="E1483" s="15" t="s">
        <v>19</v>
      </c>
      <c r="F1483" s="15" t="s">
        <v>11</v>
      </c>
      <c r="G1483" s="17" t="s">
        <v>178</v>
      </c>
      <c r="H1483" s="17"/>
      <c r="I1483" s="1" t="str">
        <f t="shared" si="71"/>
        <v/>
      </c>
      <c r="J1483" s="1" t="str">
        <f t="shared" si="69"/>
        <v/>
      </c>
      <c r="K1483" s="1" t="str">
        <f t="shared" si="70"/>
        <v/>
      </c>
    </row>
    <row r="1484" spans="4:11" ht="15" customHeight="1">
      <c r="D1484" s="6" t="s">
        <v>147</v>
      </c>
      <c r="E1484" s="7"/>
      <c r="F1484" s="7"/>
      <c r="G1484" s="17" t="s">
        <v>184</v>
      </c>
      <c r="H1484" s="17">
        <v>2</v>
      </c>
      <c r="I1484" s="1">
        <f t="shared" si="71"/>
        <v>2</v>
      </c>
      <c r="J1484" s="1">
        <f t="shared" si="69"/>
        <v>0</v>
      </c>
      <c r="K1484" s="1">
        <f t="shared" si="70"/>
        <v>4</v>
      </c>
    </row>
    <row r="1485" spans="4:11" ht="15.75" thickBot="1">
      <c r="D1485" s="8"/>
      <c r="E1485" s="15" t="s">
        <v>23</v>
      </c>
      <c r="F1485" s="15" t="s">
        <v>3</v>
      </c>
      <c r="G1485" s="17" t="s">
        <v>178</v>
      </c>
      <c r="H1485" s="17"/>
      <c r="I1485" s="1" t="str">
        <f t="shared" si="71"/>
        <v/>
      </c>
      <c r="J1485" s="1" t="str">
        <f t="shared" si="69"/>
        <v/>
      </c>
      <c r="K1485" s="1" t="str">
        <f t="shared" si="70"/>
        <v/>
      </c>
    </row>
    <row r="1486" spans="4:11" ht="15" customHeight="1">
      <c r="D1486" s="6" t="s">
        <v>148</v>
      </c>
      <c r="E1486" s="7"/>
      <c r="F1486" s="7"/>
      <c r="G1486" s="17" t="s">
        <v>182</v>
      </c>
      <c r="H1486" s="17">
        <v>6</v>
      </c>
      <c r="I1486" s="1">
        <f t="shared" si="71"/>
        <v>-3</v>
      </c>
      <c r="J1486" s="1">
        <f t="shared" si="69"/>
        <v>0</v>
      </c>
      <c r="K1486" s="1">
        <f t="shared" si="70"/>
        <v>9</v>
      </c>
    </row>
    <row r="1487" spans="4:11" ht="15.75" thickBot="1">
      <c r="D1487" s="8"/>
      <c r="E1487" s="15" t="s">
        <v>14</v>
      </c>
      <c r="F1487" s="15" t="s">
        <v>38</v>
      </c>
      <c r="G1487" s="17" t="s">
        <v>178</v>
      </c>
      <c r="H1487" s="17"/>
      <c r="I1487" s="1" t="str">
        <f t="shared" si="71"/>
        <v/>
      </c>
      <c r="J1487" s="1" t="str">
        <f t="shared" si="69"/>
        <v/>
      </c>
      <c r="K1487" s="1" t="str">
        <f t="shared" si="70"/>
        <v/>
      </c>
    </row>
    <row r="1488" spans="4:11" ht="18" customHeight="1">
      <c r="D1488" s="6" t="s">
        <v>148</v>
      </c>
      <c r="E1488" s="7"/>
      <c r="F1488" s="7"/>
      <c r="G1488" s="17" t="s">
        <v>180</v>
      </c>
      <c r="H1488" s="17">
        <v>5</v>
      </c>
      <c r="I1488" s="1">
        <f t="shared" si="71"/>
        <v>-3</v>
      </c>
      <c r="J1488" s="1">
        <f t="shared" si="69"/>
        <v>0</v>
      </c>
      <c r="K1488" s="1">
        <f t="shared" si="70"/>
        <v>9</v>
      </c>
    </row>
    <row r="1489" spans="4:11" ht="15.75" thickBot="1">
      <c r="D1489" s="8"/>
      <c r="E1489" s="15" t="s">
        <v>25</v>
      </c>
      <c r="F1489" s="15" t="s">
        <v>4</v>
      </c>
      <c r="G1489" s="17" t="s">
        <v>178</v>
      </c>
      <c r="H1489" s="17"/>
      <c r="I1489" s="1" t="str">
        <f t="shared" si="71"/>
        <v/>
      </c>
      <c r="J1489" s="1" t="str">
        <f t="shared" si="69"/>
        <v/>
      </c>
      <c r="K1489" s="1" t="str">
        <f t="shared" si="70"/>
        <v/>
      </c>
    </row>
    <row r="1490" spans="4:11" ht="15" customHeight="1">
      <c r="D1490" s="6" t="s">
        <v>148</v>
      </c>
      <c r="E1490" s="7"/>
      <c r="F1490" s="7"/>
      <c r="G1490" s="17" t="s">
        <v>185</v>
      </c>
      <c r="H1490" s="17">
        <v>4</v>
      </c>
      <c r="I1490" s="1">
        <f t="shared" si="71"/>
        <v>1</v>
      </c>
      <c r="J1490" s="1">
        <f t="shared" si="69"/>
        <v>0</v>
      </c>
      <c r="K1490" s="1">
        <f t="shared" si="70"/>
        <v>1</v>
      </c>
    </row>
    <row r="1491" spans="4:11" ht="15.75" thickBot="1">
      <c r="D1491" s="8"/>
      <c r="E1491" s="15" t="s">
        <v>24</v>
      </c>
      <c r="F1491" s="15" t="s">
        <v>33</v>
      </c>
      <c r="G1491" s="17" t="s">
        <v>178</v>
      </c>
      <c r="H1491" s="17"/>
      <c r="I1491" s="1" t="str">
        <f t="shared" si="71"/>
        <v/>
      </c>
      <c r="J1491" s="1" t="str">
        <f t="shared" si="69"/>
        <v/>
      </c>
      <c r="K1491" s="1" t="str">
        <f t="shared" si="70"/>
        <v/>
      </c>
    </row>
    <row r="1492" spans="4:11" ht="15" customHeight="1">
      <c r="D1492" s="6" t="s">
        <v>149</v>
      </c>
      <c r="E1492" s="7"/>
      <c r="F1492" s="7"/>
      <c r="G1492" s="17" t="s">
        <v>181</v>
      </c>
      <c r="H1492" s="17">
        <v>2</v>
      </c>
      <c r="I1492" s="1">
        <f t="shared" si="71"/>
        <v>-1</v>
      </c>
      <c r="J1492" s="1">
        <f t="shared" si="69"/>
        <v>0</v>
      </c>
      <c r="K1492" s="1">
        <f t="shared" si="70"/>
        <v>1</v>
      </c>
    </row>
    <row r="1493" spans="4:11" ht="15.75" thickBot="1">
      <c r="D1493" s="8"/>
      <c r="E1493" s="15" t="s">
        <v>18</v>
      </c>
      <c r="F1493" s="15" t="s">
        <v>36</v>
      </c>
      <c r="G1493" s="17" t="s">
        <v>178</v>
      </c>
      <c r="H1493" s="17"/>
      <c r="I1493" s="1" t="str">
        <f t="shared" si="71"/>
        <v/>
      </c>
      <c r="J1493" s="1" t="str">
        <f t="shared" si="69"/>
        <v/>
      </c>
      <c r="K1493" s="1" t="str">
        <f t="shared" si="70"/>
        <v/>
      </c>
    </row>
    <row r="1494" spans="4:11" ht="15" customHeight="1">
      <c r="D1494" s="6" t="s">
        <v>149</v>
      </c>
      <c r="E1494" s="7"/>
      <c r="F1494" s="7"/>
      <c r="G1494" s="17" t="s">
        <v>184</v>
      </c>
      <c r="H1494" s="17">
        <v>2</v>
      </c>
      <c r="I1494" s="1">
        <f t="shared" si="71"/>
        <v>2</v>
      </c>
      <c r="J1494" s="1">
        <f t="shared" si="69"/>
        <v>0</v>
      </c>
      <c r="K1494" s="1">
        <f t="shared" si="70"/>
        <v>4</v>
      </c>
    </row>
    <row r="1495" spans="4:11" ht="15.75" thickBot="1">
      <c r="D1495" s="8"/>
      <c r="E1495" s="15" t="s">
        <v>14</v>
      </c>
      <c r="F1495" s="15" t="s">
        <v>41</v>
      </c>
      <c r="G1495" s="17" t="s">
        <v>178</v>
      </c>
      <c r="H1495" s="17"/>
      <c r="I1495" s="1" t="str">
        <f t="shared" si="71"/>
        <v/>
      </c>
      <c r="J1495" s="1" t="str">
        <f t="shared" si="69"/>
        <v/>
      </c>
      <c r="K1495" s="1" t="str">
        <f t="shared" si="70"/>
        <v/>
      </c>
    </row>
    <row r="1496" spans="4:11" ht="15" customHeight="1">
      <c r="D1496" s="6" t="s">
        <v>149</v>
      </c>
      <c r="E1496" s="7"/>
      <c r="F1496" s="7"/>
      <c r="G1496" s="17" t="s">
        <v>179</v>
      </c>
      <c r="H1496" s="17">
        <v>4</v>
      </c>
      <c r="I1496" s="1">
        <f t="shared" si="71"/>
        <v>-4</v>
      </c>
      <c r="J1496" s="1">
        <f t="shared" si="69"/>
        <v>0</v>
      </c>
      <c r="K1496" s="1">
        <f t="shared" si="70"/>
        <v>16</v>
      </c>
    </row>
    <row r="1497" spans="4:11" ht="30.75" thickBot="1">
      <c r="D1497" s="8"/>
      <c r="E1497" s="15" t="s">
        <v>34</v>
      </c>
      <c r="F1497" s="15" t="s">
        <v>12</v>
      </c>
      <c r="G1497" s="17" t="s">
        <v>178</v>
      </c>
      <c r="H1497" s="17"/>
      <c r="I1497" s="1" t="str">
        <f t="shared" si="71"/>
        <v/>
      </c>
      <c r="J1497" s="1" t="str">
        <f t="shared" si="69"/>
        <v/>
      </c>
      <c r="K1497" s="1" t="str">
        <f t="shared" si="70"/>
        <v/>
      </c>
    </row>
    <row r="1498" spans="4:11" ht="15" customHeight="1">
      <c r="D1498" s="6" t="s">
        <v>149</v>
      </c>
      <c r="E1498" s="7"/>
      <c r="F1498" s="7"/>
      <c r="G1498" s="17" t="s">
        <v>184</v>
      </c>
      <c r="H1498" s="17">
        <v>1</v>
      </c>
      <c r="I1498" s="1">
        <f t="shared" si="71"/>
        <v>3</v>
      </c>
      <c r="J1498" s="1">
        <f t="shared" si="69"/>
        <v>0</v>
      </c>
      <c r="K1498" s="1">
        <f t="shared" si="70"/>
        <v>9</v>
      </c>
    </row>
    <row r="1499" spans="4:11" ht="15.75" thickBot="1">
      <c r="D1499" s="8"/>
      <c r="E1499" s="15" t="s">
        <v>26</v>
      </c>
      <c r="F1499" s="15" t="s">
        <v>7</v>
      </c>
      <c r="G1499" s="17" t="s">
        <v>178</v>
      </c>
      <c r="H1499" s="17"/>
      <c r="I1499" s="1" t="str">
        <f t="shared" si="71"/>
        <v/>
      </c>
      <c r="J1499" s="1" t="str">
        <f t="shared" si="69"/>
        <v/>
      </c>
      <c r="K1499" s="1" t="str">
        <f t="shared" si="70"/>
        <v/>
      </c>
    </row>
    <row r="1500" spans="4:11" ht="15" customHeight="1">
      <c r="D1500" s="6" t="s">
        <v>149</v>
      </c>
      <c r="E1500" s="7"/>
      <c r="F1500" s="7"/>
      <c r="G1500" s="17" t="s">
        <v>182</v>
      </c>
      <c r="H1500" s="17">
        <v>2</v>
      </c>
      <c r="I1500" s="1">
        <f t="shared" si="71"/>
        <v>1</v>
      </c>
      <c r="J1500" s="1">
        <f t="shared" si="69"/>
        <v>-2550</v>
      </c>
      <c r="K1500" s="1">
        <f t="shared" si="70"/>
        <v>6507601</v>
      </c>
    </row>
    <row r="1501" spans="4:11" ht="15.75" thickBot="1">
      <c r="D1501" s="8"/>
      <c r="E1501" s="15" t="s">
        <v>8</v>
      </c>
      <c r="F1501" s="15" t="s">
        <v>230</v>
      </c>
      <c r="G1501" s="17" t="s">
        <v>178</v>
      </c>
      <c r="H1501" s="17"/>
      <c r="I1501" s="1" t="str">
        <f t="shared" si="71"/>
        <v/>
      </c>
      <c r="J1501" s="1" t="str">
        <f t="shared" si="69"/>
        <v/>
      </c>
      <c r="K1501" s="1" t="str">
        <f t="shared" si="70"/>
        <v/>
      </c>
    </row>
    <row r="1502" spans="4:11" ht="15" customHeight="1">
      <c r="D1502" s="6" t="s">
        <v>149</v>
      </c>
      <c r="E1502" s="7"/>
      <c r="F1502" s="7"/>
      <c r="G1502" s="17" t="s">
        <v>181</v>
      </c>
      <c r="H1502" s="17">
        <v>2</v>
      </c>
      <c r="I1502" s="1">
        <f t="shared" si="71"/>
        <v>-1</v>
      </c>
      <c r="J1502" s="1">
        <f t="shared" si="69"/>
        <v>0</v>
      </c>
      <c r="K1502" s="1">
        <f t="shared" si="70"/>
        <v>1</v>
      </c>
    </row>
    <row r="1503" spans="4:11" ht="15.75" thickBot="1">
      <c r="D1503" s="8"/>
      <c r="E1503" s="15" t="s">
        <v>37</v>
      </c>
      <c r="F1503" s="15" t="s">
        <v>39</v>
      </c>
      <c r="G1503" s="17" t="s">
        <v>178</v>
      </c>
      <c r="H1503" s="17"/>
      <c r="I1503" s="1" t="str">
        <f t="shared" si="71"/>
        <v/>
      </c>
      <c r="J1503" s="1" t="str">
        <f t="shared" si="69"/>
        <v/>
      </c>
      <c r="K1503" s="1" t="str">
        <f t="shared" si="70"/>
        <v/>
      </c>
    </row>
    <row r="1504" spans="4:11" ht="15" customHeight="1">
      <c r="D1504" s="6" t="s">
        <v>149</v>
      </c>
      <c r="E1504" s="7"/>
      <c r="F1504" s="7"/>
      <c r="G1504" s="17" t="s">
        <v>182</v>
      </c>
      <c r="H1504" s="17">
        <v>4</v>
      </c>
      <c r="I1504" s="1">
        <f t="shared" si="71"/>
        <v>-1</v>
      </c>
      <c r="J1504" s="1">
        <f t="shared" si="69"/>
        <v>0</v>
      </c>
      <c r="K1504" s="1">
        <f t="shared" si="70"/>
        <v>1</v>
      </c>
    </row>
    <row r="1505" spans="4:11" ht="15.75" thickBot="1">
      <c r="D1505" s="8"/>
      <c r="E1505" s="15" t="s">
        <v>0</v>
      </c>
      <c r="F1505" s="15" t="s">
        <v>19</v>
      </c>
      <c r="G1505" s="17" t="s">
        <v>178</v>
      </c>
      <c r="H1505" s="17"/>
      <c r="I1505" s="1" t="str">
        <f t="shared" si="71"/>
        <v/>
      </c>
      <c r="J1505" s="1" t="str">
        <f t="shared" si="69"/>
        <v/>
      </c>
      <c r="K1505" s="1" t="str">
        <f t="shared" si="70"/>
        <v/>
      </c>
    </row>
    <row r="1506" spans="4:11" ht="15" customHeight="1">
      <c r="D1506" s="6" t="s">
        <v>149</v>
      </c>
      <c r="E1506" s="7"/>
      <c r="F1506" s="7"/>
      <c r="G1506" s="17" t="s">
        <v>179</v>
      </c>
      <c r="H1506" s="17">
        <v>3</v>
      </c>
      <c r="I1506" s="1">
        <f t="shared" si="71"/>
        <v>-3</v>
      </c>
      <c r="J1506" s="1">
        <f t="shared" si="69"/>
        <v>0</v>
      </c>
      <c r="K1506" s="1">
        <f t="shared" si="70"/>
        <v>9</v>
      </c>
    </row>
    <row r="1507" spans="4:11" ht="15.75" thickBot="1">
      <c r="D1507" s="8"/>
      <c r="E1507" s="15" t="s">
        <v>20</v>
      </c>
      <c r="F1507" s="15" t="s">
        <v>23</v>
      </c>
      <c r="G1507" s="17" t="s">
        <v>178</v>
      </c>
      <c r="H1507" s="17"/>
      <c r="I1507" s="1" t="str">
        <f t="shared" si="71"/>
        <v/>
      </c>
      <c r="J1507" s="1" t="str">
        <f t="shared" si="69"/>
        <v/>
      </c>
      <c r="K1507" s="1" t="str">
        <f t="shared" si="70"/>
        <v/>
      </c>
    </row>
    <row r="1508" spans="4:11" ht="15" customHeight="1">
      <c r="D1508" s="6" t="s">
        <v>149</v>
      </c>
      <c r="E1508" s="7"/>
      <c r="F1508" s="7"/>
      <c r="G1508" s="17" t="s">
        <v>182</v>
      </c>
      <c r="H1508" s="17">
        <v>2</v>
      </c>
      <c r="I1508" s="1">
        <f t="shared" si="71"/>
        <v>1</v>
      </c>
      <c r="J1508" s="1">
        <f t="shared" si="69"/>
        <v>0</v>
      </c>
      <c r="K1508" s="1">
        <f t="shared" si="70"/>
        <v>1</v>
      </c>
    </row>
    <row r="1509" spans="4:11" ht="15.75" thickBot="1">
      <c r="D1509" s="8"/>
      <c r="E1509" s="15" t="s">
        <v>22</v>
      </c>
      <c r="F1509" s="15" t="s">
        <v>21</v>
      </c>
      <c r="G1509" s="17" t="s">
        <v>178</v>
      </c>
      <c r="H1509" s="17"/>
      <c r="I1509" s="1" t="str">
        <f t="shared" si="71"/>
        <v/>
      </c>
      <c r="J1509" s="1" t="str">
        <f t="shared" si="69"/>
        <v/>
      </c>
      <c r="K1509" s="1" t="str">
        <f t="shared" si="70"/>
        <v/>
      </c>
    </row>
    <row r="1510" spans="4:11" ht="15" customHeight="1">
      <c r="D1510" s="6" t="s">
        <v>149</v>
      </c>
      <c r="E1510" s="7"/>
      <c r="F1510" s="7"/>
      <c r="G1510" s="17" t="s">
        <v>180</v>
      </c>
      <c r="H1510" s="17">
        <v>3</v>
      </c>
      <c r="I1510" s="1">
        <f t="shared" si="71"/>
        <v>-1</v>
      </c>
      <c r="J1510" s="1">
        <f t="shared" si="69"/>
        <v>0</v>
      </c>
      <c r="K1510" s="1">
        <f t="shared" si="70"/>
        <v>1</v>
      </c>
    </row>
    <row r="1511" spans="4:11" ht="15.75" thickBot="1">
      <c r="D1511" s="8"/>
      <c r="E1511" s="15" t="s">
        <v>25</v>
      </c>
      <c r="F1511" s="15" t="s">
        <v>3</v>
      </c>
      <c r="G1511" s="17" t="s">
        <v>178</v>
      </c>
      <c r="H1511" s="17"/>
      <c r="I1511" s="1" t="str">
        <f t="shared" si="71"/>
        <v/>
      </c>
      <c r="J1511" s="1" t="str">
        <f t="shared" si="69"/>
        <v/>
      </c>
      <c r="K1511" s="1" t="str">
        <f t="shared" si="70"/>
        <v/>
      </c>
    </row>
    <row r="1512" spans="4:11" ht="18" customHeight="1">
      <c r="D1512" s="6" t="s">
        <v>149</v>
      </c>
      <c r="E1512" s="7"/>
      <c r="F1512" s="7"/>
      <c r="G1512" s="17" t="s">
        <v>184</v>
      </c>
      <c r="H1512" s="17">
        <v>5</v>
      </c>
      <c r="I1512" s="1">
        <f t="shared" si="71"/>
        <v>-1</v>
      </c>
      <c r="J1512" s="1">
        <f t="shared" si="69"/>
        <v>0</v>
      </c>
      <c r="K1512" s="1">
        <f t="shared" si="70"/>
        <v>1</v>
      </c>
    </row>
    <row r="1513" spans="4:11" ht="15.75" thickBot="1">
      <c r="D1513" s="8"/>
      <c r="E1513" s="15" t="s">
        <v>28</v>
      </c>
      <c r="F1513" s="15" t="s">
        <v>10</v>
      </c>
      <c r="G1513" s="17" t="s">
        <v>178</v>
      </c>
      <c r="H1513" s="17"/>
      <c r="I1513" s="1" t="str">
        <f t="shared" si="71"/>
        <v/>
      </c>
      <c r="J1513" s="1" t="str">
        <f t="shared" si="69"/>
        <v/>
      </c>
      <c r="K1513" s="1" t="str">
        <f t="shared" si="70"/>
        <v/>
      </c>
    </row>
    <row r="1514" spans="4:11" ht="15" customHeight="1">
      <c r="D1514" s="6" t="s">
        <v>150</v>
      </c>
      <c r="E1514" s="7"/>
      <c r="F1514" s="7"/>
      <c r="G1514" s="17" t="s">
        <v>180</v>
      </c>
      <c r="H1514" s="17">
        <v>3</v>
      </c>
      <c r="I1514" s="1">
        <f t="shared" si="71"/>
        <v>-1</v>
      </c>
      <c r="J1514" s="1">
        <f t="shared" si="69"/>
        <v>0</v>
      </c>
      <c r="K1514" s="1">
        <f t="shared" si="70"/>
        <v>1</v>
      </c>
    </row>
    <row r="1515" spans="4:11" ht="15.75" thickBot="1">
      <c r="D1515" s="8"/>
      <c r="E1515" s="15" t="s">
        <v>2</v>
      </c>
      <c r="F1515" s="15" t="s">
        <v>38</v>
      </c>
      <c r="G1515" s="17" t="s">
        <v>178</v>
      </c>
      <c r="H1515" s="17"/>
      <c r="I1515" s="1" t="str">
        <f t="shared" si="71"/>
        <v/>
      </c>
      <c r="J1515" s="1" t="str">
        <f t="shared" si="69"/>
        <v/>
      </c>
      <c r="K1515" s="1" t="str">
        <f t="shared" si="70"/>
        <v/>
      </c>
    </row>
    <row r="1516" spans="4:11" ht="15" customHeight="1">
      <c r="D1516" s="6" t="s">
        <v>150</v>
      </c>
      <c r="E1516" s="7"/>
      <c r="F1516" s="7"/>
      <c r="G1516" s="17" t="s">
        <v>180</v>
      </c>
      <c r="H1516" s="17">
        <v>0</v>
      </c>
      <c r="I1516" s="1">
        <f t="shared" si="71"/>
        <v>2</v>
      </c>
      <c r="J1516" s="1">
        <f t="shared" si="69"/>
        <v>0</v>
      </c>
      <c r="K1516" s="1">
        <f t="shared" si="70"/>
        <v>4</v>
      </c>
    </row>
    <row r="1517" spans="4:11" ht="15.75" thickBot="1">
      <c r="D1517" s="8"/>
      <c r="E1517" s="15" t="s">
        <v>11</v>
      </c>
      <c r="F1517" s="15" t="s">
        <v>24</v>
      </c>
      <c r="G1517" s="17" t="s">
        <v>178</v>
      </c>
      <c r="H1517" s="17"/>
      <c r="I1517" s="1" t="str">
        <f t="shared" si="71"/>
        <v/>
      </c>
      <c r="J1517" s="1" t="str">
        <f t="shared" si="69"/>
        <v/>
      </c>
      <c r="K1517" s="1" t="str">
        <f t="shared" si="70"/>
        <v/>
      </c>
    </row>
    <row r="1518" spans="4:11" ht="18" customHeight="1">
      <c r="D1518" s="6" t="s">
        <v>150</v>
      </c>
      <c r="E1518" s="7"/>
      <c r="F1518" s="7"/>
      <c r="G1518" s="17" t="s">
        <v>181</v>
      </c>
      <c r="H1518" s="17">
        <v>3</v>
      </c>
      <c r="I1518" s="1">
        <f t="shared" si="71"/>
        <v>-2</v>
      </c>
      <c r="J1518" s="1">
        <f t="shared" si="69"/>
        <v>0</v>
      </c>
      <c r="K1518" s="1">
        <f t="shared" si="70"/>
        <v>4</v>
      </c>
    </row>
    <row r="1519" spans="4:11" ht="15.75" thickBot="1">
      <c r="D1519" s="8"/>
      <c r="E1519" s="15" t="s">
        <v>33</v>
      </c>
      <c r="F1519" s="15" t="s">
        <v>4</v>
      </c>
      <c r="G1519" s="17" t="s">
        <v>178</v>
      </c>
      <c r="H1519" s="17"/>
      <c r="I1519" s="1" t="str">
        <f t="shared" si="71"/>
        <v/>
      </c>
      <c r="J1519" s="1" t="str">
        <f t="shared" si="69"/>
        <v/>
      </c>
      <c r="K1519" s="1" t="str">
        <f t="shared" si="70"/>
        <v/>
      </c>
    </row>
    <row r="1520" spans="4:11" ht="18" customHeight="1">
      <c r="D1520" s="6" t="s">
        <v>151</v>
      </c>
      <c r="E1520" s="7"/>
      <c r="F1520" s="7"/>
      <c r="G1520" s="17" t="s">
        <v>182</v>
      </c>
      <c r="H1520" s="17">
        <v>0</v>
      </c>
      <c r="I1520" s="1">
        <f t="shared" si="71"/>
        <v>3</v>
      </c>
      <c r="J1520" s="1">
        <f t="shared" si="69"/>
        <v>2550</v>
      </c>
      <c r="K1520" s="1">
        <f t="shared" si="70"/>
        <v>6487209</v>
      </c>
    </row>
    <row r="1521" spans="4:11" ht="15.75" thickBot="1">
      <c r="D1521" s="8"/>
      <c r="E1521" s="15" t="s">
        <v>39</v>
      </c>
      <c r="F1521" s="15" t="s">
        <v>8</v>
      </c>
      <c r="G1521" s="17" t="s">
        <v>178</v>
      </c>
      <c r="H1521" s="17"/>
      <c r="I1521" s="1" t="str">
        <f t="shared" si="71"/>
        <v/>
      </c>
      <c r="J1521" s="1" t="str">
        <f t="shared" si="69"/>
        <v/>
      </c>
      <c r="K1521" s="1" t="str">
        <f t="shared" si="70"/>
        <v/>
      </c>
    </row>
    <row r="1522" spans="4:11" ht="15" customHeight="1">
      <c r="D1522" s="6" t="s">
        <v>151</v>
      </c>
      <c r="E1522" s="7"/>
      <c r="F1522" s="7"/>
      <c r="G1522" s="17" t="s">
        <v>182</v>
      </c>
      <c r="H1522" s="17">
        <v>2</v>
      </c>
      <c r="I1522" s="1">
        <f t="shared" si="71"/>
        <v>1</v>
      </c>
      <c r="J1522" s="1">
        <f t="shared" si="69"/>
        <v>0</v>
      </c>
      <c r="K1522" s="1">
        <f t="shared" si="70"/>
        <v>1</v>
      </c>
    </row>
    <row r="1523" spans="4:11" ht="30.75" thickBot="1">
      <c r="D1523" s="8"/>
      <c r="E1523" s="15" t="s">
        <v>41</v>
      </c>
      <c r="F1523" s="15" t="s">
        <v>1</v>
      </c>
      <c r="G1523" s="17" t="s">
        <v>178</v>
      </c>
      <c r="H1523" s="17"/>
      <c r="I1523" s="1" t="str">
        <f t="shared" si="71"/>
        <v/>
      </c>
      <c r="J1523" s="1" t="str">
        <f t="shared" si="69"/>
        <v/>
      </c>
      <c r="K1523" s="1" t="str">
        <f t="shared" si="70"/>
        <v/>
      </c>
    </row>
    <row r="1524" spans="4:11" ht="15" customHeight="1">
      <c r="D1524" s="6" t="s">
        <v>151</v>
      </c>
      <c r="E1524" s="7"/>
      <c r="F1524" s="7"/>
      <c r="G1524" s="17" t="s">
        <v>180</v>
      </c>
      <c r="H1524" s="17">
        <v>1</v>
      </c>
      <c r="I1524" s="1">
        <f t="shared" si="71"/>
        <v>1</v>
      </c>
      <c r="J1524" s="1">
        <f t="shared" si="69"/>
        <v>0</v>
      </c>
      <c r="K1524" s="1">
        <f t="shared" si="70"/>
        <v>1</v>
      </c>
    </row>
    <row r="1525" spans="4:11" ht="15.75" thickBot="1">
      <c r="D1525" s="8"/>
      <c r="E1525" s="15" t="s">
        <v>12</v>
      </c>
      <c r="F1525" s="15" t="s">
        <v>18</v>
      </c>
      <c r="G1525" s="17" t="s">
        <v>178</v>
      </c>
      <c r="H1525" s="17"/>
      <c r="I1525" s="1" t="str">
        <f t="shared" si="71"/>
        <v/>
      </c>
      <c r="J1525" s="1" t="str">
        <f t="shared" si="69"/>
        <v/>
      </c>
      <c r="K1525" s="1" t="str">
        <f t="shared" si="70"/>
        <v/>
      </c>
    </row>
    <row r="1526" spans="4:11" ht="15" customHeight="1">
      <c r="D1526" s="6" t="s">
        <v>151</v>
      </c>
      <c r="E1526" s="7"/>
      <c r="F1526" s="7"/>
      <c r="G1526" s="17" t="s">
        <v>180</v>
      </c>
      <c r="H1526" s="17">
        <v>3</v>
      </c>
      <c r="I1526" s="1">
        <f t="shared" si="71"/>
        <v>-1</v>
      </c>
      <c r="J1526" s="1">
        <f t="shared" si="69"/>
        <v>0</v>
      </c>
      <c r="K1526" s="1">
        <f t="shared" si="70"/>
        <v>1</v>
      </c>
    </row>
    <row r="1527" spans="4:11" ht="15.75" thickBot="1">
      <c r="D1527" s="8"/>
      <c r="E1527" s="15" t="s">
        <v>34</v>
      </c>
      <c r="F1527" s="15" t="s">
        <v>14</v>
      </c>
      <c r="G1527" s="17" t="s">
        <v>178</v>
      </c>
      <c r="H1527" s="17"/>
      <c r="I1527" s="1" t="str">
        <f t="shared" si="71"/>
        <v/>
      </c>
      <c r="J1527" s="1" t="str">
        <f t="shared" si="69"/>
        <v/>
      </c>
      <c r="K1527" s="1" t="str">
        <f t="shared" si="70"/>
        <v/>
      </c>
    </row>
    <row r="1528" spans="4:11" ht="15" customHeight="1">
      <c r="D1528" s="6" t="s">
        <v>151</v>
      </c>
      <c r="E1528" s="7"/>
      <c r="F1528" s="7"/>
      <c r="G1528" s="17" t="s">
        <v>185</v>
      </c>
      <c r="H1528" s="17">
        <v>2</v>
      </c>
      <c r="I1528" s="1">
        <f t="shared" si="71"/>
        <v>3</v>
      </c>
      <c r="J1528" s="1">
        <f t="shared" si="69"/>
        <v>0</v>
      </c>
      <c r="K1528" s="1">
        <f t="shared" si="70"/>
        <v>9</v>
      </c>
    </row>
    <row r="1529" spans="4:11" ht="15.75" thickBot="1">
      <c r="D1529" s="8"/>
      <c r="E1529" s="15" t="s">
        <v>10</v>
      </c>
      <c r="F1529" s="15" t="s">
        <v>19</v>
      </c>
      <c r="G1529" s="17" t="s">
        <v>178</v>
      </c>
      <c r="H1529" s="17"/>
      <c r="I1529" s="1" t="str">
        <f t="shared" si="71"/>
        <v/>
      </c>
      <c r="J1529" s="1" t="str">
        <f t="shared" si="69"/>
        <v/>
      </c>
      <c r="K1529" s="1" t="str">
        <f t="shared" si="70"/>
        <v/>
      </c>
    </row>
    <row r="1530" spans="4:11" ht="15" customHeight="1">
      <c r="D1530" s="6" t="s">
        <v>151</v>
      </c>
      <c r="E1530" s="7"/>
      <c r="F1530" s="7"/>
      <c r="G1530" s="17" t="s">
        <v>185</v>
      </c>
      <c r="H1530" s="17">
        <v>3</v>
      </c>
      <c r="I1530" s="1">
        <f t="shared" si="71"/>
        <v>2</v>
      </c>
      <c r="J1530" s="1">
        <f t="shared" si="69"/>
        <v>0</v>
      </c>
      <c r="K1530" s="1">
        <f t="shared" si="70"/>
        <v>4</v>
      </c>
    </row>
    <row r="1531" spans="4:11" ht="15.75" thickBot="1">
      <c r="D1531" s="8"/>
      <c r="E1531" s="15" t="s">
        <v>37</v>
      </c>
      <c r="F1531" s="15" t="s">
        <v>21</v>
      </c>
      <c r="G1531" s="17" t="s">
        <v>178</v>
      </c>
      <c r="H1531" s="17"/>
      <c r="I1531" s="1" t="str">
        <f t="shared" si="71"/>
        <v/>
      </c>
      <c r="J1531" s="1" t="str">
        <f t="shared" si="69"/>
        <v/>
      </c>
      <c r="K1531" s="1" t="str">
        <f t="shared" si="70"/>
        <v/>
      </c>
    </row>
    <row r="1532" spans="4:11" ht="15" customHeight="1">
      <c r="D1532" s="6" t="s">
        <v>151</v>
      </c>
      <c r="E1532" s="7"/>
      <c r="F1532" s="7"/>
      <c r="G1532" s="17" t="s">
        <v>182</v>
      </c>
      <c r="H1532" s="17">
        <v>0</v>
      </c>
      <c r="I1532" s="1">
        <f t="shared" si="71"/>
        <v>3</v>
      </c>
      <c r="J1532" s="1">
        <f t="shared" si="69"/>
        <v>0</v>
      </c>
      <c r="K1532" s="1">
        <f t="shared" si="70"/>
        <v>9</v>
      </c>
    </row>
    <row r="1533" spans="4:11" ht="15.75" thickBot="1">
      <c r="D1533" s="8"/>
      <c r="E1533" s="15" t="s">
        <v>13</v>
      </c>
      <c r="F1533" s="15" t="s">
        <v>22</v>
      </c>
      <c r="G1533" s="17" t="s">
        <v>178</v>
      </c>
      <c r="H1533" s="17"/>
      <c r="I1533" s="1" t="str">
        <f t="shared" si="71"/>
        <v/>
      </c>
      <c r="J1533" s="1" t="str">
        <f t="shared" si="69"/>
        <v/>
      </c>
      <c r="K1533" s="1" t="str">
        <f t="shared" si="70"/>
        <v/>
      </c>
    </row>
    <row r="1534" spans="4:11" ht="18" customHeight="1">
      <c r="D1534" s="6" t="s">
        <v>151</v>
      </c>
      <c r="E1534" s="7"/>
      <c r="F1534" s="7"/>
      <c r="G1534" s="17" t="s">
        <v>180</v>
      </c>
      <c r="H1534" s="17">
        <v>1</v>
      </c>
      <c r="I1534" s="1">
        <f t="shared" si="71"/>
        <v>1</v>
      </c>
      <c r="J1534" s="1">
        <f t="shared" si="69"/>
        <v>0</v>
      </c>
      <c r="K1534" s="1">
        <f t="shared" si="70"/>
        <v>1</v>
      </c>
    </row>
    <row r="1535" spans="4:11" ht="15.75" thickBot="1">
      <c r="D1535" s="8"/>
      <c r="E1535" s="15" t="s">
        <v>28</v>
      </c>
      <c r="F1535" s="15" t="s">
        <v>26</v>
      </c>
      <c r="G1535" s="17" t="s">
        <v>178</v>
      </c>
      <c r="H1535" s="17"/>
      <c r="I1535" s="1" t="str">
        <f t="shared" si="71"/>
        <v/>
      </c>
      <c r="J1535" s="1" t="str">
        <f t="shared" si="69"/>
        <v/>
      </c>
      <c r="K1535" s="1" t="str">
        <f t="shared" si="70"/>
        <v/>
      </c>
    </row>
    <row r="1536" spans="4:11" ht="15" customHeight="1">
      <c r="D1536" s="6" t="s">
        <v>151</v>
      </c>
      <c r="E1536" s="7"/>
      <c r="F1536" s="7"/>
      <c r="G1536" s="17" t="s">
        <v>185</v>
      </c>
      <c r="H1536" s="17">
        <v>1</v>
      </c>
      <c r="I1536" s="1">
        <f t="shared" si="71"/>
        <v>4</v>
      </c>
      <c r="J1536" s="1">
        <f t="shared" si="69"/>
        <v>0</v>
      </c>
      <c r="K1536" s="1">
        <f t="shared" si="70"/>
        <v>16</v>
      </c>
    </row>
    <row r="1537" spans="4:11" ht="15.75" thickBot="1">
      <c r="D1537" s="8"/>
      <c r="E1537" s="15" t="s">
        <v>33</v>
      </c>
      <c r="F1537" s="15" t="s">
        <v>3</v>
      </c>
      <c r="G1537" s="17" t="s">
        <v>178</v>
      </c>
      <c r="H1537" s="17"/>
      <c r="I1537" s="1" t="str">
        <f t="shared" si="71"/>
        <v/>
      </c>
      <c r="J1537" s="1" t="str">
        <f t="shared" si="69"/>
        <v/>
      </c>
      <c r="K1537" s="1" t="str">
        <f t="shared" si="70"/>
        <v/>
      </c>
    </row>
    <row r="1538" spans="4:11" ht="15" customHeight="1">
      <c r="D1538" s="6" t="s">
        <v>152</v>
      </c>
      <c r="E1538" s="7"/>
      <c r="F1538" s="7"/>
      <c r="G1538" s="17" t="s">
        <v>181</v>
      </c>
      <c r="H1538" s="17">
        <v>4</v>
      </c>
      <c r="I1538" s="1">
        <f t="shared" si="71"/>
        <v>-3</v>
      </c>
      <c r="J1538" s="1">
        <f t="shared" si="69"/>
        <v>0</v>
      </c>
      <c r="K1538" s="1">
        <f t="shared" si="70"/>
        <v>9</v>
      </c>
    </row>
    <row r="1539" spans="4:11" ht="15.75" thickBot="1">
      <c r="D1539" s="8"/>
      <c r="E1539" s="15" t="s">
        <v>0</v>
      </c>
      <c r="F1539" s="15" t="s">
        <v>36</v>
      </c>
      <c r="G1539" s="17" t="s">
        <v>178</v>
      </c>
      <c r="H1539" s="17"/>
      <c r="I1539" s="1" t="str">
        <f t="shared" si="71"/>
        <v/>
      </c>
      <c r="J1539" s="1" t="str">
        <f t="shared" ref="J1539:J1602" si="72">IF(F1540="","",VLOOKUP(F1540,$A$2:$B$31,2)+$B$33-VLOOKUP(E1540,$A$2:$B$31,2))</f>
        <v/>
      </c>
      <c r="K1539" s="1" t="str">
        <f t="shared" ref="K1539:K1602" si="73">IF(G1539="","",(I1539-J1539)^2)</f>
        <v/>
      </c>
    </row>
    <row r="1540" spans="4:11" ht="15" customHeight="1">
      <c r="D1540" s="6" t="s">
        <v>152</v>
      </c>
      <c r="E1540" s="7"/>
      <c r="F1540" s="7"/>
      <c r="G1540" s="17" t="s">
        <v>180</v>
      </c>
      <c r="H1540" s="17">
        <v>3</v>
      </c>
      <c r="I1540" s="1">
        <f t="shared" ref="I1540:I1603" si="74">IF(G1540="","",G1540-H1540)</f>
        <v>-1</v>
      </c>
      <c r="J1540" s="1">
        <f t="shared" si="72"/>
        <v>0</v>
      </c>
      <c r="K1540" s="1">
        <f t="shared" si="73"/>
        <v>1</v>
      </c>
    </row>
    <row r="1541" spans="4:11" ht="30.75" thickBot="1">
      <c r="D1541" s="8"/>
      <c r="E1541" s="15" t="s">
        <v>10</v>
      </c>
      <c r="F1541" s="15" t="s">
        <v>12</v>
      </c>
      <c r="G1541" s="17" t="s">
        <v>178</v>
      </c>
      <c r="H1541" s="17"/>
      <c r="I1541" s="1" t="str">
        <f t="shared" si="74"/>
        <v/>
      </c>
      <c r="J1541" s="1" t="str">
        <f t="shared" si="72"/>
        <v/>
      </c>
      <c r="K1541" s="1" t="str">
        <f t="shared" si="73"/>
        <v/>
      </c>
    </row>
    <row r="1542" spans="4:11" ht="15" customHeight="1">
      <c r="D1542" s="6" t="s">
        <v>152</v>
      </c>
      <c r="E1542" s="7"/>
      <c r="F1542" s="7"/>
      <c r="G1542" s="17" t="s">
        <v>181</v>
      </c>
      <c r="H1542" s="17">
        <v>7</v>
      </c>
      <c r="I1542" s="1">
        <f t="shared" si="74"/>
        <v>-6</v>
      </c>
      <c r="J1542" s="1">
        <f t="shared" si="72"/>
        <v>0</v>
      </c>
      <c r="K1542" s="1">
        <f t="shared" si="73"/>
        <v>36</v>
      </c>
    </row>
    <row r="1543" spans="4:11" ht="15.75" thickBot="1">
      <c r="D1543" s="8"/>
      <c r="E1543" s="15" t="s">
        <v>39</v>
      </c>
      <c r="F1543" s="15" t="s">
        <v>7</v>
      </c>
      <c r="G1543" s="17" t="s">
        <v>178</v>
      </c>
      <c r="H1543" s="17"/>
      <c r="I1543" s="1" t="str">
        <f t="shared" si="74"/>
        <v/>
      </c>
      <c r="J1543" s="1" t="str">
        <f t="shared" si="72"/>
        <v/>
      </c>
      <c r="K1543" s="1" t="str">
        <f t="shared" si="73"/>
        <v/>
      </c>
    </row>
    <row r="1544" spans="4:11" ht="15" customHeight="1">
      <c r="D1544" s="6" t="s">
        <v>152</v>
      </c>
      <c r="E1544" s="7"/>
      <c r="F1544" s="7"/>
      <c r="G1544" s="17" t="s">
        <v>180</v>
      </c>
      <c r="H1544" s="17">
        <v>1</v>
      </c>
      <c r="I1544" s="1">
        <f t="shared" si="74"/>
        <v>1</v>
      </c>
      <c r="J1544" s="1">
        <f t="shared" si="72"/>
        <v>0</v>
      </c>
      <c r="K1544" s="1">
        <f t="shared" si="73"/>
        <v>1</v>
      </c>
    </row>
    <row r="1545" spans="4:11" ht="15.75" thickBot="1">
      <c r="D1545" s="8"/>
      <c r="E1545" s="15" t="s">
        <v>20</v>
      </c>
      <c r="F1545" s="15" t="s">
        <v>25</v>
      </c>
      <c r="G1545" s="17" t="s">
        <v>178</v>
      </c>
      <c r="H1545" s="17"/>
      <c r="I1545" s="1" t="str">
        <f t="shared" si="74"/>
        <v/>
      </c>
      <c r="J1545" s="1" t="str">
        <f t="shared" si="72"/>
        <v/>
      </c>
      <c r="K1545" s="1" t="str">
        <f t="shared" si="73"/>
        <v/>
      </c>
    </row>
    <row r="1546" spans="4:11" ht="15" customHeight="1">
      <c r="D1546" s="6" t="s">
        <v>152</v>
      </c>
      <c r="E1546" s="7"/>
      <c r="F1546" s="7"/>
      <c r="G1546" s="17" t="s">
        <v>184</v>
      </c>
      <c r="H1546" s="17">
        <v>0</v>
      </c>
      <c r="I1546" s="1">
        <f t="shared" si="74"/>
        <v>4</v>
      </c>
      <c r="J1546" s="1">
        <f t="shared" si="72"/>
        <v>0</v>
      </c>
      <c r="K1546" s="1">
        <f t="shared" si="73"/>
        <v>16</v>
      </c>
    </row>
    <row r="1547" spans="4:11" ht="15.75" thickBot="1">
      <c r="D1547" s="8"/>
      <c r="E1547" s="15" t="s">
        <v>11</v>
      </c>
      <c r="F1547" s="15" t="s">
        <v>4</v>
      </c>
      <c r="G1547" s="17" t="s">
        <v>178</v>
      </c>
      <c r="H1547" s="17"/>
      <c r="I1547" s="1" t="str">
        <f t="shared" si="74"/>
        <v/>
      </c>
      <c r="J1547" s="1" t="str">
        <f t="shared" si="72"/>
        <v/>
      </c>
      <c r="K1547" s="1" t="str">
        <f t="shared" si="73"/>
        <v/>
      </c>
    </row>
    <row r="1548" spans="4:11" ht="15" customHeight="1">
      <c r="D1548" s="6" t="s">
        <v>153</v>
      </c>
      <c r="E1548" s="7"/>
      <c r="F1548" s="7"/>
      <c r="G1548" s="17" t="s">
        <v>180</v>
      </c>
      <c r="H1548" s="17">
        <v>3</v>
      </c>
      <c r="I1548" s="1">
        <f t="shared" si="74"/>
        <v>-1</v>
      </c>
      <c r="J1548" s="1">
        <f t="shared" si="72"/>
        <v>0</v>
      </c>
      <c r="K1548" s="1">
        <f t="shared" si="73"/>
        <v>1</v>
      </c>
    </row>
    <row r="1549" spans="4:11" ht="15.75" thickBot="1">
      <c r="D1549" s="8"/>
      <c r="E1549" s="15" t="s">
        <v>38</v>
      </c>
      <c r="F1549" s="15" t="s">
        <v>19</v>
      </c>
      <c r="G1549" s="17" t="s">
        <v>178</v>
      </c>
      <c r="H1549" s="17"/>
      <c r="I1549" s="1" t="str">
        <f t="shared" si="74"/>
        <v/>
      </c>
      <c r="J1549" s="1" t="str">
        <f t="shared" si="72"/>
        <v/>
      </c>
      <c r="K1549" s="1" t="str">
        <f t="shared" si="73"/>
        <v/>
      </c>
    </row>
    <row r="1550" spans="4:11" ht="15" customHeight="1">
      <c r="D1550" s="6" t="s">
        <v>153</v>
      </c>
      <c r="E1550" s="7"/>
      <c r="F1550" s="7"/>
      <c r="G1550" s="17" t="s">
        <v>184</v>
      </c>
      <c r="H1550" s="17">
        <v>2</v>
      </c>
      <c r="I1550" s="1">
        <f t="shared" si="74"/>
        <v>2</v>
      </c>
      <c r="J1550" s="1">
        <f t="shared" si="72"/>
        <v>0</v>
      </c>
      <c r="K1550" s="1">
        <f t="shared" si="73"/>
        <v>4</v>
      </c>
    </row>
    <row r="1551" spans="4:11" ht="15.75" thickBot="1">
      <c r="D1551" s="8"/>
      <c r="E1551" s="15" t="s">
        <v>34</v>
      </c>
      <c r="F1551" s="15" t="s">
        <v>37</v>
      </c>
      <c r="G1551" s="17" t="s">
        <v>178</v>
      </c>
      <c r="H1551" s="17"/>
      <c r="I1551" s="1" t="str">
        <f t="shared" si="74"/>
        <v/>
      </c>
      <c r="J1551" s="1" t="str">
        <f t="shared" si="72"/>
        <v/>
      </c>
      <c r="K1551" s="1" t="str">
        <f t="shared" si="73"/>
        <v/>
      </c>
    </row>
    <row r="1552" spans="4:11" ht="15" customHeight="1">
      <c r="D1552" s="6" t="s">
        <v>153</v>
      </c>
      <c r="E1552" s="7"/>
      <c r="F1552" s="7"/>
      <c r="G1552" s="17" t="s">
        <v>181</v>
      </c>
      <c r="H1552" s="17">
        <v>2</v>
      </c>
      <c r="I1552" s="1">
        <f t="shared" si="74"/>
        <v>-1</v>
      </c>
      <c r="J1552" s="1">
        <f t="shared" si="72"/>
        <v>0</v>
      </c>
      <c r="K1552" s="1">
        <f t="shared" si="73"/>
        <v>1</v>
      </c>
    </row>
    <row r="1553" spans="4:11" ht="15.75" thickBot="1">
      <c r="D1553" s="8"/>
      <c r="E1553" s="15" t="s">
        <v>41</v>
      </c>
      <c r="F1553" s="15" t="s">
        <v>2</v>
      </c>
      <c r="G1553" s="17" t="s">
        <v>178</v>
      </c>
      <c r="H1553" s="17"/>
      <c r="I1553" s="1" t="str">
        <f t="shared" si="74"/>
        <v/>
      </c>
      <c r="J1553" s="1" t="str">
        <f t="shared" si="72"/>
        <v/>
      </c>
      <c r="K1553" s="1" t="str">
        <f t="shared" si="73"/>
        <v/>
      </c>
    </row>
    <row r="1554" spans="4:11" ht="18" customHeight="1">
      <c r="D1554" s="6" t="s">
        <v>153</v>
      </c>
      <c r="E1554" s="7"/>
      <c r="F1554" s="7"/>
      <c r="G1554" s="17" t="s">
        <v>180</v>
      </c>
      <c r="H1554" s="17">
        <v>3</v>
      </c>
      <c r="I1554" s="1">
        <f t="shared" si="74"/>
        <v>-1</v>
      </c>
      <c r="J1554" s="1">
        <f t="shared" si="72"/>
        <v>2550</v>
      </c>
      <c r="K1554" s="1">
        <f t="shared" si="73"/>
        <v>6507601</v>
      </c>
    </row>
    <row r="1555" spans="4:11" ht="15.75" thickBot="1">
      <c r="D1555" s="8"/>
      <c r="E1555" s="15" t="s">
        <v>21</v>
      </c>
      <c r="F1555" s="15" t="s">
        <v>8</v>
      </c>
      <c r="G1555" s="17" t="s">
        <v>178</v>
      </c>
      <c r="H1555" s="17"/>
      <c r="I1555" s="1" t="str">
        <f t="shared" si="74"/>
        <v/>
      </c>
      <c r="J1555" s="1" t="str">
        <f t="shared" si="72"/>
        <v/>
      </c>
      <c r="K1555" s="1" t="str">
        <f t="shared" si="73"/>
        <v/>
      </c>
    </row>
    <row r="1556" spans="4:11" ht="15" customHeight="1">
      <c r="D1556" s="6" t="s">
        <v>153</v>
      </c>
      <c r="E1556" s="7"/>
      <c r="F1556" s="7"/>
      <c r="G1556" s="17" t="s">
        <v>181</v>
      </c>
      <c r="H1556" s="17">
        <v>5</v>
      </c>
      <c r="I1556" s="1">
        <f t="shared" si="74"/>
        <v>-4</v>
      </c>
      <c r="J1556" s="1">
        <f t="shared" si="72"/>
        <v>0</v>
      </c>
      <c r="K1556" s="1">
        <f t="shared" si="73"/>
        <v>16</v>
      </c>
    </row>
    <row r="1557" spans="4:11" ht="15.75" thickBot="1">
      <c r="D1557" s="8"/>
      <c r="E1557" s="15" t="s">
        <v>24</v>
      </c>
      <c r="F1557" s="15" t="s">
        <v>0</v>
      </c>
      <c r="G1557" s="17" t="s">
        <v>178</v>
      </c>
      <c r="H1557" s="17"/>
      <c r="I1557" s="1" t="str">
        <f t="shared" si="74"/>
        <v/>
      </c>
      <c r="J1557" s="1" t="str">
        <f t="shared" si="72"/>
        <v/>
      </c>
      <c r="K1557" s="1" t="str">
        <f t="shared" si="73"/>
        <v/>
      </c>
    </row>
    <row r="1558" spans="4:11" ht="15" customHeight="1">
      <c r="D1558" s="6" t="s">
        <v>153</v>
      </c>
      <c r="E1558" s="7"/>
      <c r="F1558" s="7"/>
      <c r="G1558" s="17" t="s">
        <v>180</v>
      </c>
      <c r="H1558" s="17">
        <v>6</v>
      </c>
      <c r="I1558" s="1">
        <f t="shared" si="74"/>
        <v>-4</v>
      </c>
      <c r="J1558" s="1">
        <f t="shared" si="72"/>
        <v>0</v>
      </c>
      <c r="K1558" s="1">
        <f t="shared" si="73"/>
        <v>16</v>
      </c>
    </row>
    <row r="1559" spans="4:11" ht="15.75" thickBot="1">
      <c r="D1559" s="8"/>
      <c r="E1559" s="15" t="s">
        <v>36</v>
      </c>
      <c r="F1559" s="15" t="s">
        <v>230</v>
      </c>
      <c r="G1559" s="17" t="s">
        <v>178</v>
      </c>
      <c r="H1559" s="17"/>
      <c r="I1559" s="1" t="str">
        <f t="shared" si="74"/>
        <v/>
      </c>
      <c r="J1559" s="1" t="str">
        <f t="shared" si="72"/>
        <v/>
      </c>
      <c r="K1559" s="1" t="str">
        <f t="shared" si="73"/>
        <v/>
      </c>
    </row>
    <row r="1560" spans="4:11" ht="18" customHeight="1">
      <c r="D1560" s="6" t="s">
        <v>153</v>
      </c>
      <c r="E1560" s="7"/>
      <c r="F1560" s="7"/>
      <c r="G1560" s="17" t="s">
        <v>184</v>
      </c>
      <c r="H1560" s="17">
        <v>1</v>
      </c>
      <c r="I1560" s="1">
        <f t="shared" si="74"/>
        <v>3</v>
      </c>
      <c r="J1560" s="1">
        <f t="shared" si="72"/>
        <v>0</v>
      </c>
      <c r="K1560" s="1">
        <f t="shared" si="73"/>
        <v>9</v>
      </c>
    </row>
    <row r="1561" spans="4:11" ht="15.75" thickBot="1">
      <c r="D1561" s="8"/>
      <c r="E1561" s="15" t="s">
        <v>7</v>
      </c>
      <c r="F1561" s="15" t="s">
        <v>18</v>
      </c>
      <c r="G1561" s="17" t="s">
        <v>178</v>
      </c>
      <c r="H1561" s="17"/>
      <c r="I1561" s="1" t="str">
        <f t="shared" si="74"/>
        <v/>
      </c>
      <c r="J1561" s="1" t="str">
        <f t="shared" si="72"/>
        <v/>
      </c>
      <c r="K1561" s="1" t="str">
        <f t="shared" si="73"/>
        <v/>
      </c>
    </row>
    <row r="1562" spans="4:11" ht="15" customHeight="1">
      <c r="D1562" s="6" t="s">
        <v>153</v>
      </c>
      <c r="E1562" s="7"/>
      <c r="F1562" s="7"/>
      <c r="G1562" s="17" t="s">
        <v>179</v>
      </c>
      <c r="H1562" s="17">
        <v>1</v>
      </c>
      <c r="I1562" s="1">
        <f t="shared" si="74"/>
        <v>-1</v>
      </c>
      <c r="J1562" s="1">
        <f t="shared" si="72"/>
        <v>0</v>
      </c>
      <c r="K1562" s="1">
        <f t="shared" si="73"/>
        <v>1</v>
      </c>
    </row>
    <row r="1563" spans="4:11" ht="15.75" thickBot="1">
      <c r="D1563" s="8"/>
      <c r="E1563" s="15" t="s">
        <v>22</v>
      </c>
      <c r="F1563" s="15" t="s">
        <v>23</v>
      </c>
      <c r="G1563" s="17" t="s">
        <v>178</v>
      </c>
      <c r="H1563" s="17"/>
      <c r="I1563" s="1" t="str">
        <f t="shared" si="74"/>
        <v/>
      </c>
      <c r="J1563" s="1" t="str">
        <f t="shared" si="72"/>
        <v/>
      </c>
      <c r="K1563" s="1" t="str">
        <f t="shared" si="73"/>
        <v/>
      </c>
    </row>
    <row r="1564" spans="4:11" ht="15" customHeight="1">
      <c r="D1564" s="6" t="s">
        <v>153</v>
      </c>
      <c r="E1564" s="7"/>
      <c r="F1564" s="7"/>
      <c r="G1564" s="17" t="s">
        <v>182</v>
      </c>
      <c r="H1564" s="17">
        <v>1</v>
      </c>
      <c r="I1564" s="1">
        <f t="shared" si="74"/>
        <v>2</v>
      </c>
      <c r="J1564" s="1">
        <f t="shared" si="72"/>
        <v>0</v>
      </c>
      <c r="K1564" s="1">
        <f t="shared" si="73"/>
        <v>4</v>
      </c>
    </row>
    <row r="1565" spans="4:11" ht="15.75" thickBot="1">
      <c r="D1565" s="8"/>
      <c r="E1565" s="15" t="s">
        <v>13</v>
      </c>
      <c r="F1565" s="15" t="s">
        <v>26</v>
      </c>
      <c r="G1565" s="17" t="s">
        <v>178</v>
      </c>
      <c r="H1565" s="17"/>
      <c r="I1565" s="1" t="str">
        <f t="shared" si="74"/>
        <v/>
      </c>
      <c r="J1565" s="1" t="str">
        <f t="shared" si="72"/>
        <v/>
      </c>
      <c r="K1565" s="1" t="str">
        <f t="shared" si="73"/>
        <v/>
      </c>
    </row>
    <row r="1566" spans="4:11" ht="15" customHeight="1">
      <c r="D1566" s="6" t="s">
        <v>153</v>
      </c>
      <c r="E1566" s="7"/>
      <c r="F1566" s="7"/>
      <c r="G1566" s="17" t="s">
        <v>179</v>
      </c>
      <c r="H1566" s="17">
        <v>5</v>
      </c>
      <c r="I1566" s="1">
        <f t="shared" si="74"/>
        <v>-5</v>
      </c>
      <c r="J1566" s="1">
        <f t="shared" si="72"/>
        <v>0</v>
      </c>
      <c r="K1566" s="1">
        <f t="shared" si="73"/>
        <v>25</v>
      </c>
    </row>
    <row r="1567" spans="4:11" ht="15.75" thickBot="1">
      <c r="D1567" s="8"/>
      <c r="E1567" s="15" t="s">
        <v>11</v>
      </c>
      <c r="F1567" s="15" t="s">
        <v>3</v>
      </c>
      <c r="G1567" s="17" t="s">
        <v>178</v>
      </c>
      <c r="H1567" s="17"/>
      <c r="I1567" s="1" t="str">
        <f t="shared" si="74"/>
        <v/>
      </c>
      <c r="J1567" s="1" t="str">
        <f t="shared" si="72"/>
        <v/>
      </c>
      <c r="K1567" s="1" t="str">
        <f t="shared" si="73"/>
        <v/>
      </c>
    </row>
    <row r="1568" spans="4:11" ht="18" customHeight="1">
      <c r="D1568" s="6" t="s">
        <v>153</v>
      </c>
      <c r="E1568" s="7"/>
      <c r="F1568" s="7"/>
      <c r="G1568" s="17" t="s">
        <v>185</v>
      </c>
      <c r="H1568" s="17">
        <v>4</v>
      </c>
      <c r="I1568" s="1">
        <f t="shared" si="74"/>
        <v>1</v>
      </c>
      <c r="J1568" s="1">
        <f t="shared" si="72"/>
        <v>0</v>
      </c>
      <c r="K1568" s="1">
        <f t="shared" si="73"/>
        <v>1</v>
      </c>
    </row>
    <row r="1569" spans="4:11" ht="15.75" thickBot="1">
      <c r="D1569" s="8"/>
      <c r="E1569" s="15" t="s">
        <v>28</v>
      </c>
      <c r="F1569" s="15" t="s">
        <v>33</v>
      </c>
      <c r="G1569" s="17" t="s">
        <v>178</v>
      </c>
      <c r="H1569" s="17"/>
      <c r="I1569" s="1" t="str">
        <f t="shared" si="74"/>
        <v/>
      </c>
      <c r="J1569" s="1" t="str">
        <f t="shared" si="72"/>
        <v/>
      </c>
      <c r="K1569" s="1" t="str">
        <f t="shared" si="73"/>
        <v/>
      </c>
    </row>
    <row r="1570" spans="4:11" ht="18" customHeight="1">
      <c r="D1570" s="6" t="s">
        <v>154</v>
      </c>
      <c r="E1570" s="7"/>
      <c r="F1570" s="7"/>
      <c r="G1570" s="17" t="s">
        <v>184</v>
      </c>
      <c r="H1570" s="17">
        <v>2</v>
      </c>
      <c r="I1570" s="1">
        <f t="shared" si="74"/>
        <v>2</v>
      </c>
      <c r="J1570" s="1">
        <f t="shared" si="72"/>
        <v>0</v>
      </c>
      <c r="K1570" s="1">
        <f t="shared" si="73"/>
        <v>4</v>
      </c>
    </row>
    <row r="1571" spans="4:11" ht="15.75" thickBot="1">
      <c r="D1571" s="8"/>
      <c r="E1571" s="15" t="s">
        <v>20</v>
      </c>
      <c r="F1571" s="15" t="s">
        <v>39</v>
      </c>
      <c r="G1571" s="17" t="s">
        <v>178</v>
      </c>
      <c r="H1571" s="17"/>
      <c r="I1571" s="1" t="str">
        <f t="shared" si="74"/>
        <v/>
      </c>
      <c r="J1571" s="1" t="str">
        <f t="shared" si="72"/>
        <v/>
      </c>
      <c r="K1571" s="1" t="str">
        <f t="shared" si="73"/>
        <v/>
      </c>
    </row>
    <row r="1572" spans="4:11" ht="18" customHeight="1">
      <c r="D1572" s="6" t="s">
        <v>154</v>
      </c>
      <c r="E1572" s="7"/>
      <c r="F1572" s="7"/>
      <c r="G1572" s="17" t="s">
        <v>182</v>
      </c>
      <c r="H1572" s="17">
        <v>2</v>
      </c>
      <c r="I1572" s="1">
        <f t="shared" si="74"/>
        <v>1</v>
      </c>
      <c r="J1572" s="1">
        <f t="shared" si="72"/>
        <v>0</v>
      </c>
      <c r="K1572" s="1">
        <f t="shared" si="73"/>
        <v>1</v>
      </c>
    </row>
    <row r="1573" spans="4:11" ht="15.75" thickBot="1">
      <c r="D1573" s="8"/>
      <c r="E1573" s="15" t="s">
        <v>19</v>
      </c>
      <c r="F1573" s="15" t="s">
        <v>14</v>
      </c>
      <c r="G1573" s="17" t="s">
        <v>178</v>
      </c>
      <c r="H1573" s="17"/>
      <c r="I1573" s="1" t="str">
        <f t="shared" si="74"/>
        <v/>
      </c>
      <c r="J1573" s="1" t="str">
        <f t="shared" si="72"/>
        <v/>
      </c>
      <c r="K1573" s="1" t="str">
        <f t="shared" si="73"/>
        <v/>
      </c>
    </row>
    <row r="1574" spans="4:11" ht="15" customHeight="1">
      <c r="D1574" s="6" t="s">
        <v>154</v>
      </c>
      <c r="E1574" s="7"/>
      <c r="F1574" s="7"/>
      <c r="G1574" s="17" t="s">
        <v>182</v>
      </c>
      <c r="H1574" s="17">
        <v>1</v>
      </c>
      <c r="I1574" s="1">
        <f t="shared" si="74"/>
        <v>2</v>
      </c>
      <c r="J1574" s="1">
        <f t="shared" si="72"/>
        <v>0</v>
      </c>
      <c r="K1574" s="1">
        <f t="shared" si="73"/>
        <v>4</v>
      </c>
    </row>
    <row r="1575" spans="4:11" ht="30.75" thickBot="1">
      <c r="D1575" s="8"/>
      <c r="E1575" s="15" t="s">
        <v>1</v>
      </c>
      <c r="F1575" s="15" t="s">
        <v>12</v>
      </c>
      <c r="G1575" s="17" t="s">
        <v>178</v>
      </c>
      <c r="H1575" s="17"/>
      <c r="I1575" s="1" t="str">
        <f t="shared" si="74"/>
        <v/>
      </c>
      <c r="J1575" s="1" t="str">
        <f t="shared" si="72"/>
        <v/>
      </c>
      <c r="K1575" s="1" t="str">
        <f t="shared" si="73"/>
        <v/>
      </c>
    </row>
    <row r="1576" spans="4:11" ht="15" customHeight="1">
      <c r="D1576" s="6" t="s">
        <v>154</v>
      </c>
      <c r="E1576" s="7"/>
      <c r="F1576" s="7"/>
      <c r="G1576" s="17" t="s">
        <v>182</v>
      </c>
      <c r="H1576" s="17">
        <v>2</v>
      </c>
      <c r="I1576" s="1">
        <f t="shared" si="74"/>
        <v>1</v>
      </c>
      <c r="J1576" s="1">
        <f t="shared" si="72"/>
        <v>2550</v>
      </c>
      <c r="K1576" s="1">
        <f t="shared" si="73"/>
        <v>6497401</v>
      </c>
    </row>
    <row r="1577" spans="4:11" ht="15.75" thickBot="1">
      <c r="D1577" s="8"/>
      <c r="E1577" s="15" t="s">
        <v>41</v>
      </c>
      <c r="F1577" s="15" t="s">
        <v>8</v>
      </c>
      <c r="G1577" s="17" t="s">
        <v>178</v>
      </c>
      <c r="H1577" s="17"/>
      <c r="I1577" s="1" t="str">
        <f t="shared" si="74"/>
        <v/>
      </c>
      <c r="J1577" s="1" t="str">
        <f t="shared" si="72"/>
        <v/>
      </c>
      <c r="K1577" s="1" t="str">
        <f t="shared" si="73"/>
        <v/>
      </c>
    </row>
    <row r="1578" spans="4:11" ht="15" customHeight="1">
      <c r="D1578" s="6" t="s">
        <v>154</v>
      </c>
      <c r="E1578" s="7"/>
      <c r="F1578" s="7"/>
      <c r="G1578" s="17" t="s">
        <v>182</v>
      </c>
      <c r="H1578" s="17">
        <v>5</v>
      </c>
      <c r="I1578" s="1">
        <f t="shared" si="74"/>
        <v>-2</v>
      </c>
      <c r="J1578" s="1">
        <f t="shared" si="72"/>
        <v>0</v>
      </c>
      <c r="K1578" s="1">
        <f t="shared" si="73"/>
        <v>4</v>
      </c>
    </row>
    <row r="1579" spans="4:11" ht="15.75" thickBot="1">
      <c r="D1579" s="8"/>
      <c r="E1579" s="15" t="s">
        <v>10</v>
      </c>
      <c r="F1579" s="15" t="s">
        <v>37</v>
      </c>
      <c r="G1579" s="17" t="s">
        <v>178</v>
      </c>
      <c r="H1579" s="17"/>
      <c r="I1579" s="1" t="str">
        <f t="shared" si="74"/>
        <v/>
      </c>
      <c r="J1579" s="1" t="str">
        <f t="shared" si="72"/>
        <v/>
      </c>
      <c r="K1579" s="1" t="str">
        <f t="shared" si="73"/>
        <v/>
      </c>
    </row>
    <row r="1580" spans="4:11" ht="15" customHeight="1">
      <c r="D1580" s="6" t="s">
        <v>154</v>
      </c>
      <c r="E1580" s="7"/>
      <c r="F1580" s="7"/>
      <c r="G1580" s="17" t="s">
        <v>182</v>
      </c>
      <c r="H1580" s="17">
        <v>2</v>
      </c>
      <c r="I1580" s="1">
        <f t="shared" si="74"/>
        <v>1</v>
      </c>
      <c r="J1580" s="1">
        <f t="shared" si="72"/>
        <v>0</v>
      </c>
      <c r="K1580" s="1">
        <f t="shared" si="73"/>
        <v>1</v>
      </c>
    </row>
    <row r="1581" spans="4:11" ht="15.75" thickBot="1">
      <c r="D1581" s="8"/>
      <c r="E1581" s="15" t="s">
        <v>21</v>
      </c>
      <c r="F1581" s="15" t="s">
        <v>38</v>
      </c>
      <c r="G1581" s="17" t="s">
        <v>178</v>
      </c>
      <c r="H1581" s="17"/>
      <c r="I1581" s="1" t="str">
        <f t="shared" si="74"/>
        <v/>
      </c>
      <c r="J1581" s="1" t="str">
        <f t="shared" si="72"/>
        <v/>
      </c>
      <c r="K1581" s="1" t="str">
        <f t="shared" si="73"/>
        <v/>
      </c>
    </row>
    <row r="1582" spans="4:11" ht="15" customHeight="1">
      <c r="D1582" s="6" t="s">
        <v>154</v>
      </c>
      <c r="E1582" s="7"/>
      <c r="F1582" s="7"/>
      <c r="G1582" s="17" t="s">
        <v>182</v>
      </c>
      <c r="H1582" s="17">
        <v>5</v>
      </c>
      <c r="I1582" s="1">
        <f t="shared" si="74"/>
        <v>-2</v>
      </c>
      <c r="J1582" s="1">
        <f t="shared" si="72"/>
        <v>0</v>
      </c>
      <c r="K1582" s="1">
        <f t="shared" si="73"/>
        <v>4</v>
      </c>
    </row>
    <row r="1583" spans="4:11" ht="15.75" thickBot="1">
      <c r="D1583" s="8"/>
      <c r="E1583" s="15" t="s">
        <v>22</v>
      </c>
      <c r="F1583" s="15" t="s">
        <v>25</v>
      </c>
      <c r="G1583" s="17" t="s">
        <v>178</v>
      </c>
      <c r="H1583" s="17"/>
      <c r="I1583" s="1" t="str">
        <f t="shared" si="74"/>
        <v/>
      </c>
      <c r="J1583" s="1" t="str">
        <f t="shared" si="72"/>
        <v/>
      </c>
      <c r="K1583" s="1" t="str">
        <f t="shared" si="73"/>
        <v/>
      </c>
    </row>
    <row r="1584" spans="4:11" ht="18" customHeight="1">
      <c r="D1584" s="6" t="s">
        <v>154</v>
      </c>
      <c r="E1584" s="7"/>
      <c r="F1584" s="7"/>
      <c r="G1584" s="17" t="s">
        <v>182</v>
      </c>
      <c r="H1584" s="17">
        <v>1</v>
      </c>
      <c r="I1584" s="1">
        <f t="shared" si="74"/>
        <v>2</v>
      </c>
      <c r="J1584" s="1">
        <f t="shared" si="72"/>
        <v>0</v>
      </c>
      <c r="K1584" s="1">
        <f t="shared" si="73"/>
        <v>4</v>
      </c>
    </row>
    <row r="1585" spans="4:11" ht="15.75" thickBot="1">
      <c r="D1585" s="8"/>
      <c r="E1585" s="15" t="s">
        <v>230</v>
      </c>
      <c r="F1585" s="15" t="s">
        <v>2</v>
      </c>
      <c r="G1585" s="17" t="s">
        <v>178</v>
      </c>
      <c r="H1585" s="17"/>
      <c r="I1585" s="1" t="str">
        <f t="shared" si="74"/>
        <v/>
      </c>
      <c r="J1585" s="1" t="str">
        <f t="shared" si="72"/>
        <v/>
      </c>
      <c r="K1585" s="1" t="str">
        <f t="shared" si="73"/>
        <v/>
      </c>
    </row>
    <row r="1586" spans="4:11" ht="15" customHeight="1">
      <c r="D1586" s="6" t="s">
        <v>155</v>
      </c>
      <c r="E1586" s="7"/>
      <c r="F1586" s="7"/>
      <c r="G1586" s="17" t="s">
        <v>180</v>
      </c>
      <c r="H1586" s="17">
        <v>1</v>
      </c>
      <c r="I1586" s="1">
        <f t="shared" si="74"/>
        <v>1</v>
      </c>
      <c r="J1586" s="1">
        <f t="shared" si="72"/>
        <v>0</v>
      </c>
      <c r="K1586" s="1">
        <f t="shared" si="73"/>
        <v>1</v>
      </c>
    </row>
    <row r="1587" spans="4:11" ht="15.75" thickBot="1">
      <c r="D1587" s="8"/>
      <c r="E1587" s="15" t="s">
        <v>24</v>
      </c>
      <c r="F1587" s="15" t="s">
        <v>36</v>
      </c>
      <c r="G1587" s="17" t="s">
        <v>178</v>
      </c>
      <c r="H1587" s="17"/>
      <c r="I1587" s="1" t="str">
        <f t="shared" si="74"/>
        <v/>
      </c>
      <c r="J1587" s="1" t="str">
        <f t="shared" si="72"/>
        <v/>
      </c>
      <c r="K1587" s="1" t="str">
        <f t="shared" si="73"/>
        <v/>
      </c>
    </row>
    <row r="1588" spans="4:11" ht="15" customHeight="1">
      <c r="D1588" s="6" t="s">
        <v>155</v>
      </c>
      <c r="E1588" s="7"/>
      <c r="F1588" s="7"/>
      <c r="G1588" s="17" t="s">
        <v>184</v>
      </c>
      <c r="H1588" s="17">
        <v>3</v>
      </c>
      <c r="I1588" s="1">
        <f t="shared" si="74"/>
        <v>1</v>
      </c>
      <c r="J1588" s="1">
        <f t="shared" si="72"/>
        <v>0</v>
      </c>
      <c r="K1588" s="1">
        <f t="shared" si="73"/>
        <v>1</v>
      </c>
    </row>
    <row r="1589" spans="4:11" ht="15.75" thickBot="1">
      <c r="D1589" s="8"/>
      <c r="E1589" s="15" t="s">
        <v>34</v>
      </c>
      <c r="F1589" s="15" t="s">
        <v>7</v>
      </c>
      <c r="G1589" s="17" t="s">
        <v>178</v>
      </c>
      <c r="H1589" s="17"/>
      <c r="I1589" s="1" t="str">
        <f t="shared" si="74"/>
        <v/>
      </c>
      <c r="J1589" s="1" t="str">
        <f t="shared" si="72"/>
        <v/>
      </c>
      <c r="K1589" s="1" t="str">
        <f t="shared" si="73"/>
        <v/>
      </c>
    </row>
    <row r="1590" spans="4:11" ht="15" customHeight="1">
      <c r="D1590" s="6" t="s">
        <v>155</v>
      </c>
      <c r="E1590" s="7"/>
      <c r="F1590" s="7"/>
      <c r="G1590" s="17" t="s">
        <v>182</v>
      </c>
      <c r="H1590" s="17">
        <v>5</v>
      </c>
      <c r="I1590" s="1">
        <f t="shared" si="74"/>
        <v>-2</v>
      </c>
      <c r="J1590" s="1">
        <f t="shared" si="72"/>
        <v>0</v>
      </c>
      <c r="K1590" s="1">
        <f t="shared" si="73"/>
        <v>4</v>
      </c>
    </row>
    <row r="1591" spans="4:11" ht="15.75" thickBot="1">
      <c r="D1591" s="8"/>
      <c r="E1591" s="15" t="s">
        <v>3</v>
      </c>
      <c r="F1591" s="15" t="s">
        <v>23</v>
      </c>
      <c r="G1591" s="17" t="s">
        <v>178</v>
      </c>
      <c r="H1591" s="17"/>
      <c r="I1591" s="1" t="str">
        <f t="shared" si="74"/>
        <v/>
      </c>
      <c r="J1591" s="1" t="str">
        <f t="shared" si="72"/>
        <v/>
      </c>
      <c r="K1591" s="1" t="str">
        <f t="shared" si="73"/>
        <v/>
      </c>
    </row>
    <row r="1592" spans="4:11" ht="18" customHeight="1">
      <c r="D1592" s="6" t="s">
        <v>155</v>
      </c>
      <c r="E1592" s="7"/>
      <c r="F1592" s="7"/>
      <c r="G1592" s="17" t="s">
        <v>182</v>
      </c>
      <c r="H1592" s="17">
        <v>2</v>
      </c>
      <c r="I1592" s="1">
        <f t="shared" si="74"/>
        <v>1</v>
      </c>
      <c r="J1592" s="1">
        <f t="shared" si="72"/>
        <v>0</v>
      </c>
      <c r="K1592" s="1">
        <f t="shared" si="73"/>
        <v>1</v>
      </c>
    </row>
    <row r="1593" spans="4:11" ht="15.75" thickBot="1">
      <c r="D1593" s="8"/>
      <c r="E1593" s="15" t="s">
        <v>26</v>
      </c>
      <c r="F1593" s="15" t="s">
        <v>20</v>
      </c>
      <c r="G1593" s="17" t="s">
        <v>178</v>
      </c>
      <c r="H1593" s="17"/>
      <c r="I1593" s="1" t="str">
        <f t="shared" si="74"/>
        <v/>
      </c>
      <c r="J1593" s="1" t="str">
        <f t="shared" si="72"/>
        <v/>
      </c>
      <c r="K1593" s="1" t="str">
        <f t="shared" si="73"/>
        <v/>
      </c>
    </row>
    <row r="1594" spans="4:11" ht="18" customHeight="1">
      <c r="D1594" s="6" t="s">
        <v>155</v>
      </c>
      <c r="E1594" s="7"/>
      <c r="F1594" s="7"/>
      <c r="G1594" s="17" t="s">
        <v>184</v>
      </c>
      <c r="H1594" s="17">
        <v>1</v>
      </c>
      <c r="I1594" s="1">
        <f t="shared" si="74"/>
        <v>3</v>
      </c>
      <c r="J1594" s="1">
        <f t="shared" si="72"/>
        <v>0</v>
      </c>
      <c r="K1594" s="1">
        <f t="shared" si="73"/>
        <v>9</v>
      </c>
    </row>
    <row r="1595" spans="4:11" ht="15.75" thickBot="1">
      <c r="D1595" s="8"/>
      <c r="E1595" s="15" t="s">
        <v>4</v>
      </c>
      <c r="F1595" s="15" t="s">
        <v>33</v>
      </c>
      <c r="G1595" s="17" t="s">
        <v>178</v>
      </c>
      <c r="H1595" s="17"/>
      <c r="I1595" s="1" t="str">
        <f t="shared" si="74"/>
        <v/>
      </c>
      <c r="J1595" s="1" t="str">
        <f t="shared" si="72"/>
        <v/>
      </c>
      <c r="K1595" s="1" t="str">
        <f t="shared" si="73"/>
        <v/>
      </c>
    </row>
    <row r="1596" spans="4:11" ht="18" customHeight="1">
      <c r="D1596" s="6" t="s">
        <v>156</v>
      </c>
      <c r="E1596" s="7"/>
      <c r="F1596" s="7"/>
      <c r="G1596" s="17" t="s">
        <v>185</v>
      </c>
      <c r="H1596" s="17">
        <v>3</v>
      </c>
      <c r="I1596" s="1">
        <f t="shared" si="74"/>
        <v>2</v>
      </c>
      <c r="J1596" s="1">
        <f t="shared" si="72"/>
        <v>0</v>
      </c>
      <c r="K1596" s="1">
        <f t="shared" si="73"/>
        <v>4</v>
      </c>
    </row>
    <row r="1597" spans="4:11" ht="15.75" thickBot="1">
      <c r="D1597" s="8"/>
      <c r="E1597" s="15" t="s">
        <v>21</v>
      </c>
      <c r="F1597" s="15" t="s">
        <v>2</v>
      </c>
      <c r="G1597" s="17" t="s">
        <v>178</v>
      </c>
      <c r="H1597" s="17"/>
      <c r="I1597" s="1" t="str">
        <f t="shared" si="74"/>
        <v/>
      </c>
      <c r="J1597" s="1" t="str">
        <f t="shared" si="72"/>
        <v/>
      </c>
      <c r="K1597" s="1" t="str">
        <f t="shared" si="73"/>
        <v/>
      </c>
    </row>
    <row r="1598" spans="4:11" ht="18" customHeight="1">
      <c r="D1598" s="6" t="s">
        <v>156</v>
      </c>
      <c r="E1598" s="7"/>
      <c r="F1598" s="7"/>
      <c r="G1598" s="17" t="s">
        <v>180</v>
      </c>
      <c r="H1598" s="17">
        <v>1</v>
      </c>
      <c r="I1598" s="1">
        <f t="shared" si="74"/>
        <v>1</v>
      </c>
      <c r="J1598" s="1">
        <f t="shared" si="72"/>
        <v>2550</v>
      </c>
      <c r="K1598" s="1">
        <f t="shared" si="73"/>
        <v>6497401</v>
      </c>
    </row>
    <row r="1599" spans="4:11" ht="15.75" thickBot="1">
      <c r="D1599" s="8"/>
      <c r="E1599" s="15" t="s">
        <v>18</v>
      </c>
      <c r="F1599" s="15" t="s">
        <v>8</v>
      </c>
      <c r="G1599" s="17" t="s">
        <v>178</v>
      </c>
      <c r="H1599" s="17"/>
      <c r="I1599" s="1" t="str">
        <f t="shared" si="74"/>
        <v/>
      </c>
      <c r="J1599" s="1" t="str">
        <f t="shared" si="72"/>
        <v/>
      </c>
      <c r="K1599" s="1" t="str">
        <f t="shared" si="73"/>
        <v/>
      </c>
    </row>
    <row r="1600" spans="4:11" ht="15" customHeight="1">
      <c r="D1600" s="6" t="s">
        <v>156</v>
      </c>
      <c r="E1600" s="7"/>
      <c r="F1600" s="7"/>
      <c r="G1600" s="17" t="s">
        <v>180</v>
      </c>
      <c r="H1600" s="17">
        <v>3</v>
      </c>
      <c r="I1600" s="1">
        <f t="shared" si="74"/>
        <v>-1</v>
      </c>
      <c r="J1600" s="1">
        <f t="shared" si="72"/>
        <v>0</v>
      </c>
      <c r="K1600" s="1">
        <f t="shared" si="73"/>
        <v>1</v>
      </c>
    </row>
    <row r="1601" spans="4:11" ht="15.75" thickBot="1">
      <c r="D1601" s="8"/>
      <c r="E1601" s="15" t="s">
        <v>24</v>
      </c>
      <c r="F1601" s="15" t="s">
        <v>41</v>
      </c>
      <c r="G1601" s="17" t="s">
        <v>178</v>
      </c>
      <c r="H1601" s="17"/>
      <c r="I1601" s="1" t="str">
        <f t="shared" si="74"/>
        <v/>
      </c>
      <c r="J1601" s="1" t="str">
        <f t="shared" si="72"/>
        <v/>
      </c>
      <c r="K1601" s="1" t="str">
        <f t="shared" si="73"/>
        <v/>
      </c>
    </row>
    <row r="1602" spans="4:11" ht="15" customHeight="1">
      <c r="D1602" s="6" t="s">
        <v>156</v>
      </c>
      <c r="E1602" s="7"/>
      <c r="F1602" s="7"/>
      <c r="G1602" s="17" t="s">
        <v>185</v>
      </c>
      <c r="H1602" s="17">
        <v>4</v>
      </c>
      <c r="I1602" s="1">
        <f t="shared" si="74"/>
        <v>1</v>
      </c>
      <c r="J1602" s="1">
        <f t="shared" si="72"/>
        <v>0</v>
      </c>
      <c r="K1602" s="1">
        <f t="shared" si="73"/>
        <v>1</v>
      </c>
    </row>
    <row r="1603" spans="4:11" ht="15.75" thickBot="1">
      <c r="D1603" s="8"/>
      <c r="E1603" s="15" t="s">
        <v>38</v>
      </c>
      <c r="F1603" s="15" t="s">
        <v>0</v>
      </c>
      <c r="G1603" s="17" t="s">
        <v>178</v>
      </c>
      <c r="H1603" s="17"/>
      <c r="I1603" s="1" t="str">
        <f t="shared" si="74"/>
        <v/>
      </c>
      <c r="J1603" s="1" t="str">
        <f t="shared" ref="J1603:J1666" si="75">IF(F1604="","",VLOOKUP(F1604,$A$2:$B$31,2)+$B$33-VLOOKUP(E1604,$A$2:$B$31,2))</f>
        <v/>
      </c>
      <c r="K1603" s="1" t="str">
        <f t="shared" ref="K1603:K1666" si="76">IF(G1603="","",(I1603-J1603)^2)</f>
        <v/>
      </c>
    </row>
    <row r="1604" spans="4:11" ht="15" customHeight="1">
      <c r="D1604" s="6" t="s">
        <v>156</v>
      </c>
      <c r="E1604" s="7"/>
      <c r="F1604" s="7"/>
      <c r="G1604" s="17" t="s">
        <v>181</v>
      </c>
      <c r="H1604" s="17">
        <v>2</v>
      </c>
      <c r="I1604" s="1">
        <f t="shared" ref="I1604:I1667" si="77">IF(G1604="","",G1604-H1604)</f>
        <v>-1</v>
      </c>
      <c r="J1604" s="1">
        <f t="shared" si="75"/>
        <v>0</v>
      </c>
      <c r="K1604" s="1">
        <f t="shared" si="76"/>
        <v>1</v>
      </c>
    </row>
    <row r="1605" spans="4:11" ht="15.75" thickBot="1">
      <c r="D1605" s="8"/>
      <c r="E1605" s="15" t="s">
        <v>1</v>
      </c>
      <c r="F1605" s="15" t="s">
        <v>230</v>
      </c>
      <c r="G1605" s="17" t="s">
        <v>178</v>
      </c>
      <c r="H1605" s="17"/>
      <c r="I1605" s="1" t="str">
        <f t="shared" si="77"/>
        <v/>
      </c>
      <c r="J1605" s="1" t="str">
        <f t="shared" si="75"/>
        <v/>
      </c>
      <c r="K1605" s="1" t="str">
        <f t="shared" si="76"/>
        <v/>
      </c>
    </row>
    <row r="1606" spans="4:11" ht="18" customHeight="1">
      <c r="D1606" s="6" t="s">
        <v>156</v>
      </c>
      <c r="E1606" s="7"/>
      <c r="F1606" s="7"/>
      <c r="G1606" s="17" t="s">
        <v>180</v>
      </c>
      <c r="H1606" s="17">
        <v>6</v>
      </c>
      <c r="I1606" s="1">
        <f t="shared" si="77"/>
        <v>-4</v>
      </c>
      <c r="J1606" s="1">
        <f t="shared" si="75"/>
        <v>0</v>
      </c>
      <c r="K1606" s="1">
        <f t="shared" si="76"/>
        <v>16</v>
      </c>
    </row>
    <row r="1607" spans="4:11" ht="15.75" thickBot="1">
      <c r="D1607" s="8"/>
      <c r="E1607" s="15" t="s">
        <v>10</v>
      </c>
      <c r="F1607" s="15" t="s">
        <v>14</v>
      </c>
      <c r="G1607" s="17" t="s">
        <v>178</v>
      </c>
      <c r="H1607" s="17"/>
      <c r="I1607" s="1" t="str">
        <f t="shared" si="77"/>
        <v/>
      </c>
      <c r="J1607" s="1" t="str">
        <f t="shared" si="75"/>
        <v/>
      </c>
      <c r="K1607" s="1" t="str">
        <f t="shared" si="76"/>
        <v/>
      </c>
    </row>
    <row r="1608" spans="4:11" ht="18" customHeight="1">
      <c r="D1608" s="6" t="s">
        <v>156</v>
      </c>
      <c r="E1608" s="7"/>
      <c r="F1608" s="7"/>
      <c r="G1608" s="17" t="s">
        <v>181</v>
      </c>
      <c r="H1608" s="17">
        <v>2</v>
      </c>
      <c r="I1608" s="1">
        <f t="shared" si="77"/>
        <v>-1</v>
      </c>
      <c r="J1608" s="1">
        <f t="shared" si="75"/>
        <v>0</v>
      </c>
      <c r="K1608" s="1">
        <f t="shared" si="76"/>
        <v>1</v>
      </c>
    </row>
    <row r="1609" spans="4:11" ht="15.75" thickBot="1">
      <c r="D1609" s="8"/>
      <c r="E1609" s="15" t="s">
        <v>26</v>
      </c>
      <c r="F1609" s="15" t="s">
        <v>39</v>
      </c>
      <c r="G1609" s="17" t="s">
        <v>178</v>
      </c>
      <c r="H1609" s="17"/>
      <c r="I1609" s="1" t="str">
        <f t="shared" si="77"/>
        <v/>
      </c>
      <c r="J1609" s="1" t="str">
        <f t="shared" si="75"/>
        <v/>
      </c>
      <c r="K1609" s="1" t="str">
        <f t="shared" si="76"/>
        <v/>
      </c>
    </row>
    <row r="1610" spans="4:11" ht="15" customHeight="1">
      <c r="D1610" s="6" t="s">
        <v>156</v>
      </c>
      <c r="E1610" s="7"/>
      <c r="F1610" s="7"/>
      <c r="G1610" s="17" t="s">
        <v>180</v>
      </c>
      <c r="H1610" s="17">
        <v>3</v>
      </c>
      <c r="I1610" s="1">
        <f t="shared" si="77"/>
        <v>-1</v>
      </c>
      <c r="J1610" s="1">
        <f t="shared" si="75"/>
        <v>0</v>
      </c>
      <c r="K1610" s="1">
        <f t="shared" si="76"/>
        <v>1</v>
      </c>
    </row>
    <row r="1611" spans="4:11" ht="15.75" thickBot="1">
      <c r="D1611" s="8"/>
      <c r="E1611" s="15" t="s">
        <v>37</v>
      </c>
      <c r="F1611" s="15" t="s">
        <v>19</v>
      </c>
      <c r="G1611" s="17" t="s">
        <v>178</v>
      </c>
      <c r="H1611" s="17"/>
      <c r="I1611" s="1" t="str">
        <f t="shared" si="77"/>
        <v/>
      </c>
      <c r="J1611" s="1" t="str">
        <f t="shared" si="75"/>
        <v/>
      </c>
      <c r="K1611" s="1" t="str">
        <f t="shared" si="76"/>
        <v/>
      </c>
    </row>
    <row r="1612" spans="4:11" ht="15" customHeight="1">
      <c r="D1612" s="6" t="s">
        <v>156</v>
      </c>
      <c r="E1612" s="7"/>
      <c r="F1612" s="7"/>
      <c r="G1612" s="17" t="s">
        <v>181</v>
      </c>
      <c r="H1612" s="17">
        <v>2</v>
      </c>
      <c r="I1612" s="1">
        <f t="shared" si="77"/>
        <v>-1</v>
      </c>
      <c r="J1612" s="1">
        <f t="shared" si="75"/>
        <v>0</v>
      </c>
      <c r="K1612" s="1">
        <f t="shared" si="76"/>
        <v>1</v>
      </c>
    </row>
    <row r="1613" spans="4:11" ht="15.75" thickBot="1">
      <c r="D1613" s="8"/>
      <c r="E1613" s="15" t="s">
        <v>23</v>
      </c>
      <c r="F1613" s="15" t="s">
        <v>25</v>
      </c>
      <c r="G1613" s="17" t="s">
        <v>178</v>
      </c>
      <c r="H1613" s="17"/>
      <c r="I1613" s="1" t="str">
        <f t="shared" si="77"/>
        <v/>
      </c>
      <c r="J1613" s="1" t="str">
        <f t="shared" si="75"/>
        <v/>
      </c>
      <c r="K1613" s="1" t="str">
        <f t="shared" si="76"/>
        <v/>
      </c>
    </row>
    <row r="1614" spans="4:11" ht="15" customHeight="1">
      <c r="D1614" s="6" t="s">
        <v>157</v>
      </c>
      <c r="E1614" s="7"/>
      <c r="F1614" s="7"/>
      <c r="G1614" s="17" t="s">
        <v>181</v>
      </c>
      <c r="H1614" s="17">
        <v>4</v>
      </c>
      <c r="I1614" s="1">
        <f t="shared" si="77"/>
        <v>-3</v>
      </c>
      <c r="J1614" s="1">
        <f t="shared" si="75"/>
        <v>0</v>
      </c>
      <c r="K1614" s="1">
        <f t="shared" si="76"/>
        <v>9</v>
      </c>
    </row>
    <row r="1615" spans="4:11" ht="15.75" thickBot="1">
      <c r="D1615" s="8"/>
      <c r="E1615" s="15" t="s">
        <v>13</v>
      </c>
      <c r="F1615" s="15" t="s">
        <v>11</v>
      </c>
      <c r="G1615" s="17" t="s">
        <v>178</v>
      </c>
      <c r="H1615" s="17"/>
      <c r="I1615" s="1" t="str">
        <f t="shared" si="77"/>
        <v/>
      </c>
      <c r="J1615" s="1" t="str">
        <f t="shared" si="75"/>
        <v/>
      </c>
      <c r="K1615" s="1" t="str">
        <f t="shared" si="76"/>
        <v/>
      </c>
    </row>
    <row r="1616" spans="4:11" ht="15" customHeight="1">
      <c r="D1616" s="6" t="s">
        <v>157</v>
      </c>
      <c r="E1616" s="7"/>
      <c r="F1616" s="7"/>
      <c r="G1616" s="17" t="s">
        <v>185</v>
      </c>
      <c r="H1616" s="17">
        <v>4</v>
      </c>
      <c r="I1616" s="1">
        <f t="shared" si="77"/>
        <v>1</v>
      </c>
      <c r="J1616" s="1">
        <f t="shared" si="75"/>
        <v>0</v>
      </c>
      <c r="K1616" s="1">
        <f t="shared" si="76"/>
        <v>1</v>
      </c>
    </row>
    <row r="1617" spans="4:11" ht="15.75" thickBot="1">
      <c r="D1617" s="8"/>
      <c r="E1617" s="15" t="s">
        <v>3</v>
      </c>
      <c r="F1617" s="15" t="s">
        <v>20</v>
      </c>
      <c r="G1617" s="17" t="s">
        <v>178</v>
      </c>
      <c r="H1617" s="17"/>
      <c r="I1617" s="1" t="str">
        <f t="shared" si="77"/>
        <v/>
      </c>
      <c r="J1617" s="1" t="str">
        <f t="shared" si="75"/>
        <v/>
      </c>
      <c r="K1617" s="1" t="str">
        <f t="shared" si="76"/>
        <v/>
      </c>
    </row>
    <row r="1618" spans="4:11" ht="15" customHeight="1">
      <c r="D1618" s="6" t="s">
        <v>157</v>
      </c>
      <c r="E1618" s="7"/>
      <c r="F1618" s="7"/>
      <c r="G1618" s="17" t="s">
        <v>185</v>
      </c>
      <c r="H1618" s="17">
        <v>4</v>
      </c>
      <c r="I1618" s="1">
        <f t="shared" si="77"/>
        <v>1</v>
      </c>
      <c r="J1618" s="1">
        <f t="shared" si="75"/>
        <v>0</v>
      </c>
      <c r="K1618" s="1">
        <f t="shared" si="76"/>
        <v>1</v>
      </c>
    </row>
    <row r="1619" spans="4:11" ht="15.75" thickBot="1">
      <c r="D1619" s="8"/>
      <c r="E1619" s="15" t="s">
        <v>12</v>
      </c>
      <c r="F1619" s="15" t="s">
        <v>33</v>
      </c>
      <c r="G1619" s="17" t="s">
        <v>178</v>
      </c>
      <c r="H1619" s="17"/>
      <c r="I1619" s="1" t="str">
        <f t="shared" si="77"/>
        <v/>
      </c>
      <c r="J1619" s="1" t="str">
        <f t="shared" si="75"/>
        <v/>
      </c>
      <c r="K1619" s="1" t="str">
        <f t="shared" si="76"/>
        <v/>
      </c>
    </row>
    <row r="1620" spans="4:11" ht="15" customHeight="1">
      <c r="D1620" s="6" t="s">
        <v>158</v>
      </c>
      <c r="E1620" s="7"/>
      <c r="F1620" s="7"/>
      <c r="G1620" s="17" t="s">
        <v>180</v>
      </c>
      <c r="H1620" s="17">
        <v>3</v>
      </c>
      <c r="I1620" s="1">
        <f t="shared" si="77"/>
        <v>-1</v>
      </c>
      <c r="J1620" s="1">
        <f t="shared" si="75"/>
        <v>0</v>
      </c>
      <c r="K1620" s="1">
        <f t="shared" si="76"/>
        <v>1</v>
      </c>
    </row>
    <row r="1621" spans="4:11" ht="15.75" thickBot="1">
      <c r="D1621" s="8"/>
      <c r="E1621" s="15" t="s">
        <v>0</v>
      </c>
      <c r="F1621" s="15" t="s">
        <v>41</v>
      </c>
      <c r="G1621" s="17" t="s">
        <v>178</v>
      </c>
      <c r="H1621" s="17"/>
      <c r="I1621" s="1" t="str">
        <f t="shared" si="77"/>
        <v/>
      </c>
      <c r="J1621" s="1" t="str">
        <f t="shared" si="75"/>
        <v/>
      </c>
      <c r="K1621" s="1" t="str">
        <f t="shared" si="76"/>
        <v/>
      </c>
    </row>
    <row r="1622" spans="4:11" ht="15" customHeight="1">
      <c r="D1622" s="6" t="s">
        <v>158</v>
      </c>
      <c r="E1622" s="7"/>
      <c r="F1622" s="7"/>
      <c r="G1622" s="17" t="s">
        <v>180</v>
      </c>
      <c r="H1622" s="17">
        <v>1</v>
      </c>
      <c r="I1622" s="1">
        <f t="shared" si="77"/>
        <v>1</v>
      </c>
      <c r="J1622" s="1">
        <f t="shared" si="75"/>
        <v>0</v>
      </c>
      <c r="K1622" s="1">
        <f t="shared" si="76"/>
        <v>1</v>
      </c>
    </row>
    <row r="1623" spans="4:11" ht="15.75" thickBot="1">
      <c r="D1623" s="8"/>
      <c r="E1623" s="15" t="s">
        <v>10</v>
      </c>
      <c r="F1623" s="15" t="s">
        <v>28</v>
      </c>
      <c r="G1623" s="17" t="s">
        <v>178</v>
      </c>
      <c r="H1623" s="17"/>
      <c r="I1623" s="1" t="str">
        <f t="shared" si="77"/>
        <v/>
      </c>
      <c r="J1623" s="1" t="str">
        <f t="shared" si="75"/>
        <v/>
      </c>
      <c r="K1623" s="1" t="str">
        <f t="shared" si="76"/>
        <v/>
      </c>
    </row>
    <row r="1624" spans="4:11" ht="15" customHeight="1">
      <c r="D1624" s="6" t="s">
        <v>158</v>
      </c>
      <c r="E1624" s="7"/>
      <c r="F1624" s="7"/>
      <c r="G1624" s="17" t="s">
        <v>184</v>
      </c>
      <c r="H1624" s="17">
        <v>3</v>
      </c>
      <c r="I1624" s="1">
        <f t="shared" si="77"/>
        <v>1</v>
      </c>
      <c r="J1624" s="1">
        <f t="shared" si="75"/>
        <v>0</v>
      </c>
      <c r="K1624" s="1">
        <f t="shared" si="76"/>
        <v>1</v>
      </c>
    </row>
    <row r="1625" spans="4:11" ht="15.75" thickBot="1">
      <c r="D1625" s="8"/>
      <c r="E1625" s="15" t="s">
        <v>24</v>
      </c>
      <c r="F1625" s="15" t="s">
        <v>230</v>
      </c>
      <c r="G1625" s="17" t="s">
        <v>178</v>
      </c>
      <c r="H1625" s="17"/>
      <c r="I1625" s="1" t="str">
        <f t="shared" si="77"/>
        <v/>
      </c>
      <c r="J1625" s="1" t="str">
        <f t="shared" si="75"/>
        <v/>
      </c>
      <c r="K1625" s="1" t="str">
        <f t="shared" si="76"/>
        <v/>
      </c>
    </row>
    <row r="1626" spans="4:11" ht="15" customHeight="1">
      <c r="D1626" s="6" t="s">
        <v>158</v>
      </c>
      <c r="E1626" s="7"/>
      <c r="F1626" s="7"/>
      <c r="G1626" s="17" t="s">
        <v>185</v>
      </c>
      <c r="H1626" s="17">
        <v>4</v>
      </c>
      <c r="I1626" s="1">
        <f t="shared" si="77"/>
        <v>1</v>
      </c>
      <c r="J1626" s="1">
        <f t="shared" si="75"/>
        <v>0</v>
      </c>
      <c r="K1626" s="1">
        <f t="shared" si="76"/>
        <v>1</v>
      </c>
    </row>
    <row r="1627" spans="4:11" ht="15.75" thickBot="1">
      <c r="D1627" s="8"/>
      <c r="E1627" s="15" t="s">
        <v>11</v>
      </c>
      <c r="F1627" s="15" t="s">
        <v>18</v>
      </c>
      <c r="G1627" s="17" t="s">
        <v>178</v>
      </c>
      <c r="H1627" s="17"/>
      <c r="I1627" s="1" t="str">
        <f t="shared" si="77"/>
        <v/>
      </c>
      <c r="J1627" s="1" t="str">
        <f t="shared" si="75"/>
        <v/>
      </c>
      <c r="K1627" s="1" t="str">
        <f t="shared" si="76"/>
        <v/>
      </c>
    </row>
    <row r="1628" spans="4:11" ht="15" customHeight="1">
      <c r="D1628" s="6" t="s">
        <v>158</v>
      </c>
      <c r="E1628" s="7"/>
      <c r="F1628" s="7"/>
      <c r="G1628" s="17" t="s">
        <v>183</v>
      </c>
      <c r="H1628" s="17">
        <v>3</v>
      </c>
      <c r="I1628" s="1">
        <f t="shared" si="77"/>
        <v>3</v>
      </c>
      <c r="J1628" s="1">
        <f t="shared" si="75"/>
        <v>0</v>
      </c>
      <c r="K1628" s="1">
        <f t="shared" si="76"/>
        <v>9</v>
      </c>
    </row>
    <row r="1629" spans="4:11" ht="15.75" thickBot="1">
      <c r="D1629" s="8"/>
      <c r="E1629" s="15" t="s">
        <v>39</v>
      </c>
      <c r="F1629" s="15" t="s">
        <v>37</v>
      </c>
      <c r="G1629" s="17" t="s">
        <v>178</v>
      </c>
      <c r="H1629" s="17"/>
      <c r="I1629" s="1" t="str">
        <f t="shared" si="77"/>
        <v/>
      </c>
      <c r="J1629" s="1" t="str">
        <f t="shared" si="75"/>
        <v/>
      </c>
      <c r="K1629" s="1" t="str">
        <f t="shared" si="76"/>
        <v/>
      </c>
    </row>
    <row r="1630" spans="4:11" ht="15" customHeight="1">
      <c r="D1630" s="6" t="s">
        <v>158</v>
      </c>
      <c r="E1630" s="7"/>
      <c r="F1630" s="7"/>
      <c r="G1630" s="17" t="s">
        <v>181</v>
      </c>
      <c r="H1630" s="17">
        <v>3</v>
      </c>
      <c r="I1630" s="1">
        <f t="shared" si="77"/>
        <v>-2</v>
      </c>
      <c r="J1630" s="1">
        <f t="shared" si="75"/>
        <v>0</v>
      </c>
      <c r="K1630" s="1">
        <f t="shared" si="76"/>
        <v>4</v>
      </c>
    </row>
    <row r="1631" spans="4:11" ht="15.75" thickBot="1">
      <c r="D1631" s="8"/>
      <c r="E1631" s="15" t="s">
        <v>25</v>
      </c>
      <c r="F1631" s="15" t="s">
        <v>19</v>
      </c>
      <c r="G1631" s="17" t="s">
        <v>178</v>
      </c>
      <c r="H1631" s="17"/>
      <c r="I1631" s="1" t="str">
        <f t="shared" si="77"/>
        <v/>
      </c>
      <c r="J1631" s="1" t="str">
        <f t="shared" si="75"/>
        <v/>
      </c>
      <c r="K1631" s="1" t="str">
        <f t="shared" si="76"/>
        <v/>
      </c>
    </row>
    <row r="1632" spans="4:11" ht="15" customHeight="1">
      <c r="D1632" s="6" t="s">
        <v>158</v>
      </c>
      <c r="E1632" s="7"/>
      <c r="F1632" s="7"/>
      <c r="G1632" s="17" t="s">
        <v>181</v>
      </c>
      <c r="H1632" s="17">
        <v>2</v>
      </c>
      <c r="I1632" s="1">
        <f t="shared" si="77"/>
        <v>-1</v>
      </c>
      <c r="J1632" s="1">
        <f t="shared" si="75"/>
        <v>0</v>
      </c>
      <c r="K1632" s="1">
        <f t="shared" si="76"/>
        <v>1</v>
      </c>
    </row>
    <row r="1633" spans="4:11" ht="15.75" thickBot="1">
      <c r="D1633" s="8"/>
      <c r="E1633" s="15" t="s">
        <v>14</v>
      </c>
      <c r="F1633" s="15" t="s">
        <v>23</v>
      </c>
      <c r="G1633" s="17" t="s">
        <v>178</v>
      </c>
      <c r="H1633" s="17"/>
      <c r="I1633" s="1" t="str">
        <f t="shared" si="77"/>
        <v/>
      </c>
      <c r="J1633" s="1" t="str">
        <f t="shared" si="75"/>
        <v/>
      </c>
      <c r="K1633" s="1" t="str">
        <f t="shared" si="76"/>
        <v/>
      </c>
    </row>
    <row r="1634" spans="4:11" ht="15" customHeight="1">
      <c r="D1634" s="6" t="s">
        <v>158</v>
      </c>
      <c r="E1634" s="7"/>
      <c r="F1634" s="7"/>
      <c r="G1634" s="17" t="s">
        <v>183</v>
      </c>
      <c r="H1634" s="17">
        <v>3</v>
      </c>
      <c r="I1634" s="1">
        <f t="shared" si="77"/>
        <v>3</v>
      </c>
      <c r="J1634" s="1">
        <f t="shared" si="75"/>
        <v>0</v>
      </c>
      <c r="K1634" s="1">
        <f t="shared" si="76"/>
        <v>9</v>
      </c>
    </row>
    <row r="1635" spans="4:11" ht="15.75" thickBot="1">
      <c r="D1635" s="8"/>
      <c r="E1635" s="15" t="s">
        <v>38</v>
      </c>
      <c r="F1635" s="15" t="s">
        <v>22</v>
      </c>
      <c r="G1635" s="17" t="s">
        <v>178</v>
      </c>
      <c r="H1635" s="17"/>
      <c r="I1635" s="1" t="str">
        <f t="shared" si="77"/>
        <v/>
      </c>
      <c r="J1635" s="1" t="str">
        <f t="shared" si="75"/>
        <v/>
      </c>
      <c r="K1635" s="1" t="str">
        <f t="shared" si="76"/>
        <v/>
      </c>
    </row>
    <row r="1636" spans="4:11" ht="15" customHeight="1">
      <c r="D1636" s="6" t="s">
        <v>158</v>
      </c>
      <c r="E1636" s="7"/>
      <c r="F1636" s="7"/>
      <c r="G1636" s="17" t="s">
        <v>182</v>
      </c>
      <c r="H1636" s="17">
        <v>5</v>
      </c>
      <c r="I1636" s="1">
        <f t="shared" si="77"/>
        <v>-2</v>
      </c>
      <c r="J1636" s="1">
        <f t="shared" si="75"/>
        <v>0</v>
      </c>
      <c r="K1636" s="1">
        <f t="shared" si="76"/>
        <v>4</v>
      </c>
    </row>
    <row r="1637" spans="4:11" ht="15.75" thickBot="1">
      <c r="D1637" s="8"/>
      <c r="E1637" s="15" t="s">
        <v>4</v>
      </c>
      <c r="F1637" s="15" t="s">
        <v>34</v>
      </c>
      <c r="G1637" s="17" t="s">
        <v>178</v>
      </c>
      <c r="H1637" s="17"/>
      <c r="I1637" s="1" t="str">
        <f t="shared" si="77"/>
        <v/>
      </c>
      <c r="J1637" s="1" t="str">
        <f t="shared" si="75"/>
        <v/>
      </c>
      <c r="K1637" s="1" t="str">
        <f t="shared" si="76"/>
        <v/>
      </c>
    </row>
    <row r="1638" spans="4:11" ht="15" customHeight="1">
      <c r="D1638" s="6" t="s">
        <v>159</v>
      </c>
      <c r="E1638" s="7"/>
      <c r="F1638" s="7"/>
      <c r="G1638" s="17" t="s">
        <v>182</v>
      </c>
      <c r="H1638" s="17">
        <v>4</v>
      </c>
      <c r="I1638" s="1">
        <f t="shared" si="77"/>
        <v>-1</v>
      </c>
      <c r="J1638" s="1">
        <f t="shared" si="75"/>
        <v>0</v>
      </c>
      <c r="K1638" s="1">
        <f t="shared" si="76"/>
        <v>1</v>
      </c>
    </row>
    <row r="1639" spans="4:11" ht="15.75" thickBot="1">
      <c r="D1639" s="8"/>
      <c r="E1639" s="15" t="s">
        <v>1</v>
      </c>
      <c r="F1639" s="15" t="s">
        <v>7</v>
      </c>
      <c r="G1639" s="17" t="s">
        <v>178</v>
      </c>
      <c r="H1639" s="17"/>
      <c r="I1639" s="1" t="str">
        <f t="shared" si="77"/>
        <v/>
      </c>
      <c r="J1639" s="1" t="str">
        <f t="shared" si="75"/>
        <v/>
      </c>
      <c r="K1639" s="1" t="str">
        <f t="shared" si="76"/>
        <v/>
      </c>
    </row>
    <row r="1640" spans="4:11" ht="15" customHeight="1">
      <c r="D1640" s="6" t="s">
        <v>159</v>
      </c>
      <c r="E1640" s="7"/>
      <c r="F1640" s="7"/>
      <c r="G1640" s="17" t="s">
        <v>181</v>
      </c>
      <c r="H1640" s="17">
        <v>3</v>
      </c>
      <c r="I1640" s="1">
        <f t="shared" si="77"/>
        <v>-2</v>
      </c>
      <c r="J1640" s="1">
        <f t="shared" si="75"/>
        <v>0</v>
      </c>
      <c r="K1640" s="1">
        <f t="shared" si="76"/>
        <v>4</v>
      </c>
    </row>
    <row r="1641" spans="4:11" ht="15.75" thickBot="1">
      <c r="D1641" s="8"/>
      <c r="E1641" s="15" t="s">
        <v>36</v>
      </c>
      <c r="F1641" s="15" t="s">
        <v>20</v>
      </c>
      <c r="G1641" s="17" t="s">
        <v>178</v>
      </c>
      <c r="H1641" s="17"/>
      <c r="I1641" s="1" t="str">
        <f t="shared" si="77"/>
        <v/>
      </c>
      <c r="J1641" s="1" t="str">
        <f t="shared" si="75"/>
        <v/>
      </c>
      <c r="K1641" s="1" t="str">
        <f t="shared" si="76"/>
        <v/>
      </c>
    </row>
    <row r="1642" spans="4:11" ht="18" customHeight="1">
      <c r="D1642" s="6" t="s">
        <v>159</v>
      </c>
      <c r="E1642" s="7"/>
      <c r="F1642" s="7"/>
      <c r="G1642" s="17" t="s">
        <v>179</v>
      </c>
      <c r="H1642" s="17">
        <v>2</v>
      </c>
      <c r="I1642" s="1">
        <f t="shared" si="77"/>
        <v>-2</v>
      </c>
      <c r="J1642" s="1">
        <f t="shared" si="75"/>
        <v>0</v>
      </c>
      <c r="K1642" s="1">
        <f t="shared" si="76"/>
        <v>4</v>
      </c>
    </row>
    <row r="1643" spans="4:11" ht="15.75" thickBot="1">
      <c r="D1643" s="8"/>
      <c r="E1643" s="15" t="s">
        <v>14</v>
      </c>
      <c r="F1643" s="15" t="s">
        <v>21</v>
      </c>
      <c r="G1643" s="17" t="s">
        <v>178</v>
      </c>
      <c r="H1643" s="17"/>
      <c r="I1643" s="1" t="str">
        <f t="shared" si="77"/>
        <v/>
      </c>
      <c r="J1643" s="1" t="str">
        <f t="shared" si="75"/>
        <v/>
      </c>
      <c r="K1643" s="1" t="str">
        <f t="shared" si="76"/>
        <v/>
      </c>
    </row>
    <row r="1644" spans="4:11" ht="15" customHeight="1">
      <c r="D1644" s="6" t="s">
        <v>159</v>
      </c>
      <c r="E1644" s="7"/>
      <c r="F1644" s="7"/>
      <c r="G1644" s="17" t="s">
        <v>184</v>
      </c>
      <c r="H1644" s="17">
        <v>2</v>
      </c>
      <c r="I1644" s="1">
        <f t="shared" si="77"/>
        <v>2</v>
      </c>
      <c r="J1644" s="1">
        <f t="shared" si="75"/>
        <v>0</v>
      </c>
      <c r="K1644" s="1">
        <f t="shared" si="76"/>
        <v>4</v>
      </c>
    </row>
    <row r="1645" spans="4:11" ht="15.75" thickBot="1">
      <c r="D1645" s="8"/>
      <c r="E1645" s="15" t="s">
        <v>33</v>
      </c>
      <c r="F1645" s="15" t="s">
        <v>26</v>
      </c>
      <c r="G1645" s="17" t="s">
        <v>178</v>
      </c>
      <c r="H1645" s="17"/>
      <c r="I1645" s="1" t="str">
        <f t="shared" si="77"/>
        <v/>
      </c>
      <c r="J1645" s="1" t="str">
        <f t="shared" si="75"/>
        <v/>
      </c>
      <c r="K1645" s="1" t="str">
        <f t="shared" si="76"/>
        <v/>
      </c>
    </row>
    <row r="1646" spans="4:11" ht="15" customHeight="1">
      <c r="D1646" s="6" t="s">
        <v>159</v>
      </c>
      <c r="E1646" s="7"/>
      <c r="F1646" s="7"/>
      <c r="G1646" s="17" t="s">
        <v>180</v>
      </c>
      <c r="H1646" s="17">
        <v>5</v>
      </c>
      <c r="I1646" s="1">
        <f t="shared" si="77"/>
        <v>-3</v>
      </c>
      <c r="J1646" s="1">
        <f t="shared" si="75"/>
        <v>0</v>
      </c>
      <c r="K1646" s="1">
        <f t="shared" si="76"/>
        <v>9</v>
      </c>
    </row>
    <row r="1647" spans="4:11" ht="15.75" thickBot="1">
      <c r="D1647" s="8"/>
      <c r="E1647" s="15" t="s">
        <v>2</v>
      </c>
      <c r="F1647" s="15" t="s">
        <v>3</v>
      </c>
      <c r="G1647" s="17" t="s">
        <v>178</v>
      </c>
      <c r="H1647" s="17"/>
      <c r="I1647" s="1" t="str">
        <f t="shared" si="77"/>
        <v/>
      </c>
      <c r="J1647" s="1" t="str">
        <f t="shared" si="75"/>
        <v/>
      </c>
      <c r="K1647" s="1" t="str">
        <f t="shared" si="76"/>
        <v/>
      </c>
    </row>
    <row r="1648" spans="4:11" ht="15" customHeight="1">
      <c r="D1648" s="6" t="s">
        <v>160</v>
      </c>
      <c r="E1648" s="7"/>
      <c r="F1648" s="7"/>
      <c r="G1648" s="17" t="s">
        <v>180</v>
      </c>
      <c r="H1648" s="17">
        <v>7</v>
      </c>
      <c r="I1648" s="1">
        <f t="shared" si="77"/>
        <v>-5</v>
      </c>
      <c r="J1648" s="1">
        <f t="shared" si="75"/>
        <v>0</v>
      </c>
      <c r="K1648" s="1">
        <f t="shared" si="76"/>
        <v>25</v>
      </c>
    </row>
    <row r="1649" spans="4:11" ht="15.75" thickBot="1">
      <c r="D1649" s="8"/>
      <c r="E1649" s="15" t="s">
        <v>24</v>
      </c>
      <c r="F1649" s="15" t="s">
        <v>18</v>
      </c>
      <c r="G1649" s="17" t="s">
        <v>178</v>
      </c>
      <c r="H1649" s="17"/>
      <c r="I1649" s="1" t="str">
        <f t="shared" si="77"/>
        <v/>
      </c>
      <c r="J1649" s="1" t="str">
        <f t="shared" si="75"/>
        <v/>
      </c>
      <c r="K1649" s="1" t="str">
        <f t="shared" si="76"/>
        <v/>
      </c>
    </row>
    <row r="1650" spans="4:11" ht="15" customHeight="1">
      <c r="D1650" s="6" t="s">
        <v>160</v>
      </c>
      <c r="E1650" s="7"/>
      <c r="F1650" s="7"/>
      <c r="G1650" s="17" t="s">
        <v>181</v>
      </c>
      <c r="H1650" s="17">
        <v>2</v>
      </c>
      <c r="I1650" s="1">
        <f t="shared" si="77"/>
        <v>-1</v>
      </c>
      <c r="J1650" s="1">
        <f t="shared" si="75"/>
        <v>0</v>
      </c>
      <c r="K1650" s="1">
        <f t="shared" si="76"/>
        <v>1</v>
      </c>
    </row>
    <row r="1651" spans="4:11" ht="15.75" thickBot="1">
      <c r="D1651" s="8"/>
      <c r="E1651" s="15" t="s">
        <v>0</v>
      </c>
      <c r="F1651" s="15" t="s">
        <v>230</v>
      </c>
      <c r="G1651" s="17" t="s">
        <v>178</v>
      </c>
      <c r="H1651" s="17"/>
      <c r="I1651" s="1" t="str">
        <f t="shared" si="77"/>
        <v/>
      </c>
      <c r="J1651" s="1" t="str">
        <f t="shared" si="75"/>
        <v/>
      </c>
      <c r="K1651" s="1" t="str">
        <f t="shared" si="76"/>
        <v/>
      </c>
    </row>
    <row r="1652" spans="4:11" ht="18" customHeight="1">
      <c r="D1652" s="6" t="s">
        <v>160</v>
      </c>
      <c r="E1652" s="7"/>
      <c r="F1652" s="7"/>
      <c r="G1652" s="17" t="s">
        <v>185</v>
      </c>
      <c r="H1652" s="17">
        <v>4</v>
      </c>
      <c r="I1652" s="1">
        <f t="shared" si="77"/>
        <v>1</v>
      </c>
      <c r="J1652" s="1">
        <f t="shared" si="75"/>
        <v>0</v>
      </c>
      <c r="K1652" s="1">
        <f t="shared" si="76"/>
        <v>1</v>
      </c>
    </row>
    <row r="1653" spans="4:11" ht="15.75" thickBot="1">
      <c r="D1653" s="8"/>
      <c r="E1653" s="15" t="s">
        <v>25</v>
      </c>
      <c r="F1653" s="15" t="s">
        <v>13</v>
      </c>
      <c r="G1653" s="17" t="s">
        <v>178</v>
      </c>
      <c r="H1653" s="17"/>
      <c r="I1653" s="1" t="str">
        <f t="shared" si="77"/>
        <v/>
      </c>
      <c r="J1653" s="1" t="str">
        <f t="shared" si="75"/>
        <v/>
      </c>
      <c r="K1653" s="1" t="str">
        <f t="shared" si="76"/>
        <v/>
      </c>
    </row>
    <row r="1654" spans="4:11" ht="15" customHeight="1">
      <c r="D1654" s="6" t="s">
        <v>160</v>
      </c>
      <c r="E1654" s="7"/>
      <c r="F1654" s="7"/>
      <c r="G1654" s="17" t="s">
        <v>182</v>
      </c>
      <c r="H1654" s="17">
        <v>6</v>
      </c>
      <c r="I1654" s="1">
        <f t="shared" si="77"/>
        <v>-3</v>
      </c>
      <c r="J1654" s="1">
        <f t="shared" si="75"/>
        <v>0</v>
      </c>
      <c r="K1654" s="1">
        <f t="shared" si="76"/>
        <v>9</v>
      </c>
    </row>
    <row r="1655" spans="4:11" ht="15.75" thickBot="1">
      <c r="D1655" s="8"/>
      <c r="E1655" s="15" t="s">
        <v>7</v>
      </c>
      <c r="F1655" s="15" t="s">
        <v>41</v>
      </c>
      <c r="G1655" s="17" t="s">
        <v>178</v>
      </c>
      <c r="H1655" s="17"/>
      <c r="I1655" s="1" t="str">
        <f t="shared" si="77"/>
        <v/>
      </c>
      <c r="J1655" s="1" t="str">
        <f t="shared" si="75"/>
        <v/>
      </c>
      <c r="K1655" s="1" t="str">
        <f t="shared" si="76"/>
        <v/>
      </c>
    </row>
    <row r="1656" spans="4:11" ht="15" customHeight="1">
      <c r="D1656" s="6" t="s">
        <v>160</v>
      </c>
      <c r="E1656" s="7"/>
      <c r="F1656" s="7"/>
      <c r="G1656" s="17" t="s">
        <v>181</v>
      </c>
      <c r="H1656" s="17">
        <v>3</v>
      </c>
      <c r="I1656" s="1">
        <f t="shared" si="77"/>
        <v>-2</v>
      </c>
      <c r="J1656" s="1">
        <f t="shared" si="75"/>
        <v>0</v>
      </c>
      <c r="K1656" s="1">
        <f t="shared" si="76"/>
        <v>4</v>
      </c>
    </row>
    <row r="1657" spans="4:11" ht="15.75" thickBot="1">
      <c r="D1657" s="8"/>
      <c r="E1657" s="15" t="s">
        <v>36</v>
      </c>
      <c r="F1657" s="15" t="s">
        <v>19</v>
      </c>
      <c r="G1657" s="17" t="s">
        <v>178</v>
      </c>
      <c r="H1657" s="17"/>
      <c r="I1657" s="1" t="str">
        <f t="shared" si="77"/>
        <v/>
      </c>
      <c r="J1657" s="1" t="str">
        <f t="shared" si="75"/>
        <v/>
      </c>
      <c r="K1657" s="1" t="str">
        <f t="shared" si="76"/>
        <v/>
      </c>
    </row>
    <row r="1658" spans="4:11" ht="15" customHeight="1">
      <c r="D1658" s="6" t="s">
        <v>160</v>
      </c>
      <c r="E1658" s="7"/>
      <c r="F1658" s="7"/>
      <c r="G1658" s="17" t="s">
        <v>182</v>
      </c>
      <c r="H1658" s="17">
        <v>6</v>
      </c>
      <c r="I1658" s="1">
        <f t="shared" si="77"/>
        <v>-3</v>
      </c>
      <c r="J1658" s="1">
        <f t="shared" si="75"/>
        <v>0</v>
      </c>
      <c r="K1658" s="1">
        <f t="shared" si="76"/>
        <v>9</v>
      </c>
    </row>
    <row r="1659" spans="4:11" ht="15.75" thickBot="1">
      <c r="D1659" s="8"/>
      <c r="E1659" s="15" t="s">
        <v>28</v>
      </c>
      <c r="F1659" s="15" t="s">
        <v>23</v>
      </c>
      <c r="G1659" s="17" t="s">
        <v>178</v>
      </c>
      <c r="H1659" s="17"/>
      <c r="I1659" s="1" t="str">
        <f t="shared" si="77"/>
        <v/>
      </c>
      <c r="J1659" s="1" t="str">
        <f t="shared" si="75"/>
        <v/>
      </c>
      <c r="K1659" s="1" t="str">
        <f t="shared" si="76"/>
        <v/>
      </c>
    </row>
    <row r="1660" spans="4:11" ht="15" customHeight="1">
      <c r="D1660" s="6" t="s">
        <v>160</v>
      </c>
      <c r="E1660" s="7"/>
      <c r="F1660" s="7"/>
      <c r="G1660" s="17" t="s">
        <v>185</v>
      </c>
      <c r="H1660" s="17">
        <v>1</v>
      </c>
      <c r="I1660" s="1">
        <f t="shared" si="77"/>
        <v>4</v>
      </c>
      <c r="J1660" s="1">
        <f t="shared" si="75"/>
        <v>0</v>
      </c>
      <c r="K1660" s="1">
        <f t="shared" si="76"/>
        <v>16</v>
      </c>
    </row>
    <row r="1661" spans="4:11" ht="15.75" thickBot="1">
      <c r="D1661" s="8"/>
      <c r="E1661" s="15" t="s">
        <v>38</v>
      </c>
      <c r="F1661" s="15" t="s">
        <v>26</v>
      </c>
      <c r="G1661" s="17" t="s">
        <v>178</v>
      </c>
      <c r="H1661" s="17"/>
      <c r="I1661" s="1" t="str">
        <f t="shared" si="77"/>
        <v/>
      </c>
      <c r="J1661" s="1" t="str">
        <f t="shared" si="75"/>
        <v/>
      </c>
      <c r="K1661" s="1" t="str">
        <f t="shared" si="76"/>
        <v/>
      </c>
    </row>
    <row r="1662" spans="4:11" ht="15" customHeight="1">
      <c r="D1662" s="6" t="s">
        <v>160</v>
      </c>
      <c r="E1662" s="7"/>
      <c r="F1662" s="7"/>
      <c r="G1662" s="17" t="s">
        <v>181</v>
      </c>
      <c r="H1662" s="17">
        <v>4</v>
      </c>
      <c r="I1662" s="1">
        <f t="shared" si="77"/>
        <v>-3</v>
      </c>
      <c r="J1662" s="1">
        <f t="shared" si="75"/>
        <v>0</v>
      </c>
      <c r="K1662" s="1">
        <f t="shared" si="76"/>
        <v>9</v>
      </c>
    </row>
    <row r="1663" spans="4:11" ht="15.75" thickBot="1">
      <c r="D1663" s="8"/>
      <c r="E1663" s="15" t="s">
        <v>21</v>
      </c>
      <c r="F1663" s="15" t="s">
        <v>22</v>
      </c>
      <c r="G1663" s="17" t="s">
        <v>178</v>
      </c>
      <c r="H1663" s="17"/>
      <c r="I1663" s="1" t="str">
        <f t="shared" si="77"/>
        <v/>
      </c>
      <c r="J1663" s="1" t="str">
        <f t="shared" si="75"/>
        <v/>
      </c>
      <c r="K1663" s="1" t="str">
        <f t="shared" si="76"/>
        <v/>
      </c>
    </row>
    <row r="1664" spans="4:11" ht="15" customHeight="1">
      <c r="D1664" s="6" t="s">
        <v>160</v>
      </c>
      <c r="E1664" s="7"/>
      <c r="F1664" s="7"/>
      <c r="G1664" s="17" t="s">
        <v>180</v>
      </c>
      <c r="H1664" s="17">
        <v>3</v>
      </c>
      <c r="I1664" s="1">
        <f t="shared" si="77"/>
        <v>-1</v>
      </c>
      <c r="J1664" s="1">
        <f t="shared" si="75"/>
        <v>0</v>
      </c>
      <c r="K1664" s="1">
        <f t="shared" si="76"/>
        <v>1</v>
      </c>
    </row>
    <row r="1665" spans="4:11" ht="15.75" thickBot="1">
      <c r="D1665" s="8"/>
      <c r="E1665" s="15" t="s">
        <v>3</v>
      </c>
      <c r="F1665" s="15" t="s">
        <v>4</v>
      </c>
      <c r="G1665" s="17" t="s">
        <v>178</v>
      </c>
      <c r="H1665" s="17"/>
      <c r="I1665" s="1" t="str">
        <f t="shared" si="77"/>
        <v/>
      </c>
      <c r="J1665" s="1" t="str">
        <f t="shared" si="75"/>
        <v/>
      </c>
      <c r="K1665" s="1" t="str">
        <f t="shared" si="76"/>
        <v/>
      </c>
    </row>
    <row r="1666" spans="4:11" ht="15" customHeight="1">
      <c r="D1666" s="6" t="s">
        <v>160</v>
      </c>
      <c r="E1666" s="7"/>
      <c r="F1666" s="7"/>
      <c r="G1666" s="17" t="s">
        <v>181</v>
      </c>
      <c r="H1666" s="17">
        <v>3</v>
      </c>
      <c r="I1666" s="1">
        <f t="shared" si="77"/>
        <v>-2</v>
      </c>
      <c r="J1666" s="1">
        <f t="shared" si="75"/>
        <v>0</v>
      </c>
      <c r="K1666" s="1">
        <f t="shared" si="76"/>
        <v>4</v>
      </c>
    </row>
    <row r="1667" spans="4:11" ht="15.75" thickBot="1">
      <c r="D1667" s="8"/>
      <c r="E1667" s="15" t="s">
        <v>12</v>
      </c>
      <c r="F1667" s="15" t="s">
        <v>34</v>
      </c>
      <c r="G1667" s="17" t="s">
        <v>178</v>
      </c>
      <c r="H1667" s="17"/>
      <c r="I1667" s="1" t="str">
        <f t="shared" si="77"/>
        <v/>
      </c>
      <c r="J1667" s="1" t="str">
        <f t="shared" ref="J1667:J1730" si="78">IF(F1668="","",VLOOKUP(F1668,$A$2:$B$31,2)+$B$33-VLOOKUP(E1668,$A$2:$B$31,2))</f>
        <v/>
      </c>
      <c r="K1667" s="1" t="str">
        <f t="shared" ref="K1667:K1730" si="79">IF(G1667="","",(I1667-J1667)^2)</f>
        <v/>
      </c>
    </row>
    <row r="1668" spans="4:11" ht="15" customHeight="1">
      <c r="D1668" s="6" t="s">
        <v>161</v>
      </c>
      <c r="E1668" s="7"/>
      <c r="F1668" s="7"/>
      <c r="G1668" s="17" t="s">
        <v>181</v>
      </c>
      <c r="H1668" s="17">
        <v>2</v>
      </c>
      <c r="I1668" s="1">
        <f t="shared" ref="I1668:I1731" si="80">IF(G1668="","",G1668-H1668)</f>
        <v>-1</v>
      </c>
      <c r="J1668" s="1">
        <f t="shared" si="78"/>
        <v>0</v>
      </c>
      <c r="K1668" s="1">
        <f t="shared" si="79"/>
        <v>1</v>
      </c>
    </row>
    <row r="1669" spans="4:11" ht="15.75" thickBot="1">
      <c r="D1669" s="8"/>
      <c r="E1669" s="15" t="s">
        <v>11</v>
      </c>
      <c r="F1669" s="15" t="s">
        <v>20</v>
      </c>
      <c r="G1669" s="17" t="s">
        <v>178</v>
      </c>
      <c r="H1669" s="17"/>
      <c r="I1669" s="1" t="str">
        <f t="shared" si="80"/>
        <v/>
      </c>
      <c r="J1669" s="1" t="str">
        <f t="shared" si="78"/>
        <v/>
      </c>
      <c r="K1669" s="1" t="str">
        <f t="shared" si="79"/>
        <v/>
      </c>
    </row>
    <row r="1670" spans="4:11" ht="18" customHeight="1">
      <c r="D1670" s="6" t="s">
        <v>161</v>
      </c>
      <c r="E1670" s="7"/>
      <c r="F1670" s="7"/>
      <c r="G1670" s="17" t="s">
        <v>180</v>
      </c>
      <c r="H1670" s="17">
        <v>1</v>
      </c>
      <c r="I1670" s="1">
        <f t="shared" si="80"/>
        <v>1</v>
      </c>
      <c r="J1670" s="1">
        <f t="shared" si="78"/>
        <v>0</v>
      </c>
      <c r="K1670" s="1">
        <f t="shared" si="79"/>
        <v>1</v>
      </c>
    </row>
    <row r="1671" spans="4:11" ht="15.75" thickBot="1">
      <c r="D1671" s="8"/>
      <c r="E1671" s="15" t="s">
        <v>39</v>
      </c>
      <c r="F1671" s="15" t="s">
        <v>14</v>
      </c>
      <c r="G1671" s="17" t="s">
        <v>178</v>
      </c>
      <c r="H1671" s="17"/>
      <c r="I1671" s="1" t="str">
        <f t="shared" si="80"/>
        <v/>
      </c>
      <c r="J1671" s="1" t="str">
        <f t="shared" si="78"/>
        <v/>
      </c>
      <c r="K1671" s="1" t="str">
        <f t="shared" si="79"/>
        <v/>
      </c>
    </row>
    <row r="1672" spans="4:11" ht="15" customHeight="1">
      <c r="D1672" s="6" t="s">
        <v>161</v>
      </c>
      <c r="E1672" s="7"/>
      <c r="F1672" s="7"/>
      <c r="G1672" s="17" t="s">
        <v>180</v>
      </c>
      <c r="H1672" s="17">
        <v>1</v>
      </c>
      <c r="I1672" s="1">
        <f t="shared" si="80"/>
        <v>1</v>
      </c>
      <c r="J1672" s="1">
        <f t="shared" si="78"/>
        <v>2550</v>
      </c>
      <c r="K1672" s="1">
        <f t="shared" si="79"/>
        <v>6497401</v>
      </c>
    </row>
    <row r="1673" spans="4:11" ht="15.75" thickBot="1">
      <c r="D1673" s="8"/>
      <c r="E1673" s="15" t="s">
        <v>1</v>
      </c>
      <c r="F1673" s="15" t="s">
        <v>8</v>
      </c>
      <c r="G1673" s="17" t="s">
        <v>178</v>
      </c>
      <c r="H1673" s="17"/>
      <c r="I1673" s="1" t="str">
        <f t="shared" si="80"/>
        <v/>
      </c>
      <c r="J1673" s="1" t="str">
        <f t="shared" si="78"/>
        <v/>
      </c>
      <c r="K1673" s="1" t="str">
        <f t="shared" si="79"/>
        <v/>
      </c>
    </row>
    <row r="1674" spans="4:11" ht="15" customHeight="1">
      <c r="D1674" s="6" t="s">
        <v>161</v>
      </c>
      <c r="E1674" s="7"/>
      <c r="F1674" s="7"/>
      <c r="G1674" s="17" t="s">
        <v>185</v>
      </c>
      <c r="H1674" s="17">
        <v>3</v>
      </c>
      <c r="I1674" s="1">
        <f t="shared" si="80"/>
        <v>2</v>
      </c>
      <c r="J1674" s="1">
        <f t="shared" si="78"/>
        <v>0</v>
      </c>
      <c r="K1674" s="1">
        <f t="shared" si="79"/>
        <v>4</v>
      </c>
    </row>
    <row r="1675" spans="4:11" ht="15.75" thickBot="1">
      <c r="D1675" s="8"/>
      <c r="E1675" s="15" t="s">
        <v>12</v>
      </c>
      <c r="F1675" s="15" t="s">
        <v>10</v>
      </c>
      <c r="G1675" s="17" t="s">
        <v>178</v>
      </c>
      <c r="H1675" s="17"/>
      <c r="I1675" s="1" t="str">
        <f t="shared" si="80"/>
        <v/>
      </c>
      <c r="J1675" s="1" t="str">
        <f t="shared" si="78"/>
        <v/>
      </c>
      <c r="K1675" s="1" t="str">
        <f t="shared" si="79"/>
        <v/>
      </c>
    </row>
    <row r="1676" spans="4:11" ht="15" customHeight="1">
      <c r="D1676" s="6" t="s">
        <v>161</v>
      </c>
      <c r="E1676" s="7"/>
      <c r="F1676" s="7"/>
      <c r="G1676" s="17" t="s">
        <v>185</v>
      </c>
      <c r="H1676" s="17">
        <v>2</v>
      </c>
      <c r="I1676" s="1">
        <f t="shared" si="80"/>
        <v>3</v>
      </c>
      <c r="J1676" s="1">
        <f t="shared" si="78"/>
        <v>0</v>
      </c>
      <c r="K1676" s="1">
        <f t="shared" si="79"/>
        <v>9</v>
      </c>
    </row>
    <row r="1677" spans="4:11" ht="15.75" thickBot="1">
      <c r="D1677" s="8"/>
      <c r="E1677" s="15" t="s">
        <v>37</v>
      </c>
      <c r="F1677" s="15" t="s">
        <v>33</v>
      </c>
      <c r="G1677" s="17" t="s">
        <v>178</v>
      </c>
      <c r="H1677" s="17"/>
      <c r="I1677" s="1" t="str">
        <f t="shared" si="80"/>
        <v/>
      </c>
      <c r="J1677" s="1" t="str">
        <f t="shared" si="78"/>
        <v/>
      </c>
      <c r="K1677" s="1" t="str">
        <f t="shared" si="79"/>
        <v/>
      </c>
    </row>
    <row r="1678" spans="4:11" ht="15" customHeight="1">
      <c r="D1678" s="6" t="s">
        <v>162</v>
      </c>
      <c r="E1678" s="7"/>
      <c r="F1678" s="7"/>
      <c r="G1678" s="17" t="s">
        <v>183</v>
      </c>
      <c r="H1678" s="17">
        <v>5</v>
      </c>
      <c r="I1678" s="1">
        <f t="shared" si="80"/>
        <v>1</v>
      </c>
      <c r="J1678" s="1">
        <f t="shared" si="78"/>
        <v>0</v>
      </c>
      <c r="K1678" s="1">
        <f t="shared" si="79"/>
        <v>1</v>
      </c>
    </row>
    <row r="1679" spans="4:11" ht="15.75" thickBot="1">
      <c r="D1679" s="8"/>
      <c r="E1679" s="15" t="s">
        <v>38</v>
      </c>
      <c r="F1679" s="15" t="s">
        <v>41</v>
      </c>
      <c r="G1679" s="17" t="s">
        <v>178</v>
      </c>
      <c r="H1679" s="17"/>
      <c r="I1679" s="1" t="str">
        <f t="shared" si="80"/>
        <v/>
      </c>
      <c r="J1679" s="1" t="str">
        <f t="shared" si="78"/>
        <v/>
      </c>
      <c r="K1679" s="1" t="str">
        <f t="shared" si="79"/>
        <v/>
      </c>
    </row>
    <row r="1680" spans="4:11" ht="18" customHeight="1">
      <c r="D1680" s="6" t="s">
        <v>162</v>
      </c>
      <c r="E1680" s="7"/>
      <c r="F1680" s="7"/>
      <c r="G1680" s="17" t="s">
        <v>183</v>
      </c>
      <c r="H1680" s="17">
        <v>3</v>
      </c>
      <c r="I1680" s="1">
        <f t="shared" si="80"/>
        <v>3</v>
      </c>
      <c r="J1680" s="1">
        <f t="shared" si="78"/>
        <v>0</v>
      </c>
      <c r="K1680" s="1">
        <f t="shared" si="79"/>
        <v>9</v>
      </c>
    </row>
    <row r="1681" spans="4:11" ht="15.75" thickBot="1">
      <c r="D1681" s="8"/>
      <c r="E1681" s="15" t="s">
        <v>28</v>
      </c>
      <c r="F1681" s="15" t="s">
        <v>18</v>
      </c>
      <c r="G1681" s="17" t="s">
        <v>178</v>
      </c>
      <c r="H1681" s="17"/>
      <c r="I1681" s="1" t="str">
        <f t="shared" si="80"/>
        <v/>
      </c>
      <c r="J1681" s="1" t="str">
        <f t="shared" si="78"/>
        <v/>
      </c>
      <c r="K1681" s="1" t="str">
        <f t="shared" si="79"/>
        <v/>
      </c>
    </row>
    <row r="1682" spans="4:11" ht="18" customHeight="1">
      <c r="D1682" s="6" t="s">
        <v>162</v>
      </c>
      <c r="E1682" s="7"/>
      <c r="F1682" s="7"/>
      <c r="G1682" s="17" t="s">
        <v>180</v>
      </c>
      <c r="H1682" s="17">
        <v>0</v>
      </c>
      <c r="I1682" s="1">
        <f t="shared" si="80"/>
        <v>2</v>
      </c>
      <c r="J1682" s="1">
        <f t="shared" si="78"/>
        <v>0</v>
      </c>
      <c r="K1682" s="1">
        <f t="shared" si="79"/>
        <v>4</v>
      </c>
    </row>
    <row r="1683" spans="4:11" ht="15.75" thickBot="1">
      <c r="D1683" s="8"/>
      <c r="E1683" s="15" t="s">
        <v>230</v>
      </c>
      <c r="F1683" s="15" t="s">
        <v>13</v>
      </c>
      <c r="G1683" s="17" t="s">
        <v>178</v>
      </c>
      <c r="H1683" s="17"/>
      <c r="I1683" s="1" t="str">
        <f t="shared" si="80"/>
        <v/>
      </c>
      <c r="J1683" s="1" t="str">
        <f t="shared" si="78"/>
        <v/>
      </c>
      <c r="K1683" s="1" t="str">
        <f t="shared" si="79"/>
        <v/>
      </c>
    </row>
    <row r="1684" spans="4:11" ht="15" customHeight="1">
      <c r="D1684" s="6" t="s">
        <v>162</v>
      </c>
      <c r="E1684" s="7"/>
      <c r="F1684" s="7"/>
      <c r="G1684" s="17" t="s">
        <v>184</v>
      </c>
      <c r="H1684" s="17">
        <v>5</v>
      </c>
      <c r="I1684" s="1">
        <f t="shared" si="80"/>
        <v>-1</v>
      </c>
      <c r="J1684" s="1">
        <f t="shared" si="78"/>
        <v>0</v>
      </c>
      <c r="K1684" s="1">
        <f t="shared" si="79"/>
        <v>1</v>
      </c>
    </row>
    <row r="1685" spans="4:11" ht="15.75" thickBot="1">
      <c r="D1685" s="8"/>
      <c r="E1685" s="15" t="s">
        <v>24</v>
      </c>
      <c r="F1685" s="15" t="s">
        <v>25</v>
      </c>
      <c r="G1685" s="17" t="s">
        <v>178</v>
      </c>
      <c r="H1685" s="17"/>
      <c r="I1685" s="1" t="str">
        <f t="shared" si="80"/>
        <v/>
      </c>
      <c r="J1685" s="1" t="str">
        <f t="shared" si="78"/>
        <v/>
      </c>
      <c r="K1685" s="1" t="str">
        <f t="shared" si="79"/>
        <v/>
      </c>
    </row>
    <row r="1686" spans="4:11" ht="15" customHeight="1">
      <c r="D1686" s="6" t="s">
        <v>162</v>
      </c>
      <c r="E1686" s="7"/>
      <c r="F1686" s="7"/>
      <c r="G1686" s="17" t="s">
        <v>180</v>
      </c>
      <c r="H1686" s="17">
        <v>5</v>
      </c>
      <c r="I1686" s="1">
        <f t="shared" si="80"/>
        <v>-3</v>
      </c>
      <c r="J1686" s="1">
        <f t="shared" si="78"/>
        <v>0</v>
      </c>
      <c r="K1686" s="1">
        <f t="shared" si="79"/>
        <v>9</v>
      </c>
    </row>
    <row r="1687" spans="4:11" ht="15.75" thickBot="1">
      <c r="D1687" s="8"/>
      <c r="E1687" s="15" t="s">
        <v>26</v>
      </c>
      <c r="F1687" s="15" t="s">
        <v>22</v>
      </c>
      <c r="G1687" s="17" t="s">
        <v>178</v>
      </c>
      <c r="H1687" s="17"/>
      <c r="I1687" s="1" t="str">
        <f t="shared" si="80"/>
        <v/>
      </c>
      <c r="J1687" s="1" t="str">
        <f t="shared" si="78"/>
        <v/>
      </c>
      <c r="K1687" s="1" t="str">
        <f t="shared" si="79"/>
        <v/>
      </c>
    </row>
    <row r="1688" spans="4:11" ht="18" customHeight="1">
      <c r="D1688" s="6" t="s">
        <v>162</v>
      </c>
      <c r="E1688" s="7"/>
      <c r="F1688" s="7"/>
      <c r="G1688" s="17" t="s">
        <v>182</v>
      </c>
      <c r="H1688" s="17">
        <v>4</v>
      </c>
      <c r="I1688" s="1">
        <f t="shared" si="80"/>
        <v>-1</v>
      </c>
      <c r="J1688" s="1">
        <f t="shared" si="78"/>
        <v>0</v>
      </c>
      <c r="K1688" s="1">
        <f t="shared" si="79"/>
        <v>1</v>
      </c>
    </row>
    <row r="1689" spans="4:11" ht="15.75" thickBot="1">
      <c r="D1689" s="8"/>
      <c r="E1689" s="15" t="s">
        <v>2</v>
      </c>
      <c r="F1689" s="15" t="s">
        <v>4</v>
      </c>
      <c r="G1689" s="17" t="s">
        <v>178</v>
      </c>
      <c r="H1689" s="17"/>
      <c r="I1689" s="1" t="str">
        <f t="shared" si="80"/>
        <v/>
      </c>
      <c r="J1689" s="1" t="str">
        <f t="shared" si="78"/>
        <v/>
      </c>
      <c r="K1689" s="1" t="str">
        <f t="shared" si="79"/>
        <v/>
      </c>
    </row>
    <row r="1690" spans="4:11" ht="15" customHeight="1">
      <c r="D1690" s="6" t="s">
        <v>162</v>
      </c>
      <c r="E1690" s="7"/>
      <c r="F1690" s="7"/>
      <c r="G1690" s="17" t="s">
        <v>180</v>
      </c>
      <c r="H1690" s="17">
        <v>3</v>
      </c>
      <c r="I1690" s="1">
        <f t="shared" si="80"/>
        <v>-1</v>
      </c>
      <c r="J1690" s="1">
        <f t="shared" si="78"/>
        <v>0</v>
      </c>
      <c r="K1690" s="1">
        <f t="shared" si="79"/>
        <v>1</v>
      </c>
    </row>
    <row r="1691" spans="4:11" ht="15.75" thickBot="1">
      <c r="D1691" s="8"/>
      <c r="E1691" s="15" t="s">
        <v>23</v>
      </c>
      <c r="F1691" s="15" t="s">
        <v>3</v>
      </c>
      <c r="G1691" s="17" t="s">
        <v>178</v>
      </c>
      <c r="H1691" s="17"/>
      <c r="I1691" s="1" t="str">
        <f t="shared" si="80"/>
        <v/>
      </c>
      <c r="J1691" s="1" t="str">
        <f t="shared" si="78"/>
        <v/>
      </c>
      <c r="K1691" s="1" t="str">
        <f t="shared" si="79"/>
        <v/>
      </c>
    </row>
    <row r="1692" spans="4:11" ht="15" customHeight="1">
      <c r="D1692" s="6" t="s">
        <v>162</v>
      </c>
      <c r="E1692" s="7"/>
      <c r="F1692" s="7"/>
      <c r="G1692" s="17" t="s">
        <v>180</v>
      </c>
      <c r="H1692" s="17">
        <v>3</v>
      </c>
      <c r="I1692" s="1">
        <f t="shared" si="80"/>
        <v>-1</v>
      </c>
      <c r="J1692" s="1">
        <f t="shared" si="78"/>
        <v>0</v>
      </c>
      <c r="K1692" s="1">
        <f t="shared" si="79"/>
        <v>1</v>
      </c>
    </row>
    <row r="1693" spans="4:11" ht="15.75" thickBot="1">
      <c r="D1693" s="8"/>
      <c r="E1693" s="15" t="s">
        <v>37</v>
      </c>
      <c r="F1693" s="15" t="s">
        <v>34</v>
      </c>
      <c r="G1693" s="17" t="s">
        <v>178</v>
      </c>
      <c r="H1693" s="17"/>
      <c r="I1693" s="1" t="str">
        <f t="shared" si="80"/>
        <v/>
      </c>
      <c r="J1693" s="1" t="str">
        <f t="shared" si="78"/>
        <v/>
      </c>
      <c r="K1693" s="1" t="str">
        <f t="shared" si="79"/>
        <v/>
      </c>
    </row>
    <row r="1694" spans="4:11" ht="15" customHeight="1">
      <c r="D1694" s="6" t="s">
        <v>163</v>
      </c>
      <c r="E1694" s="7"/>
      <c r="F1694" s="7"/>
      <c r="G1694" s="17" t="s">
        <v>185</v>
      </c>
      <c r="H1694" s="17">
        <v>2</v>
      </c>
      <c r="I1694" s="1">
        <f t="shared" si="80"/>
        <v>3</v>
      </c>
      <c r="J1694" s="1">
        <f t="shared" si="78"/>
        <v>0</v>
      </c>
      <c r="K1694" s="1">
        <f t="shared" si="79"/>
        <v>9</v>
      </c>
    </row>
    <row r="1695" spans="4:11" ht="30.75" thickBot="1">
      <c r="D1695" s="8"/>
      <c r="E1695" s="15" t="s">
        <v>7</v>
      </c>
      <c r="F1695" s="15" t="s">
        <v>1</v>
      </c>
      <c r="G1695" s="17" t="s">
        <v>178</v>
      </c>
      <c r="H1695" s="17"/>
      <c r="I1695" s="1" t="str">
        <f t="shared" si="80"/>
        <v/>
      </c>
      <c r="J1695" s="1" t="str">
        <f t="shared" si="78"/>
        <v/>
      </c>
      <c r="K1695" s="1" t="str">
        <f t="shared" si="79"/>
        <v/>
      </c>
    </row>
    <row r="1696" spans="4:11" ht="15" customHeight="1">
      <c r="D1696" s="6" t="s">
        <v>163</v>
      </c>
      <c r="E1696" s="7"/>
      <c r="F1696" s="7"/>
      <c r="G1696" s="17" t="s">
        <v>182</v>
      </c>
      <c r="H1696" s="17">
        <v>1</v>
      </c>
      <c r="I1696" s="1">
        <f t="shared" si="80"/>
        <v>2</v>
      </c>
      <c r="J1696" s="1">
        <f t="shared" si="78"/>
        <v>0</v>
      </c>
      <c r="K1696" s="1">
        <f t="shared" si="79"/>
        <v>4</v>
      </c>
    </row>
    <row r="1697" spans="4:11" ht="15.75" thickBot="1">
      <c r="D1697" s="8"/>
      <c r="E1697" s="15" t="s">
        <v>12</v>
      </c>
      <c r="F1697" s="15" t="s">
        <v>11</v>
      </c>
      <c r="G1697" s="17" t="s">
        <v>178</v>
      </c>
      <c r="H1697" s="17"/>
      <c r="I1697" s="1" t="str">
        <f t="shared" si="80"/>
        <v/>
      </c>
      <c r="J1697" s="1" t="str">
        <f t="shared" si="78"/>
        <v/>
      </c>
      <c r="K1697" s="1" t="str">
        <f t="shared" si="79"/>
        <v/>
      </c>
    </row>
    <row r="1698" spans="4:11" ht="15" customHeight="1">
      <c r="D1698" s="6" t="s">
        <v>163</v>
      </c>
      <c r="E1698" s="7"/>
      <c r="F1698" s="7"/>
      <c r="G1698" s="17" t="s">
        <v>184</v>
      </c>
      <c r="H1698" s="17">
        <v>1</v>
      </c>
      <c r="I1698" s="1">
        <f t="shared" si="80"/>
        <v>3</v>
      </c>
      <c r="J1698" s="1">
        <f t="shared" si="78"/>
        <v>0</v>
      </c>
      <c r="K1698" s="1">
        <f t="shared" si="79"/>
        <v>9</v>
      </c>
    </row>
    <row r="1699" spans="4:11" ht="15.75" thickBot="1">
      <c r="D1699" s="8"/>
      <c r="E1699" s="15" t="s">
        <v>41</v>
      </c>
      <c r="F1699" s="15" t="s">
        <v>28</v>
      </c>
      <c r="G1699" s="17" t="s">
        <v>178</v>
      </c>
      <c r="H1699" s="17"/>
      <c r="I1699" s="1" t="str">
        <f t="shared" si="80"/>
        <v/>
      </c>
      <c r="J1699" s="1" t="str">
        <f t="shared" si="78"/>
        <v/>
      </c>
      <c r="K1699" s="1" t="str">
        <f t="shared" si="79"/>
        <v/>
      </c>
    </row>
    <row r="1700" spans="4:11" ht="15" customHeight="1">
      <c r="D1700" s="6" t="s">
        <v>163</v>
      </c>
      <c r="E1700" s="7"/>
      <c r="F1700" s="7"/>
      <c r="G1700" s="17" t="s">
        <v>181</v>
      </c>
      <c r="H1700" s="17">
        <v>2</v>
      </c>
      <c r="I1700" s="1">
        <f t="shared" si="80"/>
        <v>-1</v>
      </c>
      <c r="J1700" s="1">
        <f t="shared" si="78"/>
        <v>-2550</v>
      </c>
      <c r="K1700" s="1">
        <f t="shared" si="79"/>
        <v>6497401</v>
      </c>
    </row>
    <row r="1701" spans="4:11" ht="15.75" thickBot="1">
      <c r="D1701" s="8"/>
      <c r="E1701" s="15" t="s">
        <v>8</v>
      </c>
      <c r="F1701" s="15" t="s">
        <v>36</v>
      </c>
      <c r="G1701" s="17" t="s">
        <v>178</v>
      </c>
      <c r="H1701" s="17"/>
      <c r="I1701" s="1" t="str">
        <f t="shared" si="80"/>
        <v/>
      </c>
      <c r="J1701" s="1" t="str">
        <f t="shared" si="78"/>
        <v/>
      </c>
      <c r="K1701" s="1" t="str">
        <f t="shared" si="79"/>
        <v/>
      </c>
    </row>
    <row r="1702" spans="4:11" ht="18" customHeight="1">
      <c r="D1702" s="6" t="s">
        <v>163</v>
      </c>
      <c r="E1702" s="7"/>
      <c r="F1702" s="7"/>
      <c r="G1702" s="17" t="s">
        <v>182</v>
      </c>
      <c r="H1702" s="17">
        <v>2</v>
      </c>
      <c r="I1702" s="1">
        <f t="shared" si="80"/>
        <v>1</v>
      </c>
      <c r="J1702" s="1">
        <f t="shared" si="78"/>
        <v>0</v>
      </c>
      <c r="K1702" s="1">
        <f t="shared" si="79"/>
        <v>1</v>
      </c>
    </row>
    <row r="1703" spans="4:11" ht="15.75" thickBot="1">
      <c r="D1703" s="8"/>
      <c r="E1703" s="15" t="s">
        <v>14</v>
      </c>
      <c r="F1703" s="15" t="s">
        <v>0</v>
      </c>
      <c r="G1703" s="17" t="s">
        <v>178</v>
      </c>
      <c r="H1703" s="17"/>
      <c r="I1703" s="1" t="str">
        <f t="shared" si="80"/>
        <v/>
      </c>
      <c r="J1703" s="1" t="str">
        <f t="shared" si="78"/>
        <v/>
      </c>
      <c r="K1703" s="1" t="str">
        <f t="shared" si="79"/>
        <v/>
      </c>
    </row>
    <row r="1704" spans="4:11" ht="18" customHeight="1">
      <c r="D1704" s="6" t="s">
        <v>163</v>
      </c>
      <c r="E1704" s="7"/>
      <c r="F1704" s="7"/>
      <c r="G1704" s="17" t="s">
        <v>184</v>
      </c>
      <c r="H1704" s="17">
        <v>1</v>
      </c>
      <c r="I1704" s="1">
        <f t="shared" si="80"/>
        <v>3</v>
      </c>
      <c r="J1704" s="1">
        <f t="shared" si="78"/>
        <v>0</v>
      </c>
      <c r="K1704" s="1">
        <f t="shared" si="79"/>
        <v>9</v>
      </c>
    </row>
    <row r="1705" spans="4:11" ht="15.75" thickBot="1">
      <c r="D1705" s="8"/>
      <c r="E1705" s="15" t="s">
        <v>21</v>
      </c>
      <c r="F1705" s="15" t="s">
        <v>39</v>
      </c>
      <c r="G1705" s="17" t="s">
        <v>178</v>
      </c>
      <c r="H1705" s="17"/>
      <c r="I1705" s="1" t="str">
        <f t="shared" si="80"/>
        <v/>
      </c>
      <c r="J1705" s="1" t="str">
        <f t="shared" si="78"/>
        <v/>
      </c>
      <c r="K1705" s="1" t="str">
        <f t="shared" si="79"/>
        <v/>
      </c>
    </row>
    <row r="1706" spans="4:11" ht="15" customHeight="1">
      <c r="D1706" s="6" t="s">
        <v>163</v>
      </c>
      <c r="E1706" s="7"/>
      <c r="F1706" s="7"/>
      <c r="G1706" s="17" t="s">
        <v>181</v>
      </c>
      <c r="H1706" s="17">
        <v>5</v>
      </c>
      <c r="I1706" s="1">
        <f t="shared" si="80"/>
        <v>-4</v>
      </c>
      <c r="J1706" s="1">
        <f t="shared" si="78"/>
        <v>0</v>
      </c>
      <c r="K1706" s="1">
        <f t="shared" si="79"/>
        <v>16</v>
      </c>
    </row>
    <row r="1707" spans="4:11" ht="15.75" thickBot="1">
      <c r="D1707" s="8"/>
      <c r="E1707" s="15" t="s">
        <v>33</v>
      </c>
      <c r="F1707" s="15" t="s">
        <v>19</v>
      </c>
      <c r="G1707" s="17" t="s">
        <v>178</v>
      </c>
      <c r="H1707" s="17"/>
      <c r="I1707" s="1" t="str">
        <f t="shared" si="80"/>
        <v/>
      </c>
      <c r="J1707" s="1" t="str">
        <f t="shared" si="78"/>
        <v/>
      </c>
      <c r="K1707" s="1" t="str">
        <f t="shared" si="79"/>
        <v/>
      </c>
    </row>
    <row r="1708" spans="4:11" ht="18" customHeight="1">
      <c r="D1708" s="6" t="s">
        <v>164</v>
      </c>
      <c r="E1708" s="7"/>
      <c r="F1708" s="7"/>
      <c r="G1708" s="17" t="s">
        <v>180</v>
      </c>
      <c r="H1708" s="17">
        <v>4</v>
      </c>
      <c r="I1708" s="1">
        <f t="shared" si="80"/>
        <v>-2</v>
      </c>
      <c r="J1708" s="1">
        <f t="shared" si="78"/>
        <v>0</v>
      </c>
      <c r="K1708" s="1">
        <f t="shared" si="79"/>
        <v>4</v>
      </c>
    </row>
    <row r="1709" spans="4:11" ht="15.75" thickBot="1">
      <c r="D1709" s="8"/>
      <c r="E1709" s="15" t="s">
        <v>230</v>
      </c>
      <c r="F1709" s="15" t="s">
        <v>18</v>
      </c>
      <c r="G1709" s="17" t="s">
        <v>178</v>
      </c>
      <c r="H1709" s="17"/>
      <c r="I1709" s="1" t="str">
        <f t="shared" si="80"/>
        <v/>
      </c>
      <c r="J1709" s="1" t="str">
        <f t="shared" si="78"/>
        <v/>
      </c>
      <c r="K1709" s="1" t="str">
        <f t="shared" si="79"/>
        <v/>
      </c>
    </row>
    <row r="1710" spans="4:11" ht="18" customHeight="1">
      <c r="D1710" s="6" t="s">
        <v>164</v>
      </c>
      <c r="E1710" s="7"/>
      <c r="F1710" s="7"/>
      <c r="G1710" s="17" t="s">
        <v>182</v>
      </c>
      <c r="H1710" s="17">
        <v>2</v>
      </c>
      <c r="I1710" s="1">
        <f t="shared" si="80"/>
        <v>1</v>
      </c>
      <c r="J1710" s="1">
        <f t="shared" si="78"/>
        <v>0</v>
      </c>
      <c r="K1710" s="1">
        <f t="shared" si="79"/>
        <v>1</v>
      </c>
    </row>
    <row r="1711" spans="4:11" ht="15.75" thickBot="1">
      <c r="D1711" s="8"/>
      <c r="E1711" s="15" t="s">
        <v>13</v>
      </c>
      <c r="F1711" s="15" t="s">
        <v>20</v>
      </c>
      <c r="G1711" s="17" t="s">
        <v>178</v>
      </c>
      <c r="H1711" s="17"/>
      <c r="I1711" s="1" t="str">
        <f t="shared" si="80"/>
        <v/>
      </c>
      <c r="J1711" s="1" t="str">
        <f t="shared" si="78"/>
        <v/>
      </c>
      <c r="K1711" s="1" t="str">
        <f t="shared" si="79"/>
        <v/>
      </c>
    </row>
    <row r="1712" spans="4:11" ht="15" customHeight="1">
      <c r="D1712" s="6" t="s">
        <v>164</v>
      </c>
      <c r="E1712" s="7"/>
      <c r="F1712" s="7"/>
      <c r="G1712" s="17" t="s">
        <v>182</v>
      </c>
      <c r="H1712" s="17">
        <v>2</v>
      </c>
      <c r="I1712" s="1">
        <f t="shared" si="80"/>
        <v>1</v>
      </c>
      <c r="J1712" s="1">
        <f t="shared" si="78"/>
        <v>0</v>
      </c>
      <c r="K1712" s="1">
        <f t="shared" si="79"/>
        <v>1</v>
      </c>
    </row>
    <row r="1713" spans="4:11" ht="15.75" thickBot="1">
      <c r="D1713" s="8"/>
      <c r="E1713" s="15" t="s">
        <v>23</v>
      </c>
      <c r="F1713" s="15" t="s">
        <v>4</v>
      </c>
      <c r="G1713" s="17" t="s">
        <v>178</v>
      </c>
      <c r="H1713" s="17"/>
      <c r="I1713" s="1" t="str">
        <f t="shared" si="80"/>
        <v/>
      </c>
      <c r="J1713" s="1" t="str">
        <f t="shared" si="78"/>
        <v/>
      </c>
      <c r="K1713" s="1" t="str">
        <f t="shared" si="79"/>
        <v/>
      </c>
    </row>
    <row r="1714" spans="4:11" ht="15" customHeight="1">
      <c r="D1714" s="6" t="s">
        <v>164</v>
      </c>
      <c r="E1714" s="7"/>
      <c r="F1714" s="7"/>
      <c r="G1714" s="17" t="s">
        <v>184</v>
      </c>
      <c r="H1714" s="17">
        <v>1</v>
      </c>
      <c r="I1714" s="1">
        <f t="shared" si="80"/>
        <v>3</v>
      </c>
      <c r="J1714" s="1">
        <f t="shared" si="78"/>
        <v>0</v>
      </c>
      <c r="K1714" s="1">
        <f t="shared" si="79"/>
        <v>9</v>
      </c>
    </row>
    <row r="1715" spans="4:11" ht="15.75" thickBot="1">
      <c r="D1715" s="8"/>
      <c r="E1715" s="15" t="s">
        <v>34</v>
      </c>
      <c r="F1715" s="15" t="s">
        <v>22</v>
      </c>
      <c r="G1715" s="17" t="s">
        <v>178</v>
      </c>
      <c r="H1715" s="17"/>
      <c r="I1715" s="1" t="str">
        <f t="shared" si="80"/>
        <v/>
      </c>
      <c r="J1715" s="1" t="str">
        <f t="shared" si="78"/>
        <v/>
      </c>
      <c r="K1715" s="1" t="str">
        <f t="shared" si="79"/>
        <v/>
      </c>
    </row>
    <row r="1716" spans="4:11" ht="15" customHeight="1">
      <c r="D1716" s="6" t="s">
        <v>164</v>
      </c>
      <c r="E1716" s="7"/>
      <c r="F1716" s="7"/>
      <c r="G1716" s="17" t="s">
        <v>182</v>
      </c>
      <c r="H1716" s="17">
        <v>4</v>
      </c>
      <c r="I1716" s="1">
        <f t="shared" si="80"/>
        <v>-1</v>
      </c>
      <c r="J1716" s="1">
        <f t="shared" si="78"/>
        <v>0</v>
      </c>
      <c r="K1716" s="1">
        <f t="shared" si="79"/>
        <v>1</v>
      </c>
    </row>
    <row r="1717" spans="4:11" ht="15.75" thickBot="1">
      <c r="D1717" s="8"/>
      <c r="E1717" s="15" t="s">
        <v>2</v>
      </c>
      <c r="F1717" s="15" t="s">
        <v>24</v>
      </c>
      <c r="G1717" s="17" t="s">
        <v>178</v>
      </c>
      <c r="H1717" s="17"/>
      <c r="I1717" s="1" t="str">
        <f t="shared" si="80"/>
        <v/>
      </c>
      <c r="J1717" s="1" t="str">
        <f t="shared" si="78"/>
        <v/>
      </c>
      <c r="K1717" s="1" t="str">
        <f t="shared" si="79"/>
        <v/>
      </c>
    </row>
    <row r="1718" spans="4:11" ht="15" customHeight="1">
      <c r="D1718" s="6" t="s">
        <v>164</v>
      </c>
      <c r="E1718" s="7"/>
      <c r="F1718" s="7"/>
      <c r="G1718" s="17" t="s">
        <v>184</v>
      </c>
      <c r="H1718" s="17">
        <v>1</v>
      </c>
      <c r="I1718" s="1">
        <f t="shared" si="80"/>
        <v>3</v>
      </c>
      <c r="J1718" s="1">
        <f t="shared" si="78"/>
        <v>0</v>
      </c>
      <c r="K1718" s="1">
        <f t="shared" si="79"/>
        <v>9</v>
      </c>
    </row>
    <row r="1719" spans="4:11" ht="15.75" thickBot="1">
      <c r="D1719" s="8"/>
      <c r="E1719" s="15" t="s">
        <v>37</v>
      </c>
      <c r="F1719" s="15" t="s">
        <v>10</v>
      </c>
      <c r="G1719" s="17" t="s">
        <v>178</v>
      </c>
      <c r="H1719" s="17"/>
      <c r="I1719" s="1" t="str">
        <f t="shared" si="80"/>
        <v/>
      </c>
      <c r="J1719" s="1" t="str">
        <f t="shared" si="78"/>
        <v/>
      </c>
      <c r="K1719" s="1" t="str">
        <f t="shared" si="79"/>
        <v/>
      </c>
    </row>
    <row r="1720" spans="4:11" ht="15" customHeight="1">
      <c r="D1720" s="6" t="s">
        <v>165</v>
      </c>
      <c r="E1720" s="7"/>
      <c r="F1720" s="7"/>
      <c r="G1720" s="17" t="s">
        <v>180</v>
      </c>
      <c r="H1720" s="17">
        <v>5</v>
      </c>
      <c r="I1720" s="1">
        <f t="shared" si="80"/>
        <v>-3</v>
      </c>
      <c r="J1720" s="1">
        <f t="shared" si="78"/>
        <v>0</v>
      </c>
      <c r="K1720" s="1">
        <f t="shared" si="79"/>
        <v>9</v>
      </c>
    </row>
    <row r="1721" spans="4:11" ht="15.75" thickBot="1">
      <c r="D1721" s="8"/>
      <c r="E1721" s="15" t="s">
        <v>19</v>
      </c>
      <c r="F1721" s="15" t="s">
        <v>41</v>
      </c>
      <c r="G1721" s="17" t="s">
        <v>178</v>
      </c>
      <c r="H1721" s="17"/>
      <c r="I1721" s="1" t="str">
        <f t="shared" si="80"/>
        <v/>
      </c>
      <c r="J1721" s="1" t="str">
        <f t="shared" si="78"/>
        <v/>
      </c>
      <c r="K1721" s="1" t="str">
        <f t="shared" si="79"/>
        <v/>
      </c>
    </row>
    <row r="1722" spans="4:11" ht="15" customHeight="1">
      <c r="D1722" s="6" t="s">
        <v>165</v>
      </c>
      <c r="E1722" s="7"/>
      <c r="F1722" s="7"/>
      <c r="G1722" s="17" t="s">
        <v>185</v>
      </c>
      <c r="H1722" s="17">
        <v>4</v>
      </c>
      <c r="I1722" s="1">
        <f t="shared" si="80"/>
        <v>1</v>
      </c>
      <c r="J1722" s="1">
        <f t="shared" si="78"/>
        <v>0</v>
      </c>
      <c r="K1722" s="1">
        <f t="shared" si="79"/>
        <v>1</v>
      </c>
    </row>
    <row r="1723" spans="4:11" ht="15.75" thickBot="1">
      <c r="D1723" s="8"/>
      <c r="E1723" s="15" t="s">
        <v>3</v>
      </c>
      <c r="F1723" s="15" t="s">
        <v>38</v>
      </c>
      <c r="G1723" s="17" t="s">
        <v>178</v>
      </c>
      <c r="H1723" s="17"/>
      <c r="I1723" s="1" t="str">
        <f t="shared" si="80"/>
        <v/>
      </c>
      <c r="J1723" s="1" t="str">
        <f t="shared" si="78"/>
        <v/>
      </c>
      <c r="K1723" s="1" t="str">
        <f t="shared" si="79"/>
        <v/>
      </c>
    </row>
    <row r="1724" spans="4:11" ht="15" customHeight="1">
      <c r="D1724" s="6" t="s">
        <v>165</v>
      </c>
      <c r="E1724" s="7"/>
      <c r="F1724" s="7"/>
      <c r="G1724" s="17" t="s">
        <v>182</v>
      </c>
      <c r="H1724" s="17">
        <v>2</v>
      </c>
      <c r="I1724" s="1">
        <f t="shared" si="80"/>
        <v>1</v>
      </c>
      <c r="J1724" s="1">
        <f t="shared" si="78"/>
        <v>-2550</v>
      </c>
      <c r="K1724" s="1">
        <f t="shared" si="79"/>
        <v>6507601</v>
      </c>
    </row>
    <row r="1725" spans="4:11" ht="30.75" thickBot="1">
      <c r="D1725" s="8"/>
      <c r="E1725" s="15" t="s">
        <v>8</v>
      </c>
      <c r="F1725" s="15" t="s">
        <v>1</v>
      </c>
      <c r="G1725" s="17" t="s">
        <v>178</v>
      </c>
      <c r="H1725" s="17"/>
      <c r="I1725" s="1" t="str">
        <f t="shared" si="80"/>
        <v/>
      </c>
      <c r="J1725" s="1" t="str">
        <f t="shared" si="78"/>
        <v/>
      </c>
      <c r="K1725" s="1" t="str">
        <f t="shared" si="79"/>
        <v/>
      </c>
    </row>
    <row r="1726" spans="4:11" ht="15" customHeight="1">
      <c r="D1726" s="6" t="s">
        <v>165</v>
      </c>
      <c r="E1726" s="7"/>
      <c r="F1726" s="7"/>
      <c r="G1726" s="17" t="s">
        <v>180</v>
      </c>
      <c r="H1726" s="17">
        <v>1</v>
      </c>
      <c r="I1726" s="1">
        <f t="shared" si="80"/>
        <v>1</v>
      </c>
      <c r="J1726" s="1">
        <f t="shared" si="78"/>
        <v>0</v>
      </c>
      <c r="K1726" s="1">
        <f t="shared" si="79"/>
        <v>1</v>
      </c>
    </row>
    <row r="1727" spans="4:11" ht="15.75" thickBot="1">
      <c r="D1727" s="8"/>
      <c r="E1727" s="15" t="s">
        <v>7</v>
      </c>
      <c r="F1727" s="15" t="s">
        <v>11</v>
      </c>
      <c r="G1727" s="17" t="s">
        <v>178</v>
      </c>
      <c r="H1727" s="17"/>
      <c r="I1727" s="1" t="str">
        <f t="shared" si="80"/>
        <v/>
      </c>
      <c r="J1727" s="1" t="str">
        <f t="shared" si="78"/>
        <v/>
      </c>
      <c r="K1727" s="1" t="str">
        <f t="shared" si="79"/>
        <v/>
      </c>
    </row>
    <row r="1728" spans="4:11" ht="15" customHeight="1">
      <c r="D1728" s="6" t="s">
        <v>165</v>
      </c>
      <c r="E1728" s="7"/>
      <c r="F1728" s="7"/>
      <c r="G1728" s="17" t="s">
        <v>181</v>
      </c>
      <c r="H1728" s="17">
        <v>5</v>
      </c>
      <c r="I1728" s="1">
        <f t="shared" si="80"/>
        <v>-4</v>
      </c>
      <c r="J1728" s="1">
        <f t="shared" si="78"/>
        <v>0</v>
      </c>
      <c r="K1728" s="1">
        <f t="shared" si="79"/>
        <v>16</v>
      </c>
    </row>
    <row r="1729" spans="4:11" ht="30.75" thickBot="1">
      <c r="D1729" s="8"/>
      <c r="E1729" s="15" t="s">
        <v>25</v>
      </c>
      <c r="F1729" s="15" t="s">
        <v>12</v>
      </c>
      <c r="G1729" s="17" t="s">
        <v>178</v>
      </c>
      <c r="H1729" s="17"/>
      <c r="I1729" s="1" t="str">
        <f t="shared" si="80"/>
        <v/>
      </c>
      <c r="J1729" s="1" t="str">
        <f t="shared" si="78"/>
        <v/>
      </c>
      <c r="K1729" s="1" t="str">
        <f t="shared" si="79"/>
        <v/>
      </c>
    </row>
    <row r="1730" spans="4:11" ht="15" customHeight="1">
      <c r="D1730" s="6" t="s">
        <v>165</v>
      </c>
      <c r="E1730" s="7"/>
      <c r="F1730" s="7"/>
      <c r="G1730" s="17" t="s">
        <v>182</v>
      </c>
      <c r="H1730" s="17">
        <v>2</v>
      </c>
      <c r="I1730" s="1">
        <f t="shared" si="80"/>
        <v>1</v>
      </c>
      <c r="J1730" s="1">
        <f t="shared" si="78"/>
        <v>0</v>
      </c>
      <c r="K1730" s="1">
        <f t="shared" si="79"/>
        <v>1</v>
      </c>
    </row>
    <row r="1731" spans="4:11" ht="15.75" thickBot="1">
      <c r="D1731" s="8"/>
      <c r="E1731" s="15" t="s">
        <v>14</v>
      </c>
      <c r="F1731" s="15" t="s">
        <v>230</v>
      </c>
      <c r="G1731" s="17" t="s">
        <v>178</v>
      </c>
      <c r="H1731" s="17"/>
      <c r="I1731" s="1" t="str">
        <f t="shared" si="80"/>
        <v/>
      </c>
      <c r="J1731" s="1" t="str">
        <f t="shared" ref="J1731:J1794" si="81">IF(F1732="","",VLOOKUP(F1732,$A$2:$B$31,2)+$B$33-VLOOKUP(E1732,$A$2:$B$31,2))</f>
        <v/>
      </c>
      <c r="K1731" s="1" t="str">
        <f t="shared" ref="K1731:K1794" si="82">IF(G1731="","",(I1731-J1731)^2)</f>
        <v/>
      </c>
    </row>
    <row r="1732" spans="4:11" ht="18" customHeight="1">
      <c r="D1732" s="6" t="s">
        <v>165</v>
      </c>
      <c r="E1732" s="7"/>
      <c r="F1732" s="7"/>
      <c r="G1732" s="17" t="s">
        <v>185</v>
      </c>
      <c r="H1732" s="17">
        <v>2</v>
      </c>
      <c r="I1732" s="1">
        <f t="shared" ref="I1732:I1795" si="83">IF(G1732="","",G1732-H1732)</f>
        <v>3</v>
      </c>
      <c r="J1732" s="1">
        <f t="shared" si="81"/>
        <v>0</v>
      </c>
      <c r="K1732" s="1">
        <f t="shared" si="82"/>
        <v>9</v>
      </c>
    </row>
    <row r="1733" spans="4:11" ht="15.75" thickBot="1">
      <c r="D1733" s="8"/>
      <c r="E1733" s="15" t="s">
        <v>33</v>
      </c>
      <c r="F1733" s="15" t="s">
        <v>21</v>
      </c>
      <c r="G1733" s="17" t="s">
        <v>178</v>
      </c>
      <c r="H1733" s="17"/>
      <c r="I1733" s="1" t="str">
        <f t="shared" si="83"/>
        <v/>
      </c>
      <c r="J1733" s="1" t="str">
        <f t="shared" si="81"/>
        <v/>
      </c>
      <c r="K1733" s="1" t="str">
        <f t="shared" si="82"/>
        <v/>
      </c>
    </row>
    <row r="1734" spans="4:11" ht="15" customHeight="1">
      <c r="D1734" s="6" t="s">
        <v>166</v>
      </c>
      <c r="E1734" s="7"/>
      <c r="F1734" s="7"/>
      <c r="G1734" s="17" t="s">
        <v>182</v>
      </c>
      <c r="H1734" s="17">
        <v>1</v>
      </c>
      <c r="I1734" s="1">
        <f t="shared" si="83"/>
        <v>2</v>
      </c>
      <c r="J1734" s="1">
        <f t="shared" si="81"/>
        <v>2550</v>
      </c>
      <c r="K1734" s="1">
        <f t="shared" si="82"/>
        <v>6492304</v>
      </c>
    </row>
    <row r="1735" spans="4:11" ht="15.75" thickBot="1">
      <c r="D1735" s="8"/>
      <c r="E1735" s="15" t="s">
        <v>38</v>
      </c>
      <c r="F1735" s="15" t="s">
        <v>8</v>
      </c>
      <c r="G1735" s="17" t="s">
        <v>178</v>
      </c>
      <c r="H1735" s="17"/>
      <c r="I1735" s="1" t="str">
        <f t="shared" si="83"/>
        <v/>
      </c>
      <c r="J1735" s="1" t="str">
        <f t="shared" si="81"/>
        <v/>
      </c>
      <c r="K1735" s="1" t="str">
        <f t="shared" si="82"/>
        <v/>
      </c>
    </row>
    <row r="1736" spans="4:11" ht="15" customHeight="1">
      <c r="D1736" s="6" t="s">
        <v>166</v>
      </c>
      <c r="E1736" s="7"/>
      <c r="F1736" s="7"/>
      <c r="G1736" s="17" t="s">
        <v>180</v>
      </c>
      <c r="H1736" s="17">
        <v>4</v>
      </c>
      <c r="I1736" s="1">
        <f t="shared" si="83"/>
        <v>-2</v>
      </c>
      <c r="J1736" s="1">
        <f t="shared" si="81"/>
        <v>0</v>
      </c>
      <c r="K1736" s="1">
        <f t="shared" si="82"/>
        <v>4</v>
      </c>
    </row>
    <row r="1737" spans="4:11" ht="15.75" thickBot="1">
      <c r="D1737" s="8"/>
      <c r="E1737" s="15" t="s">
        <v>3</v>
      </c>
      <c r="F1737" s="15" t="s">
        <v>36</v>
      </c>
      <c r="G1737" s="17" t="s">
        <v>178</v>
      </c>
      <c r="H1737" s="17"/>
      <c r="I1737" s="1" t="str">
        <f t="shared" si="83"/>
        <v/>
      </c>
      <c r="J1737" s="1" t="str">
        <f t="shared" si="81"/>
        <v/>
      </c>
      <c r="K1737" s="1" t="str">
        <f t="shared" si="82"/>
        <v/>
      </c>
    </row>
    <row r="1738" spans="4:11" ht="15" customHeight="1">
      <c r="D1738" s="6" t="s">
        <v>166</v>
      </c>
      <c r="E1738" s="7"/>
      <c r="F1738" s="7"/>
      <c r="G1738" s="17" t="s">
        <v>181</v>
      </c>
      <c r="H1738" s="17">
        <v>2</v>
      </c>
      <c r="I1738" s="1">
        <f t="shared" si="83"/>
        <v>-1</v>
      </c>
      <c r="J1738" s="1">
        <f t="shared" si="81"/>
        <v>0</v>
      </c>
      <c r="K1738" s="1">
        <f t="shared" si="82"/>
        <v>1</v>
      </c>
    </row>
    <row r="1739" spans="4:11" ht="15.75" thickBot="1">
      <c r="D1739" s="8"/>
      <c r="E1739" s="15" t="s">
        <v>0</v>
      </c>
      <c r="F1739" s="15" t="s">
        <v>28</v>
      </c>
      <c r="G1739" s="17" t="s">
        <v>178</v>
      </c>
      <c r="H1739" s="17"/>
      <c r="I1739" s="1" t="str">
        <f t="shared" si="83"/>
        <v/>
      </c>
      <c r="J1739" s="1" t="str">
        <f t="shared" si="81"/>
        <v/>
      </c>
      <c r="K1739" s="1" t="str">
        <f t="shared" si="82"/>
        <v/>
      </c>
    </row>
    <row r="1740" spans="4:11" ht="18" customHeight="1">
      <c r="D1740" s="6" t="s">
        <v>166</v>
      </c>
      <c r="E1740" s="7"/>
      <c r="F1740" s="7"/>
      <c r="G1740" s="17" t="s">
        <v>181</v>
      </c>
      <c r="H1740" s="17">
        <v>5</v>
      </c>
      <c r="I1740" s="1">
        <f t="shared" si="83"/>
        <v>-4</v>
      </c>
      <c r="J1740" s="1">
        <f t="shared" si="81"/>
        <v>0</v>
      </c>
      <c r="K1740" s="1">
        <f t="shared" si="82"/>
        <v>16</v>
      </c>
    </row>
    <row r="1741" spans="4:11" ht="15.75" thickBot="1">
      <c r="D1741" s="8"/>
      <c r="E1741" s="15" t="s">
        <v>2</v>
      </c>
      <c r="F1741" s="15" t="s">
        <v>39</v>
      </c>
      <c r="G1741" s="17" t="s">
        <v>178</v>
      </c>
      <c r="H1741" s="17"/>
      <c r="I1741" s="1" t="str">
        <f t="shared" si="83"/>
        <v/>
      </c>
      <c r="J1741" s="1" t="str">
        <f t="shared" si="81"/>
        <v/>
      </c>
      <c r="K1741" s="1" t="str">
        <f t="shared" si="82"/>
        <v/>
      </c>
    </row>
    <row r="1742" spans="4:11" ht="15" customHeight="1">
      <c r="D1742" s="6" t="s">
        <v>166</v>
      </c>
      <c r="E1742" s="7"/>
      <c r="F1742" s="7"/>
      <c r="G1742" s="17" t="s">
        <v>184</v>
      </c>
      <c r="H1742" s="17">
        <v>1</v>
      </c>
      <c r="I1742" s="1">
        <f t="shared" si="83"/>
        <v>3</v>
      </c>
      <c r="J1742" s="1">
        <f t="shared" si="81"/>
        <v>0</v>
      </c>
      <c r="K1742" s="1">
        <f t="shared" si="82"/>
        <v>9</v>
      </c>
    </row>
    <row r="1743" spans="4:11" ht="15.75" thickBot="1">
      <c r="D1743" s="8"/>
      <c r="E1743" s="15" t="s">
        <v>22</v>
      </c>
      <c r="F1743" s="15" t="s">
        <v>20</v>
      </c>
      <c r="G1743" s="17" t="s">
        <v>178</v>
      </c>
      <c r="H1743" s="17"/>
      <c r="I1743" s="1" t="str">
        <f t="shared" si="83"/>
        <v/>
      </c>
      <c r="J1743" s="1" t="str">
        <f t="shared" si="81"/>
        <v/>
      </c>
      <c r="K1743" s="1" t="str">
        <f t="shared" si="82"/>
        <v/>
      </c>
    </row>
    <row r="1744" spans="4:11" ht="18" customHeight="1">
      <c r="D1744" s="6" t="s">
        <v>166</v>
      </c>
      <c r="E1744" s="7"/>
      <c r="F1744" s="7"/>
      <c r="G1744" s="17" t="s">
        <v>183</v>
      </c>
      <c r="H1744" s="17">
        <v>3</v>
      </c>
      <c r="I1744" s="1">
        <f t="shared" si="83"/>
        <v>3</v>
      </c>
      <c r="J1744" s="1">
        <f t="shared" si="81"/>
        <v>0</v>
      </c>
      <c r="K1744" s="1">
        <f t="shared" si="82"/>
        <v>9</v>
      </c>
    </row>
    <row r="1745" spans="4:11" ht="15.75" thickBot="1">
      <c r="D1745" s="8"/>
      <c r="E1745" s="15" t="s">
        <v>10</v>
      </c>
      <c r="F1745" s="15" t="s">
        <v>4</v>
      </c>
      <c r="G1745" s="17" t="s">
        <v>178</v>
      </c>
      <c r="H1745" s="17"/>
      <c r="I1745" s="1" t="str">
        <f t="shared" si="83"/>
        <v/>
      </c>
      <c r="J1745" s="1" t="str">
        <f t="shared" si="81"/>
        <v/>
      </c>
      <c r="K1745" s="1" t="str">
        <f t="shared" si="82"/>
        <v/>
      </c>
    </row>
    <row r="1746" spans="4:11" ht="15" customHeight="1">
      <c r="D1746" s="6" t="s">
        <v>166</v>
      </c>
      <c r="E1746" s="7"/>
      <c r="F1746" s="7"/>
      <c r="G1746" s="17" t="s">
        <v>184</v>
      </c>
      <c r="H1746" s="17">
        <v>0</v>
      </c>
      <c r="I1746" s="1">
        <f t="shared" si="83"/>
        <v>4</v>
      </c>
      <c r="J1746" s="1">
        <f t="shared" si="81"/>
        <v>0</v>
      </c>
      <c r="K1746" s="1">
        <f t="shared" si="82"/>
        <v>16</v>
      </c>
    </row>
    <row r="1747" spans="4:11" ht="15.75" thickBot="1">
      <c r="D1747" s="8"/>
      <c r="E1747" s="15" t="s">
        <v>23</v>
      </c>
      <c r="F1747" s="15" t="s">
        <v>24</v>
      </c>
      <c r="G1747" s="17" t="s">
        <v>178</v>
      </c>
      <c r="H1747" s="17"/>
      <c r="I1747" s="1" t="str">
        <f t="shared" si="83"/>
        <v/>
      </c>
      <c r="J1747" s="1" t="str">
        <f t="shared" si="81"/>
        <v/>
      </c>
      <c r="K1747" s="1" t="str">
        <f t="shared" si="82"/>
        <v/>
      </c>
    </row>
    <row r="1748" spans="4:11" ht="15" customHeight="1">
      <c r="D1748" s="6" t="s">
        <v>167</v>
      </c>
      <c r="E1748" s="7"/>
      <c r="F1748" s="7"/>
      <c r="G1748" s="17" t="s">
        <v>180</v>
      </c>
      <c r="H1748" s="17">
        <v>3</v>
      </c>
      <c r="I1748" s="1">
        <f t="shared" si="83"/>
        <v>-1</v>
      </c>
      <c r="J1748" s="1">
        <f t="shared" si="81"/>
        <v>0</v>
      </c>
      <c r="K1748" s="1">
        <f t="shared" si="82"/>
        <v>1</v>
      </c>
    </row>
    <row r="1749" spans="4:11" ht="30.75" thickBot="1">
      <c r="D1749" s="8"/>
      <c r="E1749" s="15" t="s">
        <v>41</v>
      </c>
      <c r="F1749" s="15" t="s">
        <v>12</v>
      </c>
      <c r="G1749" s="17" t="s">
        <v>178</v>
      </c>
      <c r="H1749" s="17"/>
      <c r="I1749" s="1" t="str">
        <f t="shared" si="83"/>
        <v/>
      </c>
      <c r="J1749" s="1" t="str">
        <f t="shared" si="81"/>
        <v/>
      </c>
      <c r="K1749" s="1" t="str">
        <f t="shared" si="82"/>
        <v/>
      </c>
    </row>
    <row r="1750" spans="4:11" ht="15" customHeight="1">
      <c r="D1750" s="6" t="s">
        <v>167</v>
      </c>
      <c r="E1750" s="7"/>
      <c r="F1750" s="7"/>
      <c r="G1750" s="17" t="s">
        <v>180</v>
      </c>
      <c r="H1750" s="17">
        <v>3</v>
      </c>
      <c r="I1750" s="1">
        <f t="shared" si="83"/>
        <v>-1</v>
      </c>
      <c r="J1750" s="1">
        <f t="shared" si="81"/>
        <v>0</v>
      </c>
      <c r="K1750" s="1">
        <f t="shared" si="82"/>
        <v>1</v>
      </c>
    </row>
    <row r="1751" spans="4:11" ht="30.75" thickBot="1">
      <c r="D1751" s="8"/>
      <c r="E1751" s="15" t="s">
        <v>19</v>
      </c>
      <c r="F1751" s="15" t="s">
        <v>1</v>
      </c>
      <c r="G1751" s="17" t="s">
        <v>178</v>
      </c>
      <c r="H1751" s="17"/>
      <c r="I1751" s="1" t="str">
        <f t="shared" si="83"/>
        <v/>
      </c>
      <c r="J1751" s="1" t="str">
        <f t="shared" si="81"/>
        <v/>
      </c>
      <c r="K1751" s="1" t="str">
        <f t="shared" si="82"/>
        <v/>
      </c>
    </row>
    <row r="1752" spans="4:11" ht="18" customHeight="1">
      <c r="D1752" s="6" t="s">
        <v>167</v>
      </c>
      <c r="E1752" s="7"/>
      <c r="F1752" s="7"/>
      <c r="G1752" s="17" t="s">
        <v>182</v>
      </c>
      <c r="H1752" s="17">
        <v>4</v>
      </c>
      <c r="I1752" s="1">
        <f t="shared" si="83"/>
        <v>-1</v>
      </c>
      <c r="J1752" s="1">
        <f t="shared" si="81"/>
        <v>0</v>
      </c>
      <c r="K1752" s="1">
        <f t="shared" si="82"/>
        <v>1</v>
      </c>
    </row>
    <row r="1753" spans="4:11" ht="15.75" thickBot="1">
      <c r="D1753" s="8"/>
      <c r="E1753" s="15" t="s">
        <v>25</v>
      </c>
      <c r="F1753" s="15" t="s">
        <v>0</v>
      </c>
      <c r="G1753" s="17" t="s">
        <v>178</v>
      </c>
      <c r="H1753" s="17"/>
      <c r="I1753" s="1" t="str">
        <f t="shared" si="83"/>
        <v/>
      </c>
      <c r="J1753" s="1" t="str">
        <f t="shared" si="81"/>
        <v/>
      </c>
      <c r="K1753" s="1" t="str">
        <f t="shared" si="82"/>
        <v/>
      </c>
    </row>
    <row r="1754" spans="4:11" ht="15" customHeight="1">
      <c r="D1754" s="6" t="s">
        <v>167</v>
      </c>
      <c r="E1754" s="7"/>
      <c r="F1754" s="7"/>
      <c r="G1754" s="17" t="s">
        <v>181</v>
      </c>
      <c r="H1754" s="17">
        <v>3</v>
      </c>
      <c r="I1754" s="1">
        <f t="shared" si="83"/>
        <v>-2</v>
      </c>
      <c r="J1754" s="1">
        <f t="shared" si="81"/>
        <v>0</v>
      </c>
      <c r="K1754" s="1">
        <f t="shared" si="82"/>
        <v>4</v>
      </c>
    </row>
    <row r="1755" spans="4:11" ht="15.75" thickBot="1">
      <c r="D1755" s="8"/>
      <c r="E1755" s="15" t="s">
        <v>7</v>
      </c>
      <c r="F1755" s="15" t="s">
        <v>230</v>
      </c>
      <c r="G1755" s="17" t="s">
        <v>178</v>
      </c>
      <c r="H1755" s="17"/>
      <c r="I1755" s="1" t="str">
        <f t="shared" si="83"/>
        <v/>
      </c>
      <c r="J1755" s="1" t="str">
        <f t="shared" si="81"/>
        <v/>
      </c>
      <c r="K1755" s="1" t="str">
        <f t="shared" si="82"/>
        <v/>
      </c>
    </row>
    <row r="1756" spans="4:11" ht="18" customHeight="1">
      <c r="D1756" s="6" t="s">
        <v>167</v>
      </c>
      <c r="E1756" s="7"/>
      <c r="F1756" s="7"/>
      <c r="G1756" s="17" t="s">
        <v>181</v>
      </c>
      <c r="H1756" s="17">
        <v>4</v>
      </c>
      <c r="I1756" s="1">
        <f t="shared" si="83"/>
        <v>-3</v>
      </c>
      <c r="J1756" s="1">
        <f t="shared" si="81"/>
        <v>0</v>
      </c>
      <c r="K1756" s="1">
        <f t="shared" si="82"/>
        <v>9</v>
      </c>
    </row>
    <row r="1757" spans="4:11" ht="15.75" thickBot="1">
      <c r="D1757" s="8"/>
      <c r="E1757" s="15" t="s">
        <v>14</v>
      </c>
      <c r="F1757" s="15" t="s">
        <v>18</v>
      </c>
      <c r="G1757" s="17" t="s">
        <v>178</v>
      </c>
      <c r="H1757" s="17"/>
      <c r="I1757" s="1" t="str">
        <f t="shared" si="83"/>
        <v/>
      </c>
      <c r="J1757" s="1" t="str">
        <f t="shared" si="81"/>
        <v/>
      </c>
      <c r="K1757" s="1" t="str">
        <f t="shared" si="82"/>
        <v/>
      </c>
    </row>
    <row r="1758" spans="4:11" ht="15" customHeight="1">
      <c r="D1758" s="6" t="s">
        <v>167</v>
      </c>
      <c r="E1758" s="7"/>
      <c r="F1758" s="7"/>
      <c r="G1758" s="17" t="s">
        <v>181</v>
      </c>
      <c r="H1758" s="17">
        <v>3</v>
      </c>
      <c r="I1758" s="1">
        <f t="shared" si="83"/>
        <v>-2</v>
      </c>
      <c r="J1758" s="1">
        <f t="shared" si="81"/>
        <v>0</v>
      </c>
      <c r="K1758" s="1">
        <f t="shared" si="82"/>
        <v>4</v>
      </c>
    </row>
    <row r="1759" spans="4:11" ht="15.75" thickBot="1">
      <c r="D1759" s="8"/>
      <c r="E1759" s="15" t="s">
        <v>28</v>
      </c>
      <c r="F1759" s="15" t="s">
        <v>36</v>
      </c>
      <c r="G1759" s="17" t="s">
        <v>178</v>
      </c>
      <c r="H1759" s="17"/>
      <c r="I1759" s="1" t="str">
        <f t="shared" si="83"/>
        <v/>
      </c>
      <c r="J1759" s="1" t="str">
        <f t="shared" si="81"/>
        <v/>
      </c>
      <c r="K1759" s="1" t="str">
        <f t="shared" si="82"/>
        <v/>
      </c>
    </row>
    <row r="1760" spans="4:11" ht="15" customHeight="1">
      <c r="D1760" s="6" t="s">
        <v>167</v>
      </c>
      <c r="E1760" s="7"/>
      <c r="F1760" s="7"/>
      <c r="G1760" s="17" t="s">
        <v>180</v>
      </c>
      <c r="H1760" s="17">
        <v>1</v>
      </c>
      <c r="I1760" s="1">
        <f t="shared" si="83"/>
        <v>1</v>
      </c>
      <c r="J1760" s="1">
        <f t="shared" si="81"/>
        <v>0</v>
      </c>
      <c r="K1760" s="1">
        <f t="shared" si="82"/>
        <v>1</v>
      </c>
    </row>
    <row r="1761" spans="4:11" ht="15.75" thickBot="1">
      <c r="D1761" s="8"/>
      <c r="E1761" s="15" t="s">
        <v>10</v>
      </c>
      <c r="F1761" s="15" t="s">
        <v>24</v>
      </c>
      <c r="G1761" s="17" t="s">
        <v>178</v>
      </c>
      <c r="H1761" s="17"/>
      <c r="I1761" s="1" t="str">
        <f t="shared" si="83"/>
        <v/>
      </c>
      <c r="J1761" s="1" t="str">
        <f t="shared" si="81"/>
        <v/>
      </c>
      <c r="K1761" s="1" t="str">
        <f t="shared" si="82"/>
        <v/>
      </c>
    </row>
    <row r="1762" spans="4:11" ht="15" customHeight="1">
      <c r="D1762" s="6" t="s">
        <v>167</v>
      </c>
      <c r="E1762" s="7"/>
      <c r="F1762" s="7"/>
      <c r="G1762" s="17" t="s">
        <v>184</v>
      </c>
      <c r="H1762" s="17">
        <v>2</v>
      </c>
      <c r="I1762" s="1">
        <f t="shared" si="83"/>
        <v>2</v>
      </c>
      <c r="J1762" s="1">
        <f t="shared" si="81"/>
        <v>0</v>
      </c>
      <c r="K1762" s="1">
        <f t="shared" si="82"/>
        <v>4</v>
      </c>
    </row>
    <row r="1763" spans="4:11" ht="15.75" thickBot="1">
      <c r="D1763" s="8"/>
      <c r="E1763" s="15" t="s">
        <v>11</v>
      </c>
      <c r="F1763" s="15" t="s">
        <v>39</v>
      </c>
      <c r="G1763" s="17" t="s">
        <v>178</v>
      </c>
      <c r="H1763" s="17"/>
      <c r="I1763" s="1" t="str">
        <f t="shared" si="83"/>
        <v/>
      </c>
      <c r="J1763" s="1" t="str">
        <f t="shared" si="81"/>
        <v/>
      </c>
      <c r="K1763" s="1" t="str">
        <f t="shared" si="82"/>
        <v/>
      </c>
    </row>
    <row r="1764" spans="4:11" ht="18" customHeight="1">
      <c r="D1764" s="6" t="s">
        <v>167</v>
      </c>
      <c r="E1764" s="7"/>
      <c r="F1764" s="7"/>
      <c r="G1764" s="17" t="s">
        <v>186</v>
      </c>
      <c r="H1764" s="17">
        <v>6</v>
      </c>
      <c r="I1764" s="1">
        <f t="shared" si="83"/>
        <v>1</v>
      </c>
      <c r="J1764" s="1">
        <f t="shared" si="81"/>
        <v>0</v>
      </c>
      <c r="K1764" s="1">
        <f t="shared" si="82"/>
        <v>1</v>
      </c>
    </row>
    <row r="1765" spans="4:11" ht="15.75" thickBot="1">
      <c r="D1765" s="8"/>
      <c r="E1765" s="15" t="s">
        <v>13</v>
      </c>
      <c r="F1765" s="15" t="s">
        <v>21</v>
      </c>
      <c r="G1765" s="17" t="s">
        <v>178</v>
      </c>
      <c r="H1765" s="17"/>
      <c r="I1765" s="1" t="str">
        <f t="shared" si="83"/>
        <v/>
      </c>
      <c r="J1765" s="1" t="str">
        <f t="shared" si="81"/>
        <v/>
      </c>
      <c r="K1765" s="1" t="str">
        <f t="shared" si="82"/>
        <v/>
      </c>
    </row>
    <row r="1766" spans="4:11" ht="15" customHeight="1">
      <c r="D1766" s="6" t="s">
        <v>167</v>
      </c>
      <c r="E1766" s="7"/>
      <c r="F1766" s="7"/>
      <c r="G1766" s="17" t="s">
        <v>184</v>
      </c>
      <c r="H1766" s="17">
        <v>2</v>
      </c>
      <c r="I1766" s="1">
        <f t="shared" si="83"/>
        <v>2</v>
      </c>
      <c r="J1766" s="1">
        <f t="shared" si="81"/>
        <v>0</v>
      </c>
      <c r="K1766" s="1">
        <f t="shared" si="82"/>
        <v>4</v>
      </c>
    </row>
    <row r="1767" spans="4:11" ht="15.75" thickBot="1">
      <c r="D1767" s="8"/>
      <c r="E1767" s="15" t="s">
        <v>37</v>
      </c>
      <c r="F1767" s="15" t="s">
        <v>26</v>
      </c>
      <c r="G1767" s="17" t="s">
        <v>178</v>
      </c>
      <c r="H1767" s="17"/>
      <c r="I1767" s="1" t="str">
        <f t="shared" si="83"/>
        <v/>
      </c>
      <c r="J1767" s="1" t="str">
        <f t="shared" si="81"/>
        <v/>
      </c>
      <c r="K1767" s="1" t="str">
        <f t="shared" si="82"/>
        <v/>
      </c>
    </row>
    <row r="1768" spans="4:11" ht="15" customHeight="1">
      <c r="D1768" s="6" t="s">
        <v>167</v>
      </c>
      <c r="E1768" s="7"/>
      <c r="F1768" s="7"/>
      <c r="G1768" s="17" t="s">
        <v>180</v>
      </c>
      <c r="H1768" s="17">
        <v>1</v>
      </c>
      <c r="I1768" s="1">
        <f t="shared" si="83"/>
        <v>1</v>
      </c>
      <c r="J1768" s="1">
        <f t="shared" si="81"/>
        <v>0</v>
      </c>
      <c r="K1768" s="1">
        <f t="shared" si="82"/>
        <v>1</v>
      </c>
    </row>
    <row r="1769" spans="4:11" ht="15.75" thickBot="1">
      <c r="D1769" s="13"/>
      <c r="E1769" s="15" t="s">
        <v>34</v>
      </c>
      <c r="F1769" s="15" t="s">
        <v>33</v>
      </c>
      <c r="G1769" s="17" t="s">
        <v>178</v>
      </c>
      <c r="H1769" s="17"/>
      <c r="I1769" s="1" t="str">
        <f t="shared" si="83"/>
        <v/>
      </c>
      <c r="J1769" s="1" t="str">
        <f t="shared" si="81"/>
        <v/>
      </c>
      <c r="K1769" s="1" t="str">
        <f t="shared" si="82"/>
        <v/>
      </c>
    </row>
    <row r="1770" spans="4:11" ht="15" customHeight="1">
      <c r="D1770" s="14" t="s">
        <v>168</v>
      </c>
      <c r="E1770" s="7"/>
      <c r="F1770" s="7"/>
      <c r="G1770" s="17" t="s">
        <v>180</v>
      </c>
      <c r="H1770" s="17">
        <v>3</v>
      </c>
      <c r="I1770" s="1">
        <f t="shared" si="83"/>
        <v>-1</v>
      </c>
      <c r="J1770" s="1">
        <f t="shared" si="81"/>
        <v>0</v>
      </c>
      <c r="K1770" s="1">
        <f t="shared" si="82"/>
        <v>1</v>
      </c>
    </row>
    <row r="1771" spans="4:11" ht="30.75" thickBot="1">
      <c r="D1771" s="8"/>
      <c r="E1771" s="15" t="s">
        <v>12</v>
      </c>
      <c r="F1771" s="15" t="s">
        <v>1</v>
      </c>
      <c r="G1771" s="17" t="s">
        <v>178</v>
      </c>
      <c r="H1771" s="17"/>
      <c r="I1771" s="1" t="str">
        <f t="shared" si="83"/>
        <v/>
      </c>
      <c r="J1771" s="1" t="str">
        <f t="shared" si="81"/>
        <v/>
      </c>
      <c r="K1771" s="1" t="str">
        <f t="shared" si="82"/>
        <v/>
      </c>
    </row>
    <row r="1772" spans="4:11" ht="15" customHeight="1">
      <c r="D1772" s="6" t="s">
        <v>168</v>
      </c>
      <c r="E1772" s="7"/>
      <c r="F1772" s="7"/>
      <c r="G1772" s="17" t="s">
        <v>183</v>
      </c>
      <c r="H1772" s="17">
        <v>2</v>
      </c>
      <c r="I1772" s="1">
        <f t="shared" si="83"/>
        <v>4</v>
      </c>
      <c r="J1772" s="1">
        <f t="shared" si="81"/>
        <v>0</v>
      </c>
      <c r="K1772" s="1">
        <f t="shared" si="82"/>
        <v>16</v>
      </c>
    </row>
    <row r="1773" spans="4:11" ht="15.75" thickBot="1">
      <c r="D1773" s="8"/>
      <c r="E1773" s="15" t="s">
        <v>2</v>
      </c>
      <c r="F1773" s="15" t="s">
        <v>20</v>
      </c>
      <c r="G1773" s="17" t="s">
        <v>178</v>
      </c>
      <c r="H1773" s="17"/>
      <c r="I1773" s="1" t="str">
        <f t="shared" si="83"/>
        <v/>
      </c>
      <c r="J1773" s="1" t="str">
        <f t="shared" si="81"/>
        <v/>
      </c>
      <c r="K1773" s="1" t="str">
        <f t="shared" si="82"/>
        <v/>
      </c>
    </row>
    <row r="1774" spans="4:11" ht="18" customHeight="1">
      <c r="D1774" s="6" t="s">
        <v>168</v>
      </c>
      <c r="E1774" s="7"/>
      <c r="F1774" s="7"/>
      <c r="G1774" s="17" t="s">
        <v>180</v>
      </c>
      <c r="H1774" s="17">
        <v>1</v>
      </c>
      <c r="I1774" s="1">
        <f t="shared" si="83"/>
        <v>1</v>
      </c>
      <c r="J1774" s="1">
        <f t="shared" si="81"/>
        <v>2550</v>
      </c>
      <c r="K1774" s="1">
        <f t="shared" si="82"/>
        <v>6497401</v>
      </c>
    </row>
    <row r="1775" spans="4:11" ht="15.75" thickBot="1">
      <c r="D1775" s="8"/>
      <c r="E1775" s="15" t="s">
        <v>19</v>
      </c>
      <c r="F1775" s="15" t="s">
        <v>8</v>
      </c>
      <c r="G1775" s="17" t="s">
        <v>178</v>
      </c>
      <c r="H1775" s="17"/>
      <c r="I1775" s="1" t="str">
        <f t="shared" si="83"/>
        <v/>
      </c>
      <c r="J1775" s="1" t="str">
        <f t="shared" si="81"/>
        <v/>
      </c>
      <c r="K1775" s="1" t="str">
        <f t="shared" si="82"/>
        <v/>
      </c>
    </row>
    <row r="1776" spans="4:11" ht="15" customHeight="1">
      <c r="D1776" s="6" t="s">
        <v>168</v>
      </c>
      <c r="E1776" s="7"/>
      <c r="F1776" s="7"/>
      <c r="G1776" s="17" t="s">
        <v>184</v>
      </c>
      <c r="H1776" s="17">
        <v>0</v>
      </c>
      <c r="I1776" s="1">
        <f t="shared" si="83"/>
        <v>4</v>
      </c>
      <c r="J1776" s="1">
        <f t="shared" si="81"/>
        <v>0</v>
      </c>
      <c r="K1776" s="1">
        <f t="shared" si="82"/>
        <v>16</v>
      </c>
    </row>
    <row r="1777" spans="4:11" ht="15.75" thickBot="1">
      <c r="D1777" s="8"/>
      <c r="E1777" s="15" t="s">
        <v>3</v>
      </c>
      <c r="F1777" s="15" t="s">
        <v>41</v>
      </c>
      <c r="G1777" s="17" t="s">
        <v>178</v>
      </c>
      <c r="H1777" s="17"/>
      <c r="I1777" s="1" t="str">
        <f t="shared" si="83"/>
        <v/>
      </c>
      <c r="J1777" s="1" t="str">
        <f t="shared" si="81"/>
        <v/>
      </c>
      <c r="K1777" s="1" t="str">
        <f t="shared" si="82"/>
        <v/>
      </c>
    </row>
    <row r="1778" spans="4:11" ht="15" customHeight="1">
      <c r="D1778" s="6" t="s">
        <v>168</v>
      </c>
      <c r="E1778" s="7"/>
      <c r="F1778" s="7"/>
      <c r="G1778" s="17" t="s">
        <v>181</v>
      </c>
      <c r="H1778" s="17">
        <v>5</v>
      </c>
      <c r="I1778" s="1">
        <f t="shared" si="83"/>
        <v>-4</v>
      </c>
      <c r="J1778" s="1">
        <f t="shared" si="81"/>
        <v>0</v>
      </c>
      <c r="K1778" s="1">
        <f t="shared" si="82"/>
        <v>16</v>
      </c>
    </row>
    <row r="1779" spans="4:11" ht="15.75" thickBot="1">
      <c r="D1779" s="8"/>
      <c r="E1779" s="15" t="s">
        <v>14</v>
      </c>
      <c r="F1779" s="15" t="s">
        <v>11</v>
      </c>
      <c r="G1779" s="17" t="s">
        <v>178</v>
      </c>
      <c r="H1779" s="17"/>
      <c r="I1779" s="1" t="str">
        <f t="shared" si="83"/>
        <v/>
      </c>
      <c r="J1779" s="1" t="str">
        <f t="shared" si="81"/>
        <v/>
      </c>
      <c r="K1779" s="1" t="str">
        <f t="shared" si="82"/>
        <v/>
      </c>
    </row>
    <row r="1780" spans="4:11" ht="15" customHeight="1">
      <c r="D1780" s="6" t="s">
        <v>168</v>
      </c>
      <c r="E1780" s="7"/>
      <c r="F1780" s="7"/>
      <c r="G1780" s="17" t="s">
        <v>184</v>
      </c>
      <c r="H1780" s="17">
        <v>5</v>
      </c>
      <c r="I1780" s="1">
        <f t="shared" si="83"/>
        <v>-1</v>
      </c>
      <c r="J1780" s="1">
        <f t="shared" si="81"/>
        <v>0</v>
      </c>
      <c r="K1780" s="1">
        <f t="shared" si="82"/>
        <v>1</v>
      </c>
    </row>
    <row r="1781" spans="4:11" ht="15.75" thickBot="1">
      <c r="D1781" s="8"/>
      <c r="E1781" s="15" t="s">
        <v>37</v>
      </c>
      <c r="F1781" s="15" t="s">
        <v>22</v>
      </c>
      <c r="G1781" s="17" t="s">
        <v>178</v>
      </c>
      <c r="H1781" s="17"/>
      <c r="I1781" s="1" t="str">
        <f t="shared" si="83"/>
        <v/>
      </c>
      <c r="J1781" s="1" t="str">
        <f t="shared" si="81"/>
        <v/>
      </c>
      <c r="K1781" s="1" t="str">
        <f t="shared" si="82"/>
        <v/>
      </c>
    </row>
    <row r="1782" spans="4:11" ht="15" customHeight="1">
      <c r="D1782" s="6" t="s">
        <v>168</v>
      </c>
      <c r="E1782" s="7"/>
      <c r="F1782" s="7"/>
      <c r="G1782" s="17" t="s">
        <v>182</v>
      </c>
      <c r="H1782" s="17">
        <v>4</v>
      </c>
      <c r="I1782" s="1">
        <f t="shared" si="83"/>
        <v>-1</v>
      </c>
      <c r="J1782" s="1">
        <f t="shared" si="81"/>
        <v>0</v>
      </c>
      <c r="K1782" s="1">
        <f t="shared" si="82"/>
        <v>1</v>
      </c>
    </row>
    <row r="1783" spans="4:11" ht="15.75" thickBot="1">
      <c r="D1783" s="8"/>
      <c r="E1783" s="15" t="s">
        <v>7</v>
      </c>
      <c r="F1783" s="15" t="s">
        <v>38</v>
      </c>
      <c r="G1783" s="17" t="s">
        <v>178</v>
      </c>
      <c r="H1783" s="17"/>
      <c r="I1783" s="1" t="str">
        <f t="shared" si="83"/>
        <v/>
      </c>
      <c r="J1783" s="1" t="str">
        <f t="shared" si="81"/>
        <v/>
      </c>
      <c r="K1783" s="1" t="str">
        <f t="shared" si="82"/>
        <v/>
      </c>
    </row>
    <row r="1784" spans="4:11" ht="15" customHeight="1">
      <c r="D1784" s="6" t="s">
        <v>168</v>
      </c>
      <c r="E1784" s="7"/>
      <c r="F1784" s="7"/>
      <c r="G1784" s="17" t="s">
        <v>180</v>
      </c>
      <c r="H1784" s="17">
        <v>6</v>
      </c>
      <c r="I1784" s="1">
        <f t="shared" si="83"/>
        <v>-4</v>
      </c>
      <c r="J1784" s="1">
        <f t="shared" si="81"/>
        <v>0</v>
      </c>
      <c r="K1784" s="1">
        <f t="shared" si="82"/>
        <v>16</v>
      </c>
    </row>
    <row r="1785" spans="4:11" ht="15.75" thickBot="1">
      <c r="D1785" s="8"/>
      <c r="E1785" s="15" t="s">
        <v>21</v>
      </c>
      <c r="F1785" s="15" t="s">
        <v>23</v>
      </c>
      <c r="G1785" s="17" t="s">
        <v>178</v>
      </c>
      <c r="H1785" s="17"/>
      <c r="I1785" s="1" t="str">
        <f t="shared" si="83"/>
        <v/>
      </c>
      <c r="J1785" s="1" t="str">
        <f t="shared" si="81"/>
        <v/>
      </c>
      <c r="K1785" s="1" t="str">
        <f t="shared" si="82"/>
        <v/>
      </c>
    </row>
    <row r="1786" spans="4:11" ht="15" customHeight="1">
      <c r="D1786" s="6" t="s">
        <v>169</v>
      </c>
      <c r="E1786" s="7"/>
      <c r="F1786" s="7"/>
      <c r="G1786" s="17" t="s">
        <v>179</v>
      </c>
      <c r="H1786" s="17">
        <v>3</v>
      </c>
      <c r="I1786" s="1">
        <f t="shared" si="83"/>
        <v>-3</v>
      </c>
      <c r="J1786" s="1">
        <f t="shared" si="81"/>
        <v>0</v>
      </c>
      <c r="K1786" s="1">
        <f t="shared" si="82"/>
        <v>9</v>
      </c>
    </row>
    <row r="1787" spans="4:11" ht="15.75" thickBot="1">
      <c r="D1787" s="8"/>
      <c r="E1787" s="15" t="s">
        <v>26</v>
      </c>
      <c r="F1787" s="15" t="s">
        <v>36</v>
      </c>
      <c r="G1787" s="17" t="s">
        <v>178</v>
      </c>
      <c r="H1787" s="17"/>
      <c r="I1787" s="1" t="str">
        <f t="shared" si="83"/>
        <v/>
      </c>
      <c r="J1787" s="1" t="str">
        <f t="shared" si="81"/>
        <v/>
      </c>
      <c r="K1787" s="1" t="str">
        <f t="shared" si="82"/>
        <v/>
      </c>
    </row>
    <row r="1788" spans="4:11" ht="18" customHeight="1">
      <c r="D1788" s="6" t="s">
        <v>169</v>
      </c>
      <c r="E1788" s="7"/>
      <c r="F1788" s="7"/>
      <c r="G1788" s="17" t="s">
        <v>182</v>
      </c>
      <c r="H1788" s="17">
        <v>4</v>
      </c>
      <c r="I1788" s="1">
        <f t="shared" si="83"/>
        <v>-1</v>
      </c>
      <c r="J1788" s="1">
        <f t="shared" si="81"/>
        <v>0</v>
      </c>
      <c r="K1788" s="1">
        <f t="shared" si="82"/>
        <v>1</v>
      </c>
    </row>
    <row r="1789" spans="4:11" ht="15.75" thickBot="1">
      <c r="D1789" s="8"/>
      <c r="E1789" s="15" t="s">
        <v>13</v>
      </c>
      <c r="F1789" s="15" t="s">
        <v>10</v>
      </c>
      <c r="G1789" s="17" t="s">
        <v>178</v>
      </c>
      <c r="H1789" s="17"/>
      <c r="I1789" s="1" t="str">
        <f t="shared" si="83"/>
        <v/>
      </c>
      <c r="J1789" s="1" t="str">
        <f t="shared" si="81"/>
        <v/>
      </c>
      <c r="K1789" s="1" t="str">
        <f t="shared" si="82"/>
        <v/>
      </c>
    </row>
    <row r="1790" spans="4:11" ht="15" customHeight="1">
      <c r="D1790" s="6" t="s">
        <v>170</v>
      </c>
      <c r="E1790" s="7"/>
      <c r="F1790" s="7"/>
      <c r="G1790" s="17" t="s">
        <v>180</v>
      </c>
      <c r="H1790" s="17">
        <v>1</v>
      </c>
      <c r="I1790" s="1">
        <f t="shared" si="83"/>
        <v>1</v>
      </c>
      <c r="J1790" s="1">
        <f t="shared" si="81"/>
        <v>0</v>
      </c>
      <c r="K1790" s="1">
        <f t="shared" si="82"/>
        <v>1</v>
      </c>
    </row>
    <row r="1791" spans="4:11" ht="15.75" thickBot="1">
      <c r="D1791" s="8"/>
      <c r="E1791" s="15" t="s">
        <v>3</v>
      </c>
      <c r="F1791" s="15" t="s">
        <v>2</v>
      </c>
      <c r="G1791" s="17" t="s">
        <v>178</v>
      </c>
      <c r="H1791" s="17"/>
      <c r="I1791" s="1" t="str">
        <f t="shared" si="83"/>
        <v/>
      </c>
      <c r="J1791" s="1" t="str">
        <f t="shared" si="81"/>
        <v/>
      </c>
      <c r="K1791" s="1" t="str">
        <f t="shared" si="82"/>
        <v/>
      </c>
    </row>
    <row r="1792" spans="4:11" ht="15" customHeight="1">
      <c r="D1792" s="6" t="s">
        <v>170</v>
      </c>
      <c r="E1792" s="7"/>
      <c r="F1792" s="7"/>
      <c r="G1792" s="17" t="s">
        <v>181</v>
      </c>
      <c r="H1792" s="17">
        <v>5</v>
      </c>
      <c r="I1792" s="1">
        <f t="shared" si="83"/>
        <v>-4</v>
      </c>
      <c r="J1792" s="1">
        <f t="shared" si="81"/>
        <v>0</v>
      </c>
      <c r="K1792" s="1">
        <f t="shared" si="82"/>
        <v>16</v>
      </c>
    </row>
    <row r="1793" spans="4:11" ht="15.75" thickBot="1">
      <c r="D1793" s="8"/>
      <c r="E1793" s="15" t="s">
        <v>26</v>
      </c>
      <c r="F1793" s="15" t="s">
        <v>41</v>
      </c>
      <c r="G1793" s="17" t="s">
        <v>178</v>
      </c>
      <c r="H1793" s="17"/>
      <c r="I1793" s="1" t="str">
        <f t="shared" si="83"/>
        <v/>
      </c>
      <c r="J1793" s="1" t="str">
        <f t="shared" si="81"/>
        <v/>
      </c>
      <c r="K1793" s="1" t="str">
        <f t="shared" si="82"/>
        <v/>
      </c>
    </row>
    <row r="1794" spans="4:11" ht="15" customHeight="1">
      <c r="D1794" s="6" t="s">
        <v>170</v>
      </c>
      <c r="E1794" s="7"/>
      <c r="F1794" s="7"/>
      <c r="G1794" s="17" t="s">
        <v>179</v>
      </c>
      <c r="H1794" s="17">
        <v>1</v>
      </c>
      <c r="I1794" s="1">
        <f t="shared" si="83"/>
        <v>-1</v>
      </c>
      <c r="J1794" s="1">
        <f t="shared" si="81"/>
        <v>0</v>
      </c>
      <c r="K1794" s="1">
        <f t="shared" si="82"/>
        <v>1</v>
      </c>
    </row>
    <row r="1795" spans="4:11" ht="15.75" thickBot="1">
      <c r="D1795" s="8"/>
      <c r="E1795" s="15" t="s">
        <v>4</v>
      </c>
      <c r="F1795" s="15" t="s">
        <v>38</v>
      </c>
      <c r="G1795" s="17" t="s">
        <v>178</v>
      </c>
      <c r="H1795" s="17"/>
      <c r="I1795" s="1" t="str">
        <f t="shared" si="83"/>
        <v/>
      </c>
      <c r="J1795" s="1" t="str">
        <f t="shared" ref="J1795:J1858" si="84">IF(F1796="","",VLOOKUP(F1796,$A$2:$B$31,2)+$B$33-VLOOKUP(E1796,$A$2:$B$31,2))</f>
        <v/>
      </c>
      <c r="K1795" s="1" t="str">
        <f t="shared" ref="K1795:K1858" si="85">IF(G1795="","",(I1795-J1795)^2)</f>
        <v/>
      </c>
    </row>
    <row r="1796" spans="4:11" ht="15" customHeight="1">
      <c r="D1796" s="6" t="s">
        <v>170</v>
      </c>
      <c r="E1796" s="7"/>
      <c r="F1796" s="7"/>
      <c r="G1796" s="17" t="s">
        <v>181</v>
      </c>
      <c r="H1796" s="17">
        <v>4</v>
      </c>
      <c r="I1796" s="1">
        <f t="shared" ref="I1796:I1859" si="86">IF(G1796="","",G1796-H1796)</f>
        <v>-3</v>
      </c>
      <c r="J1796" s="1">
        <f t="shared" si="84"/>
        <v>0</v>
      </c>
      <c r="K1796" s="1">
        <f t="shared" si="85"/>
        <v>9</v>
      </c>
    </row>
    <row r="1797" spans="4:11" ht="15.75" thickBot="1">
      <c r="D1797" s="8"/>
      <c r="E1797" s="15" t="s">
        <v>1</v>
      </c>
      <c r="F1797" s="15" t="s">
        <v>28</v>
      </c>
      <c r="G1797" s="17" t="s">
        <v>178</v>
      </c>
      <c r="H1797" s="17"/>
      <c r="I1797" s="1" t="str">
        <f t="shared" si="86"/>
        <v/>
      </c>
      <c r="J1797" s="1" t="str">
        <f t="shared" si="84"/>
        <v/>
      </c>
      <c r="K1797" s="1" t="str">
        <f t="shared" si="85"/>
        <v/>
      </c>
    </row>
    <row r="1798" spans="4:11" ht="15" customHeight="1">
      <c r="D1798" s="6" t="s">
        <v>170</v>
      </c>
      <c r="E1798" s="7"/>
      <c r="F1798" s="7"/>
      <c r="G1798" s="17" t="s">
        <v>184</v>
      </c>
      <c r="H1798" s="17">
        <v>2</v>
      </c>
      <c r="I1798" s="1">
        <f t="shared" si="86"/>
        <v>2</v>
      </c>
      <c r="J1798" s="1">
        <f t="shared" si="84"/>
        <v>-2550</v>
      </c>
      <c r="K1798" s="1">
        <f t="shared" si="85"/>
        <v>6512704</v>
      </c>
    </row>
    <row r="1799" spans="4:11" ht="15.75" thickBot="1">
      <c r="D1799" s="8"/>
      <c r="E1799" s="15" t="s">
        <v>8</v>
      </c>
      <c r="F1799" s="15" t="s">
        <v>7</v>
      </c>
      <c r="G1799" s="17" t="s">
        <v>178</v>
      </c>
      <c r="H1799" s="17"/>
      <c r="I1799" s="1" t="str">
        <f t="shared" si="86"/>
        <v/>
      </c>
      <c r="J1799" s="1" t="str">
        <f t="shared" si="84"/>
        <v/>
      </c>
      <c r="K1799" s="1" t="str">
        <f t="shared" si="85"/>
        <v/>
      </c>
    </row>
    <row r="1800" spans="4:11" ht="18" customHeight="1">
      <c r="D1800" s="6" t="s">
        <v>170</v>
      </c>
      <c r="E1800" s="7"/>
      <c r="F1800" s="7"/>
      <c r="G1800" s="17" t="s">
        <v>185</v>
      </c>
      <c r="H1800" s="17">
        <v>2</v>
      </c>
      <c r="I1800" s="1">
        <f t="shared" si="86"/>
        <v>3</v>
      </c>
      <c r="J1800" s="1">
        <f t="shared" si="84"/>
        <v>0</v>
      </c>
      <c r="K1800" s="1">
        <f t="shared" si="85"/>
        <v>9</v>
      </c>
    </row>
    <row r="1801" spans="4:11" ht="15.75" thickBot="1">
      <c r="D1801" s="8"/>
      <c r="E1801" s="15" t="s">
        <v>230</v>
      </c>
      <c r="F1801" s="15" t="s">
        <v>39</v>
      </c>
      <c r="G1801" s="17" t="s">
        <v>178</v>
      </c>
      <c r="H1801" s="17"/>
      <c r="I1801" s="1" t="str">
        <f t="shared" si="86"/>
        <v/>
      </c>
      <c r="J1801" s="1" t="str">
        <f t="shared" si="84"/>
        <v/>
      </c>
      <c r="K1801" s="1" t="str">
        <f t="shared" si="85"/>
        <v/>
      </c>
    </row>
    <row r="1802" spans="4:11" ht="15" customHeight="1">
      <c r="D1802" s="6" t="s">
        <v>170</v>
      </c>
      <c r="E1802" s="7"/>
      <c r="F1802" s="7"/>
      <c r="G1802" s="17" t="s">
        <v>180</v>
      </c>
      <c r="H1802" s="17">
        <v>5</v>
      </c>
      <c r="I1802" s="1">
        <f t="shared" si="86"/>
        <v>-3</v>
      </c>
      <c r="J1802" s="1">
        <f t="shared" si="84"/>
        <v>0</v>
      </c>
      <c r="K1802" s="1">
        <f t="shared" si="85"/>
        <v>9</v>
      </c>
    </row>
    <row r="1803" spans="4:11" ht="15.75" thickBot="1">
      <c r="D1803" s="8"/>
      <c r="E1803" s="15" t="s">
        <v>22</v>
      </c>
      <c r="F1803" s="15" t="s">
        <v>19</v>
      </c>
      <c r="G1803" s="17" t="s">
        <v>178</v>
      </c>
      <c r="H1803" s="17"/>
      <c r="I1803" s="1" t="str">
        <f t="shared" si="86"/>
        <v/>
      </c>
      <c r="J1803" s="1" t="str">
        <f t="shared" si="84"/>
        <v/>
      </c>
      <c r="K1803" s="1" t="str">
        <f t="shared" si="85"/>
        <v/>
      </c>
    </row>
    <row r="1804" spans="4:11" ht="15" customHeight="1">
      <c r="D1804" s="6" t="s">
        <v>170</v>
      </c>
      <c r="E1804" s="7"/>
      <c r="F1804" s="7"/>
      <c r="G1804" s="17" t="s">
        <v>180</v>
      </c>
      <c r="H1804" s="17">
        <v>1</v>
      </c>
      <c r="I1804" s="1">
        <f t="shared" si="86"/>
        <v>1</v>
      </c>
      <c r="J1804" s="1">
        <f t="shared" si="84"/>
        <v>0</v>
      </c>
      <c r="K1804" s="1">
        <f t="shared" si="85"/>
        <v>1</v>
      </c>
    </row>
    <row r="1805" spans="4:11" ht="15.75" thickBot="1">
      <c r="D1805" s="8"/>
      <c r="E1805" s="15" t="s">
        <v>24</v>
      </c>
      <c r="F1805" s="15" t="s">
        <v>23</v>
      </c>
      <c r="G1805" s="17" t="s">
        <v>178</v>
      </c>
      <c r="H1805" s="17"/>
      <c r="I1805" s="1" t="str">
        <f t="shared" si="86"/>
        <v/>
      </c>
      <c r="J1805" s="1" t="str">
        <f t="shared" si="84"/>
        <v/>
      </c>
      <c r="K1805" s="1" t="str">
        <f t="shared" si="85"/>
        <v/>
      </c>
    </row>
    <row r="1806" spans="4:11" ht="15" customHeight="1">
      <c r="D1806" s="6" t="s">
        <v>170</v>
      </c>
      <c r="E1806" s="7"/>
      <c r="F1806" s="7"/>
      <c r="G1806" s="17" t="s">
        <v>180</v>
      </c>
      <c r="H1806" s="17">
        <v>4</v>
      </c>
      <c r="I1806" s="1">
        <f t="shared" si="86"/>
        <v>-2</v>
      </c>
      <c r="J1806" s="1">
        <f t="shared" si="84"/>
        <v>0</v>
      </c>
      <c r="K1806" s="1">
        <f t="shared" si="85"/>
        <v>4</v>
      </c>
    </row>
    <row r="1807" spans="4:11" ht="15.75" thickBot="1">
      <c r="D1807" s="8"/>
      <c r="E1807" s="15" t="s">
        <v>21</v>
      </c>
      <c r="F1807" s="15" t="s">
        <v>25</v>
      </c>
      <c r="G1807" s="17" t="s">
        <v>178</v>
      </c>
      <c r="H1807" s="17"/>
      <c r="I1807" s="1" t="str">
        <f t="shared" si="86"/>
        <v/>
      </c>
      <c r="J1807" s="1" t="str">
        <f t="shared" si="84"/>
        <v/>
      </c>
      <c r="K1807" s="1" t="str">
        <f t="shared" si="85"/>
        <v/>
      </c>
    </row>
    <row r="1808" spans="4:11" ht="18" customHeight="1">
      <c r="D1808" s="6" t="s">
        <v>170</v>
      </c>
      <c r="E1808" s="7"/>
      <c r="F1808" s="7"/>
      <c r="G1808" s="17" t="s">
        <v>180</v>
      </c>
      <c r="H1808" s="17">
        <v>3</v>
      </c>
      <c r="I1808" s="1">
        <f t="shared" si="86"/>
        <v>-1</v>
      </c>
      <c r="J1808" s="1">
        <f t="shared" si="84"/>
        <v>0</v>
      </c>
      <c r="K1808" s="1">
        <f t="shared" si="85"/>
        <v>1</v>
      </c>
    </row>
    <row r="1809" spans="4:11" ht="15.75" thickBot="1">
      <c r="D1809" s="8"/>
      <c r="E1809" s="15" t="s">
        <v>14</v>
      </c>
      <c r="F1809" s="15" t="s">
        <v>20</v>
      </c>
      <c r="G1809" s="17" t="s">
        <v>178</v>
      </c>
      <c r="H1809" s="17"/>
      <c r="I1809" s="1" t="str">
        <f t="shared" si="86"/>
        <v/>
      </c>
      <c r="J1809" s="1" t="str">
        <f t="shared" si="84"/>
        <v/>
      </c>
      <c r="K1809" s="1" t="str">
        <f t="shared" si="85"/>
        <v/>
      </c>
    </row>
    <row r="1810" spans="4:11" ht="15" customHeight="1">
      <c r="D1810" s="6" t="s">
        <v>170</v>
      </c>
      <c r="E1810" s="7"/>
      <c r="F1810" s="7"/>
      <c r="G1810" s="17" t="s">
        <v>179</v>
      </c>
      <c r="H1810" s="17">
        <v>1</v>
      </c>
      <c r="I1810" s="1">
        <f t="shared" si="86"/>
        <v>-1</v>
      </c>
      <c r="J1810" s="1">
        <f t="shared" si="84"/>
        <v>0</v>
      </c>
      <c r="K1810" s="1">
        <f t="shared" si="85"/>
        <v>1</v>
      </c>
    </row>
    <row r="1811" spans="4:11" ht="15.75" thickBot="1">
      <c r="D1811" s="8"/>
      <c r="E1811" s="15" t="s">
        <v>13</v>
      </c>
      <c r="F1811" s="15" t="s">
        <v>34</v>
      </c>
      <c r="G1811" s="17" t="s">
        <v>178</v>
      </c>
      <c r="H1811" s="17"/>
      <c r="I1811" s="1" t="str">
        <f t="shared" si="86"/>
        <v/>
      </c>
      <c r="J1811" s="1" t="str">
        <f t="shared" si="84"/>
        <v/>
      </c>
      <c r="K1811" s="1" t="str">
        <f t="shared" si="85"/>
        <v/>
      </c>
    </row>
    <row r="1812" spans="4:11" ht="15" customHeight="1">
      <c r="D1812" s="6" t="s">
        <v>171</v>
      </c>
      <c r="E1812" s="7"/>
      <c r="F1812" s="7"/>
      <c r="G1812" s="17" t="s">
        <v>182</v>
      </c>
      <c r="H1812" s="17">
        <v>1</v>
      </c>
      <c r="I1812" s="1">
        <f t="shared" si="86"/>
        <v>2</v>
      </c>
      <c r="J1812" s="1">
        <f t="shared" si="84"/>
        <v>0</v>
      </c>
      <c r="K1812" s="1">
        <f t="shared" si="85"/>
        <v>4</v>
      </c>
    </row>
    <row r="1813" spans="4:11" ht="15.75" thickBot="1">
      <c r="D1813" s="8"/>
      <c r="E1813" s="15" t="s">
        <v>4</v>
      </c>
      <c r="F1813" s="15" t="s">
        <v>36</v>
      </c>
      <c r="G1813" s="17" t="s">
        <v>178</v>
      </c>
      <c r="H1813" s="17"/>
      <c r="I1813" s="1" t="str">
        <f t="shared" si="86"/>
        <v/>
      </c>
      <c r="J1813" s="1" t="str">
        <f t="shared" si="84"/>
        <v/>
      </c>
      <c r="K1813" s="1" t="str">
        <f t="shared" si="85"/>
        <v/>
      </c>
    </row>
    <row r="1814" spans="4:11" ht="15" customHeight="1">
      <c r="D1814" s="6" t="s">
        <v>171</v>
      </c>
      <c r="E1814" s="7"/>
      <c r="F1814" s="7"/>
      <c r="G1814" s="17" t="s">
        <v>184</v>
      </c>
      <c r="H1814" s="17">
        <v>3</v>
      </c>
      <c r="I1814" s="1">
        <f t="shared" si="86"/>
        <v>1</v>
      </c>
      <c r="J1814" s="1">
        <f t="shared" si="84"/>
        <v>0</v>
      </c>
      <c r="K1814" s="1">
        <f t="shared" si="85"/>
        <v>1</v>
      </c>
    </row>
    <row r="1815" spans="4:11" ht="30.75" thickBot="1">
      <c r="D1815" s="8"/>
      <c r="E1815" s="15" t="s">
        <v>11</v>
      </c>
      <c r="F1815" s="15" t="s">
        <v>12</v>
      </c>
      <c r="G1815" s="17" t="s">
        <v>178</v>
      </c>
      <c r="H1815" s="17"/>
      <c r="I1815" s="1" t="str">
        <f t="shared" si="86"/>
        <v/>
      </c>
      <c r="J1815" s="1" t="str">
        <f t="shared" si="84"/>
        <v/>
      </c>
      <c r="K1815" s="1" t="str">
        <f t="shared" si="85"/>
        <v/>
      </c>
    </row>
    <row r="1816" spans="4:11" ht="18" customHeight="1">
      <c r="D1816" s="6" t="s">
        <v>171</v>
      </c>
      <c r="E1816" s="7"/>
      <c r="F1816" s="7"/>
      <c r="G1816" s="17" t="s">
        <v>182</v>
      </c>
      <c r="H1816" s="17">
        <v>0</v>
      </c>
      <c r="I1816" s="1">
        <f t="shared" si="86"/>
        <v>3</v>
      </c>
      <c r="J1816" s="1">
        <f t="shared" si="84"/>
        <v>0</v>
      </c>
      <c r="K1816" s="1">
        <f t="shared" si="85"/>
        <v>9</v>
      </c>
    </row>
    <row r="1817" spans="4:11" ht="15.75" thickBot="1">
      <c r="D1817" s="8"/>
      <c r="E1817" s="15" t="s">
        <v>18</v>
      </c>
      <c r="F1817" s="15" t="s">
        <v>10</v>
      </c>
      <c r="G1817" s="17" t="s">
        <v>178</v>
      </c>
      <c r="H1817" s="17"/>
      <c r="I1817" s="1" t="str">
        <f t="shared" si="86"/>
        <v/>
      </c>
      <c r="J1817" s="1" t="str">
        <f t="shared" si="84"/>
        <v/>
      </c>
      <c r="K1817" s="1" t="str">
        <f t="shared" si="85"/>
        <v/>
      </c>
    </row>
    <row r="1818" spans="4:11" ht="15" customHeight="1">
      <c r="D1818" s="6" t="s">
        <v>172</v>
      </c>
      <c r="E1818" s="7"/>
      <c r="F1818" s="7"/>
      <c r="G1818" s="17" t="s">
        <v>182</v>
      </c>
      <c r="H1818" s="17">
        <v>6</v>
      </c>
      <c r="I1818" s="1">
        <f t="shared" si="86"/>
        <v>-3</v>
      </c>
      <c r="J1818" s="1">
        <f t="shared" si="84"/>
        <v>2550</v>
      </c>
      <c r="K1818" s="1">
        <f t="shared" si="85"/>
        <v>6517809</v>
      </c>
    </row>
    <row r="1819" spans="4:11" ht="15.75" thickBot="1">
      <c r="D1819" s="8"/>
      <c r="E1819" s="15" t="s">
        <v>3</v>
      </c>
      <c r="F1819" s="15" t="s">
        <v>8</v>
      </c>
      <c r="G1819" s="17" t="s">
        <v>178</v>
      </c>
      <c r="H1819" s="17"/>
      <c r="I1819" s="1" t="str">
        <f t="shared" si="86"/>
        <v/>
      </c>
      <c r="J1819" s="1" t="str">
        <f t="shared" si="84"/>
        <v/>
      </c>
      <c r="K1819" s="1" t="str">
        <f t="shared" si="85"/>
        <v/>
      </c>
    </row>
    <row r="1820" spans="4:11" ht="15" customHeight="1">
      <c r="D1820" s="6" t="s">
        <v>172</v>
      </c>
      <c r="E1820" s="7"/>
      <c r="F1820" s="7"/>
      <c r="G1820" s="17" t="s">
        <v>182</v>
      </c>
      <c r="H1820" s="17">
        <v>4</v>
      </c>
      <c r="I1820" s="1">
        <f t="shared" si="86"/>
        <v>-1</v>
      </c>
      <c r="J1820" s="1">
        <f t="shared" si="84"/>
        <v>0</v>
      </c>
      <c r="K1820" s="1">
        <f t="shared" si="85"/>
        <v>1</v>
      </c>
    </row>
    <row r="1821" spans="4:11" ht="15.75" thickBot="1">
      <c r="D1821" s="8"/>
      <c r="E1821" s="15" t="s">
        <v>26</v>
      </c>
      <c r="F1821" s="15" t="s">
        <v>38</v>
      </c>
      <c r="G1821" s="17" t="s">
        <v>178</v>
      </c>
      <c r="H1821" s="17"/>
      <c r="I1821" s="1" t="str">
        <f t="shared" si="86"/>
        <v/>
      </c>
      <c r="J1821" s="1" t="str">
        <f t="shared" si="84"/>
        <v/>
      </c>
      <c r="K1821" s="1" t="str">
        <f t="shared" si="85"/>
        <v/>
      </c>
    </row>
    <row r="1822" spans="4:11" ht="15" customHeight="1">
      <c r="D1822" s="6" t="s">
        <v>172</v>
      </c>
      <c r="E1822" s="7"/>
      <c r="F1822" s="7"/>
      <c r="G1822" s="17" t="s">
        <v>185</v>
      </c>
      <c r="H1822" s="17">
        <v>2</v>
      </c>
      <c r="I1822" s="1">
        <f t="shared" si="86"/>
        <v>3</v>
      </c>
      <c r="J1822" s="1">
        <f t="shared" si="84"/>
        <v>0</v>
      </c>
      <c r="K1822" s="1">
        <f t="shared" si="85"/>
        <v>9</v>
      </c>
    </row>
    <row r="1823" spans="4:11" ht="15.75" thickBot="1">
      <c r="D1823" s="8"/>
      <c r="E1823" s="15" t="s">
        <v>230</v>
      </c>
      <c r="F1823" s="15" t="s">
        <v>7</v>
      </c>
      <c r="G1823" s="17" t="s">
        <v>178</v>
      </c>
      <c r="H1823" s="17"/>
      <c r="I1823" s="1" t="str">
        <f t="shared" si="86"/>
        <v/>
      </c>
      <c r="J1823" s="1" t="str">
        <f t="shared" si="84"/>
        <v/>
      </c>
      <c r="K1823" s="1" t="str">
        <f t="shared" si="85"/>
        <v/>
      </c>
    </row>
    <row r="1824" spans="4:11" ht="15" customHeight="1">
      <c r="D1824" s="6" t="s">
        <v>172</v>
      </c>
      <c r="E1824" s="7"/>
      <c r="F1824" s="7"/>
      <c r="G1824" s="17" t="s">
        <v>180</v>
      </c>
      <c r="H1824" s="17">
        <v>3</v>
      </c>
      <c r="I1824" s="1">
        <f t="shared" si="86"/>
        <v>-1</v>
      </c>
      <c r="J1824" s="1">
        <f t="shared" si="84"/>
        <v>0</v>
      </c>
      <c r="K1824" s="1">
        <f t="shared" si="85"/>
        <v>1</v>
      </c>
    </row>
    <row r="1825" spans="4:11" ht="15.75" thickBot="1">
      <c r="D1825" s="8"/>
      <c r="E1825" s="15" t="s">
        <v>1</v>
      </c>
      <c r="F1825" s="15" t="s">
        <v>0</v>
      </c>
      <c r="G1825" s="17" t="s">
        <v>178</v>
      </c>
      <c r="H1825" s="17"/>
      <c r="I1825" s="1" t="str">
        <f t="shared" si="86"/>
        <v/>
      </c>
      <c r="J1825" s="1" t="str">
        <f t="shared" si="84"/>
        <v/>
      </c>
      <c r="K1825" s="1" t="str">
        <f t="shared" si="85"/>
        <v/>
      </c>
    </row>
    <row r="1826" spans="4:11" ht="18" customHeight="1">
      <c r="D1826" s="6" t="s">
        <v>172</v>
      </c>
      <c r="E1826" s="7"/>
      <c r="F1826" s="7"/>
      <c r="G1826" s="17" t="s">
        <v>182</v>
      </c>
      <c r="H1826" s="17">
        <v>0</v>
      </c>
      <c r="I1826" s="1">
        <f t="shared" si="86"/>
        <v>3</v>
      </c>
      <c r="J1826" s="1">
        <f t="shared" si="84"/>
        <v>0</v>
      </c>
      <c r="K1826" s="1">
        <f t="shared" si="85"/>
        <v>9</v>
      </c>
    </row>
    <row r="1827" spans="4:11" ht="15.75" thickBot="1">
      <c r="D1827" s="8"/>
      <c r="E1827" s="15" t="s">
        <v>20</v>
      </c>
      <c r="F1827" s="15" t="s">
        <v>14</v>
      </c>
      <c r="G1827" s="17" t="s">
        <v>178</v>
      </c>
      <c r="H1827" s="17"/>
      <c r="I1827" s="1" t="str">
        <f t="shared" si="86"/>
        <v/>
      </c>
      <c r="J1827" s="1" t="str">
        <f t="shared" si="84"/>
        <v/>
      </c>
      <c r="K1827" s="1" t="str">
        <f t="shared" si="85"/>
        <v/>
      </c>
    </row>
    <row r="1828" spans="4:11" ht="15" customHeight="1">
      <c r="D1828" s="6" t="s">
        <v>172</v>
      </c>
      <c r="E1828" s="7"/>
      <c r="F1828" s="7"/>
      <c r="G1828" s="17" t="s">
        <v>180</v>
      </c>
      <c r="H1828" s="17">
        <v>1</v>
      </c>
      <c r="I1828" s="1">
        <f t="shared" si="86"/>
        <v>1</v>
      </c>
      <c r="J1828" s="1">
        <f t="shared" si="84"/>
        <v>0</v>
      </c>
      <c r="K1828" s="1">
        <f t="shared" si="85"/>
        <v>1</v>
      </c>
    </row>
    <row r="1829" spans="4:11" ht="15.75" thickBot="1">
      <c r="D1829" s="8"/>
      <c r="E1829" s="15" t="s">
        <v>39</v>
      </c>
      <c r="F1829" s="15" t="s">
        <v>25</v>
      </c>
      <c r="G1829" s="17" t="s">
        <v>178</v>
      </c>
      <c r="H1829" s="17"/>
      <c r="I1829" s="1" t="str">
        <f t="shared" si="86"/>
        <v/>
      </c>
      <c r="J1829" s="1" t="str">
        <f t="shared" si="84"/>
        <v/>
      </c>
      <c r="K1829" s="1" t="str">
        <f t="shared" si="85"/>
        <v/>
      </c>
    </row>
    <row r="1830" spans="4:11" ht="15" customHeight="1">
      <c r="D1830" s="6" t="s">
        <v>172</v>
      </c>
      <c r="E1830" s="7"/>
      <c r="F1830" s="7"/>
      <c r="G1830" s="17" t="s">
        <v>184</v>
      </c>
      <c r="H1830" s="17">
        <v>2</v>
      </c>
      <c r="I1830" s="1">
        <f t="shared" si="86"/>
        <v>2</v>
      </c>
      <c r="J1830" s="1">
        <f t="shared" si="84"/>
        <v>0</v>
      </c>
      <c r="K1830" s="1">
        <f t="shared" si="85"/>
        <v>4</v>
      </c>
    </row>
    <row r="1831" spans="4:11" ht="15.75" thickBot="1">
      <c r="D1831" s="8"/>
      <c r="E1831" s="15" t="s">
        <v>23</v>
      </c>
      <c r="F1831" s="15" t="s">
        <v>19</v>
      </c>
      <c r="G1831" s="17" t="s">
        <v>178</v>
      </c>
      <c r="H1831" s="17"/>
      <c r="I1831" s="1" t="str">
        <f t="shared" si="86"/>
        <v/>
      </c>
      <c r="J1831" s="1" t="str">
        <f t="shared" si="84"/>
        <v/>
      </c>
      <c r="K1831" s="1" t="str">
        <f t="shared" si="85"/>
        <v/>
      </c>
    </row>
    <row r="1832" spans="4:11" ht="15" customHeight="1">
      <c r="D1832" s="6" t="s">
        <v>172</v>
      </c>
      <c r="E1832" s="7"/>
      <c r="F1832" s="7"/>
      <c r="G1832" s="17" t="s">
        <v>181</v>
      </c>
      <c r="H1832" s="17">
        <v>0</v>
      </c>
      <c r="I1832" s="1">
        <f t="shared" si="86"/>
        <v>1</v>
      </c>
      <c r="J1832" s="1">
        <f t="shared" si="84"/>
        <v>0</v>
      </c>
      <c r="K1832" s="1">
        <f t="shared" si="85"/>
        <v>1</v>
      </c>
    </row>
    <row r="1833" spans="4:11" ht="15.75" thickBot="1">
      <c r="D1833" s="8"/>
      <c r="E1833" s="15" t="s">
        <v>18</v>
      </c>
      <c r="F1833" s="15" t="s">
        <v>34</v>
      </c>
      <c r="G1833" s="17" t="s">
        <v>178</v>
      </c>
      <c r="H1833" s="17"/>
      <c r="I1833" s="1" t="str">
        <f t="shared" si="86"/>
        <v/>
      </c>
      <c r="J1833" s="1" t="str">
        <f t="shared" si="84"/>
        <v/>
      </c>
      <c r="K1833" s="1" t="str">
        <f t="shared" si="85"/>
        <v/>
      </c>
    </row>
    <row r="1834" spans="4:11" ht="18" customHeight="1">
      <c r="D1834" s="6" t="s">
        <v>172</v>
      </c>
      <c r="E1834" s="7"/>
      <c r="F1834" s="7"/>
      <c r="G1834" s="17" t="s">
        <v>182</v>
      </c>
      <c r="H1834" s="17">
        <v>2</v>
      </c>
      <c r="I1834" s="1">
        <f t="shared" si="86"/>
        <v>1</v>
      </c>
      <c r="J1834" s="1">
        <f t="shared" si="84"/>
        <v>0</v>
      </c>
      <c r="K1834" s="1">
        <f t="shared" si="85"/>
        <v>1</v>
      </c>
    </row>
    <row r="1835" spans="4:11" ht="15.75" thickBot="1">
      <c r="D1835" s="8"/>
      <c r="E1835" s="15" t="s">
        <v>13</v>
      </c>
      <c r="F1835" s="15" t="s">
        <v>33</v>
      </c>
      <c r="G1835" s="17" t="s">
        <v>178</v>
      </c>
      <c r="H1835" s="17"/>
      <c r="I1835" s="1" t="str">
        <f t="shared" si="86"/>
        <v/>
      </c>
      <c r="J1835" s="1" t="str">
        <f t="shared" si="84"/>
        <v/>
      </c>
      <c r="K1835" s="1" t="str">
        <f t="shared" si="85"/>
        <v/>
      </c>
    </row>
    <row r="1836" spans="4:11" ht="15" customHeight="1">
      <c r="D1836" s="6" t="s">
        <v>173</v>
      </c>
      <c r="E1836" s="7"/>
      <c r="F1836" s="7"/>
      <c r="G1836" s="17" t="s">
        <v>182</v>
      </c>
      <c r="H1836" s="17">
        <v>2</v>
      </c>
      <c r="I1836" s="1">
        <f t="shared" si="86"/>
        <v>1</v>
      </c>
      <c r="J1836" s="1">
        <f t="shared" si="84"/>
        <v>0</v>
      </c>
      <c r="K1836" s="1">
        <f t="shared" si="85"/>
        <v>1</v>
      </c>
    </row>
    <row r="1837" spans="4:11" ht="15.75" thickBot="1">
      <c r="D1837" s="8"/>
      <c r="E1837" s="15" t="s">
        <v>2</v>
      </c>
      <c r="F1837" s="15" t="s">
        <v>36</v>
      </c>
      <c r="G1837" s="17" t="s">
        <v>178</v>
      </c>
      <c r="H1837" s="17"/>
      <c r="I1837" s="1" t="str">
        <f t="shared" si="86"/>
        <v/>
      </c>
      <c r="J1837" s="1" t="str">
        <f t="shared" si="84"/>
        <v/>
      </c>
      <c r="K1837" s="1" t="str">
        <f t="shared" si="85"/>
        <v/>
      </c>
    </row>
    <row r="1838" spans="4:11" ht="15" customHeight="1">
      <c r="D1838" s="6" t="s">
        <v>173</v>
      </c>
      <c r="E1838" s="7"/>
      <c r="F1838" s="7"/>
      <c r="G1838" s="17" t="s">
        <v>181</v>
      </c>
      <c r="H1838" s="17">
        <v>2</v>
      </c>
      <c r="I1838" s="1">
        <f t="shared" si="86"/>
        <v>-1</v>
      </c>
      <c r="J1838" s="1">
        <f t="shared" si="84"/>
        <v>0</v>
      </c>
      <c r="K1838" s="1">
        <f t="shared" si="85"/>
        <v>1</v>
      </c>
    </row>
    <row r="1839" spans="4:11" ht="15.75" thickBot="1">
      <c r="D1839" s="8"/>
      <c r="E1839" s="15" t="s">
        <v>4</v>
      </c>
      <c r="F1839" s="15" t="s">
        <v>41</v>
      </c>
      <c r="G1839" s="17" t="s">
        <v>178</v>
      </c>
      <c r="H1839" s="17"/>
      <c r="I1839" s="1" t="str">
        <f t="shared" si="86"/>
        <v/>
      </c>
      <c r="J1839" s="1" t="str">
        <f t="shared" si="84"/>
        <v/>
      </c>
      <c r="K1839" s="1" t="str">
        <f t="shared" si="85"/>
        <v/>
      </c>
    </row>
    <row r="1840" spans="4:11" ht="15" customHeight="1">
      <c r="D1840" s="6" t="s">
        <v>173</v>
      </c>
      <c r="E1840" s="7"/>
      <c r="F1840" s="7"/>
      <c r="G1840" s="17" t="s">
        <v>179</v>
      </c>
      <c r="H1840" s="17">
        <v>3</v>
      </c>
      <c r="I1840" s="1">
        <f t="shared" si="86"/>
        <v>-3</v>
      </c>
      <c r="J1840" s="1">
        <f t="shared" si="84"/>
        <v>0</v>
      </c>
      <c r="K1840" s="1">
        <f t="shared" si="85"/>
        <v>9</v>
      </c>
    </row>
    <row r="1841" spans="4:11" ht="15.75" thickBot="1">
      <c r="D1841" s="8"/>
      <c r="E1841" s="15" t="s">
        <v>12</v>
      </c>
      <c r="F1841" s="15" t="s">
        <v>28</v>
      </c>
      <c r="G1841" s="17" t="s">
        <v>178</v>
      </c>
      <c r="H1841" s="17"/>
      <c r="I1841" s="1" t="str">
        <f t="shared" si="86"/>
        <v/>
      </c>
      <c r="J1841" s="1" t="str">
        <f t="shared" si="84"/>
        <v/>
      </c>
      <c r="K1841" s="1" t="str">
        <f t="shared" si="85"/>
        <v/>
      </c>
    </row>
    <row r="1842" spans="4:11" ht="15" customHeight="1">
      <c r="D1842" s="6" t="s">
        <v>173</v>
      </c>
      <c r="E1842" s="7"/>
      <c r="F1842" s="7"/>
      <c r="G1842" s="17" t="s">
        <v>179</v>
      </c>
      <c r="H1842" s="17">
        <v>4</v>
      </c>
      <c r="I1842" s="1">
        <f t="shared" si="86"/>
        <v>-4</v>
      </c>
      <c r="J1842" s="1">
        <f t="shared" si="84"/>
        <v>0</v>
      </c>
      <c r="K1842" s="1">
        <f t="shared" si="85"/>
        <v>16</v>
      </c>
    </row>
    <row r="1843" spans="4:11" ht="15.75" thickBot="1">
      <c r="D1843" s="8"/>
      <c r="E1843" s="15" t="s">
        <v>20</v>
      </c>
      <c r="F1843" s="15" t="s">
        <v>37</v>
      </c>
      <c r="G1843" s="17" t="s">
        <v>178</v>
      </c>
      <c r="H1843" s="17"/>
      <c r="I1843" s="1" t="str">
        <f t="shared" si="86"/>
        <v/>
      </c>
      <c r="J1843" s="1" t="str">
        <f t="shared" si="84"/>
        <v/>
      </c>
      <c r="K1843" s="1" t="str">
        <f t="shared" si="85"/>
        <v/>
      </c>
    </row>
    <row r="1844" spans="4:11" ht="15" customHeight="1">
      <c r="D1844" s="6" t="s">
        <v>173</v>
      </c>
      <c r="E1844" s="7"/>
      <c r="F1844" s="7"/>
      <c r="G1844" s="17" t="s">
        <v>185</v>
      </c>
      <c r="H1844" s="17">
        <v>4</v>
      </c>
      <c r="I1844" s="1">
        <f t="shared" si="86"/>
        <v>1</v>
      </c>
      <c r="J1844" s="1">
        <f t="shared" si="84"/>
        <v>0</v>
      </c>
      <c r="K1844" s="1">
        <f t="shared" si="85"/>
        <v>1</v>
      </c>
    </row>
    <row r="1845" spans="4:11" ht="15.75" thickBot="1">
      <c r="D1845" s="8"/>
      <c r="E1845" s="15" t="s">
        <v>22</v>
      </c>
      <c r="F1845" s="15" t="s">
        <v>21</v>
      </c>
      <c r="G1845" s="17" t="s">
        <v>178</v>
      </c>
      <c r="H1845" s="17"/>
      <c r="I1845" s="1" t="str">
        <f t="shared" si="86"/>
        <v/>
      </c>
      <c r="J1845" s="1" t="str">
        <f t="shared" si="84"/>
        <v/>
      </c>
      <c r="K1845" s="1" t="str">
        <f t="shared" si="85"/>
        <v/>
      </c>
    </row>
    <row r="1846" spans="4:11" ht="15" customHeight="1">
      <c r="D1846" s="6" t="s">
        <v>173</v>
      </c>
      <c r="E1846" s="7"/>
      <c r="F1846" s="7"/>
      <c r="G1846" s="17" t="s">
        <v>180</v>
      </c>
      <c r="H1846" s="17">
        <v>4</v>
      </c>
      <c r="I1846" s="1">
        <f t="shared" si="86"/>
        <v>-2</v>
      </c>
      <c r="J1846" s="1">
        <f t="shared" si="84"/>
        <v>0</v>
      </c>
      <c r="K1846" s="1">
        <f t="shared" si="85"/>
        <v>4</v>
      </c>
    </row>
    <row r="1847" spans="4:11" ht="15.75" thickBot="1">
      <c r="D1847" s="8"/>
      <c r="E1847" s="15" t="s">
        <v>34</v>
      </c>
      <c r="F1847" s="15" t="s">
        <v>10</v>
      </c>
      <c r="G1847" s="17" t="s">
        <v>178</v>
      </c>
      <c r="H1847" s="17"/>
      <c r="I1847" s="1" t="str">
        <f t="shared" si="86"/>
        <v/>
      </c>
      <c r="J1847" s="1" t="str">
        <f t="shared" si="84"/>
        <v/>
      </c>
      <c r="K1847" s="1" t="str">
        <f t="shared" si="85"/>
        <v/>
      </c>
    </row>
    <row r="1848" spans="4:11" ht="18" customHeight="1">
      <c r="D1848" s="6" t="s">
        <v>174</v>
      </c>
      <c r="E1848" s="7"/>
      <c r="F1848" s="7"/>
      <c r="G1848" s="17" t="s">
        <v>182</v>
      </c>
      <c r="H1848" s="17">
        <v>5</v>
      </c>
      <c r="I1848" s="1">
        <f t="shared" si="86"/>
        <v>-2</v>
      </c>
      <c r="J1848" s="1">
        <f t="shared" si="84"/>
        <v>-2550</v>
      </c>
      <c r="K1848" s="1">
        <f t="shared" si="85"/>
        <v>6492304</v>
      </c>
    </row>
    <row r="1849" spans="4:11" ht="15.75" thickBot="1">
      <c r="D1849" s="8"/>
      <c r="E1849" s="15" t="s">
        <v>8</v>
      </c>
      <c r="F1849" s="15" t="s">
        <v>14</v>
      </c>
      <c r="G1849" s="17" t="s">
        <v>178</v>
      </c>
      <c r="H1849" s="17"/>
      <c r="I1849" s="1" t="str">
        <f t="shared" si="86"/>
        <v/>
      </c>
      <c r="J1849" s="1" t="str">
        <f t="shared" si="84"/>
        <v/>
      </c>
      <c r="K1849" s="1" t="str">
        <f t="shared" si="85"/>
        <v/>
      </c>
    </row>
    <row r="1850" spans="4:11" ht="15" customHeight="1">
      <c r="D1850" s="6" t="s">
        <v>174</v>
      </c>
      <c r="E1850" s="7"/>
      <c r="F1850" s="7"/>
      <c r="G1850" s="17" t="s">
        <v>184</v>
      </c>
      <c r="H1850" s="17">
        <v>3</v>
      </c>
      <c r="I1850" s="1">
        <f t="shared" si="86"/>
        <v>1</v>
      </c>
      <c r="J1850" s="1">
        <f t="shared" si="84"/>
        <v>0</v>
      </c>
      <c r="K1850" s="1">
        <f t="shared" si="85"/>
        <v>1</v>
      </c>
    </row>
    <row r="1851" spans="4:11" ht="15.75" thickBot="1">
      <c r="D1851" s="8"/>
      <c r="E1851" s="15" t="s">
        <v>13</v>
      </c>
      <c r="F1851" s="15" t="s">
        <v>19</v>
      </c>
      <c r="G1851" s="17" t="s">
        <v>178</v>
      </c>
      <c r="H1851" s="17"/>
      <c r="I1851" s="1" t="str">
        <f t="shared" si="86"/>
        <v/>
      </c>
      <c r="J1851" s="1" t="str">
        <f t="shared" si="84"/>
        <v/>
      </c>
      <c r="K1851" s="1" t="str">
        <f t="shared" si="85"/>
        <v/>
      </c>
    </row>
    <row r="1852" spans="4:11" ht="15" customHeight="1">
      <c r="D1852" s="6" t="s">
        <v>174</v>
      </c>
      <c r="E1852" s="7"/>
      <c r="F1852" s="7"/>
      <c r="G1852" s="22">
        <v>5</v>
      </c>
      <c r="H1852" s="17">
        <v>3</v>
      </c>
      <c r="I1852" s="1">
        <f t="shared" si="86"/>
        <v>2</v>
      </c>
      <c r="J1852" s="1">
        <f t="shared" si="84"/>
        <v>0</v>
      </c>
      <c r="K1852" s="1">
        <f t="shared" si="85"/>
        <v>4</v>
      </c>
    </row>
    <row r="1853" spans="4:11" ht="15.75" thickBot="1">
      <c r="D1853" s="8"/>
      <c r="E1853" s="15" t="s">
        <v>28</v>
      </c>
      <c r="F1853" s="15" t="s">
        <v>41</v>
      </c>
      <c r="G1853" s="17" t="s">
        <v>178</v>
      </c>
      <c r="H1853" s="17"/>
      <c r="I1853" s="1" t="str">
        <f t="shared" si="86"/>
        <v/>
      </c>
      <c r="J1853" s="1" t="str">
        <f t="shared" si="84"/>
        <v/>
      </c>
      <c r="K1853" s="1" t="str">
        <f t="shared" si="85"/>
        <v/>
      </c>
    </row>
    <row r="1854" spans="4:11" ht="15" customHeight="1">
      <c r="D1854" s="6" t="s">
        <v>174</v>
      </c>
      <c r="E1854" s="7"/>
      <c r="F1854" s="7"/>
      <c r="G1854" s="17" t="s">
        <v>180</v>
      </c>
      <c r="H1854" s="17">
        <v>0</v>
      </c>
      <c r="I1854" s="1">
        <f t="shared" si="86"/>
        <v>2</v>
      </c>
      <c r="J1854" s="1">
        <f t="shared" si="84"/>
        <v>0</v>
      </c>
      <c r="K1854" s="1">
        <f t="shared" si="85"/>
        <v>4</v>
      </c>
    </row>
    <row r="1855" spans="4:11" ht="15.75" thickBot="1">
      <c r="D1855" s="8"/>
      <c r="E1855" s="15" t="s">
        <v>36</v>
      </c>
      <c r="F1855" s="15" t="s">
        <v>7</v>
      </c>
      <c r="G1855" s="17" t="s">
        <v>178</v>
      </c>
      <c r="H1855" s="17"/>
      <c r="I1855" s="1" t="str">
        <f t="shared" si="86"/>
        <v/>
      </c>
      <c r="J1855" s="1" t="str">
        <f t="shared" si="84"/>
        <v/>
      </c>
      <c r="K1855" s="1" t="str">
        <f t="shared" si="85"/>
        <v/>
      </c>
    </row>
    <row r="1856" spans="4:11" ht="18" customHeight="1">
      <c r="D1856" s="6" t="s">
        <v>174</v>
      </c>
      <c r="E1856" s="7"/>
      <c r="F1856" s="7"/>
      <c r="G1856" s="17" t="s">
        <v>181</v>
      </c>
      <c r="H1856" s="17">
        <v>4</v>
      </c>
      <c r="I1856" s="1">
        <f t="shared" si="86"/>
        <v>-3</v>
      </c>
      <c r="J1856" s="1">
        <f t="shared" si="84"/>
        <v>0</v>
      </c>
      <c r="K1856" s="1">
        <f t="shared" si="85"/>
        <v>9</v>
      </c>
    </row>
    <row r="1857" spans="4:11" ht="15.75" thickBot="1">
      <c r="D1857" s="8"/>
      <c r="E1857" s="15" t="s">
        <v>26</v>
      </c>
      <c r="F1857" s="15" t="s">
        <v>2</v>
      </c>
      <c r="G1857" s="17" t="s">
        <v>178</v>
      </c>
      <c r="H1857" s="17"/>
      <c r="I1857" s="1" t="str">
        <f t="shared" si="86"/>
        <v/>
      </c>
      <c r="J1857" s="1" t="str">
        <f t="shared" si="84"/>
        <v/>
      </c>
      <c r="K1857" s="1" t="str">
        <f t="shared" si="85"/>
        <v/>
      </c>
    </row>
    <row r="1858" spans="4:11" ht="15" customHeight="1">
      <c r="D1858" s="6" t="s">
        <v>174</v>
      </c>
      <c r="E1858" s="7"/>
      <c r="F1858" s="7"/>
      <c r="G1858" s="17" t="s">
        <v>179</v>
      </c>
      <c r="H1858" s="17">
        <v>4</v>
      </c>
      <c r="I1858" s="1">
        <f t="shared" si="86"/>
        <v>-4</v>
      </c>
      <c r="J1858" s="1">
        <f t="shared" si="84"/>
        <v>0</v>
      </c>
      <c r="K1858" s="1">
        <f t="shared" si="85"/>
        <v>16</v>
      </c>
    </row>
    <row r="1859" spans="4:11" ht="15.75" thickBot="1">
      <c r="D1859" s="8"/>
      <c r="E1859" s="15" t="s">
        <v>0</v>
      </c>
      <c r="F1859" s="15" t="s">
        <v>230</v>
      </c>
      <c r="G1859" s="17" t="s">
        <v>178</v>
      </c>
      <c r="H1859" s="17"/>
      <c r="I1859" s="1" t="str">
        <f t="shared" si="86"/>
        <v/>
      </c>
      <c r="J1859" s="1" t="str">
        <f t="shared" ref="J1859:J1920" si="87">IF(F1860="","",VLOOKUP(F1860,$A$2:$B$31,2)+$B$33-VLOOKUP(E1860,$A$2:$B$31,2))</f>
        <v/>
      </c>
      <c r="K1859" s="1" t="str">
        <f t="shared" ref="K1859:K1922" si="88">IF(G1859="","",(I1859-J1859)^2)</f>
        <v/>
      </c>
    </row>
    <row r="1860" spans="4:11" ht="15" customHeight="1">
      <c r="D1860" s="6" t="s">
        <v>174</v>
      </c>
      <c r="E1860" s="7"/>
      <c r="F1860" s="7"/>
      <c r="G1860" s="17" t="s">
        <v>180</v>
      </c>
      <c r="H1860" s="17">
        <v>4</v>
      </c>
      <c r="I1860" s="1">
        <f t="shared" ref="I1860:I1921" si="89">IF(G1860="","",G1860-H1860)</f>
        <v>-2</v>
      </c>
      <c r="J1860" s="1">
        <f t="shared" si="87"/>
        <v>0</v>
      </c>
      <c r="K1860" s="1">
        <f t="shared" si="88"/>
        <v>4</v>
      </c>
    </row>
    <row r="1861" spans="4:11" ht="30.75" thickBot="1">
      <c r="D1861" s="8"/>
      <c r="E1861" s="15" t="s">
        <v>38</v>
      </c>
      <c r="F1861" s="15" t="s">
        <v>1</v>
      </c>
      <c r="G1861" s="17" t="s">
        <v>178</v>
      </c>
      <c r="H1861" s="17"/>
      <c r="I1861" s="1" t="str">
        <f t="shared" si="89"/>
        <v/>
      </c>
      <c r="J1861" s="1" t="str">
        <f t="shared" si="87"/>
        <v/>
      </c>
      <c r="K1861" s="1" t="str">
        <f t="shared" si="88"/>
        <v/>
      </c>
    </row>
    <row r="1862" spans="4:11" ht="15" customHeight="1">
      <c r="D1862" s="6" t="s">
        <v>174</v>
      </c>
      <c r="E1862" s="7"/>
      <c r="F1862" s="7"/>
      <c r="G1862" s="17" t="s">
        <v>182</v>
      </c>
      <c r="H1862" s="17">
        <v>1</v>
      </c>
      <c r="I1862" s="1">
        <f t="shared" si="89"/>
        <v>2</v>
      </c>
      <c r="J1862" s="1">
        <f t="shared" si="87"/>
        <v>0</v>
      </c>
      <c r="K1862" s="1">
        <f t="shared" si="88"/>
        <v>4</v>
      </c>
    </row>
    <row r="1863" spans="4:11" ht="15.75" thickBot="1">
      <c r="D1863" s="8"/>
      <c r="E1863" s="15" t="s">
        <v>23</v>
      </c>
      <c r="F1863" s="15" t="s">
        <v>22</v>
      </c>
      <c r="G1863" s="17" t="s">
        <v>178</v>
      </c>
      <c r="H1863" s="17"/>
      <c r="I1863" s="1" t="str">
        <f t="shared" si="89"/>
        <v/>
      </c>
      <c r="J1863" s="1" t="str">
        <f t="shared" si="87"/>
        <v/>
      </c>
      <c r="K1863" s="1" t="str">
        <f t="shared" si="88"/>
        <v/>
      </c>
    </row>
    <row r="1864" spans="4:11" ht="15" customHeight="1">
      <c r="D1864" s="6" t="s">
        <v>174</v>
      </c>
      <c r="E1864" s="7"/>
      <c r="F1864" s="7"/>
      <c r="G1864" s="17" t="s">
        <v>180</v>
      </c>
      <c r="H1864" s="17">
        <v>1</v>
      </c>
      <c r="I1864" s="1">
        <f t="shared" si="89"/>
        <v>1</v>
      </c>
      <c r="J1864" s="1">
        <f t="shared" si="87"/>
        <v>0</v>
      </c>
      <c r="K1864" s="1">
        <f t="shared" si="88"/>
        <v>1</v>
      </c>
    </row>
    <row r="1865" spans="4:11" ht="15.75" thickBot="1">
      <c r="D1865" s="8"/>
      <c r="E1865" s="15" t="s">
        <v>39</v>
      </c>
      <c r="F1865" s="15" t="s">
        <v>24</v>
      </c>
      <c r="G1865" s="17" t="s">
        <v>178</v>
      </c>
      <c r="H1865" s="17"/>
      <c r="I1865" s="1" t="str">
        <f t="shared" si="89"/>
        <v/>
      </c>
      <c r="J1865" s="1" t="str">
        <f t="shared" si="87"/>
        <v/>
      </c>
      <c r="K1865" s="1" t="str">
        <f t="shared" si="88"/>
        <v/>
      </c>
    </row>
    <row r="1866" spans="4:11" ht="18.75" customHeight="1">
      <c r="D1866" s="6" t="s">
        <v>174</v>
      </c>
      <c r="E1866" s="7"/>
      <c r="F1866" s="7"/>
      <c r="G1866" s="17" t="s">
        <v>184</v>
      </c>
      <c r="H1866" s="17">
        <v>2</v>
      </c>
      <c r="I1866" s="1">
        <f t="shared" si="89"/>
        <v>2</v>
      </c>
      <c r="J1866" s="1">
        <f t="shared" si="87"/>
        <v>0</v>
      </c>
      <c r="K1866" s="1">
        <f t="shared" si="88"/>
        <v>4</v>
      </c>
    </row>
    <row r="1867" spans="4:11" ht="15.75" thickBot="1">
      <c r="D1867" s="18"/>
      <c r="E1867" s="19" t="s">
        <v>18</v>
      </c>
      <c r="F1867" s="19" t="s">
        <v>33</v>
      </c>
      <c r="G1867" s="20"/>
      <c r="H1867" s="21"/>
      <c r="K1867" s="1" t="str">
        <f t="shared" si="88"/>
        <v/>
      </c>
    </row>
    <row r="1868" spans="4:11">
      <c r="D1868" s="92" t="s">
        <v>271</v>
      </c>
      <c r="E1868" s="41"/>
      <c r="F1868" s="41"/>
      <c r="G1868" s="40">
        <v>2</v>
      </c>
      <c r="H1868" s="40">
        <v>5</v>
      </c>
      <c r="I1868" s="1">
        <f t="shared" si="89"/>
        <v>-3</v>
      </c>
      <c r="J1868" s="1">
        <f t="shared" si="87"/>
        <v>0</v>
      </c>
      <c r="K1868" s="1">
        <f t="shared" si="88"/>
        <v>9</v>
      </c>
    </row>
    <row r="1869" spans="4:11" ht="15.75" thickBot="1">
      <c r="D1869" s="93"/>
      <c r="E1869" s="44" t="s">
        <v>6</v>
      </c>
      <c r="F1869" s="44" t="s">
        <v>25</v>
      </c>
      <c r="G1869" s="40"/>
      <c r="H1869" s="40"/>
      <c r="I1869" s="1" t="str">
        <f t="shared" si="89"/>
        <v/>
      </c>
      <c r="J1869" s="1" t="str">
        <f t="shared" si="87"/>
        <v/>
      </c>
      <c r="K1869" s="1" t="str">
        <f t="shared" si="88"/>
        <v/>
      </c>
    </row>
    <row r="1870" spans="4:11">
      <c r="D1870" s="94" t="s">
        <v>271</v>
      </c>
      <c r="E1870" s="42"/>
      <c r="F1870" s="42"/>
      <c r="G1870" s="40">
        <v>3</v>
      </c>
      <c r="H1870" s="40">
        <v>4</v>
      </c>
      <c r="I1870" s="1">
        <f t="shared" si="89"/>
        <v>-1</v>
      </c>
      <c r="J1870" s="1">
        <f t="shared" si="87"/>
        <v>0</v>
      </c>
      <c r="K1870" s="1">
        <f t="shared" si="88"/>
        <v>1</v>
      </c>
    </row>
    <row r="1871" spans="4:11" ht="15.75" thickBot="1">
      <c r="D1871" s="95"/>
      <c r="E1871" s="45" t="s">
        <v>15</v>
      </c>
      <c r="F1871" s="45" t="s">
        <v>14</v>
      </c>
      <c r="G1871" s="40"/>
      <c r="H1871" s="40"/>
      <c r="I1871" s="1" t="str">
        <f t="shared" si="89"/>
        <v/>
      </c>
      <c r="J1871" s="1" t="str">
        <f t="shared" si="87"/>
        <v/>
      </c>
      <c r="K1871" s="1" t="str">
        <f t="shared" si="88"/>
        <v/>
      </c>
    </row>
    <row r="1872" spans="4:11">
      <c r="D1872" s="92" t="s">
        <v>271</v>
      </c>
      <c r="E1872" s="43"/>
      <c r="F1872" s="43"/>
      <c r="G1872" s="40">
        <v>3</v>
      </c>
      <c r="H1872" s="40">
        <v>5</v>
      </c>
      <c r="I1872" s="1">
        <f t="shared" si="89"/>
        <v>-2</v>
      </c>
      <c r="J1872" s="1">
        <f t="shared" si="87"/>
        <v>0</v>
      </c>
      <c r="K1872" s="1">
        <f t="shared" si="88"/>
        <v>4</v>
      </c>
    </row>
    <row r="1873" spans="4:11" ht="15.75" thickBot="1">
      <c r="D1873" s="93"/>
      <c r="E1873" s="44" t="s">
        <v>7</v>
      </c>
      <c r="F1873" s="44" t="s">
        <v>11</v>
      </c>
      <c r="G1873" s="40"/>
      <c r="H1873" s="40"/>
      <c r="I1873" s="1" t="str">
        <f t="shared" si="89"/>
        <v/>
      </c>
      <c r="J1873" s="1" t="str">
        <f t="shared" si="87"/>
        <v/>
      </c>
      <c r="K1873" s="1" t="str">
        <f t="shared" si="88"/>
        <v/>
      </c>
    </row>
    <row r="1874" spans="4:11">
      <c r="D1874" s="94" t="s">
        <v>271</v>
      </c>
      <c r="E1874" s="42"/>
      <c r="F1874" s="42"/>
      <c r="G1874" s="40">
        <v>0</v>
      </c>
      <c r="H1874" s="40">
        <v>4</v>
      </c>
      <c r="I1874" s="1">
        <f t="shared" si="89"/>
        <v>-4</v>
      </c>
      <c r="J1874" s="1">
        <f t="shared" si="87"/>
        <v>0</v>
      </c>
      <c r="K1874" s="1">
        <f t="shared" si="88"/>
        <v>16</v>
      </c>
    </row>
    <row r="1875" spans="4:11" ht="15.75" thickBot="1">
      <c r="D1875" s="95"/>
      <c r="E1875" s="45" t="s">
        <v>0</v>
      </c>
      <c r="F1875" s="45" t="s">
        <v>12</v>
      </c>
      <c r="G1875" s="40"/>
      <c r="H1875" s="40"/>
      <c r="I1875" s="1" t="str">
        <f t="shared" si="89"/>
        <v/>
      </c>
      <c r="J1875" s="1" t="str">
        <f t="shared" si="87"/>
        <v/>
      </c>
      <c r="K1875" s="1" t="str">
        <f t="shared" si="88"/>
        <v/>
      </c>
    </row>
    <row r="1876" spans="4:11">
      <c r="D1876" s="92" t="s">
        <v>271</v>
      </c>
      <c r="E1876" s="43"/>
      <c r="F1876" s="43"/>
      <c r="G1876" s="40">
        <v>3</v>
      </c>
      <c r="H1876" s="40">
        <v>1</v>
      </c>
      <c r="I1876" s="1">
        <f t="shared" si="89"/>
        <v>2</v>
      </c>
      <c r="J1876" s="1">
        <f t="shared" si="87"/>
        <v>0</v>
      </c>
      <c r="K1876" s="1">
        <f t="shared" si="88"/>
        <v>4</v>
      </c>
    </row>
    <row r="1877" spans="4:11" ht="15.75" thickBot="1">
      <c r="D1877" s="93"/>
      <c r="E1877" s="44" t="s">
        <v>10</v>
      </c>
      <c r="F1877" s="44" t="s">
        <v>21</v>
      </c>
      <c r="G1877" s="40"/>
      <c r="H1877" s="40"/>
      <c r="I1877" s="1" t="str">
        <f t="shared" si="89"/>
        <v/>
      </c>
      <c r="J1877" s="1" t="str">
        <f t="shared" si="87"/>
        <v/>
      </c>
      <c r="K1877" s="1" t="str">
        <f t="shared" si="88"/>
        <v/>
      </c>
    </row>
    <row r="1878" spans="4:11">
      <c r="D1878" s="94" t="s">
        <v>271</v>
      </c>
      <c r="E1878" s="42"/>
      <c r="F1878" s="42"/>
      <c r="G1878" s="40">
        <v>5</v>
      </c>
      <c r="H1878" s="40">
        <v>6</v>
      </c>
      <c r="I1878" s="1">
        <f t="shared" si="89"/>
        <v>-1</v>
      </c>
      <c r="J1878" s="1">
        <f t="shared" si="87"/>
        <v>0</v>
      </c>
      <c r="K1878" s="1">
        <f t="shared" si="88"/>
        <v>1</v>
      </c>
    </row>
    <row r="1879" spans="4:11" ht="15.75" thickBot="1">
      <c r="D1879" s="95"/>
      <c r="E1879" s="45" t="s">
        <v>17</v>
      </c>
      <c r="F1879" s="45" t="s">
        <v>3</v>
      </c>
      <c r="G1879" s="40"/>
      <c r="H1879" s="40"/>
      <c r="I1879" s="1" t="str">
        <f t="shared" si="89"/>
        <v/>
      </c>
      <c r="J1879" s="1" t="str">
        <f t="shared" si="87"/>
        <v/>
      </c>
      <c r="K1879" s="1" t="str">
        <f t="shared" si="88"/>
        <v/>
      </c>
    </row>
    <row r="1880" spans="4:11">
      <c r="D1880" s="92" t="s">
        <v>272</v>
      </c>
      <c r="E1880" s="43"/>
      <c r="F1880" s="43"/>
      <c r="G1880" s="40">
        <v>1</v>
      </c>
      <c r="H1880" s="40">
        <v>4</v>
      </c>
      <c r="I1880" s="1">
        <f t="shared" si="89"/>
        <v>-3</v>
      </c>
      <c r="J1880" s="1">
        <f t="shared" si="87"/>
        <v>0</v>
      </c>
      <c r="K1880" s="1">
        <f t="shared" si="88"/>
        <v>9</v>
      </c>
    </row>
    <row r="1881" spans="4:11" ht="15.75" thickBot="1">
      <c r="D1881" s="93"/>
      <c r="E1881" s="44" t="s">
        <v>19</v>
      </c>
      <c r="F1881" s="44" t="s">
        <v>16</v>
      </c>
      <c r="G1881" s="40"/>
      <c r="H1881" s="40"/>
      <c r="I1881" s="1" t="str">
        <f t="shared" si="89"/>
        <v/>
      </c>
      <c r="J1881" s="1" t="str">
        <f t="shared" si="87"/>
        <v/>
      </c>
      <c r="K1881" s="1" t="str">
        <f t="shared" si="88"/>
        <v/>
      </c>
    </row>
    <row r="1882" spans="4:11">
      <c r="D1882" s="94" t="s">
        <v>272</v>
      </c>
      <c r="E1882" s="42"/>
      <c r="F1882" s="42"/>
      <c r="G1882" s="40">
        <v>2</v>
      </c>
      <c r="H1882" s="40">
        <v>5</v>
      </c>
      <c r="I1882" s="1">
        <f t="shared" si="89"/>
        <v>-3</v>
      </c>
      <c r="J1882" s="1">
        <f t="shared" si="87"/>
        <v>0</v>
      </c>
      <c r="K1882" s="1">
        <f t="shared" si="88"/>
        <v>9</v>
      </c>
    </row>
    <row r="1883" spans="4:11" ht="15.75" thickBot="1">
      <c r="D1883" s="95"/>
      <c r="E1883" s="45" t="s">
        <v>28</v>
      </c>
      <c r="F1883" s="45" t="s">
        <v>20</v>
      </c>
      <c r="G1883" s="40"/>
      <c r="H1883" s="40"/>
      <c r="I1883" s="1" t="str">
        <f t="shared" si="89"/>
        <v/>
      </c>
      <c r="J1883" s="1" t="str">
        <f t="shared" si="87"/>
        <v/>
      </c>
      <c r="K1883" s="1" t="str">
        <f t="shared" si="88"/>
        <v/>
      </c>
    </row>
    <row r="1884" spans="4:11">
      <c r="D1884" s="92" t="s">
        <v>272</v>
      </c>
      <c r="E1884" s="43"/>
      <c r="F1884" s="43"/>
      <c r="G1884" s="40">
        <v>0</v>
      </c>
      <c r="H1884" s="40">
        <v>4</v>
      </c>
      <c r="I1884" s="1">
        <f t="shared" si="89"/>
        <v>-4</v>
      </c>
      <c r="J1884" s="1">
        <f t="shared" si="87"/>
        <v>0</v>
      </c>
      <c r="K1884" s="1">
        <f t="shared" si="88"/>
        <v>16</v>
      </c>
    </row>
    <row r="1885" spans="4:11" ht="15.75" thickBot="1">
      <c r="D1885" s="93"/>
      <c r="E1885" s="44" t="s">
        <v>230</v>
      </c>
      <c r="F1885" s="44" t="s">
        <v>5</v>
      </c>
      <c r="G1885" s="40"/>
      <c r="H1885" s="40"/>
      <c r="I1885" s="1" t="str">
        <f t="shared" si="89"/>
        <v/>
      </c>
      <c r="J1885" s="1" t="str">
        <f t="shared" si="87"/>
        <v/>
      </c>
      <c r="K1885" s="1" t="str">
        <f t="shared" si="88"/>
        <v/>
      </c>
    </row>
    <row r="1886" spans="4:11">
      <c r="D1886" s="94" t="s">
        <v>273</v>
      </c>
      <c r="E1886" s="42"/>
      <c r="F1886" s="42"/>
      <c r="G1886" s="40">
        <v>1</v>
      </c>
      <c r="H1886" s="40">
        <v>3</v>
      </c>
      <c r="I1886" s="1">
        <f t="shared" si="89"/>
        <v>-2</v>
      </c>
      <c r="J1886" s="1">
        <f t="shared" si="87"/>
        <v>0</v>
      </c>
      <c r="K1886" s="1">
        <f t="shared" si="88"/>
        <v>4</v>
      </c>
    </row>
    <row r="1887" spans="4:11" ht="15.75" thickBot="1">
      <c r="D1887" s="95"/>
      <c r="E1887" s="45" t="s">
        <v>19</v>
      </c>
      <c r="F1887" s="45" t="s">
        <v>9</v>
      </c>
      <c r="G1887" s="40"/>
      <c r="H1887" s="40"/>
      <c r="I1887" s="1" t="str">
        <f t="shared" si="89"/>
        <v/>
      </c>
      <c r="J1887" s="1" t="str">
        <f t="shared" si="87"/>
        <v/>
      </c>
      <c r="K1887" s="1" t="str">
        <f t="shared" si="88"/>
        <v/>
      </c>
    </row>
    <row r="1888" spans="4:11">
      <c r="D1888" s="92" t="s">
        <v>273</v>
      </c>
      <c r="E1888" s="43"/>
      <c r="F1888" s="43"/>
      <c r="G1888" s="40">
        <v>3</v>
      </c>
      <c r="H1888" s="40">
        <v>2</v>
      </c>
      <c r="I1888" s="1">
        <f t="shared" si="89"/>
        <v>1</v>
      </c>
      <c r="J1888" s="1">
        <f t="shared" si="87"/>
        <v>0</v>
      </c>
      <c r="K1888" s="1">
        <f t="shared" si="88"/>
        <v>1</v>
      </c>
    </row>
    <row r="1889" spans="4:11" ht="15.75" thickBot="1">
      <c r="D1889" s="93"/>
      <c r="E1889" s="44" t="s">
        <v>4</v>
      </c>
      <c r="F1889" s="44" t="s">
        <v>1</v>
      </c>
      <c r="G1889" s="40"/>
      <c r="H1889" s="40"/>
      <c r="I1889" s="1" t="str">
        <f t="shared" si="89"/>
        <v/>
      </c>
      <c r="J1889" s="1" t="str">
        <f t="shared" si="87"/>
        <v/>
      </c>
      <c r="K1889" s="1" t="str">
        <f t="shared" si="88"/>
        <v/>
      </c>
    </row>
    <row r="1890" spans="4:11">
      <c r="D1890" s="94" t="s">
        <v>273</v>
      </c>
      <c r="E1890" s="42"/>
      <c r="F1890" s="42"/>
      <c r="G1890" s="40">
        <v>5</v>
      </c>
      <c r="H1890" s="40">
        <v>3</v>
      </c>
      <c r="I1890" s="1">
        <f t="shared" si="89"/>
        <v>2</v>
      </c>
      <c r="J1890" s="1">
        <f t="shared" si="87"/>
        <v>0</v>
      </c>
      <c r="K1890" s="1">
        <f t="shared" si="88"/>
        <v>4</v>
      </c>
    </row>
    <row r="1891" spans="4:11" ht="15.75" thickBot="1">
      <c r="D1891" s="95"/>
      <c r="E1891" s="45" t="s">
        <v>12</v>
      </c>
      <c r="F1891" s="45" t="s">
        <v>7</v>
      </c>
      <c r="G1891" s="40"/>
      <c r="H1891" s="40"/>
      <c r="I1891" s="1" t="str">
        <f t="shared" si="89"/>
        <v/>
      </c>
      <c r="J1891" s="1" t="str">
        <f t="shared" si="87"/>
        <v/>
      </c>
      <c r="K1891" s="1" t="str">
        <f t="shared" si="88"/>
        <v/>
      </c>
    </row>
    <row r="1892" spans="4:11">
      <c r="D1892" s="92" t="s">
        <v>273</v>
      </c>
      <c r="E1892" s="43"/>
      <c r="F1892" s="43"/>
      <c r="G1892" s="40">
        <v>0</v>
      </c>
      <c r="H1892" s="40">
        <v>3</v>
      </c>
      <c r="I1892" s="1">
        <f t="shared" si="89"/>
        <v>-3</v>
      </c>
      <c r="J1892" s="1">
        <f t="shared" si="87"/>
        <v>-2550</v>
      </c>
      <c r="K1892" s="1">
        <f t="shared" si="88"/>
        <v>6487209</v>
      </c>
    </row>
    <row r="1893" spans="4:11" ht="15.75" thickBot="1">
      <c r="D1893" s="93"/>
      <c r="E1893" s="44" t="s">
        <v>8</v>
      </c>
      <c r="F1893" s="44" t="s">
        <v>15</v>
      </c>
      <c r="G1893" s="40"/>
      <c r="H1893" s="40"/>
      <c r="I1893" s="1" t="str">
        <f t="shared" si="89"/>
        <v/>
      </c>
      <c r="J1893" s="1" t="str">
        <f t="shared" si="87"/>
        <v/>
      </c>
      <c r="K1893" s="1" t="str">
        <f t="shared" si="88"/>
        <v/>
      </c>
    </row>
    <row r="1894" spans="4:11">
      <c r="D1894" s="94" t="s">
        <v>273</v>
      </c>
      <c r="E1894" s="42"/>
      <c r="F1894" s="42"/>
      <c r="G1894" s="40">
        <v>3</v>
      </c>
      <c r="H1894" s="40">
        <v>2</v>
      </c>
      <c r="I1894" s="1">
        <f t="shared" si="89"/>
        <v>1</v>
      </c>
      <c r="J1894" s="1">
        <f t="shared" si="87"/>
        <v>0</v>
      </c>
      <c r="K1894" s="1">
        <f t="shared" si="88"/>
        <v>1</v>
      </c>
    </row>
    <row r="1895" spans="4:11" ht="15.75" thickBot="1">
      <c r="D1895" s="95"/>
      <c r="E1895" s="45" t="s">
        <v>0</v>
      </c>
      <c r="F1895" s="45" t="s">
        <v>14</v>
      </c>
      <c r="G1895" s="40"/>
      <c r="H1895" s="40"/>
      <c r="I1895" s="1" t="str">
        <f t="shared" si="89"/>
        <v/>
      </c>
      <c r="J1895" s="1" t="str">
        <f t="shared" si="87"/>
        <v/>
      </c>
      <c r="K1895" s="1" t="str">
        <f t="shared" si="88"/>
        <v/>
      </c>
    </row>
    <row r="1896" spans="4:11">
      <c r="D1896" s="92" t="s">
        <v>273</v>
      </c>
      <c r="E1896" s="43"/>
      <c r="F1896" s="43"/>
      <c r="G1896" s="40">
        <v>2</v>
      </c>
      <c r="H1896" s="40">
        <v>3</v>
      </c>
      <c r="I1896" s="1">
        <f t="shared" si="89"/>
        <v>-1</v>
      </c>
      <c r="J1896" s="1">
        <f t="shared" si="87"/>
        <v>0</v>
      </c>
      <c r="K1896" s="1">
        <f t="shared" si="88"/>
        <v>1</v>
      </c>
    </row>
    <row r="1897" spans="4:11" ht="15.75" thickBot="1">
      <c r="D1897" s="93"/>
      <c r="E1897" s="44" t="s">
        <v>18</v>
      </c>
      <c r="F1897" s="44" t="s">
        <v>23</v>
      </c>
      <c r="G1897" s="40"/>
      <c r="H1897" s="40"/>
      <c r="I1897" s="1" t="str">
        <f t="shared" si="89"/>
        <v/>
      </c>
      <c r="J1897" s="1" t="str">
        <f t="shared" si="87"/>
        <v/>
      </c>
      <c r="K1897" s="1" t="str">
        <f t="shared" si="88"/>
        <v/>
      </c>
    </row>
    <row r="1898" spans="4:11">
      <c r="D1898" s="94" t="s">
        <v>273</v>
      </c>
      <c r="E1898" s="42"/>
      <c r="F1898" s="42"/>
      <c r="G1898" s="40">
        <v>2</v>
      </c>
      <c r="H1898" s="40">
        <v>3</v>
      </c>
      <c r="I1898" s="1">
        <f t="shared" si="89"/>
        <v>-1</v>
      </c>
      <c r="J1898" s="1">
        <f t="shared" si="87"/>
        <v>0</v>
      </c>
      <c r="K1898" s="1">
        <f t="shared" si="88"/>
        <v>1</v>
      </c>
    </row>
    <row r="1899" spans="4:11" ht="15.75" thickBot="1">
      <c r="D1899" s="95"/>
      <c r="E1899" s="45" t="s">
        <v>27</v>
      </c>
      <c r="F1899" s="45" t="s">
        <v>21</v>
      </c>
      <c r="G1899" s="40"/>
      <c r="H1899" s="40"/>
      <c r="I1899" s="1" t="str">
        <f t="shared" si="89"/>
        <v/>
      </c>
      <c r="J1899" s="1" t="str">
        <f t="shared" si="87"/>
        <v/>
      </c>
      <c r="K1899" s="1" t="str">
        <f t="shared" si="88"/>
        <v/>
      </c>
    </row>
    <row r="1900" spans="4:11">
      <c r="D1900" s="92" t="s">
        <v>273</v>
      </c>
      <c r="E1900" s="43"/>
      <c r="F1900" s="43"/>
      <c r="G1900" s="40">
        <v>4</v>
      </c>
      <c r="H1900" s="40">
        <v>1</v>
      </c>
      <c r="I1900" s="1">
        <f t="shared" si="89"/>
        <v>3</v>
      </c>
      <c r="J1900" s="1">
        <f t="shared" si="87"/>
        <v>0</v>
      </c>
      <c r="K1900" s="1">
        <f t="shared" si="88"/>
        <v>9</v>
      </c>
    </row>
    <row r="1901" spans="4:11" ht="15.75" thickBot="1">
      <c r="D1901" s="93"/>
      <c r="E1901" s="44" t="s">
        <v>10</v>
      </c>
      <c r="F1901" s="44" t="s">
        <v>26</v>
      </c>
      <c r="G1901" s="40"/>
      <c r="H1901" s="40"/>
      <c r="I1901" s="1" t="str">
        <f t="shared" si="89"/>
        <v/>
      </c>
      <c r="J1901" s="1" t="str">
        <f t="shared" si="87"/>
        <v/>
      </c>
      <c r="K1901" s="1" t="str">
        <f t="shared" si="88"/>
        <v/>
      </c>
    </row>
    <row r="1902" spans="4:11">
      <c r="D1902" s="94" t="s">
        <v>273</v>
      </c>
      <c r="E1902" s="42"/>
      <c r="F1902" s="42"/>
      <c r="G1902" s="40">
        <v>5</v>
      </c>
      <c r="H1902" s="40">
        <v>2</v>
      </c>
      <c r="I1902" s="1">
        <f t="shared" si="89"/>
        <v>3</v>
      </c>
      <c r="J1902" s="1">
        <f t="shared" si="87"/>
        <v>0</v>
      </c>
      <c r="K1902" s="1">
        <f t="shared" si="88"/>
        <v>9</v>
      </c>
    </row>
    <row r="1903" spans="4:11" ht="15.75" thickBot="1">
      <c r="D1903" s="95"/>
      <c r="E1903" s="45" t="s">
        <v>6</v>
      </c>
      <c r="F1903" s="45" t="s">
        <v>24</v>
      </c>
      <c r="G1903" s="40"/>
      <c r="H1903" s="40"/>
      <c r="I1903" s="1" t="str">
        <f t="shared" si="89"/>
        <v/>
      </c>
      <c r="J1903" s="1" t="str">
        <f t="shared" si="87"/>
        <v/>
      </c>
      <c r="K1903" s="1" t="str">
        <f t="shared" si="88"/>
        <v/>
      </c>
    </row>
    <row r="1904" spans="4:11">
      <c r="D1904" s="92" t="s">
        <v>273</v>
      </c>
      <c r="E1904" s="43"/>
      <c r="F1904" s="43"/>
      <c r="G1904" s="40">
        <v>6</v>
      </c>
      <c r="H1904" s="40">
        <v>2</v>
      </c>
      <c r="I1904" s="1">
        <f t="shared" si="89"/>
        <v>4</v>
      </c>
      <c r="J1904" s="1">
        <f t="shared" si="87"/>
        <v>0</v>
      </c>
      <c r="K1904" s="1">
        <f t="shared" si="88"/>
        <v>16</v>
      </c>
    </row>
    <row r="1905" spans="4:11" ht="15.75" thickBot="1">
      <c r="D1905" s="93"/>
      <c r="E1905" s="44" t="s">
        <v>5</v>
      </c>
      <c r="F1905" s="44" t="s">
        <v>3</v>
      </c>
      <c r="G1905" s="40"/>
      <c r="H1905" s="40"/>
      <c r="I1905" s="1" t="str">
        <f t="shared" si="89"/>
        <v/>
      </c>
      <c r="J1905" s="1" t="str">
        <f t="shared" si="87"/>
        <v/>
      </c>
      <c r="K1905" s="1" t="str">
        <f t="shared" si="88"/>
        <v/>
      </c>
    </row>
    <row r="1906" spans="4:11">
      <c r="D1906" s="94" t="s">
        <v>274</v>
      </c>
      <c r="E1906" s="42"/>
      <c r="F1906" s="42"/>
      <c r="G1906" s="40">
        <v>3</v>
      </c>
      <c r="H1906" s="40">
        <v>1</v>
      </c>
      <c r="I1906" s="1">
        <f t="shared" si="89"/>
        <v>2</v>
      </c>
      <c r="J1906" s="1">
        <f t="shared" si="87"/>
        <v>0</v>
      </c>
      <c r="K1906" s="1">
        <f t="shared" si="88"/>
        <v>4</v>
      </c>
    </row>
    <row r="1907" spans="4:11" ht="15.75" thickBot="1">
      <c r="D1907" s="95"/>
      <c r="E1907" s="45" t="s">
        <v>18</v>
      </c>
      <c r="F1907" s="45" t="s">
        <v>25</v>
      </c>
      <c r="G1907" s="40"/>
      <c r="H1907" s="40"/>
      <c r="I1907" s="1" t="str">
        <f t="shared" si="89"/>
        <v/>
      </c>
      <c r="J1907" s="1" t="str">
        <f t="shared" si="87"/>
        <v/>
      </c>
      <c r="K1907" s="1" t="str">
        <f t="shared" si="88"/>
        <v/>
      </c>
    </row>
    <row r="1908" spans="4:11">
      <c r="D1908" s="92" t="s">
        <v>274</v>
      </c>
      <c r="E1908" s="43"/>
      <c r="F1908" s="43"/>
      <c r="G1908" s="40">
        <v>1</v>
      </c>
      <c r="H1908" s="40">
        <v>2</v>
      </c>
      <c r="I1908" s="1">
        <f t="shared" si="89"/>
        <v>-1</v>
      </c>
      <c r="J1908" s="1">
        <f t="shared" si="87"/>
        <v>0</v>
      </c>
      <c r="K1908" s="1">
        <f t="shared" si="88"/>
        <v>1</v>
      </c>
    </row>
    <row r="1909" spans="4:11" ht="15.75" thickBot="1">
      <c r="D1909" s="93"/>
      <c r="E1909" s="44" t="s">
        <v>16</v>
      </c>
      <c r="F1909" s="44" t="s">
        <v>13</v>
      </c>
      <c r="G1909" s="40"/>
      <c r="H1909" s="40"/>
      <c r="I1909" s="1" t="str">
        <f t="shared" si="89"/>
        <v/>
      </c>
      <c r="J1909" s="1" t="str">
        <f t="shared" si="87"/>
        <v/>
      </c>
      <c r="K1909" s="1" t="str">
        <f t="shared" si="88"/>
        <v/>
      </c>
    </row>
    <row r="1910" spans="4:11">
      <c r="D1910" s="94" t="s">
        <v>274</v>
      </c>
      <c r="E1910" s="42"/>
      <c r="F1910" s="42"/>
      <c r="G1910" s="40">
        <v>1</v>
      </c>
      <c r="H1910" s="40">
        <v>3</v>
      </c>
      <c r="I1910" s="1">
        <f t="shared" si="89"/>
        <v>-2</v>
      </c>
      <c r="J1910" s="1">
        <f t="shared" si="87"/>
        <v>0</v>
      </c>
      <c r="K1910" s="1">
        <f t="shared" si="88"/>
        <v>4</v>
      </c>
    </row>
    <row r="1911" spans="4:11" ht="15.75" thickBot="1">
      <c r="D1911" s="95"/>
      <c r="E1911" s="45" t="s">
        <v>11</v>
      </c>
      <c r="F1911" s="45" t="s">
        <v>22</v>
      </c>
      <c r="G1911" s="40"/>
      <c r="H1911" s="40"/>
      <c r="I1911" s="1" t="str">
        <f t="shared" si="89"/>
        <v/>
      </c>
      <c r="J1911" s="1" t="str">
        <f t="shared" si="87"/>
        <v/>
      </c>
      <c r="K1911" s="1" t="str">
        <f t="shared" si="88"/>
        <v/>
      </c>
    </row>
    <row r="1912" spans="4:11">
      <c r="D1912" s="92" t="s">
        <v>274</v>
      </c>
      <c r="E1912" s="43"/>
      <c r="F1912" s="43"/>
      <c r="G1912" s="40">
        <v>1</v>
      </c>
      <c r="H1912" s="40">
        <v>3</v>
      </c>
      <c r="I1912" s="1">
        <f t="shared" si="89"/>
        <v>-2</v>
      </c>
      <c r="J1912" s="1">
        <f t="shared" si="87"/>
        <v>0</v>
      </c>
      <c r="K1912" s="1">
        <f t="shared" si="88"/>
        <v>4</v>
      </c>
    </row>
    <row r="1913" spans="4:11" ht="15.75" thickBot="1">
      <c r="D1913" s="93"/>
      <c r="E1913" s="44" t="s">
        <v>230</v>
      </c>
      <c r="F1913" s="44" t="s">
        <v>10</v>
      </c>
      <c r="G1913" s="40"/>
      <c r="H1913" s="40"/>
      <c r="I1913" s="1" t="str">
        <f t="shared" si="89"/>
        <v/>
      </c>
      <c r="J1913" s="1" t="str">
        <f t="shared" si="87"/>
        <v/>
      </c>
      <c r="K1913" s="1" t="str">
        <f t="shared" si="88"/>
        <v/>
      </c>
    </row>
    <row r="1914" spans="4:11">
      <c r="D1914" s="94" t="s">
        <v>275</v>
      </c>
      <c r="E1914" s="42"/>
      <c r="F1914" s="42"/>
      <c r="G1914" s="40">
        <v>4</v>
      </c>
      <c r="H1914" s="40">
        <v>3</v>
      </c>
      <c r="I1914" s="1">
        <f t="shared" si="89"/>
        <v>1</v>
      </c>
      <c r="J1914" s="1">
        <f t="shared" si="87"/>
        <v>0</v>
      </c>
      <c r="K1914" s="1">
        <f t="shared" si="88"/>
        <v>1</v>
      </c>
    </row>
    <row r="1915" spans="4:11" ht="15.75" thickBot="1">
      <c r="D1915" s="95"/>
      <c r="E1915" s="45" t="s">
        <v>4</v>
      </c>
      <c r="F1915" s="45" t="s">
        <v>2</v>
      </c>
      <c r="G1915" s="40"/>
      <c r="H1915" s="40"/>
      <c r="I1915" s="1" t="str">
        <f t="shared" si="89"/>
        <v/>
      </c>
      <c r="J1915" s="1" t="str">
        <f t="shared" si="87"/>
        <v/>
      </c>
      <c r="K1915" s="1" t="str">
        <f t="shared" si="88"/>
        <v/>
      </c>
    </row>
    <row r="1916" spans="4:11">
      <c r="D1916" s="92" t="s">
        <v>275</v>
      </c>
      <c r="E1916" s="43"/>
      <c r="F1916" s="43"/>
      <c r="G1916" s="40">
        <v>1</v>
      </c>
      <c r="H1916" s="40">
        <v>3</v>
      </c>
      <c r="I1916" s="1">
        <f t="shared" si="89"/>
        <v>-2</v>
      </c>
      <c r="J1916" s="1">
        <f t="shared" si="87"/>
        <v>0</v>
      </c>
      <c r="K1916" s="1">
        <f t="shared" si="88"/>
        <v>4</v>
      </c>
    </row>
    <row r="1917" spans="4:11" ht="15.75" thickBot="1">
      <c r="D1917" s="93"/>
      <c r="E1917" s="44" t="s">
        <v>17</v>
      </c>
      <c r="F1917" s="44" t="s">
        <v>1</v>
      </c>
      <c r="G1917" s="40"/>
      <c r="H1917" s="40"/>
      <c r="I1917" s="1" t="str">
        <f t="shared" si="89"/>
        <v/>
      </c>
      <c r="J1917" s="1" t="str">
        <f t="shared" si="87"/>
        <v/>
      </c>
      <c r="K1917" s="1" t="str">
        <f t="shared" si="88"/>
        <v/>
      </c>
    </row>
    <row r="1918" spans="4:11">
      <c r="D1918" s="94" t="s">
        <v>275</v>
      </c>
      <c r="E1918" s="42"/>
      <c r="F1918" s="42"/>
      <c r="G1918" s="40">
        <v>2</v>
      </c>
      <c r="H1918" s="40">
        <v>1</v>
      </c>
      <c r="I1918" s="1">
        <f t="shared" si="89"/>
        <v>1</v>
      </c>
      <c r="J1918" s="1">
        <f t="shared" si="87"/>
        <v>0</v>
      </c>
      <c r="K1918" s="1">
        <f t="shared" si="88"/>
        <v>1</v>
      </c>
    </row>
    <row r="1919" spans="4:11" ht="15.75" thickBot="1">
      <c r="D1919" s="95"/>
      <c r="E1919" s="45" t="s">
        <v>23</v>
      </c>
      <c r="F1919" s="45" t="s">
        <v>12</v>
      </c>
      <c r="G1919" s="40"/>
      <c r="H1919" s="40"/>
      <c r="I1919" s="1" t="str">
        <f t="shared" si="89"/>
        <v/>
      </c>
      <c r="J1919" s="1" t="str">
        <f t="shared" si="87"/>
        <v/>
      </c>
      <c r="K1919" s="1" t="str">
        <f t="shared" si="88"/>
        <v/>
      </c>
    </row>
    <row r="1920" spans="4:11">
      <c r="D1920" s="92" t="s">
        <v>275</v>
      </c>
      <c r="E1920" s="43"/>
      <c r="F1920" s="43"/>
      <c r="G1920" s="40">
        <v>2</v>
      </c>
      <c r="H1920" s="40">
        <v>4</v>
      </c>
      <c r="I1920" s="1">
        <f t="shared" si="89"/>
        <v>-2</v>
      </c>
      <c r="J1920" s="1">
        <f t="shared" si="87"/>
        <v>0</v>
      </c>
      <c r="K1920" s="1">
        <f t="shared" si="88"/>
        <v>4</v>
      </c>
    </row>
    <row r="1921" spans="4:11" ht="15.75" thickBot="1">
      <c r="D1921" s="93"/>
      <c r="E1921" s="44" t="s">
        <v>0</v>
      </c>
      <c r="F1921" s="44" t="s">
        <v>15</v>
      </c>
      <c r="G1921" s="40"/>
      <c r="H1921" s="40"/>
      <c r="I1921" s="1" t="str">
        <f t="shared" si="89"/>
        <v/>
      </c>
      <c r="J1921" s="1" t="str">
        <f t="shared" ref="J1921:J1984" si="90">IF(F1922="","",VLOOKUP(F1922,$A$2:$B$31,2)+$B$33-VLOOKUP(E1922,$A$2:$B$31,2))</f>
        <v/>
      </c>
      <c r="K1921" s="1" t="str">
        <f t="shared" si="88"/>
        <v/>
      </c>
    </row>
    <row r="1922" spans="4:11">
      <c r="D1922" s="94" t="s">
        <v>275</v>
      </c>
      <c r="E1922" s="42"/>
      <c r="F1922" s="42"/>
      <c r="G1922" s="40">
        <v>4</v>
      </c>
      <c r="H1922" s="40">
        <v>3</v>
      </c>
      <c r="I1922" s="1">
        <f t="shared" ref="I1922:I1985" si="91">IF(G1922="","",G1922-H1922)</f>
        <v>1</v>
      </c>
      <c r="J1922" s="1">
        <f t="shared" si="90"/>
        <v>0</v>
      </c>
      <c r="K1922" s="1">
        <f t="shared" si="88"/>
        <v>1</v>
      </c>
    </row>
    <row r="1923" spans="4:11" ht="15.75" thickBot="1">
      <c r="D1923" s="95"/>
      <c r="E1923" s="45" t="s">
        <v>21</v>
      </c>
      <c r="F1923" s="45" t="s">
        <v>14</v>
      </c>
      <c r="G1923" s="40"/>
      <c r="H1923" s="40"/>
      <c r="I1923" s="1" t="str">
        <f t="shared" si="91"/>
        <v/>
      </c>
      <c r="J1923" s="1" t="str">
        <f t="shared" si="90"/>
        <v/>
      </c>
      <c r="K1923" s="1" t="str">
        <f t="shared" ref="K1923:K1986" si="92">IF(G1923="","",(I1923-J1923)^2)</f>
        <v/>
      </c>
    </row>
    <row r="1924" spans="4:11">
      <c r="D1924" s="92" t="s">
        <v>275</v>
      </c>
      <c r="E1924" s="43"/>
      <c r="F1924" s="43"/>
      <c r="G1924" s="40">
        <v>4</v>
      </c>
      <c r="H1924" s="40">
        <v>3</v>
      </c>
      <c r="I1924" s="1">
        <f t="shared" si="91"/>
        <v>1</v>
      </c>
      <c r="J1924" s="1">
        <f t="shared" si="90"/>
        <v>0</v>
      </c>
      <c r="K1924" s="1">
        <f t="shared" si="92"/>
        <v>1</v>
      </c>
    </row>
    <row r="1925" spans="4:11" ht="15.75" thickBot="1">
      <c r="D1925" s="93"/>
      <c r="E1925" s="44" t="s">
        <v>27</v>
      </c>
      <c r="F1925" s="44" t="s">
        <v>19</v>
      </c>
      <c r="G1925" s="40"/>
      <c r="H1925" s="40"/>
      <c r="I1925" s="1" t="str">
        <f t="shared" si="91"/>
        <v/>
      </c>
      <c r="J1925" s="1" t="str">
        <f t="shared" si="90"/>
        <v/>
      </c>
      <c r="K1925" s="1" t="str">
        <f t="shared" si="92"/>
        <v/>
      </c>
    </row>
    <row r="1926" spans="4:11">
      <c r="D1926" s="94" t="s">
        <v>275</v>
      </c>
      <c r="E1926" s="42"/>
      <c r="F1926" s="42"/>
      <c r="G1926" s="40">
        <v>2</v>
      </c>
      <c r="H1926" s="40">
        <v>3</v>
      </c>
      <c r="I1926" s="1">
        <f t="shared" si="91"/>
        <v>-1</v>
      </c>
      <c r="J1926" s="1">
        <f t="shared" si="90"/>
        <v>0</v>
      </c>
      <c r="K1926" s="1">
        <f t="shared" si="92"/>
        <v>1</v>
      </c>
    </row>
    <row r="1927" spans="4:11" ht="15.75" thickBot="1">
      <c r="D1927" s="95"/>
      <c r="E1927" s="45" t="s">
        <v>3</v>
      </c>
      <c r="F1927" s="45" t="s">
        <v>26</v>
      </c>
      <c r="G1927" s="40"/>
      <c r="H1927" s="40"/>
      <c r="I1927" s="1" t="str">
        <f t="shared" si="91"/>
        <v/>
      </c>
      <c r="J1927" s="1" t="str">
        <f t="shared" si="90"/>
        <v/>
      </c>
      <c r="K1927" s="1" t="str">
        <f t="shared" si="92"/>
        <v/>
      </c>
    </row>
    <row r="1928" spans="4:11">
      <c r="D1928" s="92" t="s">
        <v>275</v>
      </c>
      <c r="E1928" s="43"/>
      <c r="F1928" s="43"/>
      <c r="G1928" s="40">
        <v>3</v>
      </c>
      <c r="H1928" s="40">
        <v>4</v>
      </c>
      <c r="I1928" s="1">
        <f t="shared" si="91"/>
        <v>-1</v>
      </c>
      <c r="J1928" s="1">
        <f t="shared" si="90"/>
        <v>0</v>
      </c>
      <c r="K1928" s="1">
        <f t="shared" si="92"/>
        <v>1</v>
      </c>
    </row>
    <row r="1929" spans="4:11" ht="15.75" thickBot="1">
      <c r="D1929" s="93"/>
      <c r="E1929" s="44" t="s">
        <v>230</v>
      </c>
      <c r="F1929" s="44" t="s">
        <v>6</v>
      </c>
      <c r="G1929" s="40"/>
      <c r="H1929" s="40"/>
      <c r="I1929" s="1" t="str">
        <f t="shared" si="91"/>
        <v/>
      </c>
      <c r="J1929" s="1" t="str">
        <f t="shared" si="90"/>
        <v/>
      </c>
      <c r="K1929" s="1" t="str">
        <f t="shared" si="92"/>
        <v/>
      </c>
    </row>
    <row r="1930" spans="4:11">
      <c r="D1930" s="94" t="s">
        <v>276</v>
      </c>
      <c r="E1930" s="42"/>
      <c r="F1930" s="42"/>
      <c r="G1930" s="40">
        <v>3</v>
      </c>
      <c r="H1930" s="40">
        <v>2</v>
      </c>
      <c r="I1930" s="1">
        <f t="shared" si="91"/>
        <v>1</v>
      </c>
      <c r="J1930" s="1">
        <f t="shared" si="90"/>
        <v>0</v>
      </c>
      <c r="K1930" s="1">
        <f t="shared" si="92"/>
        <v>1</v>
      </c>
    </row>
    <row r="1931" spans="4:11" ht="15.75" thickBot="1">
      <c r="D1931" s="95"/>
      <c r="E1931" s="45" t="s">
        <v>7</v>
      </c>
      <c r="F1931" s="45" t="s">
        <v>9</v>
      </c>
      <c r="G1931" s="40"/>
      <c r="H1931" s="40"/>
      <c r="I1931" s="1" t="str">
        <f t="shared" si="91"/>
        <v/>
      </c>
      <c r="J1931" s="1" t="str">
        <f t="shared" si="90"/>
        <v/>
      </c>
      <c r="K1931" s="1" t="str">
        <f t="shared" si="92"/>
        <v/>
      </c>
    </row>
    <row r="1932" spans="4:11">
      <c r="D1932" s="92" t="s">
        <v>276</v>
      </c>
      <c r="E1932" s="43"/>
      <c r="F1932" s="43"/>
      <c r="G1932" s="40">
        <v>3</v>
      </c>
      <c r="H1932" s="40">
        <v>1</v>
      </c>
      <c r="I1932" s="1">
        <f t="shared" si="91"/>
        <v>2</v>
      </c>
      <c r="J1932" s="1">
        <f t="shared" si="90"/>
        <v>0</v>
      </c>
      <c r="K1932" s="1">
        <f t="shared" si="92"/>
        <v>4</v>
      </c>
    </row>
    <row r="1933" spans="4:11" ht="15.75" thickBot="1">
      <c r="D1933" s="93"/>
      <c r="E1933" s="44" t="s">
        <v>23</v>
      </c>
      <c r="F1933" s="44" t="s">
        <v>28</v>
      </c>
      <c r="G1933" s="40"/>
      <c r="H1933" s="40"/>
      <c r="I1933" s="1" t="str">
        <f t="shared" si="91"/>
        <v/>
      </c>
      <c r="J1933" s="1" t="str">
        <f t="shared" si="90"/>
        <v/>
      </c>
      <c r="K1933" s="1" t="str">
        <f t="shared" si="92"/>
        <v/>
      </c>
    </row>
    <row r="1934" spans="4:11">
      <c r="D1934" s="94" t="s">
        <v>276</v>
      </c>
      <c r="E1934" s="42"/>
      <c r="F1934" s="42"/>
      <c r="G1934" s="40">
        <v>2</v>
      </c>
      <c r="H1934" s="40">
        <v>3</v>
      </c>
      <c r="I1934" s="1">
        <f t="shared" si="91"/>
        <v>-1</v>
      </c>
      <c r="J1934" s="1">
        <f t="shared" si="90"/>
        <v>-2550</v>
      </c>
      <c r="K1934" s="1">
        <f t="shared" si="92"/>
        <v>6497401</v>
      </c>
    </row>
    <row r="1935" spans="4:11" ht="15.75" thickBot="1">
      <c r="D1935" s="95"/>
      <c r="E1935" s="45" t="s">
        <v>8</v>
      </c>
      <c r="F1935" s="45" t="s">
        <v>18</v>
      </c>
      <c r="G1935" s="40"/>
      <c r="H1935" s="40"/>
      <c r="I1935" s="1" t="str">
        <f t="shared" si="91"/>
        <v/>
      </c>
      <c r="J1935" s="1" t="str">
        <f t="shared" si="90"/>
        <v/>
      </c>
      <c r="K1935" s="1" t="str">
        <f t="shared" si="92"/>
        <v/>
      </c>
    </row>
    <row r="1936" spans="4:11">
      <c r="D1936" s="92" t="s">
        <v>276</v>
      </c>
      <c r="E1936" s="43"/>
      <c r="F1936" s="43"/>
      <c r="G1936" s="40">
        <v>5</v>
      </c>
      <c r="H1936" s="40">
        <v>2</v>
      </c>
      <c r="I1936" s="1">
        <f t="shared" si="91"/>
        <v>3</v>
      </c>
      <c r="J1936" s="1">
        <f t="shared" si="90"/>
        <v>0</v>
      </c>
      <c r="K1936" s="1">
        <f t="shared" si="92"/>
        <v>9</v>
      </c>
    </row>
    <row r="1937" spans="4:11" ht="15.75" thickBot="1">
      <c r="D1937" s="93"/>
      <c r="E1937" s="44" t="s">
        <v>4</v>
      </c>
      <c r="F1937" s="44" t="s">
        <v>13</v>
      </c>
      <c r="G1937" s="40"/>
      <c r="H1937" s="40"/>
      <c r="I1937" s="1" t="str">
        <f t="shared" si="91"/>
        <v/>
      </c>
      <c r="J1937" s="1" t="str">
        <f t="shared" si="90"/>
        <v/>
      </c>
      <c r="K1937" s="1" t="str">
        <f t="shared" si="92"/>
        <v/>
      </c>
    </row>
    <row r="1938" spans="4:11">
      <c r="D1938" s="94" t="s">
        <v>276</v>
      </c>
      <c r="E1938" s="42"/>
      <c r="F1938" s="42"/>
      <c r="G1938" s="40">
        <v>1</v>
      </c>
      <c r="H1938" s="40">
        <v>2</v>
      </c>
      <c r="I1938" s="1">
        <f t="shared" si="91"/>
        <v>-1</v>
      </c>
      <c r="J1938" s="1">
        <f t="shared" si="90"/>
        <v>0</v>
      </c>
      <c r="K1938" s="1">
        <f t="shared" si="92"/>
        <v>1</v>
      </c>
    </row>
    <row r="1939" spans="4:11" ht="15.75" thickBot="1">
      <c r="D1939" s="95"/>
      <c r="E1939" s="45" t="s">
        <v>24</v>
      </c>
      <c r="F1939" s="45" t="s">
        <v>20</v>
      </c>
      <c r="G1939" s="40"/>
      <c r="H1939" s="40"/>
      <c r="I1939" s="1" t="str">
        <f t="shared" si="91"/>
        <v/>
      </c>
      <c r="J1939" s="1" t="str">
        <f t="shared" si="90"/>
        <v/>
      </c>
      <c r="K1939" s="1" t="str">
        <f t="shared" si="92"/>
        <v/>
      </c>
    </row>
    <row r="1940" spans="4:11">
      <c r="D1940" s="92" t="s">
        <v>276</v>
      </c>
      <c r="E1940" s="43"/>
      <c r="F1940" s="43"/>
      <c r="G1940" s="40">
        <v>5</v>
      </c>
      <c r="H1940" s="40">
        <v>2</v>
      </c>
      <c r="I1940" s="1">
        <f t="shared" si="91"/>
        <v>3</v>
      </c>
      <c r="J1940" s="1">
        <f t="shared" si="90"/>
        <v>0</v>
      </c>
      <c r="K1940" s="1">
        <f t="shared" si="92"/>
        <v>9</v>
      </c>
    </row>
    <row r="1941" spans="4:11" ht="15.75" thickBot="1">
      <c r="D1941" s="93"/>
      <c r="E1941" s="44" t="s">
        <v>11</v>
      </c>
      <c r="F1941" s="44" t="s">
        <v>10</v>
      </c>
      <c r="G1941" s="40"/>
      <c r="H1941" s="40"/>
      <c r="I1941" s="1" t="str">
        <f t="shared" si="91"/>
        <v/>
      </c>
      <c r="J1941" s="1" t="str">
        <f t="shared" si="90"/>
        <v/>
      </c>
      <c r="K1941" s="1" t="str">
        <f t="shared" si="92"/>
        <v/>
      </c>
    </row>
    <row r="1942" spans="4:11">
      <c r="D1942" s="94" t="s">
        <v>277</v>
      </c>
      <c r="E1942" s="42"/>
      <c r="F1942" s="42"/>
      <c r="G1942" s="40">
        <v>2</v>
      </c>
      <c r="H1942" s="40">
        <v>3</v>
      </c>
      <c r="I1942" s="1">
        <f t="shared" si="91"/>
        <v>-1</v>
      </c>
      <c r="J1942" s="1">
        <f t="shared" si="90"/>
        <v>0</v>
      </c>
      <c r="K1942" s="1">
        <f t="shared" si="92"/>
        <v>1</v>
      </c>
    </row>
    <row r="1943" spans="4:11" ht="15.75" thickBot="1">
      <c r="D1943" s="95"/>
      <c r="E1943" s="45" t="s">
        <v>1</v>
      </c>
      <c r="F1943" s="45" t="s">
        <v>2</v>
      </c>
      <c r="G1943" s="40"/>
      <c r="H1943" s="40"/>
      <c r="I1943" s="1" t="str">
        <f t="shared" si="91"/>
        <v/>
      </c>
      <c r="J1943" s="1" t="str">
        <f t="shared" si="90"/>
        <v/>
      </c>
      <c r="K1943" s="1" t="str">
        <f t="shared" si="92"/>
        <v/>
      </c>
    </row>
    <row r="1944" spans="4:11">
      <c r="D1944" s="92" t="s">
        <v>277</v>
      </c>
      <c r="E1944" s="43"/>
      <c r="F1944" s="43"/>
      <c r="G1944" s="40">
        <v>6</v>
      </c>
      <c r="H1944" s="40">
        <v>1</v>
      </c>
      <c r="I1944" s="1">
        <f t="shared" si="91"/>
        <v>5</v>
      </c>
      <c r="J1944" s="1">
        <f t="shared" si="90"/>
        <v>0</v>
      </c>
      <c r="K1944" s="1">
        <f t="shared" si="92"/>
        <v>25</v>
      </c>
    </row>
    <row r="1945" spans="4:11" ht="15.75" thickBot="1">
      <c r="D1945" s="93"/>
      <c r="E1945" s="44" t="s">
        <v>17</v>
      </c>
      <c r="F1945" s="44" t="s">
        <v>0</v>
      </c>
      <c r="G1945" s="40"/>
      <c r="H1945" s="40"/>
      <c r="I1945" s="1" t="str">
        <f t="shared" si="91"/>
        <v/>
      </c>
      <c r="J1945" s="1" t="str">
        <f t="shared" si="90"/>
        <v/>
      </c>
      <c r="K1945" s="1" t="str">
        <f t="shared" si="92"/>
        <v/>
      </c>
    </row>
    <row r="1946" spans="4:11">
      <c r="D1946" s="94" t="s">
        <v>277</v>
      </c>
      <c r="E1946" s="42"/>
      <c r="F1946" s="42"/>
      <c r="G1946" s="40">
        <v>4</v>
      </c>
      <c r="H1946" s="40">
        <v>5</v>
      </c>
      <c r="I1946" s="1">
        <f t="shared" si="91"/>
        <v>-1</v>
      </c>
      <c r="J1946" s="1">
        <f t="shared" si="90"/>
        <v>0</v>
      </c>
      <c r="K1946" s="1">
        <f t="shared" si="92"/>
        <v>1</v>
      </c>
    </row>
    <row r="1947" spans="4:11" ht="15.75" thickBot="1">
      <c r="D1947" s="95"/>
      <c r="E1947" s="45" t="s">
        <v>21</v>
      </c>
      <c r="F1947" s="45" t="s">
        <v>15</v>
      </c>
      <c r="G1947" s="40"/>
      <c r="H1947" s="40"/>
      <c r="I1947" s="1" t="str">
        <f t="shared" si="91"/>
        <v/>
      </c>
      <c r="J1947" s="1" t="str">
        <f t="shared" si="90"/>
        <v/>
      </c>
      <c r="K1947" s="1" t="str">
        <f t="shared" si="92"/>
        <v/>
      </c>
    </row>
    <row r="1948" spans="4:11">
      <c r="D1948" s="92" t="s">
        <v>277</v>
      </c>
      <c r="E1948" s="43"/>
      <c r="F1948" s="43"/>
      <c r="G1948" s="40">
        <v>3</v>
      </c>
      <c r="H1948" s="40">
        <v>4</v>
      </c>
      <c r="I1948" s="1">
        <f t="shared" si="91"/>
        <v>-1</v>
      </c>
      <c r="J1948" s="1">
        <f t="shared" si="90"/>
        <v>0</v>
      </c>
      <c r="K1948" s="1">
        <f t="shared" si="92"/>
        <v>1</v>
      </c>
    </row>
    <row r="1949" spans="4:11" ht="15.75" thickBot="1">
      <c r="D1949" s="93"/>
      <c r="E1949" s="44" t="s">
        <v>27</v>
      </c>
      <c r="F1949" s="44" t="s">
        <v>14</v>
      </c>
      <c r="G1949" s="40"/>
      <c r="H1949" s="40"/>
      <c r="I1949" s="1" t="str">
        <f t="shared" si="91"/>
        <v/>
      </c>
      <c r="J1949" s="1" t="str">
        <f t="shared" si="90"/>
        <v/>
      </c>
      <c r="K1949" s="1" t="str">
        <f t="shared" si="92"/>
        <v/>
      </c>
    </row>
    <row r="1950" spans="4:11">
      <c r="D1950" s="94" t="s">
        <v>277</v>
      </c>
      <c r="E1950" s="42"/>
      <c r="F1950" s="42"/>
      <c r="G1950" s="40">
        <v>1</v>
      </c>
      <c r="H1950" s="40">
        <v>6</v>
      </c>
      <c r="I1950" s="1">
        <f t="shared" si="91"/>
        <v>-5</v>
      </c>
      <c r="J1950" s="1">
        <f t="shared" si="90"/>
        <v>-2550</v>
      </c>
      <c r="K1950" s="1">
        <f t="shared" si="92"/>
        <v>6477025</v>
      </c>
    </row>
    <row r="1951" spans="4:11" ht="15.75" thickBot="1">
      <c r="D1951" s="95"/>
      <c r="E1951" s="45" t="s">
        <v>8</v>
      </c>
      <c r="F1951" s="45" t="s">
        <v>12</v>
      </c>
      <c r="G1951" s="40"/>
      <c r="H1951" s="40"/>
      <c r="I1951" s="1" t="str">
        <f t="shared" si="91"/>
        <v/>
      </c>
      <c r="J1951" s="1" t="str">
        <f t="shared" si="90"/>
        <v/>
      </c>
      <c r="K1951" s="1" t="str">
        <f t="shared" si="92"/>
        <v/>
      </c>
    </row>
    <row r="1952" spans="4:11">
      <c r="D1952" s="92" t="s">
        <v>277</v>
      </c>
      <c r="E1952" s="43"/>
      <c r="F1952" s="43"/>
      <c r="G1952" s="40">
        <v>4</v>
      </c>
      <c r="H1952" s="40">
        <v>0</v>
      </c>
      <c r="I1952" s="1">
        <f t="shared" si="91"/>
        <v>4</v>
      </c>
      <c r="J1952" s="1">
        <f t="shared" si="90"/>
        <v>0</v>
      </c>
      <c r="K1952" s="1">
        <f t="shared" si="92"/>
        <v>16</v>
      </c>
    </row>
    <row r="1953" spans="4:11" ht="15.75" thickBot="1">
      <c r="D1953" s="93"/>
      <c r="E1953" s="44" t="s">
        <v>22</v>
      </c>
      <c r="F1953" s="44" t="s">
        <v>7</v>
      </c>
      <c r="G1953" s="40"/>
      <c r="H1953" s="40"/>
      <c r="I1953" s="1" t="str">
        <f t="shared" si="91"/>
        <v/>
      </c>
      <c r="J1953" s="1" t="str">
        <f t="shared" si="90"/>
        <v/>
      </c>
      <c r="K1953" s="1" t="str">
        <f t="shared" si="92"/>
        <v/>
      </c>
    </row>
    <row r="1954" spans="4:11">
      <c r="D1954" s="94" t="s">
        <v>277</v>
      </c>
      <c r="E1954" s="42"/>
      <c r="F1954" s="42"/>
      <c r="G1954" s="40">
        <v>3</v>
      </c>
      <c r="H1954" s="40">
        <v>1</v>
      </c>
      <c r="I1954" s="1">
        <f t="shared" si="91"/>
        <v>2</v>
      </c>
      <c r="J1954" s="1">
        <f t="shared" si="90"/>
        <v>0</v>
      </c>
      <c r="K1954" s="1">
        <f t="shared" si="92"/>
        <v>4</v>
      </c>
    </row>
    <row r="1955" spans="4:11" ht="15.75" thickBot="1">
      <c r="D1955" s="95"/>
      <c r="E1955" s="45" t="s">
        <v>25</v>
      </c>
      <c r="F1955" s="45" t="s">
        <v>19</v>
      </c>
      <c r="G1955" s="40"/>
      <c r="H1955" s="40"/>
      <c r="I1955" s="1" t="str">
        <f t="shared" si="91"/>
        <v/>
      </c>
      <c r="J1955" s="1" t="str">
        <f t="shared" si="90"/>
        <v/>
      </c>
      <c r="K1955" s="1" t="str">
        <f t="shared" si="92"/>
        <v/>
      </c>
    </row>
    <row r="1956" spans="4:11">
      <c r="D1956" s="92" t="s">
        <v>277</v>
      </c>
      <c r="E1956" s="43"/>
      <c r="F1956" s="43"/>
      <c r="G1956" s="40">
        <v>2</v>
      </c>
      <c r="H1956" s="40">
        <v>0</v>
      </c>
      <c r="I1956" s="1">
        <f t="shared" si="91"/>
        <v>2</v>
      </c>
      <c r="J1956" s="1">
        <f t="shared" si="90"/>
        <v>0</v>
      </c>
      <c r="K1956" s="1">
        <f t="shared" si="92"/>
        <v>4</v>
      </c>
    </row>
    <row r="1957" spans="4:11" ht="15.75" thickBot="1">
      <c r="D1957" s="93"/>
      <c r="E1957" s="44" t="s">
        <v>230</v>
      </c>
      <c r="F1957" s="44" t="s">
        <v>26</v>
      </c>
      <c r="G1957" s="40"/>
      <c r="H1957" s="40"/>
      <c r="I1957" s="1" t="str">
        <f t="shared" si="91"/>
        <v/>
      </c>
      <c r="J1957" s="1" t="str">
        <f t="shared" si="90"/>
        <v/>
      </c>
      <c r="K1957" s="1" t="str">
        <f t="shared" si="92"/>
        <v/>
      </c>
    </row>
    <row r="1958" spans="4:11">
      <c r="D1958" s="94" t="s">
        <v>277</v>
      </c>
      <c r="E1958" s="42"/>
      <c r="F1958" s="42"/>
      <c r="G1958" s="40">
        <v>1</v>
      </c>
      <c r="H1958" s="40">
        <v>0</v>
      </c>
      <c r="I1958" s="1">
        <f t="shared" si="91"/>
        <v>1</v>
      </c>
      <c r="J1958" s="1">
        <f t="shared" si="90"/>
        <v>0</v>
      </c>
      <c r="K1958" s="1">
        <f t="shared" si="92"/>
        <v>1</v>
      </c>
    </row>
    <row r="1959" spans="4:11" ht="15.75" thickBot="1">
      <c r="D1959" s="95"/>
      <c r="E1959" s="45" t="s">
        <v>11</v>
      </c>
      <c r="F1959" s="45" t="s">
        <v>6</v>
      </c>
      <c r="G1959" s="40"/>
      <c r="H1959" s="40"/>
      <c r="I1959" s="1" t="str">
        <f t="shared" si="91"/>
        <v/>
      </c>
      <c r="J1959" s="1" t="str">
        <f t="shared" si="90"/>
        <v/>
      </c>
      <c r="K1959" s="1" t="str">
        <f t="shared" si="92"/>
        <v/>
      </c>
    </row>
    <row r="1960" spans="4:11">
      <c r="D1960" s="92" t="s">
        <v>277</v>
      </c>
      <c r="E1960" s="43"/>
      <c r="F1960" s="43"/>
      <c r="G1960" s="40">
        <v>3</v>
      </c>
      <c r="H1960" s="40">
        <v>2</v>
      </c>
      <c r="I1960" s="1">
        <f t="shared" si="91"/>
        <v>1</v>
      </c>
      <c r="J1960" s="1">
        <f t="shared" si="90"/>
        <v>0</v>
      </c>
      <c r="K1960" s="1">
        <f t="shared" si="92"/>
        <v>1</v>
      </c>
    </row>
    <row r="1961" spans="4:11" ht="15.75" thickBot="1">
      <c r="D1961" s="93"/>
      <c r="E1961" s="44" t="s">
        <v>3</v>
      </c>
      <c r="F1961" s="44" t="s">
        <v>5</v>
      </c>
      <c r="G1961" s="40"/>
      <c r="H1961" s="40"/>
      <c r="I1961" s="1" t="str">
        <f t="shared" si="91"/>
        <v/>
      </c>
      <c r="J1961" s="1" t="str">
        <f t="shared" si="90"/>
        <v/>
      </c>
      <c r="K1961" s="1" t="str">
        <f t="shared" si="92"/>
        <v/>
      </c>
    </row>
    <row r="1962" spans="4:11">
      <c r="D1962" s="94" t="s">
        <v>278</v>
      </c>
      <c r="E1962" s="42"/>
      <c r="F1962" s="42"/>
      <c r="G1962" s="40">
        <v>3</v>
      </c>
      <c r="H1962" s="40">
        <v>5</v>
      </c>
      <c r="I1962" s="1">
        <f t="shared" si="91"/>
        <v>-2</v>
      </c>
      <c r="J1962" s="1">
        <f t="shared" si="90"/>
        <v>0</v>
      </c>
      <c r="K1962" s="1">
        <f t="shared" si="92"/>
        <v>4</v>
      </c>
    </row>
    <row r="1963" spans="4:11" ht="15.75" thickBot="1">
      <c r="D1963" s="95"/>
      <c r="E1963" s="45" t="s">
        <v>13</v>
      </c>
      <c r="F1963" s="45" t="s">
        <v>2</v>
      </c>
      <c r="G1963" s="40"/>
      <c r="H1963" s="40"/>
      <c r="I1963" s="1" t="str">
        <f t="shared" si="91"/>
        <v/>
      </c>
      <c r="J1963" s="1" t="str">
        <f t="shared" si="90"/>
        <v/>
      </c>
      <c r="K1963" s="1" t="str">
        <f t="shared" si="92"/>
        <v/>
      </c>
    </row>
    <row r="1964" spans="4:11">
      <c r="D1964" s="92" t="s">
        <v>278</v>
      </c>
      <c r="E1964" s="43"/>
      <c r="F1964" s="43"/>
      <c r="G1964" s="40">
        <v>4</v>
      </c>
      <c r="H1964" s="40">
        <v>7</v>
      </c>
      <c r="I1964" s="1">
        <f t="shared" si="91"/>
        <v>-3</v>
      </c>
      <c r="J1964" s="1">
        <f t="shared" si="90"/>
        <v>0</v>
      </c>
      <c r="K1964" s="1">
        <f t="shared" si="92"/>
        <v>9</v>
      </c>
    </row>
    <row r="1965" spans="4:11" ht="15.75" thickBot="1">
      <c r="D1965" s="93"/>
      <c r="E1965" s="44" t="s">
        <v>24</v>
      </c>
      <c r="F1965" s="44" t="s">
        <v>28</v>
      </c>
      <c r="G1965" s="40"/>
      <c r="H1965" s="40"/>
      <c r="I1965" s="1" t="str">
        <f t="shared" si="91"/>
        <v/>
      </c>
      <c r="J1965" s="1" t="str">
        <f t="shared" si="90"/>
        <v/>
      </c>
      <c r="K1965" s="1" t="str">
        <f t="shared" si="92"/>
        <v/>
      </c>
    </row>
    <row r="1966" spans="4:11">
      <c r="D1966" s="94" t="s">
        <v>278</v>
      </c>
      <c r="E1966" s="42"/>
      <c r="F1966" s="42"/>
      <c r="G1966" s="40">
        <v>2</v>
      </c>
      <c r="H1966" s="40">
        <v>5</v>
      </c>
      <c r="I1966" s="1">
        <f t="shared" si="91"/>
        <v>-3</v>
      </c>
      <c r="J1966" s="1">
        <f t="shared" si="90"/>
        <v>0</v>
      </c>
      <c r="K1966" s="1">
        <f t="shared" si="92"/>
        <v>9</v>
      </c>
    </row>
    <row r="1967" spans="4:11" ht="15.75" thickBot="1">
      <c r="D1967" s="95"/>
      <c r="E1967" s="45" t="s">
        <v>1</v>
      </c>
      <c r="F1967" s="45" t="s">
        <v>9</v>
      </c>
      <c r="G1967" s="40"/>
      <c r="H1967" s="40"/>
      <c r="I1967" s="1" t="str">
        <f t="shared" si="91"/>
        <v/>
      </c>
      <c r="J1967" s="1" t="str">
        <f t="shared" si="90"/>
        <v/>
      </c>
      <c r="K1967" s="1" t="str">
        <f t="shared" si="92"/>
        <v/>
      </c>
    </row>
    <row r="1968" spans="4:11">
      <c r="D1968" s="92" t="s">
        <v>278</v>
      </c>
      <c r="E1968" s="43"/>
      <c r="F1968" s="43"/>
      <c r="G1968" s="40">
        <v>3</v>
      </c>
      <c r="H1968" s="40">
        <v>2</v>
      </c>
      <c r="I1968" s="1">
        <f t="shared" si="91"/>
        <v>1</v>
      </c>
      <c r="J1968" s="1">
        <f t="shared" si="90"/>
        <v>0</v>
      </c>
      <c r="K1968" s="1">
        <f t="shared" si="92"/>
        <v>1</v>
      </c>
    </row>
    <row r="1969" spans="4:11" ht="15.75" thickBot="1">
      <c r="D1969" s="93"/>
      <c r="E1969" s="44" t="s">
        <v>22</v>
      </c>
      <c r="F1969" s="44" t="s">
        <v>23</v>
      </c>
      <c r="G1969" s="40"/>
      <c r="H1969" s="40"/>
      <c r="I1969" s="1" t="str">
        <f t="shared" si="91"/>
        <v/>
      </c>
      <c r="J1969" s="1" t="str">
        <f t="shared" si="90"/>
        <v/>
      </c>
      <c r="K1969" s="1" t="str">
        <f t="shared" si="92"/>
        <v/>
      </c>
    </row>
    <row r="1970" spans="4:11">
      <c r="D1970" s="94" t="s">
        <v>278</v>
      </c>
      <c r="E1970" s="42"/>
      <c r="F1970" s="42"/>
      <c r="G1970" s="40">
        <v>4</v>
      </c>
      <c r="H1970" s="40">
        <v>5</v>
      </c>
      <c r="I1970" s="1">
        <f t="shared" si="91"/>
        <v>-1</v>
      </c>
      <c r="J1970" s="1">
        <f t="shared" si="90"/>
        <v>0</v>
      </c>
      <c r="K1970" s="1">
        <f t="shared" si="92"/>
        <v>1</v>
      </c>
    </row>
    <row r="1971" spans="4:11" ht="15.75" thickBot="1">
      <c r="D1971" s="95"/>
      <c r="E1971" s="45" t="s">
        <v>4</v>
      </c>
      <c r="F1971" s="45" t="s">
        <v>18</v>
      </c>
      <c r="G1971" s="40"/>
      <c r="H1971" s="40"/>
      <c r="I1971" s="1" t="str">
        <f t="shared" si="91"/>
        <v/>
      </c>
      <c r="J1971" s="1" t="str">
        <f t="shared" si="90"/>
        <v/>
      </c>
      <c r="K1971" s="1" t="str">
        <f t="shared" si="92"/>
        <v/>
      </c>
    </row>
    <row r="1972" spans="4:11">
      <c r="D1972" s="92" t="s">
        <v>278</v>
      </c>
      <c r="E1972" s="43"/>
      <c r="F1972" s="43"/>
      <c r="G1972" s="40">
        <v>1</v>
      </c>
      <c r="H1972" s="40">
        <v>0</v>
      </c>
      <c r="I1972" s="1">
        <f t="shared" si="91"/>
        <v>1</v>
      </c>
      <c r="J1972" s="1">
        <f t="shared" si="90"/>
        <v>0</v>
      </c>
      <c r="K1972" s="1">
        <f t="shared" si="92"/>
        <v>1</v>
      </c>
    </row>
    <row r="1973" spans="4:11" ht="15.75" thickBot="1">
      <c r="D1973" s="93"/>
      <c r="E1973" s="44" t="s">
        <v>16</v>
      </c>
      <c r="F1973" s="44" t="s">
        <v>20</v>
      </c>
      <c r="G1973" s="40"/>
      <c r="H1973" s="40"/>
      <c r="I1973" s="1" t="str">
        <f t="shared" si="91"/>
        <v/>
      </c>
      <c r="J1973" s="1" t="str">
        <f t="shared" si="90"/>
        <v/>
      </c>
      <c r="K1973" s="1" t="str">
        <f t="shared" si="92"/>
        <v/>
      </c>
    </row>
    <row r="1974" spans="4:11">
      <c r="D1974" s="94" t="s">
        <v>279</v>
      </c>
      <c r="E1974" s="42"/>
      <c r="F1974" s="42"/>
      <c r="G1974" s="40">
        <v>4</v>
      </c>
      <c r="H1974" s="40">
        <v>3</v>
      </c>
      <c r="I1974" s="1">
        <f t="shared" si="91"/>
        <v>1</v>
      </c>
      <c r="J1974" s="1">
        <f t="shared" si="90"/>
        <v>0</v>
      </c>
      <c r="K1974" s="1">
        <f t="shared" si="92"/>
        <v>1</v>
      </c>
    </row>
    <row r="1975" spans="4:11" ht="15.75" thickBot="1">
      <c r="D1975" s="95"/>
      <c r="E1975" s="45" t="s">
        <v>27</v>
      </c>
      <c r="F1975" s="45" t="s">
        <v>0</v>
      </c>
      <c r="G1975" s="40"/>
      <c r="H1975" s="40"/>
      <c r="I1975" s="1" t="str">
        <f t="shared" si="91"/>
        <v/>
      </c>
      <c r="J1975" s="1" t="str">
        <f t="shared" si="90"/>
        <v/>
      </c>
      <c r="K1975" s="1" t="str">
        <f t="shared" si="92"/>
        <v/>
      </c>
    </row>
    <row r="1976" spans="4:11">
      <c r="D1976" s="92" t="s">
        <v>279</v>
      </c>
      <c r="E1976" s="43"/>
      <c r="F1976" s="43"/>
      <c r="G1976" s="40">
        <v>2</v>
      </c>
      <c r="H1976" s="40">
        <v>5</v>
      </c>
      <c r="I1976" s="1">
        <f t="shared" si="91"/>
        <v>-3</v>
      </c>
      <c r="J1976" s="1">
        <f t="shared" si="90"/>
        <v>0</v>
      </c>
      <c r="K1976" s="1">
        <f t="shared" si="92"/>
        <v>9</v>
      </c>
    </row>
    <row r="1977" spans="4:11" ht="15.75" thickBot="1">
      <c r="D1977" s="93"/>
      <c r="E1977" s="44" t="s">
        <v>24</v>
      </c>
      <c r="F1977" s="44" t="s">
        <v>13</v>
      </c>
      <c r="G1977" s="40"/>
      <c r="H1977" s="40"/>
      <c r="I1977" s="1" t="str">
        <f t="shared" si="91"/>
        <v/>
      </c>
      <c r="J1977" s="1" t="str">
        <f t="shared" si="90"/>
        <v/>
      </c>
      <c r="K1977" s="1" t="str">
        <f t="shared" si="92"/>
        <v/>
      </c>
    </row>
    <row r="1978" spans="4:11">
      <c r="D1978" s="94" t="s">
        <v>279</v>
      </c>
      <c r="E1978" s="42"/>
      <c r="F1978" s="42"/>
      <c r="G1978" s="40">
        <v>1</v>
      </c>
      <c r="H1978" s="40">
        <v>2</v>
      </c>
      <c r="I1978" s="1">
        <f t="shared" si="91"/>
        <v>-1</v>
      </c>
      <c r="J1978" s="1">
        <f t="shared" si="90"/>
        <v>0</v>
      </c>
      <c r="K1978" s="1">
        <f t="shared" si="92"/>
        <v>1</v>
      </c>
    </row>
    <row r="1979" spans="4:11" ht="15.75" thickBot="1">
      <c r="D1979" s="95"/>
      <c r="E1979" s="45" t="s">
        <v>10</v>
      </c>
      <c r="F1979" s="45" t="s">
        <v>3</v>
      </c>
      <c r="G1979" s="40"/>
      <c r="H1979" s="40"/>
      <c r="I1979" s="1" t="str">
        <f t="shared" si="91"/>
        <v/>
      </c>
      <c r="J1979" s="1" t="str">
        <f t="shared" si="90"/>
        <v/>
      </c>
      <c r="K1979" s="1" t="str">
        <f t="shared" si="92"/>
        <v/>
      </c>
    </row>
    <row r="1980" spans="4:11">
      <c r="D1980" s="92" t="s">
        <v>279</v>
      </c>
      <c r="E1980" s="43"/>
      <c r="F1980" s="43"/>
      <c r="G1980" s="40">
        <v>2</v>
      </c>
      <c r="H1980" s="40">
        <v>1</v>
      </c>
      <c r="I1980" s="1">
        <f t="shared" si="91"/>
        <v>1</v>
      </c>
      <c r="J1980" s="1">
        <f t="shared" si="90"/>
        <v>0</v>
      </c>
      <c r="K1980" s="1">
        <f t="shared" si="92"/>
        <v>1</v>
      </c>
    </row>
    <row r="1981" spans="4:11" ht="15.75" thickBot="1">
      <c r="D1981" s="93"/>
      <c r="E1981" s="44" t="s">
        <v>19</v>
      </c>
      <c r="F1981" s="44" t="s">
        <v>26</v>
      </c>
      <c r="G1981" s="40"/>
      <c r="H1981" s="40"/>
      <c r="I1981" s="1" t="str">
        <f t="shared" si="91"/>
        <v/>
      </c>
      <c r="J1981" s="1" t="str">
        <f t="shared" si="90"/>
        <v/>
      </c>
      <c r="K1981" s="1" t="str">
        <f t="shared" si="92"/>
        <v/>
      </c>
    </row>
    <row r="1982" spans="4:11">
      <c r="D1982" s="94" t="s">
        <v>279</v>
      </c>
      <c r="E1982" s="42"/>
      <c r="F1982" s="42"/>
      <c r="G1982" s="40">
        <v>1</v>
      </c>
      <c r="H1982" s="40">
        <v>2</v>
      </c>
      <c r="I1982" s="1">
        <f t="shared" si="91"/>
        <v>-1</v>
      </c>
      <c r="J1982" s="1">
        <f t="shared" si="90"/>
        <v>0</v>
      </c>
      <c r="K1982" s="1">
        <f t="shared" si="92"/>
        <v>1</v>
      </c>
    </row>
    <row r="1983" spans="4:11" ht="15.75" thickBot="1">
      <c r="D1983" s="95"/>
      <c r="E1983" s="45" t="s">
        <v>11</v>
      </c>
      <c r="F1983" s="45" t="s">
        <v>5</v>
      </c>
      <c r="G1983" s="40"/>
      <c r="H1983" s="40"/>
      <c r="I1983" s="1" t="str">
        <f t="shared" si="91"/>
        <v/>
      </c>
      <c r="J1983" s="1" t="str">
        <f t="shared" si="90"/>
        <v/>
      </c>
      <c r="K1983" s="1" t="str">
        <f t="shared" si="92"/>
        <v/>
      </c>
    </row>
    <row r="1984" spans="4:11">
      <c r="D1984" s="92" t="s">
        <v>280</v>
      </c>
      <c r="E1984" s="43"/>
      <c r="F1984" s="43"/>
      <c r="G1984" s="40">
        <v>2</v>
      </c>
      <c r="H1984" s="40">
        <v>1</v>
      </c>
      <c r="I1984" s="1">
        <f t="shared" si="91"/>
        <v>1</v>
      </c>
      <c r="J1984" s="1">
        <f t="shared" si="90"/>
        <v>0</v>
      </c>
      <c r="K1984" s="1">
        <f t="shared" si="92"/>
        <v>1</v>
      </c>
    </row>
    <row r="1985" spans="4:11" ht="15.75" thickBot="1">
      <c r="D1985" s="93"/>
      <c r="E1985" s="44" t="s">
        <v>16</v>
      </c>
      <c r="F1985" s="44" t="s">
        <v>27</v>
      </c>
      <c r="G1985" s="40"/>
      <c r="H1985" s="40"/>
      <c r="I1985" s="1" t="str">
        <f t="shared" si="91"/>
        <v/>
      </c>
      <c r="J1985" s="1" t="str">
        <f t="shared" ref="J1985:J2048" si="93">IF(F1986="","",VLOOKUP(F1986,$A$2:$B$31,2)+$B$33-VLOOKUP(E1986,$A$2:$B$31,2))</f>
        <v/>
      </c>
      <c r="K1985" s="1" t="str">
        <f t="shared" si="92"/>
        <v/>
      </c>
    </row>
    <row r="1986" spans="4:11">
      <c r="D1986" s="94" t="s">
        <v>280</v>
      </c>
      <c r="E1986" s="42"/>
      <c r="F1986" s="42"/>
      <c r="G1986" s="40">
        <v>2</v>
      </c>
      <c r="H1986" s="40">
        <v>1</v>
      </c>
      <c r="I1986" s="1">
        <f t="shared" ref="I1986:I2049" si="94">IF(G1986="","",G1986-H1986)</f>
        <v>1</v>
      </c>
      <c r="J1986" s="1">
        <f t="shared" si="93"/>
        <v>0</v>
      </c>
      <c r="K1986" s="1">
        <f t="shared" si="92"/>
        <v>1</v>
      </c>
    </row>
    <row r="1987" spans="4:11" ht="15.75" thickBot="1">
      <c r="D1987" s="95"/>
      <c r="E1987" s="45" t="s">
        <v>21</v>
      </c>
      <c r="F1987" s="45" t="s">
        <v>1</v>
      </c>
      <c r="G1987" s="40"/>
      <c r="H1987" s="40"/>
      <c r="I1987" s="1" t="str">
        <f t="shared" si="94"/>
        <v/>
      </c>
      <c r="J1987" s="1" t="str">
        <f t="shared" si="93"/>
        <v/>
      </c>
      <c r="K1987" s="1" t="str">
        <f t="shared" ref="K1987:K2050" si="95">IF(G1987="","",(I1987-J1987)^2)</f>
        <v/>
      </c>
    </row>
    <row r="1988" spans="4:11">
      <c r="D1988" s="92" t="s">
        <v>280</v>
      </c>
      <c r="E1988" s="43"/>
      <c r="F1988" s="43"/>
      <c r="G1988" s="40">
        <v>4</v>
      </c>
      <c r="H1988" s="40">
        <v>3</v>
      </c>
      <c r="I1988" s="1">
        <f t="shared" si="94"/>
        <v>1</v>
      </c>
      <c r="J1988" s="1">
        <f t="shared" si="93"/>
        <v>0</v>
      </c>
      <c r="K1988" s="1">
        <f t="shared" si="95"/>
        <v>1</v>
      </c>
    </row>
    <row r="1989" spans="4:11" ht="15.75" thickBot="1">
      <c r="D1989" s="93"/>
      <c r="E1989" s="44" t="s">
        <v>7</v>
      </c>
      <c r="F1989" s="44" t="s">
        <v>28</v>
      </c>
      <c r="G1989" s="40"/>
      <c r="H1989" s="40"/>
      <c r="I1989" s="1" t="str">
        <f t="shared" si="94"/>
        <v/>
      </c>
      <c r="J1989" s="1" t="str">
        <f t="shared" si="93"/>
        <v/>
      </c>
      <c r="K1989" s="1" t="str">
        <f t="shared" si="95"/>
        <v/>
      </c>
    </row>
    <row r="1990" spans="4:11">
      <c r="D1990" s="94" t="s">
        <v>280</v>
      </c>
      <c r="E1990" s="42"/>
      <c r="F1990" s="42"/>
      <c r="G1990" s="40">
        <v>1</v>
      </c>
      <c r="H1990" s="40">
        <v>0</v>
      </c>
      <c r="I1990" s="1">
        <f t="shared" si="94"/>
        <v>1</v>
      </c>
      <c r="J1990" s="1">
        <f t="shared" si="93"/>
        <v>0</v>
      </c>
      <c r="K1990" s="1">
        <f t="shared" si="95"/>
        <v>1</v>
      </c>
    </row>
    <row r="1991" spans="4:11" ht="15.75" thickBot="1">
      <c r="D1991" s="95"/>
      <c r="E1991" s="45" t="s">
        <v>15</v>
      </c>
      <c r="F1991" s="45" t="s">
        <v>230</v>
      </c>
      <c r="G1991" s="40"/>
      <c r="H1991" s="40"/>
      <c r="I1991" s="1" t="str">
        <f t="shared" si="94"/>
        <v/>
      </c>
      <c r="J1991" s="1" t="str">
        <f t="shared" si="93"/>
        <v/>
      </c>
      <c r="K1991" s="1" t="str">
        <f t="shared" si="95"/>
        <v/>
      </c>
    </row>
    <row r="1992" spans="4:11">
      <c r="D1992" s="92" t="s">
        <v>280</v>
      </c>
      <c r="E1992" s="43"/>
      <c r="F1992" s="43"/>
      <c r="G1992" s="40">
        <v>3</v>
      </c>
      <c r="H1992" s="40">
        <v>1</v>
      </c>
      <c r="I1992" s="1">
        <f t="shared" si="94"/>
        <v>2</v>
      </c>
      <c r="J1992" s="1">
        <f t="shared" si="93"/>
        <v>0</v>
      </c>
      <c r="K1992" s="1">
        <f t="shared" si="95"/>
        <v>4</v>
      </c>
    </row>
    <row r="1993" spans="4:11" ht="15.75" thickBot="1">
      <c r="D1993" s="93"/>
      <c r="E1993" s="44" t="s">
        <v>2</v>
      </c>
      <c r="F1993" s="44" t="s">
        <v>18</v>
      </c>
      <c r="G1993" s="40"/>
      <c r="H1993" s="40"/>
      <c r="I1993" s="1" t="str">
        <f t="shared" si="94"/>
        <v/>
      </c>
      <c r="J1993" s="1" t="str">
        <f t="shared" si="93"/>
        <v/>
      </c>
      <c r="K1993" s="1" t="str">
        <f t="shared" si="95"/>
        <v/>
      </c>
    </row>
    <row r="1994" spans="4:11">
      <c r="D1994" s="94" t="s">
        <v>280</v>
      </c>
      <c r="E1994" s="42"/>
      <c r="F1994" s="42"/>
      <c r="G1994" s="40">
        <v>4</v>
      </c>
      <c r="H1994" s="40">
        <v>5</v>
      </c>
      <c r="I1994" s="1">
        <f t="shared" si="94"/>
        <v>-1</v>
      </c>
      <c r="J1994" s="1">
        <f t="shared" si="93"/>
        <v>0</v>
      </c>
      <c r="K1994" s="1">
        <f t="shared" si="95"/>
        <v>1</v>
      </c>
    </row>
    <row r="1995" spans="4:11" ht="15.75" thickBot="1">
      <c r="D1995" s="95"/>
      <c r="E1995" s="45" t="s">
        <v>25</v>
      </c>
      <c r="F1995" s="45" t="s">
        <v>17</v>
      </c>
      <c r="G1995" s="40"/>
      <c r="H1995" s="40"/>
      <c r="I1995" s="1" t="str">
        <f t="shared" si="94"/>
        <v/>
      </c>
      <c r="J1995" s="1" t="str">
        <f t="shared" si="93"/>
        <v/>
      </c>
      <c r="K1995" s="1" t="str">
        <f t="shared" si="95"/>
        <v/>
      </c>
    </row>
    <row r="1996" spans="4:11">
      <c r="D1996" s="92" t="s">
        <v>280</v>
      </c>
      <c r="E1996" s="43"/>
      <c r="F1996" s="43"/>
      <c r="G1996" s="40">
        <v>2</v>
      </c>
      <c r="H1996" s="40">
        <v>6</v>
      </c>
      <c r="I1996" s="1">
        <f t="shared" si="94"/>
        <v>-4</v>
      </c>
      <c r="J1996" s="1">
        <f t="shared" si="93"/>
        <v>0</v>
      </c>
      <c r="K1996" s="1">
        <f t="shared" si="95"/>
        <v>16</v>
      </c>
    </row>
    <row r="1997" spans="4:11" ht="15.75" thickBot="1">
      <c r="D1997" s="93"/>
      <c r="E1997" s="44" t="s">
        <v>9</v>
      </c>
      <c r="F1997" s="44" t="s">
        <v>23</v>
      </c>
      <c r="G1997" s="40"/>
      <c r="H1997" s="40"/>
      <c r="I1997" s="1" t="str">
        <f t="shared" si="94"/>
        <v/>
      </c>
      <c r="J1997" s="1" t="str">
        <f t="shared" si="93"/>
        <v/>
      </c>
      <c r="K1997" s="1" t="str">
        <f t="shared" si="95"/>
        <v/>
      </c>
    </row>
    <row r="1998" spans="4:11">
      <c r="D1998" s="94" t="s">
        <v>280</v>
      </c>
      <c r="E1998" s="42"/>
      <c r="F1998" s="42"/>
      <c r="G1998" s="40">
        <v>5</v>
      </c>
      <c r="H1998" s="40">
        <v>2</v>
      </c>
      <c r="I1998" s="1">
        <f t="shared" si="94"/>
        <v>3</v>
      </c>
      <c r="J1998" s="1">
        <f t="shared" si="93"/>
        <v>0</v>
      </c>
      <c r="K1998" s="1">
        <f t="shared" si="95"/>
        <v>9</v>
      </c>
    </row>
    <row r="1999" spans="4:11" ht="15.75" thickBot="1">
      <c r="D1999" s="95"/>
      <c r="E1999" s="45" t="s">
        <v>6</v>
      </c>
      <c r="F1999" s="45" t="s">
        <v>22</v>
      </c>
      <c r="G1999" s="40"/>
      <c r="H1999" s="40"/>
      <c r="I1999" s="1" t="str">
        <f t="shared" si="94"/>
        <v/>
      </c>
      <c r="J1999" s="1" t="str">
        <f t="shared" si="93"/>
        <v/>
      </c>
      <c r="K1999" s="1" t="str">
        <f t="shared" si="95"/>
        <v/>
      </c>
    </row>
    <row r="2000" spans="4:11">
      <c r="D2000" s="92" t="s">
        <v>281</v>
      </c>
      <c r="E2000" s="43"/>
      <c r="F2000" s="43"/>
      <c r="G2000" s="40">
        <v>3</v>
      </c>
      <c r="H2000" s="40">
        <v>4</v>
      </c>
      <c r="I2000" s="1">
        <f t="shared" si="94"/>
        <v>-1</v>
      </c>
      <c r="J2000" s="1">
        <f t="shared" si="93"/>
        <v>-2550</v>
      </c>
      <c r="K2000" s="1">
        <f t="shared" si="95"/>
        <v>6497401</v>
      </c>
    </row>
    <row r="2001" spans="4:11" ht="15.75" thickBot="1">
      <c r="D2001" s="93"/>
      <c r="E2001" s="44" t="s">
        <v>8</v>
      </c>
      <c r="F2001" s="44" t="s">
        <v>0</v>
      </c>
      <c r="G2001" s="40"/>
      <c r="H2001" s="40"/>
      <c r="I2001" s="1" t="str">
        <f t="shared" si="94"/>
        <v/>
      </c>
      <c r="J2001" s="1" t="str">
        <f t="shared" si="93"/>
        <v/>
      </c>
      <c r="K2001" s="1" t="str">
        <f t="shared" si="95"/>
        <v/>
      </c>
    </row>
    <row r="2002" spans="4:11">
      <c r="D2002" s="94" t="s">
        <v>281</v>
      </c>
      <c r="E2002" s="42"/>
      <c r="F2002" s="42"/>
      <c r="G2002" s="40">
        <v>3</v>
      </c>
      <c r="H2002" s="40">
        <v>1</v>
      </c>
      <c r="I2002" s="1">
        <f t="shared" si="94"/>
        <v>2</v>
      </c>
      <c r="J2002" s="1">
        <f t="shared" si="93"/>
        <v>0</v>
      </c>
      <c r="K2002" s="1">
        <f t="shared" si="95"/>
        <v>4</v>
      </c>
    </row>
    <row r="2003" spans="4:11" ht="15.75" thickBot="1">
      <c r="D2003" s="95"/>
      <c r="E2003" s="45" t="s">
        <v>16</v>
      </c>
      <c r="F2003" s="45" t="s">
        <v>12</v>
      </c>
      <c r="G2003" s="40"/>
      <c r="H2003" s="40"/>
      <c r="I2003" s="1" t="str">
        <f t="shared" si="94"/>
        <v/>
      </c>
      <c r="J2003" s="1" t="str">
        <f t="shared" si="93"/>
        <v/>
      </c>
      <c r="K2003" s="1" t="str">
        <f t="shared" si="95"/>
        <v/>
      </c>
    </row>
    <row r="2004" spans="4:11">
      <c r="D2004" s="92" t="s">
        <v>281</v>
      </c>
      <c r="E2004" s="43"/>
      <c r="F2004" s="43"/>
      <c r="G2004" s="40">
        <v>3</v>
      </c>
      <c r="H2004" s="40">
        <v>6</v>
      </c>
      <c r="I2004" s="1">
        <f t="shared" si="94"/>
        <v>-3</v>
      </c>
      <c r="J2004" s="1">
        <f t="shared" si="93"/>
        <v>0</v>
      </c>
      <c r="K2004" s="1">
        <f t="shared" si="95"/>
        <v>9</v>
      </c>
    </row>
    <row r="2005" spans="4:11" ht="15.75" thickBot="1">
      <c r="D2005" s="93"/>
      <c r="E2005" s="44" t="s">
        <v>10</v>
      </c>
      <c r="F2005" s="44" t="s">
        <v>4</v>
      </c>
      <c r="G2005" s="40"/>
      <c r="H2005" s="40"/>
      <c r="I2005" s="1" t="str">
        <f t="shared" si="94"/>
        <v/>
      </c>
      <c r="J2005" s="1" t="str">
        <f t="shared" si="93"/>
        <v/>
      </c>
      <c r="K2005" s="1" t="str">
        <f t="shared" si="95"/>
        <v/>
      </c>
    </row>
    <row r="2006" spans="4:11">
      <c r="D2006" s="94" t="s">
        <v>282</v>
      </c>
      <c r="E2006" s="42"/>
      <c r="F2006" s="42"/>
      <c r="G2006" s="40">
        <v>2</v>
      </c>
      <c r="H2006" s="40">
        <v>3</v>
      </c>
      <c r="I2006" s="1">
        <f t="shared" si="94"/>
        <v>-1</v>
      </c>
      <c r="J2006" s="1">
        <f t="shared" si="93"/>
        <v>0</v>
      </c>
      <c r="K2006" s="1">
        <f t="shared" si="95"/>
        <v>1</v>
      </c>
    </row>
    <row r="2007" spans="4:11" ht="15.75" thickBot="1">
      <c r="D2007" s="95"/>
      <c r="E2007" s="45" t="s">
        <v>15</v>
      </c>
      <c r="F2007" s="45" t="s">
        <v>2</v>
      </c>
      <c r="G2007" s="40"/>
      <c r="H2007" s="40"/>
      <c r="I2007" s="1" t="str">
        <f t="shared" si="94"/>
        <v/>
      </c>
      <c r="J2007" s="1" t="str">
        <f t="shared" si="93"/>
        <v/>
      </c>
      <c r="K2007" s="1" t="str">
        <f t="shared" si="95"/>
        <v/>
      </c>
    </row>
    <row r="2008" spans="4:11">
      <c r="D2008" s="92" t="s">
        <v>282</v>
      </c>
      <c r="E2008" s="43"/>
      <c r="F2008" s="43"/>
      <c r="G2008" s="40">
        <v>4</v>
      </c>
      <c r="H2008" s="40">
        <v>6</v>
      </c>
      <c r="I2008" s="1">
        <f t="shared" si="94"/>
        <v>-2</v>
      </c>
      <c r="J2008" s="1">
        <f t="shared" si="93"/>
        <v>0</v>
      </c>
      <c r="K2008" s="1">
        <f t="shared" si="95"/>
        <v>4</v>
      </c>
    </row>
    <row r="2009" spans="4:11" ht="15.75" thickBot="1">
      <c r="D2009" s="93"/>
      <c r="E2009" s="44" t="s">
        <v>24</v>
      </c>
      <c r="F2009" s="44" t="s">
        <v>11</v>
      </c>
      <c r="G2009" s="40"/>
      <c r="H2009" s="40"/>
      <c r="I2009" s="1" t="str">
        <f t="shared" si="94"/>
        <v/>
      </c>
      <c r="J2009" s="1" t="str">
        <f t="shared" si="93"/>
        <v/>
      </c>
      <c r="K2009" s="1" t="str">
        <f t="shared" si="95"/>
        <v/>
      </c>
    </row>
    <row r="2010" spans="4:11">
      <c r="D2010" s="94" t="s">
        <v>282</v>
      </c>
      <c r="E2010" s="42"/>
      <c r="F2010" s="42"/>
      <c r="G2010" s="40">
        <v>5</v>
      </c>
      <c r="H2010" s="40">
        <v>3</v>
      </c>
      <c r="I2010" s="1">
        <f t="shared" si="94"/>
        <v>2</v>
      </c>
      <c r="J2010" s="1">
        <f t="shared" si="93"/>
        <v>0</v>
      </c>
      <c r="K2010" s="1">
        <f t="shared" si="95"/>
        <v>4</v>
      </c>
    </row>
    <row r="2011" spans="4:11" ht="15.75" thickBot="1">
      <c r="D2011" s="95"/>
      <c r="E2011" s="45" t="s">
        <v>21</v>
      </c>
      <c r="F2011" s="45" t="s">
        <v>28</v>
      </c>
      <c r="G2011" s="40"/>
      <c r="H2011" s="40"/>
      <c r="I2011" s="1" t="str">
        <f t="shared" si="94"/>
        <v/>
      </c>
      <c r="J2011" s="1" t="str">
        <f t="shared" si="93"/>
        <v/>
      </c>
      <c r="K2011" s="1" t="str">
        <f t="shared" si="95"/>
        <v/>
      </c>
    </row>
    <row r="2012" spans="4:11">
      <c r="D2012" s="92" t="s">
        <v>282</v>
      </c>
      <c r="E2012" s="43"/>
      <c r="F2012" s="43"/>
      <c r="G2012" s="40">
        <v>5</v>
      </c>
      <c r="H2012" s="40">
        <v>2</v>
      </c>
      <c r="I2012" s="1">
        <f t="shared" si="94"/>
        <v>3</v>
      </c>
      <c r="J2012" s="1">
        <f t="shared" si="93"/>
        <v>0</v>
      </c>
      <c r="K2012" s="1">
        <f t="shared" si="95"/>
        <v>9</v>
      </c>
    </row>
    <row r="2013" spans="4:11" ht="15.75" thickBot="1">
      <c r="D2013" s="93"/>
      <c r="E2013" s="44" t="s">
        <v>18</v>
      </c>
      <c r="F2013" s="44" t="s">
        <v>230</v>
      </c>
      <c r="G2013" s="40"/>
      <c r="H2013" s="40"/>
      <c r="I2013" s="1" t="str">
        <f t="shared" si="94"/>
        <v/>
      </c>
      <c r="J2013" s="1" t="str">
        <f t="shared" si="93"/>
        <v/>
      </c>
      <c r="K2013" s="1" t="str">
        <f t="shared" si="95"/>
        <v/>
      </c>
    </row>
    <row r="2014" spans="4:11">
      <c r="D2014" s="94" t="s">
        <v>282</v>
      </c>
      <c r="E2014" s="42"/>
      <c r="F2014" s="42"/>
      <c r="G2014" s="40">
        <v>3</v>
      </c>
      <c r="H2014" s="40">
        <v>1</v>
      </c>
      <c r="I2014" s="1">
        <f t="shared" si="94"/>
        <v>2</v>
      </c>
      <c r="J2014" s="1">
        <f t="shared" si="93"/>
        <v>0</v>
      </c>
      <c r="K2014" s="1">
        <f t="shared" si="95"/>
        <v>4</v>
      </c>
    </row>
    <row r="2015" spans="4:11" ht="15.75" thickBot="1">
      <c r="D2015" s="95"/>
      <c r="E2015" s="45" t="s">
        <v>7</v>
      </c>
      <c r="F2015" s="45" t="s">
        <v>13</v>
      </c>
      <c r="G2015" s="40"/>
      <c r="H2015" s="40"/>
      <c r="I2015" s="1" t="str">
        <f t="shared" si="94"/>
        <v/>
      </c>
      <c r="J2015" s="1" t="str">
        <f t="shared" si="93"/>
        <v/>
      </c>
      <c r="K2015" s="1" t="str">
        <f t="shared" si="95"/>
        <v/>
      </c>
    </row>
    <row r="2016" spans="4:11">
      <c r="D2016" s="92" t="s">
        <v>282</v>
      </c>
      <c r="E2016" s="43"/>
      <c r="F2016" s="43"/>
      <c r="G2016" s="40">
        <v>2</v>
      </c>
      <c r="H2016" s="40">
        <v>4</v>
      </c>
      <c r="I2016" s="1">
        <f t="shared" si="94"/>
        <v>-2</v>
      </c>
      <c r="J2016" s="1">
        <f t="shared" si="93"/>
        <v>0</v>
      </c>
      <c r="K2016" s="1">
        <f t="shared" si="95"/>
        <v>4</v>
      </c>
    </row>
    <row r="2017" spans="4:11" ht="15.75" thickBot="1">
      <c r="D2017" s="93"/>
      <c r="E2017" s="44" t="s">
        <v>25</v>
      </c>
      <c r="F2017" s="44" t="s">
        <v>14</v>
      </c>
      <c r="G2017" s="40"/>
      <c r="H2017" s="40"/>
      <c r="I2017" s="1" t="str">
        <f t="shared" si="94"/>
        <v/>
      </c>
      <c r="J2017" s="1" t="str">
        <f t="shared" si="93"/>
        <v/>
      </c>
      <c r="K2017" s="1" t="str">
        <f t="shared" si="95"/>
        <v/>
      </c>
    </row>
    <row r="2018" spans="4:11">
      <c r="D2018" s="94" t="s">
        <v>282</v>
      </c>
      <c r="E2018" s="42"/>
      <c r="F2018" s="42"/>
      <c r="G2018" s="40">
        <v>0</v>
      </c>
      <c r="H2018" s="40">
        <v>1</v>
      </c>
      <c r="I2018" s="1">
        <f t="shared" si="94"/>
        <v>-1</v>
      </c>
      <c r="J2018" s="1">
        <f t="shared" si="93"/>
        <v>0</v>
      </c>
      <c r="K2018" s="1">
        <f t="shared" si="95"/>
        <v>1</v>
      </c>
    </row>
    <row r="2019" spans="4:11" ht="15.75" thickBot="1">
      <c r="D2019" s="95"/>
      <c r="E2019" s="45" t="s">
        <v>1</v>
      </c>
      <c r="F2019" s="45" t="s">
        <v>17</v>
      </c>
      <c r="G2019" s="40"/>
      <c r="H2019" s="40"/>
      <c r="I2019" s="1" t="str">
        <f t="shared" si="94"/>
        <v/>
      </c>
      <c r="J2019" s="1" t="str">
        <f t="shared" si="93"/>
        <v/>
      </c>
      <c r="K2019" s="1" t="str">
        <f t="shared" si="95"/>
        <v/>
      </c>
    </row>
    <row r="2020" spans="4:11">
      <c r="D2020" s="92" t="s">
        <v>282</v>
      </c>
      <c r="E2020" s="43"/>
      <c r="F2020" s="43"/>
      <c r="G2020" s="40">
        <v>1</v>
      </c>
      <c r="H2020" s="40">
        <v>2</v>
      </c>
      <c r="I2020" s="1">
        <f t="shared" si="94"/>
        <v>-1</v>
      </c>
      <c r="J2020" s="1">
        <f t="shared" si="93"/>
        <v>0</v>
      </c>
      <c r="K2020" s="1">
        <f t="shared" si="95"/>
        <v>1</v>
      </c>
    </row>
    <row r="2021" spans="4:11" ht="15.75" thickBot="1">
      <c r="D2021" s="93"/>
      <c r="E2021" s="44" t="s">
        <v>9</v>
      </c>
      <c r="F2021" s="44" t="s">
        <v>22</v>
      </c>
      <c r="G2021" s="40"/>
      <c r="H2021" s="40"/>
      <c r="I2021" s="1" t="str">
        <f t="shared" si="94"/>
        <v/>
      </c>
      <c r="J2021" s="1" t="str">
        <f t="shared" si="93"/>
        <v/>
      </c>
      <c r="K2021" s="1" t="str">
        <f t="shared" si="95"/>
        <v/>
      </c>
    </row>
    <row r="2022" spans="4:11">
      <c r="D2022" s="94" t="s">
        <v>282</v>
      </c>
      <c r="E2022" s="42"/>
      <c r="F2022" s="42"/>
      <c r="G2022" s="40">
        <v>4</v>
      </c>
      <c r="H2022" s="40">
        <v>0</v>
      </c>
      <c r="I2022" s="1">
        <f t="shared" si="94"/>
        <v>4</v>
      </c>
      <c r="J2022" s="1">
        <f t="shared" si="93"/>
        <v>0</v>
      </c>
      <c r="K2022" s="1">
        <f t="shared" si="95"/>
        <v>16</v>
      </c>
    </row>
    <row r="2023" spans="4:11" ht="15.75" thickBot="1">
      <c r="D2023" s="95"/>
      <c r="E2023" s="45" t="s">
        <v>6</v>
      </c>
      <c r="F2023" s="45" t="s">
        <v>3</v>
      </c>
      <c r="G2023" s="40"/>
      <c r="H2023" s="40"/>
      <c r="I2023" s="1" t="str">
        <f t="shared" si="94"/>
        <v/>
      </c>
      <c r="J2023" s="1" t="str">
        <f t="shared" si="93"/>
        <v/>
      </c>
      <c r="K2023" s="1" t="str">
        <f t="shared" si="95"/>
        <v/>
      </c>
    </row>
    <row r="2024" spans="4:11">
      <c r="D2024" s="92" t="s">
        <v>282</v>
      </c>
      <c r="E2024" s="43"/>
      <c r="F2024" s="43"/>
      <c r="G2024" s="40">
        <v>2</v>
      </c>
      <c r="H2024" s="40">
        <v>1</v>
      </c>
      <c r="I2024" s="1">
        <f t="shared" si="94"/>
        <v>1</v>
      </c>
      <c r="J2024" s="1">
        <f t="shared" si="93"/>
        <v>0</v>
      </c>
      <c r="K2024" s="1">
        <f t="shared" si="95"/>
        <v>1</v>
      </c>
    </row>
    <row r="2025" spans="4:11" ht="15.75" thickBot="1">
      <c r="D2025" s="93"/>
      <c r="E2025" s="44" t="s">
        <v>20</v>
      </c>
      <c r="F2025" s="44" t="s">
        <v>26</v>
      </c>
      <c r="G2025" s="40"/>
      <c r="H2025" s="40"/>
      <c r="I2025" s="1" t="str">
        <f t="shared" si="94"/>
        <v/>
      </c>
      <c r="J2025" s="1" t="str">
        <f t="shared" si="93"/>
        <v/>
      </c>
      <c r="K2025" s="1" t="str">
        <f t="shared" si="95"/>
        <v/>
      </c>
    </row>
    <row r="2026" spans="4:11">
      <c r="D2026" s="94" t="s">
        <v>282</v>
      </c>
      <c r="E2026" s="42"/>
      <c r="F2026" s="42"/>
      <c r="G2026" s="40">
        <v>0</v>
      </c>
      <c r="H2026" s="40">
        <v>2</v>
      </c>
      <c r="I2026" s="1">
        <f t="shared" si="94"/>
        <v>-2</v>
      </c>
      <c r="J2026" s="1">
        <f t="shared" si="93"/>
        <v>0</v>
      </c>
      <c r="K2026" s="1">
        <f t="shared" si="95"/>
        <v>4</v>
      </c>
    </row>
    <row r="2027" spans="4:11" ht="15.75" thickBot="1">
      <c r="D2027" s="95"/>
      <c r="E2027" s="45" t="s">
        <v>19</v>
      </c>
      <c r="F2027" s="45" t="s">
        <v>5</v>
      </c>
      <c r="G2027" s="40"/>
      <c r="H2027" s="40"/>
      <c r="I2027" s="1" t="str">
        <f t="shared" si="94"/>
        <v/>
      </c>
      <c r="J2027" s="1" t="str">
        <f t="shared" si="93"/>
        <v/>
      </c>
      <c r="K2027" s="1" t="str">
        <f t="shared" si="95"/>
        <v/>
      </c>
    </row>
    <row r="2028" spans="4:11">
      <c r="D2028" s="92" t="s">
        <v>283</v>
      </c>
      <c r="E2028" s="43"/>
      <c r="F2028" s="43"/>
      <c r="G2028" s="40">
        <v>2</v>
      </c>
      <c r="H2028" s="40">
        <v>1</v>
      </c>
      <c r="I2028" s="1">
        <f t="shared" si="94"/>
        <v>1</v>
      </c>
      <c r="J2028" s="1">
        <f t="shared" si="93"/>
        <v>0</v>
      </c>
      <c r="K2028" s="1">
        <f t="shared" si="95"/>
        <v>1</v>
      </c>
    </row>
    <row r="2029" spans="4:11" ht="15.75" thickBot="1">
      <c r="D2029" s="93"/>
      <c r="E2029" s="44" t="s">
        <v>18</v>
      </c>
      <c r="F2029" s="44" t="s">
        <v>27</v>
      </c>
      <c r="G2029" s="40"/>
      <c r="H2029" s="40"/>
      <c r="I2029" s="1" t="str">
        <f t="shared" si="94"/>
        <v/>
      </c>
      <c r="J2029" s="1" t="str">
        <f t="shared" si="93"/>
        <v/>
      </c>
      <c r="K2029" s="1" t="str">
        <f t="shared" si="95"/>
        <v/>
      </c>
    </row>
    <row r="2030" spans="4:11">
      <c r="D2030" s="94" t="s">
        <v>283</v>
      </c>
      <c r="E2030" s="42"/>
      <c r="F2030" s="42"/>
      <c r="G2030" s="40">
        <v>4</v>
      </c>
      <c r="H2030" s="40">
        <v>2</v>
      </c>
      <c r="I2030" s="1">
        <f t="shared" si="94"/>
        <v>2</v>
      </c>
      <c r="J2030" s="1">
        <f t="shared" si="93"/>
        <v>0</v>
      </c>
      <c r="K2030" s="1">
        <f t="shared" si="95"/>
        <v>4</v>
      </c>
    </row>
    <row r="2031" spans="4:11" ht="15.75" thickBot="1">
      <c r="D2031" s="95"/>
      <c r="E2031" s="45" t="s">
        <v>21</v>
      </c>
      <c r="F2031" s="45" t="s">
        <v>12</v>
      </c>
      <c r="G2031" s="40"/>
      <c r="H2031" s="40"/>
      <c r="I2031" s="1" t="str">
        <f t="shared" si="94"/>
        <v/>
      </c>
      <c r="J2031" s="1" t="str">
        <f t="shared" si="93"/>
        <v/>
      </c>
      <c r="K2031" s="1" t="str">
        <f t="shared" si="95"/>
        <v/>
      </c>
    </row>
    <row r="2032" spans="4:11">
      <c r="D2032" s="92" t="s">
        <v>283</v>
      </c>
      <c r="E2032" s="43"/>
      <c r="F2032" s="43"/>
      <c r="G2032" s="40">
        <v>4</v>
      </c>
      <c r="H2032" s="40">
        <v>5</v>
      </c>
      <c r="I2032" s="1">
        <f t="shared" si="94"/>
        <v>-1</v>
      </c>
      <c r="J2032" s="1">
        <f t="shared" si="93"/>
        <v>0</v>
      </c>
      <c r="K2032" s="1">
        <f t="shared" si="95"/>
        <v>1</v>
      </c>
    </row>
    <row r="2033" spans="4:11" ht="15.75" thickBot="1">
      <c r="D2033" s="93"/>
      <c r="E2033" s="44" t="s">
        <v>24</v>
      </c>
      <c r="F2033" s="44" t="s">
        <v>7</v>
      </c>
      <c r="G2033" s="40"/>
      <c r="H2033" s="40"/>
      <c r="I2033" s="1" t="str">
        <f t="shared" si="94"/>
        <v/>
      </c>
      <c r="J2033" s="1" t="str">
        <f t="shared" si="93"/>
        <v/>
      </c>
      <c r="K2033" s="1" t="str">
        <f t="shared" si="95"/>
        <v/>
      </c>
    </row>
    <row r="2034" spans="4:11">
      <c r="D2034" s="94" t="s">
        <v>283</v>
      </c>
      <c r="E2034" s="42"/>
      <c r="F2034" s="42"/>
      <c r="G2034" s="40">
        <v>2</v>
      </c>
      <c r="H2034" s="40">
        <v>1</v>
      </c>
      <c r="I2034" s="1">
        <f t="shared" si="94"/>
        <v>1</v>
      </c>
      <c r="J2034" s="1">
        <f t="shared" si="93"/>
        <v>0</v>
      </c>
      <c r="K2034" s="1">
        <f t="shared" si="95"/>
        <v>1</v>
      </c>
    </row>
    <row r="2035" spans="4:11" ht="15.75" thickBot="1">
      <c r="D2035" s="95"/>
      <c r="E2035" s="45" t="s">
        <v>10</v>
      </c>
      <c r="F2035" s="45" t="s">
        <v>23</v>
      </c>
      <c r="G2035" s="40"/>
      <c r="H2035" s="40"/>
      <c r="I2035" s="1" t="str">
        <f t="shared" si="94"/>
        <v/>
      </c>
      <c r="J2035" s="1" t="str">
        <f t="shared" si="93"/>
        <v/>
      </c>
      <c r="K2035" s="1" t="str">
        <f t="shared" si="95"/>
        <v/>
      </c>
    </row>
    <row r="2036" spans="4:11">
      <c r="D2036" s="92" t="s">
        <v>283</v>
      </c>
      <c r="E2036" s="43"/>
      <c r="F2036" s="43"/>
      <c r="G2036" s="40">
        <v>3</v>
      </c>
      <c r="H2036" s="40">
        <v>6</v>
      </c>
      <c r="I2036" s="1">
        <f t="shared" si="94"/>
        <v>-3</v>
      </c>
      <c r="J2036" s="1">
        <f t="shared" si="93"/>
        <v>0</v>
      </c>
      <c r="K2036" s="1">
        <f t="shared" si="95"/>
        <v>9</v>
      </c>
    </row>
    <row r="2037" spans="4:11" ht="15.75" thickBot="1">
      <c r="D2037" s="93"/>
      <c r="E2037" s="44" t="s">
        <v>0</v>
      </c>
      <c r="F2037" s="44" t="s">
        <v>4</v>
      </c>
      <c r="G2037" s="40"/>
      <c r="H2037" s="40"/>
      <c r="I2037" s="1" t="str">
        <f t="shared" si="94"/>
        <v/>
      </c>
      <c r="J2037" s="1" t="str">
        <f t="shared" si="93"/>
        <v/>
      </c>
      <c r="K2037" s="1" t="str">
        <f t="shared" si="95"/>
        <v/>
      </c>
    </row>
    <row r="2038" spans="4:11">
      <c r="D2038" s="94" t="s">
        <v>284</v>
      </c>
      <c r="E2038" s="42"/>
      <c r="F2038" s="42"/>
      <c r="G2038" s="40">
        <v>2</v>
      </c>
      <c r="H2038" s="40">
        <v>7</v>
      </c>
      <c r="I2038" s="1">
        <f t="shared" si="94"/>
        <v>-5</v>
      </c>
      <c r="J2038" s="1">
        <f t="shared" si="93"/>
        <v>0</v>
      </c>
      <c r="K2038" s="1">
        <f t="shared" si="95"/>
        <v>25</v>
      </c>
    </row>
    <row r="2039" spans="4:11" ht="15.75" thickBot="1">
      <c r="D2039" s="95"/>
      <c r="E2039" s="45" t="s">
        <v>13</v>
      </c>
      <c r="F2039" s="45" t="s">
        <v>1</v>
      </c>
      <c r="G2039" s="40"/>
      <c r="H2039" s="40"/>
      <c r="I2039" s="1" t="str">
        <f t="shared" si="94"/>
        <v/>
      </c>
      <c r="J2039" s="1" t="str">
        <f t="shared" si="93"/>
        <v/>
      </c>
      <c r="K2039" s="1" t="str">
        <f t="shared" si="95"/>
        <v/>
      </c>
    </row>
    <row r="2040" spans="4:11">
      <c r="D2040" s="92" t="s">
        <v>284</v>
      </c>
      <c r="E2040" s="43"/>
      <c r="F2040" s="43"/>
      <c r="G2040" s="40">
        <v>2</v>
      </c>
      <c r="H2040" s="40">
        <v>0</v>
      </c>
      <c r="I2040" s="1">
        <f t="shared" si="94"/>
        <v>2</v>
      </c>
      <c r="J2040" s="1">
        <f t="shared" si="93"/>
        <v>0</v>
      </c>
      <c r="K2040" s="1">
        <f t="shared" si="95"/>
        <v>4</v>
      </c>
    </row>
    <row r="2041" spans="4:11" ht="15.75" thickBot="1">
      <c r="D2041" s="93"/>
      <c r="E2041" s="44" t="s">
        <v>2</v>
      </c>
      <c r="F2041" s="44" t="s">
        <v>11</v>
      </c>
      <c r="G2041" s="40"/>
      <c r="H2041" s="40"/>
      <c r="I2041" s="1" t="str">
        <f t="shared" si="94"/>
        <v/>
      </c>
      <c r="J2041" s="1" t="str">
        <f t="shared" si="93"/>
        <v/>
      </c>
      <c r="K2041" s="1" t="str">
        <f t="shared" si="95"/>
        <v/>
      </c>
    </row>
    <row r="2042" spans="4:11">
      <c r="D2042" s="94" t="s">
        <v>284</v>
      </c>
      <c r="E2042" s="42"/>
      <c r="F2042" s="42"/>
      <c r="G2042" s="40">
        <v>6</v>
      </c>
      <c r="H2042" s="40">
        <v>2</v>
      </c>
      <c r="I2042" s="1">
        <f t="shared" si="94"/>
        <v>4</v>
      </c>
      <c r="J2042" s="1">
        <f t="shared" si="93"/>
        <v>0</v>
      </c>
      <c r="K2042" s="1">
        <f t="shared" si="95"/>
        <v>16</v>
      </c>
    </row>
    <row r="2043" spans="4:11" ht="15.75" thickBot="1">
      <c r="D2043" s="95"/>
      <c r="E2043" s="45" t="s">
        <v>20</v>
      </c>
      <c r="F2043" s="45" t="s">
        <v>5</v>
      </c>
      <c r="G2043" s="40"/>
      <c r="H2043" s="40"/>
      <c r="I2043" s="1" t="str">
        <f t="shared" si="94"/>
        <v/>
      </c>
      <c r="J2043" s="1" t="str">
        <f t="shared" si="93"/>
        <v/>
      </c>
      <c r="K2043" s="1" t="str">
        <f t="shared" si="95"/>
        <v/>
      </c>
    </row>
    <row r="2044" spans="4:11">
      <c r="D2044" s="92" t="s">
        <v>284</v>
      </c>
      <c r="E2044" s="43"/>
      <c r="F2044" s="43"/>
      <c r="G2044" s="40">
        <v>2</v>
      </c>
      <c r="H2044" s="40">
        <v>0</v>
      </c>
      <c r="I2044" s="1">
        <f t="shared" si="94"/>
        <v>2</v>
      </c>
      <c r="J2044" s="1">
        <f t="shared" si="93"/>
        <v>2550</v>
      </c>
      <c r="K2044" s="1">
        <f t="shared" si="95"/>
        <v>6492304</v>
      </c>
    </row>
    <row r="2045" spans="4:11" ht="15.75" thickBot="1">
      <c r="D2045" s="93"/>
      <c r="E2045" s="44" t="s">
        <v>16</v>
      </c>
      <c r="F2045" s="44" t="s">
        <v>8</v>
      </c>
      <c r="G2045" s="40"/>
      <c r="H2045" s="40"/>
      <c r="I2045" s="1" t="str">
        <f t="shared" si="94"/>
        <v/>
      </c>
      <c r="J2045" s="1" t="str">
        <f t="shared" si="93"/>
        <v/>
      </c>
      <c r="K2045" s="1" t="str">
        <f t="shared" si="95"/>
        <v/>
      </c>
    </row>
    <row r="2046" spans="4:11">
      <c r="D2046" s="94" t="s">
        <v>284</v>
      </c>
      <c r="E2046" s="42"/>
      <c r="F2046" s="42"/>
      <c r="G2046" s="40">
        <v>2</v>
      </c>
      <c r="H2046" s="40">
        <v>1</v>
      </c>
      <c r="I2046" s="1">
        <f t="shared" si="94"/>
        <v>1</v>
      </c>
      <c r="J2046" s="1">
        <f t="shared" si="93"/>
        <v>0</v>
      </c>
      <c r="K2046" s="1">
        <f t="shared" si="95"/>
        <v>1</v>
      </c>
    </row>
    <row r="2047" spans="4:11" ht="15.75" thickBot="1">
      <c r="D2047" s="95"/>
      <c r="E2047" s="45" t="s">
        <v>25</v>
      </c>
      <c r="F2047" s="45" t="s">
        <v>15</v>
      </c>
      <c r="G2047" s="40"/>
      <c r="H2047" s="40"/>
      <c r="I2047" s="1" t="str">
        <f t="shared" si="94"/>
        <v/>
      </c>
      <c r="J2047" s="1" t="str">
        <f t="shared" si="93"/>
        <v/>
      </c>
      <c r="K2047" s="1" t="str">
        <f t="shared" si="95"/>
        <v/>
      </c>
    </row>
    <row r="2048" spans="4:11">
      <c r="D2048" s="92" t="s">
        <v>284</v>
      </c>
      <c r="E2048" s="43"/>
      <c r="F2048" s="43"/>
      <c r="G2048" s="40">
        <v>3</v>
      </c>
      <c r="H2048" s="40">
        <v>1</v>
      </c>
      <c r="I2048" s="1">
        <f t="shared" si="94"/>
        <v>2</v>
      </c>
      <c r="J2048" s="1">
        <f t="shared" si="93"/>
        <v>0</v>
      </c>
      <c r="K2048" s="1">
        <f t="shared" si="95"/>
        <v>4</v>
      </c>
    </row>
    <row r="2049" spans="4:11" ht="15.75" thickBot="1">
      <c r="D2049" s="93"/>
      <c r="E2049" s="44" t="s">
        <v>230</v>
      </c>
      <c r="F2049" s="44" t="s">
        <v>27</v>
      </c>
      <c r="G2049" s="40"/>
      <c r="H2049" s="40"/>
      <c r="I2049" s="1" t="str">
        <f t="shared" si="94"/>
        <v/>
      </c>
      <c r="J2049" s="1" t="str">
        <f t="shared" ref="J2049:J2112" si="96">IF(F2050="","",VLOOKUP(F2050,$A$2:$B$31,2)+$B$33-VLOOKUP(E2050,$A$2:$B$31,2))</f>
        <v/>
      </c>
      <c r="K2049" s="1" t="str">
        <f t="shared" si="95"/>
        <v/>
      </c>
    </row>
    <row r="2050" spans="4:11">
      <c r="D2050" s="94" t="s">
        <v>284</v>
      </c>
      <c r="E2050" s="42"/>
      <c r="F2050" s="42"/>
      <c r="G2050" s="40">
        <v>2</v>
      </c>
      <c r="H2050" s="40">
        <v>0</v>
      </c>
      <c r="I2050" s="1">
        <f t="shared" ref="I2050:I2113" si="97">IF(G2050="","",G2050-H2050)</f>
        <v>2</v>
      </c>
      <c r="J2050" s="1">
        <f t="shared" si="96"/>
        <v>0</v>
      </c>
      <c r="K2050" s="1">
        <f t="shared" si="95"/>
        <v>4</v>
      </c>
    </row>
    <row r="2051" spans="4:11" ht="15.75" thickBot="1">
      <c r="D2051" s="95"/>
      <c r="E2051" s="45" t="s">
        <v>14</v>
      </c>
      <c r="F2051" s="45" t="s">
        <v>28</v>
      </c>
      <c r="G2051" s="40"/>
      <c r="H2051" s="40"/>
      <c r="I2051" s="1" t="str">
        <f t="shared" si="97"/>
        <v/>
      </c>
      <c r="J2051" s="1" t="str">
        <f t="shared" si="96"/>
        <v/>
      </c>
      <c r="K2051" s="1" t="str">
        <f t="shared" ref="K2051:K2114" si="98">IF(G2051="","",(I2051-J2051)^2)</f>
        <v/>
      </c>
    </row>
    <row r="2052" spans="4:11">
      <c r="D2052" s="92" t="s">
        <v>284</v>
      </c>
      <c r="E2052" s="43"/>
      <c r="F2052" s="43"/>
      <c r="G2052" s="40">
        <v>1</v>
      </c>
      <c r="H2052" s="40">
        <v>4</v>
      </c>
      <c r="I2052" s="1">
        <f t="shared" si="97"/>
        <v>-3</v>
      </c>
      <c r="J2052" s="1">
        <f t="shared" si="96"/>
        <v>0</v>
      </c>
      <c r="K2052" s="1">
        <f t="shared" si="98"/>
        <v>9</v>
      </c>
    </row>
    <row r="2053" spans="4:11" ht="15.75" thickBot="1">
      <c r="D2053" s="93"/>
      <c r="E2053" s="44" t="s">
        <v>0</v>
      </c>
      <c r="F2053" s="44" t="s">
        <v>3</v>
      </c>
      <c r="G2053" s="40"/>
      <c r="H2053" s="40"/>
      <c r="I2053" s="1" t="str">
        <f t="shared" si="97"/>
        <v/>
      </c>
      <c r="J2053" s="1" t="str">
        <f t="shared" si="96"/>
        <v/>
      </c>
      <c r="K2053" s="1" t="str">
        <f t="shared" si="98"/>
        <v/>
      </c>
    </row>
    <row r="2054" spans="4:11">
      <c r="D2054" s="94" t="s">
        <v>284</v>
      </c>
      <c r="E2054" s="42"/>
      <c r="F2054" s="42"/>
      <c r="G2054" s="40">
        <v>3</v>
      </c>
      <c r="H2054" s="40">
        <v>1</v>
      </c>
      <c r="I2054" s="1">
        <f t="shared" si="97"/>
        <v>2</v>
      </c>
      <c r="J2054" s="1">
        <f t="shared" si="96"/>
        <v>0</v>
      </c>
      <c r="K2054" s="1">
        <f t="shared" si="98"/>
        <v>4</v>
      </c>
    </row>
    <row r="2055" spans="4:11" ht="15.75" thickBot="1">
      <c r="D2055" s="95"/>
      <c r="E2055" s="45" t="s">
        <v>23</v>
      </c>
      <c r="F2055" s="45" t="s">
        <v>17</v>
      </c>
      <c r="G2055" s="40"/>
      <c r="H2055" s="40"/>
      <c r="I2055" s="1" t="str">
        <f t="shared" si="97"/>
        <v/>
      </c>
      <c r="J2055" s="1" t="str">
        <f t="shared" si="96"/>
        <v/>
      </c>
      <c r="K2055" s="1" t="str">
        <f t="shared" si="98"/>
        <v/>
      </c>
    </row>
    <row r="2056" spans="4:11">
      <c r="D2056" s="92" t="s">
        <v>284</v>
      </c>
      <c r="E2056" s="43"/>
      <c r="F2056" s="43"/>
      <c r="G2056" s="40">
        <v>4</v>
      </c>
      <c r="H2056" s="40">
        <v>1</v>
      </c>
      <c r="I2056" s="1">
        <f t="shared" si="97"/>
        <v>3</v>
      </c>
      <c r="J2056" s="1">
        <f t="shared" si="96"/>
        <v>0</v>
      </c>
      <c r="K2056" s="1">
        <f t="shared" si="98"/>
        <v>9</v>
      </c>
    </row>
    <row r="2057" spans="4:11" ht="15.75" thickBot="1">
      <c r="D2057" s="93"/>
      <c r="E2057" s="44" t="s">
        <v>9</v>
      </c>
      <c r="F2057" s="44" t="s">
        <v>26</v>
      </c>
      <c r="G2057" s="40"/>
      <c r="H2057" s="40"/>
      <c r="I2057" s="1" t="str">
        <f t="shared" si="97"/>
        <v/>
      </c>
      <c r="J2057" s="1" t="str">
        <f t="shared" si="96"/>
        <v/>
      </c>
      <c r="K2057" s="1" t="str">
        <f t="shared" si="98"/>
        <v/>
      </c>
    </row>
    <row r="2058" spans="4:11">
      <c r="D2058" s="94" t="s">
        <v>284</v>
      </c>
      <c r="E2058" s="42"/>
      <c r="F2058" s="42"/>
      <c r="G2058" s="40">
        <v>2</v>
      </c>
      <c r="H2058" s="40">
        <v>3</v>
      </c>
      <c r="I2058" s="1">
        <f t="shared" si="97"/>
        <v>-1</v>
      </c>
      <c r="J2058" s="1">
        <f t="shared" si="96"/>
        <v>0</v>
      </c>
      <c r="K2058" s="1">
        <f t="shared" si="98"/>
        <v>1</v>
      </c>
    </row>
    <row r="2059" spans="4:11" ht="15.75" thickBot="1">
      <c r="D2059" s="95"/>
      <c r="E2059" s="45" t="s">
        <v>4</v>
      </c>
      <c r="F2059" s="45" t="s">
        <v>22</v>
      </c>
      <c r="G2059" s="40"/>
      <c r="H2059" s="40"/>
      <c r="I2059" s="1" t="str">
        <f t="shared" si="97"/>
        <v/>
      </c>
      <c r="J2059" s="1" t="str">
        <f t="shared" si="96"/>
        <v/>
      </c>
      <c r="K2059" s="1" t="str">
        <f t="shared" si="98"/>
        <v/>
      </c>
    </row>
    <row r="2060" spans="4:11">
      <c r="D2060" s="92" t="s">
        <v>284</v>
      </c>
      <c r="E2060" s="43"/>
      <c r="F2060" s="43"/>
      <c r="G2060" s="40">
        <v>2</v>
      </c>
      <c r="H2060" s="40">
        <v>1</v>
      </c>
      <c r="I2060" s="1">
        <f t="shared" si="97"/>
        <v>1</v>
      </c>
      <c r="J2060" s="1">
        <f t="shared" si="96"/>
        <v>0</v>
      </c>
      <c r="K2060" s="1">
        <f t="shared" si="98"/>
        <v>1</v>
      </c>
    </row>
    <row r="2061" spans="4:11" ht="15.75" thickBot="1">
      <c r="D2061" s="93"/>
      <c r="E2061" s="44" t="s">
        <v>19</v>
      </c>
      <c r="F2061" s="44" t="s">
        <v>6</v>
      </c>
      <c r="G2061" s="40"/>
      <c r="H2061" s="40"/>
      <c r="I2061" s="1" t="str">
        <f t="shared" si="97"/>
        <v/>
      </c>
      <c r="J2061" s="1" t="str">
        <f t="shared" si="96"/>
        <v/>
      </c>
      <c r="K2061" s="1" t="str">
        <f t="shared" si="98"/>
        <v/>
      </c>
    </row>
    <row r="2062" spans="4:11">
      <c r="D2062" s="94" t="s">
        <v>285</v>
      </c>
      <c r="E2062" s="42"/>
      <c r="F2062" s="42"/>
      <c r="G2062" s="40">
        <v>5</v>
      </c>
      <c r="H2062" s="40">
        <v>1</v>
      </c>
      <c r="I2062" s="1">
        <f t="shared" si="97"/>
        <v>4</v>
      </c>
      <c r="J2062" s="1">
        <f t="shared" si="96"/>
        <v>0</v>
      </c>
      <c r="K2062" s="1">
        <f t="shared" si="98"/>
        <v>16</v>
      </c>
    </row>
    <row r="2063" spans="4:11" ht="15.75" thickBot="1">
      <c r="D2063" s="95"/>
      <c r="E2063" s="45" t="s">
        <v>13</v>
      </c>
      <c r="F2063" s="45" t="s">
        <v>11</v>
      </c>
      <c r="G2063" s="40"/>
      <c r="H2063" s="40"/>
      <c r="I2063" s="1" t="str">
        <f t="shared" si="97"/>
        <v/>
      </c>
      <c r="J2063" s="1" t="str">
        <f t="shared" si="96"/>
        <v/>
      </c>
      <c r="K2063" s="1" t="str">
        <f t="shared" si="98"/>
        <v/>
      </c>
    </row>
    <row r="2064" spans="4:11">
      <c r="D2064" s="92" t="s">
        <v>285</v>
      </c>
      <c r="E2064" s="43"/>
      <c r="F2064" s="43"/>
      <c r="G2064" s="40">
        <v>1</v>
      </c>
      <c r="H2064" s="40">
        <v>2</v>
      </c>
      <c r="I2064" s="1">
        <f t="shared" si="97"/>
        <v>-1</v>
      </c>
      <c r="J2064" s="1">
        <f t="shared" si="96"/>
        <v>0</v>
      </c>
      <c r="K2064" s="1">
        <f t="shared" si="98"/>
        <v>1</v>
      </c>
    </row>
    <row r="2065" spans="4:11" ht="15.75" thickBot="1">
      <c r="D2065" s="93"/>
      <c r="E2065" s="44" t="s">
        <v>14</v>
      </c>
      <c r="F2065" s="44" t="s">
        <v>16</v>
      </c>
      <c r="G2065" s="40"/>
      <c r="H2065" s="40"/>
      <c r="I2065" s="1" t="str">
        <f t="shared" si="97"/>
        <v/>
      </c>
      <c r="J2065" s="1" t="str">
        <f t="shared" si="96"/>
        <v/>
      </c>
      <c r="K2065" s="1" t="str">
        <f t="shared" si="98"/>
        <v/>
      </c>
    </row>
    <row r="2066" spans="4:11">
      <c r="D2066" s="94" t="s">
        <v>285</v>
      </c>
      <c r="E2066" s="42"/>
      <c r="F2066" s="42"/>
      <c r="G2066" s="40">
        <v>3</v>
      </c>
      <c r="H2066" s="40">
        <v>2</v>
      </c>
      <c r="I2066" s="1">
        <f t="shared" si="97"/>
        <v>1</v>
      </c>
      <c r="J2066" s="1">
        <f t="shared" si="96"/>
        <v>0</v>
      </c>
      <c r="K2066" s="1">
        <f t="shared" si="98"/>
        <v>1</v>
      </c>
    </row>
    <row r="2067" spans="4:11" ht="15.75" thickBot="1">
      <c r="D2067" s="95"/>
      <c r="E2067" s="45" t="s">
        <v>28</v>
      </c>
      <c r="F2067" s="45" t="s">
        <v>7</v>
      </c>
      <c r="G2067" s="40"/>
      <c r="H2067" s="40"/>
      <c r="I2067" s="1" t="str">
        <f t="shared" si="97"/>
        <v/>
      </c>
      <c r="J2067" s="1" t="str">
        <f t="shared" si="96"/>
        <v/>
      </c>
      <c r="K2067" s="1" t="str">
        <f t="shared" si="98"/>
        <v/>
      </c>
    </row>
    <row r="2068" spans="4:11">
      <c r="D2068" s="92" t="s">
        <v>285</v>
      </c>
      <c r="E2068" s="43"/>
      <c r="F2068" s="43"/>
      <c r="G2068" s="40">
        <v>3</v>
      </c>
      <c r="H2068" s="40">
        <v>0</v>
      </c>
      <c r="I2068" s="1">
        <f t="shared" si="97"/>
        <v>3</v>
      </c>
      <c r="J2068" s="1">
        <f t="shared" si="96"/>
        <v>0</v>
      </c>
      <c r="K2068" s="1">
        <f t="shared" si="98"/>
        <v>9</v>
      </c>
    </row>
    <row r="2069" spans="4:11" ht="15.75" thickBot="1">
      <c r="D2069" s="93"/>
      <c r="E2069" s="44" t="s">
        <v>17</v>
      </c>
      <c r="F2069" s="44" t="s">
        <v>21</v>
      </c>
      <c r="G2069" s="40"/>
      <c r="H2069" s="40"/>
      <c r="I2069" s="1" t="str">
        <f t="shared" si="97"/>
        <v/>
      </c>
      <c r="J2069" s="1" t="str">
        <f t="shared" si="96"/>
        <v/>
      </c>
      <c r="K2069" s="1" t="str">
        <f t="shared" si="98"/>
        <v/>
      </c>
    </row>
    <row r="2070" spans="4:11">
      <c r="D2070" s="94" t="s">
        <v>285</v>
      </c>
      <c r="E2070" s="42"/>
      <c r="F2070" s="42"/>
      <c r="G2070" s="40">
        <v>1</v>
      </c>
      <c r="H2070" s="40">
        <v>2</v>
      </c>
      <c r="I2070" s="1">
        <f t="shared" si="97"/>
        <v>-1</v>
      </c>
      <c r="J2070" s="1">
        <f t="shared" si="96"/>
        <v>0</v>
      </c>
      <c r="K2070" s="1">
        <f t="shared" si="98"/>
        <v>1</v>
      </c>
    </row>
    <row r="2071" spans="4:11" ht="15.75" thickBot="1">
      <c r="D2071" s="95"/>
      <c r="E2071" s="45" t="s">
        <v>1</v>
      </c>
      <c r="F2071" s="45" t="s">
        <v>18</v>
      </c>
      <c r="G2071" s="40"/>
      <c r="H2071" s="40"/>
      <c r="I2071" s="1" t="str">
        <f t="shared" si="97"/>
        <v/>
      </c>
      <c r="J2071" s="1" t="str">
        <f t="shared" si="96"/>
        <v/>
      </c>
      <c r="K2071" s="1" t="str">
        <f t="shared" si="98"/>
        <v/>
      </c>
    </row>
    <row r="2072" spans="4:11">
      <c r="D2072" s="92" t="s">
        <v>285</v>
      </c>
      <c r="E2072" s="43"/>
      <c r="F2072" s="43"/>
      <c r="G2072" s="40">
        <v>0</v>
      </c>
      <c r="H2072" s="40">
        <v>2</v>
      </c>
      <c r="I2072" s="1">
        <f t="shared" si="97"/>
        <v>-2</v>
      </c>
      <c r="J2072" s="1">
        <f t="shared" si="96"/>
        <v>0</v>
      </c>
      <c r="K2072" s="1">
        <f t="shared" si="98"/>
        <v>4</v>
      </c>
    </row>
    <row r="2073" spans="4:11" ht="15.75" thickBot="1">
      <c r="D2073" s="93"/>
      <c r="E2073" s="44" t="s">
        <v>2</v>
      </c>
      <c r="F2073" s="44" t="s">
        <v>12</v>
      </c>
      <c r="G2073" s="40"/>
      <c r="H2073" s="40"/>
      <c r="I2073" s="1" t="str">
        <f t="shared" si="97"/>
        <v/>
      </c>
      <c r="J2073" s="1" t="str">
        <f t="shared" si="96"/>
        <v/>
      </c>
      <c r="K2073" s="1" t="str">
        <f t="shared" si="98"/>
        <v/>
      </c>
    </row>
    <row r="2074" spans="4:11">
      <c r="D2074" s="94" t="s">
        <v>285</v>
      </c>
      <c r="E2074" s="42"/>
      <c r="F2074" s="42"/>
      <c r="G2074" s="40">
        <v>2</v>
      </c>
      <c r="H2074" s="40">
        <v>4</v>
      </c>
      <c r="I2074" s="1">
        <f t="shared" si="97"/>
        <v>-2</v>
      </c>
      <c r="J2074" s="1">
        <f t="shared" si="96"/>
        <v>0</v>
      </c>
      <c r="K2074" s="1">
        <f t="shared" si="98"/>
        <v>4</v>
      </c>
    </row>
    <row r="2075" spans="4:11" ht="15.75" thickBot="1">
      <c r="D2075" s="95"/>
      <c r="E2075" s="45" t="s">
        <v>19</v>
      </c>
      <c r="F2075" s="45" t="s">
        <v>10</v>
      </c>
      <c r="G2075" s="40"/>
      <c r="H2075" s="40"/>
      <c r="I2075" s="1" t="str">
        <f t="shared" si="97"/>
        <v/>
      </c>
      <c r="J2075" s="1" t="str">
        <f t="shared" si="96"/>
        <v/>
      </c>
      <c r="K2075" s="1" t="str">
        <f t="shared" si="98"/>
        <v/>
      </c>
    </row>
    <row r="2076" spans="4:11">
      <c r="D2076" s="92" t="s">
        <v>286</v>
      </c>
      <c r="E2076" s="43"/>
      <c r="F2076" s="43"/>
      <c r="G2076" s="40">
        <v>4</v>
      </c>
      <c r="H2076" s="40">
        <v>3</v>
      </c>
      <c r="I2076" s="1">
        <f t="shared" si="97"/>
        <v>1</v>
      </c>
      <c r="J2076" s="1">
        <f t="shared" si="96"/>
        <v>2550</v>
      </c>
      <c r="K2076" s="1">
        <f t="shared" si="98"/>
        <v>6497401</v>
      </c>
    </row>
    <row r="2077" spans="4:11" ht="15.75" thickBot="1">
      <c r="D2077" s="93"/>
      <c r="E2077" s="44" t="s">
        <v>12</v>
      </c>
      <c r="F2077" s="44" t="s">
        <v>8</v>
      </c>
      <c r="G2077" s="40"/>
      <c r="H2077" s="40"/>
      <c r="I2077" s="1" t="str">
        <f t="shared" si="97"/>
        <v/>
      </c>
      <c r="J2077" s="1" t="str">
        <f t="shared" si="96"/>
        <v/>
      </c>
      <c r="K2077" s="1" t="str">
        <f t="shared" si="98"/>
        <v/>
      </c>
    </row>
    <row r="2078" spans="4:11">
      <c r="D2078" s="94" t="s">
        <v>286</v>
      </c>
      <c r="E2078" s="42"/>
      <c r="F2078" s="42"/>
      <c r="G2078" s="40">
        <v>2</v>
      </c>
      <c r="H2078" s="40">
        <v>4</v>
      </c>
      <c r="I2078" s="1">
        <f t="shared" si="97"/>
        <v>-2</v>
      </c>
      <c r="J2078" s="1">
        <f t="shared" si="96"/>
        <v>0</v>
      </c>
      <c r="K2078" s="1">
        <f t="shared" si="98"/>
        <v>4</v>
      </c>
    </row>
    <row r="2079" spans="4:11" ht="15.75" thickBot="1">
      <c r="D2079" s="95"/>
      <c r="E2079" s="45" t="s">
        <v>230</v>
      </c>
      <c r="F2079" s="45" t="s">
        <v>15</v>
      </c>
      <c r="G2079" s="40"/>
      <c r="H2079" s="40"/>
      <c r="I2079" s="1" t="str">
        <f t="shared" si="97"/>
        <v/>
      </c>
      <c r="J2079" s="1" t="str">
        <f t="shared" si="96"/>
        <v/>
      </c>
      <c r="K2079" s="1" t="str">
        <f t="shared" si="98"/>
        <v/>
      </c>
    </row>
    <row r="2080" spans="4:11">
      <c r="D2080" s="92" t="s">
        <v>286</v>
      </c>
      <c r="E2080" s="43"/>
      <c r="F2080" s="43"/>
      <c r="G2080" s="40">
        <v>1</v>
      </c>
      <c r="H2080" s="40">
        <v>4</v>
      </c>
      <c r="I2080" s="1">
        <f t="shared" si="97"/>
        <v>-3</v>
      </c>
      <c r="J2080" s="1">
        <f t="shared" si="96"/>
        <v>0</v>
      </c>
      <c r="K2080" s="1">
        <f t="shared" si="98"/>
        <v>9</v>
      </c>
    </row>
    <row r="2081" spans="4:11" ht="15.75" thickBot="1">
      <c r="D2081" s="93"/>
      <c r="E2081" s="44" t="s">
        <v>0</v>
      </c>
      <c r="F2081" s="44" t="s">
        <v>24</v>
      </c>
      <c r="G2081" s="40"/>
      <c r="H2081" s="40"/>
      <c r="I2081" s="1" t="str">
        <f t="shared" si="97"/>
        <v/>
      </c>
      <c r="J2081" s="1" t="str">
        <f t="shared" si="96"/>
        <v/>
      </c>
      <c r="K2081" s="1" t="str">
        <f t="shared" si="98"/>
        <v/>
      </c>
    </row>
    <row r="2082" spans="4:11">
      <c r="D2082" s="94" t="s">
        <v>286</v>
      </c>
      <c r="E2082" s="42"/>
      <c r="F2082" s="42"/>
      <c r="G2082" s="40">
        <v>0</v>
      </c>
      <c r="H2082" s="40">
        <v>1</v>
      </c>
      <c r="I2082" s="1">
        <f t="shared" si="97"/>
        <v>-1</v>
      </c>
      <c r="J2082" s="1">
        <f t="shared" si="96"/>
        <v>0</v>
      </c>
      <c r="K2082" s="1">
        <f t="shared" si="98"/>
        <v>1</v>
      </c>
    </row>
    <row r="2083" spans="4:11" ht="15.75" thickBot="1">
      <c r="D2083" s="95"/>
      <c r="E2083" s="45" t="s">
        <v>26</v>
      </c>
      <c r="F2083" s="45" t="s">
        <v>6</v>
      </c>
      <c r="G2083" s="40"/>
      <c r="H2083" s="40"/>
      <c r="I2083" s="1" t="str">
        <f t="shared" si="97"/>
        <v/>
      </c>
      <c r="J2083" s="1" t="str">
        <f t="shared" si="96"/>
        <v/>
      </c>
      <c r="K2083" s="1" t="str">
        <f t="shared" si="98"/>
        <v/>
      </c>
    </row>
    <row r="2084" spans="4:11">
      <c r="D2084" s="92" t="s">
        <v>287</v>
      </c>
      <c r="E2084" s="43"/>
      <c r="F2084" s="43"/>
      <c r="G2084" s="40">
        <v>0</v>
      </c>
      <c r="H2084" s="40">
        <v>2</v>
      </c>
      <c r="I2084" s="1">
        <f t="shared" si="97"/>
        <v>-2</v>
      </c>
      <c r="J2084" s="1">
        <f t="shared" si="96"/>
        <v>0</v>
      </c>
      <c r="K2084" s="1">
        <f t="shared" si="98"/>
        <v>4</v>
      </c>
    </row>
    <row r="2085" spans="4:11" ht="15.75" thickBot="1">
      <c r="D2085" s="93"/>
      <c r="E2085" s="44" t="s">
        <v>11</v>
      </c>
      <c r="F2085" s="44" t="s">
        <v>9</v>
      </c>
      <c r="G2085" s="40"/>
      <c r="H2085" s="40"/>
      <c r="I2085" s="1" t="str">
        <f t="shared" si="97"/>
        <v/>
      </c>
      <c r="J2085" s="1" t="str">
        <f t="shared" si="96"/>
        <v/>
      </c>
      <c r="K2085" s="1" t="str">
        <f t="shared" si="98"/>
        <v/>
      </c>
    </row>
    <row r="2086" spans="4:11">
      <c r="D2086" s="94" t="s">
        <v>287</v>
      </c>
      <c r="E2086" s="42"/>
      <c r="F2086" s="42"/>
      <c r="G2086" s="40">
        <v>2</v>
      </c>
      <c r="H2086" s="40">
        <v>1</v>
      </c>
      <c r="I2086" s="1">
        <f t="shared" si="97"/>
        <v>1</v>
      </c>
      <c r="J2086" s="1">
        <f t="shared" si="96"/>
        <v>0</v>
      </c>
      <c r="K2086" s="1">
        <f t="shared" si="98"/>
        <v>1</v>
      </c>
    </row>
    <row r="2087" spans="4:11" ht="15.75" thickBot="1">
      <c r="D2087" s="95"/>
      <c r="E2087" s="45" t="s">
        <v>18</v>
      </c>
      <c r="F2087" s="45" t="s">
        <v>28</v>
      </c>
      <c r="G2087" s="40"/>
      <c r="H2087" s="40"/>
      <c r="I2087" s="1" t="str">
        <f t="shared" si="97"/>
        <v/>
      </c>
      <c r="J2087" s="1" t="str">
        <f t="shared" si="96"/>
        <v/>
      </c>
      <c r="K2087" s="1" t="str">
        <f t="shared" si="98"/>
        <v/>
      </c>
    </row>
    <row r="2088" spans="4:11">
      <c r="D2088" s="92" t="s">
        <v>287</v>
      </c>
      <c r="E2088" s="43"/>
      <c r="F2088" s="43"/>
      <c r="G2088" s="40">
        <v>2</v>
      </c>
      <c r="H2088" s="40">
        <v>1</v>
      </c>
      <c r="I2088" s="1">
        <f t="shared" si="97"/>
        <v>1</v>
      </c>
      <c r="J2088" s="1">
        <f t="shared" si="96"/>
        <v>-2550</v>
      </c>
      <c r="K2088" s="1">
        <f t="shared" si="98"/>
        <v>6507601</v>
      </c>
    </row>
    <row r="2089" spans="4:11" ht="15.75" thickBot="1">
      <c r="D2089" s="93"/>
      <c r="E2089" s="44" t="s">
        <v>8</v>
      </c>
      <c r="F2089" s="44" t="s">
        <v>2</v>
      </c>
      <c r="G2089" s="40"/>
      <c r="H2089" s="40"/>
      <c r="I2089" s="1" t="str">
        <f t="shared" si="97"/>
        <v/>
      </c>
      <c r="J2089" s="1" t="str">
        <f t="shared" si="96"/>
        <v/>
      </c>
      <c r="K2089" s="1" t="str">
        <f t="shared" si="98"/>
        <v/>
      </c>
    </row>
    <row r="2090" spans="4:11">
      <c r="D2090" s="94" t="s">
        <v>287</v>
      </c>
      <c r="E2090" s="42"/>
      <c r="F2090" s="42"/>
      <c r="G2090" s="40">
        <v>3</v>
      </c>
      <c r="H2090" s="40">
        <v>2</v>
      </c>
      <c r="I2090" s="1">
        <f t="shared" si="97"/>
        <v>1</v>
      </c>
      <c r="J2090" s="1">
        <f t="shared" si="96"/>
        <v>0</v>
      </c>
      <c r="K2090" s="1">
        <f t="shared" si="98"/>
        <v>1</v>
      </c>
    </row>
    <row r="2091" spans="4:11" ht="15.75" thickBot="1">
      <c r="D2091" s="95"/>
      <c r="E2091" s="45" t="s">
        <v>230</v>
      </c>
      <c r="F2091" s="45" t="s">
        <v>14</v>
      </c>
      <c r="G2091" s="40"/>
      <c r="H2091" s="40"/>
      <c r="I2091" s="1" t="str">
        <f t="shared" si="97"/>
        <v/>
      </c>
      <c r="J2091" s="1" t="str">
        <f t="shared" si="96"/>
        <v/>
      </c>
      <c r="K2091" s="1" t="str">
        <f t="shared" si="98"/>
        <v/>
      </c>
    </row>
    <row r="2092" spans="4:11">
      <c r="D2092" s="92" t="s">
        <v>287</v>
      </c>
      <c r="E2092" s="43"/>
      <c r="F2092" s="43"/>
      <c r="G2092" s="40">
        <v>3</v>
      </c>
      <c r="H2092" s="40">
        <v>2</v>
      </c>
      <c r="I2092" s="1">
        <f t="shared" si="97"/>
        <v>1</v>
      </c>
      <c r="J2092" s="1">
        <f t="shared" si="96"/>
        <v>0</v>
      </c>
      <c r="K2092" s="1">
        <f t="shared" si="98"/>
        <v>1</v>
      </c>
    </row>
    <row r="2093" spans="4:11" ht="15.75" thickBot="1">
      <c r="D2093" s="93"/>
      <c r="E2093" s="44" t="s">
        <v>23</v>
      </c>
      <c r="F2093" s="44" t="s">
        <v>19</v>
      </c>
      <c r="G2093" s="40"/>
      <c r="H2093" s="40"/>
      <c r="I2093" s="1" t="str">
        <f t="shared" si="97"/>
        <v/>
      </c>
      <c r="J2093" s="1" t="str">
        <f t="shared" si="96"/>
        <v/>
      </c>
      <c r="K2093" s="1" t="str">
        <f t="shared" si="98"/>
        <v/>
      </c>
    </row>
    <row r="2094" spans="4:11">
      <c r="D2094" s="94" t="s">
        <v>287</v>
      </c>
      <c r="E2094" s="42"/>
      <c r="F2094" s="42"/>
      <c r="G2094" s="40">
        <v>2</v>
      </c>
      <c r="H2094" s="40">
        <v>5</v>
      </c>
      <c r="I2094" s="1">
        <f t="shared" si="97"/>
        <v>-3</v>
      </c>
      <c r="J2094" s="1">
        <f t="shared" si="96"/>
        <v>0</v>
      </c>
      <c r="K2094" s="1">
        <f t="shared" si="98"/>
        <v>9</v>
      </c>
    </row>
    <row r="2095" spans="4:11" ht="15.75" thickBot="1">
      <c r="D2095" s="95"/>
      <c r="E2095" s="45" t="s">
        <v>5</v>
      </c>
      <c r="F2095" s="45" t="s">
        <v>25</v>
      </c>
      <c r="G2095" s="40"/>
      <c r="H2095" s="40"/>
      <c r="I2095" s="1" t="str">
        <f t="shared" si="97"/>
        <v/>
      </c>
      <c r="J2095" s="1" t="str">
        <f t="shared" si="96"/>
        <v/>
      </c>
      <c r="K2095" s="1" t="str">
        <f t="shared" si="98"/>
        <v/>
      </c>
    </row>
    <row r="2096" spans="4:11">
      <c r="D2096" s="92" t="s">
        <v>287</v>
      </c>
      <c r="E2096" s="43"/>
      <c r="F2096" s="43"/>
      <c r="G2096" s="40">
        <v>1</v>
      </c>
      <c r="H2096" s="40">
        <v>4</v>
      </c>
      <c r="I2096" s="1">
        <f t="shared" si="97"/>
        <v>-3</v>
      </c>
      <c r="J2096" s="1">
        <f t="shared" si="96"/>
        <v>0</v>
      </c>
      <c r="K2096" s="1">
        <f t="shared" si="98"/>
        <v>9</v>
      </c>
    </row>
    <row r="2097" spans="4:11" ht="15.75" thickBot="1">
      <c r="D2097" s="93"/>
      <c r="E2097" s="44" t="s">
        <v>27</v>
      </c>
      <c r="F2097" s="44" t="s">
        <v>20</v>
      </c>
      <c r="G2097" s="40"/>
      <c r="H2097" s="40"/>
      <c r="I2097" s="1" t="str">
        <f t="shared" si="97"/>
        <v/>
      </c>
      <c r="J2097" s="1" t="str">
        <f t="shared" si="96"/>
        <v/>
      </c>
      <c r="K2097" s="1" t="str">
        <f t="shared" si="98"/>
        <v/>
      </c>
    </row>
    <row r="2098" spans="4:11">
      <c r="D2098" s="94" t="s">
        <v>287</v>
      </c>
      <c r="E2098" s="42"/>
      <c r="F2098" s="42"/>
      <c r="G2098" s="40">
        <v>4</v>
      </c>
      <c r="H2098" s="40">
        <v>0</v>
      </c>
      <c r="I2098" s="1">
        <f t="shared" si="97"/>
        <v>4</v>
      </c>
      <c r="J2098" s="1">
        <f t="shared" si="96"/>
        <v>0</v>
      </c>
      <c r="K2098" s="1">
        <f t="shared" si="98"/>
        <v>16</v>
      </c>
    </row>
    <row r="2099" spans="4:11" ht="15.75" thickBot="1">
      <c r="D2099" s="95"/>
      <c r="E2099" s="45" t="s">
        <v>17</v>
      </c>
      <c r="F2099" s="45" t="s">
        <v>4</v>
      </c>
      <c r="G2099" s="40"/>
      <c r="H2099" s="40"/>
      <c r="I2099" s="1" t="str">
        <f t="shared" si="97"/>
        <v/>
      </c>
      <c r="J2099" s="1" t="str">
        <f t="shared" si="96"/>
        <v/>
      </c>
      <c r="K2099" s="1" t="str">
        <f t="shared" si="98"/>
        <v/>
      </c>
    </row>
    <row r="2100" spans="4:11">
      <c r="D2100" s="92" t="s">
        <v>287</v>
      </c>
      <c r="E2100" s="43"/>
      <c r="F2100" s="43"/>
      <c r="G2100" s="40">
        <v>1</v>
      </c>
      <c r="H2100" s="40">
        <v>4</v>
      </c>
      <c r="I2100" s="1">
        <f t="shared" si="97"/>
        <v>-3</v>
      </c>
      <c r="J2100" s="1">
        <f t="shared" si="96"/>
        <v>0</v>
      </c>
      <c r="K2100" s="1">
        <f t="shared" si="98"/>
        <v>9</v>
      </c>
    </row>
    <row r="2101" spans="4:11" ht="15.75" thickBot="1">
      <c r="D2101" s="93"/>
      <c r="E2101" s="44" t="s">
        <v>1</v>
      </c>
      <c r="F2101" s="44" t="s">
        <v>3</v>
      </c>
      <c r="G2101" s="40"/>
      <c r="H2101" s="40"/>
      <c r="I2101" s="1" t="str">
        <f t="shared" si="97"/>
        <v/>
      </c>
      <c r="J2101" s="1" t="str">
        <f t="shared" si="96"/>
        <v/>
      </c>
      <c r="K2101" s="1" t="str">
        <f t="shared" si="98"/>
        <v/>
      </c>
    </row>
    <row r="2102" spans="4:11">
      <c r="D2102" s="94" t="s">
        <v>288</v>
      </c>
      <c r="E2102" s="42"/>
      <c r="F2102" s="42"/>
      <c r="G2102" s="40">
        <v>1</v>
      </c>
      <c r="H2102" s="40">
        <v>0</v>
      </c>
      <c r="I2102" s="1">
        <f t="shared" si="97"/>
        <v>1</v>
      </c>
      <c r="J2102" s="1">
        <f t="shared" si="96"/>
        <v>0</v>
      </c>
      <c r="K2102" s="1">
        <f t="shared" si="98"/>
        <v>1</v>
      </c>
    </row>
    <row r="2103" spans="4:11" ht="15.75" thickBot="1">
      <c r="D2103" s="95"/>
      <c r="E2103" s="45" t="s">
        <v>20</v>
      </c>
      <c r="F2103" s="45" t="s">
        <v>16</v>
      </c>
      <c r="G2103" s="40"/>
      <c r="H2103" s="40"/>
      <c r="I2103" s="1" t="str">
        <f t="shared" si="97"/>
        <v/>
      </c>
      <c r="J2103" s="1" t="str">
        <f t="shared" si="96"/>
        <v/>
      </c>
      <c r="K2103" s="1" t="str">
        <f t="shared" si="98"/>
        <v/>
      </c>
    </row>
    <row r="2104" spans="4:11">
      <c r="D2104" s="92" t="s">
        <v>288</v>
      </c>
      <c r="E2104" s="43"/>
      <c r="F2104" s="43"/>
      <c r="G2104" s="40">
        <v>4</v>
      </c>
      <c r="H2104" s="40">
        <v>3</v>
      </c>
      <c r="I2104" s="1">
        <f t="shared" si="97"/>
        <v>1</v>
      </c>
      <c r="J2104" s="1">
        <f t="shared" si="96"/>
        <v>0</v>
      </c>
      <c r="K2104" s="1">
        <f t="shared" si="98"/>
        <v>1</v>
      </c>
    </row>
    <row r="2105" spans="4:11" ht="15.75" thickBot="1">
      <c r="D2105" s="93"/>
      <c r="E2105" s="44" t="s">
        <v>7</v>
      </c>
      <c r="F2105" s="44" t="s">
        <v>24</v>
      </c>
      <c r="G2105" s="40"/>
      <c r="H2105" s="40"/>
      <c r="I2105" s="1" t="str">
        <f t="shared" si="97"/>
        <v/>
      </c>
      <c r="J2105" s="1" t="str">
        <f t="shared" si="96"/>
        <v/>
      </c>
      <c r="K2105" s="1" t="str">
        <f t="shared" si="98"/>
        <v/>
      </c>
    </row>
    <row r="2106" spans="4:11">
      <c r="D2106" s="94" t="s">
        <v>288</v>
      </c>
      <c r="E2106" s="42"/>
      <c r="F2106" s="42"/>
      <c r="G2106" s="40">
        <v>2</v>
      </c>
      <c r="H2106" s="40">
        <v>3</v>
      </c>
      <c r="I2106" s="1">
        <f t="shared" si="97"/>
        <v>-1</v>
      </c>
      <c r="J2106" s="1">
        <f t="shared" si="96"/>
        <v>0</v>
      </c>
      <c r="K2106" s="1">
        <f t="shared" si="98"/>
        <v>1</v>
      </c>
    </row>
    <row r="2107" spans="4:11" ht="15.75" thickBot="1">
      <c r="D2107" s="95"/>
      <c r="E2107" s="45" t="s">
        <v>6</v>
      </c>
      <c r="F2107" s="45" t="s">
        <v>10</v>
      </c>
      <c r="G2107" s="40"/>
      <c r="H2107" s="40"/>
      <c r="I2107" s="1" t="str">
        <f t="shared" si="97"/>
        <v/>
      </c>
      <c r="J2107" s="1" t="str">
        <f t="shared" si="96"/>
        <v/>
      </c>
      <c r="K2107" s="1" t="str">
        <f t="shared" si="98"/>
        <v/>
      </c>
    </row>
    <row r="2108" spans="4:11">
      <c r="D2108" s="92" t="s">
        <v>289</v>
      </c>
      <c r="E2108" s="43"/>
      <c r="F2108" s="43"/>
      <c r="G2108" s="40">
        <v>4</v>
      </c>
      <c r="H2108" s="40">
        <v>1</v>
      </c>
      <c r="I2108" s="1">
        <f t="shared" si="97"/>
        <v>3</v>
      </c>
      <c r="J2108" s="1">
        <f t="shared" si="96"/>
        <v>0</v>
      </c>
      <c r="K2108" s="1">
        <f t="shared" si="98"/>
        <v>9</v>
      </c>
    </row>
    <row r="2109" spans="4:11" ht="15.75" thickBot="1">
      <c r="D2109" s="93"/>
      <c r="E2109" s="44" t="s">
        <v>5</v>
      </c>
      <c r="F2109" s="44" t="s">
        <v>0</v>
      </c>
      <c r="G2109" s="40"/>
      <c r="H2109" s="40"/>
      <c r="I2109" s="1" t="str">
        <f t="shared" si="97"/>
        <v/>
      </c>
      <c r="J2109" s="1" t="str">
        <f t="shared" si="96"/>
        <v/>
      </c>
      <c r="K2109" s="1" t="str">
        <f t="shared" si="98"/>
        <v/>
      </c>
    </row>
    <row r="2110" spans="4:11">
      <c r="D2110" s="94" t="s">
        <v>289</v>
      </c>
      <c r="E2110" s="42"/>
      <c r="F2110" s="42"/>
      <c r="G2110" s="40">
        <v>0</v>
      </c>
      <c r="H2110" s="40">
        <v>4</v>
      </c>
      <c r="I2110" s="1">
        <f t="shared" si="97"/>
        <v>-4</v>
      </c>
      <c r="J2110" s="1">
        <f t="shared" si="96"/>
        <v>0</v>
      </c>
      <c r="K2110" s="1">
        <f t="shared" si="98"/>
        <v>16</v>
      </c>
    </row>
    <row r="2111" spans="4:11" ht="15.75" thickBot="1">
      <c r="D2111" s="95"/>
      <c r="E2111" s="45" t="s">
        <v>28</v>
      </c>
      <c r="F2111" s="45" t="s">
        <v>230</v>
      </c>
      <c r="G2111" s="40"/>
      <c r="H2111" s="40"/>
      <c r="I2111" s="1" t="str">
        <f t="shared" si="97"/>
        <v/>
      </c>
      <c r="J2111" s="1" t="str">
        <f t="shared" si="96"/>
        <v/>
      </c>
      <c r="K2111" s="1" t="str">
        <f t="shared" si="98"/>
        <v/>
      </c>
    </row>
    <row r="2112" spans="4:11">
      <c r="D2112" s="92" t="s">
        <v>289</v>
      </c>
      <c r="E2112" s="43"/>
      <c r="F2112" s="43"/>
      <c r="G2112" s="40">
        <v>4</v>
      </c>
      <c r="H2112" s="40">
        <v>6</v>
      </c>
      <c r="I2112" s="1">
        <f t="shared" si="97"/>
        <v>-2</v>
      </c>
      <c r="J2112" s="1">
        <f t="shared" si="96"/>
        <v>0</v>
      </c>
      <c r="K2112" s="1">
        <f t="shared" si="98"/>
        <v>4</v>
      </c>
    </row>
    <row r="2113" spans="4:11" ht="15.75" thickBot="1">
      <c r="D2113" s="93"/>
      <c r="E2113" s="44" t="s">
        <v>2</v>
      </c>
      <c r="F2113" s="44" t="s">
        <v>18</v>
      </c>
      <c r="G2113" s="40"/>
      <c r="H2113" s="40"/>
      <c r="I2113" s="1" t="str">
        <f t="shared" si="97"/>
        <v/>
      </c>
      <c r="J2113" s="1" t="str">
        <f t="shared" ref="J2113:J2176" si="99">IF(F2114="","",VLOOKUP(F2114,$A$2:$B$31,2)+$B$33-VLOOKUP(E2114,$A$2:$B$31,2))</f>
        <v/>
      </c>
      <c r="K2113" s="1" t="str">
        <f t="shared" si="98"/>
        <v/>
      </c>
    </row>
    <row r="2114" spans="4:11">
      <c r="D2114" s="94" t="s">
        <v>289</v>
      </c>
      <c r="E2114" s="42"/>
      <c r="F2114" s="42"/>
      <c r="G2114" s="40">
        <v>1</v>
      </c>
      <c r="H2114" s="40">
        <v>3</v>
      </c>
      <c r="I2114" s="1">
        <f t="shared" ref="I2114:I2177" si="100">IF(G2114="","",G2114-H2114)</f>
        <v>-2</v>
      </c>
      <c r="J2114" s="1">
        <f t="shared" si="99"/>
        <v>0</v>
      </c>
      <c r="K2114" s="1">
        <f t="shared" si="98"/>
        <v>4</v>
      </c>
    </row>
    <row r="2115" spans="4:11" ht="15.75" thickBot="1">
      <c r="D2115" s="95"/>
      <c r="E2115" s="45" t="s">
        <v>13</v>
      </c>
      <c r="F2115" s="45" t="s">
        <v>14</v>
      </c>
      <c r="G2115" s="40"/>
      <c r="H2115" s="40"/>
      <c r="I2115" s="1" t="str">
        <f t="shared" si="100"/>
        <v/>
      </c>
      <c r="J2115" s="1" t="str">
        <f t="shared" si="99"/>
        <v/>
      </c>
      <c r="K2115" s="1" t="str">
        <f t="shared" ref="K2115:K2178" si="101">IF(G2115="","",(I2115-J2115)^2)</f>
        <v/>
      </c>
    </row>
    <row r="2116" spans="4:11">
      <c r="D2116" s="92" t="s">
        <v>289</v>
      </c>
      <c r="E2116" s="43"/>
      <c r="F2116" s="43"/>
      <c r="G2116" s="40">
        <v>3</v>
      </c>
      <c r="H2116" s="40">
        <v>2</v>
      </c>
      <c r="I2116" s="1">
        <f t="shared" si="100"/>
        <v>1</v>
      </c>
      <c r="J2116" s="1">
        <f t="shared" si="99"/>
        <v>0</v>
      </c>
      <c r="K2116" s="1">
        <f t="shared" si="101"/>
        <v>1</v>
      </c>
    </row>
    <row r="2117" spans="4:11" ht="15.75" thickBot="1">
      <c r="D2117" s="93"/>
      <c r="E2117" s="44" t="s">
        <v>12</v>
      </c>
      <c r="F2117" s="44" t="s">
        <v>23</v>
      </c>
      <c r="G2117" s="40"/>
      <c r="H2117" s="40"/>
      <c r="I2117" s="1" t="str">
        <f t="shared" si="100"/>
        <v/>
      </c>
      <c r="J2117" s="1" t="str">
        <f t="shared" si="99"/>
        <v/>
      </c>
      <c r="K2117" s="1" t="str">
        <f t="shared" si="101"/>
        <v/>
      </c>
    </row>
    <row r="2118" spans="4:11">
      <c r="D2118" s="94" t="s">
        <v>289</v>
      </c>
      <c r="E2118" s="42"/>
      <c r="F2118" s="42"/>
      <c r="G2118" s="40">
        <v>1</v>
      </c>
      <c r="H2118" s="40">
        <v>2</v>
      </c>
      <c r="I2118" s="1">
        <f t="shared" si="100"/>
        <v>-1</v>
      </c>
      <c r="J2118" s="1">
        <f t="shared" si="99"/>
        <v>0</v>
      </c>
      <c r="K2118" s="1">
        <f t="shared" si="101"/>
        <v>1</v>
      </c>
    </row>
    <row r="2119" spans="4:11" ht="15.75" thickBot="1">
      <c r="D2119" s="95"/>
      <c r="E2119" s="45" t="s">
        <v>17</v>
      </c>
      <c r="F2119" s="45" t="s">
        <v>25</v>
      </c>
      <c r="G2119" s="40"/>
      <c r="H2119" s="40"/>
      <c r="I2119" s="1" t="str">
        <f t="shared" si="100"/>
        <v/>
      </c>
      <c r="J2119" s="1" t="str">
        <f t="shared" si="99"/>
        <v/>
      </c>
      <c r="K2119" s="1" t="str">
        <f t="shared" si="101"/>
        <v/>
      </c>
    </row>
    <row r="2120" spans="4:11">
      <c r="D2120" s="92" t="s">
        <v>289</v>
      </c>
      <c r="E2120" s="43"/>
      <c r="F2120" s="43"/>
      <c r="G2120" s="40">
        <v>1</v>
      </c>
      <c r="H2120" s="40">
        <v>2</v>
      </c>
      <c r="I2120" s="1">
        <f t="shared" si="100"/>
        <v>-1</v>
      </c>
      <c r="J2120" s="1">
        <f t="shared" si="99"/>
        <v>0</v>
      </c>
      <c r="K2120" s="1">
        <f t="shared" si="101"/>
        <v>1</v>
      </c>
    </row>
    <row r="2121" spans="4:11" ht="15.75" thickBot="1">
      <c r="D2121" s="93"/>
      <c r="E2121" s="44" t="s">
        <v>11</v>
      </c>
      <c r="F2121" s="44" t="s">
        <v>21</v>
      </c>
      <c r="G2121" s="40"/>
      <c r="H2121" s="40"/>
      <c r="I2121" s="1" t="str">
        <f t="shared" si="100"/>
        <v/>
      </c>
      <c r="J2121" s="1" t="str">
        <f t="shared" si="99"/>
        <v/>
      </c>
      <c r="K2121" s="1" t="str">
        <f t="shared" si="101"/>
        <v/>
      </c>
    </row>
    <row r="2122" spans="4:11">
      <c r="D2122" s="94" t="s">
        <v>289</v>
      </c>
      <c r="E2122" s="42"/>
      <c r="F2122" s="42"/>
      <c r="G2122" s="40">
        <v>1</v>
      </c>
      <c r="H2122" s="40">
        <v>4</v>
      </c>
      <c r="I2122" s="1">
        <f t="shared" si="100"/>
        <v>-3</v>
      </c>
      <c r="J2122" s="1">
        <f t="shared" si="99"/>
        <v>0</v>
      </c>
      <c r="K2122" s="1">
        <f t="shared" si="101"/>
        <v>9</v>
      </c>
    </row>
    <row r="2123" spans="4:11" ht="15.75" thickBot="1">
      <c r="D2123" s="95"/>
      <c r="E2123" s="45" t="s">
        <v>1</v>
      </c>
      <c r="F2123" s="45" t="s">
        <v>4</v>
      </c>
      <c r="G2123" s="40"/>
      <c r="H2123" s="40"/>
      <c r="I2123" s="1" t="str">
        <f t="shared" si="100"/>
        <v/>
      </c>
      <c r="J2123" s="1" t="str">
        <f t="shared" si="99"/>
        <v/>
      </c>
      <c r="K2123" s="1" t="str">
        <f t="shared" si="101"/>
        <v/>
      </c>
    </row>
    <row r="2124" spans="4:11">
      <c r="D2124" s="92" t="s">
        <v>289</v>
      </c>
      <c r="E2124" s="43"/>
      <c r="F2124" s="43"/>
      <c r="G2124" s="40">
        <v>6</v>
      </c>
      <c r="H2124" s="40">
        <v>2</v>
      </c>
      <c r="I2124" s="1">
        <f t="shared" si="100"/>
        <v>4</v>
      </c>
      <c r="J2124" s="1">
        <f t="shared" si="99"/>
        <v>0</v>
      </c>
      <c r="K2124" s="1">
        <f t="shared" si="101"/>
        <v>16</v>
      </c>
    </row>
    <row r="2125" spans="4:11" ht="15.75" thickBot="1">
      <c r="D2125" s="93"/>
      <c r="E2125" s="44" t="s">
        <v>7</v>
      </c>
      <c r="F2125" s="44" t="s">
        <v>3</v>
      </c>
      <c r="G2125" s="40"/>
      <c r="H2125" s="40"/>
      <c r="I2125" s="1" t="str">
        <f t="shared" si="100"/>
        <v/>
      </c>
      <c r="J2125" s="1" t="str">
        <f t="shared" si="99"/>
        <v/>
      </c>
      <c r="K2125" s="1" t="str">
        <f t="shared" si="101"/>
        <v/>
      </c>
    </row>
    <row r="2126" spans="4:11">
      <c r="D2126" s="94" t="s">
        <v>289</v>
      </c>
      <c r="E2126" s="42"/>
      <c r="F2126" s="42"/>
      <c r="G2126" s="40">
        <v>5</v>
      </c>
      <c r="H2126" s="40">
        <v>2</v>
      </c>
      <c r="I2126" s="1">
        <f t="shared" si="100"/>
        <v>3</v>
      </c>
      <c r="J2126" s="1">
        <f t="shared" si="99"/>
        <v>0</v>
      </c>
      <c r="K2126" s="1">
        <f t="shared" si="101"/>
        <v>9</v>
      </c>
    </row>
    <row r="2127" spans="4:11" ht="15.75" thickBot="1">
      <c r="D2127" s="95"/>
      <c r="E2127" s="45" t="s">
        <v>22</v>
      </c>
      <c r="F2127" s="45" t="s">
        <v>26</v>
      </c>
      <c r="G2127" s="40"/>
      <c r="H2127" s="40"/>
      <c r="I2127" s="1" t="str">
        <f t="shared" si="100"/>
        <v/>
      </c>
      <c r="J2127" s="1" t="str">
        <f t="shared" si="99"/>
        <v/>
      </c>
      <c r="K2127" s="1" t="str">
        <f t="shared" si="101"/>
        <v/>
      </c>
    </row>
    <row r="2128" spans="4:11">
      <c r="D2128" s="92" t="s">
        <v>290</v>
      </c>
      <c r="E2128" s="43"/>
      <c r="F2128" s="43"/>
      <c r="G2128" s="40">
        <v>3</v>
      </c>
      <c r="H2128" s="40">
        <v>1</v>
      </c>
      <c r="I2128" s="1">
        <f t="shared" si="100"/>
        <v>2</v>
      </c>
      <c r="J2128" s="1">
        <f t="shared" si="99"/>
        <v>2550</v>
      </c>
      <c r="K2128" s="1">
        <f t="shared" si="101"/>
        <v>6492304</v>
      </c>
    </row>
    <row r="2129" spans="4:11" ht="15.75" thickBot="1">
      <c r="D2129" s="93"/>
      <c r="E2129" s="44" t="s">
        <v>9</v>
      </c>
      <c r="F2129" s="44" t="s">
        <v>8</v>
      </c>
      <c r="G2129" s="40"/>
      <c r="H2129" s="40"/>
      <c r="I2129" s="1" t="str">
        <f t="shared" si="100"/>
        <v/>
      </c>
      <c r="J2129" s="1" t="str">
        <f t="shared" si="99"/>
        <v/>
      </c>
      <c r="K2129" s="1" t="str">
        <f t="shared" si="101"/>
        <v/>
      </c>
    </row>
    <row r="2130" spans="4:11">
      <c r="D2130" s="94" t="s">
        <v>290</v>
      </c>
      <c r="E2130" s="42"/>
      <c r="F2130" s="42"/>
      <c r="G2130" s="40">
        <v>1</v>
      </c>
      <c r="H2130" s="40">
        <v>3</v>
      </c>
      <c r="I2130" s="1">
        <f t="shared" si="100"/>
        <v>-2</v>
      </c>
      <c r="J2130" s="1">
        <f t="shared" si="99"/>
        <v>0</v>
      </c>
      <c r="K2130" s="1">
        <f t="shared" si="101"/>
        <v>4</v>
      </c>
    </row>
    <row r="2131" spans="4:11" ht="15.75" thickBot="1">
      <c r="D2131" s="95"/>
      <c r="E2131" s="45" t="s">
        <v>13</v>
      </c>
      <c r="F2131" s="45" t="s">
        <v>15</v>
      </c>
      <c r="G2131" s="40"/>
      <c r="H2131" s="40"/>
      <c r="I2131" s="1" t="str">
        <f t="shared" si="100"/>
        <v/>
      </c>
      <c r="J2131" s="1" t="str">
        <f t="shared" si="99"/>
        <v/>
      </c>
      <c r="K2131" s="1" t="str">
        <f t="shared" si="101"/>
        <v/>
      </c>
    </row>
    <row r="2132" spans="4:11">
      <c r="D2132" s="92" t="s">
        <v>290</v>
      </c>
      <c r="E2132" s="43"/>
      <c r="F2132" s="43"/>
      <c r="G2132" s="40">
        <v>2</v>
      </c>
      <c r="H2132" s="40">
        <v>3</v>
      </c>
      <c r="I2132" s="1">
        <f t="shared" si="100"/>
        <v>-1</v>
      </c>
      <c r="J2132" s="1">
        <f t="shared" si="99"/>
        <v>0</v>
      </c>
      <c r="K2132" s="1">
        <f t="shared" si="101"/>
        <v>1</v>
      </c>
    </row>
    <row r="2133" spans="4:11" ht="15.75" thickBot="1">
      <c r="D2133" s="93"/>
      <c r="E2133" s="44" t="s">
        <v>22</v>
      </c>
      <c r="F2133" s="44" t="s">
        <v>10</v>
      </c>
      <c r="G2133" s="40"/>
      <c r="H2133" s="40"/>
      <c r="I2133" s="1" t="str">
        <f t="shared" si="100"/>
        <v/>
      </c>
      <c r="J2133" s="1" t="str">
        <f t="shared" si="99"/>
        <v/>
      </c>
      <c r="K2133" s="1" t="str">
        <f t="shared" si="101"/>
        <v/>
      </c>
    </row>
    <row r="2134" spans="4:11">
      <c r="D2134" s="94" t="s">
        <v>291</v>
      </c>
      <c r="E2134" s="42"/>
      <c r="F2134" s="42"/>
      <c r="G2134" s="40">
        <v>3</v>
      </c>
      <c r="H2134" s="40">
        <v>6</v>
      </c>
      <c r="I2134" s="1">
        <f t="shared" si="100"/>
        <v>-3</v>
      </c>
      <c r="J2134" s="1">
        <f t="shared" si="99"/>
        <v>0</v>
      </c>
      <c r="K2134" s="1">
        <f t="shared" si="101"/>
        <v>9</v>
      </c>
    </row>
    <row r="2135" spans="4:11" ht="15.75" thickBot="1">
      <c r="D2135" s="95"/>
      <c r="E2135" s="45" t="s">
        <v>17</v>
      </c>
      <c r="F2135" s="45" t="s">
        <v>23</v>
      </c>
      <c r="G2135" s="40"/>
      <c r="H2135" s="40"/>
      <c r="I2135" s="1" t="str">
        <f t="shared" si="100"/>
        <v/>
      </c>
      <c r="J2135" s="1" t="str">
        <f t="shared" si="99"/>
        <v/>
      </c>
      <c r="K2135" s="1" t="str">
        <f t="shared" si="101"/>
        <v/>
      </c>
    </row>
    <row r="2136" spans="4:11">
      <c r="D2136" s="92" t="s">
        <v>291</v>
      </c>
      <c r="E2136" s="43"/>
      <c r="F2136" s="43"/>
      <c r="G2136" s="40">
        <v>3</v>
      </c>
      <c r="H2136" s="40">
        <v>2</v>
      </c>
      <c r="I2136" s="1">
        <f t="shared" si="100"/>
        <v>1</v>
      </c>
      <c r="J2136" s="1">
        <f t="shared" si="99"/>
        <v>0</v>
      </c>
      <c r="K2136" s="1">
        <f t="shared" si="101"/>
        <v>1</v>
      </c>
    </row>
    <row r="2137" spans="4:11" ht="15.75" thickBot="1">
      <c r="D2137" s="93"/>
      <c r="E2137" s="44" t="s">
        <v>7</v>
      </c>
      <c r="F2137" s="44" t="s">
        <v>4</v>
      </c>
      <c r="G2137" s="40"/>
      <c r="H2137" s="40"/>
      <c r="I2137" s="1" t="str">
        <f t="shared" si="100"/>
        <v/>
      </c>
      <c r="J2137" s="1" t="str">
        <f t="shared" si="99"/>
        <v/>
      </c>
      <c r="K2137" s="1" t="str">
        <f t="shared" si="101"/>
        <v/>
      </c>
    </row>
    <row r="2138" spans="4:11">
      <c r="D2138" s="94" t="s">
        <v>291</v>
      </c>
      <c r="E2138" s="42"/>
      <c r="F2138" s="42"/>
      <c r="G2138" s="40">
        <v>4</v>
      </c>
      <c r="H2138" s="40">
        <v>1</v>
      </c>
      <c r="I2138" s="1">
        <f t="shared" si="100"/>
        <v>3</v>
      </c>
      <c r="J2138" s="1">
        <f t="shared" si="99"/>
        <v>0</v>
      </c>
      <c r="K2138" s="1">
        <f t="shared" si="101"/>
        <v>9</v>
      </c>
    </row>
    <row r="2139" spans="4:11" ht="15.75" thickBot="1">
      <c r="D2139" s="95"/>
      <c r="E2139" s="45" t="s">
        <v>3</v>
      </c>
      <c r="F2139" s="45" t="s">
        <v>6</v>
      </c>
      <c r="G2139" s="40"/>
      <c r="H2139" s="40"/>
      <c r="I2139" s="1" t="str">
        <f t="shared" si="100"/>
        <v/>
      </c>
      <c r="J2139" s="1" t="str">
        <f t="shared" si="99"/>
        <v/>
      </c>
      <c r="K2139" s="1" t="str">
        <f t="shared" si="101"/>
        <v/>
      </c>
    </row>
    <row r="2140" spans="4:11">
      <c r="D2140" s="92" t="s">
        <v>291</v>
      </c>
      <c r="E2140" s="43"/>
      <c r="F2140" s="43"/>
      <c r="G2140" s="40">
        <v>0</v>
      </c>
      <c r="H2140" s="40">
        <v>2</v>
      </c>
      <c r="I2140" s="1">
        <f t="shared" si="100"/>
        <v>-2</v>
      </c>
      <c r="J2140" s="1">
        <f t="shared" si="99"/>
        <v>0</v>
      </c>
      <c r="K2140" s="1">
        <f t="shared" si="101"/>
        <v>4</v>
      </c>
    </row>
    <row r="2141" spans="4:11" ht="15.75" thickBot="1">
      <c r="D2141" s="93"/>
      <c r="E2141" s="44" t="s">
        <v>5</v>
      </c>
      <c r="F2141" s="44" t="s">
        <v>230</v>
      </c>
      <c r="G2141" s="40"/>
      <c r="H2141" s="40"/>
      <c r="I2141" s="1" t="str">
        <f t="shared" si="100"/>
        <v/>
      </c>
      <c r="J2141" s="1" t="str">
        <f t="shared" si="99"/>
        <v/>
      </c>
      <c r="K2141" s="1" t="str">
        <f t="shared" si="101"/>
        <v/>
      </c>
    </row>
    <row r="2142" spans="4:11">
      <c r="D2142" s="94" t="s">
        <v>291</v>
      </c>
      <c r="E2142" s="42"/>
      <c r="F2142" s="42"/>
      <c r="G2142" s="40">
        <v>3</v>
      </c>
      <c r="H2142" s="40">
        <v>5</v>
      </c>
      <c r="I2142" s="1">
        <f t="shared" si="100"/>
        <v>-2</v>
      </c>
      <c r="J2142" s="1">
        <f t="shared" si="99"/>
        <v>0</v>
      </c>
      <c r="K2142" s="1">
        <f t="shared" si="101"/>
        <v>4</v>
      </c>
    </row>
    <row r="2143" spans="4:11" ht="15.75" thickBot="1">
      <c r="D2143" s="95"/>
      <c r="E2143" s="45" t="s">
        <v>0</v>
      </c>
      <c r="F2143" s="45" t="s">
        <v>18</v>
      </c>
      <c r="G2143" s="40"/>
      <c r="H2143" s="40"/>
      <c r="I2143" s="1" t="str">
        <f t="shared" si="100"/>
        <v/>
      </c>
      <c r="J2143" s="1" t="str">
        <f t="shared" si="99"/>
        <v/>
      </c>
      <c r="K2143" s="1" t="str">
        <f t="shared" si="101"/>
        <v/>
      </c>
    </row>
    <row r="2144" spans="4:11">
      <c r="D2144" s="92" t="s">
        <v>291</v>
      </c>
      <c r="E2144" s="43"/>
      <c r="F2144" s="43"/>
      <c r="G2144" s="40">
        <v>1</v>
      </c>
      <c r="H2144" s="40">
        <v>2</v>
      </c>
      <c r="I2144" s="1">
        <f t="shared" si="100"/>
        <v>-1</v>
      </c>
      <c r="J2144" s="1">
        <f t="shared" si="99"/>
        <v>0</v>
      </c>
      <c r="K2144" s="1">
        <f t="shared" si="101"/>
        <v>1</v>
      </c>
    </row>
    <row r="2145" spans="4:11" ht="15.75" thickBot="1">
      <c r="D2145" s="93"/>
      <c r="E2145" s="44" t="s">
        <v>2</v>
      </c>
      <c r="F2145" s="44" t="s">
        <v>14</v>
      </c>
      <c r="G2145" s="40"/>
      <c r="H2145" s="40"/>
      <c r="I2145" s="1" t="str">
        <f t="shared" si="100"/>
        <v/>
      </c>
      <c r="J2145" s="1" t="str">
        <f t="shared" si="99"/>
        <v/>
      </c>
      <c r="K2145" s="1" t="str">
        <f t="shared" si="101"/>
        <v/>
      </c>
    </row>
    <row r="2146" spans="4:11">
      <c r="D2146" s="94" t="s">
        <v>291</v>
      </c>
      <c r="E2146" s="42"/>
      <c r="F2146" s="42"/>
      <c r="G2146" s="40">
        <v>3</v>
      </c>
      <c r="H2146" s="40">
        <v>0</v>
      </c>
      <c r="I2146" s="1">
        <f t="shared" si="100"/>
        <v>3</v>
      </c>
      <c r="J2146" s="1">
        <f t="shared" si="99"/>
        <v>0</v>
      </c>
      <c r="K2146" s="1">
        <f t="shared" si="101"/>
        <v>9</v>
      </c>
    </row>
    <row r="2147" spans="4:11" ht="15.75" thickBot="1">
      <c r="D2147" s="95"/>
      <c r="E2147" s="45" t="s">
        <v>27</v>
      </c>
      <c r="F2147" s="45" t="s">
        <v>9</v>
      </c>
      <c r="G2147" s="40"/>
      <c r="H2147" s="40"/>
      <c r="I2147" s="1" t="str">
        <f t="shared" si="100"/>
        <v/>
      </c>
      <c r="J2147" s="1" t="str">
        <f t="shared" si="99"/>
        <v/>
      </c>
      <c r="K2147" s="1" t="str">
        <f t="shared" si="101"/>
        <v/>
      </c>
    </row>
    <row r="2148" spans="4:11">
      <c r="D2148" s="92" t="s">
        <v>291</v>
      </c>
      <c r="E2148" s="43"/>
      <c r="F2148" s="43"/>
      <c r="G2148" s="40">
        <v>3</v>
      </c>
      <c r="H2148" s="40">
        <v>2</v>
      </c>
      <c r="I2148" s="1">
        <f t="shared" si="100"/>
        <v>1</v>
      </c>
      <c r="J2148" s="1">
        <f t="shared" si="99"/>
        <v>0</v>
      </c>
      <c r="K2148" s="1">
        <f t="shared" si="101"/>
        <v>1</v>
      </c>
    </row>
    <row r="2149" spans="4:11" ht="15.75" thickBot="1">
      <c r="D2149" s="93"/>
      <c r="E2149" s="44" t="s">
        <v>16</v>
      </c>
      <c r="F2149" s="44" t="s">
        <v>28</v>
      </c>
      <c r="G2149" s="40"/>
      <c r="H2149" s="40"/>
      <c r="I2149" s="1" t="str">
        <f t="shared" si="100"/>
        <v/>
      </c>
      <c r="J2149" s="1" t="str">
        <f t="shared" si="99"/>
        <v/>
      </c>
      <c r="K2149" s="1" t="str">
        <f t="shared" si="101"/>
        <v/>
      </c>
    </row>
    <row r="2150" spans="4:11">
      <c r="D2150" s="94" t="s">
        <v>291</v>
      </c>
      <c r="E2150" s="42"/>
      <c r="F2150" s="42"/>
      <c r="G2150" s="40">
        <v>0</v>
      </c>
      <c r="H2150" s="40">
        <v>3</v>
      </c>
      <c r="I2150" s="1">
        <f t="shared" si="100"/>
        <v>-3</v>
      </c>
      <c r="J2150" s="1">
        <f t="shared" si="99"/>
        <v>0</v>
      </c>
      <c r="K2150" s="1">
        <f t="shared" si="101"/>
        <v>9</v>
      </c>
    </row>
    <row r="2151" spans="4:11" ht="15.75" thickBot="1">
      <c r="D2151" s="95"/>
      <c r="E2151" s="45" t="s">
        <v>12</v>
      </c>
      <c r="F2151" s="45" t="s">
        <v>25</v>
      </c>
      <c r="G2151" s="40"/>
      <c r="H2151" s="40"/>
      <c r="I2151" s="1" t="str">
        <f t="shared" si="100"/>
        <v/>
      </c>
      <c r="J2151" s="1" t="str">
        <f t="shared" si="99"/>
        <v/>
      </c>
      <c r="K2151" s="1" t="str">
        <f t="shared" si="101"/>
        <v/>
      </c>
    </row>
    <row r="2152" spans="4:11">
      <c r="D2152" s="92" t="s">
        <v>291</v>
      </c>
      <c r="E2152" s="43"/>
      <c r="F2152" s="43"/>
      <c r="G2152" s="40">
        <v>0</v>
      </c>
      <c r="H2152" s="40">
        <v>3</v>
      </c>
      <c r="I2152" s="1">
        <f t="shared" si="100"/>
        <v>-3</v>
      </c>
      <c r="J2152" s="1">
        <f t="shared" si="99"/>
        <v>-2550</v>
      </c>
      <c r="K2152" s="1">
        <f t="shared" si="101"/>
        <v>6487209</v>
      </c>
    </row>
    <row r="2153" spans="4:11" ht="15.75" thickBot="1">
      <c r="D2153" s="93"/>
      <c r="E2153" s="44" t="s">
        <v>8</v>
      </c>
      <c r="F2153" s="44" t="s">
        <v>19</v>
      </c>
      <c r="G2153" s="40"/>
      <c r="H2153" s="40"/>
      <c r="I2153" s="1" t="str">
        <f t="shared" si="100"/>
        <v/>
      </c>
      <c r="J2153" s="1" t="str">
        <f t="shared" si="99"/>
        <v/>
      </c>
      <c r="K2153" s="1" t="str">
        <f t="shared" si="101"/>
        <v/>
      </c>
    </row>
    <row r="2154" spans="4:11">
      <c r="D2154" s="94" t="s">
        <v>291</v>
      </c>
      <c r="E2154" s="42"/>
      <c r="F2154" s="42"/>
      <c r="G2154" s="40">
        <v>0</v>
      </c>
      <c r="H2154" s="40">
        <v>4</v>
      </c>
      <c r="I2154" s="1">
        <f t="shared" si="100"/>
        <v>-4</v>
      </c>
      <c r="J2154" s="1">
        <f t="shared" si="99"/>
        <v>0</v>
      </c>
      <c r="K2154" s="1">
        <f t="shared" si="101"/>
        <v>16</v>
      </c>
    </row>
    <row r="2155" spans="4:11" ht="15.75" thickBot="1">
      <c r="D2155" s="95"/>
      <c r="E2155" s="45" t="s">
        <v>20</v>
      </c>
      <c r="F2155" s="45" t="s">
        <v>21</v>
      </c>
      <c r="G2155" s="40"/>
      <c r="H2155" s="40"/>
      <c r="I2155" s="1" t="str">
        <f t="shared" si="100"/>
        <v/>
      </c>
      <c r="J2155" s="1" t="str">
        <f t="shared" si="99"/>
        <v/>
      </c>
      <c r="K2155" s="1" t="str">
        <f t="shared" si="101"/>
        <v/>
      </c>
    </row>
    <row r="2156" spans="4:11">
      <c r="D2156" s="92" t="s">
        <v>291</v>
      </c>
      <c r="E2156" s="43"/>
      <c r="F2156" s="43"/>
      <c r="G2156" s="40">
        <v>3</v>
      </c>
      <c r="H2156" s="40">
        <v>1</v>
      </c>
      <c r="I2156" s="1">
        <f t="shared" si="100"/>
        <v>2</v>
      </c>
      <c r="J2156" s="1">
        <f t="shared" si="99"/>
        <v>0</v>
      </c>
      <c r="K2156" s="1">
        <f t="shared" si="101"/>
        <v>4</v>
      </c>
    </row>
    <row r="2157" spans="4:11" ht="15.75" thickBot="1">
      <c r="D2157" s="93"/>
      <c r="E2157" s="44" t="s">
        <v>11</v>
      </c>
      <c r="F2157" s="44" t="s">
        <v>26</v>
      </c>
      <c r="G2157" s="40"/>
      <c r="H2157" s="40"/>
      <c r="I2157" s="1" t="str">
        <f t="shared" si="100"/>
        <v/>
      </c>
      <c r="J2157" s="1" t="str">
        <f t="shared" si="99"/>
        <v/>
      </c>
      <c r="K2157" s="1" t="str">
        <f t="shared" si="101"/>
        <v/>
      </c>
    </row>
    <row r="2158" spans="4:11">
      <c r="D2158" s="94" t="s">
        <v>291</v>
      </c>
      <c r="E2158" s="42"/>
      <c r="F2158" s="42"/>
      <c r="G2158" s="40">
        <v>4</v>
      </c>
      <c r="H2158" s="40">
        <v>5</v>
      </c>
      <c r="I2158" s="1">
        <f t="shared" si="100"/>
        <v>-1</v>
      </c>
      <c r="J2158" s="1">
        <f t="shared" si="99"/>
        <v>0</v>
      </c>
      <c r="K2158" s="1">
        <f t="shared" si="101"/>
        <v>1</v>
      </c>
    </row>
    <row r="2159" spans="4:11" ht="15.75" thickBot="1">
      <c r="D2159" s="95"/>
      <c r="E2159" s="45" t="s">
        <v>1</v>
      </c>
      <c r="F2159" s="45" t="s">
        <v>24</v>
      </c>
      <c r="G2159" s="40"/>
      <c r="H2159" s="40"/>
      <c r="I2159" s="1" t="str">
        <f t="shared" si="100"/>
        <v/>
      </c>
      <c r="J2159" s="1" t="str">
        <f t="shared" si="99"/>
        <v/>
      </c>
      <c r="K2159" s="1" t="str">
        <f t="shared" si="101"/>
        <v/>
      </c>
    </row>
    <row r="2160" spans="4:11">
      <c r="D2160" s="92" t="s">
        <v>292</v>
      </c>
      <c r="E2160" s="43"/>
      <c r="F2160" s="43"/>
      <c r="G2160" s="40">
        <v>1</v>
      </c>
      <c r="H2160" s="40">
        <v>2</v>
      </c>
      <c r="I2160" s="1">
        <f t="shared" si="100"/>
        <v>-1</v>
      </c>
      <c r="J2160" s="1">
        <f t="shared" si="99"/>
        <v>0</v>
      </c>
      <c r="K2160" s="1">
        <f t="shared" si="101"/>
        <v>1</v>
      </c>
    </row>
    <row r="2161" spans="4:11" ht="15.75" thickBot="1">
      <c r="D2161" s="93"/>
      <c r="E2161" s="44" t="s">
        <v>17</v>
      </c>
      <c r="F2161" s="44" t="s">
        <v>13</v>
      </c>
      <c r="G2161" s="40"/>
      <c r="H2161" s="40"/>
      <c r="I2161" s="1" t="str">
        <f t="shared" si="100"/>
        <v/>
      </c>
      <c r="J2161" s="1" t="str">
        <f t="shared" si="99"/>
        <v/>
      </c>
      <c r="K2161" s="1" t="str">
        <f t="shared" si="101"/>
        <v/>
      </c>
    </row>
    <row r="2162" spans="4:11">
      <c r="D2162" s="94" t="s">
        <v>292</v>
      </c>
      <c r="E2162" s="42"/>
      <c r="F2162" s="42"/>
      <c r="G2162" s="40">
        <v>3</v>
      </c>
      <c r="H2162" s="40">
        <v>5</v>
      </c>
      <c r="I2162" s="1">
        <f t="shared" si="100"/>
        <v>-2</v>
      </c>
      <c r="J2162" s="1">
        <f t="shared" si="99"/>
        <v>0</v>
      </c>
      <c r="K2162" s="1">
        <f t="shared" si="101"/>
        <v>4</v>
      </c>
    </row>
    <row r="2163" spans="4:11" ht="15.75" thickBot="1">
      <c r="D2163" s="95"/>
      <c r="E2163" s="45" t="s">
        <v>2</v>
      </c>
      <c r="F2163" s="45" t="s">
        <v>15</v>
      </c>
      <c r="G2163" s="40"/>
      <c r="H2163" s="40"/>
      <c r="I2163" s="1" t="str">
        <f t="shared" si="100"/>
        <v/>
      </c>
      <c r="J2163" s="1" t="str">
        <f t="shared" si="99"/>
        <v/>
      </c>
      <c r="K2163" s="1" t="str">
        <f t="shared" si="101"/>
        <v/>
      </c>
    </row>
    <row r="2164" spans="4:11">
      <c r="D2164" s="92" t="s">
        <v>292</v>
      </c>
      <c r="E2164" s="43"/>
      <c r="F2164" s="43"/>
      <c r="G2164" s="40">
        <v>2</v>
      </c>
      <c r="H2164" s="40">
        <v>7</v>
      </c>
      <c r="I2164" s="1">
        <f t="shared" si="100"/>
        <v>-5</v>
      </c>
      <c r="J2164" s="1">
        <f t="shared" si="99"/>
        <v>0</v>
      </c>
      <c r="K2164" s="1">
        <f t="shared" si="101"/>
        <v>25</v>
      </c>
    </row>
    <row r="2165" spans="4:11" ht="15.75" thickBot="1">
      <c r="D2165" s="93"/>
      <c r="E2165" s="44" t="s">
        <v>10</v>
      </c>
      <c r="F2165" s="44" t="s">
        <v>16</v>
      </c>
      <c r="G2165" s="40"/>
      <c r="H2165" s="40"/>
      <c r="I2165" s="1" t="str">
        <f t="shared" si="100"/>
        <v/>
      </c>
      <c r="J2165" s="1" t="str">
        <f t="shared" si="99"/>
        <v/>
      </c>
      <c r="K2165" s="1" t="str">
        <f t="shared" si="101"/>
        <v/>
      </c>
    </row>
    <row r="2166" spans="4:11">
      <c r="D2166" s="94" t="s">
        <v>292</v>
      </c>
      <c r="E2166" s="42"/>
      <c r="F2166" s="42"/>
      <c r="G2166" s="40">
        <v>3</v>
      </c>
      <c r="H2166" s="40">
        <v>1</v>
      </c>
      <c r="I2166" s="1">
        <f t="shared" si="100"/>
        <v>2</v>
      </c>
      <c r="J2166" s="1">
        <f t="shared" si="99"/>
        <v>0</v>
      </c>
      <c r="K2166" s="1">
        <f t="shared" si="101"/>
        <v>4</v>
      </c>
    </row>
    <row r="2167" spans="4:11" ht="15.75" thickBot="1">
      <c r="D2167" s="95"/>
      <c r="E2167" s="45" t="s">
        <v>3</v>
      </c>
      <c r="F2167" s="45" t="s">
        <v>26</v>
      </c>
      <c r="G2167" s="40"/>
      <c r="H2167" s="40"/>
      <c r="I2167" s="1" t="str">
        <f t="shared" si="100"/>
        <v/>
      </c>
      <c r="J2167" s="1" t="str">
        <f t="shared" si="99"/>
        <v/>
      </c>
      <c r="K2167" s="1" t="str">
        <f t="shared" si="101"/>
        <v/>
      </c>
    </row>
    <row r="2168" spans="4:11">
      <c r="D2168" s="92" t="s">
        <v>293</v>
      </c>
      <c r="E2168" s="43"/>
      <c r="F2168" s="43"/>
      <c r="G2168" s="40">
        <v>3</v>
      </c>
      <c r="H2168" s="40">
        <v>1</v>
      </c>
      <c r="I2168" s="1">
        <f t="shared" si="100"/>
        <v>2</v>
      </c>
      <c r="J2168" s="1">
        <f t="shared" si="99"/>
        <v>0</v>
      </c>
      <c r="K2168" s="1">
        <f t="shared" si="101"/>
        <v>4</v>
      </c>
    </row>
    <row r="2169" spans="4:11" ht="15.75" thickBot="1">
      <c r="D2169" s="93"/>
      <c r="E2169" s="44" t="s">
        <v>6</v>
      </c>
      <c r="F2169" s="44" t="s">
        <v>9</v>
      </c>
      <c r="G2169" s="40"/>
      <c r="H2169" s="40"/>
      <c r="I2169" s="1" t="str">
        <f t="shared" si="100"/>
        <v/>
      </c>
      <c r="J2169" s="1" t="str">
        <f t="shared" si="99"/>
        <v/>
      </c>
      <c r="K2169" s="1" t="str">
        <f t="shared" si="101"/>
        <v/>
      </c>
    </row>
    <row r="2170" spans="4:11">
      <c r="D2170" s="94" t="s">
        <v>293</v>
      </c>
      <c r="E2170" s="42"/>
      <c r="F2170" s="42"/>
      <c r="G2170" s="40">
        <v>3</v>
      </c>
      <c r="H2170" s="40">
        <v>1</v>
      </c>
      <c r="I2170" s="1">
        <f t="shared" si="100"/>
        <v>2</v>
      </c>
      <c r="J2170" s="1">
        <f t="shared" si="99"/>
        <v>0</v>
      </c>
      <c r="K2170" s="1">
        <f t="shared" si="101"/>
        <v>4</v>
      </c>
    </row>
    <row r="2171" spans="4:11" ht="15.75" thickBot="1">
      <c r="D2171" s="95"/>
      <c r="E2171" s="45" t="s">
        <v>20</v>
      </c>
      <c r="F2171" s="45" t="s">
        <v>28</v>
      </c>
      <c r="G2171" s="40"/>
      <c r="H2171" s="40"/>
      <c r="I2171" s="1" t="str">
        <f t="shared" si="100"/>
        <v/>
      </c>
      <c r="J2171" s="1" t="str">
        <f t="shared" si="99"/>
        <v/>
      </c>
      <c r="K2171" s="1" t="str">
        <f t="shared" si="101"/>
        <v/>
      </c>
    </row>
    <row r="2172" spans="4:11">
      <c r="D2172" s="92" t="s">
        <v>293</v>
      </c>
      <c r="E2172" s="43"/>
      <c r="F2172" s="43"/>
      <c r="G2172" s="40">
        <v>2</v>
      </c>
      <c r="H2172" s="40">
        <v>1</v>
      </c>
      <c r="I2172" s="1">
        <f t="shared" si="100"/>
        <v>1</v>
      </c>
      <c r="J2172" s="1">
        <f t="shared" si="99"/>
        <v>0</v>
      </c>
      <c r="K2172" s="1">
        <f t="shared" si="101"/>
        <v>1</v>
      </c>
    </row>
    <row r="2173" spans="4:11" ht="15.75" thickBot="1">
      <c r="D2173" s="93"/>
      <c r="E2173" s="44" t="s">
        <v>23</v>
      </c>
      <c r="F2173" s="44" t="s">
        <v>0</v>
      </c>
      <c r="G2173" s="40"/>
      <c r="H2173" s="40"/>
      <c r="I2173" s="1" t="str">
        <f t="shared" si="100"/>
        <v/>
      </c>
      <c r="J2173" s="1" t="str">
        <f t="shared" si="99"/>
        <v/>
      </c>
      <c r="K2173" s="1" t="str">
        <f t="shared" si="101"/>
        <v/>
      </c>
    </row>
    <row r="2174" spans="4:11">
      <c r="D2174" s="94" t="s">
        <v>293</v>
      </c>
      <c r="E2174" s="42"/>
      <c r="F2174" s="42"/>
      <c r="G2174" s="40">
        <v>2</v>
      </c>
      <c r="H2174" s="40">
        <v>5</v>
      </c>
      <c r="I2174" s="1">
        <f t="shared" si="100"/>
        <v>-3</v>
      </c>
      <c r="J2174" s="1">
        <f t="shared" si="99"/>
        <v>0</v>
      </c>
      <c r="K2174" s="1">
        <f t="shared" si="101"/>
        <v>9</v>
      </c>
    </row>
    <row r="2175" spans="4:11" ht="15.75" thickBot="1">
      <c r="D2175" s="95"/>
      <c r="E2175" s="45" t="s">
        <v>5</v>
      </c>
      <c r="F2175" s="45" t="s">
        <v>18</v>
      </c>
      <c r="G2175" s="40"/>
      <c r="H2175" s="40"/>
      <c r="I2175" s="1" t="str">
        <f t="shared" si="100"/>
        <v/>
      </c>
      <c r="J2175" s="1" t="str">
        <f t="shared" si="99"/>
        <v/>
      </c>
      <c r="K2175" s="1" t="str">
        <f t="shared" si="101"/>
        <v/>
      </c>
    </row>
    <row r="2176" spans="4:11">
      <c r="D2176" s="92" t="s">
        <v>293</v>
      </c>
      <c r="E2176" s="43"/>
      <c r="F2176" s="43"/>
      <c r="G2176" s="40">
        <v>3</v>
      </c>
      <c r="H2176" s="40">
        <v>4</v>
      </c>
      <c r="I2176" s="1">
        <f t="shared" si="100"/>
        <v>-1</v>
      </c>
      <c r="J2176" s="1">
        <f t="shared" si="99"/>
        <v>-2550</v>
      </c>
      <c r="K2176" s="1">
        <f t="shared" si="101"/>
        <v>6497401</v>
      </c>
    </row>
    <row r="2177" spans="4:11" ht="15.75" thickBot="1">
      <c r="D2177" s="93"/>
      <c r="E2177" s="44" t="s">
        <v>8</v>
      </c>
      <c r="F2177" s="44" t="s">
        <v>21</v>
      </c>
      <c r="G2177" s="40"/>
      <c r="H2177" s="40"/>
      <c r="I2177" s="1" t="str">
        <f t="shared" si="100"/>
        <v/>
      </c>
      <c r="J2177" s="1" t="str">
        <f t="shared" ref="J2177:J2240" si="102">IF(F2178="","",VLOOKUP(F2178,$A$2:$B$31,2)+$B$33-VLOOKUP(E2178,$A$2:$B$31,2))</f>
        <v/>
      </c>
      <c r="K2177" s="1" t="str">
        <f t="shared" si="101"/>
        <v/>
      </c>
    </row>
    <row r="2178" spans="4:11">
      <c r="D2178" s="94" t="s">
        <v>293</v>
      </c>
      <c r="E2178" s="42"/>
      <c r="F2178" s="42"/>
      <c r="G2178" s="40">
        <v>2</v>
      </c>
      <c r="H2178" s="40">
        <v>3</v>
      </c>
      <c r="I2178" s="1">
        <f t="shared" ref="I2178:I2241" si="103">IF(G2178="","",G2178-H2178)</f>
        <v>-1</v>
      </c>
      <c r="J2178" s="1">
        <f t="shared" si="102"/>
        <v>0</v>
      </c>
      <c r="K2178" s="1">
        <f t="shared" si="101"/>
        <v>1</v>
      </c>
    </row>
    <row r="2179" spans="4:11" ht="15.75" thickBot="1">
      <c r="D2179" s="95"/>
      <c r="E2179" s="45" t="s">
        <v>22</v>
      </c>
      <c r="F2179" s="45" t="s">
        <v>4</v>
      </c>
      <c r="G2179" s="40"/>
      <c r="H2179" s="40"/>
      <c r="I2179" s="1" t="str">
        <f t="shared" si="103"/>
        <v/>
      </c>
      <c r="J2179" s="1" t="str">
        <f t="shared" si="102"/>
        <v/>
      </c>
      <c r="K2179" s="1" t="str">
        <f t="shared" ref="K2179:K2242" si="104">IF(G2179="","",(I2179-J2179)^2)</f>
        <v/>
      </c>
    </row>
    <row r="2180" spans="4:11">
      <c r="D2180" s="92" t="s">
        <v>293</v>
      </c>
      <c r="E2180" s="43"/>
      <c r="F2180" s="43"/>
      <c r="G2180" s="40">
        <v>4</v>
      </c>
      <c r="H2180" s="40">
        <v>1</v>
      </c>
      <c r="I2180" s="1">
        <f t="shared" si="103"/>
        <v>3</v>
      </c>
      <c r="J2180" s="1">
        <f t="shared" si="102"/>
        <v>0</v>
      </c>
      <c r="K2180" s="1">
        <f t="shared" si="104"/>
        <v>9</v>
      </c>
    </row>
    <row r="2181" spans="4:11" ht="15.75" thickBot="1">
      <c r="D2181" s="93"/>
      <c r="E2181" s="44" t="s">
        <v>25</v>
      </c>
      <c r="F2181" s="44" t="s">
        <v>24</v>
      </c>
      <c r="G2181" s="40"/>
      <c r="H2181" s="40"/>
      <c r="I2181" s="1" t="str">
        <f t="shared" si="103"/>
        <v/>
      </c>
      <c r="J2181" s="1" t="str">
        <f t="shared" si="102"/>
        <v/>
      </c>
      <c r="K2181" s="1" t="str">
        <f t="shared" si="104"/>
        <v/>
      </c>
    </row>
    <row r="2182" spans="4:11">
      <c r="D2182" s="94" t="s">
        <v>294</v>
      </c>
      <c r="E2182" s="42"/>
      <c r="F2182" s="42"/>
      <c r="G2182" s="40">
        <v>2</v>
      </c>
      <c r="H2182" s="40">
        <v>1</v>
      </c>
      <c r="I2182" s="1">
        <f t="shared" si="103"/>
        <v>1</v>
      </c>
      <c r="J2182" s="1">
        <f t="shared" si="102"/>
        <v>0</v>
      </c>
      <c r="K2182" s="1">
        <f t="shared" si="104"/>
        <v>1</v>
      </c>
    </row>
    <row r="2183" spans="4:11" ht="15.75" thickBot="1">
      <c r="D2183" s="95"/>
      <c r="E2183" s="45" t="s">
        <v>23</v>
      </c>
      <c r="F2183" s="45" t="s">
        <v>27</v>
      </c>
      <c r="G2183" s="40"/>
      <c r="H2183" s="40"/>
      <c r="I2183" s="1" t="str">
        <f t="shared" si="103"/>
        <v/>
      </c>
      <c r="J2183" s="1" t="str">
        <f t="shared" si="102"/>
        <v/>
      </c>
      <c r="K2183" s="1" t="str">
        <f t="shared" si="104"/>
        <v/>
      </c>
    </row>
    <row r="2184" spans="4:11">
      <c r="D2184" s="92" t="s">
        <v>294</v>
      </c>
      <c r="E2184" s="43"/>
      <c r="F2184" s="43"/>
      <c r="G2184" s="40">
        <v>4</v>
      </c>
      <c r="H2184" s="40">
        <v>2</v>
      </c>
      <c r="I2184" s="1">
        <f t="shared" si="103"/>
        <v>2</v>
      </c>
      <c r="J2184" s="1">
        <f t="shared" si="102"/>
        <v>0</v>
      </c>
      <c r="K2184" s="1">
        <f t="shared" si="104"/>
        <v>4</v>
      </c>
    </row>
    <row r="2185" spans="4:11" ht="15.75" thickBot="1">
      <c r="D2185" s="93"/>
      <c r="E2185" s="44" t="s">
        <v>6</v>
      </c>
      <c r="F2185" s="44" t="s">
        <v>16</v>
      </c>
      <c r="G2185" s="40"/>
      <c r="H2185" s="40"/>
      <c r="I2185" s="1" t="str">
        <f t="shared" si="103"/>
        <v/>
      </c>
      <c r="J2185" s="1" t="str">
        <f t="shared" si="102"/>
        <v/>
      </c>
      <c r="K2185" s="1" t="str">
        <f t="shared" si="104"/>
        <v/>
      </c>
    </row>
    <row r="2186" spans="4:11">
      <c r="D2186" s="94" t="s">
        <v>294</v>
      </c>
      <c r="E2186" s="42"/>
      <c r="F2186" s="42"/>
      <c r="G2186" s="40">
        <v>3</v>
      </c>
      <c r="H2186" s="40">
        <v>2</v>
      </c>
      <c r="I2186" s="1">
        <f t="shared" si="103"/>
        <v>1</v>
      </c>
      <c r="J2186" s="1">
        <f t="shared" si="102"/>
        <v>0</v>
      </c>
      <c r="K2186" s="1">
        <f t="shared" si="104"/>
        <v>1</v>
      </c>
    </row>
    <row r="2187" spans="4:11" ht="15.75" thickBot="1">
      <c r="D2187" s="95"/>
      <c r="E2187" s="45" t="s">
        <v>17</v>
      </c>
      <c r="F2187" s="45" t="s">
        <v>11</v>
      </c>
      <c r="G2187" s="40"/>
      <c r="H2187" s="40"/>
      <c r="I2187" s="1" t="str">
        <f t="shared" si="103"/>
        <v/>
      </c>
      <c r="J2187" s="1" t="str">
        <f t="shared" si="102"/>
        <v/>
      </c>
      <c r="K2187" s="1" t="str">
        <f t="shared" si="104"/>
        <v/>
      </c>
    </row>
    <row r="2188" spans="4:11">
      <c r="D2188" s="92" t="s">
        <v>294</v>
      </c>
      <c r="E2188" s="43"/>
      <c r="F2188" s="43"/>
      <c r="G2188" s="40">
        <v>3</v>
      </c>
      <c r="H2188" s="40">
        <v>5</v>
      </c>
      <c r="I2188" s="1">
        <f t="shared" si="103"/>
        <v>-2</v>
      </c>
      <c r="J2188" s="1">
        <f t="shared" si="102"/>
        <v>0</v>
      </c>
      <c r="K2188" s="1">
        <f t="shared" si="104"/>
        <v>4</v>
      </c>
    </row>
    <row r="2189" spans="4:11" ht="15.75" thickBot="1">
      <c r="D2189" s="93"/>
      <c r="E2189" s="44" t="s">
        <v>10</v>
      </c>
      <c r="F2189" s="44" t="s">
        <v>7</v>
      </c>
      <c r="G2189" s="40"/>
      <c r="H2189" s="40"/>
      <c r="I2189" s="1" t="str">
        <f t="shared" si="103"/>
        <v/>
      </c>
      <c r="J2189" s="1" t="str">
        <f t="shared" si="102"/>
        <v/>
      </c>
      <c r="K2189" s="1" t="str">
        <f t="shared" si="104"/>
        <v/>
      </c>
    </row>
    <row r="2190" spans="4:11">
      <c r="D2190" s="94" t="s">
        <v>294</v>
      </c>
      <c r="E2190" s="42"/>
      <c r="F2190" s="42"/>
      <c r="G2190" s="40">
        <v>5</v>
      </c>
      <c r="H2190" s="40">
        <v>4</v>
      </c>
      <c r="I2190" s="1">
        <f t="shared" si="103"/>
        <v>1</v>
      </c>
      <c r="J2190" s="1">
        <f t="shared" si="102"/>
        <v>0</v>
      </c>
      <c r="K2190" s="1">
        <f t="shared" si="104"/>
        <v>1</v>
      </c>
    </row>
    <row r="2191" spans="4:11" ht="15.75" thickBot="1">
      <c r="D2191" s="95"/>
      <c r="E2191" s="45" t="s">
        <v>26</v>
      </c>
      <c r="F2191" s="45" t="s">
        <v>13</v>
      </c>
      <c r="G2191" s="40"/>
      <c r="H2191" s="40"/>
      <c r="I2191" s="1" t="str">
        <f t="shared" si="103"/>
        <v/>
      </c>
      <c r="J2191" s="1" t="str">
        <f t="shared" si="102"/>
        <v/>
      </c>
      <c r="K2191" s="1" t="str">
        <f t="shared" si="104"/>
        <v/>
      </c>
    </row>
    <row r="2192" spans="4:11">
      <c r="D2192" s="92" t="s">
        <v>294</v>
      </c>
      <c r="E2192" s="43"/>
      <c r="F2192" s="43"/>
      <c r="G2192" s="40">
        <v>3</v>
      </c>
      <c r="H2192" s="40">
        <v>4</v>
      </c>
      <c r="I2192" s="1">
        <f t="shared" si="103"/>
        <v>-1</v>
      </c>
      <c r="J2192" s="1">
        <f t="shared" si="102"/>
        <v>0</v>
      </c>
      <c r="K2192" s="1">
        <f t="shared" si="104"/>
        <v>1</v>
      </c>
    </row>
    <row r="2193" spans="4:11" ht="15.75" thickBot="1">
      <c r="D2193" s="93"/>
      <c r="E2193" s="44" t="s">
        <v>14</v>
      </c>
      <c r="F2193" s="44" t="s">
        <v>15</v>
      </c>
      <c r="G2193" s="40"/>
      <c r="H2193" s="40"/>
      <c r="I2193" s="1" t="str">
        <f t="shared" si="103"/>
        <v/>
      </c>
      <c r="J2193" s="1" t="str">
        <f t="shared" si="102"/>
        <v/>
      </c>
      <c r="K2193" s="1" t="str">
        <f t="shared" si="104"/>
        <v/>
      </c>
    </row>
    <row r="2194" spans="4:11">
      <c r="D2194" s="94" t="s">
        <v>294</v>
      </c>
      <c r="E2194" s="42"/>
      <c r="F2194" s="42"/>
      <c r="G2194" s="40">
        <v>2</v>
      </c>
      <c r="H2194" s="40">
        <v>3</v>
      </c>
      <c r="I2194" s="1">
        <f t="shared" si="103"/>
        <v>-1</v>
      </c>
      <c r="J2194" s="1">
        <f t="shared" si="102"/>
        <v>0</v>
      </c>
      <c r="K2194" s="1">
        <f t="shared" si="104"/>
        <v>1</v>
      </c>
    </row>
    <row r="2195" spans="4:11" ht="15.75" thickBot="1">
      <c r="D2195" s="95"/>
      <c r="E2195" s="45" t="s">
        <v>230</v>
      </c>
      <c r="F2195" s="45" t="s">
        <v>19</v>
      </c>
      <c r="G2195" s="40"/>
      <c r="H2195" s="40"/>
      <c r="I2195" s="1" t="str">
        <f t="shared" si="103"/>
        <v/>
      </c>
      <c r="J2195" s="1" t="str">
        <f t="shared" si="102"/>
        <v/>
      </c>
      <c r="K2195" s="1" t="str">
        <f t="shared" si="104"/>
        <v/>
      </c>
    </row>
    <row r="2196" spans="4:11">
      <c r="D2196" s="92" t="s">
        <v>294</v>
      </c>
      <c r="E2196" s="43"/>
      <c r="F2196" s="43"/>
      <c r="G2196" s="40">
        <v>2</v>
      </c>
      <c r="H2196" s="40">
        <v>5</v>
      </c>
      <c r="I2196" s="1">
        <f t="shared" si="103"/>
        <v>-3</v>
      </c>
      <c r="J2196" s="1">
        <f t="shared" si="102"/>
        <v>0</v>
      </c>
      <c r="K2196" s="1">
        <f t="shared" si="104"/>
        <v>9</v>
      </c>
    </row>
    <row r="2197" spans="4:11" ht="15.75" thickBot="1">
      <c r="D2197" s="93"/>
      <c r="E2197" s="44" t="s">
        <v>25</v>
      </c>
      <c r="F2197" s="44" t="s">
        <v>3</v>
      </c>
      <c r="G2197" s="40"/>
      <c r="H2197" s="40"/>
      <c r="I2197" s="1" t="str">
        <f t="shared" si="103"/>
        <v/>
      </c>
      <c r="J2197" s="1" t="str">
        <f t="shared" si="102"/>
        <v/>
      </c>
      <c r="K2197" s="1" t="str">
        <f t="shared" si="104"/>
        <v/>
      </c>
    </row>
    <row r="2198" spans="4:11">
      <c r="D2198" s="94" t="s">
        <v>295</v>
      </c>
      <c r="E2198" s="42"/>
      <c r="F2198" s="42"/>
      <c r="G2198" s="40">
        <v>1</v>
      </c>
      <c r="H2198" s="40">
        <v>4</v>
      </c>
      <c r="I2198" s="1">
        <f t="shared" si="103"/>
        <v>-3</v>
      </c>
      <c r="J2198" s="1">
        <f t="shared" si="102"/>
        <v>0</v>
      </c>
      <c r="K2198" s="1">
        <f t="shared" si="104"/>
        <v>9</v>
      </c>
    </row>
    <row r="2199" spans="4:11" ht="15.75" thickBot="1">
      <c r="D2199" s="95"/>
      <c r="E2199" s="45" t="s">
        <v>20</v>
      </c>
      <c r="F2199" s="45" t="s">
        <v>1</v>
      </c>
      <c r="G2199" s="40"/>
      <c r="H2199" s="40"/>
      <c r="I2199" s="1" t="str">
        <f t="shared" si="103"/>
        <v/>
      </c>
      <c r="J2199" s="1" t="str">
        <f t="shared" si="102"/>
        <v/>
      </c>
      <c r="K2199" s="1" t="str">
        <f t="shared" si="104"/>
        <v/>
      </c>
    </row>
    <row r="2200" spans="4:11">
      <c r="D2200" s="92" t="s">
        <v>295</v>
      </c>
      <c r="E2200" s="43"/>
      <c r="F2200" s="43"/>
      <c r="G2200" s="40">
        <v>3</v>
      </c>
      <c r="H2200" s="40">
        <v>4</v>
      </c>
      <c r="I2200" s="1">
        <f t="shared" si="103"/>
        <v>-1</v>
      </c>
      <c r="J2200" s="1">
        <f t="shared" si="102"/>
        <v>0</v>
      </c>
      <c r="K2200" s="1">
        <f t="shared" si="104"/>
        <v>1</v>
      </c>
    </row>
    <row r="2201" spans="4:11" ht="15.75" thickBot="1">
      <c r="D2201" s="93"/>
      <c r="E2201" s="44" t="s">
        <v>22</v>
      </c>
      <c r="F2201" s="44" t="s">
        <v>24</v>
      </c>
      <c r="G2201" s="40"/>
      <c r="H2201" s="40"/>
      <c r="I2201" s="1" t="str">
        <f t="shared" si="103"/>
        <v/>
      </c>
      <c r="J2201" s="1" t="str">
        <f t="shared" si="102"/>
        <v/>
      </c>
      <c r="K2201" s="1" t="str">
        <f t="shared" si="104"/>
        <v/>
      </c>
    </row>
    <row r="2202" spans="4:11">
      <c r="D2202" s="94" t="s">
        <v>295</v>
      </c>
      <c r="E2202" s="42"/>
      <c r="F2202" s="42"/>
      <c r="G2202" s="40">
        <v>4</v>
      </c>
      <c r="H2202" s="40">
        <v>3</v>
      </c>
      <c r="I2202" s="1">
        <f t="shared" si="103"/>
        <v>1</v>
      </c>
      <c r="J2202" s="1">
        <f t="shared" si="102"/>
        <v>0</v>
      </c>
      <c r="K2202" s="1">
        <f t="shared" si="104"/>
        <v>1</v>
      </c>
    </row>
    <row r="2203" spans="4:11" ht="15.75" thickBot="1">
      <c r="D2203" s="95"/>
      <c r="E2203" s="45" t="s">
        <v>21</v>
      </c>
      <c r="F2203" s="45" t="s">
        <v>4</v>
      </c>
      <c r="G2203" s="40"/>
      <c r="H2203" s="40"/>
      <c r="I2203" s="1" t="str">
        <f t="shared" si="103"/>
        <v/>
      </c>
      <c r="J2203" s="1" t="str">
        <f t="shared" si="102"/>
        <v/>
      </c>
      <c r="K2203" s="1" t="str">
        <f t="shared" si="104"/>
        <v/>
      </c>
    </row>
    <row r="2204" spans="4:11">
      <c r="D2204" s="92" t="s">
        <v>296</v>
      </c>
      <c r="E2204" s="43"/>
      <c r="F2204" s="43"/>
      <c r="G2204" s="40">
        <v>3</v>
      </c>
      <c r="H2204" s="40">
        <v>2</v>
      </c>
      <c r="I2204" s="1">
        <f t="shared" si="103"/>
        <v>1</v>
      </c>
      <c r="J2204" s="1">
        <f t="shared" si="102"/>
        <v>0</v>
      </c>
      <c r="K2204" s="1">
        <f t="shared" si="104"/>
        <v>1</v>
      </c>
    </row>
    <row r="2205" spans="4:11" ht="15.75" thickBot="1">
      <c r="D2205" s="93"/>
      <c r="E2205" s="44" t="s">
        <v>10</v>
      </c>
      <c r="F2205" s="44" t="s">
        <v>2</v>
      </c>
      <c r="G2205" s="40"/>
      <c r="H2205" s="40"/>
      <c r="I2205" s="1" t="str">
        <f t="shared" si="103"/>
        <v/>
      </c>
      <c r="J2205" s="1" t="str">
        <f t="shared" si="102"/>
        <v/>
      </c>
      <c r="K2205" s="1" t="str">
        <f t="shared" si="104"/>
        <v/>
      </c>
    </row>
    <row r="2206" spans="4:11">
      <c r="D2206" s="94" t="s">
        <v>296</v>
      </c>
      <c r="E2206" s="42"/>
      <c r="F2206" s="42"/>
      <c r="G2206" s="40">
        <v>4</v>
      </c>
      <c r="H2206" s="40">
        <v>3</v>
      </c>
      <c r="I2206" s="1">
        <f t="shared" si="103"/>
        <v>1</v>
      </c>
      <c r="J2206" s="1">
        <f t="shared" si="102"/>
        <v>2550</v>
      </c>
      <c r="K2206" s="1">
        <f t="shared" si="104"/>
        <v>6497401</v>
      </c>
    </row>
    <row r="2207" spans="4:11" ht="15.75" thickBot="1">
      <c r="D2207" s="95"/>
      <c r="E2207" s="45" t="s">
        <v>26</v>
      </c>
      <c r="F2207" s="45" t="s">
        <v>8</v>
      </c>
      <c r="G2207" s="40"/>
      <c r="H2207" s="40"/>
      <c r="I2207" s="1" t="str">
        <f t="shared" si="103"/>
        <v/>
      </c>
      <c r="J2207" s="1" t="str">
        <f t="shared" si="102"/>
        <v/>
      </c>
      <c r="K2207" s="1" t="str">
        <f t="shared" si="104"/>
        <v/>
      </c>
    </row>
    <row r="2208" spans="4:11">
      <c r="D2208" s="92" t="s">
        <v>296</v>
      </c>
      <c r="E2208" s="43"/>
      <c r="F2208" s="43"/>
      <c r="G2208" s="40">
        <v>3</v>
      </c>
      <c r="H2208" s="40">
        <v>2</v>
      </c>
      <c r="I2208" s="1">
        <f t="shared" si="103"/>
        <v>1</v>
      </c>
      <c r="J2208" s="1">
        <f t="shared" si="102"/>
        <v>0</v>
      </c>
      <c r="K2208" s="1">
        <f t="shared" si="104"/>
        <v>1</v>
      </c>
    </row>
    <row r="2209" spans="4:11" ht="15.75" thickBot="1">
      <c r="D2209" s="93"/>
      <c r="E2209" s="44" t="s">
        <v>6</v>
      </c>
      <c r="F2209" s="44" t="s">
        <v>27</v>
      </c>
      <c r="G2209" s="40"/>
      <c r="H2209" s="40"/>
      <c r="I2209" s="1" t="str">
        <f t="shared" si="103"/>
        <v/>
      </c>
      <c r="J2209" s="1" t="str">
        <f t="shared" si="102"/>
        <v/>
      </c>
      <c r="K2209" s="1" t="str">
        <f t="shared" si="104"/>
        <v/>
      </c>
    </row>
    <row r="2210" spans="4:11">
      <c r="D2210" s="94" t="s">
        <v>296</v>
      </c>
      <c r="E2210" s="42"/>
      <c r="F2210" s="42"/>
      <c r="G2210" s="40">
        <v>2</v>
      </c>
      <c r="H2210" s="40">
        <v>3</v>
      </c>
      <c r="I2210" s="1">
        <f t="shared" si="103"/>
        <v>-1</v>
      </c>
      <c r="J2210" s="1">
        <f t="shared" si="102"/>
        <v>0</v>
      </c>
      <c r="K2210" s="1">
        <f t="shared" si="104"/>
        <v>1</v>
      </c>
    </row>
    <row r="2211" spans="4:11" ht="15.75" thickBot="1">
      <c r="D2211" s="95"/>
      <c r="E2211" s="45" t="s">
        <v>9</v>
      </c>
      <c r="F2211" s="45" t="s">
        <v>12</v>
      </c>
      <c r="G2211" s="40"/>
      <c r="H2211" s="40"/>
      <c r="I2211" s="1" t="str">
        <f t="shared" si="103"/>
        <v/>
      </c>
      <c r="J2211" s="1" t="str">
        <f t="shared" si="102"/>
        <v/>
      </c>
      <c r="K2211" s="1" t="str">
        <f t="shared" si="104"/>
        <v/>
      </c>
    </row>
    <row r="2212" spans="4:11">
      <c r="D2212" s="92" t="s">
        <v>296</v>
      </c>
      <c r="E2212" s="43"/>
      <c r="F2212" s="43"/>
      <c r="G2212" s="40">
        <v>2</v>
      </c>
      <c r="H2212" s="40">
        <v>5</v>
      </c>
      <c r="I2212" s="1">
        <f t="shared" si="103"/>
        <v>-3</v>
      </c>
      <c r="J2212" s="1">
        <f t="shared" si="102"/>
        <v>0</v>
      </c>
      <c r="K2212" s="1">
        <f t="shared" si="104"/>
        <v>9</v>
      </c>
    </row>
    <row r="2213" spans="4:11" ht="15.75" thickBot="1">
      <c r="D2213" s="93"/>
      <c r="E2213" s="44" t="s">
        <v>11</v>
      </c>
      <c r="F2213" s="44" t="s">
        <v>28</v>
      </c>
      <c r="G2213" s="40"/>
      <c r="H2213" s="40"/>
      <c r="I2213" s="1" t="str">
        <f t="shared" si="103"/>
        <v/>
      </c>
      <c r="J2213" s="1" t="str">
        <f t="shared" si="102"/>
        <v/>
      </c>
      <c r="K2213" s="1" t="str">
        <f t="shared" si="104"/>
        <v/>
      </c>
    </row>
    <row r="2214" spans="4:11">
      <c r="D2214" s="94" t="s">
        <v>296</v>
      </c>
      <c r="E2214" s="42"/>
      <c r="F2214" s="42"/>
      <c r="G2214" s="40">
        <v>4</v>
      </c>
      <c r="H2214" s="40">
        <v>1</v>
      </c>
      <c r="I2214" s="1">
        <f t="shared" si="103"/>
        <v>3</v>
      </c>
      <c r="J2214" s="1">
        <f t="shared" si="102"/>
        <v>0</v>
      </c>
      <c r="K2214" s="1">
        <f t="shared" si="104"/>
        <v>9</v>
      </c>
    </row>
    <row r="2215" spans="4:11" ht="15.75" thickBot="1">
      <c r="D2215" s="95"/>
      <c r="E2215" s="45" t="s">
        <v>14</v>
      </c>
      <c r="F2215" s="45" t="s">
        <v>0</v>
      </c>
      <c r="G2215" s="40"/>
      <c r="H2215" s="40"/>
      <c r="I2215" s="1" t="str">
        <f t="shared" si="103"/>
        <v/>
      </c>
      <c r="J2215" s="1" t="str">
        <f t="shared" si="102"/>
        <v/>
      </c>
      <c r="K2215" s="1" t="str">
        <f t="shared" si="104"/>
        <v/>
      </c>
    </row>
    <row r="2216" spans="4:11">
      <c r="D2216" s="92" t="s">
        <v>296</v>
      </c>
      <c r="E2216" s="43"/>
      <c r="F2216" s="43"/>
      <c r="G2216" s="40">
        <v>5</v>
      </c>
      <c r="H2216" s="40">
        <v>1</v>
      </c>
      <c r="I2216" s="1">
        <f t="shared" si="103"/>
        <v>4</v>
      </c>
      <c r="J2216" s="1">
        <f t="shared" si="102"/>
        <v>0</v>
      </c>
      <c r="K2216" s="1">
        <f t="shared" si="104"/>
        <v>16</v>
      </c>
    </row>
    <row r="2217" spans="4:11" ht="15.75" thickBot="1">
      <c r="D2217" s="93"/>
      <c r="E2217" s="44" t="s">
        <v>16</v>
      </c>
      <c r="F2217" s="44" t="s">
        <v>18</v>
      </c>
      <c r="G2217" s="40"/>
      <c r="H2217" s="40"/>
      <c r="I2217" s="1" t="str">
        <f t="shared" si="103"/>
        <v/>
      </c>
      <c r="J2217" s="1" t="str">
        <f t="shared" si="102"/>
        <v/>
      </c>
      <c r="K2217" s="1" t="str">
        <f t="shared" si="104"/>
        <v/>
      </c>
    </row>
    <row r="2218" spans="4:11">
      <c r="D2218" s="94" t="s">
        <v>296</v>
      </c>
      <c r="E2218" s="42"/>
      <c r="F2218" s="42"/>
      <c r="G2218" s="40">
        <v>6</v>
      </c>
      <c r="H2218" s="40">
        <v>4</v>
      </c>
      <c r="I2218" s="1">
        <f t="shared" si="103"/>
        <v>2</v>
      </c>
      <c r="J2218" s="1">
        <f t="shared" si="102"/>
        <v>0</v>
      </c>
      <c r="K2218" s="1">
        <f t="shared" si="104"/>
        <v>4</v>
      </c>
    </row>
    <row r="2219" spans="4:11" ht="15.75" thickBot="1">
      <c r="D2219" s="95"/>
      <c r="E2219" s="45" t="s">
        <v>5</v>
      </c>
      <c r="F2219" s="45" t="s">
        <v>13</v>
      </c>
      <c r="G2219" s="40"/>
      <c r="H2219" s="40"/>
      <c r="I2219" s="1" t="str">
        <f t="shared" si="103"/>
        <v/>
      </c>
      <c r="J2219" s="1" t="str">
        <f t="shared" si="102"/>
        <v/>
      </c>
      <c r="K2219" s="1" t="str">
        <f t="shared" si="104"/>
        <v/>
      </c>
    </row>
    <row r="2220" spans="4:11">
      <c r="D2220" s="92" t="s">
        <v>296</v>
      </c>
      <c r="E2220" s="43"/>
      <c r="F2220" s="43"/>
      <c r="G2220" s="40">
        <v>3</v>
      </c>
      <c r="H2220" s="40">
        <v>2</v>
      </c>
      <c r="I2220" s="1">
        <f t="shared" si="103"/>
        <v>1</v>
      </c>
      <c r="J2220" s="1">
        <f t="shared" si="102"/>
        <v>0</v>
      </c>
      <c r="K2220" s="1">
        <f t="shared" si="104"/>
        <v>1</v>
      </c>
    </row>
    <row r="2221" spans="4:11" ht="15.75" thickBot="1">
      <c r="D2221" s="93"/>
      <c r="E2221" s="44" t="s">
        <v>19</v>
      </c>
      <c r="F2221" s="44" t="s">
        <v>15</v>
      </c>
      <c r="G2221" s="40"/>
      <c r="H2221" s="40"/>
      <c r="I2221" s="1" t="str">
        <f t="shared" si="103"/>
        <v/>
      </c>
      <c r="J2221" s="1" t="str">
        <f t="shared" si="102"/>
        <v/>
      </c>
      <c r="K2221" s="1" t="str">
        <f t="shared" si="104"/>
        <v/>
      </c>
    </row>
    <row r="2222" spans="4:11">
      <c r="D2222" s="94" t="s">
        <v>296</v>
      </c>
      <c r="E2222" s="42"/>
      <c r="F2222" s="42"/>
      <c r="G2222" s="40">
        <v>2</v>
      </c>
      <c r="H2222" s="40">
        <v>5</v>
      </c>
      <c r="I2222" s="1">
        <f t="shared" si="103"/>
        <v>-3</v>
      </c>
      <c r="J2222" s="1">
        <f t="shared" si="102"/>
        <v>0</v>
      </c>
      <c r="K2222" s="1">
        <f t="shared" si="104"/>
        <v>9</v>
      </c>
    </row>
    <row r="2223" spans="4:11" ht="15.75" thickBot="1">
      <c r="D2223" s="95"/>
      <c r="E2223" s="45" t="s">
        <v>230</v>
      </c>
      <c r="F2223" s="45" t="s">
        <v>25</v>
      </c>
      <c r="G2223" s="40"/>
      <c r="H2223" s="40"/>
      <c r="I2223" s="1" t="str">
        <f t="shared" si="103"/>
        <v/>
      </c>
      <c r="J2223" s="1" t="str">
        <f t="shared" si="102"/>
        <v/>
      </c>
      <c r="K2223" s="1" t="str">
        <f t="shared" si="104"/>
        <v/>
      </c>
    </row>
    <row r="2224" spans="4:11">
      <c r="D2224" s="92" t="s">
        <v>296</v>
      </c>
      <c r="E2224" s="43"/>
      <c r="F2224" s="43"/>
      <c r="G2224" s="40">
        <v>4</v>
      </c>
      <c r="H2224" s="40">
        <v>1</v>
      </c>
      <c r="I2224" s="1">
        <f t="shared" si="103"/>
        <v>3</v>
      </c>
      <c r="J2224" s="1">
        <f t="shared" si="102"/>
        <v>0</v>
      </c>
      <c r="K2224" s="1">
        <f t="shared" si="104"/>
        <v>9</v>
      </c>
    </row>
    <row r="2225" spans="4:11" ht="15.75" thickBot="1">
      <c r="D2225" s="93"/>
      <c r="E2225" s="44" t="s">
        <v>22</v>
      </c>
      <c r="F2225" s="44" t="s">
        <v>3</v>
      </c>
      <c r="G2225" s="40"/>
      <c r="H2225" s="40"/>
      <c r="I2225" s="1" t="str">
        <f t="shared" si="103"/>
        <v/>
      </c>
      <c r="J2225" s="1" t="str">
        <f t="shared" si="102"/>
        <v/>
      </c>
      <c r="K2225" s="1" t="str">
        <f t="shared" si="104"/>
        <v/>
      </c>
    </row>
    <row r="2226" spans="4:11">
      <c r="D2226" s="94" t="s">
        <v>297</v>
      </c>
      <c r="E2226" s="42"/>
      <c r="F2226" s="42"/>
      <c r="G2226" s="40">
        <v>2</v>
      </c>
      <c r="H2226" s="40">
        <v>4</v>
      </c>
      <c r="I2226" s="1">
        <f t="shared" si="103"/>
        <v>-2</v>
      </c>
      <c r="J2226" s="1">
        <f t="shared" si="102"/>
        <v>0</v>
      </c>
      <c r="K2226" s="1">
        <f t="shared" si="104"/>
        <v>4</v>
      </c>
    </row>
    <row r="2227" spans="4:11" ht="15.75" thickBot="1">
      <c r="D2227" s="95"/>
      <c r="E2227" s="45" t="s">
        <v>4</v>
      </c>
      <c r="F2227" s="45" t="s">
        <v>23</v>
      </c>
      <c r="G2227" s="40"/>
      <c r="H2227" s="40"/>
      <c r="I2227" s="1" t="str">
        <f t="shared" si="103"/>
        <v/>
      </c>
      <c r="J2227" s="1" t="str">
        <f t="shared" si="102"/>
        <v/>
      </c>
      <c r="K2227" s="1" t="str">
        <f t="shared" si="104"/>
        <v/>
      </c>
    </row>
    <row r="2228" spans="4:11">
      <c r="D2228" s="92" t="s">
        <v>297</v>
      </c>
      <c r="E2228" s="43"/>
      <c r="F2228" s="43"/>
      <c r="G2228" s="40">
        <v>5</v>
      </c>
      <c r="H2228" s="40">
        <v>2</v>
      </c>
      <c r="I2228" s="1">
        <f t="shared" si="103"/>
        <v>3</v>
      </c>
      <c r="J2228" s="1">
        <f t="shared" si="102"/>
        <v>0</v>
      </c>
      <c r="K2228" s="1">
        <f t="shared" si="104"/>
        <v>9</v>
      </c>
    </row>
    <row r="2229" spans="4:11" ht="15.75" thickBot="1">
      <c r="D2229" s="93"/>
      <c r="E2229" s="44" t="s">
        <v>7</v>
      </c>
      <c r="F2229" s="44" t="s">
        <v>20</v>
      </c>
      <c r="G2229" s="40"/>
      <c r="H2229" s="40"/>
      <c r="I2229" s="1" t="str">
        <f t="shared" si="103"/>
        <v/>
      </c>
      <c r="J2229" s="1" t="str">
        <f t="shared" si="102"/>
        <v/>
      </c>
      <c r="K2229" s="1" t="str">
        <f t="shared" si="104"/>
        <v/>
      </c>
    </row>
    <row r="2230" spans="4:11">
      <c r="D2230" s="94" t="s">
        <v>297</v>
      </c>
      <c r="E2230" s="42"/>
      <c r="F2230" s="42"/>
      <c r="G2230" s="40">
        <v>0</v>
      </c>
      <c r="H2230" s="40">
        <v>4</v>
      </c>
      <c r="I2230" s="1">
        <f t="shared" si="103"/>
        <v>-4</v>
      </c>
      <c r="J2230" s="1">
        <f t="shared" si="102"/>
        <v>0</v>
      </c>
      <c r="K2230" s="1">
        <f t="shared" si="104"/>
        <v>16</v>
      </c>
    </row>
    <row r="2231" spans="4:11" ht="15.75" thickBot="1">
      <c r="D2231" s="95"/>
      <c r="E2231" s="45" t="s">
        <v>21</v>
      </c>
      <c r="F2231" s="45" t="s">
        <v>24</v>
      </c>
      <c r="G2231" s="40"/>
      <c r="H2231" s="40"/>
      <c r="I2231" s="1" t="str">
        <f t="shared" si="103"/>
        <v/>
      </c>
      <c r="J2231" s="1" t="str">
        <f t="shared" si="102"/>
        <v/>
      </c>
      <c r="K2231" s="1" t="str">
        <f t="shared" si="104"/>
        <v/>
      </c>
    </row>
    <row r="2232" spans="4:11">
      <c r="D2232" s="92" t="s">
        <v>298</v>
      </c>
      <c r="E2232" s="43"/>
      <c r="F2232" s="43"/>
      <c r="G2232" s="40">
        <v>4</v>
      </c>
      <c r="H2232" s="40">
        <v>3</v>
      </c>
      <c r="I2232" s="1">
        <f t="shared" si="103"/>
        <v>1</v>
      </c>
      <c r="J2232" s="1">
        <f t="shared" si="102"/>
        <v>0</v>
      </c>
      <c r="K2232" s="1">
        <f t="shared" si="104"/>
        <v>1</v>
      </c>
    </row>
    <row r="2233" spans="4:11" ht="15.75" thickBot="1">
      <c r="D2233" s="93"/>
      <c r="E2233" s="44" t="s">
        <v>19</v>
      </c>
      <c r="F2233" s="44" t="s">
        <v>12</v>
      </c>
      <c r="G2233" s="40"/>
      <c r="H2233" s="40"/>
      <c r="I2233" s="1" t="str">
        <f t="shared" si="103"/>
        <v/>
      </c>
      <c r="J2233" s="1" t="str">
        <f t="shared" si="102"/>
        <v/>
      </c>
      <c r="K2233" s="1" t="str">
        <f t="shared" si="104"/>
        <v/>
      </c>
    </row>
    <row r="2234" spans="4:11">
      <c r="D2234" s="94" t="s">
        <v>298</v>
      </c>
      <c r="E2234" s="42"/>
      <c r="F2234" s="42"/>
      <c r="G2234" s="40">
        <v>2</v>
      </c>
      <c r="H2234" s="40">
        <v>4</v>
      </c>
      <c r="I2234" s="1">
        <f t="shared" si="103"/>
        <v>-2</v>
      </c>
      <c r="J2234" s="1">
        <f t="shared" si="102"/>
        <v>0</v>
      </c>
      <c r="K2234" s="1">
        <f t="shared" si="104"/>
        <v>4</v>
      </c>
    </row>
    <row r="2235" spans="4:11" ht="15.75" thickBot="1">
      <c r="D2235" s="95"/>
      <c r="E2235" s="45" t="s">
        <v>16</v>
      </c>
      <c r="F2235" s="45" t="s">
        <v>2</v>
      </c>
      <c r="G2235" s="40"/>
      <c r="H2235" s="40"/>
      <c r="I2235" s="1" t="str">
        <f t="shared" si="103"/>
        <v/>
      </c>
      <c r="J2235" s="1" t="str">
        <f t="shared" si="102"/>
        <v/>
      </c>
      <c r="K2235" s="1" t="str">
        <f t="shared" si="104"/>
        <v/>
      </c>
    </row>
    <row r="2236" spans="4:11">
      <c r="D2236" s="92" t="s">
        <v>298</v>
      </c>
      <c r="E2236" s="43"/>
      <c r="F2236" s="43"/>
      <c r="G2236" s="40">
        <v>3</v>
      </c>
      <c r="H2236" s="40">
        <v>2</v>
      </c>
      <c r="I2236" s="1">
        <f t="shared" si="103"/>
        <v>1</v>
      </c>
      <c r="J2236" s="1">
        <f t="shared" si="102"/>
        <v>0</v>
      </c>
      <c r="K2236" s="1">
        <f t="shared" si="104"/>
        <v>1</v>
      </c>
    </row>
    <row r="2237" spans="4:11" ht="15.75" thickBot="1">
      <c r="D2237" s="93"/>
      <c r="E2237" s="44" t="s">
        <v>10</v>
      </c>
      <c r="F2237" s="44" t="s">
        <v>27</v>
      </c>
      <c r="G2237" s="40"/>
      <c r="H2237" s="40"/>
      <c r="I2237" s="1" t="str">
        <f t="shared" si="103"/>
        <v/>
      </c>
      <c r="J2237" s="1" t="str">
        <f t="shared" si="102"/>
        <v/>
      </c>
      <c r="K2237" s="1" t="str">
        <f t="shared" si="104"/>
        <v/>
      </c>
    </row>
    <row r="2238" spans="4:11">
      <c r="D2238" s="94" t="s">
        <v>298</v>
      </c>
      <c r="E2238" s="42"/>
      <c r="F2238" s="42"/>
      <c r="G2238" s="40">
        <v>3</v>
      </c>
      <c r="H2238" s="40">
        <v>2</v>
      </c>
      <c r="I2238" s="1">
        <f t="shared" si="103"/>
        <v>1</v>
      </c>
      <c r="J2238" s="1">
        <f t="shared" si="102"/>
        <v>0</v>
      </c>
      <c r="K2238" s="1">
        <f t="shared" si="104"/>
        <v>1</v>
      </c>
    </row>
    <row r="2239" spans="4:11" ht="15.75" thickBot="1">
      <c r="D2239" s="95"/>
      <c r="E2239" s="45" t="s">
        <v>5</v>
      </c>
      <c r="F2239" s="45" t="s">
        <v>1</v>
      </c>
      <c r="G2239" s="40"/>
      <c r="H2239" s="40"/>
      <c r="I2239" s="1" t="str">
        <f t="shared" si="103"/>
        <v/>
      </c>
      <c r="J2239" s="1" t="str">
        <f t="shared" si="102"/>
        <v/>
      </c>
      <c r="K2239" s="1" t="str">
        <f t="shared" si="104"/>
        <v/>
      </c>
    </row>
    <row r="2240" spans="4:11">
      <c r="D2240" s="92" t="s">
        <v>298</v>
      </c>
      <c r="E2240" s="43"/>
      <c r="F2240" s="43"/>
      <c r="G2240" s="40">
        <v>2</v>
      </c>
      <c r="H2240" s="40">
        <v>3</v>
      </c>
      <c r="I2240" s="1">
        <f t="shared" si="103"/>
        <v>-1</v>
      </c>
      <c r="J2240" s="1">
        <f t="shared" si="102"/>
        <v>0</v>
      </c>
      <c r="K2240" s="1">
        <f t="shared" si="104"/>
        <v>1</v>
      </c>
    </row>
    <row r="2241" spans="4:11" ht="15.75" thickBot="1">
      <c r="D2241" s="93"/>
      <c r="E2241" s="44" t="s">
        <v>26</v>
      </c>
      <c r="F2241" s="44" t="s">
        <v>11</v>
      </c>
      <c r="G2241" s="40"/>
      <c r="H2241" s="40"/>
      <c r="I2241" s="1" t="str">
        <f t="shared" si="103"/>
        <v/>
      </c>
      <c r="J2241" s="1" t="str">
        <f t="shared" ref="J2241:J2304" si="105">IF(F2242="","",VLOOKUP(F2242,$A$2:$B$31,2)+$B$33-VLOOKUP(E2242,$A$2:$B$31,2))</f>
        <v/>
      </c>
      <c r="K2241" s="1" t="str">
        <f t="shared" si="104"/>
        <v/>
      </c>
    </row>
    <row r="2242" spans="4:11">
      <c r="D2242" s="94" t="s">
        <v>298</v>
      </c>
      <c r="E2242" s="42"/>
      <c r="F2242" s="42"/>
      <c r="G2242" s="40">
        <v>0</v>
      </c>
      <c r="H2242" s="40">
        <v>4</v>
      </c>
      <c r="I2242" s="1">
        <f t="shared" ref="I2242:I2305" si="106">IF(G2242="","",G2242-H2242)</f>
        <v>-4</v>
      </c>
      <c r="J2242" s="1">
        <f t="shared" si="105"/>
        <v>0</v>
      </c>
      <c r="K2242" s="1">
        <f t="shared" si="104"/>
        <v>16</v>
      </c>
    </row>
    <row r="2243" spans="4:11" ht="15.75" thickBot="1">
      <c r="D2243" s="95"/>
      <c r="E2243" s="45" t="s">
        <v>15</v>
      </c>
      <c r="F2243" s="45" t="s">
        <v>13</v>
      </c>
      <c r="G2243" s="40"/>
      <c r="H2243" s="40"/>
      <c r="I2243" s="1" t="str">
        <f t="shared" si="106"/>
        <v/>
      </c>
      <c r="J2243" s="1" t="str">
        <f t="shared" si="105"/>
        <v/>
      </c>
      <c r="K2243" s="1" t="str">
        <f t="shared" ref="K2243:K2306" si="107">IF(G2243="","",(I2243-J2243)^2)</f>
        <v/>
      </c>
    </row>
    <row r="2244" spans="4:11">
      <c r="D2244" s="92" t="s">
        <v>298</v>
      </c>
      <c r="E2244" s="43"/>
      <c r="F2244" s="43"/>
      <c r="G2244" s="40">
        <v>3</v>
      </c>
      <c r="H2244" s="40">
        <v>4</v>
      </c>
      <c r="I2244" s="1">
        <f t="shared" si="106"/>
        <v>-1</v>
      </c>
      <c r="J2244" s="1">
        <f t="shared" si="105"/>
        <v>0</v>
      </c>
      <c r="K2244" s="1">
        <f t="shared" si="107"/>
        <v>1</v>
      </c>
    </row>
    <row r="2245" spans="4:11" ht="15.75" thickBot="1">
      <c r="D2245" s="93"/>
      <c r="E2245" s="44" t="s">
        <v>18</v>
      </c>
      <c r="F2245" s="44" t="s">
        <v>0</v>
      </c>
      <c r="G2245" s="40"/>
      <c r="H2245" s="40"/>
      <c r="I2245" s="1" t="str">
        <f t="shared" si="106"/>
        <v/>
      </c>
      <c r="J2245" s="1" t="str">
        <f t="shared" si="105"/>
        <v/>
      </c>
      <c r="K2245" s="1" t="str">
        <f t="shared" si="107"/>
        <v/>
      </c>
    </row>
    <row r="2246" spans="4:11">
      <c r="D2246" s="94" t="s">
        <v>298</v>
      </c>
      <c r="E2246" s="42"/>
      <c r="F2246" s="42"/>
      <c r="G2246" s="40">
        <v>2</v>
      </c>
      <c r="H2246" s="40">
        <v>3</v>
      </c>
      <c r="I2246" s="1">
        <f t="shared" si="106"/>
        <v>-1</v>
      </c>
      <c r="J2246" s="1">
        <f t="shared" si="105"/>
        <v>0</v>
      </c>
      <c r="K2246" s="1">
        <f t="shared" si="107"/>
        <v>1</v>
      </c>
    </row>
    <row r="2247" spans="4:11" ht="15.75" thickBot="1">
      <c r="D2247" s="95"/>
      <c r="E2247" s="45" t="s">
        <v>14</v>
      </c>
      <c r="F2247" s="45" t="s">
        <v>230</v>
      </c>
      <c r="G2247" s="40"/>
      <c r="H2247" s="40"/>
      <c r="I2247" s="1" t="str">
        <f t="shared" si="106"/>
        <v/>
      </c>
      <c r="J2247" s="1" t="str">
        <f t="shared" si="105"/>
        <v/>
      </c>
      <c r="K2247" s="1" t="str">
        <f t="shared" si="107"/>
        <v/>
      </c>
    </row>
    <row r="2248" spans="4:11">
      <c r="D2248" s="92" t="s">
        <v>298</v>
      </c>
      <c r="E2248" s="43"/>
      <c r="F2248" s="43"/>
      <c r="G2248" s="40">
        <v>1</v>
      </c>
      <c r="H2248" s="40">
        <v>3</v>
      </c>
      <c r="I2248" s="1">
        <f t="shared" si="106"/>
        <v>-2</v>
      </c>
      <c r="J2248" s="1">
        <f t="shared" si="105"/>
        <v>0</v>
      </c>
      <c r="K2248" s="1">
        <f t="shared" si="107"/>
        <v>4</v>
      </c>
    </row>
    <row r="2249" spans="4:11" ht="15.75" thickBot="1">
      <c r="D2249" s="93"/>
      <c r="E2249" s="44" t="s">
        <v>9</v>
      </c>
      <c r="F2249" s="44" t="s">
        <v>28</v>
      </c>
      <c r="G2249" s="40"/>
      <c r="H2249" s="40"/>
      <c r="I2249" s="1" t="str">
        <f t="shared" si="106"/>
        <v/>
      </c>
      <c r="J2249" s="1" t="str">
        <f t="shared" si="105"/>
        <v/>
      </c>
      <c r="K2249" s="1" t="str">
        <f t="shared" si="107"/>
        <v/>
      </c>
    </row>
    <row r="2250" spans="4:11">
      <c r="D2250" s="94" t="s">
        <v>298</v>
      </c>
      <c r="E2250" s="42"/>
      <c r="F2250" s="42"/>
      <c r="G2250" s="40">
        <v>4</v>
      </c>
      <c r="H2250" s="40">
        <v>2</v>
      </c>
      <c r="I2250" s="1">
        <f t="shared" si="106"/>
        <v>2</v>
      </c>
      <c r="J2250" s="1">
        <f t="shared" si="105"/>
        <v>0</v>
      </c>
      <c r="K2250" s="1">
        <f t="shared" si="107"/>
        <v>4</v>
      </c>
    </row>
    <row r="2251" spans="4:11" ht="15.75" thickBot="1">
      <c r="D2251" s="95"/>
      <c r="E2251" s="45" t="s">
        <v>7</v>
      </c>
      <c r="F2251" s="45" t="s">
        <v>17</v>
      </c>
      <c r="G2251" s="40"/>
      <c r="H2251" s="40"/>
      <c r="I2251" s="1" t="str">
        <f t="shared" si="106"/>
        <v/>
      </c>
      <c r="J2251" s="1" t="str">
        <f t="shared" si="105"/>
        <v/>
      </c>
      <c r="K2251" s="1" t="str">
        <f t="shared" si="107"/>
        <v/>
      </c>
    </row>
    <row r="2252" spans="4:11">
      <c r="D2252" s="92" t="s">
        <v>298</v>
      </c>
      <c r="E2252" s="43"/>
      <c r="F2252" s="43"/>
      <c r="G2252" s="40">
        <v>1</v>
      </c>
      <c r="H2252" s="40">
        <v>4</v>
      </c>
      <c r="I2252" s="1">
        <f t="shared" si="106"/>
        <v>-3</v>
      </c>
      <c r="J2252" s="1">
        <f t="shared" si="105"/>
        <v>0</v>
      </c>
      <c r="K2252" s="1">
        <f t="shared" si="107"/>
        <v>9</v>
      </c>
    </row>
    <row r="2253" spans="4:11" ht="15.75" thickBot="1">
      <c r="D2253" s="93"/>
      <c r="E2253" s="44" t="s">
        <v>6</v>
      </c>
      <c r="F2253" s="44" t="s">
        <v>23</v>
      </c>
      <c r="G2253" s="40"/>
      <c r="H2253" s="40"/>
      <c r="I2253" s="1" t="str">
        <f t="shared" si="106"/>
        <v/>
      </c>
      <c r="J2253" s="1" t="str">
        <f t="shared" si="105"/>
        <v/>
      </c>
      <c r="K2253" s="1" t="str">
        <f t="shared" si="107"/>
        <v/>
      </c>
    </row>
    <row r="2254" spans="4:11">
      <c r="D2254" s="94" t="s">
        <v>298</v>
      </c>
      <c r="E2254" s="42"/>
      <c r="F2254" s="42"/>
      <c r="G2254" s="40">
        <v>3</v>
      </c>
      <c r="H2254" s="40">
        <v>5</v>
      </c>
      <c r="I2254" s="1">
        <f t="shared" si="106"/>
        <v>-2</v>
      </c>
      <c r="J2254" s="1">
        <f t="shared" si="105"/>
        <v>-2550</v>
      </c>
      <c r="K2254" s="1">
        <f t="shared" si="107"/>
        <v>6492304</v>
      </c>
    </row>
    <row r="2255" spans="4:11" ht="15.75" thickBot="1">
      <c r="D2255" s="95"/>
      <c r="E2255" s="45" t="s">
        <v>8</v>
      </c>
      <c r="F2255" s="45" t="s">
        <v>22</v>
      </c>
      <c r="G2255" s="40"/>
      <c r="H2255" s="40"/>
      <c r="I2255" s="1" t="str">
        <f t="shared" si="106"/>
        <v/>
      </c>
      <c r="J2255" s="1" t="str">
        <f t="shared" si="105"/>
        <v/>
      </c>
      <c r="K2255" s="1" t="str">
        <f t="shared" si="107"/>
        <v/>
      </c>
    </row>
    <row r="2256" spans="4:11">
      <c r="D2256" s="92" t="s">
        <v>298</v>
      </c>
      <c r="E2256" s="43"/>
      <c r="F2256" s="43"/>
      <c r="G2256" s="40">
        <v>4</v>
      </c>
      <c r="H2256" s="40">
        <v>3</v>
      </c>
      <c r="I2256" s="1">
        <f t="shared" si="106"/>
        <v>1</v>
      </c>
      <c r="J2256" s="1">
        <f t="shared" si="105"/>
        <v>0</v>
      </c>
      <c r="K2256" s="1">
        <f t="shared" si="107"/>
        <v>1</v>
      </c>
    </row>
    <row r="2257" spans="4:11" ht="15.75" thickBot="1">
      <c r="D2257" s="93"/>
      <c r="E2257" s="44" t="s">
        <v>21</v>
      </c>
      <c r="F2257" s="44" t="s">
        <v>3</v>
      </c>
      <c r="G2257" s="40"/>
      <c r="H2257" s="40"/>
      <c r="I2257" s="1" t="str">
        <f t="shared" si="106"/>
        <v/>
      </c>
      <c r="J2257" s="1" t="str">
        <f t="shared" si="105"/>
        <v/>
      </c>
      <c r="K2257" s="1" t="str">
        <f t="shared" si="107"/>
        <v/>
      </c>
    </row>
    <row r="2258" spans="4:11">
      <c r="D2258" s="94" t="s">
        <v>299</v>
      </c>
      <c r="E2258" s="42"/>
      <c r="F2258" s="42"/>
      <c r="G2258" s="40">
        <v>5</v>
      </c>
      <c r="H2258" s="40">
        <v>2</v>
      </c>
      <c r="I2258" s="1">
        <f t="shared" si="106"/>
        <v>3</v>
      </c>
      <c r="J2258" s="1">
        <f t="shared" si="105"/>
        <v>0</v>
      </c>
      <c r="K2258" s="1">
        <f t="shared" si="107"/>
        <v>9</v>
      </c>
    </row>
    <row r="2259" spans="4:11" ht="15.75" thickBot="1">
      <c r="D2259" s="95"/>
      <c r="E2259" s="45" t="s">
        <v>12</v>
      </c>
      <c r="F2259" s="45" t="s">
        <v>16</v>
      </c>
      <c r="G2259" s="40"/>
      <c r="H2259" s="40"/>
      <c r="I2259" s="1" t="str">
        <f t="shared" si="106"/>
        <v/>
      </c>
      <c r="J2259" s="1" t="str">
        <f t="shared" si="105"/>
        <v/>
      </c>
      <c r="K2259" s="1" t="str">
        <f t="shared" si="107"/>
        <v/>
      </c>
    </row>
    <row r="2260" spans="4:11">
      <c r="D2260" s="92" t="s">
        <v>299</v>
      </c>
      <c r="E2260" s="43"/>
      <c r="F2260" s="43"/>
      <c r="G2260" s="40">
        <v>4</v>
      </c>
      <c r="H2260" s="40">
        <v>2</v>
      </c>
      <c r="I2260" s="1">
        <f t="shared" si="106"/>
        <v>2</v>
      </c>
      <c r="J2260" s="1">
        <f t="shared" si="105"/>
        <v>0</v>
      </c>
      <c r="K2260" s="1">
        <f t="shared" si="107"/>
        <v>4</v>
      </c>
    </row>
    <row r="2261" spans="4:11" ht="15.75" thickBot="1">
      <c r="D2261" s="93"/>
      <c r="E2261" s="44" t="s">
        <v>14</v>
      </c>
      <c r="F2261" s="44" t="s">
        <v>18</v>
      </c>
      <c r="G2261" s="40"/>
      <c r="H2261" s="40"/>
      <c r="I2261" s="1" t="str">
        <f t="shared" si="106"/>
        <v/>
      </c>
      <c r="J2261" s="1" t="str">
        <f t="shared" si="105"/>
        <v/>
      </c>
      <c r="K2261" s="1" t="str">
        <f t="shared" si="107"/>
        <v/>
      </c>
    </row>
    <row r="2262" spans="4:11">
      <c r="D2262" s="94" t="s">
        <v>299</v>
      </c>
      <c r="E2262" s="42"/>
      <c r="F2262" s="42"/>
      <c r="G2262" s="40">
        <v>4</v>
      </c>
      <c r="H2262" s="40">
        <v>5</v>
      </c>
      <c r="I2262" s="1">
        <f t="shared" si="106"/>
        <v>-1</v>
      </c>
      <c r="J2262" s="1">
        <f t="shared" si="105"/>
        <v>0</v>
      </c>
      <c r="K2262" s="1">
        <f t="shared" si="107"/>
        <v>1</v>
      </c>
    </row>
    <row r="2263" spans="4:11" ht="15.75" thickBot="1">
      <c r="D2263" s="95"/>
      <c r="E2263" s="45" t="s">
        <v>13</v>
      </c>
      <c r="F2263" s="45" t="s">
        <v>27</v>
      </c>
      <c r="G2263" s="40"/>
      <c r="H2263" s="40"/>
      <c r="I2263" s="1" t="str">
        <f t="shared" si="106"/>
        <v/>
      </c>
      <c r="J2263" s="1" t="str">
        <f t="shared" si="105"/>
        <v/>
      </c>
      <c r="K2263" s="1" t="str">
        <f t="shared" si="107"/>
        <v/>
      </c>
    </row>
    <row r="2264" spans="4:11">
      <c r="D2264" s="92" t="s">
        <v>299</v>
      </c>
      <c r="E2264" s="43"/>
      <c r="F2264" s="43"/>
      <c r="G2264" s="40">
        <v>2</v>
      </c>
      <c r="H2264" s="40">
        <v>1</v>
      </c>
      <c r="I2264" s="1">
        <f t="shared" si="106"/>
        <v>1</v>
      </c>
      <c r="J2264" s="1">
        <f t="shared" si="105"/>
        <v>0</v>
      </c>
      <c r="K2264" s="1">
        <f t="shared" si="107"/>
        <v>1</v>
      </c>
    </row>
    <row r="2265" spans="4:11" ht="15.75" thickBot="1">
      <c r="D2265" s="93"/>
      <c r="E2265" s="44" t="s">
        <v>2</v>
      </c>
      <c r="F2265" s="44" t="s">
        <v>28</v>
      </c>
      <c r="G2265" s="40"/>
      <c r="H2265" s="40"/>
      <c r="I2265" s="1" t="str">
        <f t="shared" si="106"/>
        <v/>
      </c>
      <c r="J2265" s="1" t="str">
        <f t="shared" si="105"/>
        <v/>
      </c>
      <c r="K2265" s="1" t="str">
        <f t="shared" si="107"/>
        <v/>
      </c>
    </row>
    <row r="2266" spans="4:11">
      <c r="D2266" s="94" t="s">
        <v>299</v>
      </c>
      <c r="E2266" s="42"/>
      <c r="F2266" s="42"/>
      <c r="G2266" s="40">
        <v>5</v>
      </c>
      <c r="H2266" s="40">
        <v>2</v>
      </c>
      <c r="I2266" s="1">
        <f t="shared" si="106"/>
        <v>3</v>
      </c>
      <c r="J2266" s="1">
        <f t="shared" si="105"/>
        <v>0</v>
      </c>
      <c r="K2266" s="1">
        <f t="shared" si="107"/>
        <v>9</v>
      </c>
    </row>
    <row r="2267" spans="4:11" ht="15.75" thickBot="1">
      <c r="D2267" s="95"/>
      <c r="E2267" s="45" t="s">
        <v>4</v>
      </c>
      <c r="F2267" s="45" t="s">
        <v>19</v>
      </c>
      <c r="G2267" s="40"/>
      <c r="H2267" s="40"/>
      <c r="I2267" s="1" t="str">
        <f t="shared" si="106"/>
        <v/>
      </c>
      <c r="J2267" s="1" t="str">
        <f t="shared" si="105"/>
        <v/>
      </c>
      <c r="K2267" s="1" t="str">
        <f t="shared" si="107"/>
        <v/>
      </c>
    </row>
    <row r="2268" spans="4:11">
      <c r="D2268" s="92" t="s">
        <v>299</v>
      </c>
      <c r="E2268" s="43"/>
      <c r="F2268" s="43"/>
      <c r="G2268" s="40">
        <v>2</v>
      </c>
      <c r="H2268" s="40">
        <v>1</v>
      </c>
      <c r="I2268" s="1">
        <f t="shared" si="106"/>
        <v>1</v>
      </c>
      <c r="J2268" s="1">
        <f t="shared" si="105"/>
        <v>0</v>
      </c>
      <c r="K2268" s="1">
        <f t="shared" si="107"/>
        <v>1</v>
      </c>
    </row>
    <row r="2269" spans="4:11" ht="15.75" thickBot="1">
      <c r="D2269" s="93"/>
      <c r="E2269" s="44" t="s">
        <v>10</v>
      </c>
      <c r="F2269" s="44" t="s">
        <v>9</v>
      </c>
      <c r="G2269" s="40"/>
      <c r="H2269" s="40"/>
      <c r="I2269" s="1" t="str">
        <f t="shared" si="106"/>
        <v/>
      </c>
      <c r="J2269" s="1" t="str">
        <f t="shared" si="105"/>
        <v/>
      </c>
      <c r="K2269" s="1" t="str">
        <f t="shared" si="107"/>
        <v/>
      </c>
    </row>
    <row r="2270" spans="4:11">
      <c r="D2270" s="94" t="s">
        <v>299</v>
      </c>
      <c r="E2270" s="42"/>
      <c r="F2270" s="42"/>
      <c r="G2270" s="40">
        <v>2</v>
      </c>
      <c r="H2270" s="40">
        <v>3</v>
      </c>
      <c r="I2270" s="1">
        <f t="shared" si="106"/>
        <v>-1</v>
      </c>
      <c r="J2270" s="1">
        <f t="shared" si="105"/>
        <v>0</v>
      </c>
      <c r="K2270" s="1">
        <f t="shared" si="107"/>
        <v>1</v>
      </c>
    </row>
    <row r="2271" spans="4:11" ht="15.75" thickBot="1">
      <c r="D2271" s="95"/>
      <c r="E2271" s="45" t="s">
        <v>5</v>
      </c>
      <c r="F2271" s="45" t="s">
        <v>11</v>
      </c>
      <c r="G2271" s="40"/>
      <c r="H2271" s="40"/>
      <c r="I2271" s="1" t="str">
        <f t="shared" si="106"/>
        <v/>
      </c>
      <c r="J2271" s="1" t="str">
        <f t="shared" si="105"/>
        <v/>
      </c>
      <c r="K2271" s="1" t="str">
        <f t="shared" si="107"/>
        <v/>
      </c>
    </row>
    <row r="2272" spans="4:11">
      <c r="D2272" s="92" t="s">
        <v>299</v>
      </c>
      <c r="E2272" s="43"/>
      <c r="F2272" s="43"/>
      <c r="G2272" s="40">
        <v>4</v>
      </c>
      <c r="H2272" s="40">
        <v>3</v>
      </c>
      <c r="I2272" s="1">
        <f t="shared" si="106"/>
        <v>1</v>
      </c>
      <c r="J2272" s="1">
        <f t="shared" si="105"/>
        <v>0</v>
      </c>
      <c r="K2272" s="1">
        <f t="shared" si="107"/>
        <v>1</v>
      </c>
    </row>
    <row r="2273" spans="4:11" ht="15.75" thickBot="1">
      <c r="D2273" s="93"/>
      <c r="E2273" s="44" t="s">
        <v>20</v>
      </c>
      <c r="F2273" s="44" t="s">
        <v>25</v>
      </c>
      <c r="G2273" s="40"/>
      <c r="H2273" s="40"/>
      <c r="I2273" s="1" t="str">
        <f t="shared" si="106"/>
        <v/>
      </c>
      <c r="J2273" s="1" t="str">
        <f t="shared" si="105"/>
        <v/>
      </c>
      <c r="K2273" s="1" t="str">
        <f t="shared" si="107"/>
        <v/>
      </c>
    </row>
    <row r="2274" spans="4:11">
      <c r="D2274" s="94" t="s">
        <v>300</v>
      </c>
      <c r="E2274" s="42"/>
      <c r="F2274" s="42"/>
      <c r="G2274" s="40">
        <v>5</v>
      </c>
      <c r="H2274" s="40">
        <v>3</v>
      </c>
      <c r="I2274" s="1">
        <f t="shared" si="106"/>
        <v>2</v>
      </c>
      <c r="J2274" s="1">
        <f t="shared" si="105"/>
        <v>0</v>
      </c>
      <c r="K2274" s="1">
        <f t="shared" si="107"/>
        <v>4</v>
      </c>
    </row>
    <row r="2275" spans="4:11" ht="15.75" thickBot="1">
      <c r="D2275" s="95"/>
      <c r="E2275" s="45" t="s">
        <v>15</v>
      </c>
      <c r="F2275" s="45" t="s">
        <v>230</v>
      </c>
      <c r="G2275" s="40"/>
      <c r="H2275" s="40"/>
      <c r="I2275" s="1" t="str">
        <f t="shared" si="106"/>
        <v/>
      </c>
      <c r="J2275" s="1" t="str">
        <f t="shared" si="105"/>
        <v/>
      </c>
      <c r="K2275" s="1" t="str">
        <f t="shared" si="107"/>
        <v/>
      </c>
    </row>
    <row r="2276" spans="4:11">
      <c r="D2276" s="92" t="s">
        <v>300</v>
      </c>
      <c r="E2276" s="43"/>
      <c r="F2276" s="43"/>
      <c r="G2276" s="40">
        <v>4</v>
      </c>
      <c r="H2276" s="40">
        <v>1</v>
      </c>
      <c r="I2276" s="1">
        <f t="shared" si="106"/>
        <v>3</v>
      </c>
      <c r="J2276" s="1">
        <f t="shared" si="105"/>
        <v>0</v>
      </c>
      <c r="K2276" s="1">
        <f t="shared" si="107"/>
        <v>9</v>
      </c>
    </row>
    <row r="2277" spans="4:11" ht="15.75" thickBot="1">
      <c r="D2277" s="93"/>
      <c r="E2277" s="44" t="s">
        <v>3</v>
      </c>
      <c r="F2277" s="44" t="s">
        <v>17</v>
      </c>
      <c r="G2277" s="40"/>
      <c r="H2277" s="40"/>
      <c r="I2277" s="1" t="str">
        <f t="shared" si="106"/>
        <v/>
      </c>
      <c r="J2277" s="1" t="str">
        <f t="shared" si="105"/>
        <v/>
      </c>
      <c r="K2277" s="1" t="str">
        <f t="shared" si="107"/>
        <v/>
      </c>
    </row>
    <row r="2278" spans="4:11">
      <c r="D2278" s="94" t="s">
        <v>300</v>
      </c>
      <c r="E2278" s="42"/>
      <c r="F2278" s="42"/>
      <c r="G2278" s="40">
        <v>1</v>
      </c>
      <c r="H2278" s="40">
        <v>4</v>
      </c>
      <c r="I2278" s="1">
        <f t="shared" si="106"/>
        <v>-3</v>
      </c>
      <c r="J2278" s="1">
        <f t="shared" si="105"/>
        <v>0</v>
      </c>
      <c r="K2278" s="1">
        <f t="shared" si="107"/>
        <v>9</v>
      </c>
    </row>
    <row r="2279" spans="4:11" ht="15.75" thickBot="1">
      <c r="D2279" s="95"/>
      <c r="E2279" s="45" t="s">
        <v>6</v>
      </c>
      <c r="F2279" s="45" t="s">
        <v>20</v>
      </c>
      <c r="G2279" s="40"/>
      <c r="H2279" s="40"/>
      <c r="I2279" s="1" t="str">
        <f t="shared" si="106"/>
        <v/>
      </c>
      <c r="J2279" s="1" t="str">
        <f t="shared" si="105"/>
        <v/>
      </c>
      <c r="K2279" s="1" t="str">
        <f t="shared" si="107"/>
        <v/>
      </c>
    </row>
    <row r="2280" spans="4:11">
      <c r="D2280" s="92" t="s">
        <v>300</v>
      </c>
      <c r="E2280" s="43"/>
      <c r="F2280" s="43"/>
      <c r="G2280" s="40">
        <v>5</v>
      </c>
      <c r="H2280" s="40">
        <v>3</v>
      </c>
      <c r="I2280" s="1">
        <f t="shared" si="106"/>
        <v>2</v>
      </c>
      <c r="J2280" s="1">
        <f t="shared" si="105"/>
        <v>0</v>
      </c>
      <c r="K2280" s="1">
        <f t="shared" si="107"/>
        <v>4</v>
      </c>
    </row>
    <row r="2281" spans="4:11" ht="15.75" thickBot="1">
      <c r="D2281" s="93"/>
      <c r="E2281" s="44" t="s">
        <v>4</v>
      </c>
      <c r="F2281" s="44" t="s">
        <v>21</v>
      </c>
      <c r="G2281" s="40"/>
      <c r="H2281" s="40"/>
      <c r="I2281" s="1" t="str">
        <f t="shared" si="106"/>
        <v/>
      </c>
      <c r="J2281" s="1" t="str">
        <f t="shared" si="105"/>
        <v/>
      </c>
      <c r="K2281" s="1" t="str">
        <f t="shared" si="107"/>
        <v/>
      </c>
    </row>
    <row r="2282" spans="4:11">
      <c r="D2282" s="94" t="s">
        <v>300</v>
      </c>
      <c r="E2282" s="42"/>
      <c r="F2282" s="42"/>
      <c r="G2282" s="40">
        <v>4</v>
      </c>
      <c r="H2282" s="40">
        <v>1</v>
      </c>
      <c r="I2282" s="1">
        <f t="shared" si="106"/>
        <v>3</v>
      </c>
      <c r="J2282" s="1">
        <f t="shared" si="105"/>
        <v>0</v>
      </c>
      <c r="K2282" s="1">
        <f t="shared" si="107"/>
        <v>9</v>
      </c>
    </row>
    <row r="2283" spans="4:11" ht="15.75" thickBot="1">
      <c r="D2283" s="95"/>
      <c r="E2283" s="45" t="s">
        <v>24</v>
      </c>
      <c r="F2283" s="45" t="s">
        <v>22</v>
      </c>
      <c r="G2283" s="40"/>
      <c r="H2283" s="40"/>
      <c r="I2283" s="1" t="str">
        <f t="shared" si="106"/>
        <v/>
      </c>
      <c r="J2283" s="1" t="str">
        <f t="shared" si="105"/>
        <v/>
      </c>
      <c r="K2283" s="1" t="str">
        <f t="shared" si="107"/>
        <v/>
      </c>
    </row>
    <row r="2284" spans="4:11">
      <c r="D2284" s="92" t="s">
        <v>300</v>
      </c>
      <c r="E2284" s="43"/>
      <c r="F2284" s="43"/>
      <c r="G2284" s="40">
        <v>4</v>
      </c>
      <c r="H2284" s="40">
        <v>1</v>
      </c>
      <c r="I2284" s="1">
        <f t="shared" si="106"/>
        <v>3</v>
      </c>
      <c r="J2284" s="1">
        <f t="shared" si="105"/>
        <v>-2550</v>
      </c>
      <c r="K2284" s="1">
        <f t="shared" si="107"/>
        <v>6517809</v>
      </c>
    </row>
    <row r="2285" spans="4:11" ht="15.75" thickBot="1">
      <c r="D2285" s="93"/>
      <c r="E2285" s="44" t="s">
        <v>8</v>
      </c>
      <c r="F2285" s="44" t="s">
        <v>26</v>
      </c>
      <c r="G2285" s="40"/>
      <c r="H2285" s="40"/>
      <c r="I2285" s="1" t="str">
        <f t="shared" si="106"/>
        <v/>
      </c>
      <c r="J2285" s="1" t="str">
        <f t="shared" si="105"/>
        <v/>
      </c>
      <c r="K2285" s="1" t="str">
        <f t="shared" si="107"/>
        <v/>
      </c>
    </row>
    <row r="2286" spans="4:11">
      <c r="D2286" s="94" t="s">
        <v>301</v>
      </c>
      <c r="E2286" s="42"/>
      <c r="F2286" s="42"/>
      <c r="G2286" s="40">
        <v>2</v>
      </c>
      <c r="H2286" s="40">
        <v>3</v>
      </c>
      <c r="I2286" s="1">
        <f t="shared" si="106"/>
        <v>-1</v>
      </c>
      <c r="J2286" s="1">
        <f t="shared" si="105"/>
        <v>0</v>
      </c>
      <c r="K2286" s="1">
        <f t="shared" si="107"/>
        <v>1</v>
      </c>
    </row>
    <row r="2287" spans="4:11" ht="15.75" thickBot="1">
      <c r="D2287" s="95"/>
      <c r="E2287" s="45" t="s">
        <v>14</v>
      </c>
      <c r="F2287" s="45" t="s">
        <v>2</v>
      </c>
      <c r="G2287" s="40"/>
      <c r="H2287" s="40"/>
      <c r="I2287" s="1" t="str">
        <f t="shared" si="106"/>
        <v/>
      </c>
      <c r="J2287" s="1" t="str">
        <f t="shared" si="105"/>
        <v/>
      </c>
      <c r="K2287" s="1" t="str">
        <f t="shared" si="107"/>
        <v/>
      </c>
    </row>
    <row r="2288" spans="4:11">
      <c r="D2288" s="92" t="s">
        <v>301</v>
      </c>
      <c r="E2288" s="43"/>
      <c r="F2288" s="43"/>
      <c r="G2288" s="40">
        <v>2</v>
      </c>
      <c r="H2288" s="40">
        <v>4</v>
      </c>
      <c r="I2288" s="1">
        <f t="shared" si="106"/>
        <v>-2</v>
      </c>
      <c r="J2288" s="1">
        <f t="shared" si="105"/>
        <v>0</v>
      </c>
      <c r="K2288" s="1">
        <f t="shared" si="107"/>
        <v>4</v>
      </c>
    </row>
    <row r="2289" spans="4:11" ht="15.75" thickBot="1">
      <c r="D2289" s="93"/>
      <c r="E2289" s="44" t="s">
        <v>28</v>
      </c>
      <c r="F2289" s="44" t="s">
        <v>12</v>
      </c>
      <c r="G2289" s="40"/>
      <c r="H2289" s="40"/>
      <c r="I2289" s="1" t="str">
        <f t="shared" si="106"/>
        <v/>
      </c>
      <c r="J2289" s="1" t="str">
        <f t="shared" si="105"/>
        <v/>
      </c>
      <c r="K2289" s="1" t="str">
        <f t="shared" si="107"/>
        <v/>
      </c>
    </row>
    <row r="2290" spans="4:11">
      <c r="D2290" s="94" t="s">
        <v>301</v>
      </c>
      <c r="E2290" s="42"/>
      <c r="F2290" s="42"/>
      <c r="G2290" s="40">
        <v>2</v>
      </c>
      <c r="H2290" s="40">
        <v>3</v>
      </c>
      <c r="I2290" s="1">
        <f t="shared" si="106"/>
        <v>-1</v>
      </c>
      <c r="J2290" s="1">
        <f t="shared" si="105"/>
        <v>0</v>
      </c>
      <c r="K2290" s="1">
        <f t="shared" si="107"/>
        <v>1</v>
      </c>
    </row>
    <row r="2291" spans="4:11" ht="15.75" thickBot="1">
      <c r="D2291" s="95"/>
      <c r="E2291" s="45" t="s">
        <v>9</v>
      </c>
      <c r="F2291" s="45" t="s">
        <v>7</v>
      </c>
      <c r="G2291" s="40"/>
      <c r="H2291" s="40"/>
      <c r="I2291" s="1" t="str">
        <f t="shared" si="106"/>
        <v/>
      </c>
      <c r="J2291" s="1" t="str">
        <f t="shared" si="105"/>
        <v/>
      </c>
      <c r="K2291" s="1" t="str">
        <f t="shared" si="107"/>
        <v/>
      </c>
    </row>
    <row r="2292" spans="4:11">
      <c r="D2292" s="92" t="s">
        <v>301</v>
      </c>
      <c r="E2292" s="43"/>
      <c r="F2292" s="43"/>
      <c r="G2292" s="40">
        <v>1</v>
      </c>
      <c r="H2292" s="40">
        <v>3</v>
      </c>
      <c r="I2292" s="1">
        <f t="shared" si="106"/>
        <v>-2</v>
      </c>
      <c r="J2292" s="1">
        <f t="shared" si="105"/>
        <v>0</v>
      </c>
      <c r="K2292" s="1">
        <f t="shared" si="107"/>
        <v>4</v>
      </c>
    </row>
    <row r="2293" spans="4:11" ht="15.75" thickBot="1">
      <c r="D2293" s="93"/>
      <c r="E2293" s="44" t="s">
        <v>15</v>
      </c>
      <c r="F2293" s="44" t="s">
        <v>0</v>
      </c>
      <c r="G2293" s="40"/>
      <c r="H2293" s="40"/>
      <c r="I2293" s="1" t="str">
        <f t="shared" si="106"/>
        <v/>
      </c>
      <c r="J2293" s="1" t="str">
        <f t="shared" si="105"/>
        <v/>
      </c>
      <c r="K2293" s="1" t="str">
        <f t="shared" si="107"/>
        <v/>
      </c>
    </row>
    <row r="2294" spans="4:11">
      <c r="D2294" s="94" t="s">
        <v>301</v>
      </c>
      <c r="E2294" s="42"/>
      <c r="F2294" s="42"/>
      <c r="G2294" s="40">
        <v>2</v>
      </c>
      <c r="H2294" s="40">
        <v>1</v>
      </c>
      <c r="I2294" s="1">
        <f t="shared" si="106"/>
        <v>1</v>
      </c>
      <c r="J2294" s="1">
        <f t="shared" si="105"/>
        <v>0</v>
      </c>
      <c r="K2294" s="1">
        <f t="shared" si="107"/>
        <v>1</v>
      </c>
    </row>
    <row r="2295" spans="4:11" ht="15.75" thickBot="1">
      <c r="D2295" s="95"/>
      <c r="E2295" s="45" t="s">
        <v>18</v>
      </c>
      <c r="F2295" s="45" t="s">
        <v>13</v>
      </c>
      <c r="G2295" s="40"/>
      <c r="H2295" s="40"/>
      <c r="I2295" s="1" t="str">
        <f t="shared" si="106"/>
        <v/>
      </c>
      <c r="J2295" s="1" t="str">
        <f t="shared" si="105"/>
        <v/>
      </c>
      <c r="K2295" s="1" t="str">
        <f t="shared" si="107"/>
        <v/>
      </c>
    </row>
    <row r="2296" spans="4:11">
      <c r="D2296" s="92" t="s">
        <v>301</v>
      </c>
      <c r="E2296" s="43"/>
      <c r="F2296" s="43"/>
      <c r="G2296" s="40">
        <v>5</v>
      </c>
      <c r="H2296" s="40">
        <v>4</v>
      </c>
      <c r="I2296" s="1">
        <f t="shared" si="106"/>
        <v>1</v>
      </c>
      <c r="J2296" s="1">
        <f t="shared" si="105"/>
        <v>0</v>
      </c>
      <c r="K2296" s="1">
        <f t="shared" si="107"/>
        <v>1</v>
      </c>
    </row>
    <row r="2297" spans="4:11" ht="15.75" thickBot="1">
      <c r="D2297" s="93"/>
      <c r="E2297" s="44" t="s">
        <v>3</v>
      </c>
      <c r="F2297" s="44" t="s">
        <v>19</v>
      </c>
      <c r="G2297" s="40"/>
      <c r="H2297" s="40"/>
      <c r="I2297" s="1" t="str">
        <f t="shared" si="106"/>
        <v/>
      </c>
      <c r="J2297" s="1" t="str">
        <f t="shared" si="105"/>
        <v/>
      </c>
      <c r="K2297" s="1" t="str">
        <f t="shared" si="107"/>
        <v/>
      </c>
    </row>
    <row r="2298" spans="4:11">
      <c r="D2298" s="94" t="s">
        <v>301</v>
      </c>
      <c r="E2298" s="42"/>
      <c r="F2298" s="42"/>
      <c r="G2298" s="40">
        <v>3</v>
      </c>
      <c r="H2298" s="40">
        <v>2</v>
      </c>
      <c r="I2298" s="1">
        <f t="shared" si="106"/>
        <v>1</v>
      </c>
      <c r="J2298" s="1">
        <f t="shared" si="105"/>
        <v>0</v>
      </c>
      <c r="K2298" s="1">
        <f t="shared" si="107"/>
        <v>1</v>
      </c>
    </row>
    <row r="2299" spans="4:11" ht="15.75" thickBot="1">
      <c r="D2299" s="96"/>
      <c r="E2299" s="46" t="s">
        <v>16</v>
      </c>
      <c r="F2299" s="46" t="s">
        <v>25</v>
      </c>
      <c r="G2299" s="40"/>
      <c r="H2299" s="40"/>
      <c r="I2299" s="1" t="str">
        <f t="shared" si="106"/>
        <v/>
      </c>
      <c r="J2299" s="1" t="str">
        <f t="shared" si="105"/>
        <v/>
      </c>
      <c r="K2299" s="1" t="str">
        <f t="shared" si="107"/>
        <v/>
      </c>
    </row>
    <row r="2300" spans="4:11">
      <c r="D2300" s="97" t="s">
        <v>1218</v>
      </c>
      <c r="E2300" s="90"/>
      <c r="F2300" s="90"/>
      <c r="G2300">
        <v>3</v>
      </c>
      <c r="H2300">
        <v>4</v>
      </c>
      <c r="I2300" s="1">
        <f t="shared" si="106"/>
        <v>-1</v>
      </c>
      <c r="J2300" s="1">
        <f t="shared" si="105"/>
        <v>2550</v>
      </c>
      <c r="K2300" s="1">
        <f t="shared" si="107"/>
        <v>6507601</v>
      </c>
    </row>
    <row r="2301" spans="4:11" ht="15.75" thickBot="1">
      <c r="D2301" s="98"/>
      <c r="E2301" s="87" t="s">
        <v>0</v>
      </c>
      <c r="F2301" s="87" t="s">
        <v>8</v>
      </c>
      <c r="G2301"/>
      <c r="H2301"/>
      <c r="I2301" s="1" t="str">
        <f t="shared" si="106"/>
        <v/>
      </c>
      <c r="J2301" s="1" t="str">
        <f t="shared" si="105"/>
        <v/>
      </c>
      <c r="K2301" s="1" t="str">
        <f t="shared" si="107"/>
        <v/>
      </c>
    </row>
    <row r="2302" spans="4:11">
      <c r="D2302" s="99" t="s">
        <v>1218</v>
      </c>
      <c r="E2302" s="88"/>
      <c r="F2302" s="88"/>
      <c r="G2302">
        <v>4</v>
      </c>
      <c r="H2302">
        <v>1</v>
      </c>
      <c r="I2302" s="1">
        <f t="shared" si="106"/>
        <v>3</v>
      </c>
      <c r="J2302" s="1">
        <f t="shared" si="105"/>
        <v>0</v>
      </c>
      <c r="K2302" s="1">
        <f t="shared" si="107"/>
        <v>9</v>
      </c>
    </row>
    <row r="2303" spans="4:11" ht="15.75" thickBot="1">
      <c r="D2303" s="100"/>
      <c r="E2303" s="89" t="s">
        <v>1</v>
      </c>
      <c r="F2303" s="89" t="s">
        <v>11</v>
      </c>
      <c r="G2303"/>
      <c r="H2303"/>
      <c r="I2303" s="1" t="str">
        <f t="shared" si="106"/>
        <v/>
      </c>
      <c r="J2303" s="1" t="str">
        <f t="shared" si="105"/>
        <v/>
      </c>
      <c r="K2303" s="1" t="str">
        <f t="shared" si="107"/>
        <v/>
      </c>
    </row>
    <row r="2304" spans="4:11">
      <c r="D2304" s="97" t="s">
        <v>1218</v>
      </c>
      <c r="E2304" s="86"/>
      <c r="F2304" s="86"/>
      <c r="G2304">
        <v>1</v>
      </c>
      <c r="H2304">
        <v>5</v>
      </c>
      <c r="I2304" s="1">
        <f t="shared" si="106"/>
        <v>-4</v>
      </c>
      <c r="J2304" s="1">
        <f t="shared" si="105"/>
        <v>0</v>
      </c>
      <c r="K2304" s="1">
        <f t="shared" si="107"/>
        <v>16</v>
      </c>
    </row>
    <row r="2305" spans="4:11" ht="15.75" thickBot="1">
      <c r="D2305" s="98"/>
      <c r="E2305" s="87" t="s">
        <v>24</v>
      </c>
      <c r="F2305" s="87" t="s">
        <v>10</v>
      </c>
      <c r="G2305"/>
      <c r="H2305"/>
      <c r="I2305" s="1" t="str">
        <f t="shared" si="106"/>
        <v/>
      </c>
      <c r="J2305" s="1" t="str">
        <f t="shared" ref="J2305:J2368" si="108">IF(F2306="","",VLOOKUP(F2306,$A$2:$B$31,2)+$B$33-VLOOKUP(E2306,$A$2:$B$31,2))</f>
        <v/>
      </c>
      <c r="K2305" s="1" t="str">
        <f t="shared" si="107"/>
        <v/>
      </c>
    </row>
    <row r="2306" spans="4:11">
      <c r="D2306" s="99" t="s">
        <v>1218</v>
      </c>
      <c r="E2306" s="88"/>
      <c r="F2306" s="88"/>
      <c r="G2306">
        <v>1</v>
      </c>
      <c r="H2306">
        <v>5</v>
      </c>
      <c r="I2306" s="1">
        <f t="shared" ref="I2306:I2369" si="109">IF(G2306="","",G2306-H2306)</f>
        <v>-4</v>
      </c>
      <c r="J2306" s="1">
        <f t="shared" si="108"/>
        <v>0</v>
      </c>
      <c r="K2306" s="1">
        <f t="shared" si="107"/>
        <v>16</v>
      </c>
    </row>
    <row r="2307" spans="4:11" ht="15.75" thickBot="1">
      <c r="D2307" s="100"/>
      <c r="E2307" s="89" t="s">
        <v>22</v>
      </c>
      <c r="F2307" s="89" t="s">
        <v>5</v>
      </c>
      <c r="G2307"/>
      <c r="H2307"/>
      <c r="I2307" s="1" t="str">
        <f t="shared" si="109"/>
        <v/>
      </c>
      <c r="J2307" s="1" t="str">
        <f t="shared" si="108"/>
        <v/>
      </c>
      <c r="K2307" s="1" t="str">
        <f t="shared" ref="K2307:K2370" si="110">IF(G2307="","",(I2307-J2307)^2)</f>
        <v/>
      </c>
    </row>
    <row r="2308" spans="4:11">
      <c r="D2308" s="97" t="s">
        <v>1219</v>
      </c>
      <c r="E2308" s="86"/>
      <c r="F2308" s="86"/>
      <c r="G2308">
        <v>3</v>
      </c>
      <c r="H2308">
        <v>4</v>
      </c>
      <c r="I2308" s="1">
        <f t="shared" si="109"/>
        <v>-1</v>
      </c>
      <c r="J2308" s="1">
        <f t="shared" si="108"/>
        <v>0</v>
      </c>
      <c r="K2308" s="1">
        <f t="shared" si="110"/>
        <v>1</v>
      </c>
    </row>
    <row r="2309" spans="4:11" ht="15.75" thickBot="1">
      <c r="D2309" s="98"/>
      <c r="E2309" s="87" t="s">
        <v>27</v>
      </c>
      <c r="F2309" s="87" t="s">
        <v>7</v>
      </c>
      <c r="G2309"/>
      <c r="H2309"/>
      <c r="I2309" s="1" t="str">
        <f t="shared" si="109"/>
        <v/>
      </c>
      <c r="J2309" s="1" t="str">
        <f t="shared" si="108"/>
        <v/>
      </c>
      <c r="K2309" s="1" t="str">
        <f t="shared" si="110"/>
        <v/>
      </c>
    </row>
    <row r="2310" spans="4:11">
      <c r="D2310" s="99" t="s">
        <v>1219</v>
      </c>
      <c r="E2310" s="88"/>
      <c r="F2310" s="88"/>
      <c r="G2310">
        <v>5</v>
      </c>
      <c r="H2310">
        <v>4</v>
      </c>
      <c r="I2310" s="1">
        <f t="shared" si="109"/>
        <v>1</v>
      </c>
      <c r="J2310" s="1">
        <f t="shared" si="108"/>
        <v>0</v>
      </c>
      <c r="K2310" s="1">
        <f t="shared" si="110"/>
        <v>1</v>
      </c>
    </row>
    <row r="2311" spans="4:11" ht="15.75" thickBot="1">
      <c r="D2311" s="100"/>
      <c r="E2311" s="89" t="s">
        <v>12</v>
      </c>
      <c r="F2311" s="89" t="s">
        <v>1220</v>
      </c>
      <c r="G2311"/>
      <c r="H2311"/>
      <c r="I2311" s="1" t="str">
        <f t="shared" si="109"/>
        <v/>
      </c>
      <c r="J2311" s="1" t="str">
        <f t="shared" si="108"/>
        <v/>
      </c>
      <c r="K2311" s="1" t="str">
        <f t="shared" si="110"/>
        <v/>
      </c>
    </row>
    <row r="2312" spans="4:11">
      <c r="D2312" s="97" t="s">
        <v>1219</v>
      </c>
      <c r="E2312" s="86"/>
      <c r="F2312" s="86"/>
      <c r="G2312">
        <v>1</v>
      </c>
      <c r="H2312">
        <v>2</v>
      </c>
      <c r="I2312" s="1">
        <f t="shared" si="109"/>
        <v>-1</v>
      </c>
      <c r="J2312" s="1">
        <f t="shared" si="108"/>
        <v>0</v>
      </c>
      <c r="K2312" s="1">
        <f t="shared" si="110"/>
        <v>1</v>
      </c>
    </row>
    <row r="2313" spans="4:11" ht="15.75" thickBot="1">
      <c r="D2313" s="98"/>
      <c r="E2313" s="87" t="s">
        <v>15</v>
      </c>
      <c r="F2313" s="87" t="s">
        <v>18</v>
      </c>
      <c r="G2313"/>
      <c r="H2313"/>
      <c r="I2313" s="1" t="str">
        <f t="shared" si="109"/>
        <v/>
      </c>
      <c r="J2313" s="1" t="str">
        <f t="shared" si="108"/>
        <v/>
      </c>
      <c r="K2313" s="1" t="str">
        <f t="shared" si="110"/>
        <v/>
      </c>
    </row>
    <row r="2314" spans="4:11">
      <c r="D2314" s="99" t="s">
        <v>1219</v>
      </c>
      <c r="E2314" s="88"/>
      <c r="F2314" s="88"/>
      <c r="G2314">
        <v>3</v>
      </c>
      <c r="H2314">
        <v>2</v>
      </c>
      <c r="I2314" s="1">
        <f t="shared" si="109"/>
        <v>1</v>
      </c>
      <c r="J2314" s="1">
        <f t="shared" si="108"/>
        <v>0</v>
      </c>
      <c r="K2314" s="1">
        <f t="shared" si="110"/>
        <v>1</v>
      </c>
    </row>
    <row r="2315" spans="4:11" ht="15.75" thickBot="1">
      <c r="D2315" s="100"/>
      <c r="E2315" s="89" t="s">
        <v>2</v>
      </c>
      <c r="F2315" s="89" t="s">
        <v>13</v>
      </c>
      <c r="G2315"/>
      <c r="H2315"/>
      <c r="I2315" s="1" t="str">
        <f t="shared" si="109"/>
        <v/>
      </c>
      <c r="J2315" s="1" t="str">
        <f t="shared" si="108"/>
        <v/>
      </c>
      <c r="K2315" s="1" t="str">
        <f t="shared" si="110"/>
        <v/>
      </c>
    </row>
    <row r="2316" spans="4:11">
      <c r="D2316" s="97" t="s">
        <v>1219</v>
      </c>
      <c r="E2316" s="86"/>
      <c r="F2316" s="86"/>
      <c r="G2316">
        <v>1</v>
      </c>
      <c r="H2316">
        <v>6</v>
      </c>
      <c r="I2316" s="1">
        <f t="shared" si="109"/>
        <v>-5</v>
      </c>
      <c r="J2316" s="1">
        <f t="shared" si="108"/>
        <v>0</v>
      </c>
      <c r="K2316" s="1">
        <f t="shared" si="110"/>
        <v>25</v>
      </c>
    </row>
    <row r="2317" spans="4:11" ht="15.75" thickBot="1">
      <c r="D2317" s="98"/>
      <c r="E2317" s="87" t="s">
        <v>28</v>
      </c>
      <c r="F2317" s="87" t="s">
        <v>14</v>
      </c>
      <c r="G2317"/>
      <c r="H2317"/>
      <c r="I2317" s="1" t="str">
        <f t="shared" si="109"/>
        <v/>
      </c>
      <c r="J2317" s="1" t="str">
        <f t="shared" si="108"/>
        <v/>
      </c>
      <c r="K2317" s="1" t="str">
        <f t="shared" si="110"/>
        <v/>
      </c>
    </row>
    <row r="2318" spans="4:11">
      <c r="D2318" s="99" t="s">
        <v>1219</v>
      </c>
      <c r="E2318" s="88"/>
      <c r="F2318" s="88"/>
      <c r="G2318">
        <v>1</v>
      </c>
      <c r="H2318">
        <v>4</v>
      </c>
      <c r="I2318" s="1">
        <f t="shared" si="109"/>
        <v>-3</v>
      </c>
      <c r="J2318" s="1">
        <f t="shared" si="108"/>
        <v>0</v>
      </c>
      <c r="K2318" s="1">
        <f t="shared" si="110"/>
        <v>9</v>
      </c>
    </row>
    <row r="2319" spans="4:11" ht="15.75" thickBot="1">
      <c r="D2319" s="100"/>
      <c r="E2319" s="89" t="s">
        <v>4</v>
      </c>
      <c r="F2319" s="89" t="s">
        <v>17</v>
      </c>
      <c r="G2319"/>
      <c r="H2319"/>
      <c r="I2319" s="1" t="str">
        <f t="shared" si="109"/>
        <v/>
      </c>
      <c r="J2319" s="1" t="str">
        <f t="shared" si="108"/>
        <v/>
      </c>
      <c r="K2319" s="1" t="str">
        <f t="shared" si="110"/>
        <v/>
      </c>
    </row>
    <row r="2320" spans="4:11">
      <c r="D2320" s="97" t="s">
        <v>1219</v>
      </c>
      <c r="E2320" s="86"/>
      <c r="F2320" s="86"/>
      <c r="G2320">
        <v>3</v>
      </c>
      <c r="H2320">
        <v>2</v>
      </c>
      <c r="I2320" s="1">
        <f t="shared" si="109"/>
        <v>1</v>
      </c>
      <c r="J2320" s="1">
        <f t="shared" si="108"/>
        <v>0</v>
      </c>
      <c r="K2320" s="1">
        <f t="shared" si="110"/>
        <v>1</v>
      </c>
    </row>
    <row r="2321" spans="4:11" ht="15.75" thickBot="1">
      <c r="D2321" s="98"/>
      <c r="E2321" s="87" t="s">
        <v>16</v>
      </c>
      <c r="F2321" s="87" t="s">
        <v>23</v>
      </c>
      <c r="G2321"/>
      <c r="H2321"/>
      <c r="I2321" s="1" t="str">
        <f t="shared" si="109"/>
        <v/>
      </c>
      <c r="J2321" s="1" t="str">
        <f t="shared" si="108"/>
        <v/>
      </c>
      <c r="K2321" s="1" t="str">
        <f t="shared" si="110"/>
        <v/>
      </c>
    </row>
    <row r="2322" spans="4:11">
      <c r="D2322" s="99" t="s">
        <v>1219</v>
      </c>
      <c r="E2322" s="88"/>
      <c r="F2322" s="88"/>
      <c r="G2322">
        <v>1</v>
      </c>
      <c r="H2322">
        <v>3</v>
      </c>
      <c r="I2322" s="1">
        <f t="shared" si="109"/>
        <v>-2</v>
      </c>
      <c r="J2322" s="1">
        <f t="shared" si="108"/>
        <v>0</v>
      </c>
      <c r="K2322" s="1">
        <f t="shared" si="110"/>
        <v>4</v>
      </c>
    </row>
    <row r="2323" spans="4:11" ht="15.75" thickBot="1">
      <c r="D2323" s="100"/>
      <c r="E2323" s="89" t="s">
        <v>3</v>
      </c>
      <c r="F2323" s="89" t="s">
        <v>20</v>
      </c>
      <c r="G2323"/>
      <c r="H2323"/>
      <c r="I2323" s="1" t="str">
        <f t="shared" si="109"/>
        <v/>
      </c>
      <c r="J2323" s="1" t="str">
        <f t="shared" si="108"/>
        <v/>
      </c>
      <c r="K2323" s="1" t="str">
        <f t="shared" si="110"/>
        <v/>
      </c>
    </row>
    <row r="2324" spans="4:11">
      <c r="D2324" s="97" t="s">
        <v>1219</v>
      </c>
      <c r="E2324" s="86"/>
      <c r="F2324" s="86"/>
      <c r="G2324">
        <v>2</v>
      </c>
      <c r="H2324">
        <v>8</v>
      </c>
      <c r="I2324" s="1">
        <f t="shared" si="109"/>
        <v>-6</v>
      </c>
      <c r="J2324" s="1">
        <f t="shared" si="108"/>
        <v>0</v>
      </c>
      <c r="K2324" s="1">
        <f t="shared" si="110"/>
        <v>36</v>
      </c>
    </row>
    <row r="2325" spans="4:11" ht="15.75" thickBot="1">
      <c r="D2325" s="98"/>
      <c r="E2325" s="87" t="s">
        <v>24</v>
      </c>
      <c r="F2325" s="87" t="s">
        <v>6</v>
      </c>
      <c r="G2325"/>
      <c r="H2325"/>
      <c r="I2325" s="1" t="str">
        <f t="shared" si="109"/>
        <v/>
      </c>
      <c r="J2325" s="1" t="str">
        <f t="shared" si="108"/>
        <v/>
      </c>
      <c r="K2325" s="1" t="str">
        <f t="shared" si="110"/>
        <v/>
      </c>
    </row>
    <row r="2326" spans="4:11">
      <c r="D2326" s="99" t="s">
        <v>1221</v>
      </c>
      <c r="E2326" s="88"/>
      <c r="F2326" s="88"/>
      <c r="G2326">
        <v>4</v>
      </c>
      <c r="H2326">
        <v>3</v>
      </c>
      <c r="I2326" s="1">
        <f t="shared" si="109"/>
        <v>1</v>
      </c>
      <c r="J2326" s="1">
        <f t="shared" si="108"/>
        <v>2550</v>
      </c>
      <c r="K2326" s="1">
        <f t="shared" si="110"/>
        <v>6497401</v>
      </c>
    </row>
    <row r="2327" spans="4:11" ht="15.75" thickBot="1">
      <c r="D2327" s="100"/>
      <c r="E2327" s="89" t="s">
        <v>20</v>
      </c>
      <c r="F2327" s="89" t="s">
        <v>8</v>
      </c>
      <c r="G2327"/>
      <c r="H2327"/>
      <c r="I2327" s="1" t="str">
        <f t="shared" si="109"/>
        <v/>
      </c>
      <c r="J2327" s="1" t="str">
        <f t="shared" si="108"/>
        <v/>
      </c>
      <c r="K2327" s="1" t="str">
        <f t="shared" si="110"/>
        <v/>
      </c>
    </row>
    <row r="2328" spans="4:11">
      <c r="D2328" s="97" t="s">
        <v>1221</v>
      </c>
      <c r="E2328" s="86"/>
      <c r="F2328" s="86"/>
      <c r="G2328">
        <v>2</v>
      </c>
      <c r="H2328">
        <v>3</v>
      </c>
      <c r="I2328" s="1">
        <f t="shared" si="109"/>
        <v>-1</v>
      </c>
      <c r="J2328" s="1">
        <f t="shared" si="108"/>
        <v>0</v>
      </c>
      <c r="K2328" s="1">
        <f t="shared" si="110"/>
        <v>1</v>
      </c>
    </row>
    <row r="2329" spans="4:11" ht="15.75" thickBot="1">
      <c r="D2329" s="98"/>
      <c r="E2329" s="87" t="s">
        <v>1220</v>
      </c>
      <c r="F2329" s="87" t="s">
        <v>9</v>
      </c>
      <c r="G2329"/>
      <c r="H2329"/>
      <c r="I2329" s="1" t="str">
        <f t="shared" si="109"/>
        <v/>
      </c>
      <c r="J2329" s="1" t="str">
        <f t="shared" si="108"/>
        <v/>
      </c>
      <c r="K2329" s="1" t="str">
        <f t="shared" si="110"/>
        <v/>
      </c>
    </row>
    <row r="2330" spans="4:11">
      <c r="D2330" s="99" t="s">
        <v>1221</v>
      </c>
      <c r="E2330" s="88"/>
      <c r="F2330" s="88"/>
      <c r="G2330">
        <v>7</v>
      </c>
      <c r="H2330">
        <v>5</v>
      </c>
      <c r="I2330" s="1">
        <f t="shared" si="109"/>
        <v>2</v>
      </c>
      <c r="J2330" s="1">
        <f t="shared" si="108"/>
        <v>0</v>
      </c>
      <c r="K2330" s="1">
        <f t="shared" si="110"/>
        <v>4</v>
      </c>
    </row>
    <row r="2331" spans="4:11" ht="15.75" thickBot="1">
      <c r="D2331" s="100"/>
      <c r="E2331" s="89" t="s">
        <v>17</v>
      </c>
      <c r="F2331" s="89" t="s">
        <v>21</v>
      </c>
      <c r="G2331"/>
      <c r="H2331"/>
      <c r="I2331" s="1" t="str">
        <f t="shared" si="109"/>
        <v/>
      </c>
      <c r="J2331" s="1" t="str">
        <f t="shared" si="108"/>
        <v/>
      </c>
      <c r="K2331" s="1" t="str">
        <f t="shared" si="110"/>
        <v/>
      </c>
    </row>
    <row r="2332" spans="4:11">
      <c r="D2332" s="97" t="s">
        <v>1221</v>
      </c>
      <c r="E2332" s="86"/>
      <c r="F2332" s="86"/>
      <c r="G2332">
        <v>4</v>
      </c>
      <c r="H2332">
        <v>2</v>
      </c>
      <c r="I2332" s="1">
        <f t="shared" si="109"/>
        <v>2</v>
      </c>
      <c r="J2332" s="1">
        <f t="shared" si="108"/>
        <v>0</v>
      </c>
      <c r="K2332" s="1">
        <f t="shared" si="110"/>
        <v>4</v>
      </c>
    </row>
    <row r="2333" spans="4:11" ht="15.75" thickBot="1">
      <c r="D2333" s="98"/>
      <c r="E2333" s="87" t="s">
        <v>22</v>
      </c>
      <c r="F2333" s="87" t="s">
        <v>10</v>
      </c>
      <c r="G2333"/>
      <c r="H2333"/>
      <c r="I2333" s="1" t="str">
        <f t="shared" si="109"/>
        <v/>
      </c>
      <c r="J2333" s="1" t="str">
        <f t="shared" si="108"/>
        <v/>
      </c>
      <c r="K2333" s="1" t="str">
        <f t="shared" si="110"/>
        <v/>
      </c>
    </row>
    <row r="2334" spans="4:11">
      <c r="D2334" s="99" t="s">
        <v>1221</v>
      </c>
      <c r="E2334" s="88"/>
      <c r="F2334" s="88"/>
      <c r="G2334">
        <v>1</v>
      </c>
      <c r="H2334">
        <v>3</v>
      </c>
      <c r="I2334" s="1">
        <f t="shared" si="109"/>
        <v>-2</v>
      </c>
      <c r="J2334" s="1">
        <f t="shared" si="108"/>
        <v>0</v>
      </c>
      <c r="K2334" s="1">
        <f t="shared" si="110"/>
        <v>4</v>
      </c>
    </row>
    <row r="2335" spans="4:11" ht="15.75" thickBot="1">
      <c r="D2335" s="100"/>
      <c r="E2335" s="89" t="s">
        <v>26</v>
      </c>
      <c r="F2335" s="89" t="s">
        <v>5</v>
      </c>
      <c r="G2335"/>
      <c r="H2335"/>
      <c r="I2335" s="1" t="str">
        <f t="shared" si="109"/>
        <v/>
      </c>
      <c r="J2335" s="1" t="str">
        <f t="shared" si="108"/>
        <v/>
      </c>
      <c r="K2335" s="1" t="str">
        <f t="shared" si="110"/>
        <v/>
      </c>
    </row>
    <row r="2336" spans="4:11">
      <c r="D2336" s="97" t="s">
        <v>1222</v>
      </c>
      <c r="E2336" s="86"/>
      <c r="F2336" s="86"/>
      <c r="G2336">
        <v>2</v>
      </c>
      <c r="H2336">
        <v>3</v>
      </c>
      <c r="I2336" s="1">
        <f t="shared" si="109"/>
        <v>-1</v>
      </c>
      <c r="J2336" s="1">
        <f t="shared" si="108"/>
        <v>0</v>
      </c>
      <c r="K2336" s="1">
        <f t="shared" si="110"/>
        <v>1</v>
      </c>
    </row>
    <row r="2337" spans="4:11" ht="15.75" thickBot="1">
      <c r="D2337" s="98"/>
      <c r="E2337" s="87" t="s">
        <v>1</v>
      </c>
      <c r="F2337" s="87" t="s">
        <v>28</v>
      </c>
      <c r="G2337"/>
      <c r="H2337"/>
      <c r="I2337" s="1" t="str">
        <f t="shared" si="109"/>
        <v/>
      </c>
      <c r="J2337" s="1" t="str">
        <f t="shared" si="108"/>
        <v/>
      </c>
      <c r="K2337" s="1" t="str">
        <f t="shared" si="110"/>
        <v/>
      </c>
    </row>
    <row r="2338" spans="4:11">
      <c r="D2338" s="99" t="s">
        <v>1222</v>
      </c>
      <c r="E2338" s="88"/>
      <c r="F2338" s="88"/>
      <c r="G2338">
        <v>3</v>
      </c>
      <c r="H2338">
        <v>5</v>
      </c>
      <c r="I2338" s="1">
        <f t="shared" si="109"/>
        <v>-2</v>
      </c>
      <c r="J2338" s="1">
        <f t="shared" si="108"/>
        <v>0</v>
      </c>
      <c r="K2338" s="1">
        <f t="shared" si="110"/>
        <v>4</v>
      </c>
    </row>
    <row r="2339" spans="4:11" ht="15.75" thickBot="1">
      <c r="D2339" s="100"/>
      <c r="E2339" s="89" t="s">
        <v>11</v>
      </c>
      <c r="F2339" s="89" t="s">
        <v>7</v>
      </c>
      <c r="G2339"/>
      <c r="H2339"/>
      <c r="I2339" s="1" t="str">
        <f t="shared" si="109"/>
        <v/>
      </c>
      <c r="J2339" s="1" t="str">
        <f t="shared" si="108"/>
        <v/>
      </c>
      <c r="K2339" s="1" t="str">
        <f t="shared" si="110"/>
        <v/>
      </c>
    </row>
    <row r="2340" spans="4:11">
      <c r="D2340" s="97" t="s">
        <v>1222</v>
      </c>
      <c r="E2340" s="86"/>
      <c r="F2340" s="86"/>
      <c r="G2340">
        <v>4</v>
      </c>
      <c r="H2340">
        <v>5</v>
      </c>
      <c r="I2340" s="1">
        <f t="shared" si="109"/>
        <v>-1</v>
      </c>
      <c r="J2340" s="1">
        <f t="shared" si="108"/>
        <v>0</v>
      </c>
      <c r="K2340" s="1">
        <f t="shared" si="110"/>
        <v>1</v>
      </c>
    </row>
    <row r="2341" spans="4:11" ht="15.75" thickBot="1">
      <c r="D2341" s="98"/>
      <c r="E2341" s="87" t="s">
        <v>3</v>
      </c>
      <c r="F2341" s="87" t="s">
        <v>25</v>
      </c>
      <c r="G2341"/>
      <c r="H2341"/>
      <c r="I2341" s="1" t="str">
        <f t="shared" si="109"/>
        <v/>
      </c>
      <c r="J2341" s="1" t="str">
        <f t="shared" si="108"/>
        <v/>
      </c>
      <c r="K2341" s="1" t="str">
        <f t="shared" si="110"/>
        <v/>
      </c>
    </row>
    <row r="2342" spans="4:11">
      <c r="D2342" s="99" t="s">
        <v>1222</v>
      </c>
      <c r="E2342" s="88"/>
      <c r="F2342" s="88"/>
      <c r="G2342">
        <v>1</v>
      </c>
      <c r="H2342">
        <v>2</v>
      </c>
      <c r="I2342" s="1">
        <f t="shared" si="109"/>
        <v>-1</v>
      </c>
      <c r="J2342" s="1">
        <f t="shared" si="108"/>
        <v>0</v>
      </c>
      <c r="K2342" s="1">
        <f t="shared" si="110"/>
        <v>1</v>
      </c>
    </row>
    <row r="2343" spans="4:11" ht="15.75" thickBot="1">
      <c r="D2343" s="100"/>
      <c r="E2343" s="89" t="s">
        <v>0</v>
      </c>
      <c r="F2343" s="89" t="s">
        <v>2</v>
      </c>
      <c r="G2343"/>
      <c r="H2343"/>
      <c r="I2343" s="1" t="str">
        <f t="shared" si="109"/>
        <v/>
      </c>
      <c r="J2343" s="1" t="str">
        <f t="shared" si="108"/>
        <v/>
      </c>
      <c r="K2343" s="1" t="str">
        <f t="shared" si="110"/>
        <v/>
      </c>
    </row>
    <row r="2344" spans="4:11">
      <c r="D2344" s="97" t="s">
        <v>1222</v>
      </c>
      <c r="E2344" s="86"/>
      <c r="F2344" s="86"/>
      <c r="G2344">
        <v>3</v>
      </c>
      <c r="H2344">
        <v>4</v>
      </c>
      <c r="I2344" s="1">
        <f t="shared" si="109"/>
        <v>-1</v>
      </c>
      <c r="J2344" s="1">
        <f t="shared" si="108"/>
        <v>0</v>
      </c>
      <c r="K2344" s="1">
        <f t="shared" si="110"/>
        <v>1</v>
      </c>
    </row>
    <row r="2345" spans="4:11" ht="15.75" thickBot="1">
      <c r="D2345" s="98"/>
      <c r="E2345" s="87" t="s">
        <v>12</v>
      </c>
      <c r="F2345" s="87" t="s">
        <v>18</v>
      </c>
      <c r="G2345"/>
      <c r="H2345"/>
      <c r="I2345" s="1" t="str">
        <f t="shared" si="109"/>
        <v/>
      </c>
      <c r="J2345" s="1" t="str">
        <f t="shared" si="108"/>
        <v/>
      </c>
      <c r="K2345" s="1" t="str">
        <f t="shared" si="110"/>
        <v/>
      </c>
    </row>
    <row r="2346" spans="4:11">
      <c r="D2346" s="99" t="s">
        <v>1222</v>
      </c>
      <c r="E2346" s="88"/>
      <c r="F2346" s="88"/>
      <c r="G2346">
        <v>4</v>
      </c>
      <c r="H2346">
        <v>0</v>
      </c>
      <c r="I2346" s="1">
        <f t="shared" si="109"/>
        <v>4</v>
      </c>
      <c r="J2346" s="1">
        <f t="shared" si="108"/>
        <v>0</v>
      </c>
      <c r="K2346" s="1">
        <f t="shared" si="110"/>
        <v>16</v>
      </c>
    </row>
    <row r="2347" spans="4:11" ht="15.75" thickBot="1">
      <c r="D2347" s="100"/>
      <c r="E2347" s="89" t="s">
        <v>15</v>
      </c>
      <c r="F2347" s="89" t="s">
        <v>14</v>
      </c>
      <c r="G2347"/>
      <c r="H2347"/>
      <c r="I2347" s="1" t="str">
        <f t="shared" si="109"/>
        <v/>
      </c>
      <c r="J2347" s="1" t="str">
        <f t="shared" si="108"/>
        <v/>
      </c>
      <c r="K2347" s="1" t="str">
        <f t="shared" si="110"/>
        <v/>
      </c>
    </row>
    <row r="2348" spans="4:11">
      <c r="D2348" s="97" t="s">
        <v>1222</v>
      </c>
      <c r="E2348" s="86"/>
      <c r="F2348" s="86"/>
      <c r="G2348">
        <v>0</v>
      </c>
      <c r="H2348">
        <v>3</v>
      </c>
      <c r="I2348" s="1">
        <f t="shared" si="109"/>
        <v>-3</v>
      </c>
      <c r="J2348" s="1">
        <f t="shared" si="108"/>
        <v>-2550</v>
      </c>
      <c r="K2348" s="1">
        <f t="shared" si="110"/>
        <v>6487209</v>
      </c>
    </row>
    <row r="2349" spans="4:11" ht="30.75" thickBot="1">
      <c r="D2349" s="98"/>
      <c r="E2349" s="87" t="s">
        <v>8</v>
      </c>
      <c r="F2349" s="87" t="s">
        <v>27</v>
      </c>
      <c r="G2349"/>
      <c r="H2349"/>
      <c r="I2349" s="1" t="str">
        <f t="shared" si="109"/>
        <v/>
      </c>
      <c r="J2349" s="1" t="str">
        <f t="shared" si="108"/>
        <v/>
      </c>
      <c r="K2349" s="1" t="str">
        <f t="shared" si="110"/>
        <v/>
      </c>
    </row>
    <row r="2350" spans="4:11">
      <c r="D2350" s="99" t="s">
        <v>1222</v>
      </c>
      <c r="E2350" s="88"/>
      <c r="F2350" s="88"/>
      <c r="G2350">
        <v>1</v>
      </c>
      <c r="H2350">
        <v>6</v>
      </c>
      <c r="I2350" s="1">
        <f t="shared" si="109"/>
        <v>-5</v>
      </c>
      <c r="J2350" s="1">
        <f t="shared" si="108"/>
        <v>0</v>
      </c>
      <c r="K2350" s="1">
        <f t="shared" si="110"/>
        <v>25</v>
      </c>
    </row>
    <row r="2351" spans="4:11" ht="15.75" thickBot="1">
      <c r="D2351" s="100"/>
      <c r="E2351" s="89" t="s">
        <v>9</v>
      </c>
      <c r="F2351" s="89" t="s">
        <v>16</v>
      </c>
      <c r="G2351"/>
      <c r="H2351"/>
      <c r="I2351" s="1" t="str">
        <f t="shared" si="109"/>
        <v/>
      </c>
      <c r="J2351" s="1" t="str">
        <f t="shared" si="108"/>
        <v/>
      </c>
      <c r="K2351" s="1" t="str">
        <f t="shared" si="110"/>
        <v/>
      </c>
    </row>
    <row r="2352" spans="4:11">
      <c r="D2352" s="97" t="s">
        <v>1222</v>
      </c>
      <c r="E2352" s="86"/>
      <c r="F2352" s="86"/>
      <c r="G2352">
        <v>3</v>
      </c>
      <c r="H2352">
        <v>2</v>
      </c>
      <c r="I2352" s="1">
        <f t="shared" si="109"/>
        <v>1</v>
      </c>
      <c r="J2352" s="1">
        <f t="shared" si="108"/>
        <v>0</v>
      </c>
      <c r="K2352" s="1">
        <f t="shared" si="110"/>
        <v>1</v>
      </c>
    </row>
    <row r="2353" spans="4:11" ht="15.75" thickBot="1">
      <c r="D2353" s="98"/>
      <c r="E2353" s="87" t="s">
        <v>13</v>
      </c>
      <c r="F2353" s="87" t="s">
        <v>23</v>
      </c>
      <c r="G2353"/>
      <c r="H2353"/>
      <c r="I2353" s="1" t="str">
        <f t="shared" si="109"/>
        <v/>
      </c>
      <c r="J2353" s="1" t="str">
        <f t="shared" si="108"/>
        <v/>
      </c>
      <c r="K2353" s="1" t="str">
        <f t="shared" si="110"/>
        <v/>
      </c>
    </row>
    <row r="2354" spans="4:11">
      <c r="D2354" s="99" t="s">
        <v>1222</v>
      </c>
      <c r="E2354" s="88"/>
      <c r="F2354" s="88"/>
      <c r="G2354">
        <v>4</v>
      </c>
      <c r="H2354">
        <v>3</v>
      </c>
      <c r="I2354" s="1">
        <f t="shared" si="109"/>
        <v>1</v>
      </c>
      <c r="J2354" s="1">
        <f t="shared" si="108"/>
        <v>0</v>
      </c>
      <c r="K2354" s="1">
        <f t="shared" si="110"/>
        <v>1</v>
      </c>
    </row>
    <row r="2355" spans="4:11" ht="15.75" thickBot="1">
      <c r="D2355" s="100"/>
      <c r="E2355" s="89" t="s">
        <v>21</v>
      </c>
      <c r="F2355" s="89" t="s">
        <v>19</v>
      </c>
      <c r="G2355"/>
      <c r="H2355"/>
      <c r="I2355" s="1" t="str">
        <f t="shared" si="109"/>
        <v/>
      </c>
      <c r="J2355" s="1" t="str">
        <f t="shared" si="108"/>
        <v/>
      </c>
      <c r="K2355" s="1" t="str">
        <f t="shared" si="110"/>
        <v/>
      </c>
    </row>
    <row r="2356" spans="4:11">
      <c r="D2356" s="97" t="s">
        <v>1222</v>
      </c>
      <c r="E2356" s="86"/>
      <c r="F2356" s="86"/>
      <c r="G2356">
        <v>3</v>
      </c>
      <c r="H2356">
        <v>5</v>
      </c>
      <c r="I2356" s="1">
        <f t="shared" si="109"/>
        <v>-2</v>
      </c>
      <c r="J2356" s="1">
        <f t="shared" si="108"/>
        <v>0</v>
      </c>
      <c r="K2356" s="1">
        <f t="shared" si="110"/>
        <v>4</v>
      </c>
    </row>
    <row r="2357" spans="4:11" ht="15.75" thickBot="1">
      <c r="D2357" s="98"/>
      <c r="E2357" s="87" t="s">
        <v>5</v>
      </c>
      <c r="F2357" s="87" t="s">
        <v>26</v>
      </c>
      <c r="G2357"/>
      <c r="H2357"/>
      <c r="I2357" s="1" t="str">
        <f t="shared" si="109"/>
        <v/>
      </c>
      <c r="J2357" s="1" t="str">
        <f t="shared" si="108"/>
        <v/>
      </c>
      <c r="K2357" s="1" t="str">
        <f t="shared" si="110"/>
        <v/>
      </c>
    </row>
    <row r="2358" spans="4:11">
      <c r="D2358" s="99" t="s">
        <v>1222</v>
      </c>
      <c r="E2358" s="88"/>
      <c r="F2358" s="88"/>
      <c r="G2358">
        <v>4</v>
      </c>
      <c r="H2358">
        <v>0</v>
      </c>
      <c r="I2358" s="1">
        <f t="shared" si="109"/>
        <v>4</v>
      </c>
      <c r="J2358" s="1">
        <f t="shared" si="108"/>
        <v>0</v>
      </c>
      <c r="K2358" s="1">
        <f t="shared" si="110"/>
        <v>16</v>
      </c>
    </row>
    <row r="2359" spans="4:11" ht="15.75" thickBot="1">
      <c r="D2359" s="100"/>
      <c r="E2359" s="89" t="s">
        <v>4</v>
      </c>
      <c r="F2359" s="89" t="s">
        <v>24</v>
      </c>
      <c r="G2359"/>
      <c r="H2359"/>
      <c r="I2359" s="1" t="str">
        <f t="shared" si="109"/>
        <v/>
      </c>
      <c r="J2359" s="1" t="str">
        <f t="shared" si="108"/>
        <v/>
      </c>
      <c r="K2359" s="1" t="str">
        <f t="shared" si="110"/>
        <v/>
      </c>
    </row>
    <row r="2360" spans="4:11">
      <c r="D2360" s="97" t="s">
        <v>1222</v>
      </c>
      <c r="E2360" s="86"/>
      <c r="F2360" s="86"/>
      <c r="G2360">
        <v>1</v>
      </c>
      <c r="H2360">
        <v>3</v>
      </c>
      <c r="I2360" s="1">
        <f t="shared" si="109"/>
        <v>-2</v>
      </c>
      <c r="J2360" s="1">
        <f t="shared" si="108"/>
        <v>0</v>
      </c>
      <c r="K2360" s="1">
        <f t="shared" si="110"/>
        <v>4</v>
      </c>
    </row>
    <row r="2361" spans="4:11" ht="15.75" thickBot="1">
      <c r="D2361" s="98"/>
      <c r="E2361" s="87" t="s">
        <v>22</v>
      </c>
      <c r="F2361" s="87" t="s">
        <v>6</v>
      </c>
      <c r="G2361"/>
      <c r="H2361"/>
      <c r="I2361" s="1" t="str">
        <f t="shared" si="109"/>
        <v/>
      </c>
      <c r="J2361" s="1" t="str">
        <f t="shared" si="108"/>
        <v/>
      </c>
      <c r="K2361" s="1" t="str">
        <f t="shared" si="110"/>
        <v/>
      </c>
    </row>
    <row r="2362" spans="4:11">
      <c r="D2362" s="99" t="s">
        <v>1223</v>
      </c>
      <c r="E2362" s="88"/>
      <c r="F2362" s="88"/>
      <c r="G2362">
        <v>1</v>
      </c>
      <c r="H2362">
        <v>4</v>
      </c>
      <c r="I2362" s="1">
        <f t="shared" si="109"/>
        <v>-3</v>
      </c>
      <c r="J2362" s="1">
        <f t="shared" si="108"/>
        <v>0</v>
      </c>
      <c r="K2362" s="1">
        <f t="shared" si="110"/>
        <v>9</v>
      </c>
    </row>
    <row r="2363" spans="4:11" ht="30.75" thickBot="1">
      <c r="D2363" s="100"/>
      <c r="E2363" s="89" t="s">
        <v>11</v>
      </c>
      <c r="F2363" s="89" t="s">
        <v>1</v>
      </c>
      <c r="G2363"/>
      <c r="H2363"/>
      <c r="I2363" s="1" t="str">
        <f t="shared" si="109"/>
        <v/>
      </c>
      <c r="J2363" s="1" t="str">
        <f t="shared" si="108"/>
        <v/>
      </c>
      <c r="K2363" s="1" t="str">
        <f t="shared" si="110"/>
        <v/>
      </c>
    </row>
    <row r="2364" spans="4:11">
      <c r="D2364" s="97" t="s">
        <v>1223</v>
      </c>
      <c r="E2364" s="86"/>
      <c r="F2364" s="86"/>
      <c r="G2364">
        <v>2</v>
      </c>
      <c r="H2364">
        <v>1</v>
      </c>
      <c r="I2364" s="1">
        <f t="shared" si="109"/>
        <v>1</v>
      </c>
      <c r="J2364" s="1">
        <f t="shared" si="108"/>
        <v>0</v>
      </c>
      <c r="K2364" s="1">
        <f t="shared" si="110"/>
        <v>1</v>
      </c>
    </row>
    <row r="2365" spans="4:11" ht="15.75" thickBot="1">
      <c r="D2365" s="98"/>
      <c r="E2365" s="87" t="s">
        <v>12</v>
      </c>
      <c r="F2365" s="87" t="s">
        <v>13</v>
      </c>
      <c r="G2365"/>
      <c r="H2365"/>
      <c r="I2365" s="1" t="str">
        <f t="shared" si="109"/>
        <v/>
      </c>
      <c r="J2365" s="1" t="str">
        <f t="shared" si="108"/>
        <v/>
      </c>
      <c r="K2365" s="1" t="str">
        <f t="shared" si="110"/>
        <v/>
      </c>
    </row>
    <row r="2366" spans="4:11">
      <c r="D2366" s="99" t="s">
        <v>1223</v>
      </c>
      <c r="E2366" s="88"/>
      <c r="F2366" s="88"/>
      <c r="G2366">
        <v>4</v>
      </c>
      <c r="H2366">
        <v>1</v>
      </c>
      <c r="I2366" s="1">
        <f t="shared" si="109"/>
        <v>3</v>
      </c>
      <c r="J2366" s="1">
        <f t="shared" si="108"/>
        <v>0</v>
      </c>
      <c r="K2366" s="1">
        <f t="shared" si="110"/>
        <v>9</v>
      </c>
    </row>
    <row r="2367" spans="4:11" ht="15.75" thickBot="1">
      <c r="D2367" s="100"/>
      <c r="E2367" s="89" t="s">
        <v>1220</v>
      </c>
      <c r="F2367" s="89" t="s">
        <v>14</v>
      </c>
      <c r="G2367"/>
      <c r="H2367"/>
      <c r="I2367" s="1" t="str">
        <f t="shared" si="109"/>
        <v/>
      </c>
      <c r="J2367" s="1" t="str">
        <f t="shared" si="108"/>
        <v/>
      </c>
      <c r="K2367" s="1" t="str">
        <f t="shared" si="110"/>
        <v/>
      </c>
    </row>
    <row r="2368" spans="4:11">
      <c r="D2368" s="97" t="s">
        <v>1223</v>
      </c>
      <c r="E2368" s="86"/>
      <c r="F2368" s="86"/>
      <c r="G2368">
        <v>2</v>
      </c>
      <c r="H2368">
        <v>3</v>
      </c>
      <c r="I2368" s="1">
        <f t="shared" si="109"/>
        <v>-1</v>
      </c>
      <c r="J2368" s="1">
        <f t="shared" si="108"/>
        <v>0</v>
      </c>
      <c r="K2368" s="1">
        <f t="shared" si="110"/>
        <v>1</v>
      </c>
    </row>
    <row r="2369" spans="4:11" ht="15.75" thickBot="1">
      <c r="D2369" s="98"/>
      <c r="E2369" s="87" t="s">
        <v>18</v>
      </c>
      <c r="F2369" s="87" t="s">
        <v>0</v>
      </c>
      <c r="G2369"/>
      <c r="H2369"/>
      <c r="I2369" s="1" t="str">
        <f t="shared" si="109"/>
        <v/>
      </c>
      <c r="J2369" s="1" t="str">
        <f t="shared" ref="J2369:J2432" si="111">IF(F2370="","",VLOOKUP(F2370,$A$2:$B$31,2)+$B$33-VLOOKUP(E2370,$A$2:$B$31,2))</f>
        <v/>
      </c>
      <c r="K2369" s="1" t="str">
        <f t="shared" si="110"/>
        <v/>
      </c>
    </row>
    <row r="2370" spans="4:11">
      <c r="D2370" s="99" t="s">
        <v>1223</v>
      </c>
      <c r="E2370" s="88"/>
      <c r="F2370" s="88"/>
      <c r="G2370">
        <v>2</v>
      </c>
      <c r="H2370">
        <v>1</v>
      </c>
      <c r="I2370" s="1">
        <f t="shared" ref="I2370:I2433" si="112">IF(G2370="","",G2370-H2370)</f>
        <v>1</v>
      </c>
      <c r="J2370" s="1">
        <f t="shared" si="111"/>
        <v>0</v>
      </c>
      <c r="K2370" s="1">
        <f t="shared" si="110"/>
        <v>1</v>
      </c>
    </row>
    <row r="2371" spans="4:11" ht="15.75" thickBot="1">
      <c r="D2371" s="100"/>
      <c r="E2371" s="89" t="s">
        <v>17</v>
      </c>
      <c r="F2371" s="89" t="s">
        <v>20</v>
      </c>
      <c r="G2371"/>
      <c r="H2371"/>
      <c r="I2371" s="1" t="str">
        <f t="shared" si="112"/>
        <v/>
      </c>
      <c r="J2371" s="1" t="str">
        <f t="shared" si="111"/>
        <v/>
      </c>
      <c r="K2371" s="1" t="str">
        <f t="shared" ref="K2371:K2434" si="113">IF(G2371="","",(I2371-J2371)^2)</f>
        <v/>
      </c>
    </row>
    <row r="2372" spans="4:11">
      <c r="D2372" s="97" t="s">
        <v>1224</v>
      </c>
      <c r="E2372" s="86"/>
      <c r="F2372" s="86"/>
      <c r="G2372">
        <v>3</v>
      </c>
      <c r="H2372">
        <v>4</v>
      </c>
      <c r="I2372" s="1">
        <f t="shared" si="112"/>
        <v>-1</v>
      </c>
      <c r="J2372" s="1">
        <f t="shared" si="111"/>
        <v>2550</v>
      </c>
      <c r="K2372" s="1">
        <f t="shared" si="113"/>
        <v>6507601</v>
      </c>
    </row>
    <row r="2373" spans="4:11" ht="15.75" thickBot="1">
      <c r="D2373" s="98"/>
      <c r="E2373" s="87" t="s">
        <v>28</v>
      </c>
      <c r="F2373" s="87" t="s">
        <v>8</v>
      </c>
      <c r="G2373"/>
      <c r="H2373"/>
      <c r="I2373" s="1" t="str">
        <f t="shared" si="112"/>
        <v/>
      </c>
      <c r="J2373" s="1" t="str">
        <f t="shared" si="111"/>
        <v/>
      </c>
      <c r="K2373" s="1" t="str">
        <f t="shared" si="113"/>
        <v/>
      </c>
    </row>
    <row r="2374" spans="4:11">
      <c r="D2374" s="99" t="s">
        <v>1224</v>
      </c>
      <c r="E2374" s="88"/>
      <c r="F2374" s="88"/>
      <c r="G2374">
        <v>3</v>
      </c>
      <c r="H2374">
        <v>4</v>
      </c>
      <c r="I2374" s="1">
        <f t="shared" si="112"/>
        <v>-1</v>
      </c>
      <c r="J2374" s="1">
        <f t="shared" si="111"/>
        <v>0</v>
      </c>
      <c r="K2374" s="1">
        <f t="shared" si="113"/>
        <v>1</v>
      </c>
    </row>
    <row r="2375" spans="4:11" ht="15.75" thickBot="1">
      <c r="D2375" s="100"/>
      <c r="E2375" s="89" t="s">
        <v>7</v>
      </c>
      <c r="F2375" s="89" t="s">
        <v>16</v>
      </c>
      <c r="G2375"/>
      <c r="H2375"/>
      <c r="I2375" s="1" t="str">
        <f t="shared" si="112"/>
        <v/>
      </c>
      <c r="J2375" s="1" t="str">
        <f t="shared" si="111"/>
        <v/>
      </c>
      <c r="K2375" s="1" t="str">
        <f t="shared" si="113"/>
        <v/>
      </c>
    </row>
    <row r="2376" spans="4:11">
      <c r="D2376" s="97" t="s">
        <v>1224</v>
      </c>
      <c r="E2376" s="86"/>
      <c r="F2376" s="86"/>
      <c r="G2376">
        <v>2</v>
      </c>
      <c r="H2376">
        <v>0</v>
      </c>
      <c r="I2376" s="1">
        <f t="shared" si="112"/>
        <v>2</v>
      </c>
      <c r="J2376" s="1">
        <f t="shared" si="111"/>
        <v>0</v>
      </c>
      <c r="K2376" s="1">
        <f t="shared" si="113"/>
        <v>4</v>
      </c>
    </row>
    <row r="2377" spans="4:11" ht="15.75" thickBot="1">
      <c r="D2377" s="98"/>
      <c r="E2377" s="87" t="s">
        <v>25</v>
      </c>
      <c r="F2377" s="87" t="s">
        <v>23</v>
      </c>
      <c r="G2377"/>
      <c r="H2377"/>
      <c r="I2377" s="1" t="str">
        <f t="shared" si="112"/>
        <v/>
      </c>
      <c r="J2377" s="1" t="str">
        <f t="shared" si="111"/>
        <v/>
      </c>
      <c r="K2377" s="1" t="str">
        <f t="shared" si="113"/>
        <v/>
      </c>
    </row>
    <row r="2378" spans="4:11">
      <c r="D2378" s="99" t="s">
        <v>1224</v>
      </c>
      <c r="E2378" s="88"/>
      <c r="F2378" s="88"/>
      <c r="G2378">
        <v>1</v>
      </c>
      <c r="H2378">
        <v>2</v>
      </c>
      <c r="I2378" s="1">
        <f t="shared" si="112"/>
        <v>-1</v>
      </c>
      <c r="J2378" s="1">
        <f t="shared" si="111"/>
        <v>0</v>
      </c>
      <c r="K2378" s="1">
        <f t="shared" si="113"/>
        <v>1</v>
      </c>
    </row>
    <row r="2379" spans="4:11" ht="15.75" thickBot="1">
      <c r="D2379" s="100"/>
      <c r="E2379" s="89" t="s">
        <v>6</v>
      </c>
      <c r="F2379" s="89" t="s">
        <v>3</v>
      </c>
      <c r="G2379"/>
      <c r="H2379"/>
      <c r="I2379" s="1" t="str">
        <f t="shared" si="112"/>
        <v/>
      </c>
      <c r="J2379" s="1" t="str">
        <f t="shared" si="111"/>
        <v/>
      </c>
      <c r="K2379" s="1" t="str">
        <f t="shared" si="113"/>
        <v/>
      </c>
    </row>
    <row r="2380" spans="4:11">
      <c r="D2380" s="97" t="s">
        <v>1224</v>
      </c>
      <c r="E2380" s="86"/>
      <c r="F2380" s="86"/>
      <c r="G2380">
        <v>5</v>
      </c>
      <c r="H2380">
        <v>1</v>
      </c>
      <c r="I2380" s="1">
        <f t="shared" si="112"/>
        <v>4</v>
      </c>
      <c r="J2380" s="1">
        <f t="shared" si="111"/>
        <v>0</v>
      </c>
      <c r="K2380" s="1">
        <f t="shared" si="113"/>
        <v>16</v>
      </c>
    </row>
    <row r="2381" spans="4:11" ht="15.75" thickBot="1">
      <c r="D2381" s="98"/>
      <c r="E2381" s="87" t="s">
        <v>21</v>
      </c>
      <c r="F2381" s="87" t="s">
        <v>5</v>
      </c>
      <c r="G2381"/>
      <c r="H2381"/>
      <c r="I2381" s="1" t="str">
        <f t="shared" si="112"/>
        <v/>
      </c>
      <c r="J2381" s="1" t="str">
        <f t="shared" si="111"/>
        <v/>
      </c>
      <c r="K2381" s="1" t="str">
        <f t="shared" si="113"/>
        <v/>
      </c>
    </row>
    <row r="2382" spans="4:11">
      <c r="D2382" s="99" t="s">
        <v>1225</v>
      </c>
      <c r="E2382" s="88"/>
      <c r="F2382" s="88"/>
      <c r="G2382">
        <v>4</v>
      </c>
      <c r="H2382">
        <v>2</v>
      </c>
      <c r="I2382" s="1">
        <f t="shared" si="112"/>
        <v>2</v>
      </c>
      <c r="J2382" s="1">
        <f t="shared" si="111"/>
        <v>0</v>
      </c>
      <c r="K2382" s="1">
        <f t="shared" si="113"/>
        <v>4</v>
      </c>
    </row>
    <row r="2383" spans="4:11" ht="15.75" thickBot="1">
      <c r="D2383" s="100"/>
      <c r="E2383" s="89" t="s">
        <v>16</v>
      </c>
      <c r="F2383" s="89" t="s">
        <v>9</v>
      </c>
      <c r="G2383"/>
      <c r="H2383"/>
      <c r="I2383" s="1" t="str">
        <f t="shared" si="112"/>
        <v/>
      </c>
      <c r="J2383" s="1" t="str">
        <f t="shared" si="111"/>
        <v/>
      </c>
      <c r="K2383" s="1" t="str">
        <f t="shared" si="113"/>
        <v/>
      </c>
    </row>
    <row r="2384" spans="4:11">
      <c r="D2384" s="97" t="s">
        <v>1225</v>
      </c>
      <c r="E2384" s="86"/>
      <c r="F2384" s="86"/>
      <c r="G2384">
        <v>4</v>
      </c>
      <c r="H2384">
        <v>5</v>
      </c>
      <c r="I2384" s="1">
        <f t="shared" si="112"/>
        <v>-1</v>
      </c>
      <c r="J2384" s="1">
        <f t="shared" si="111"/>
        <v>0</v>
      </c>
      <c r="K2384" s="1">
        <f t="shared" si="113"/>
        <v>1</v>
      </c>
    </row>
    <row r="2385" spans="4:11" ht="30.75" thickBot="1">
      <c r="D2385" s="98"/>
      <c r="E2385" s="87" t="s">
        <v>27</v>
      </c>
      <c r="F2385" s="87" t="s">
        <v>1</v>
      </c>
      <c r="G2385"/>
      <c r="H2385"/>
      <c r="I2385" s="1" t="str">
        <f t="shared" si="112"/>
        <v/>
      </c>
      <c r="J2385" s="1" t="str">
        <f t="shared" si="111"/>
        <v/>
      </c>
      <c r="K2385" s="1" t="str">
        <f t="shared" si="113"/>
        <v/>
      </c>
    </row>
    <row r="2386" spans="4:11">
      <c r="D2386" s="99" t="s">
        <v>1225</v>
      </c>
      <c r="E2386" s="88"/>
      <c r="F2386" s="88"/>
      <c r="G2386">
        <v>3</v>
      </c>
      <c r="H2386">
        <v>4</v>
      </c>
      <c r="I2386" s="1">
        <f t="shared" si="112"/>
        <v>-1</v>
      </c>
      <c r="J2386" s="1">
        <f t="shared" si="111"/>
        <v>0</v>
      </c>
      <c r="K2386" s="1">
        <f t="shared" si="113"/>
        <v>1</v>
      </c>
    </row>
    <row r="2387" spans="4:11" ht="15.75" thickBot="1">
      <c r="D2387" s="100"/>
      <c r="E2387" s="89" t="s">
        <v>11</v>
      </c>
      <c r="F2387" s="89" t="s">
        <v>18</v>
      </c>
      <c r="G2387"/>
      <c r="H2387"/>
      <c r="I2387" s="1" t="str">
        <f t="shared" si="112"/>
        <v/>
      </c>
      <c r="J2387" s="1" t="str">
        <f t="shared" si="111"/>
        <v/>
      </c>
      <c r="K2387" s="1" t="str">
        <f t="shared" si="113"/>
        <v/>
      </c>
    </row>
    <row r="2388" spans="4:11">
      <c r="D2388" s="97" t="s">
        <v>1225</v>
      </c>
      <c r="E2388" s="86"/>
      <c r="F2388" s="86"/>
      <c r="G2388">
        <v>2</v>
      </c>
      <c r="H2388">
        <v>3</v>
      </c>
      <c r="I2388" s="1">
        <f t="shared" si="112"/>
        <v>-1</v>
      </c>
      <c r="J2388" s="1">
        <f t="shared" si="111"/>
        <v>0</v>
      </c>
      <c r="K2388" s="1">
        <f t="shared" si="113"/>
        <v>1</v>
      </c>
    </row>
    <row r="2389" spans="4:11" ht="15.75" thickBot="1">
      <c r="D2389" s="98"/>
      <c r="E2389" s="87" t="s">
        <v>28</v>
      </c>
      <c r="F2389" s="87" t="s">
        <v>13</v>
      </c>
      <c r="G2389"/>
      <c r="H2389"/>
      <c r="I2389" s="1" t="str">
        <f t="shared" si="112"/>
        <v/>
      </c>
      <c r="J2389" s="1" t="str">
        <f t="shared" si="111"/>
        <v/>
      </c>
      <c r="K2389" s="1" t="str">
        <f t="shared" si="113"/>
        <v/>
      </c>
    </row>
    <row r="2390" spans="4:11">
      <c r="D2390" s="99" t="s">
        <v>1225</v>
      </c>
      <c r="E2390" s="88"/>
      <c r="F2390" s="88"/>
      <c r="G2390">
        <v>1</v>
      </c>
      <c r="H2390">
        <v>0</v>
      </c>
      <c r="I2390" s="1">
        <f t="shared" si="112"/>
        <v>1</v>
      </c>
      <c r="J2390" s="1">
        <f t="shared" si="111"/>
        <v>0</v>
      </c>
      <c r="K2390" s="1">
        <f t="shared" si="113"/>
        <v>1</v>
      </c>
    </row>
    <row r="2391" spans="4:11" ht="15.75" thickBot="1">
      <c r="D2391" s="100"/>
      <c r="E2391" s="89" t="s">
        <v>25</v>
      </c>
      <c r="F2391" s="89" t="s">
        <v>17</v>
      </c>
      <c r="G2391"/>
      <c r="H2391"/>
      <c r="I2391" s="1" t="str">
        <f t="shared" si="112"/>
        <v/>
      </c>
      <c r="J2391" s="1" t="str">
        <f t="shared" si="111"/>
        <v/>
      </c>
      <c r="K2391" s="1" t="str">
        <f t="shared" si="113"/>
        <v/>
      </c>
    </row>
    <row r="2392" spans="4:11">
      <c r="D2392" s="97" t="s">
        <v>1225</v>
      </c>
      <c r="E2392" s="86"/>
      <c r="F2392" s="86"/>
      <c r="G2392">
        <v>2</v>
      </c>
      <c r="H2392">
        <v>1</v>
      </c>
      <c r="I2392" s="1">
        <f t="shared" si="112"/>
        <v>1</v>
      </c>
      <c r="J2392" s="1">
        <f t="shared" si="111"/>
        <v>0</v>
      </c>
      <c r="K2392" s="1">
        <f t="shared" si="113"/>
        <v>1</v>
      </c>
    </row>
    <row r="2393" spans="4:11" ht="15.75" thickBot="1">
      <c r="D2393" s="98"/>
      <c r="E2393" s="87" t="s">
        <v>23</v>
      </c>
      <c r="F2393" s="87" t="s">
        <v>20</v>
      </c>
      <c r="G2393"/>
      <c r="H2393"/>
      <c r="I2393" s="1" t="str">
        <f t="shared" si="112"/>
        <v/>
      </c>
      <c r="J2393" s="1" t="str">
        <f t="shared" si="111"/>
        <v/>
      </c>
      <c r="K2393" s="1" t="str">
        <f t="shared" si="113"/>
        <v/>
      </c>
    </row>
    <row r="2394" spans="4:11">
      <c r="D2394" s="99" t="s">
        <v>1225</v>
      </c>
      <c r="E2394" s="88"/>
      <c r="F2394" s="88"/>
      <c r="G2394">
        <v>2</v>
      </c>
      <c r="H2394">
        <v>3</v>
      </c>
      <c r="I2394" s="1">
        <f t="shared" si="112"/>
        <v>-1</v>
      </c>
      <c r="J2394" s="1">
        <f t="shared" si="111"/>
        <v>0</v>
      </c>
      <c r="K2394" s="1">
        <f t="shared" si="113"/>
        <v>1</v>
      </c>
    </row>
    <row r="2395" spans="4:11" ht="15.75" thickBot="1">
      <c r="D2395" s="100"/>
      <c r="E2395" s="89" t="s">
        <v>19</v>
      </c>
      <c r="F2395" s="89" t="s">
        <v>22</v>
      </c>
      <c r="G2395"/>
      <c r="H2395"/>
      <c r="I2395" s="1" t="str">
        <f t="shared" si="112"/>
        <v/>
      </c>
      <c r="J2395" s="1" t="str">
        <f t="shared" si="111"/>
        <v/>
      </c>
      <c r="K2395" s="1" t="str">
        <f t="shared" si="113"/>
        <v/>
      </c>
    </row>
    <row r="2396" spans="4:11">
      <c r="D2396" s="97" t="s">
        <v>1225</v>
      </c>
      <c r="E2396" s="86"/>
      <c r="F2396" s="86"/>
      <c r="G2396">
        <v>2</v>
      </c>
      <c r="H2396">
        <v>3</v>
      </c>
      <c r="I2396" s="1">
        <f t="shared" si="112"/>
        <v>-1</v>
      </c>
      <c r="J2396" s="1">
        <f t="shared" si="111"/>
        <v>0</v>
      </c>
      <c r="K2396" s="1">
        <f t="shared" si="113"/>
        <v>1</v>
      </c>
    </row>
    <row r="2397" spans="4:11" ht="15.75" thickBot="1">
      <c r="D2397" s="98"/>
      <c r="E2397" s="87" t="s">
        <v>26</v>
      </c>
      <c r="F2397" s="87" t="s">
        <v>4</v>
      </c>
      <c r="G2397"/>
      <c r="H2397"/>
      <c r="I2397" s="1" t="str">
        <f t="shared" si="112"/>
        <v/>
      </c>
      <c r="J2397" s="1" t="str">
        <f t="shared" si="111"/>
        <v/>
      </c>
      <c r="K2397" s="1" t="str">
        <f t="shared" si="113"/>
        <v/>
      </c>
    </row>
    <row r="2398" spans="4:11">
      <c r="D2398" s="99" t="s">
        <v>1225</v>
      </c>
      <c r="E2398" s="88"/>
      <c r="F2398" s="88"/>
      <c r="G2398">
        <v>2</v>
      </c>
      <c r="H2398">
        <v>4</v>
      </c>
      <c r="I2398" s="1">
        <f t="shared" si="112"/>
        <v>-2</v>
      </c>
      <c r="J2398" s="1">
        <f t="shared" si="111"/>
        <v>0</v>
      </c>
      <c r="K2398" s="1">
        <f t="shared" si="113"/>
        <v>4</v>
      </c>
    </row>
    <row r="2399" spans="4:11" ht="15.75" thickBot="1">
      <c r="D2399" s="100"/>
      <c r="E2399" s="89" t="s">
        <v>6</v>
      </c>
      <c r="F2399" s="89" t="s">
        <v>24</v>
      </c>
      <c r="G2399"/>
      <c r="H2399"/>
      <c r="I2399" s="1" t="str">
        <f t="shared" si="112"/>
        <v/>
      </c>
      <c r="J2399" s="1" t="str">
        <f t="shared" si="111"/>
        <v/>
      </c>
      <c r="K2399" s="1" t="str">
        <f t="shared" si="113"/>
        <v/>
      </c>
    </row>
    <row r="2400" spans="4:11">
      <c r="D2400" s="97" t="s">
        <v>1226</v>
      </c>
      <c r="E2400" s="86"/>
      <c r="F2400" s="86"/>
      <c r="G2400">
        <v>0</v>
      </c>
      <c r="H2400">
        <v>5</v>
      </c>
      <c r="I2400" s="1">
        <f t="shared" si="112"/>
        <v>-5</v>
      </c>
      <c r="J2400" s="1">
        <f t="shared" si="111"/>
        <v>0</v>
      </c>
      <c r="K2400" s="1">
        <f t="shared" si="113"/>
        <v>25</v>
      </c>
    </row>
    <row r="2401" spans="4:11" ht="15.75" thickBot="1">
      <c r="D2401" s="98"/>
      <c r="E2401" s="87" t="s">
        <v>0</v>
      </c>
      <c r="F2401" s="87" t="s">
        <v>7</v>
      </c>
      <c r="G2401"/>
      <c r="H2401"/>
      <c r="I2401" s="1" t="str">
        <f t="shared" si="112"/>
        <v/>
      </c>
      <c r="J2401" s="1" t="str">
        <f t="shared" si="111"/>
        <v/>
      </c>
      <c r="K2401" s="1" t="str">
        <f t="shared" si="113"/>
        <v/>
      </c>
    </row>
    <row r="2402" spans="4:11">
      <c r="D2402" s="99" t="s">
        <v>1226</v>
      </c>
      <c r="E2402" s="88"/>
      <c r="F2402" s="88"/>
      <c r="G2402">
        <v>0</v>
      </c>
      <c r="H2402">
        <v>3</v>
      </c>
      <c r="I2402" s="1">
        <f t="shared" si="112"/>
        <v>-3</v>
      </c>
      <c r="J2402" s="1">
        <f t="shared" si="111"/>
        <v>0</v>
      </c>
      <c r="K2402" s="1">
        <f t="shared" si="113"/>
        <v>9</v>
      </c>
    </row>
    <row r="2403" spans="4:11" ht="30.75" thickBot="1">
      <c r="D2403" s="100"/>
      <c r="E2403" s="89" t="s">
        <v>2</v>
      </c>
      <c r="F2403" s="89" t="s">
        <v>12</v>
      </c>
      <c r="G2403"/>
      <c r="H2403"/>
      <c r="I2403" s="1" t="str">
        <f t="shared" si="112"/>
        <v/>
      </c>
      <c r="J2403" s="1" t="str">
        <f t="shared" si="111"/>
        <v/>
      </c>
      <c r="K2403" s="1" t="str">
        <f t="shared" si="113"/>
        <v/>
      </c>
    </row>
    <row r="2404" spans="4:11">
      <c r="D2404" s="97" t="s">
        <v>1226</v>
      </c>
      <c r="E2404" s="86"/>
      <c r="F2404" s="86"/>
      <c r="G2404">
        <v>4</v>
      </c>
      <c r="H2404">
        <v>0</v>
      </c>
      <c r="I2404" s="1">
        <f t="shared" si="112"/>
        <v>4</v>
      </c>
      <c r="J2404" s="1">
        <f t="shared" si="111"/>
        <v>0</v>
      </c>
      <c r="K2404" s="1">
        <f t="shared" si="113"/>
        <v>16</v>
      </c>
    </row>
    <row r="2405" spans="4:11" ht="15.75" thickBot="1">
      <c r="D2405" s="98"/>
      <c r="E2405" s="87" t="s">
        <v>21</v>
      </c>
      <c r="F2405" s="87" t="s">
        <v>10</v>
      </c>
      <c r="G2405"/>
      <c r="H2405"/>
      <c r="I2405" s="1" t="str">
        <f t="shared" si="112"/>
        <v/>
      </c>
      <c r="J2405" s="1" t="str">
        <f t="shared" si="111"/>
        <v/>
      </c>
      <c r="K2405" s="1" t="str">
        <f t="shared" si="113"/>
        <v/>
      </c>
    </row>
    <row r="2406" spans="4:11">
      <c r="D2406" s="99" t="s">
        <v>1227</v>
      </c>
      <c r="E2406" s="88"/>
      <c r="F2406" s="88"/>
      <c r="G2406">
        <v>3</v>
      </c>
      <c r="H2406">
        <v>0</v>
      </c>
      <c r="I2406" s="1">
        <f t="shared" si="112"/>
        <v>3</v>
      </c>
      <c r="J2406" s="1">
        <f t="shared" si="111"/>
        <v>0</v>
      </c>
      <c r="K2406" s="1">
        <f t="shared" si="113"/>
        <v>9</v>
      </c>
    </row>
    <row r="2407" spans="4:11" ht="15.75" thickBot="1">
      <c r="D2407" s="100"/>
      <c r="E2407" s="89" t="s">
        <v>18</v>
      </c>
      <c r="F2407" s="89" t="s">
        <v>16</v>
      </c>
      <c r="G2407"/>
      <c r="H2407"/>
      <c r="I2407" s="1" t="str">
        <f t="shared" si="112"/>
        <v/>
      </c>
      <c r="J2407" s="1" t="str">
        <f t="shared" si="111"/>
        <v/>
      </c>
      <c r="K2407" s="1" t="str">
        <f t="shared" si="113"/>
        <v/>
      </c>
    </row>
    <row r="2408" spans="4:11">
      <c r="D2408" s="97" t="s">
        <v>1227</v>
      </c>
      <c r="E2408" s="86"/>
      <c r="F2408" s="86"/>
      <c r="G2408">
        <v>3</v>
      </c>
      <c r="H2408">
        <v>1</v>
      </c>
      <c r="I2408" s="1">
        <f t="shared" si="112"/>
        <v>2</v>
      </c>
      <c r="J2408" s="1">
        <f t="shared" si="111"/>
        <v>0</v>
      </c>
      <c r="K2408" s="1">
        <f t="shared" si="113"/>
        <v>4</v>
      </c>
    </row>
    <row r="2409" spans="4:11" ht="30.75" thickBot="1">
      <c r="D2409" s="98"/>
      <c r="E2409" s="87" t="s">
        <v>28</v>
      </c>
      <c r="F2409" s="87" t="s">
        <v>1</v>
      </c>
      <c r="G2409"/>
      <c r="H2409"/>
      <c r="I2409" s="1" t="str">
        <f t="shared" si="112"/>
        <v/>
      </c>
      <c r="J2409" s="1" t="str">
        <f t="shared" si="111"/>
        <v/>
      </c>
      <c r="K2409" s="1" t="str">
        <f t="shared" si="113"/>
        <v/>
      </c>
    </row>
    <row r="2410" spans="4:11">
      <c r="D2410" s="99" t="s">
        <v>1227</v>
      </c>
      <c r="E2410" s="88"/>
      <c r="F2410" s="88"/>
      <c r="G2410">
        <v>3</v>
      </c>
      <c r="H2410">
        <v>4</v>
      </c>
      <c r="I2410" s="1">
        <f t="shared" si="112"/>
        <v>-1</v>
      </c>
      <c r="J2410" s="1">
        <f t="shared" si="111"/>
        <v>0</v>
      </c>
      <c r="K2410" s="1">
        <f t="shared" si="113"/>
        <v>1</v>
      </c>
    </row>
    <row r="2411" spans="4:11" ht="15.75" thickBot="1">
      <c r="D2411" s="100"/>
      <c r="E2411" s="89" t="s">
        <v>13</v>
      </c>
      <c r="F2411" s="89" t="s">
        <v>1220</v>
      </c>
      <c r="G2411"/>
      <c r="H2411"/>
      <c r="I2411" s="1" t="str">
        <f t="shared" si="112"/>
        <v/>
      </c>
      <c r="J2411" s="1" t="str">
        <f t="shared" si="111"/>
        <v/>
      </c>
      <c r="K2411" s="1" t="str">
        <f t="shared" si="113"/>
        <v/>
      </c>
    </row>
    <row r="2412" spans="4:11">
      <c r="D2412" s="97" t="s">
        <v>1227</v>
      </c>
      <c r="E2412" s="86"/>
      <c r="F2412" s="86"/>
      <c r="G2412">
        <v>3</v>
      </c>
      <c r="H2412">
        <v>4</v>
      </c>
      <c r="I2412" s="1">
        <f t="shared" si="112"/>
        <v>-1</v>
      </c>
      <c r="J2412" s="1">
        <f t="shared" si="111"/>
        <v>0</v>
      </c>
      <c r="K2412" s="1">
        <f t="shared" si="113"/>
        <v>1</v>
      </c>
    </row>
    <row r="2413" spans="4:11" ht="15.75" thickBot="1">
      <c r="D2413" s="98"/>
      <c r="E2413" s="87" t="s">
        <v>9</v>
      </c>
      <c r="F2413" s="87" t="s">
        <v>15</v>
      </c>
      <c r="G2413"/>
      <c r="H2413"/>
      <c r="I2413" s="1" t="str">
        <f t="shared" si="112"/>
        <v/>
      </c>
      <c r="J2413" s="1" t="str">
        <f t="shared" si="111"/>
        <v/>
      </c>
      <c r="K2413" s="1" t="str">
        <f t="shared" si="113"/>
        <v/>
      </c>
    </row>
    <row r="2414" spans="4:11">
      <c r="D2414" s="99" t="s">
        <v>1227</v>
      </c>
      <c r="E2414" s="88"/>
      <c r="F2414" s="88"/>
      <c r="G2414">
        <v>2</v>
      </c>
      <c r="H2414">
        <v>4</v>
      </c>
      <c r="I2414" s="1">
        <f t="shared" si="112"/>
        <v>-2</v>
      </c>
      <c r="J2414" s="1">
        <f t="shared" si="111"/>
        <v>0</v>
      </c>
      <c r="K2414" s="1">
        <f t="shared" si="113"/>
        <v>4</v>
      </c>
    </row>
    <row r="2415" spans="4:11" ht="15.75" thickBot="1">
      <c r="D2415" s="100"/>
      <c r="E2415" s="89" t="s">
        <v>2</v>
      </c>
      <c r="F2415" s="89" t="s">
        <v>14</v>
      </c>
      <c r="G2415"/>
      <c r="H2415"/>
      <c r="I2415" s="1" t="str">
        <f t="shared" si="112"/>
        <v/>
      </c>
      <c r="J2415" s="1" t="str">
        <f t="shared" si="111"/>
        <v/>
      </c>
      <c r="K2415" s="1" t="str">
        <f t="shared" si="113"/>
        <v/>
      </c>
    </row>
    <row r="2416" spans="4:11">
      <c r="D2416" s="97" t="s">
        <v>1227</v>
      </c>
      <c r="E2416" s="86"/>
      <c r="F2416" s="86"/>
      <c r="G2416">
        <v>1</v>
      </c>
      <c r="H2416">
        <v>2</v>
      </c>
      <c r="I2416" s="1">
        <f t="shared" si="112"/>
        <v>-1</v>
      </c>
      <c r="J2416" s="1">
        <f t="shared" si="111"/>
        <v>0</v>
      </c>
      <c r="K2416" s="1">
        <f t="shared" si="113"/>
        <v>1</v>
      </c>
    </row>
    <row r="2417" spans="4:11" ht="15.75" thickBot="1">
      <c r="D2417" s="98"/>
      <c r="E2417" s="87" t="s">
        <v>20</v>
      </c>
      <c r="F2417" s="87" t="s">
        <v>17</v>
      </c>
      <c r="G2417"/>
      <c r="H2417"/>
      <c r="I2417" s="1" t="str">
        <f t="shared" si="112"/>
        <v/>
      </c>
      <c r="J2417" s="1" t="str">
        <f t="shared" si="111"/>
        <v/>
      </c>
      <c r="K2417" s="1" t="str">
        <f t="shared" si="113"/>
        <v/>
      </c>
    </row>
    <row r="2418" spans="4:11">
      <c r="D2418" s="99" t="s">
        <v>1227</v>
      </c>
      <c r="E2418" s="88"/>
      <c r="F2418" s="88"/>
      <c r="G2418">
        <v>4</v>
      </c>
      <c r="H2418">
        <v>2</v>
      </c>
      <c r="I2418" s="1">
        <f t="shared" si="112"/>
        <v>2</v>
      </c>
      <c r="J2418" s="1">
        <f t="shared" si="111"/>
        <v>0</v>
      </c>
      <c r="K2418" s="1">
        <f t="shared" si="113"/>
        <v>4</v>
      </c>
    </row>
    <row r="2419" spans="4:11" ht="15.75" thickBot="1">
      <c r="D2419" s="100"/>
      <c r="E2419" s="89" t="s">
        <v>23</v>
      </c>
      <c r="F2419" s="89" t="s">
        <v>19</v>
      </c>
      <c r="G2419"/>
      <c r="H2419"/>
      <c r="I2419" s="1" t="str">
        <f t="shared" si="112"/>
        <v/>
      </c>
      <c r="J2419" s="1" t="str">
        <f t="shared" si="111"/>
        <v/>
      </c>
      <c r="K2419" s="1" t="str">
        <f t="shared" si="113"/>
        <v/>
      </c>
    </row>
    <row r="2420" spans="4:11">
      <c r="D2420" s="97" t="s">
        <v>1227</v>
      </c>
      <c r="E2420" s="86"/>
      <c r="F2420" s="86"/>
      <c r="G2420">
        <v>0</v>
      </c>
      <c r="H2420">
        <v>1</v>
      </c>
      <c r="I2420" s="1">
        <f t="shared" si="112"/>
        <v>-1</v>
      </c>
      <c r="J2420" s="1">
        <f t="shared" si="111"/>
        <v>0</v>
      </c>
      <c r="K2420" s="1">
        <f t="shared" si="113"/>
        <v>1</v>
      </c>
    </row>
    <row r="2421" spans="4:11" ht="15.75" thickBot="1">
      <c r="D2421" s="98"/>
      <c r="E2421" s="87" t="s">
        <v>25</v>
      </c>
      <c r="F2421" s="87" t="s">
        <v>22</v>
      </c>
      <c r="G2421"/>
      <c r="H2421"/>
      <c r="I2421" s="1" t="str">
        <f t="shared" si="112"/>
        <v/>
      </c>
      <c r="J2421" s="1" t="str">
        <f t="shared" si="111"/>
        <v/>
      </c>
      <c r="K2421" s="1" t="str">
        <f t="shared" si="113"/>
        <v/>
      </c>
    </row>
    <row r="2422" spans="4:11">
      <c r="D2422" s="99" t="s">
        <v>1227</v>
      </c>
      <c r="E2422" s="88"/>
      <c r="F2422" s="88"/>
      <c r="G2422">
        <v>1</v>
      </c>
      <c r="H2422">
        <v>3</v>
      </c>
      <c r="I2422" s="1">
        <f t="shared" si="112"/>
        <v>-2</v>
      </c>
      <c r="J2422" s="1">
        <f t="shared" si="111"/>
        <v>0</v>
      </c>
      <c r="K2422" s="1">
        <f t="shared" si="113"/>
        <v>4</v>
      </c>
    </row>
    <row r="2423" spans="4:11" ht="15.75" thickBot="1">
      <c r="D2423" s="100"/>
      <c r="E2423" s="89" t="s">
        <v>6</v>
      </c>
      <c r="F2423" s="89" t="s">
        <v>4</v>
      </c>
      <c r="G2423"/>
      <c r="H2423"/>
      <c r="I2423" s="1" t="str">
        <f t="shared" si="112"/>
        <v/>
      </c>
      <c r="J2423" s="1" t="str">
        <f t="shared" si="111"/>
        <v/>
      </c>
      <c r="K2423" s="1" t="str">
        <f t="shared" si="113"/>
        <v/>
      </c>
    </row>
    <row r="2424" spans="4:11">
      <c r="D2424" s="97" t="s">
        <v>1227</v>
      </c>
      <c r="E2424" s="86"/>
      <c r="F2424" s="86"/>
      <c r="G2424">
        <v>3</v>
      </c>
      <c r="H2424">
        <v>1</v>
      </c>
      <c r="I2424" s="1">
        <f t="shared" si="112"/>
        <v>2</v>
      </c>
      <c r="J2424" s="1">
        <f t="shared" si="111"/>
        <v>0</v>
      </c>
      <c r="K2424" s="1">
        <f t="shared" si="113"/>
        <v>4</v>
      </c>
    </row>
    <row r="2425" spans="4:11" ht="15.75" thickBot="1">
      <c r="D2425" s="98"/>
      <c r="E2425" s="87" t="s">
        <v>5</v>
      </c>
      <c r="F2425" s="87" t="s">
        <v>24</v>
      </c>
      <c r="G2425"/>
      <c r="H2425"/>
      <c r="I2425" s="1" t="str">
        <f t="shared" si="112"/>
        <v/>
      </c>
      <c r="J2425" s="1" t="str">
        <f t="shared" si="111"/>
        <v/>
      </c>
      <c r="K2425" s="1" t="str">
        <f t="shared" si="113"/>
        <v/>
      </c>
    </row>
    <row r="2426" spans="4:11">
      <c r="D2426" s="99" t="s">
        <v>1227</v>
      </c>
      <c r="E2426" s="88"/>
      <c r="F2426" s="88"/>
      <c r="G2426">
        <v>0</v>
      </c>
      <c r="H2426">
        <v>5</v>
      </c>
      <c r="I2426" s="1">
        <f t="shared" si="112"/>
        <v>-5</v>
      </c>
      <c r="J2426" s="1">
        <f t="shared" si="111"/>
        <v>0</v>
      </c>
      <c r="K2426" s="1">
        <f t="shared" si="113"/>
        <v>25</v>
      </c>
    </row>
    <row r="2427" spans="4:11" ht="15.75" thickBot="1">
      <c r="D2427" s="100"/>
      <c r="E2427" s="89" t="s">
        <v>26</v>
      </c>
      <c r="F2427" s="89" t="s">
        <v>3</v>
      </c>
      <c r="G2427"/>
      <c r="H2427"/>
      <c r="I2427" s="1" t="str">
        <f t="shared" si="112"/>
        <v/>
      </c>
      <c r="J2427" s="1" t="str">
        <f t="shared" si="111"/>
        <v/>
      </c>
      <c r="K2427" s="1" t="str">
        <f t="shared" si="113"/>
        <v/>
      </c>
    </row>
    <row r="2428" spans="4:11">
      <c r="D2428" s="97" t="s">
        <v>1228</v>
      </c>
      <c r="E2428" s="86"/>
      <c r="F2428" s="86"/>
      <c r="G2428">
        <v>3</v>
      </c>
      <c r="H2428">
        <v>1</v>
      </c>
      <c r="I2428" s="1">
        <f t="shared" si="112"/>
        <v>2</v>
      </c>
      <c r="J2428" s="1">
        <f t="shared" si="111"/>
        <v>0</v>
      </c>
      <c r="K2428" s="1">
        <f t="shared" si="113"/>
        <v>4</v>
      </c>
    </row>
    <row r="2429" spans="4:11" ht="15.75" thickBot="1">
      <c r="D2429" s="98"/>
      <c r="E2429" s="87" t="s">
        <v>27</v>
      </c>
      <c r="F2429" s="87" t="s">
        <v>11</v>
      </c>
      <c r="G2429"/>
      <c r="H2429"/>
      <c r="I2429" s="1" t="str">
        <f t="shared" si="112"/>
        <v/>
      </c>
      <c r="J2429" s="1" t="str">
        <f t="shared" si="111"/>
        <v/>
      </c>
      <c r="K2429" s="1" t="str">
        <f t="shared" si="113"/>
        <v/>
      </c>
    </row>
    <row r="2430" spans="4:11">
      <c r="D2430" s="99" t="s">
        <v>1228</v>
      </c>
      <c r="E2430" s="88"/>
      <c r="F2430" s="88"/>
      <c r="G2430">
        <v>2</v>
      </c>
      <c r="H2430">
        <v>4</v>
      </c>
      <c r="I2430" s="1">
        <f t="shared" si="112"/>
        <v>-2</v>
      </c>
      <c r="J2430" s="1">
        <f t="shared" si="111"/>
        <v>-2550</v>
      </c>
      <c r="K2430" s="1">
        <f t="shared" si="113"/>
        <v>6492304</v>
      </c>
    </row>
    <row r="2431" spans="4:11" ht="15.75" thickBot="1">
      <c r="D2431" s="100"/>
      <c r="E2431" s="89" t="s">
        <v>8</v>
      </c>
      <c r="F2431" s="89" t="s">
        <v>7</v>
      </c>
      <c r="G2431"/>
      <c r="H2431"/>
      <c r="I2431" s="1" t="str">
        <f t="shared" si="112"/>
        <v/>
      </c>
      <c r="J2431" s="1" t="str">
        <f t="shared" si="111"/>
        <v/>
      </c>
      <c r="K2431" s="1" t="str">
        <f t="shared" si="113"/>
        <v/>
      </c>
    </row>
    <row r="2432" spans="4:11">
      <c r="D2432" s="97" t="s">
        <v>1229</v>
      </c>
      <c r="E2432" s="86"/>
      <c r="F2432" s="86"/>
      <c r="G2432">
        <v>3</v>
      </c>
      <c r="H2432">
        <v>1</v>
      </c>
      <c r="I2432" s="1">
        <f t="shared" si="112"/>
        <v>2</v>
      </c>
      <c r="J2432" s="1">
        <f t="shared" si="111"/>
        <v>0</v>
      </c>
      <c r="K2432" s="1">
        <f t="shared" si="113"/>
        <v>4</v>
      </c>
    </row>
    <row r="2433" spans="4:11" ht="30.75" thickBot="1">
      <c r="D2433" s="98"/>
      <c r="E2433" s="87" t="s">
        <v>18</v>
      </c>
      <c r="F2433" s="87" t="s">
        <v>1</v>
      </c>
      <c r="G2433"/>
      <c r="H2433"/>
      <c r="I2433" s="1" t="str">
        <f t="shared" si="112"/>
        <v/>
      </c>
      <c r="J2433" s="1" t="str">
        <f t="shared" ref="J2433:J2461" si="114">IF(F2434="","",VLOOKUP(F2434,$A$2:$B$31,2)+$B$33-VLOOKUP(E2434,$A$2:$B$31,2))</f>
        <v/>
      </c>
      <c r="K2433" s="1" t="str">
        <f t="shared" si="113"/>
        <v/>
      </c>
    </row>
    <row r="2434" spans="4:11">
      <c r="D2434" s="99" t="s">
        <v>1229</v>
      </c>
      <c r="E2434" s="88"/>
      <c r="F2434" s="88"/>
      <c r="G2434">
        <v>4</v>
      </c>
      <c r="H2434">
        <v>2</v>
      </c>
      <c r="I2434" s="1">
        <f t="shared" ref="I2434:I2461" si="115">IF(G2434="","",G2434-H2434)</f>
        <v>2</v>
      </c>
      <c r="J2434" s="1">
        <f t="shared" si="114"/>
        <v>0</v>
      </c>
      <c r="K2434" s="1">
        <f t="shared" si="113"/>
        <v>4</v>
      </c>
    </row>
    <row r="2435" spans="4:11" ht="30.75" thickBot="1">
      <c r="D2435" s="100"/>
      <c r="E2435" s="89" t="s">
        <v>16</v>
      </c>
      <c r="F2435" s="89" t="s">
        <v>12</v>
      </c>
      <c r="G2435"/>
      <c r="H2435"/>
      <c r="I2435" s="1" t="str">
        <f t="shared" si="115"/>
        <v/>
      </c>
      <c r="J2435" s="1" t="str">
        <f t="shared" si="114"/>
        <v/>
      </c>
      <c r="K2435" s="1" t="str">
        <f t="shared" ref="K2435:K2461" si="116">IF(G2435="","",(I2435-J2435)^2)</f>
        <v/>
      </c>
    </row>
    <row r="2436" spans="4:11">
      <c r="D2436" s="97" t="s">
        <v>1229</v>
      </c>
      <c r="E2436" s="86"/>
      <c r="F2436" s="86"/>
      <c r="G2436">
        <v>1</v>
      </c>
      <c r="H2436">
        <v>5</v>
      </c>
      <c r="I2436" s="1">
        <f t="shared" si="115"/>
        <v>-4</v>
      </c>
      <c r="J2436" s="1">
        <f t="shared" si="114"/>
        <v>0</v>
      </c>
      <c r="K2436" s="1">
        <f t="shared" si="116"/>
        <v>16</v>
      </c>
    </row>
    <row r="2437" spans="4:11" ht="15.75" thickBot="1">
      <c r="D2437" s="98"/>
      <c r="E2437" s="87" t="s">
        <v>4</v>
      </c>
      <c r="F2437" s="87" t="s">
        <v>25</v>
      </c>
      <c r="G2437"/>
      <c r="H2437"/>
      <c r="I2437" s="1" t="str">
        <f t="shared" si="115"/>
        <v/>
      </c>
      <c r="J2437" s="1" t="str">
        <f t="shared" si="114"/>
        <v/>
      </c>
      <c r="K2437" s="1" t="str">
        <f t="shared" si="116"/>
        <v/>
      </c>
    </row>
    <row r="2438" spans="4:11">
      <c r="D2438" s="99" t="s">
        <v>1229</v>
      </c>
      <c r="E2438" s="88"/>
      <c r="F2438" s="88"/>
      <c r="G2438">
        <v>1</v>
      </c>
      <c r="H2438">
        <v>4</v>
      </c>
      <c r="I2438" s="1">
        <f t="shared" si="115"/>
        <v>-3</v>
      </c>
      <c r="J2438" s="1">
        <f t="shared" si="114"/>
        <v>0</v>
      </c>
      <c r="K2438" s="1">
        <f t="shared" si="116"/>
        <v>9</v>
      </c>
    </row>
    <row r="2439" spans="4:11" ht="15.75" thickBot="1">
      <c r="D2439" s="100"/>
      <c r="E2439" s="89" t="s">
        <v>5</v>
      </c>
      <c r="F2439" s="89" t="s">
        <v>6</v>
      </c>
      <c r="G2439"/>
      <c r="H2439"/>
      <c r="I2439" s="1" t="str">
        <f t="shared" si="115"/>
        <v/>
      </c>
      <c r="J2439" s="1" t="str">
        <f t="shared" si="114"/>
        <v/>
      </c>
      <c r="K2439" s="1" t="str">
        <f t="shared" si="116"/>
        <v/>
      </c>
    </row>
    <row r="2440" spans="4:11">
      <c r="D2440" s="97" t="s">
        <v>1229</v>
      </c>
      <c r="E2440" s="86"/>
      <c r="F2440" s="86"/>
      <c r="G2440">
        <v>2</v>
      </c>
      <c r="H2440">
        <v>4</v>
      </c>
      <c r="I2440" s="1">
        <f t="shared" si="115"/>
        <v>-2</v>
      </c>
      <c r="J2440" s="1">
        <f t="shared" si="114"/>
        <v>0</v>
      </c>
      <c r="K2440" s="1">
        <f t="shared" si="116"/>
        <v>4</v>
      </c>
    </row>
    <row r="2441" spans="4:11" ht="15.75" thickBot="1">
      <c r="D2441" s="98"/>
      <c r="E2441" s="87" t="s">
        <v>23</v>
      </c>
      <c r="F2441" s="87" t="s">
        <v>17</v>
      </c>
      <c r="G2441"/>
      <c r="H2441"/>
      <c r="I2441" s="1" t="str">
        <f t="shared" si="115"/>
        <v/>
      </c>
      <c r="J2441" s="1" t="str">
        <f t="shared" si="114"/>
        <v/>
      </c>
      <c r="K2441" s="1" t="str">
        <f t="shared" si="116"/>
        <v/>
      </c>
    </row>
    <row r="2442" spans="4:11">
      <c r="D2442" s="99" t="s">
        <v>1229</v>
      </c>
      <c r="E2442" s="88"/>
      <c r="F2442" s="88"/>
      <c r="G2442">
        <v>2</v>
      </c>
      <c r="H2442">
        <v>0</v>
      </c>
      <c r="I2442" s="1">
        <f t="shared" si="115"/>
        <v>2</v>
      </c>
      <c r="J2442" s="1">
        <f t="shared" si="114"/>
        <v>2550</v>
      </c>
      <c r="K2442" s="1">
        <f t="shared" si="116"/>
        <v>6492304</v>
      </c>
    </row>
    <row r="2443" spans="4:11" ht="15.75" thickBot="1">
      <c r="D2443" s="100"/>
      <c r="E2443" s="89" t="s">
        <v>11</v>
      </c>
      <c r="F2443" s="89" t="s">
        <v>8</v>
      </c>
      <c r="G2443"/>
      <c r="H2443"/>
      <c r="I2443" s="1" t="str">
        <f t="shared" si="115"/>
        <v/>
      </c>
      <c r="J2443" s="1" t="str">
        <f t="shared" si="114"/>
        <v/>
      </c>
      <c r="K2443" s="1" t="str">
        <f t="shared" si="116"/>
        <v/>
      </c>
    </row>
    <row r="2444" spans="4:11">
      <c r="D2444" s="97" t="s">
        <v>1229</v>
      </c>
      <c r="E2444" s="86"/>
      <c r="F2444" s="86"/>
      <c r="G2444">
        <v>4</v>
      </c>
      <c r="H2444">
        <v>3</v>
      </c>
      <c r="I2444" s="1">
        <f t="shared" si="115"/>
        <v>1</v>
      </c>
      <c r="J2444" s="1">
        <f t="shared" si="114"/>
        <v>0</v>
      </c>
      <c r="K2444" s="1">
        <f t="shared" si="116"/>
        <v>1</v>
      </c>
    </row>
    <row r="2445" spans="4:11" ht="15.75" thickBot="1">
      <c r="D2445" s="98"/>
      <c r="E2445" s="87" t="s">
        <v>1220</v>
      </c>
      <c r="F2445" s="87" t="s">
        <v>0</v>
      </c>
      <c r="G2445"/>
      <c r="H2445"/>
      <c r="I2445" s="1" t="str">
        <f t="shared" si="115"/>
        <v/>
      </c>
      <c r="J2445" s="1" t="str">
        <f t="shared" si="114"/>
        <v/>
      </c>
      <c r="K2445" s="1" t="str">
        <f t="shared" si="116"/>
        <v/>
      </c>
    </row>
    <row r="2446" spans="4:11">
      <c r="D2446" s="99" t="s">
        <v>1229</v>
      </c>
      <c r="E2446" s="88"/>
      <c r="F2446" s="88"/>
      <c r="G2446">
        <v>2</v>
      </c>
      <c r="H2446">
        <v>3</v>
      </c>
      <c r="I2446" s="1">
        <f t="shared" si="115"/>
        <v>-1</v>
      </c>
      <c r="J2446" s="1">
        <f t="shared" si="114"/>
        <v>0</v>
      </c>
      <c r="K2446" s="1">
        <f t="shared" si="116"/>
        <v>1</v>
      </c>
    </row>
    <row r="2447" spans="4:11" ht="15.75" thickBot="1">
      <c r="D2447" s="100"/>
      <c r="E2447" s="89" t="s">
        <v>9</v>
      </c>
      <c r="F2447" s="89" t="s">
        <v>14</v>
      </c>
      <c r="G2447"/>
      <c r="H2447"/>
      <c r="I2447" s="1" t="str">
        <f t="shared" si="115"/>
        <v/>
      </c>
      <c r="J2447" s="1" t="str">
        <f t="shared" si="114"/>
        <v/>
      </c>
      <c r="K2447" s="1" t="str">
        <f t="shared" si="116"/>
        <v/>
      </c>
    </row>
    <row r="2448" spans="4:11">
      <c r="D2448" s="97" t="s">
        <v>1229</v>
      </c>
      <c r="E2448" s="86"/>
      <c r="F2448" s="86"/>
      <c r="G2448">
        <v>5</v>
      </c>
      <c r="H2448">
        <v>4</v>
      </c>
      <c r="I2448" s="1">
        <f t="shared" si="115"/>
        <v>1</v>
      </c>
      <c r="J2448" s="1">
        <f t="shared" si="114"/>
        <v>0</v>
      </c>
      <c r="K2448" s="1">
        <f t="shared" si="116"/>
        <v>1</v>
      </c>
    </row>
    <row r="2449" spans="4:11" ht="30.75" thickBot="1">
      <c r="D2449" s="98"/>
      <c r="E2449" s="87" t="s">
        <v>7</v>
      </c>
      <c r="F2449" s="87" t="s">
        <v>27</v>
      </c>
      <c r="G2449"/>
      <c r="H2449"/>
      <c r="I2449" s="1" t="str">
        <f t="shared" si="115"/>
        <v/>
      </c>
      <c r="J2449" s="1" t="str">
        <f t="shared" si="114"/>
        <v/>
      </c>
      <c r="K2449" s="1" t="str">
        <f t="shared" si="116"/>
        <v/>
      </c>
    </row>
    <row r="2450" spans="4:11">
      <c r="D2450" s="99" t="s">
        <v>1229</v>
      </c>
      <c r="E2450" s="88"/>
      <c r="F2450" s="88"/>
      <c r="G2450">
        <v>2</v>
      </c>
      <c r="H2450">
        <v>0</v>
      </c>
      <c r="I2450" s="1">
        <f t="shared" si="115"/>
        <v>2</v>
      </c>
      <c r="J2450" s="1">
        <f t="shared" si="114"/>
        <v>0</v>
      </c>
      <c r="K2450" s="1">
        <f t="shared" si="116"/>
        <v>4</v>
      </c>
    </row>
    <row r="2451" spans="4:11" ht="15.75" thickBot="1">
      <c r="D2451" s="100"/>
      <c r="E2451" s="89" t="s">
        <v>13</v>
      </c>
      <c r="F2451" s="89" t="s">
        <v>28</v>
      </c>
      <c r="G2451"/>
      <c r="H2451"/>
      <c r="I2451" s="1" t="str">
        <f t="shared" si="115"/>
        <v/>
      </c>
      <c r="J2451" s="1" t="str">
        <f t="shared" si="114"/>
        <v/>
      </c>
      <c r="K2451" s="1" t="str">
        <f t="shared" si="116"/>
        <v/>
      </c>
    </row>
    <row r="2452" spans="4:11">
      <c r="D2452" s="97" t="s">
        <v>1229</v>
      </c>
      <c r="E2452" s="86"/>
      <c r="F2452" s="86"/>
      <c r="G2452">
        <v>2</v>
      </c>
      <c r="H2452">
        <v>3</v>
      </c>
      <c r="I2452" s="1">
        <f t="shared" si="115"/>
        <v>-1</v>
      </c>
      <c r="J2452" s="1">
        <f t="shared" si="114"/>
        <v>0</v>
      </c>
      <c r="K2452" s="1">
        <f t="shared" si="116"/>
        <v>1</v>
      </c>
    </row>
    <row r="2453" spans="4:11" ht="15.75" thickBot="1">
      <c r="D2453" s="98"/>
      <c r="E2453" s="87" t="s">
        <v>2</v>
      </c>
      <c r="F2453" s="87" t="s">
        <v>15</v>
      </c>
      <c r="G2453"/>
      <c r="H2453"/>
      <c r="I2453" s="1" t="str">
        <f t="shared" si="115"/>
        <v/>
      </c>
      <c r="J2453" s="1" t="str">
        <f t="shared" si="114"/>
        <v/>
      </c>
      <c r="K2453" s="1" t="str">
        <f t="shared" si="116"/>
        <v/>
      </c>
    </row>
    <row r="2454" spans="4:11">
      <c r="D2454" s="99" t="s">
        <v>1229</v>
      </c>
      <c r="E2454" s="88"/>
      <c r="F2454" s="88"/>
      <c r="G2454">
        <v>1</v>
      </c>
      <c r="H2454">
        <v>4</v>
      </c>
      <c r="I2454" s="1">
        <f t="shared" si="115"/>
        <v>-3</v>
      </c>
      <c r="J2454" s="1">
        <f t="shared" si="114"/>
        <v>0</v>
      </c>
      <c r="K2454" s="1">
        <f t="shared" si="116"/>
        <v>9</v>
      </c>
    </row>
    <row r="2455" spans="4:11" ht="15.75" thickBot="1">
      <c r="D2455" s="100"/>
      <c r="E2455" s="89" t="s">
        <v>19</v>
      </c>
      <c r="F2455" s="89" t="s">
        <v>21</v>
      </c>
      <c r="G2455"/>
      <c r="H2455"/>
      <c r="I2455" s="1" t="str">
        <f t="shared" si="115"/>
        <v/>
      </c>
      <c r="J2455" s="1" t="str">
        <f t="shared" si="114"/>
        <v/>
      </c>
      <c r="K2455" s="1" t="str">
        <f t="shared" si="116"/>
        <v/>
      </c>
    </row>
    <row r="2456" spans="4:11">
      <c r="D2456" s="97" t="s">
        <v>1229</v>
      </c>
      <c r="E2456" s="86"/>
      <c r="F2456" s="86"/>
      <c r="G2456">
        <v>2</v>
      </c>
      <c r="H2456">
        <v>3</v>
      </c>
      <c r="I2456" s="1">
        <f t="shared" si="115"/>
        <v>-1</v>
      </c>
      <c r="J2456" s="1">
        <f t="shared" si="114"/>
        <v>0</v>
      </c>
      <c r="K2456" s="1">
        <f t="shared" si="116"/>
        <v>1</v>
      </c>
    </row>
    <row r="2457" spans="4:11" ht="15.75" thickBot="1">
      <c r="D2457" s="98"/>
      <c r="E2457" s="87" t="s">
        <v>20</v>
      </c>
      <c r="F2457" s="87" t="s">
        <v>22</v>
      </c>
      <c r="G2457"/>
      <c r="H2457"/>
      <c r="I2457" s="1" t="str">
        <f t="shared" si="115"/>
        <v/>
      </c>
      <c r="J2457" s="1" t="str">
        <f t="shared" si="114"/>
        <v/>
      </c>
      <c r="K2457" s="1" t="str">
        <f t="shared" si="116"/>
        <v/>
      </c>
    </row>
    <row r="2458" spans="4:11">
      <c r="D2458" s="99" t="s">
        <v>1229</v>
      </c>
      <c r="E2458" s="88"/>
      <c r="F2458" s="88"/>
      <c r="G2458">
        <v>2</v>
      </c>
      <c r="H2458">
        <v>1</v>
      </c>
      <c r="I2458" s="1">
        <f t="shared" si="115"/>
        <v>1</v>
      </c>
      <c r="J2458" s="1">
        <f t="shared" si="114"/>
        <v>0</v>
      </c>
      <c r="K2458" s="1">
        <f t="shared" si="116"/>
        <v>1</v>
      </c>
    </row>
    <row r="2459" spans="4:11" ht="15.75" thickBot="1">
      <c r="D2459" s="100"/>
      <c r="E2459" s="89" t="s">
        <v>10</v>
      </c>
      <c r="F2459" s="89" t="s">
        <v>26</v>
      </c>
      <c r="G2459"/>
      <c r="H2459"/>
      <c r="I2459" s="1" t="str">
        <f t="shared" si="115"/>
        <v/>
      </c>
      <c r="J2459" s="1" t="str">
        <f t="shared" si="114"/>
        <v/>
      </c>
      <c r="K2459" s="1" t="str">
        <f t="shared" si="116"/>
        <v/>
      </c>
    </row>
    <row r="2460" spans="4:11">
      <c r="D2460" s="97" t="s">
        <v>1229</v>
      </c>
      <c r="E2460" s="86"/>
      <c r="F2460" s="86"/>
      <c r="G2460">
        <v>5</v>
      </c>
      <c r="H2460">
        <v>6</v>
      </c>
      <c r="I2460" s="1">
        <f t="shared" si="115"/>
        <v>-1</v>
      </c>
      <c r="J2460" s="1">
        <f t="shared" si="114"/>
        <v>0</v>
      </c>
      <c r="K2460" s="1">
        <f t="shared" si="116"/>
        <v>1</v>
      </c>
    </row>
    <row r="2461" spans="4:11">
      <c r="D2461" s="101"/>
      <c r="E2461" s="91" t="s">
        <v>24</v>
      </c>
      <c r="F2461" s="91" t="s">
        <v>3</v>
      </c>
      <c r="G2461"/>
      <c r="H2461"/>
      <c r="I2461" s="1" t="str">
        <f t="shared" si="115"/>
        <v/>
      </c>
      <c r="J2461" s="1" t="str">
        <f t="shared" si="114"/>
        <v/>
      </c>
      <c r="K2461" s="1" t="str">
        <f t="shared" si="116"/>
        <v/>
      </c>
    </row>
  </sheetData>
  <sortState ref="A2:B31">
    <sortCondition ref="A2"/>
  </sortState>
  <mergeCells count="297">
    <mergeCell ref="D2444:D2445"/>
    <mergeCell ref="D2446:D2447"/>
    <mergeCell ref="D2448:D2449"/>
    <mergeCell ref="D2450:D2451"/>
    <mergeCell ref="D2452:D2453"/>
    <mergeCell ref="D2454:D2455"/>
    <mergeCell ref="D2456:D2457"/>
    <mergeCell ref="D2458:D2459"/>
    <mergeCell ref="D2460:D2461"/>
    <mergeCell ref="D2426:D2427"/>
    <mergeCell ref="D2428:D2429"/>
    <mergeCell ref="D2430:D2431"/>
    <mergeCell ref="D2432:D2433"/>
    <mergeCell ref="D2434:D2435"/>
    <mergeCell ref="D2436:D2437"/>
    <mergeCell ref="D2438:D2439"/>
    <mergeCell ref="D2440:D2441"/>
    <mergeCell ref="D2442:D2443"/>
    <mergeCell ref="D2408:D2409"/>
    <mergeCell ref="D2410:D2411"/>
    <mergeCell ref="D2412:D2413"/>
    <mergeCell ref="D2414:D2415"/>
    <mergeCell ref="D2416:D2417"/>
    <mergeCell ref="D2418:D2419"/>
    <mergeCell ref="D2420:D2421"/>
    <mergeCell ref="D2422:D2423"/>
    <mergeCell ref="D2424:D2425"/>
    <mergeCell ref="D2390:D2391"/>
    <mergeCell ref="D2392:D2393"/>
    <mergeCell ref="D2394:D2395"/>
    <mergeCell ref="D2396:D2397"/>
    <mergeCell ref="D2398:D2399"/>
    <mergeCell ref="D2400:D2401"/>
    <mergeCell ref="D2402:D2403"/>
    <mergeCell ref="D2404:D2405"/>
    <mergeCell ref="D2406:D2407"/>
    <mergeCell ref="D2372:D2373"/>
    <mergeCell ref="D2374:D2375"/>
    <mergeCell ref="D2376:D2377"/>
    <mergeCell ref="D2378:D2379"/>
    <mergeCell ref="D2380:D2381"/>
    <mergeCell ref="D2382:D2383"/>
    <mergeCell ref="D2384:D2385"/>
    <mergeCell ref="D2386:D2387"/>
    <mergeCell ref="D2388:D2389"/>
    <mergeCell ref="D2354:D2355"/>
    <mergeCell ref="D2356:D2357"/>
    <mergeCell ref="D2358:D2359"/>
    <mergeCell ref="D2360:D2361"/>
    <mergeCell ref="D2362:D2363"/>
    <mergeCell ref="D2364:D2365"/>
    <mergeCell ref="D2366:D2367"/>
    <mergeCell ref="D2368:D2369"/>
    <mergeCell ref="D2370:D2371"/>
    <mergeCell ref="D2336:D2337"/>
    <mergeCell ref="D2338:D2339"/>
    <mergeCell ref="D2340:D2341"/>
    <mergeCell ref="D2342:D2343"/>
    <mergeCell ref="D2344:D2345"/>
    <mergeCell ref="D2346:D2347"/>
    <mergeCell ref="D2348:D2349"/>
    <mergeCell ref="D2350:D2351"/>
    <mergeCell ref="D2352:D2353"/>
    <mergeCell ref="D2318:D2319"/>
    <mergeCell ref="D2320:D2321"/>
    <mergeCell ref="D2322:D2323"/>
    <mergeCell ref="D2324:D2325"/>
    <mergeCell ref="D2326:D2327"/>
    <mergeCell ref="D2328:D2329"/>
    <mergeCell ref="D2330:D2331"/>
    <mergeCell ref="D2332:D2333"/>
    <mergeCell ref="D2334:D2335"/>
    <mergeCell ref="D2300:D2301"/>
    <mergeCell ref="D2302:D2303"/>
    <mergeCell ref="D2304:D2305"/>
    <mergeCell ref="D2306:D2307"/>
    <mergeCell ref="D2308:D2309"/>
    <mergeCell ref="D2310:D2311"/>
    <mergeCell ref="D2312:D2313"/>
    <mergeCell ref="D2314:D2315"/>
    <mergeCell ref="D2316:D2317"/>
    <mergeCell ref="D2288:D2289"/>
    <mergeCell ref="D2290:D2291"/>
    <mergeCell ref="D2292:D2293"/>
    <mergeCell ref="D2294:D2295"/>
    <mergeCell ref="D2296:D2297"/>
    <mergeCell ref="D2298:D2299"/>
    <mergeCell ref="D2276:D2277"/>
    <mergeCell ref="D2278:D2279"/>
    <mergeCell ref="D2280:D2281"/>
    <mergeCell ref="D2282:D2283"/>
    <mergeCell ref="D2284:D2285"/>
    <mergeCell ref="D2286:D2287"/>
    <mergeCell ref="D2264:D2265"/>
    <mergeCell ref="D2266:D2267"/>
    <mergeCell ref="D2268:D2269"/>
    <mergeCell ref="D2270:D2271"/>
    <mergeCell ref="D2272:D2273"/>
    <mergeCell ref="D2274:D2275"/>
    <mergeCell ref="D2252:D2253"/>
    <mergeCell ref="D2254:D2255"/>
    <mergeCell ref="D2256:D2257"/>
    <mergeCell ref="D2258:D2259"/>
    <mergeCell ref="D2260:D2261"/>
    <mergeCell ref="D2262:D2263"/>
    <mergeCell ref="D2240:D2241"/>
    <mergeCell ref="D2242:D2243"/>
    <mergeCell ref="D2244:D2245"/>
    <mergeCell ref="D2246:D2247"/>
    <mergeCell ref="D2248:D2249"/>
    <mergeCell ref="D2250:D2251"/>
    <mergeCell ref="D2228:D2229"/>
    <mergeCell ref="D2230:D2231"/>
    <mergeCell ref="D2232:D2233"/>
    <mergeCell ref="D2234:D2235"/>
    <mergeCell ref="D2236:D2237"/>
    <mergeCell ref="D2238:D2239"/>
    <mergeCell ref="D2216:D2217"/>
    <mergeCell ref="D2218:D2219"/>
    <mergeCell ref="D2220:D2221"/>
    <mergeCell ref="D2222:D2223"/>
    <mergeCell ref="D2224:D2225"/>
    <mergeCell ref="D2226:D2227"/>
    <mergeCell ref="D2204:D2205"/>
    <mergeCell ref="D2206:D2207"/>
    <mergeCell ref="D2208:D2209"/>
    <mergeCell ref="D2210:D2211"/>
    <mergeCell ref="D2212:D2213"/>
    <mergeCell ref="D2214:D2215"/>
    <mergeCell ref="D2192:D2193"/>
    <mergeCell ref="D2194:D2195"/>
    <mergeCell ref="D2196:D2197"/>
    <mergeCell ref="D2198:D2199"/>
    <mergeCell ref="D2200:D2201"/>
    <mergeCell ref="D2202:D2203"/>
    <mergeCell ref="D2180:D2181"/>
    <mergeCell ref="D2182:D2183"/>
    <mergeCell ref="D2184:D2185"/>
    <mergeCell ref="D2186:D2187"/>
    <mergeCell ref="D2188:D2189"/>
    <mergeCell ref="D2190:D2191"/>
    <mergeCell ref="D2168:D2169"/>
    <mergeCell ref="D2170:D2171"/>
    <mergeCell ref="D2172:D2173"/>
    <mergeCell ref="D2174:D2175"/>
    <mergeCell ref="D2176:D2177"/>
    <mergeCell ref="D2178:D2179"/>
    <mergeCell ref="D2156:D2157"/>
    <mergeCell ref="D2158:D2159"/>
    <mergeCell ref="D2160:D2161"/>
    <mergeCell ref="D2162:D2163"/>
    <mergeCell ref="D2164:D2165"/>
    <mergeCell ref="D2166:D2167"/>
    <mergeCell ref="D2144:D2145"/>
    <mergeCell ref="D2146:D2147"/>
    <mergeCell ref="D2148:D2149"/>
    <mergeCell ref="D2150:D2151"/>
    <mergeCell ref="D2152:D2153"/>
    <mergeCell ref="D2154:D2155"/>
    <mergeCell ref="D2132:D2133"/>
    <mergeCell ref="D2134:D2135"/>
    <mergeCell ref="D2136:D2137"/>
    <mergeCell ref="D2138:D2139"/>
    <mergeCell ref="D2140:D2141"/>
    <mergeCell ref="D2142:D2143"/>
    <mergeCell ref="D2120:D2121"/>
    <mergeCell ref="D2122:D2123"/>
    <mergeCell ref="D2124:D2125"/>
    <mergeCell ref="D2126:D2127"/>
    <mergeCell ref="D2128:D2129"/>
    <mergeCell ref="D2130:D2131"/>
    <mergeCell ref="D2108:D2109"/>
    <mergeCell ref="D2110:D2111"/>
    <mergeCell ref="D2112:D2113"/>
    <mergeCell ref="D2114:D2115"/>
    <mergeCell ref="D2116:D2117"/>
    <mergeCell ref="D2118:D2119"/>
    <mergeCell ref="D2096:D2097"/>
    <mergeCell ref="D2098:D2099"/>
    <mergeCell ref="D2100:D2101"/>
    <mergeCell ref="D2102:D2103"/>
    <mergeCell ref="D2104:D2105"/>
    <mergeCell ref="D2106:D2107"/>
    <mergeCell ref="D2084:D2085"/>
    <mergeCell ref="D2086:D2087"/>
    <mergeCell ref="D2088:D2089"/>
    <mergeCell ref="D2090:D2091"/>
    <mergeCell ref="D2092:D2093"/>
    <mergeCell ref="D2094:D2095"/>
    <mergeCell ref="D2072:D2073"/>
    <mergeCell ref="D2074:D2075"/>
    <mergeCell ref="D2076:D2077"/>
    <mergeCell ref="D2078:D2079"/>
    <mergeCell ref="D2080:D2081"/>
    <mergeCell ref="D2082:D2083"/>
    <mergeCell ref="D2060:D2061"/>
    <mergeCell ref="D2062:D2063"/>
    <mergeCell ref="D2064:D2065"/>
    <mergeCell ref="D2066:D2067"/>
    <mergeCell ref="D2068:D2069"/>
    <mergeCell ref="D2070:D2071"/>
    <mergeCell ref="D2048:D2049"/>
    <mergeCell ref="D2050:D2051"/>
    <mergeCell ref="D2052:D2053"/>
    <mergeCell ref="D2054:D2055"/>
    <mergeCell ref="D2056:D2057"/>
    <mergeCell ref="D2058:D2059"/>
    <mergeCell ref="D2036:D2037"/>
    <mergeCell ref="D2038:D2039"/>
    <mergeCell ref="D2040:D2041"/>
    <mergeCell ref="D2042:D2043"/>
    <mergeCell ref="D2044:D2045"/>
    <mergeCell ref="D2046:D2047"/>
    <mergeCell ref="D2024:D2025"/>
    <mergeCell ref="D2026:D2027"/>
    <mergeCell ref="D2028:D2029"/>
    <mergeCell ref="D2030:D2031"/>
    <mergeCell ref="D2032:D2033"/>
    <mergeCell ref="D2034:D2035"/>
    <mergeCell ref="D2012:D2013"/>
    <mergeCell ref="D2014:D2015"/>
    <mergeCell ref="D2016:D2017"/>
    <mergeCell ref="D2018:D2019"/>
    <mergeCell ref="D2020:D2021"/>
    <mergeCell ref="D2022:D2023"/>
    <mergeCell ref="D2000:D2001"/>
    <mergeCell ref="D2002:D2003"/>
    <mergeCell ref="D2004:D2005"/>
    <mergeCell ref="D2006:D2007"/>
    <mergeCell ref="D2008:D2009"/>
    <mergeCell ref="D2010:D2011"/>
    <mergeCell ref="D1988:D1989"/>
    <mergeCell ref="D1990:D1991"/>
    <mergeCell ref="D1992:D1993"/>
    <mergeCell ref="D1994:D1995"/>
    <mergeCell ref="D1996:D1997"/>
    <mergeCell ref="D1998:D1999"/>
    <mergeCell ref="D1976:D1977"/>
    <mergeCell ref="D1978:D1979"/>
    <mergeCell ref="D1980:D1981"/>
    <mergeCell ref="D1982:D1983"/>
    <mergeCell ref="D1984:D1985"/>
    <mergeCell ref="D1986:D1987"/>
    <mergeCell ref="D1964:D1965"/>
    <mergeCell ref="D1966:D1967"/>
    <mergeCell ref="D1968:D1969"/>
    <mergeCell ref="D1970:D1971"/>
    <mergeCell ref="D1972:D1973"/>
    <mergeCell ref="D1974:D1975"/>
    <mergeCell ref="D1952:D1953"/>
    <mergeCell ref="D1954:D1955"/>
    <mergeCell ref="D1956:D1957"/>
    <mergeCell ref="D1958:D1959"/>
    <mergeCell ref="D1960:D1961"/>
    <mergeCell ref="D1962:D1963"/>
    <mergeCell ref="D1940:D1941"/>
    <mergeCell ref="D1942:D1943"/>
    <mergeCell ref="D1944:D1945"/>
    <mergeCell ref="D1946:D1947"/>
    <mergeCell ref="D1948:D1949"/>
    <mergeCell ref="D1950:D1951"/>
    <mergeCell ref="D1928:D1929"/>
    <mergeCell ref="D1930:D1931"/>
    <mergeCell ref="D1932:D1933"/>
    <mergeCell ref="D1934:D1935"/>
    <mergeCell ref="D1936:D1937"/>
    <mergeCell ref="D1938:D1939"/>
    <mergeCell ref="D1916:D1917"/>
    <mergeCell ref="D1918:D1919"/>
    <mergeCell ref="D1920:D1921"/>
    <mergeCell ref="D1922:D1923"/>
    <mergeCell ref="D1924:D1925"/>
    <mergeCell ref="D1926:D1927"/>
    <mergeCell ref="D1904:D1905"/>
    <mergeCell ref="D1906:D1907"/>
    <mergeCell ref="D1908:D1909"/>
    <mergeCell ref="D1910:D1911"/>
    <mergeCell ref="D1912:D1913"/>
    <mergeCell ref="D1914:D1915"/>
    <mergeCell ref="D1892:D1893"/>
    <mergeCell ref="D1894:D1895"/>
    <mergeCell ref="D1896:D1897"/>
    <mergeCell ref="D1898:D1899"/>
    <mergeCell ref="D1900:D1901"/>
    <mergeCell ref="D1902:D1903"/>
    <mergeCell ref="D1880:D1881"/>
    <mergeCell ref="D1882:D1883"/>
    <mergeCell ref="D1884:D1885"/>
    <mergeCell ref="D1886:D1887"/>
    <mergeCell ref="D1888:D1889"/>
    <mergeCell ref="D1890:D1891"/>
    <mergeCell ref="D1868:D1869"/>
    <mergeCell ref="D1870:D1871"/>
    <mergeCell ref="D1872:D1873"/>
    <mergeCell ref="D1874:D1875"/>
    <mergeCell ref="D1876:D1877"/>
    <mergeCell ref="D1878:D1879"/>
  </mergeCells>
  <hyperlinks>
    <hyperlink ref="E3" r:id="rId1" display="javascript:void(0);"/>
    <hyperlink ref="F3" r:id="rId2" display="javascript:void(0);"/>
    <hyperlink ref="E5" r:id="rId3" display="javascript:void(0);"/>
    <hyperlink ref="F5" r:id="rId4" display="javascript:void(0);"/>
    <hyperlink ref="E7" r:id="rId5" display="javascript:void(0);"/>
    <hyperlink ref="F7" r:id="rId6" display="javascript:void(0);"/>
    <hyperlink ref="E9" r:id="rId7" display="javascript:void(0);"/>
    <hyperlink ref="F9" r:id="rId8" display="javascript:void(0);"/>
    <hyperlink ref="E11" r:id="rId9" display="javascript:void(0);"/>
    <hyperlink ref="F11" r:id="rId10" display="javascript:void(0);"/>
    <hyperlink ref="E13" r:id="rId11" display="javascript:void(0);"/>
    <hyperlink ref="F13" r:id="rId12" display="javascript:void(0);"/>
    <hyperlink ref="E15" r:id="rId13" display="javascript:void(0);"/>
    <hyperlink ref="F15" r:id="rId14" display="javascript:void(0);"/>
    <hyperlink ref="E17" r:id="rId15" display="javascript:void(0);"/>
    <hyperlink ref="F17" r:id="rId16" display="javascript:void(0);"/>
    <hyperlink ref="E19" r:id="rId17" display="javascript:void(0);"/>
    <hyperlink ref="F19" r:id="rId18" display="javascript:void(0);"/>
    <hyperlink ref="E21" r:id="rId19" display="javascript:void(0);"/>
    <hyperlink ref="F21" r:id="rId20" display="javascript:void(0);"/>
    <hyperlink ref="E23" r:id="rId21" display="javascript:void(0);"/>
    <hyperlink ref="F23" r:id="rId22" display="javascript:void(0);"/>
    <hyperlink ref="E25" r:id="rId23" display="javascript:void(0);"/>
    <hyperlink ref="F25" r:id="rId24" display="javascript:void(0);"/>
    <hyperlink ref="E27" r:id="rId25" display="javascript:void(0);"/>
    <hyperlink ref="F27" r:id="rId26" display="javascript:void(0);"/>
    <hyperlink ref="E29" r:id="rId27" display="javascript:void(0);"/>
    <hyperlink ref="F29" r:id="rId28" display="javascript:void(0);"/>
    <hyperlink ref="E31" r:id="rId29" display="javascript:void(0);"/>
    <hyperlink ref="F31" r:id="rId30" display="javascript:void(0);"/>
    <hyperlink ref="E33" r:id="rId31" display="javascript:void(0);"/>
    <hyperlink ref="F33" r:id="rId32" display="javascript:void(0);"/>
    <hyperlink ref="E35" r:id="rId33" display="javascript:void(0);"/>
    <hyperlink ref="F35" r:id="rId34" display="javascript:void(0);"/>
    <hyperlink ref="E37" r:id="rId35" display="javascript:void(0);"/>
    <hyperlink ref="F37" r:id="rId36" display="javascript:void(0);"/>
    <hyperlink ref="E39" r:id="rId37" display="javascript:void(0);"/>
    <hyperlink ref="F39" r:id="rId38" display="javascript:void(0);"/>
    <hyperlink ref="E41" r:id="rId39" display="javascript:void(0);"/>
    <hyperlink ref="F41" r:id="rId40" display="javascript:void(0);"/>
    <hyperlink ref="E43" r:id="rId41" display="javascript:void(0);"/>
    <hyperlink ref="F43" r:id="rId42" display="javascript:void(0);"/>
    <hyperlink ref="E45" r:id="rId43" display="javascript:void(0);"/>
    <hyperlink ref="F45" r:id="rId44" display="javascript:void(0);"/>
    <hyperlink ref="E47" r:id="rId45" display="javascript:void(0);"/>
    <hyperlink ref="F47" r:id="rId46" display="javascript:void(0);"/>
    <hyperlink ref="E49" r:id="rId47" display="javascript:void(0);"/>
    <hyperlink ref="F49" r:id="rId48" display="javascript:void(0);"/>
    <hyperlink ref="E51" r:id="rId49" display="javascript:void(0);"/>
    <hyperlink ref="F51" r:id="rId50" display="javascript:void(0);"/>
    <hyperlink ref="E53" r:id="rId51" display="javascript:void(0);"/>
    <hyperlink ref="F53" r:id="rId52" display="javascript:void(0);"/>
    <hyperlink ref="E55" r:id="rId53" display="javascript:void(0);"/>
    <hyperlink ref="F55" r:id="rId54" display="javascript:void(0);"/>
    <hyperlink ref="E57" r:id="rId55" display="javascript:void(0);"/>
    <hyperlink ref="F57" r:id="rId56" display="javascript:void(0);"/>
    <hyperlink ref="E59" r:id="rId57" display="javascript:void(0);"/>
    <hyperlink ref="F59" r:id="rId58" display="javascript:void(0);"/>
    <hyperlink ref="E61" r:id="rId59" display="javascript:void(0);"/>
    <hyperlink ref="F61" r:id="rId60" display="javascript:void(0);"/>
    <hyperlink ref="E63" r:id="rId61" display="javascript:void(0);"/>
    <hyperlink ref="F63" r:id="rId62" display="javascript:void(0);"/>
    <hyperlink ref="E65" r:id="rId63" display="javascript:void(0);"/>
    <hyperlink ref="F65" r:id="rId64" display="javascript:void(0);"/>
    <hyperlink ref="E67" r:id="rId65" display="javascript:void(0);"/>
    <hyperlink ref="F67" r:id="rId66" display="javascript:void(0);"/>
    <hyperlink ref="E69" r:id="rId67" display="javascript:void(0);"/>
    <hyperlink ref="F69" r:id="rId68" display="javascript:void(0);"/>
    <hyperlink ref="E71" r:id="rId69" display="javascript:void(0);"/>
    <hyperlink ref="F71" r:id="rId70" display="javascript:void(0);"/>
    <hyperlink ref="E73" r:id="rId71" display="javascript:void(0);"/>
    <hyperlink ref="F73" r:id="rId72" display="javascript:void(0);"/>
    <hyperlink ref="E75" r:id="rId73" display="javascript:void(0);"/>
    <hyperlink ref="F75" r:id="rId74" display="javascript:void(0);"/>
    <hyperlink ref="E77" r:id="rId75" display="javascript:void(0);"/>
    <hyperlink ref="F77" r:id="rId76" display="javascript:void(0);"/>
    <hyperlink ref="E79" r:id="rId77" display="javascript:void(0);"/>
    <hyperlink ref="F79" r:id="rId78" display="javascript:void(0);"/>
    <hyperlink ref="E81" r:id="rId79" display="javascript:void(0);"/>
    <hyperlink ref="F81" r:id="rId80" display="javascript:void(0);"/>
    <hyperlink ref="E83" r:id="rId81" display="javascript:void(0);"/>
    <hyperlink ref="F83" r:id="rId82" display="javascript:void(0);"/>
    <hyperlink ref="E85" r:id="rId83" display="javascript:void(0);"/>
    <hyperlink ref="F85" r:id="rId84" display="javascript:void(0);"/>
    <hyperlink ref="E87" r:id="rId85" display="javascript:void(0);"/>
    <hyperlink ref="F87" r:id="rId86" display="javascript:void(0);"/>
    <hyperlink ref="E89" r:id="rId87" display="javascript:void(0);"/>
    <hyperlink ref="F89" r:id="rId88" display="javascript:void(0);"/>
    <hyperlink ref="E91" r:id="rId89" display="javascript:void(0);"/>
    <hyperlink ref="F91" r:id="rId90" display="javascript:void(0);"/>
    <hyperlink ref="E93" r:id="rId91" display="javascript:void(0);"/>
    <hyperlink ref="F93" r:id="rId92" display="javascript:void(0);"/>
    <hyperlink ref="E95" r:id="rId93" display="javascript:void(0);"/>
    <hyperlink ref="F95" r:id="rId94" display="javascript:void(0);"/>
    <hyperlink ref="E97" r:id="rId95" display="javascript:void(0);"/>
    <hyperlink ref="F97" r:id="rId96" display="javascript:void(0);"/>
    <hyperlink ref="E99" r:id="rId97" display="javascript:void(0);"/>
    <hyperlink ref="F99" r:id="rId98" display="javascript:void(0);"/>
    <hyperlink ref="E101" r:id="rId99" display="javascript:void(0);"/>
    <hyperlink ref="F101" r:id="rId100" display="javascript:void(0);"/>
    <hyperlink ref="E103" r:id="rId101" display="javascript:void(0);"/>
    <hyperlink ref="F103" r:id="rId102" display="javascript:void(0);"/>
    <hyperlink ref="E105" r:id="rId103" display="javascript:void(0);"/>
    <hyperlink ref="F105" r:id="rId104" display="javascript:void(0);"/>
    <hyperlink ref="E107" r:id="rId105" display="javascript:void(0);"/>
    <hyperlink ref="F107" r:id="rId106" display="javascript:void(0);"/>
    <hyperlink ref="E109" r:id="rId107" display="javascript:void(0);"/>
    <hyperlink ref="F109" r:id="rId108" display="javascript:void(0);"/>
    <hyperlink ref="E111" r:id="rId109" display="javascript:void(0);"/>
    <hyperlink ref="F111" r:id="rId110" display="javascript:void(0);"/>
    <hyperlink ref="E113" r:id="rId111" display="javascript:void(0);"/>
    <hyperlink ref="F113" r:id="rId112" display="javascript:void(0);"/>
    <hyperlink ref="E115" r:id="rId113" display="javascript:void(0);"/>
    <hyperlink ref="F115" r:id="rId114" display="javascript:void(0);"/>
    <hyperlink ref="E117" r:id="rId115" display="javascript:void(0);"/>
    <hyperlink ref="F117" r:id="rId116" display="javascript:void(0);"/>
    <hyperlink ref="E119" r:id="rId117" display="javascript:void(0);"/>
    <hyperlink ref="F119" r:id="rId118" display="javascript:void(0);"/>
    <hyperlink ref="E121" r:id="rId119" display="javascript:void(0);"/>
    <hyperlink ref="F121" r:id="rId120" display="javascript:void(0);"/>
    <hyperlink ref="E123" r:id="rId121" display="javascript:void(0);"/>
    <hyperlink ref="F123" r:id="rId122" display="javascript:void(0);"/>
    <hyperlink ref="E125" r:id="rId123" display="javascript:void(0);"/>
    <hyperlink ref="F125" r:id="rId124" display="javascript:void(0);"/>
    <hyperlink ref="E127" r:id="rId125" display="javascript:void(0);"/>
    <hyperlink ref="F127" r:id="rId126" display="javascript:void(0);"/>
    <hyperlink ref="E129" r:id="rId127" display="javascript:void(0);"/>
    <hyperlink ref="F129" r:id="rId128" display="javascript:void(0);"/>
    <hyperlink ref="E131" r:id="rId129" display="javascript:void(0);"/>
    <hyperlink ref="F131" r:id="rId130" display="javascript:void(0);"/>
    <hyperlink ref="E133" r:id="rId131" display="javascript:void(0);"/>
    <hyperlink ref="F133" r:id="rId132" display="javascript:void(0);"/>
    <hyperlink ref="E135" r:id="rId133" display="javascript:void(0);"/>
    <hyperlink ref="F135" r:id="rId134" display="javascript:void(0);"/>
    <hyperlink ref="E137" r:id="rId135" display="javascript:void(0);"/>
    <hyperlink ref="F137" r:id="rId136" display="javascript:void(0);"/>
    <hyperlink ref="E139" r:id="rId137" display="javascript:void(0);"/>
    <hyperlink ref="F139" r:id="rId138" display="javascript:void(0);"/>
    <hyperlink ref="E141" r:id="rId139" display="javascript:void(0);"/>
    <hyperlink ref="F141" r:id="rId140" display="javascript:void(0);"/>
    <hyperlink ref="E143" r:id="rId141" display="javascript:void(0);"/>
    <hyperlink ref="F143" r:id="rId142" display="javascript:void(0);"/>
    <hyperlink ref="E145" r:id="rId143" display="javascript:void(0);"/>
    <hyperlink ref="F145" r:id="rId144" display="javascript:void(0);"/>
    <hyperlink ref="E147" r:id="rId145" display="javascript:void(0);"/>
    <hyperlink ref="F147" r:id="rId146" display="javascript:void(0);"/>
    <hyperlink ref="E149" r:id="rId147" display="javascript:void(0);"/>
    <hyperlink ref="F149" r:id="rId148" display="javascript:void(0);"/>
    <hyperlink ref="E151" r:id="rId149" display="javascript:void(0);"/>
    <hyperlink ref="F151" r:id="rId150" display="javascript:void(0);"/>
    <hyperlink ref="E153" r:id="rId151" display="javascript:void(0);"/>
    <hyperlink ref="F153" r:id="rId152" display="javascript:void(0);"/>
    <hyperlink ref="E155" r:id="rId153" display="javascript:void(0);"/>
    <hyperlink ref="F155" r:id="rId154" display="javascript:void(0);"/>
    <hyperlink ref="E157" r:id="rId155" display="javascript:void(0);"/>
    <hyperlink ref="F157" r:id="rId156" display="javascript:void(0);"/>
    <hyperlink ref="E159" r:id="rId157" display="javascript:void(0);"/>
    <hyperlink ref="F159" r:id="rId158" display="javascript:void(0);"/>
    <hyperlink ref="E161" r:id="rId159" display="javascript:void(0);"/>
    <hyperlink ref="F161" r:id="rId160" display="javascript:void(0);"/>
    <hyperlink ref="E163" r:id="rId161" display="javascript:void(0);"/>
    <hyperlink ref="F163" r:id="rId162" display="javascript:void(0);"/>
    <hyperlink ref="E165" r:id="rId163" display="javascript:void(0);"/>
    <hyperlink ref="F165" r:id="rId164" display="javascript:void(0);"/>
    <hyperlink ref="E167" r:id="rId165" display="javascript:void(0);"/>
    <hyperlink ref="F167" r:id="rId166" display="javascript:void(0);"/>
    <hyperlink ref="E169" r:id="rId167" display="javascript:void(0);"/>
    <hyperlink ref="F169" r:id="rId168" display="javascript:void(0);"/>
    <hyperlink ref="E171" r:id="rId169" display="javascript:void(0);"/>
    <hyperlink ref="F171" r:id="rId170" display="javascript:void(0);"/>
    <hyperlink ref="E173" r:id="rId171" display="javascript:void(0);"/>
    <hyperlink ref="F173" r:id="rId172" display="javascript:void(0);"/>
    <hyperlink ref="E175" r:id="rId173" display="javascript:void(0);"/>
    <hyperlink ref="F175" r:id="rId174" display="javascript:void(0);"/>
    <hyperlink ref="E177" r:id="rId175" display="javascript:void(0);"/>
    <hyperlink ref="F177" r:id="rId176" display="javascript:void(0);"/>
    <hyperlink ref="E179" r:id="rId177" display="javascript:void(0);"/>
    <hyperlink ref="F179" r:id="rId178" display="javascript:void(0);"/>
    <hyperlink ref="E181" r:id="rId179" display="javascript:void(0);"/>
    <hyperlink ref="F181" r:id="rId180" display="javascript:void(0);"/>
    <hyperlink ref="E183" r:id="rId181" display="javascript:void(0);"/>
    <hyperlink ref="F183" r:id="rId182" display="javascript:void(0);"/>
    <hyperlink ref="E185" r:id="rId183" display="javascript:void(0);"/>
    <hyperlink ref="F185" r:id="rId184" display="javascript:void(0);"/>
    <hyperlink ref="E187" r:id="rId185" display="javascript:void(0);"/>
    <hyperlink ref="F187" r:id="rId186" display="javascript:void(0);"/>
    <hyperlink ref="E189" r:id="rId187" display="javascript:void(0);"/>
    <hyperlink ref="F189" r:id="rId188" display="javascript:void(0);"/>
    <hyperlink ref="E191" r:id="rId189" display="javascript:void(0);"/>
    <hyperlink ref="F191" r:id="rId190" display="javascript:void(0);"/>
    <hyperlink ref="E193" r:id="rId191" display="javascript:void(0);"/>
    <hyperlink ref="F193" r:id="rId192" display="javascript:void(0);"/>
    <hyperlink ref="E195" r:id="rId193" display="javascript:void(0);"/>
    <hyperlink ref="F195" r:id="rId194" display="javascript:void(0);"/>
    <hyperlink ref="E197" r:id="rId195" display="javascript:void(0);"/>
    <hyperlink ref="F197" r:id="rId196" display="javascript:void(0);"/>
    <hyperlink ref="E199" r:id="rId197" display="javascript:void(0);"/>
    <hyperlink ref="F199" r:id="rId198" display="javascript:void(0);"/>
    <hyperlink ref="E201" r:id="rId199" display="javascript:void(0);"/>
    <hyperlink ref="F201" r:id="rId200" display="javascript:void(0);"/>
    <hyperlink ref="E203" r:id="rId201" display="javascript:void(0);"/>
    <hyperlink ref="F203" r:id="rId202" display="javascript:void(0);"/>
    <hyperlink ref="E205" r:id="rId203" display="javascript:void(0);"/>
    <hyperlink ref="F205" r:id="rId204" display="javascript:void(0);"/>
    <hyperlink ref="E207" r:id="rId205" display="javascript:void(0);"/>
    <hyperlink ref="F207" r:id="rId206" display="javascript:void(0);"/>
    <hyperlink ref="E209" r:id="rId207" display="javascript:void(0);"/>
    <hyperlink ref="F209" r:id="rId208" display="javascript:void(0);"/>
    <hyperlink ref="E211" r:id="rId209" display="javascript:void(0);"/>
    <hyperlink ref="F211" r:id="rId210" display="javascript:void(0);"/>
    <hyperlink ref="E213" r:id="rId211" display="javascript:void(0);"/>
    <hyperlink ref="F213" r:id="rId212" display="javascript:void(0);"/>
    <hyperlink ref="E215" r:id="rId213" display="javascript:void(0);"/>
    <hyperlink ref="F215" r:id="rId214" display="javascript:void(0);"/>
    <hyperlink ref="E217" r:id="rId215" display="javascript:void(0);"/>
    <hyperlink ref="F217" r:id="rId216" display="javascript:void(0);"/>
    <hyperlink ref="E219" r:id="rId217" display="javascript:void(0);"/>
    <hyperlink ref="F219" r:id="rId218" display="javascript:void(0);"/>
    <hyperlink ref="E221" r:id="rId219" display="javascript:void(0);"/>
    <hyperlink ref="F221" r:id="rId220" display="javascript:void(0);"/>
    <hyperlink ref="E223" r:id="rId221" display="javascript:void(0);"/>
    <hyperlink ref="F223" r:id="rId222" display="javascript:void(0);"/>
    <hyperlink ref="E225" r:id="rId223" display="javascript:void(0);"/>
    <hyperlink ref="F225" r:id="rId224" display="javascript:void(0);"/>
    <hyperlink ref="E227" r:id="rId225" display="javascript:void(0);"/>
    <hyperlink ref="F227" r:id="rId226" display="javascript:void(0);"/>
    <hyperlink ref="E229" r:id="rId227" display="javascript:void(0);"/>
    <hyperlink ref="F229" r:id="rId228" display="javascript:void(0);"/>
    <hyperlink ref="E231" r:id="rId229" display="javascript:void(0);"/>
    <hyperlink ref="F231" r:id="rId230" display="javascript:void(0);"/>
    <hyperlink ref="E233" r:id="rId231" display="javascript:void(0);"/>
    <hyperlink ref="F233" r:id="rId232" display="javascript:void(0);"/>
    <hyperlink ref="E235" r:id="rId233" display="javascript:void(0);"/>
    <hyperlink ref="F235" r:id="rId234" display="javascript:void(0);"/>
    <hyperlink ref="E237" r:id="rId235" display="javascript:void(0);"/>
    <hyperlink ref="F237" r:id="rId236" display="javascript:void(0);"/>
    <hyperlink ref="E239" r:id="rId237" display="javascript:void(0);"/>
    <hyperlink ref="F239" r:id="rId238" display="javascript:void(0);"/>
    <hyperlink ref="E241" r:id="rId239" display="javascript:void(0);"/>
    <hyperlink ref="F241" r:id="rId240" display="javascript:void(0);"/>
    <hyperlink ref="E243" r:id="rId241" display="javascript:void(0);"/>
    <hyperlink ref="F243" r:id="rId242" display="javascript:void(0);"/>
    <hyperlink ref="E245" r:id="rId243" display="javascript:void(0);"/>
    <hyperlink ref="F245" r:id="rId244" display="javascript:void(0);"/>
    <hyperlink ref="E247" r:id="rId245" display="javascript:void(0);"/>
    <hyperlink ref="F247" r:id="rId246" display="javascript:void(0);"/>
    <hyperlink ref="E249" r:id="rId247" display="javascript:void(0);"/>
    <hyperlink ref="F249" r:id="rId248" display="javascript:void(0);"/>
    <hyperlink ref="E251" r:id="rId249" display="javascript:void(0);"/>
    <hyperlink ref="F251" r:id="rId250" display="javascript:void(0);"/>
    <hyperlink ref="E253" r:id="rId251" display="javascript:void(0);"/>
    <hyperlink ref="F253" r:id="rId252" display="javascript:void(0);"/>
    <hyperlink ref="E255" r:id="rId253" display="javascript:void(0);"/>
    <hyperlink ref="F255" r:id="rId254" display="javascript:void(0);"/>
    <hyperlink ref="E257" r:id="rId255" display="javascript:void(0);"/>
    <hyperlink ref="F257" r:id="rId256" display="javascript:void(0);"/>
    <hyperlink ref="E259" r:id="rId257" display="javascript:void(0);"/>
    <hyperlink ref="F259" r:id="rId258" display="javascript:void(0);"/>
    <hyperlink ref="E261" r:id="rId259" display="javascript:void(0);"/>
    <hyperlink ref="F261" r:id="rId260" display="javascript:void(0);"/>
    <hyperlink ref="E263" r:id="rId261" display="javascript:void(0);"/>
    <hyperlink ref="F263" r:id="rId262" display="javascript:void(0);"/>
    <hyperlink ref="E265" r:id="rId263" display="javascript:void(0);"/>
    <hyperlink ref="F265" r:id="rId264" display="javascript:void(0);"/>
    <hyperlink ref="E267" r:id="rId265" display="javascript:void(0);"/>
    <hyperlink ref="F267" r:id="rId266" display="javascript:void(0);"/>
    <hyperlink ref="E269" r:id="rId267" display="javascript:void(0);"/>
    <hyperlink ref="F269" r:id="rId268" display="javascript:void(0);"/>
    <hyperlink ref="E271" r:id="rId269" display="javascript:void(0);"/>
    <hyperlink ref="F271" r:id="rId270" display="javascript:void(0);"/>
    <hyperlink ref="E273" r:id="rId271" display="javascript:void(0);"/>
    <hyperlink ref="F273" r:id="rId272" display="javascript:void(0);"/>
    <hyperlink ref="E275" r:id="rId273" display="javascript:void(0);"/>
    <hyperlink ref="F275" r:id="rId274" display="javascript:void(0);"/>
    <hyperlink ref="E277" r:id="rId275" display="javascript:void(0);"/>
    <hyperlink ref="F277" r:id="rId276" display="javascript:void(0);"/>
    <hyperlink ref="E279" r:id="rId277" display="javascript:void(0);"/>
    <hyperlink ref="F279" r:id="rId278" display="javascript:void(0);"/>
    <hyperlink ref="E281" r:id="rId279" display="javascript:void(0);"/>
    <hyperlink ref="F281" r:id="rId280" display="javascript:void(0);"/>
    <hyperlink ref="E283" r:id="rId281" display="javascript:void(0);"/>
    <hyperlink ref="F283" r:id="rId282" display="javascript:void(0);"/>
    <hyperlink ref="E285" r:id="rId283" display="javascript:void(0);"/>
    <hyperlink ref="F285" r:id="rId284" display="javascript:void(0);"/>
    <hyperlink ref="E287" r:id="rId285" display="javascript:void(0);"/>
    <hyperlink ref="F287" r:id="rId286" display="javascript:void(0);"/>
    <hyperlink ref="E289" r:id="rId287" display="javascript:void(0);"/>
    <hyperlink ref="F289" r:id="rId288" display="javascript:void(0);"/>
    <hyperlink ref="E291" r:id="rId289" display="javascript:void(0);"/>
    <hyperlink ref="F291" r:id="rId290" display="javascript:void(0);"/>
    <hyperlink ref="E293" r:id="rId291" display="javascript:void(0);"/>
    <hyperlink ref="F293" r:id="rId292" display="javascript:void(0);"/>
    <hyperlink ref="E295" r:id="rId293" display="javascript:void(0);"/>
    <hyperlink ref="F295" r:id="rId294" display="javascript:void(0);"/>
    <hyperlink ref="E297" r:id="rId295" display="javascript:void(0);"/>
    <hyperlink ref="F297" r:id="rId296" display="javascript:void(0);"/>
    <hyperlink ref="E299" r:id="rId297" display="javascript:void(0);"/>
    <hyperlink ref="F299" r:id="rId298" display="javascript:void(0);"/>
    <hyperlink ref="E301" r:id="rId299" display="javascript:void(0);"/>
    <hyperlink ref="F301" r:id="rId300" display="javascript:void(0);"/>
    <hyperlink ref="E303" r:id="rId301" display="javascript:void(0);"/>
    <hyperlink ref="F303" r:id="rId302" display="javascript:void(0);"/>
    <hyperlink ref="E305" r:id="rId303" display="javascript:void(0);"/>
    <hyperlink ref="F305" r:id="rId304" display="javascript:void(0);"/>
    <hyperlink ref="E307" r:id="rId305" display="javascript:void(0);"/>
    <hyperlink ref="F307" r:id="rId306" display="javascript:void(0);"/>
    <hyperlink ref="E309" r:id="rId307" display="javascript:void(0);"/>
    <hyperlink ref="F309" r:id="rId308" display="javascript:void(0);"/>
    <hyperlink ref="E311" r:id="rId309" display="javascript:void(0);"/>
    <hyperlink ref="F311" r:id="rId310" display="javascript:void(0);"/>
    <hyperlink ref="E313" r:id="rId311" display="javascript:void(0);"/>
    <hyperlink ref="F313" r:id="rId312" display="javascript:void(0);"/>
    <hyperlink ref="E315" r:id="rId313" display="javascript:void(0);"/>
    <hyperlink ref="F315" r:id="rId314" display="javascript:void(0);"/>
    <hyperlink ref="E317" r:id="rId315" display="javascript:void(0);"/>
    <hyperlink ref="F317" r:id="rId316" display="javascript:void(0);"/>
    <hyperlink ref="E319" r:id="rId317" display="javascript:void(0);"/>
    <hyperlink ref="F319" r:id="rId318" display="javascript:void(0);"/>
    <hyperlink ref="E321" r:id="rId319" display="javascript:void(0);"/>
    <hyperlink ref="F321" r:id="rId320" display="javascript:void(0);"/>
    <hyperlink ref="E323" r:id="rId321" display="javascript:void(0);"/>
    <hyperlink ref="F323" r:id="rId322" display="javascript:void(0);"/>
    <hyperlink ref="E325" r:id="rId323" display="javascript:void(0);"/>
    <hyperlink ref="F325" r:id="rId324" display="javascript:void(0);"/>
    <hyperlink ref="E327" r:id="rId325" display="javascript:void(0);"/>
    <hyperlink ref="F327" r:id="rId326" display="javascript:void(0);"/>
    <hyperlink ref="E329" r:id="rId327" display="javascript:void(0);"/>
    <hyperlink ref="F329" r:id="rId328" display="javascript:void(0);"/>
    <hyperlink ref="E331" r:id="rId329" display="javascript:void(0);"/>
    <hyperlink ref="F331" r:id="rId330" display="javascript:void(0);"/>
    <hyperlink ref="E333" r:id="rId331" display="javascript:void(0);"/>
    <hyperlink ref="F333" r:id="rId332" display="javascript:void(0);"/>
    <hyperlink ref="E335" r:id="rId333" display="javascript:void(0);"/>
    <hyperlink ref="F335" r:id="rId334" display="javascript:void(0);"/>
    <hyperlink ref="E337" r:id="rId335" display="javascript:void(0);"/>
    <hyperlink ref="F337" r:id="rId336" display="javascript:void(0);"/>
    <hyperlink ref="E339" r:id="rId337" display="javascript:void(0);"/>
    <hyperlink ref="F339" r:id="rId338" display="javascript:void(0);"/>
    <hyperlink ref="E341" r:id="rId339" display="javascript:void(0);"/>
    <hyperlink ref="F341" r:id="rId340" display="javascript:void(0);"/>
    <hyperlink ref="E343" r:id="rId341" display="javascript:void(0);"/>
    <hyperlink ref="F343" r:id="rId342" display="javascript:void(0);"/>
    <hyperlink ref="E345" r:id="rId343" display="javascript:void(0);"/>
    <hyperlink ref="F345" r:id="rId344" display="javascript:void(0);"/>
    <hyperlink ref="E347" r:id="rId345" display="javascript:void(0);"/>
    <hyperlink ref="F347" r:id="rId346" display="javascript:void(0);"/>
    <hyperlink ref="E349" r:id="rId347" display="javascript:void(0);"/>
    <hyperlink ref="F349" r:id="rId348" display="javascript:void(0);"/>
    <hyperlink ref="E351" r:id="rId349" display="javascript:void(0);"/>
    <hyperlink ref="F351" r:id="rId350" display="javascript:void(0);"/>
    <hyperlink ref="E353" r:id="rId351" display="javascript:void(0);"/>
    <hyperlink ref="F353" r:id="rId352" display="javascript:void(0);"/>
    <hyperlink ref="E355" r:id="rId353" display="javascript:void(0);"/>
    <hyperlink ref="F355" r:id="rId354" display="javascript:void(0);"/>
    <hyperlink ref="E357" r:id="rId355" display="javascript:void(0);"/>
    <hyperlink ref="F357" r:id="rId356" display="javascript:void(0);"/>
    <hyperlink ref="E359" r:id="rId357" display="javascript:void(0);"/>
    <hyperlink ref="F359" r:id="rId358" display="javascript:void(0);"/>
    <hyperlink ref="E361" r:id="rId359" display="javascript:void(0);"/>
    <hyperlink ref="F361" r:id="rId360" display="javascript:void(0);"/>
    <hyperlink ref="E363" r:id="rId361" display="javascript:void(0);"/>
    <hyperlink ref="F363" r:id="rId362" display="javascript:void(0);"/>
    <hyperlink ref="E365" r:id="rId363" display="javascript:void(0);"/>
    <hyperlink ref="F365" r:id="rId364" display="javascript:void(0);"/>
    <hyperlink ref="E367" r:id="rId365" display="javascript:void(0);"/>
    <hyperlink ref="F367" r:id="rId366" display="javascript:void(0);"/>
    <hyperlink ref="E369" r:id="rId367" display="javascript:void(0);"/>
    <hyperlink ref="F369" r:id="rId368" display="javascript:void(0);"/>
    <hyperlink ref="E371" r:id="rId369" display="javascript:void(0);"/>
    <hyperlink ref="F371" r:id="rId370" display="javascript:void(0);"/>
    <hyperlink ref="E373" r:id="rId371" display="javascript:void(0);"/>
    <hyperlink ref="F373" r:id="rId372" display="javascript:void(0);"/>
    <hyperlink ref="E375" r:id="rId373" display="javascript:void(0);"/>
    <hyperlink ref="F375" r:id="rId374" display="javascript:void(0);"/>
    <hyperlink ref="E377" r:id="rId375" display="javascript:void(0);"/>
    <hyperlink ref="F377" r:id="rId376" display="javascript:void(0);"/>
    <hyperlink ref="E379" r:id="rId377" display="javascript:void(0);"/>
    <hyperlink ref="F379" r:id="rId378" display="javascript:void(0);"/>
    <hyperlink ref="E381" r:id="rId379" display="javascript:void(0);"/>
    <hyperlink ref="F381" r:id="rId380" display="javascript:void(0);"/>
    <hyperlink ref="E383" r:id="rId381" display="javascript:void(0);"/>
    <hyperlink ref="F383" r:id="rId382" display="javascript:void(0);"/>
    <hyperlink ref="E385" r:id="rId383" display="javascript:void(0);"/>
    <hyperlink ref="F385" r:id="rId384" display="javascript:void(0);"/>
    <hyperlink ref="E387" r:id="rId385" display="javascript:void(0);"/>
    <hyperlink ref="F387" r:id="rId386" display="javascript:void(0);"/>
    <hyperlink ref="E389" r:id="rId387" display="javascript:void(0);"/>
    <hyperlink ref="F389" r:id="rId388" display="javascript:void(0);"/>
    <hyperlink ref="E391" r:id="rId389" display="javascript:void(0);"/>
    <hyperlink ref="F391" r:id="rId390" display="javascript:void(0);"/>
    <hyperlink ref="E393" r:id="rId391" display="javascript:void(0);"/>
    <hyperlink ref="F393" r:id="rId392" display="javascript:void(0);"/>
    <hyperlink ref="E395" r:id="rId393" display="javascript:void(0);"/>
    <hyperlink ref="F395" r:id="rId394" display="javascript:void(0);"/>
    <hyperlink ref="E397" r:id="rId395" display="javascript:void(0);"/>
    <hyperlink ref="F397" r:id="rId396" display="javascript:void(0);"/>
    <hyperlink ref="E399" r:id="rId397" display="javascript:void(0);"/>
    <hyperlink ref="F399" r:id="rId398" display="javascript:void(0);"/>
    <hyperlink ref="E401" r:id="rId399" display="javascript:void(0);"/>
    <hyperlink ref="F401" r:id="rId400" display="javascript:void(0);"/>
    <hyperlink ref="E403" r:id="rId401" display="javascript:void(0);"/>
    <hyperlink ref="F403" r:id="rId402" display="javascript:void(0);"/>
    <hyperlink ref="E405" r:id="rId403" display="javascript:void(0);"/>
    <hyperlink ref="F405" r:id="rId404" display="javascript:void(0);"/>
    <hyperlink ref="E407" r:id="rId405" display="javascript:void(0);"/>
    <hyperlink ref="F407" r:id="rId406" display="javascript:void(0);"/>
    <hyperlink ref="E409" r:id="rId407" display="javascript:void(0);"/>
    <hyperlink ref="F409" r:id="rId408" display="javascript:void(0);"/>
    <hyperlink ref="E411" r:id="rId409" display="javascript:void(0);"/>
    <hyperlink ref="F411" r:id="rId410" display="javascript:void(0);"/>
    <hyperlink ref="E413" r:id="rId411" display="javascript:void(0);"/>
    <hyperlink ref="F413" r:id="rId412" display="javascript:void(0);"/>
    <hyperlink ref="E415" r:id="rId413" display="javascript:void(0);"/>
    <hyperlink ref="F415" r:id="rId414" display="javascript:void(0);"/>
    <hyperlink ref="E417" r:id="rId415" display="javascript:void(0);"/>
    <hyperlink ref="F417" r:id="rId416" display="javascript:void(0);"/>
    <hyperlink ref="E419" r:id="rId417" display="javascript:void(0);"/>
    <hyperlink ref="F419" r:id="rId418" display="javascript:void(0);"/>
    <hyperlink ref="E421" r:id="rId419" display="javascript:void(0);"/>
    <hyperlink ref="F421" r:id="rId420" display="javascript:void(0);"/>
    <hyperlink ref="E423" r:id="rId421" display="javascript:void(0);"/>
    <hyperlink ref="F423" r:id="rId422" display="javascript:void(0);"/>
    <hyperlink ref="E425" r:id="rId423" display="javascript:void(0);"/>
    <hyperlink ref="F425" r:id="rId424" display="javascript:void(0);"/>
    <hyperlink ref="E427" r:id="rId425" display="javascript:void(0);"/>
    <hyperlink ref="F427" r:id="rId426" display="javascript:void(0);"/>
    <hyperlink ref="E429" r:id="rId427" display="javascript:void(0);"/>
    <hyperlink ref="F429" r:id="rId428" display="javascript:void(0);"/>
    <hyperlink ref="E431" r:id="rId429" display="javascript:void(0);"/>
    <hyperlink ref="F431" r:id="rId430" display="javascript:void(0);"/>
    <hyperlink ref="E433" r:id="rId431" display="javascript:void(0);"/>
    <hyperlink ref="F433" r:id="rId432" display="javascript:void(0);"/>
    <hyperlink ref="E435" r:id="rId433" display="javascript:void(0);"/>
    <hyperlink ref="F435" r:id="rId434" display="javascript:void(0);"/>
    <hyperlink ref="E437" r:id="rId435" display="javascript:void(0);"/>
    <hyperlink ref="F437" r:id="rId436" display="javascript:void(0);"/>
    <hyperlink ref="E439" r:id="rId437" display="javascript:void(0);"/>
    <hyperlink ref="F439" r:id="rId438" display="javascript:void(0);"/>
    <hyperlink ref="E441" r:id="rId439" display="javascript:void(0);"/>
    <hyperlink ref="F441" r:id="rId440" display="javascript:void(0);"/>
    <hyperlink ref="E443" r:id="rId441" display="javascript:void(0);"/>
    <hyperlink ref="F443" r:id="rId442" display="javascript:void(0);"/>
    <hyperlink ref="E445" r:id="rId443" display="javascript:void(0);"/>
    <hyperlink ref="F445" r:id="rId444" display="javascript:void(0);"/>
    <hyperlink ref="E447" r:id="rId445" display="javascript:void(0);"/>
    <hyperlink ref="F447" r:id="rId446" display="javascript:void(0);"/>
    <hyperlink ref="E449" r:id="rId447" display="javascript:void(0);"/>
    <hyperlink ref="F449" r:id="rId448" display="javascript:void(0);"/>
    <hyperlink ref="E451" r:id="rId449" display="javascript:void(0);"/>
    <hyperlink ref="F451" r:id="rId450" display="javascript:void(0);"/>
    <hyperlink ref="E453" r:id="rId451" display="javascript:void(0);"/>
    <hyperlink ref="F453" r:id="rId452" display="javascript:void(0);"/>
    <hyperlink ref="E455" r:id="rId453" display="javascript:void(0);"/>
    <hyperlink ref="F455" r:id="rId454" display="javascript:void(0);"/>
    <hyperlink ref="E457" r:id="rId455" display="javascript:void(0);"/>
    <hyperlink ref="F457" r:id="rId456" display="javascript:void(0);"/>
    <hyperlink ref="E459" r:id="rId457" display="javascript:void(0);"/>
    <hyperlink ref="F459" r:id="rId458" display="javascript:void(0);"/>
    <hyperlink ref="E461" r:id="rId459" display="javascript:void(0);"/>
    <hyperlink ref="F461" r:id="rId460" display="javascript:void(0);"/>
    <hyperlink ref="E463" r:id="rId461" display="javascript:void(0);"/>
    <hyperlink ref="F463" r:id="rId462" display="javascript:void(0);"/>
    <hyperlink ref="E465" r:id="rId463" display="javascript:void(0);"/>
    <hyperlink ref="F465" r:id="rId464" display="javascript:void(0);"/>
    <hyperlink ref="E467" r:id="rId465" display="javascript:void(0);"/>
    <hyperlink ref="F467" r:id="rId466" display="javascript:void(0);"/>
    <hyperlink ref="E469" r:id="rId467" display="javascript:void(0);"/>
    <hyperlink ref="F469" r:id="rId468" display="javascript:void(0);"/>
    <hyperlink ref="E471" r:id="rId469" display="javascript:void(0);"/>
    <hyperlink ref="F471" r:id="rId470" display="javascript:void(0);"/>
    <hyperlink ref="E473" r:id="rId471" display="javascript:void(0);"/>
    <hyperlink ref="F473" r:id="rId472" display="javascript:void(0);"/>
    <hyperlink ref="E475" r:id="rId473" display="javascript:void(0);"/>
    <hyperlink ref="F475" r:id="rId474" display="javascript:void(0);"/>
    <hyperlink ref="E477" r:id="rId475" display="javascript:void(0);"/>
    <hyperlink ref="F477" r:id="rId476" display="javascript:void(0);"/>
    <hyperlink ref="E479" r:id="rId477" display="javascript:void(0);"/>
    <hyperlink ref="F479" r:id="rId478" display="javascript:void(0);"/>
    <hyperlink ref="E481" r:id="rId479" display="javascript:void(0);"/>
    <hyperlink ref="F481" r:id="rId480" display="javascript:void(0);"/>
    <hyperlink ref="E483" r:id="rId481" display="javascript:void(0);"/>
    <hyperlink ref="F483" r:id="rId482" display="javascript:void(0);"/>
    <hyperlink ref="E485" r:id="rId483" display="javascript:void(0);"/>
    <hyperlink ref="F485" r:id="rId484" display="javascript:void(0);"/>
    <hyperlink ref="E487" r:id="rId485" display="javascript:void(0);"/>
    <hyperlink ref="F487" r:id="rId486" display="javascript:void(0);"/>
    <hyperlink ref="E489" r:id="rId487" display="javascript:void(0);"/>
    <hyperlink ref="F489" r:id="rId488" display="javascript:void(0);"/>
    <hyperlink ref="E491" r:id="rId489" display="javascript:void(0);"/>
    <hyperlink ref="F491" r:id="rId490" display="javascript:void(0);"/>
    <hyperlink ref="E493" r:id="rId491" display="javascript:void(0);"/>
    <hyperlink ref="F493" r:id="rId492" display="javascript:void(0);"/>
    <hyperlink ref="E495" r:id="rId493" display="javascript:void(0);"/>
    <hyperlink ref="F495" r:id="rId494" display="javascript:void(0);"/>
    <hyperlink ref="E497" r:id="rId495" display="javascript:void(0);"/>
    <hyperlink ref="F497" r:id="rId496" display="javascript:void(0);"/>
    <hyperlink ref="E499" r:id="rId497" display="javascript:void(0);"/>
    <hyperlink ref="F499" r:id="rId498" display="javascript:void(0);"/>
    <hyperlink ref="E501" r:id="rId499" display="javascript:void(0);"/>
    <hyperlink ref="F501" r:id="rId500" display="javascript:void(0);"/>
    <hyperlink ref="E503" r:id="rId501" display="javascript:void(0);"/>
    <hyperlink ref="F503" r:id="rId502" display="javascript:void(0);"/>
    <hyperlink ref="E505" r:id="rId503" display="javascript:void(0);"/>
    <hyperlink ref="F505" r:id="rId504" display="javascript:void(0);"/>
    <hyperlink ref="E507" r:id="rId505" display="javascript:void(0);"/>
    <hyperlink ref="F507" r:id="rId506" display="javascript:void(0);"/>
    <hyperlink ref="E509" r:id="rId507" display="javascript:void(0);"/>
    <hyperlink ref="F509" r:id="rId508" display="javascript:void(0);"/>
    <hyperlink ref="E511" r:id="rId509" display="javascript:void(0);"/>
    <hyperlink ref="F511" r:id="rId510" display="javascript:void(0);"/>
    <hyperlink ref="E513" r:id="rId511" display="javascript:void(0);"/>
    <hyperlink ref="F513" r:id="rId512" display="javascript:void(0);"/>
    <hyperlink ref="E515" r:id="rId513" display="javascript:void(0);"/>
    <hyperlink ref="F515" r:id="rId514" display="javascript:void(0);"/>
    <hyperlink ref="E517" r:id="rId515" display="javascript:void(0);"/>
    <hyperlink ref="F517" r:id="rId516" display="javascript:void(0);"/>
    <hyperlink ref="E519" r:id="rId517" display="javascript:void(0);"/>
    <hyperlink ref="F519" r:id="rId518" display="javascript:void(0);"/>
    <hyperlink ref="E521" r:id="rId519" display="javascript:void(0);"/>
    <hyperlink ref="F521" r:id="rId520" display="javascript:void(0);"/>
    <hyperlink ref="E523" r:id="rId521" display="javascript:void(0);"/>
    <hyperlink ref="F523" r:id="rId522" display="javascript:void(0);"/>
    <hyperlink ref="E525" r:id="rId523" display="javascript:void(0);"/>
    <hyperlink ref="F525" r:id="rId524" display="javascript:void(0);"/>
    <hyperlink ref="E527" r:id="rId525" display="javascript:void(0);"/>
    <hyperlink ref="F527" r:id="rId526" display="javascript:void(0);"/>
    <hyperlink ref="E529" r:id="rId527" display="javascript:void(0);"/>
    <hyperlink ref="F529" r:id="rId528" display="javascript:void(0);"/>
    <hyperlink ref="E531" r:id="rId529" display="javascript:void(0);"/>
    <hyperlink ref="F531" r:id="rId530" display="javascript:void(0);"/>
    <hyperlink ref="E533" r:id="rId531" display="javascript:void(0);"/>
    <hyperlink ref="F533" r:id="rId532" display="javascript:void(0);"/>
    <hyperlink ref="E535" r:id="rId533" display="javascript:void(0);"/>
    <hyperlink ref="F535" r:id="rId534" display="javascript:void(0);"/>
    <hyperlink ref="E537" r:id="rId535" display="javascript:void(0);"/>
    <hyperlink ref="F537" r:id="rId536" display="javascript:void(0);"/>
    <hyperlink ref="E539" r:id="rId537" display="javascript:void(0);"/>
    <hyperlink ref="F539" r:id="rId538" display="javascript:void(0);"/>
    <hyperlink ref="E541" r:id="rId539" display="javascript:void(0);"/>
    <hyperlink ref="F541" r:id="rId540" display="javascript:void(0);"/>
    <hyperlink ref="E543" r:id="rId541" display="javascript:void(0);"/>
    <hyperlink ref="F543" r:id="rId542" display="javascript:void(0);"/>
    <hyperlink ref="E545" r:id="rId543" display="javascript:void(0);"/>
    <hyperlink ref="F545" r:id="rId544" display="javascript:void(0);"/>
    <hyperlink ref="E547" r:id="rId545" display="javascript:void(0);"/>
    <hyperlink ref="F547" r:id="rId546" display="javascript:void(0);"/>
    <hyperlink ref="E549" r:id="rId547" display="javascript:void(0);"/>
    <hyperlink ref="F549" r:id="rId548" display="javascript:void(0);"/>
    <hyperlink ref="E551" r:id="rId549" display="javascript:void(0);"/>
    <hyperlink ref="F551" r:id="rId550" display="javascript:void(0);"/>
    <hyperlink ref="E553" r:id="rId551" display="javascript:void(0);"/>
    <hyperlink ref="F553" r:id="rId552" display="javascript:void(0);"/>
    <hyperlink ref="E555" r:id="rId553" display="javascript:void(0);"/>
    <hyperlink ref="F555" r:id="rId554" display="javascript:void(0);"/>
    <hyperlink ref="E557" r:id="rId555" display="javascript:void(0);"/>
    <hyperlink ref="F557" r:id="rId556" display="javascript:void(0);"/>
    <hyperlink ref="E559" r:id="rId557" display="javascript:void(0);"/>
    <hyperlink ref="F559" r:id="rId558" display="javascript:void(0);"/>
    <hyperlink ref="E561" r:id="rId559" display="javascript:void(0);"/>
    <hyperlink ref="F561" r:id="rId560" display="javascript:void(0);"/>
    <hyperlink ref="E563" r:id="rId561" display="javascript:void(0);"/>
    <hyperlink ref="F563" r:id="rId562" display="javascript:void(0);"/>
    <hyperlink ref="E565" r:id="rId563" display="javascript:void(0);"/>
    <hyperlink ref="F565" r:id="rId564" display="javascript:void(0);"/>
    <hyperlink ref="E567" r:id="rId565" display="javascript:void(0);"/>
    <hyperlink ref="F567" r:id="rId566" display="javascript:void(0);"/>
    <hyperlink ref="E569" r:id="rId567" display="javascript:void(0);"/>
    <hyperlink ref="F569" r:id="rId568" display="javascript:void(0);"/>
    <hyperlink ref="E571" r:id="rId569" display="javascript:void(0);"/>
    <hyperlink ref="F571" r:id="rId570" display="javascript:void(0);"/>
    <hyperlink ref="E573" r:id="rId571" display="javascript:void(0);"/>
    <hyperlink ref="F573" r:id="rId572" display="javascript:void(0);"/>
    <hyperlink ref="E575" r:id="rId573" display="javascript:void(0);"/>
    <hyperlink ref="F575" r:id="rId574" display="javascript:void(0);"/>
    <hyperlink ref="E577" r:id="rId575" display="javascript:void(0);"/>
    <hyperlink ref="F577" r:id="rId576" display="javascript:void(0);"/>
    <hyperlink ref="E579" r:id="rId577" display="javascript:void(0);"/>
    <hyperlink ref="F579" r:id="rId578" display="javascript:void(0);"/>
    <hyperlink ref="E581" r:id="rId579" display="javascript:void(0);"/>
    <hyperlink ref="F581" r:id="rId580" display="javascript:void(0);"/>
    <hyperlink ref="E583" r:id="rId581" display="javascript:void(0);"/>
    <hyperlink ref="F583" r:id="rId582" display="javascript:void(0);"/>
    <hyperlink ref="E585" r:id="rId583" display="javascript:void(0);"/>
    <hyperlink ref="F585" r:id="rId584" display="javascript:void(0);"/>
    <hyperlink ref="E587" r:id="rId585" display="javascript:void(0);"/>
    <hyperlink ref="F587" r:id="rId586" display="javascript:void(0);"/>
    <hyperlink ref="E589" r:id="rId587" display="javascript:void(0);"/>
    <hyperlink ref="F589" r:id="rId588" display="javascript:void(0);"/>
    <hyperlink ref="E591" r:id="rId589" display="javascript:void(0);"/>
    <hyperlink ref="F591" r:id="rId590" display="javascript:void(0);"/>
    <hyperlink ref="E593" r:id="rId591" display="javascript:void(0);"/>
    <hyperlink ref="F593" r:id="rId592" display="javascript:void(0);"/>
    <hyperlink ref="E595" r:id="rId593" display="javascript:void(0);"/>
    <hyperlink ref="F595" r:id="rId594" display="javascript:void(0);"/>
    <hyperlink ref="E597" r:id="rId595" display="javascript:void(0);"/>
    <hyperlink ref="F597" r:id="rId596" display="javascript:void(0);"/>
    <hyperlink ref="E599" r:id="rId597" display="javascript:void(0);"/>
    <hyperlink ref="F599" r:id="rId598" display="javascript:void(0);"/>
    <hyperlink ref="E601" r:id="rId599" display="javascript:void(0);"/>
    <hyperlink ref="F601" r:id="rId600" display="javascript:void(0);"/>
    <hyperlink ref="E603" r:id="rId601" display="javascript:void(0);"/>
    <hyperlink ref="F603" r:id="rId602" display="javascript:void(0);"/>
    <hyperlink ref="E605" r:id="rId603" display="javascript:void(0);"/>
    <hyperlink ref="F605" r:id="rId604" display="javascript:void(0);"/>
    <hyperlink ref="E607" r:id="rId605" display="javascript:void(0);"/>
    <hyperlink ref="F607" r:id="rId606" display="javascript:void(0);"/>
    <hyperlink ref="E609" r:id="rId607" display="javascript:void(0);"/>
    <hyperlink ref="F609" r:id="rId608" display="javascript:void(0);"/>
    <hyperlink ref="E611" r:id="rId609" display="javascript:void(0);"/>
    <hyperlink ref="F611" r:id="rId610" display="javascript:void(0);"/>
    <hyperlink ref="E613" r:id="rId611" display="javascript:void(0);"/>
    <hyperlink ref="F613" r:id="rId612" display="javascript:void(0);"/>
    <hyperlink ref="E615" r:id="rId613" display="javascript:void(0);"/>
    <hyperlink ref="F615" r:id="rId614" display="javascript:void(0);"/>
    <hyperlink ref="E617" r:id="rId615" display="javascript:void(0);"/>
    <hyperlink ref="F617" r:id="rId616" display="javascript:void(0);"/>
    <hyperlink ref="E619" r:id="rId617" display="javascript:void(0);"/>
    <hyperlink ref="F619" r:id="rId618" display="javascript:void(0);"/>
    <hyperlink ref="E621" r:id="rId619" display="javascript:void(0);"/>
    <hyperlink ref="F621" r:id="rId620" display="javascript:void(0);"/>
    <hyperlink ref="E623" r:id="rId621" display="javascript:void(0);"/>
    <hyperlink ref="F623" r:id="rId622" display="javascript:void(0);"/>
    <hyperlink ref="E625" r:id="rId623" display="javascript:void(0);"/>
    <hyperlink ref="F625" r:id="rId624" display="javascript:void(0);"/>
    <hyperlink ref="E627" r:id="rId625" display="javascript:void(0);"/>
    <hyperlink ref="F627" r:id="rId626" display="javascript:void(0);"/>
    <hyperlink ref="E629" r:id="rId627" display="javascript:void(0);"/>
    <hyperlink ref="F629" r:id="rId628" display="javascript:void(0);"/>
    <hyperlink ref="E631" r:id="rId629" display="javascript:void(0);"/>
    <hyperlink ref="F631" r:id="rId630" display="javascript:void(0);"/>
    <hyperlink ref="E633" r:id="rId631" display="javascript:void(0);"/>
    <hyperlink ref="F633" r:id="rId632" display="javascript:void(0);"/>
    <hyperlink ref="E635" r:id="rId633" display="javascript:void(0);"/>
    <hyperlink ref="F635" r:id="rId634" display="javascript:void(0);"/>
    <hyperlink ref="E637" r:id="rId635" display="javascript:void(0);"/>
    <hyperlink ref="F637" r:id="rId636" display="javascript:void(0);"/>
    <hyperlink ref="E639" r:id="rId637" display="javascript:void(0);"/>
    <hyperlink ref="F639" r:id="rId638" display="javascript:void(0);"/>
    <hyperlink ref="E641" r:id="rId639" display="javascript:void(0);"/>
    <hyperlink ref="F641" r:id="rId640" display="javascript:void(0);"/>
    <hyperlink ref="E643" r:id="rId641" display="javascript:void(0);"/>
    <hyperlink ref="F643" r:id="rId642" display="javascript:void(0);"/>
    <hyperlink ref="E645" r:id="rId643" display="javascript:void(0);"/>
    <hyperlink ref="F645" r:id="rId644" display="javascript:void(0);"/>
    <hyperlink ref="E647" r:id="rId645" display="javascript:void(0);"/>
    <hyperlink ref="F647" r:id="rId646" display="javascript:void(0);"/>
    <hyperlink ref="E649" r:id="rId647" display="javascript:void(0);"/>
    <hyperlink ref="F649" r:id="rId648" display="javascript:void(0);"/>
    <hyperlink ref="E651" r:id="rId649" display="javascript:void(0);"/>
    <hyperlink ref="F651" r:id="rId650" display="javascript:void(0);"/>
    <hyperlink ref="E653" r:id="rId651" display="javascript:void(0);"/>
    <hyperlink ref="F653" r:id="rId652" display="javascript:void(0);"/>
    <hyperlink ref="E655" r:id="rId653" display="javascript:void(0);"/>
    <hyperlink ref="F655" r:id="rId654" display="javascript:void(0);"/>
    <hyperlink ref="E657" r:id="rId655" display="javascript:void(0);"/>
    <hyperlink ref="F657" r:id="rId656" display="javascript:void(0);"/>
    <hyperlink ref="E659" r:id="rId657" display="javascript:void(0);"/>
    <hyperlink ref="F659" r:id="rId658" display="javascript:void(0);"/>
    <hyperlink ref="E661" r:id="rId659" display="javascript:void(0);"/>
    <hyperlink ref="F661" r:id="rId660" display="javascript:void(0);"/>
    <hyperlink ref="E663" r:id="rId661" display="javascript:void(0);"/>
    <hyperlink ref="F663" r:id="rId662" display="javascript:void(0);"/>
    <hyperlink ref="E665" r:id="rId663" display="javascript:void(0);"/>
    <hyperlink ref="F665" r:id="rId664" display="javascript:void(0);"/>
    <hyperlink ref="E667" r:id="rId665" display="javascript:void(0);"/>
    <hyperlink ref="F667" r:id="rId666" display="javascript:void(0);"/>
    <hyperlink ref="E669" r:id="rId667" display="javascript:void(0);"/>
    <hyperlink ref="F669" r:id="rId668" display="javascript:void(0);"/>
    <hyperlink ref="E671" r:id="rId669" display="javascript:void(0);"/>
    <hyperlink ref="F671" r:id="rId670" display="javascript:void(0);"/>
    <hyperlink ref="E673" r:id="rId671" display="javascript:void(0);"/>
    <hyperlink ref="F673" r:id="rId672" display="javascript:void(0);"/>
    <hyperlink ref="E675" r:id="rId673" display="javascript:void(0);"/>
    <hyperlink ref="F675" r:id="rId674" display="javascript:void(0);"/>
    <hyperlink ref="E677" r:id="rId675" display="javascript:void(0);"/>
    <hyperlink ref="F677" r:id="rId676" display="javascript:void(0);"/>
    <hyperlink ref="E679" r:id="rId677" display="javascript:void(0);"/>
    <hyperlink ref="F679" r:id="rId678" display="javascript:void(0);"/>
    <hyperlink ref="E681" r:id="rId679" display="javascript:void(0);"/>
    <hyperlink ref="F681" r:id="rId680" display="javascript:void(0);"/>
    <hyperlink ref="E683" r:id="rId681" display="javascript:void(0);"/>
    <hyperlink ref="F683" r:id="rId682" display="javascript:void(0);"/>
    <hyperlink ref="E685" r:id="rId683" display="javascript:void(0);"/>
    <hyperlink ref="F685" r:id="rId684" display="javascript:void(0);"/>
    <hyperlink ref="E687" r:id="rId685" display="javascript:void(0);"/>
    <hyperlink ref="F687" r:id="rId686" display="javascript:void(0);"/>
    <hyperlink ref="E689" r:id="rId687" display="javascript:void(0);"/>
    <hyperlink ref="F689" r:id="rId688" display="javascript:void(0);"/>
    <hyperlink ref="E691" r:id="rId689" display="javascript:void(0);"/>
    <hyperlink ref="F691" r:id="rId690" display="javascript:void(0);"/>
    <hyperlink ref="E693" r:id="rId691" display="javascript:void(0);"/>
    <hyperlink ref="F693" r:id="rId692" display="javascript:void(0);"/>
    <hyperlink ref="E695" r:id="rId693" display="javascript:void(0);"/>
    <hyperlink ref="F695" r:id="rId694" display="javascript:void(0);"/>
    <hyperlink ref="E697" r:id="rId695" display="javascript:void(0);"/>
    <hyperlink ref="F697" r:id="rId696" display="javascript:void(0);"/>
    <hyperlink ref="E699" r:id="rId697" display="javascript:void(0);"/>
    <hyperlink ref="F699" r:id="rId698" display="javascript:void(0);"/>
    <hyperlink ref="E701" r:id="rId699" display="javascript:void(0);"/>
    <hyperlink ref="F701" r:id="rId700" display="javascript:void(0);"/>
    <hyperlink ref="E703" r:id="rId701" display="javascript:void(0);"/>
    <hyperlink ref="F703" r:id="rId702" display="javascript:void(0);"/>
    <hyperlink ref="E705" r:id="rId703" display="javascript:void(0);"/>
    <hyperlink ref="F705" r:id="rId704" display="javascript:void(0);"/>
    <hyperlink ref="E707" r:id="rId705" display="javascript:void(0);"/>
    <hyperlink ref="F707" r:id="rId706" display="javascript:void(0);"/>
    <hyperlink ref="E709" r:id="rId707" display="javascript:void(0);"/>
    <hyperlink ref="F709" r:id="rId708" display="javascript:void(0);"/>
    <hyperlink ref="E711" r:id="rId709" display="javascript:void(0);"/>
    <hyperlink ref="F711" r:id="rId710" display="javascript:void(0);"/>
    <hyperlink ref="E713" r:id="rId711" display="javascript:void(0);"/>
    <hyperlink ref="F713" r:id="rId712" display="javascript:void(0);"/>
    <hyperlink ref="E715" r:id="rId713" display="javascript:void(0);"/>
    <hyperlink ref="F715" r:id="rId714" display="javascript:void(0);"/>
    <hyperlink ref="E717" r:id="rId715" display="javascript:void(0);"/>
    <hyperlink ref="F717" r:id="rId716" display="javascript:void(0);"/>
    <hyperlink ref="E719" r:id="rId717" display="javascript:void(0);"/>
    <hyperlink ref="F719" r:id="rId718" display="javascript:void(0);"/>
    <hyperlink ref="E721" r:id="rId719" display="javascript:void(0);"/>
    <hyperlink ref="F721" r:id="rId720" display="javascript:void(0);"/>
    <hyperlink ref="E723" r:id="rId721" display="javascript:void(0);"/>
    <hyperlink ref="F723" r:id="rId722" display="javascript:void(0);"/>
    <hyperlink ref="E725" r:id="rId723" display="javascript:void(0);"/>
    <hyperlink ref="F725" r:id="rId724" display="javascript:void(0);"/>
    <hyperlink ref="E727" r:id="rId725" display="javascript:void(0);"/>
    <hyperlink ref="F727" r:id="rId726" display="javascript:void(0);"/>
    <hyperlink ref="E729" r:id="rId727" display="javascript:void(0);"/>
    <hyperlink ref="F729" r:id="rId728" display="javascript:void(0);"/>
    <hyperlink ref="E731" r:id="rId729" display="javascript:void(0);"/>
    <hyperlink ref="F731" r:id="rId730" display="javascript:void(0);"/>
    <hyperlink ref="E733" r:id="rId731" display="javascript:void(0);"/>
    <hyperlink ref="F733" r:id="rId732" display="javascript:void(0);"/>
    <hyperlink ref="E735" r:id="rId733" display="javascript:void(0);"/>
    <hyperlink ref="F735" r:id="rId734" display="javascript:void(0);"/>
    <hyperlink ref="E737" r:id="rId735" display="javascript:void(0);"/>
    <hyperlink ref="F737" r:id="rId736" display="javascript:void(0);"/>
    <hyperlink ref="E739" r:id="rId737" display="javascript:void(0);"/>
    <hyperlink ref="F739" r:id="rId738" display="javascript:void(0);"/>
    <hyperlink ref="E741" r:id="rId739" display="javascript:void(0);"/>
    <hyperlink ref="F741" r:id="rId740" display="javascript:void(0);"/>
    <hyperlink ref="E743" r:id="rId741" display="javascript:void(0);"/>
    <hyperlink ref="F743" r:id="rId742" display="javascript:void(0);"/>
    <hyperlink ref="E745" r:id="rId743" display="javascript:void(0);"/>
    <hyperlink ref="F745" r:id="rId744" display="javascript:void(0);"/>
    <hyperlink ref="E747" r:id="rId745" display="javascript:void(0);"/>
    <hyperlink ref="F747" r:id="rId746" display="javascript:void(0);"/>
    <hyperlink ref="E749" r:id="rId747" display="javascript:void(0);"/>
    <hyperlink ref="F749" r:id="rId748" display="javascript:void(0);"/>
    <hyperlink ref="E751" r:id="rId749" display="javascript:void(0);"/>
    <hyperlink ref="F751" r:id="rId750" display="javascript:void(0);"/>
    <hyperlink ref="E753" r:id="rId751" display="javascript:void(0);"/>
    <hyperlink ref="F753" r:id="rId752" display="javascript:void(0);"/>
    <hyperlink ref="E755" r:id="rId753" display="javascript:void(0);"/>
    <hyperlink ref="F755" r:id="rId754" display="javascript:void(0);"/>
    <hyperlink ref="E757" r:id="rId755" display="javascript:void(0);"/>
    <hyperlink ref="F757" r:id="rId756" display="javascript:void(0);"/>
    <hyperlink ref="E759" r:id="rId757" display="javascript:void(0);"/>
    <hyperlink ref="F759" r:id="rId758" display="javascript:void(0);"/>
    <hyperlink ref="E761" r:id="rId759" display="javascript:void(0);"/>
    <hyperlink ref="F761" r:id="rId760" display="javascript:void(0);"/>
    <hyperlink ref="E763" r:id="rId761" display="javascript:void(0);"/>
    <hyperlink ref="F763" r:id="rId762" display="javascript:void(0);"/>
    <hyperlink ref="E765" r:id="rId763" display="javascript:void(0);"/>
    <hyperlink ref="F765" r:id="rId764" display="javascript:void(0);"/>
    <hyperlink ref="E767" r:id="rId765" display="javascript:void(0);"/>
    <hyperlink ref="F767" r:id="rId766" display="javascript:void(0);"/>
    <hyperlink ref="E769" r:id="rId767" display="javascript:void(0);"/>
    <hyperlink ref="F769" r:id="rId768" display="javascript:void(0);"/>
    <hyperlink ref="E771" r:id="rId769" display="javascript:void(0);"/>
    <hyperlink ref="F771" r:id="rId770" display="javascript:void(0);"/>
    <hyperlink ref="E773" r:id="rId771" display="javascript:void(0);"/>
    <hyperlink ref="F773" r:id="rId772" display="javascript:void(0);"/>
    <hyperlink ref="E775" r:id="rId773" display="javascript:void(0);"/>
    <hyperlink ref="F775" r:id="rId774" display="javascript:void(0);"/>
    <hyperlink ref="E777" r:id="rId775" display="javascript:void(0);"/>
    <hyperlink ref="F777" r:id="rId776" display="javascript:void(0);"/>
    <hyperlink ref="E779" r:id="rId777" display="javascript:void(0);"/>
    <hyperlink ref="F779" r:id="rId778" display="javascript:void(0);"/>
    <hyperlink ref="E781" r:id="rId779" display="javascript:void(0);"/>
    <hyperlink ref="F781" r:id="rId780" display="javascript:void(0);"/>
    <hyperlink ref="E783" r:id="rId781" display="javascript:void(0);"/>
    <hyperlink ref="F783" r:id="rId782" display="javascript:void(0);"/>
    <hyperlink ref="E785" r:id="rId783" display="javascript:void(0);"/>
    <hyperlink ref="F785" r:id="rId784" display="javascript:void(0);"/>
    <hyperlink ref="E787" r:id="rId785" display="javascript:void(0);"/>
    <hyperlink ref="F787" r:id="rId786" display="javascript:void(0);"/>
    <hyperlink ref="E789" r:id="rId787" display="javascript:void(0);"/>
    <hyperlink ref="F789" r:id="rId788" display="javascript:void(0);"/>
    <hyperlink ref="E791" r:id="rId789" display="javascript:void(0);"/>
    <hyperlink ref="F791" r:id="rId790" display="javascript:void(0);"/>
    <hyperlink ref="E793" r:id="rId791" display="javascript:void(0);"/>
    <hyperlink ref="F793" r:id="rId792" display="javascript:void(0);"/>
    <hyperlink ref="E795" r:id="rId793" display="javascript:void(0);"/>
    <hyperlink ref="F795" r:id="rId794" display="javascript:void(0);"/>
    <hyperlink ref="E797" r:id="rId795" display="javascript:void(0);"/>
    <hyperlink ref="F797" r:id="rId796" display="javascript:void(0);"/>
    <hyperlink ref="E799" r:id="rId797" display="javascript:void(0);"/>
    <hyperlink ref="F799" r:id="rId798" display="javascript:void(0);"/>
    <hyperlink ref="E801" r:id="rId799" display="javascript:void(0);"/>
    <hyperlink ref="F801" r:id="rId800" display="javascript:void(0);"/>
    <hyperlink ref="E803" r:id="rId801" display="javascript:void(0);"/>
    <hyperlink ref="F803" r:id="rId802" display="javascript:void(0);"/>
    <hyperlink ref="E805" r:id="rId803" display="javascript:void(0);"/>
    <hyperlink ref="F805" r:id="rId804" display="javascript:void(0);"/>
    <hyperlink ref="E807" r:id="rId805" display="javascript:void(0);"/>
    <hyperlink ref="F807" r:id="rId806" display="javascript:void(0);"/>
    <hyperlink ref="E809" r:id="rId807" display="javascript:void(0);"/>
    <hyperlink ref="F809" r:id="rId808" display="javascript:void(0);"/>
    <hyperlink ref="E811" r:id="rId809" display="javascript:void(0);"/>
    <hyperlink ref="F811" r:id="rId810" display="javascript:void(0);"/>
    <hyperlink ref="E813" r:id="rId811" display="javascript:void(0);"/>
    <hyperlink ref="F813" r:id="rId812" display="javascript:void(0);"/>
    <hyperlink ref="E815" r:id="rId813" display="javascript:void(0);"/>
    <hyperlink ref="F815" r:id="rId814" display="javascript:void(0);"/>
    <hyperlink ref="E817" r:id="rId815" display="javascript:void(0);"/>
    <hyperlink ref="F817" r:id="rId816" display="javascript:void(0);"/>
    <hyperlink ref="E819" r:id="rId817" display="javascript:void(0);"/>
    <hyperlink ref="F819" r:id="rId818" display="javascript:void(0);"/>
    <hyperlink ref="E821" r:id="rId819" display="javascript:void(0);"/>
    <hyperlink ref="F821" r:id="rId820" display="javascript:void(0);"/>
    <hyperlink ref="E823" r:id="rId821" display="javascript:void(0);"/>
    <hyperlink ref="F823" r:id="rId822" display="javascript:void(0);"/>
    <hyperlink ref="E825" r:id="rId823" display="javascript:void(0);"/>
    <hyperlink ref="F825" r:id="rId824" display="javascript:void(0);"/>
    <hyperlink ref="E827" r:id="rId825" display="javascript:void(0);"/>
    <hyperlink ref="F827" r:id="rId826" display="javascript:void(0);"/>
    <hyperlink ref="E829" r:id="rId827" display="javascript:void(0);"/>
    <hyperlink ref="F829" r:id="rId828" display="javascript:void(0);"/>
    <hyperlink ref="E831" r:id="rId829" display="javascript:void(0);"/>
    <hyperlink ref="F831" r:id="rId830" display="javascript:void(0);"/>
    <hyperlink ref="E833" r:id="rId831" display="javascript:void(0);"/>
    <hyperlink ref="F833" r:id="rId832" display="javascript:void(0);"/>
    <hyperlink ref="E835" r:id="rId833" display="javascript:void(0);"/>
    <hyperlink ref="F835" r:id="rId834" display="javascript:void(0);"/>
    <hyperlink ref="E837" r:id="rId835" display="javascript:void(0);"/>
    <hyperlink ref="F837" r:id="rId836" display="javascript:void(0);"/>
    <hyperlink ref="E839" r:id="rId837" display="javascript:void(0);"/>
    <hyperlink ref="F839" r:id="rId838" display="javascript:void(0);"/>
    <hyperlink ref="E841" r:id="rId839" display="javascript:void(0);"/>
    <hyperlink ref="F841" r:id="rId840" display="javascript:void(0);"/>
    <hyperlink ref="E843" r:id="rId841" display="javascript:void(0);"/>
    <hyperlink ref="F843" r:id="rId842" display="javascript:void(0);"/>
    <hyperlink ref="E845" r:id="rId843" display="javascript:void(0);"/>
    <hyperlink ref="F845" r:id="rId844" display="javascript:void(0);"/>
    <hyperlink ref="E847" r:id="rId845" display="javascript:void(0);"/>
    <hyperlink ref="F847" r:id="rId846" display="javascript:void(0);"/>
    <hyperlink ref="E849" r:id="rId847" display="javascript:void(0);"/>
    <hyperlink ref="F849" r:id="rId848" display="javascript:void(0);"/>
    <hyperlink ref="E851" r:id="rId849" display="javascript:void(0);"/>
    <hyperlink ref="F851" r:id="rId850" display="javascript:void(0);"/>
    <hyperlink ref="E853" r:id="rId851" display="javascript:void(0);"/>
    <hyperlink ref="F853" r:id="rId852" display="javascript:void(0);"/>
    <hyperlink ref="E855" r:id="rId853" display="javascript:void(0);"/>
    <hyperlink ref="F855" r:id="rId854" display="javascript:void(0);"/>
    <hyperlink ref="E857" r:id="rId855" display="javascript:void(0);"/>
    <hyperlink ref="F857" r:id="rId856" display="javascript:void(0);"/>
    <hyperlink ref="E859" r:id="rId857" display="javascript:void(0);"/>
    <hyperlink ref="F859" r:id="rId858" display="javascript:void(0);"/>
    <hyperlink ref="E861" r:id="rId859" display="javascript:void(0);"/>
    <hyperlink ref="F861" r:id="rId860" display="javascript:void(0);"/>
    <hyperlink ref="E863" r:id="rId861" display="javascript:void(0);"/>
    <hyperlink ref="F863" r:id="rId862" display="javascript:void(0);"/>
    <hyperlink ref="E865" r:id="rId863" display="javascript:void(0);"/>
    <hyperlink ref="F865" r:id="rId864" display="javascript:void(0);"/>
    <hyperlink ref="E867" r:id="rId865" display="javascript:void(0);"/>
    <hyperlink ref="F867" r:id="rId866" display="javascript:void(0);"/>
    <hyperlink ref="E869" r:id="rId867" display="javascript:void(0);"/>
    <hyperlink ref="F869" r:id="rId868" display="javascript:void(0);"/>
    <hyperlink ref="E871" r:id="rId869" display="javascript:void(0);"/>
    <hyperlink ref="F871" r:id="rId870" display="javascript:void(0);"/>
    <hyperlink ref="E873" r:id="rId871" display="javascript:void(0);"/>
    <hyperlink ref="F873" r:id="rId872" display="javascript:void(0);"/>
    <hyperlink ref="E875" r:id="rId873" display="javascript:void(0);"/>
    <hyperlink ref="F875" r:id="rId874" display="javascript:void(0);"/>
    <hyperlink ref="E877" r:id="rId875" display="javascript:void(0);"/>
    <hyperlink ref="F877" r:id="rId876" display="javascript:void(0);"/>
    <hyperlink ref="E879" r:id="rId877" display="javascript:void(0);"/>
    <hyperlink ref="F879" r:id="rId878" display="javascript:void(0);"/>
    <hyperlink ref="E881" r:id="rId879" display="javascript:void(0);"/>
    <hyperlink ref="F881" r:id="rId880" display="javascript:void(0);"/>
    <hyperlink ref="E883" r:id="rId881" display="javascript:void(0);"/>
    <hyperlink ref="F883" r:id="rId882" display="javascript:void(0);"/>
    <hyperlink ref="E885" r:id="rId883" display="javascript:void(0);"/>
    <hyperlink ref="F885" r:id="rId884" display="javascript:void(0);"/>
    <hyperlink ref="E887" r:id="rId885" display="javascript:void(0);"/>
    <hyperlink ref="F887" r:id="rId886" display="javascript:void(0);"/>
    <hyperlink ref="E889" r:id="rId887" display="javascript:void(0);"/>
    <hyperlink ref="F889" r:id="rId888" display="javascript:void(0);"/>
    <hyperlink ref="E891" r:id="rId889" display="javascript:void(0);"/>
    <hyperlink ref="F891" r:id="rId890" display="javascript:void(0);"/>
    <hyperlink ref="E893" r:id="rId891" display="javascript:void(0);"/>
    <hyperlink ref="F893" r:id="rId892" display="javascript:void(0);"/>
    <hyperlink ref="E895" r:id="rId893" display="javascript:void(0);"/>
    <hyperlink ref="F895" r:id="rId894" display="javascript:void(0);"/>
    <hyperlink ref="E897" r:id="rId895" display="javascript:void(0);"/>
    <hyperlink ref="F897" r:id="rId896" display="javascript:void(0);"/>
    <hyperlink ref="E899" r:id="rId897" display="javascript:void(0);"/>
    <hyperlink ref="F899" r:id="rId898" display="javascript:void(0);"/>
    <hyperlink ref="E901" r:id="rId899" display="javascript:void(0);"/>
    <hyperlink ref="F901" r:id="rId900" display="javascript:void(0);"/>
    <hyperlink ref="E903" r:id="rId901" display="javascript:void(0);"/>
    <hyperlink ref="F903" r:id="rId902" display="javascript:void(0);"/>
    <hyperlink ref="E905" r:id="rId903" display="javascript:void(0);"/>
    <hyperlink ref="F905" r:id="rId904" display="javascript:void(0);"/>
    <hyperlink ref="E907" r:id="rId905" display="javascript:void(0);"/>
    <hyperlink ref="F907" r:id="rId906" display="javascript:void(0);"/>
    <hyperlink ref="E909" r:id="rId907" display="javascript:void(0);"/>
    <hyperlink ref="F909" r:id="rId908" display="javascript:void(0);"/>
    <hyperlink ref="E911" r:id="rId909" display="javascript:void(0);"/>
    <hyperlink ref="F911" r:id="rId910" display="javascript:void(0);"/>
    <hyperlink ref="E913" r:id="rId911" display="javascript:void(0);"/>
    <hyperlink ref="F913" r:id="rId912" display="javascript:void(0);"/>
    <hyperlink ref="E915" r:id="rId913" display="javascript:void(0);"/>
    <hyperlink ref="F915" r:id="rId914" display="javascript:void(0);"/>
    <hyperlink ref="E917" r:id="rId915" display="javascript:void(0);"/>
    <hyperlink ref="F917" r:id="rId916" display="javascript:void(0);"/>
    <hyperlink ref="E919" r:id="rId917" display="javascript:void(0);"/>
    <hyperlink ref="F919" r:id="rId918" display="javascript:void(0);"/>
    <hyperlink ref="E921" r:id="rId919" display="javascript:void(0);"/>
    <hyperlink ref="F921" r:id="rId920" display="javascript:void(0);"/>
    <hyperlink ref="E923" r:id="rId921" display="javascript:void(0);"/>
    <hyperlink ref="F923" r:id="rId922" display="javascript:void(0);"/>
    <hyperlink ref="E925" r:id="rId923" display="javascript:void(0);"/>
    <hyperlink ref="F925" r:id="rId924" display="javascript:void(0);"/>
    <hyperlink ref="E927" r:id="rId925" display="javascript:void(0);"/>
    <hyperlink ref="F927" r:id="rId926" display="javascript:void(0);"/>
    <hyperlink ref="E929" r:id="rId927" display="javascript:void(0);"/>
    <hyperlink ref="F929" r:id="rId928" display="javascript:void(0);"/>
    <hyperlink ref="E931" r:id="rId929" display="javascript:void(0);"/>
    <hyperlink ref="F931" r:id="rId930" display="javascript:void(0);"/>
    <hyperlink ref="E933" r:id="rId931" display="javascript:void(0);"/>
    <hyperlink ref="F933" r:id="rId932" display="javascript:void(0);"/>
    <hyperlink ref="E935" r:id="rId933" display="javascript:void(0);"/>
    <hyperlink ref="F935" r:id="rId934" display="javascript:void(0);"/>
    <hyperlink ref="E937" r:id="rId935" display="javascript:void(0);"/>
    <hyperlink ref="F937" r:id="rId936" display="javascript:void(0);"/>
    <hyperlink ref="E939" r:id="rId937" display="javascript:void(0);"/>
    <hyperlink ref="F939" r:id="rId938" display="javascript:void(0);"/>
    <hyperlink ref="E941" r:id="rId939" display="javascript:void(0);"/>
    <hyperlink ref="F941" r:id="rId940" display="javascript:void(0);"/>
    <hyperlink ref="E943" r:id="rId941" display="javascript:void(0);"/>
    <hyperlink ref="F943" r:id="rId942" display="javascript:void(0);"/>
    <hyperlink ref="E945" r:id="rId943" display="javascript:void(0);"/>
    <hyperlink ref="F945" r:id="rId944" display="javascript:void(0);"/>
    <hyperlink ref="E947" r:id="rId945" display="javascript:void(0);"/>
    <hyperlink ref="F947" r:id="rId946" display="javascript:void(0);"/>
    <hyperlink ref="E949" r:id="rId947" display="javascript:void(0);"/>
    <hyperlink ref="F949" r:id="rId948" display="javascript:void(0);"/>
    <hyperlink ref="E951" r:id="rId949" display="javascript:void(0);"/>
    <hyperlink ref="F951" r:id="rId950" display="javascript:void(0);"/>
    <hyperlink ref="E953" r:id="rId951" display="javascript:void(0);"/>
    <hyperlink ref="F953" r:id="rId952" display="javascript:void(0);"/>
    <hyperlink ref="E955" r:id="rId953" display="javascript:void(0);"/>
    <hyperlink ref="F955" r:id="rId954" display="javascript:void(0);"/>
    <hyperlink ref="E957" r:id="rId955" display="javascript:void(0);"/>
    <hyperlink ref="F957" r:id="rId956" display="javascript:void(0);"/>
    <hyperlink ref="E959" r:id="rId957" display="javascript:void(0);"/>
    <hyperlink ref="F959" r:id="rId958" display="javascript:void(0);"/>
    <hyperlink ref="E961" r:id="rId959" display="javascript:void(0);"/>
    <hyperlink ref="F961" r:id="rId960" display="javascript:void(0);"/>
    <hyperlink ref="E963" r:id="rId961" display="javascript:void(0);"/>
    <hyperlink ref="F963" r:id="rId962" display="javascript:void(0);"/>
    <hyperlink ref="E965" r:id="rId963" display="javascript:void(0);"/>
    <hyperlink ref="F965" r:id="rId964" display="javascript:void(0);"/>
    <hyperlink ref="E967" r:id="rId965" display="javascript:void(0);"/>
    <hyperlink ref="F967" r:id="rId966" display="javascript:void(0);"/>
    <hyperlink ref="E969" r:id="rId967" display="javascript:void(0);"/>
    <hyperlink ref="F969" r:id="rId968" display="javascript:void(0);"/>
    <hyperlink ref="E971" r:id="rId969" display="javascript:void(0);"/>
    <hyperlink ref="F971" r:id="rId970" display="javascript:void(0);"/>
    <hyperlink ref="E973" r:id="rId971" display="javascript:void(0);"/>
    <hyperlink ref="F973" r:id="rId972" display="javascript:void(0);"/>
    <hyperlink ref="E975" r:id="rId973" display="javascript:void(0);"/>
    <hyperlink ref="F975" r:id="rId974" display="javascript:void(0);"/>
    <hyperlink ref="E977" r:id="rId975" display="javascript:void(0);"/>
    <hyperlink ref="F977" r:id="rId976" display="javascript:void(0);"/>
    <hyperlink ref="E979" r:id="rId977" display="javascript:void(0);"/>
    <hyperlink ref="F979" r:id="rId978" display="javascript:void(0);"/>
    <hyperlink ref="E981" r:id="rId979" display="javascript:void(0);"/>
    <hyperlink ref="F981" r:id="rId980" display="javascript:void(0);"/>
    <hyperlink ref="E983" r:id="rId981" display="javascript:void(0);"/>
    <hyperlink ref="F983" r:id="rId982" display="javascript:void(0);"/>
    <hyperlink ref="E985" r:id="rId983" display="javascript:void(0);"/>
    <hyperlink ref="F985" r:id="rId984" display="javascript:void(0);"/>
    <hyperlink ref="E987" r:id="rId985" display="javascript:void(0);"/>
    <hyperlink ref="F987" r:id="rId986" display="javascript:void(0);"/>
    <hyperlink ref="E989" r:id="rId987" display="javascript:void(0);"/>
    <hyperlink ref="F989" r:id="rId988" display="javascript:void(0);"/>
    <hyperlink ref="E991" r:id="rId989" display="javascript:void(0);"/>
    <hyperlink ref="F991" r:id="rId990" display="javascript:void(0);"/>
    <hyperlink ref="E993" r:id="rId991" display="javascript:void(0);"/>
    <hyperlink ref="F993" r:id="rId992" display="javascript:void(0);"/>
    <hyperlink ref="E995" r:id="rId993" display="javascript:void(0);"/>
    <hyperlink ref="F995" r:id="rId994" display="javascript:void(0);"/>
    <hyperlink ref="E997" r:id="rId995" display="javascript:void(0);"/>
    <hyperlink ref="F997" r:id="rId996" display="javascript:void(0);"/>
    <hyperlink ref="E999" r:id="rId997" display="javascript:void(0);"/>
    <hyperlink ref="F999" r:id="rId998" display="javascript:void(0);"/>
    <hyperlink ref="E1001" r:id="rId999" display="javascript:void(0);"/>
    <hyperlink ref="F1001" r:id="rId1000" display="javascript:void(0);"/>
    <hyperlink ref="E1003" r:id="rId1001" display="javascript:void(0);"/>
    <hyperlink ref="F1003" r:id="rId1002" display="javascript:void(0);"/>
    <hyperlink ref="E1005" r:id="rId1003" display="javascript:void(0);"/>
    <hyperlink ref="F1005" r:id="rId1004" display="javascript:void(0);"/>
    <hyperlink ref="E1007" r:id="rId1005" display="javascript:void(0);"/>
    <hyperlink ref="F1007" r:id="rId1006" display="javascript:void(0);"/>
    <hyperlink ref="E1009" r:id="rId1007" display="javascript:void(0);"/>
    <hyperlink ref="F1009" r:id="rId1008" display="javascript:void(0);"/>
    <hyperlink ref="E1011" r:id="rId1009" display="javascript:void(0);"/>
    <hyperlink ref="F1011" r:id="rId1010" display="javascript:void(0);"/>
    <hyperlink ref="E1013" r:id="rId1011" display="javascript:void(0);"/>
    <hyperlink ref="F1013" r:id="rId1012" display="javascript:void(0);"/>
    <hyperlink ref="E1015" r:id="rId1013" display="javascript:void(0);"/>
    <hyperlink ref="F1015" r:id="rId1014" display="javascript:void(0);"/>
    <hyperlink ref="E1017" r:id="rId1015" display="javascript:void(0);"/>
    <hyperlink ref="F1017" r:id="rId1016" display="javascript:void(0);"/>
    <hyperlink ref="E1019" r:id="rId1017" display="javascript:void(0);"/>
    <hyperlink ref="F1019" r:id="rId1018" display="javascript:void(0);"/>
    <hyperlink ref="E1021" r:id="rId1019" display="javascript:void(0);"/>
    <hyperlink ref="F1021" r:id="rId1020" display="javascript:void(0);"/>
    <hyperlink ref="E1023" r:id="rId1021" display="javascript:void(0);"/>
    <hyperlink ref="F1023" r:id="rId1022" display="javascript:void(0);"/>
    <hyperlink ref="E1025" r:id="rId1023" display="javascript:void(0);"/>
    <hyperlink ref="F1025" r:id="rId1024" display="javascript:void(0);"/>
    <hyperlink ref="E1027" r:id="rId1025" display="javascript:void(0);"/>
    <hyperlink ref="F1027" r:id="rId1026" display="javascript:void(0);"/>
    <hyperlink ref="E1029" r:id="rId1027" display="javascript:void(0);"/>
    <hyperlink ref="F1029" r:id="rId1028" display="javascript:void(0);"/>
    <hyperlink ref="E1031" r:id="rId1029" display="javascript:void(0);"/>
    <hyperlink ref="F1031" r:id="rId1030" display="javascript:void(0);"/>
    <hyperlink ref="E1033" r:id="rId1031" display="javascript:void(0);"/>
    <hyperlink ref="F1033" r:id="rId1032" display="javascript:void(0);"/>
    <hyperlink ref="E1035" r:id="rId1033" display="javascript:void(0);"/>
    <hyperlink ref="F1035" r:id="rId1034" display="javascript:void(0);"/>
    <hyperlink ref="E1037" r:id="rId1035" display="javascript:void(0);"/>
    <hyperlink ref="F1037" r:id="rId1036" display="javascript:void(0);"/>
    <hyperlink ref="E1039" r:id="rId1037" display="javascript:void(0);"/>
    <hyperlink ref="F1039" r:id="rId1038" display="javascript:void(0);"/>
    <hyperlink ref="E1041" r:id="rId1039" display="javascript:void(0);"/>
    <hyperlink ref="F1041" r:id="rId1040" display="javascript:void(0);"/>
    <hyperlink ref="E1043" r:id="rId1041" display="javascript:void(0);"/>
    <hyperlink ref="F1043" r:id="rId1042" display="javascript:void(0);"/>
    <hyperlink ref="E1045" r:id="rId1043" display="javascript:void(0);"/>
    <hyperlink ref="F1045" r:id="rId1044" display="javascript:void(0);"/>
    <hyperlink ref="E1047" r:id="rId1045" display="javascript:void(0);"/>
    <hyperlink ref="F1047" r:id="rId1046" display="javascript:void(0);"/>
    <hyperlink ref="E1049" r:id="rId1047" display="javascript:void(0);"/>
    <hyperlink ref="F1049" r:id="rId1048" display="javascript:void(0);"/>
    <hyperlink ref="E1051" r:id="rId1049" display="javascript:void(0);"/>
    <hyperlink ref="F1051" r:id="rId1050" display="javascript:void(0);"/>
    <hyperlink ref="E1053" r:id="rId1051" display="javascript:void(0);"/>
    <hyperlink ref="F1053" r:id="rId1052" display="javascript:void(0);"/>
    <hyperlink ref="E1055" r:id="rId1053" display="javascript:void(0);"/>
    <hyperlink ref="F1055" r:id="rId1054" display="javascript:void(0);"/>
    <hyperlink ref="E1057" r:id="rId1055" display="javascript:void(0);"/>
    <hyperlink ref="F1057" r:id="rId1056" display="javascript:void(0);"/>
    <hyperlink ref="E1059" r:id="rId1057" display="javascript:void(0);"/>
    <hyperlink ref="F1059" r:id="rId1058" display="javascript:void(0);"/>
    <hyperlink ref="E1061" r:id="rId1059" display="javascript:void(0);"/>
    <hyperlink ref="F1061" r:id="rId1060" display="javascript:void(0);"/>
    <hyperlink ref="E1063" r:id="rId1061" display="javascript:void(0);"/>
    <hyperlink ref="F1063" r:id="rId1062" display="javascript:void(0);"/>
    <hyperlink ref="E1065" r:id="rId1063" display="javascript:void(0);"/>
    <hyperlink ref="F1065" r:id="rId1064" display="javascript:void(0);"/>
    <hyperlink ref="E1067" r:id="rId1065" display="javascript:void(0);"/>
    <hyperlink ref="F1067" r:id="rId1066" display="javascript:void(0);"/>
    <hyperlink ref="E1069" r:id="rId1067" display="javascript:void(0);"/>
    <hyperlink ref="F1069" r:id="rId1068" display="javascript:void(0);"/>
    <hyperlink ref="E1071" r:id="rId1069" display="javascript:void(0);"/>
    <hyperlink ref="F1071" r:id="rId1070" display="javascript:void(0);"/>
    <hyperlink ref="E1073" r:id="rId1071" display="javascript:void(0);"/>
    <hyperlink ref="F1073" r:id="rId1072" display="javascript:void(0);"/>
    <hyperlink ref="E1075" r:id="rId1073" display="javascript:void(0);"/>
    <hyperlink ref="F1075" r:id="rId1074" display="javascript:void(0);"/>
    <hyperlink ref="E1077" r:id="rId1075" display="javascript:void(0);"/>
    <hyperlink ref="F1077" r:id="rId1076" display="javascript:void(0);"/>
    <hyperlink ref="E1079" r:id="rId1077" display="javascript:void(0);"/>
    <hyperlink ref="F1079" r:id="rId1078" display="javascript:void(0);"/>
    <hyperlink ref="E1081" r:id="rId1079" display="javascript:void(0);"/>
    <hyperlink ref="F1081" r:id="rId1080" display="javascript:void(0);"/>
    <hyperlink ref="E1083" r:id="rId1081" display="javascript:void(0);"/>
    <hyperlink ref="F1083" r:id="rId1082" display="javascript:void(0);"/>
    <hyperlink ref="E1085" r:id="rId1083" display="javascript:void(0);"/>
    <hyperlink ref="F1085" r:id="rId1084" display="javascript:void(0);"/>
    <hyperlink ref="E1087" r:id="rId1085" display="javascript:void(0);"/>
    <hyperlink ref="F1087" r:id="rId1086" display="javascript:void(0);"/>
    <hyperlink ref="E1089" r:id="rId1087" display="javascript:void(0);"/>
    <hyperlink ref="F1089" r:id="rId1088" display="javascript:void(0);"/>
    <hyperlink ref="E1091" r:id="rId1089" display="javascript:void(0);"/>
    <hyperlink ref="F1091" r:id="rId1090" display="javascript:void(0);"/>
    <hyperlink ref="E1093" r:id="rId1091" display="javascript:void(0);"/>
    <hyperlink ref="F1093" r:id="rId1092" display="javascript:void(0);"/>
    <hyperlink ref="E1095" r:id="rId1093" display="javascript:void(0);"/>
    <hyperlink ref="F1095" r:id="rId1094" display="javascript:void(0);"/>
    <hyperlink ref="E1097" r:id="rId1095" display="javascript:void(0);"/>
    <hyperlink ref="F1097" r:id="rId1096" display="javascript:void(0);"/>
    <hyperlink ref="E1099" r:id="rId1097" display="javascript:void(0);"/>
    <hyperlink ref="F1099" r:id="rId1098" display="javascript:void(0);"/>
    <hyperlink ref="E1101" r:id="rId1099" display="javascript:void(0);"/>
    <hyperlink ref="F1101" r:id="rId1100" display="javascript:void(0);"/>
    <hyperlink ref="E1103" r:id="rId1101" display="javascript:void(0);"/>
    <hyperlink ref="F1103" r:id="rId1102" display="javascript:void(0);"/>
    <hyperlink ref="E1105" r:id="rId1103" display="javascript:void(0);"/>
    <hyperlink ref="F1105" r:id="rId1104" display="javascript:void(0);"/>
    <hyperlink ref="E1107" r:id="rId1105" display="javascript:void(0);"/>
    <hyperlink ref="F1107" r:id="rId1106" display="javascript:void(0);"/>
    <hyperlink ref="E1109" r:id="rId1107" display="javascript:void(0);"/>
    <hyperlink ref="F1109" r:id="rId1108" display="javascript:void(0);"/>
    <hyperlink ref="E1111" r:id="rId1109" display="javascript:void(0);"/>
    <hyperlink ref="F1111" r:id="rId1110" display="javascript:void(0);"/>
    <hyperlink ref="E1113" r:id="rId1111" display="javascript:void(0);"/>
    <hyperlink ref="F1113" r:id="rId1112" display="javascript:void(0);"/>
    <hyperlink ref="E1115" r:id="rId1113" display="javascript:void(0);"/>
    <hyperlink ref="F1115" r:id="rId1114" display="javascript:void(0);"/>
    <hyperlink ref="E1117" r:id="rId1115" display="javascript:void(0);"/>
    <hyperlink ref="F1117" r:id="rId1116" display="javascript:void(0);"/>
    <hyperlink ref="E1119" r:id="rId1117" display="javascript:void(0);"/>
    <hyperlink ref="F1119" r:id="rId1118" display="javascript:void(0);"/>
    <hyperlink ref="E1121" r:id="rId1119" display="javascript:void(0);"/>
    <hyperlink ref="F1121" r:id="rId1120" display="javascript:void(0);"/>
    <hyperlink ref="E1123" r:id="rId1121" display="javascript:void(0);"/>
    <hyperlink ref="F1123" r:id="rId1122" display="javascript:void(0);"/>
    <hyperlink ref="E1125" r:id="rId1123" display="javascript:void(0);"/>
    <hyperlink ref="F1125" r:id="rId1124" display="javascript:void(0);"/>
    <hyperlink ref="E1127" r:id="rId1125" display="javascript:void(0);"/>
    <hyperlink ref="F1127" r:id="rId1126" display="javascript:void(0);"/>
    <hyperlink ref="E1129" r:id="rId1127" display="javascript:void(0);"/>
    <hyperlink ref="F1129" r:id="rId1128" display="javascript:void(0);"/>
    <hyperlink ref="E1131" r:id="rId1129" display="javascript:void(0);"/>
    <hyperlink ref="F1131" r:id="rId1130" display="javascript:void(0);"/>
    <hyperlink ref="E1133" r:id="rId1131" display="javascript:void(0);"/>
    <hyperlink ref="F1133" r:id="rId1132" display="javascript:void(0);"/>
    <hyperlink ref="E1135" r:id="rId1133" display="javascript:void(0);"/>
    <hyperlink ref="F1135" r:id="rId1134" display="javascript:void(0);"/>
    <hyperlink ref="E1137" r:id="rId1135" display="javascript:void(0);"/>
    <hyperlink ref="F1137" r:id="rId1136" display="javascript:void(0);"/>
    <hyperlink ref="E1139" r:id="rId1137" display="javascript:void(0);"/>
    <hyperlink ref="F1139" r:id="rId1138" display="javascript:void(0);"/>
    <hyperlink ref="E1141" r:id="rId1139" display="javascript:void(0);"/>
    <hyperlink ref="F1141" r:id="rId1140" display="javascript:void(0);"/>
    <hyperlink ref="E1143" r:id="rId1141" display="javascript:void(0);"/>
    <hyperlink ref="F1143" r:id="rId1142" display="javascript:void(0);"/>
    <hyperlink ref="E1145" r:id="rId1143" display="javascript:void(0);"/>
    <hyperlink ref="F1145" r:id="rId1144" display="javascript:void(0);"/>
    <hyperlink ref="E1147" r:id="rId1145" display="javascript:void(0);"/>
    <hyperlink ref="F1147" r:id="rId1146" display="javascript:void(0);"/>
    <hyperlink ref="E1149" r:id="rId1147" display="javascript:void(0);"/>
    <hyperlink ref="F1149" r:id="rId1148" display="javascript:void(0);"/>
    <hyperlink ref="E1151" r:id="rId1149" display="javascript:void(0);"/>
    <hyperlink ref="F1151" r:id="rId1150" display="javascript:void(0);"/>
    <hyperlink ref="E1153" r:id="rId1151" display="javascript:void(0);"/>
    <hyperlink ref="F1153" r:id="rId1152" display="javascript:void(0);"/>
    <hyperlink ref="E1155" r:id="rId1153" display="javascript:void(0);"/>
    <hyperlink ref="F1155" r:id="rId1154" display="javascript:void(0);"/>
    <hyperlink ref="E1157" r:id="rId1155" display="javascript:void(0);"/>
    <hyperlink ref="F1157" r:id="rId1156" display="javascript:void(0);"/>
    <hyperlink ref="E1159" r:id="rId1157" display="javascript:void(0);"/>
    <hyperlink ref="F1159" r:id="rId1158" display="javascript:void(0);"/>
    <hyperlink ref="E1161" r:id="rId1159" display="javascript:void(0);"/>
    <hyperlink ref="F1161" r:id="rId1160" display="javascript:void(0);"/>
    <hyperlink ref="E1163" r:id="rId1161" display="javascript:void(0);"/>
    <hyperlink ref="F1163" r:id="rId1162" display="javascript:void(0);"/>
    <hyperlink ref="E1165" r:id="rId1163" display="javascript:void(0);"/>
    <hyperlink ref="F1165" r:id="rId1164" display="javascript:void(0);"/>
    <hyperlink ref="E1167" r:id="rId1165" display="javascript:void(0);"/>
    <hyperlink ref="F1167" r:id="rId1166" display="javascript:void(0);"/>
    <hyperlink ref="E1169" r:id="rId1167" display="javascript:void(0);"/>
    <hyperlink ref="F1169" r:id="rId1168" display="javascript:void(0);"/>
    <hyperlink ref="E1171" r:id="rId1169" display="javascript:void(0);"/>
    <hyperlink ref="F1171" r:id="rId1170" display="javascript:void(0);"/>
    <hyperlink ref="E1173" r:id="rId1171" display="javascript:void(0);"/>
    <hyperlink ref="F1173" r:id="rId1172" display="javascript:void(0);"/>
    <hyperlink ref="E1175" r:id="rId1173" display="javascript:void(0);"/>
    <hyperlink ref="F1175" r:id="rId1174" display="javascript:void(0);"/>
    <hyperlink ref="E1177" r:id="rId1175" display="javascript:void(0);"/>
    <hyperlink ref="F1177" r:id="rId1176" display="javascript:void(0);"/>
    <hyperlink ref="E1179" r:id="rId1177" display="javascript:void(0);"/>
    <hyperlink ref="F1179" r:id="rId1178" display="javascript:void(0);"/>
    <hyperlink ref="E1181" r:id="rId1179" display="javascript:void(0);"/>
    <hyperlink ref="F1181" r:id="rId1180" display="javascript:void(0);"/>
    <hyperlink ref="E1183" r:id="rId1181" display="javascript:void(0);"/>
    <hyperlink ref="F1183" r:id="rId1182" display="javascript:void(0);"/>
    <hyperlink ref="E1185" r:id="rId1183" display="javascript:void(0);"/>
    <hyperlink ref="F1185" r:id="rId1184" display="javascript:void(0);"/>
    <hyperlink ref="E1187" r:id="rId1185" display="javascript:void(0);"/>
    <hyperlink ref="F1187" r:id="rId1186" display="javascript:void(0);"/>
    <hyperlink ref="E1189" r:id="rId1187" display="javascript:void(0);"/>
    <hyperlink ref="F1189" r:id="rId1188" display="javascript:void(0);"/>
    <hyperlink ref="E1191" r:id="rId1189" display="javascript:void(0);"/>
    <hyperlink ref="F1191" r:id="rId1190" display="javascript:void(0);"/>
    <hyperlink ref="E1193" r:id="rId1191" display="javascript:void(0);"/>
    <hyperlink ref="F1193" r:id="rId1192" display="javascript:void(0);"/>
    <hyperlink ref="E1195" r:id="rId1193" display="javascript:void(0);"/>
    <hyperlink ref="F1195" r:id="rId1194" display="javascript:void(0);"/>
    <hyperlink ref="E1197" r:id="rId1195" display="javascript:void(0);"/>
    <hyperlink ref="F1197" r:id="rId1196" display="javascript:void(0);"/>
    <hyperlink ref="E1199" r:id="rId1197" display="javascript:void(0);"/>
    <hyperlink ref="F1199" r:id="rId1198" display="javascript:void(0);"/>
    <hyperlink ref="E1201" r:id="rId1199" display="javascript:void(0);"/>
    <hyperlink ref="F1201" r:id="rId1200" display="javascript:void(0);"/>
    <hyperlink ref="E1203" r:id="rId1201" display="javascript:void(0);"/>
    <hyperlink ref="F1203" r:id="rId1202" display="javascript:void(0);"/>
    <hyperlink ref="E1205" r:id="rId1203" display="javascript:void(0);"/>
    <hyperlink ref="F1205" r:id="rId1204" display="javascript:void(0);"/>
    <hyperlink ref="E1207" r:id="rId1205" display="javascript:void(0);"/>
    <hyperlink ref="F1207" r:id="rId1206" display="javascript:void(0);"/>
    <hyperlink ref="E1209" r:id="rId1207" display="javascript:void(0);"/>
    <hyperlink ref="F1209" r:id="rId1208" display="javascript:void(0);"/>
    <hyperlink ref="E1211" r:id="rId1209" display="javascript:void(0);"/>
    <hyperlink ref="F1211" r:id="rId1210" display="javascript:void(0);"/>
    <hyperlink ref="E1213" r:id="rId1211" display="javascript:void(0);"/>
    <hyperlink ref="F1213" r:id="rId1212" display="javascript:void(0);"/>
    <hyperlink ref="E1215" r:id="rId1213" display="javascript:void(0);"/>
    <hyperlink ref="F1215" r:id="rId1214" display="javascript:void(0);"/>
    <hyperlink ref="E1217" r:id="rId1215" display="javascript:void(0);"/>
    <hyperlink ref="F1217" r:id="rId1216" display="javascript:void(0);"/>
    <hyperlink ref="E1219" r:id="rId1217" display="javascript:void(0);"/>
    <hyperlink ref="F1219" r:id="rId1218" display="javascript:void(0);"/>
    <hyperlink ref="E1221" r:id="rId1219" display="javascript:void(0);"/>
    <hyperlink ref="F1221" r:id="rId1220" display="javascript:void(0);"/>
    <hyperlink ref="E1223" r:id="rId1221" display="javascript:void(0);"/>
    <hyperlink ref="F1223" r:id="rId1222" display="javascript:void(0);"/>
    <hyperlink ref="E1225" r:id="rId1223" display="javascript:void(0);"/>
    <hyperlink ref="F1225" r:id="rId1224" display="javascript:void(0);"/>
    <hyperlink ref="E1227" r:id="rId1225" display="javascript:void(0);"/>
    <hyperlink ref="F1227" r:id="rId1226" display="javascript:void(0);"/>
    <hyperlink ref="E1229" r:id="rId1227" display="javascript:void(0);"/>
    <hyperlink ref="F1229" r:id="rId1228" display="javascript:void(0);"/>
    <hyperlink ref="E1231" r:id="rId1229" display="javascript:void(0);"/>
    <hyperlink ref="F1231" r:id="rId1230" display="javascript:void(0);"/>
    <hyperlink ref="E1233" r:id="rId1231" display="javascript:void(0);"/>
    <hyperlink ref="F1233" r:id="rId1232" display="javascript:void(0);"/>
    <hyperlink ref="E1235" r:id="rId1233" display="javascript:void(0);"/>
    <hyperlink ref="F1235" r:id="rId1234" display="javascript:void(0);"/>
    <hyperlink ref="E1237" r:id="rId1235" display="javascript:void(0);"/>
    <hyperlink ref="F1237" r:id="rId1236" display="javascript:void(0);"/>
    <hyperlink ref="E1239" r:id="rId1237" display="javascript:void(0);"/>
    <hyperlink ref="F1239" r:id="rId1238" display="javascript:void(0);"/>
    <hyperlink ref="E1241" r:id="rId1239" display="javascript:void(0);"/>
    <hyperlink ref="F1241" r:id="rId1240" display="javascript:void(0);"/>
    <hyperlink ref="E1243" r:id="rId1241" display="javascript:void(0);"/>
    <hyperlink ref="F1243" r:id="rId1242" display="javascript:void(0);"/>
    <hyperlink ref="E1245" r:id="rId1243" display="javascript:void(0);"/>
    <hyperlink ref="F1245" r:id="rId1244" display="javascript:void(0);"/>
    <hyperlink ref="E1247" r:id="rId1245" display="javascript:void(0);"/>
    <hyperlink ref="F1247" r:id="rId1246" display="javascript:void(0);"/>
    <hyperlink ref="E1249" r:id="rId1247" display="javascript:void(0);"/>
    <hyperlink ref="F1249" r:id="rId1248" display="javascript:void(0);"/>
    <hyperlink ref="E1251" r:id="rId1249" display="javascript:void(0);"/>
    <hyperlink ref="F1251" r:id="rId1250" display="javascript:void(0);"/>
    <hyperlink ref="E1253" r:id="rId1251" display="javascript:void(0);"/>
    <hyperlink ref="F1253" r:id="rId1252" display="javascript:void(0);"/>
    <hyperlink ref="E1255" r:id="rId1253" display="javascript:void(0);"/>
    <hyperlink ref="F1255" r:id="rId1254" display="javascript:void(0);"/>
    <hyperlink ref="E1257" r:id="rId1255" display="javascript:void(0);"/>
    <hyperlink ref="F1257" r:id="rId1256" display="javascript:void(0);"/>
    <hyperlink ref="E1259" r:id="rId1257" display="javascript:void(0);"/>
    <hyperlink ref="F1259" r:id="rId1258" display="javascript:void(0);"/>
    <hyperlink ref="E1261" r:id="rId1259" display="javascript:void(0);"/>
    <hyperlink ref="F1261" r:id="rId1260" display="javascript:void(0);"/>
    <hyperlink ref="E1263" r:id="rId1261" display="javascript:void(0);"/>
    <hyperlink ref="F1263" r:id="rId1262" display="javascript:void(0);"/>
    <hyperlink ref="E1265" r:id="rId1263" display="javascript:void(0);"/>
    <hyperlink ref="F1265" r:id="rId1264" display="javascript:void(0);"/>
    <hyperlink ref="E1267" r:id="rId1265" display="javascript:void(0);"/>
    <hyperlink ref="F1267" r:id="rId1266" display="javascript:void(0);"/>
    <hyperlink ref="E1269" r:id="rId1267" display="javascript:void(0);"/>
    <hyperlink ref="F1269" r:id="rId1268" display="javascript:void(0);"/>
    <hyperlink ref="E1271" r:id="rId1269" display="javascript:void(0);"/>
    <hyperlink ref="F1271" r:id="rId1270" display="javascript:void(0);"/>
    <hyperlink ref="E1273" r:id="rId1271" display="javascript:void(0);"/>
    <hyperlink ref="F1273" r:id="rId1272" display="javascript:void(0);"/>
    <hyperlink ref="E1275" r:id="rId1273" display="javascript:void(0);"/>
    <hyperlink ref="F1275" r:id="rId1274" display="javascript:void(0);"/>
    <hyperlink ref="E1277" r:id="rId1275" display="javascript:void(0);"/>
    <hyperlink ref="F1277" r:id="rId1276" display="javascript:void(0);"/>
    <hyperlink ref="E1279" r:id="rId1277" display="javascript:void(0);"/>
    <hyperlink ref="F1279" r:id="rId1278" display="javascript:void(0);"/>
    <hyperlink ref="E1281" r:id="rId1279" display="javascript:void(0);"/>
    <hyperlink ref="F1281" r:id="rId1280" display="javascript:void(0);"/>
    <hyperlink ref="E1283" r:id="rId1281" display="javascript:void(0);"/>
    <hyperlink ref="F1283" r:id="rId1282" display="javascript:void(0);"/>
    <hyperlink ref="E1285" r:id="rId1283" display="javascript:void(0);"/>
    <hyperlink ref="F1285" r:id="rId1284" display="javascript:void(0);"/>
    <hyperlink ref="E1287" r:id="rId1285" display="javascript:void(0);"/>
    <hyperlink ref="F1287" r:id="rId1286" display="javascript:void(0);"/>
    <hyperlink ref="E1289" r:id="rId1287" display="javascript:void(0);"/>
    <hyperlink ref="F1289" r:id="rId1288" display="javascript:void(0);"/>
    <hyperlink ref="E1291" r:id="rId1289" display="javascript:void(0);"/>
    <hyperlink ref="F1291" r:id="rId1290" display="javascript:void(0);"/>
    <hyperlink ref="E1293" r:id="rId1291" display="javascript:void(0);"/>
    <hyperlink ref="F1293" r:id="rId1292" display="javascript:void(0);"/>
    <hyperlink ref="E1295" r:id="rId1293" display="javascript:void(0);"/>
    <hyperlink ref="F1295" r:id="rId1294" display="javascript:void(0);"/>
    <hyperlink ref="E1297" r:id="rId1295" display="javascript:void(0);"/>
    <hyperlink ref="F1297" r:id="rId1296" display="javascript:void(0);"/>
    <hyperlink ref="E1299" r:id="rId1297" display="javascript:void(0);"/>
    <hyperlink ref="F1299" r:id="rId1298" display="javascript:void(0);"/>
    <hyperlink ref="E1301" r:id="rId1299" display="javascript:void(0);"/>
    <hyperlink ref="F1301" r:id="rId1300" display="javascript:void(0);"/>
    <hyperlink ref="E1303" r:id="rId1301" display="javascript:void(0);"/>
    <hyperlink ref="F1303" r:id="rId1302" display="javascript:void(0);"/>
    <hyperlink ref="E1305" r:id="rId1303" display="javascript:void(0);"/>
    <hyperlink ref="F1305" r:id="rId1304" display="javascript:void(0);"/>
    <hyperlink ref="E1307" r:id="rId1305" display="javascript:void(0);"/>
    <hyperlink ref="F1307" r:id="rId1306" display="javascript:void(0);"/>
    <hyperlink ref="E1309" r:id="rId1307" display="javascript:void(0);"/>
    <hyperlink ref="F1309" r:id="rId1308" display="javascript:void(0);"/>
    <hyperlink ref="E1311" r:id="rId1309" display="javascript:void(0);"/>
    <hyperlink ref="F1311" r:id="rId1310" display="javascript:void(0);"/>
    <hyperlink ref="E1313" r:id="rId1311" display="javascript:void(0);"/>
    <hyperlink ref="F1313" r:id="rId1312" display="javascript:void(0);"/>
    <hyperlink ref="E1315" r:id="rId1313" display="javascript:void(0);"/>
    <hyperlink ref="F1315" r:id="rId1314" display="javascript:void(0);"/>
    <hyperlink ref="E1317" r:id="rId1315" display="javascript:void(0);"/>
    <hyperlink ref="F1317" r:id="rId1316" display="javascript:void(0);"/>
    <hyperlink ref="E1319" r:id="rId1317" display="javascript:void(0);"/>
    <hyperlink ref="F1319" r:id="rId1318" display="javascript:void(0);"/>
    <hyperlink ref="E1321" r:id="rId1319" display="javascript:void(0);"/>
    <hyperlink ref="F1321" r:id="rId1320" display="javascript:void(0);"/>
    <hyperlink ref="E1323" r:id="rId1321" display="javascript:void(0);"/>
    <hyperlink ref="F1323" r:id="rId1322" display="javascript:void(0);"/>
    <hyperlink ref="E1325" r:id="rId1323" display="javascript:void(0);"/>
    <hyperlink ref="F1325" r:id="rId1324" display="javascript:void(0);"/>
    <hyperlink ref="E1327" r:id="rId1325" display="javascript:void(0);"/>
    <hyperlink ref="F1327" r:id="rId1326" display="javascript:void(0);"/>
    <hyperlink ref="E1329" r:id="rId1327" display="javascript:void(0);"/>
    <hyperlink ref="F1329" r:id="rId1328" display="javascript:void(0);"/>
    <hyperlink ref="E1331" r:id="rId1329" display="javascript:void(0);"/>
    <hyperlink ref="F1331" r:id="rId1330" display="javascript:void(0);"/>
    <hyperlink ref="E1333" r:id="rId1331" display="javascript:void(0);"/>
    <hyperlink ref="F1333" r:id="rId1332" display="javascript:void(0);"/>
    <hyperlink ref="E1335" r:id="rId1333" display="javascript:void(0);"/>
    <hyperlink ref="F1335" r:id="rId1334" display="javascript:void(0);"/>
    <hyperlink ref="E1337" r:id="rId1335" display="javascript:void(0);"/>
    <hyperlink ref="F1337" r:id="rId1336" display="javascript:void(0);"/>
    <hyperlink ref="E1339" r:id="rId1337" display="javascript:void(0);"/>
    <hyperlink ref="F1339" r:id="rId1338" display="javascript:void(0);"/>
    <hyperlink ref="E1341" r:id="rId1339" display="javascript:void(0);"/>
    <hyperlink ref="F1341" r:id="rId1340" display="javascript:void(0);"/>
    <hyperlink ref="E1343" r:id="rId1341" display="javascript:void(0);"/>
    <hyperlink ref="F1343" r:id="rId1342" display="javascript:void(0);"/>
    <hyperlink ref="E1345" r:id="rId1343" display="javascript:void(0);"/>
    <hyperlink ref="F1345" r:id="rId1344" display="javascript:void(0);"/>
    <hyperlink ref="E1347" r:id="rId1345" display="javascript:void(0);"/>
    <hyperlink ref="F1347" r:id="rId1346" display="javascript:void(0);"/>
    <hyperlink ref="E1349" r:id="rId1347" display="javascript:void(0);"/>
    <hyperlink ref="F1349" r:id="rId1348" display="javascript:void(0);"/>
    <hyperlink ref="E1351" r:id="rId1349" display="javascript:void(0);"/>
    <hyperlink ref="F1351" r:id="rId1350" display="javascript:void(0);"/>
    <hyperlink ref="E1353" r:id="rId1351" display="javascript:void(0);"/>
    <hyperlink ref="F1353" r:id="rId1352" display="javascript:void(0);"/>
    <hyperlink ref="E1355" r:id="rId1353" display="javascript:void(0);"/>
    <hyperlink ref="F1355" r:id="rId1354" display="javascript:void(0);"/>
    <hyperlink ref="E1357" r:id="rId1355" display="javascript:void(0);"/>
    <hyperlink ref="F1357" r:id="rId1356" display="javascript:void(0);"/>
    <hyperlink ref="E1359" r:id="rId1357" display="javascript:void(0);"/>
    <hyperlink ref="F1359" r:id="rId1358" display="javascript:void(0);"/>
    <hyperlink ref="E1361" r:id="rId1359" display="javascript:void(0);"/>
    <hyperlink ref="F1361" r:id="rId1360" display="javascript:void(0);"/>
    <hyperlink ref="E1363" r:id="rId1361" display="javascript:void(0);"/>
    <hyperlink ref="F1363" r:id="rId1362" display="javascript:void(0);"/>
    <hyperlink ref="E1365" r:id="rId1363" display="javascript:void(0);"/>
    <hyperlink ref="F1365" r:id="rId1364" display="javascript:void(0);"/>
    <hyperlink ref="E1367" r:id="rId1365" display="javascript:void(0);"/>
    <hyperlink ref="F1367" r:id="rId1366" display="javascript:void(0);"/>
    <hyperlink ref="E1369" r:id="rId1367" display="javascript:void(0);"/>
    <hyperlink ref="F1369" r:id="rId1368" display="javascript:void(0);"/>
    <hyperlink ref="E1371" r:id="rId1369" display="javascript:void(0);"/>
    <hyperlink ref="F1371" r:id="rId1370" display="javascript:void(0);"/>
    <hyperlink ref="E1373" r:id="rId1371" display="javascript:void(0);"/>
    <hyperlink ref="F1373" r:id="rId1372" display="javascript:void(0);"/>
    <hyperlink ref="E1375" r:id="rId1373" display="javascript:void(0);"/>
    <hyperlink ref="F1375" r:id="rId1374" display="javascript:void(0);"/>
    <hyperlink ref="E1377" r:id="rId1375" display="javascript:void(0);"/>
    <hyperlink ref="F1377" r:id="rId1376" display="javascript:void(0);"/>
    <hyperlink ref="E1379" r:id="rId1377" display="javascript:void(0);"/>
    <hyperlink ref="F1379" r:id="rId1378" display="javascript:void(0);"/>
    <hyperlink ref="E1381" r:id="rId1379" display="javascript:void(0);"/>
    <hyperlink ref="F1381" r:id="rId1380" display="javascript:void(0);"/>
    <hyperlink ref="E1383" r:id="rId1381" display="javascript:void(0);"/>
    <hyperlink ref="F1383" r:id="rId1382" display="javascript:void(0);"/>
    <hyperlink ref="E1385" r:id="rId1383" display="javascript:void(0);"/>
    <hyperlink ref="F1385" r:id="rId1384" display="javascript:void(0);"/>
    <hyperlink ref="E1387" r:id="rId1385" display="javascript:void(0);"/>
    <hyperlink ref="F1387" r:id="rId1386" display="javascript:void(0);"/>
    <hyperlink ref="E1389" r:id="rId1387" display="javascript:void(0);"/>
    <hyperlink ref="F1389" r:id="rId1388" display="javascript:void(0);"/>
    <hyperlink ref="E1391" r:id="rId1389" display="javascript:void(0);"/>
    <hyperlink ref="F1391" r:id="rId1390" display="javascript:void(0);"/>
    <hyperlink ref="E1393" r:id="rId1391" display="javascript:void(0);"/>
    <hyperlink ref="F1393" r:id="rId1392" display="javascript:void(0);"/>
    <hyperlink ref="E1395" r:id="rId1393" display="javascript:void(0);"/>
    <hyperlink ref="F1395" r:id="rId1394" display="javascript:void(0);"/>
    <hyperlink ref="E1397" r:id="rId1395" display="javascript:void(0);"/>
    <hyperlink ref="F1397" r:id="rId1396" display="javascript:void(0);"/>
    <hyperlink ref="E1399" r:id="rId1397" display="javascript:void(0);"/>
    <hyperlink ref="F1399" r:id="rId1398" display="javascript:void(0);"/>
    <hyperlink ref="E1401" r:id="rId1399" display="javascript:void(0);"/>
    <hyperlink ref="F1401" r:id="rId1400" display="javascript:void(0);"/>
    <hyperlink ref="E1403" r:id="rId1401" display="javascript:void(0);"/>
    <hyperlink ref="F1403" r:id="rId1402" display="javascript:void(0);"/>
    <hyperlink ref="E1405" r:id="rId1403" display="javascript:void(0);"/>
    <hyperlink ref="F1405" r:id="rId1404" display="javascript:void(0);"/>
    <hyperlink ref="E1407" r:id="rId1405" display="javascript:void(0);"/>
    <hyperlink ref="F1407" r:id="rId1406" display="javascript:void(0);"/>
    <hyperlink ref="E1409" r:id="rId1407" display="javascript:void(0);"/>
    <hyperlink ref="F1409" r:id="rId1408" display="javascript:void(0);"/>
    <hyperlink ref="E1411" r:id="rId1409" display="javascript:void(0);"/>
    <hyperlink ref="F1411" r:id="rId1410" display="javascript:void(0);"/>
    <hyperlink ref="E1413" r:id="rId1411" display="javascript:void(0);"/>
    <hyperlink ref="F1413" r:id="rId1412" display="javascript:void(0);"/>
    <hyperlink ref="E1415" r:id="rId1413" display="javascript:void(0);"/>
    <hyperlink ref="F1415" r:id="rId1414" display="javascript:void(0);"/>
    <hyperlink ref="E1417" r:id="rId1415" display="javascript:void(0);"/>
    <hyperlink ref="F1417" r:id="rId1416" display="javascript:void(0);"/>
    <hyperlink ref="E1419" r:id="rId1417" display="javascript:void(0);"/>
    <hyperlink ref="F1419" r:id="rId1418" display="javascript:void(0);"/>
    <hyperlink ref="E1421" r:id="rId1419" display="javascript:void(0);"/>
    <hyperlink ref="F1421" r:id="rId1420" display="javascript:void(0);"/>
    <hyperlink ref="E1423" r:id="rId1421" display="javascript:void(0);"/>
    <hyperlink ref="F1423" r:id="rId1422" display="javascript:void(0);"/>
    <hyperlink ref="E1425" r:id="rId1423" display="javascript:void(0);"/>
    <hyperlink ref="F1425" r:id="rId1424" display="javascript:void(0);"/>
    <hyperlink ref="E1427" r:id="rId1425" display="javascript:void(0);"/>
    <hyperlink ref="F1427" r:id="rId1426" display="javascript:void(0);"/>
    <hyperlink ref="E1429" r:id="rId1427" display="javascript:void(0);"/>
    <hyperlink ref="F1429" r:id="rId1428" display="javascript:void(0);"/>
    <hyperlink ref="E1431" r:id="rId1429" display="javascript:void(0);"/>
    <hyperlink ref="F1431" r:id="rId1430" display="javascript:void(0);"/>
    <hyperlink ref="E1433" r:id="rId1431" display="javascript:void(0);"/>
    <hyperlink ref="F1433" r:id="rId1432" display="javascript:void(0);"/>
    <hyperlink ref="E1435" r:id="rId1433" display="javascript:void(0);"/>
    <hyperlink ref="F1435" r:id="rId1434" display="javascript:void(0);"/>
    <hyperlink ref="E1437" r:id="rId1435" display="javascript:void(0);"/>
    <hyperlink ref="F1437" r:id="rId1436" display="javascript:void(0);"/>
    <hyperlink ref="E1439" r:id="rId1437" display="javascript:void(0);"/>
    <hyperlink ref="F1439" r:id="rId1438" display="javascript:void(0);"/>
    <hyperlink ref="E1441" r:id="rId1439" display="javascript:void(0);"/>
    <hyperlink ref="F1441" r:id="rId1440" display="javascript:void(0);"/>
    <hyperlink ref="E1443" r:id="rId1441" display="javascript:void(0);"/>
    <hyperlink ref="F1443" r:id="rId1442" display="javascript:void(0);"/>
    <hyperlink ref="E1445" r:id="rId1443" display="javascript:void(0);"/>
    <hyperlink ref="F1445" r:id="rId1444" display="javascript:void(0);"/>
    <hyperlink ref="E1447" r:id="rId1445" display="javascript:void(0);"/>
    <hyperlink ref="F1447" r:id="rId1446" display="javascript:void(0);"/>
    <hyperlink ref="E1449" r:id="rId1447" display="javascript:void(0);"/>
    <hyperlink ref="F1449" r:id="rId1448" display="javascript:void(0);"/>
    <hyperlink ref="E1451" r:id="rId1449" display="javascript:void(0);"/>
    <hyperlink ref="F1451" r:id="rId1450" display="javascript:void(0);"/>
    <hyperlink ref="E1453" r:id="rId1451" display="javascript:void(0);"/>
    <hyperlink ref="F1453" r:id="rId1452" display="javascript:void(0);"/>
    <hyperlink ref="E1455" r:id="rId1453" display="javascript:void(0);"/>
    <hyperlink ref="F1455" r:id="rId1454" display="javascript:void(0);"/>
    <hyperlink ref="E1457" r:id="rId1455" display="javascript:void(0);"/>
    <hyperlink ref="F1457" r:id="rId1456" display="javascript:void(0);"/>
    <hyperlink ref="E1459" r:id="rId1457" display="javascript:void(0);"/>
    <hyperlink ref="F1459" r:id="rId1458" display="javascript:void(0);"/>
    <hyperlink ref="E1461" r:id="rId1459" display="javascript:void(0);"/>
    <hyperlink ref="F1461" r:id="rId1460" display="javascript:void(0);"/>
    <hyperlink ref="E1463" r:id="rId1461" display="javascript:void(0);"/>
    <hyperlink ref="F1463" r:id="rId1462" display="javascript:void(0);"/>
    <hyperlink ref="E1465" r:id="rId1463" display="javascript:void(0);"/>
    <hyperlink ref="F1465" r:id="rId1464" display="javascript:void(0);"/>
    <hyperlink ref="E1467" r:id="rId1465" display="javascript:void(0);"/>
    <hyperlink ref="F1467" r:id="rId1466" display="javascript:void(0);"/>
    <hyperlink ref="E1469" r:id="rId1467" display="javascript:void(0);"/>
    <hyperlink ref="F1469" r:id="rId1468" display="javascript:void(0);"/>
    <hyperlink ref="E1471" r:id="rId1469" display="javascript:void(0);"/>
    <hyperlink ref="F1471" r:id="rId1470" display="javascript:void(0);"/>
    <hyperlink ref="E1473" r:id="rId1471" display="javascript:void(0);"/>
    <hyperlink ref="F1473" r:id="rId1472" display="javascript:void(0);"/>
    <hyperlink ref="E1475" r:id="rId1473" display="javascript:void(0);"/>
    <hyperlink ref="F1475" r:id="rId1474" display="javascript:void(0);"/>
    <hyperlink ref="E1477" r:id="rId1475" display="javascript:void(0);"/>
    <hyperlink ref="F1477" r:id="rId1476" display="javascript:void(0);"/>
    <hyperlink ref="E1479" r:id="rId1477" display="javascript:void(0);"/>
    <hyperlink ref="F1479" r:id="rId1478" display="javascript:void(0);"/>
    <hyperlink ref="E1481" r:id="rId1479" display="javascript:void(0);"/>
    <hyperlink ref="F1481" r:id="rId1480" display="javascript:void(0);"/>
    <hyperlink ref="E1483" r:id="rId1481" display="javascript:void(0);"/>
    <hyperlink ref="F1483" r:id="rId1482" display="javascript:void(0);"/>
    <hyperlink ref="E1485" r:id="rId1483" display="javascript:void(0);"/>
    <hyperlink ref="F1485" r:id="rId1484" display="javascript:void(0);"/>
    <hyperlink ref="E1487" r:id="rId1485" display="javascript:void(0);"/>
    <hyperlink ref="F1487" r:id="rId1486" display="javascript:void(0);"/>
    <hyperlink ref="E1489" r:id="rId1487" display="javascript:void(0);"/>
    <hyperlink ref="F1489" r:id="rId1488" display="javascript:void(0);"/>
    <hyperlink ref="E1491" r:id="rId1489" display="javascript:void(0);"/>
    <hyperlink ref="F1491" r:id="rId1490" display="javascript:void(0);"/>
    <hyperlink ref="E1493" r:id="rId1491" display="javascript:void(0);"/>
    <hyperlink ref="F1493" r:id="rId1492" display="javascript:void(0);"/>
    <hyperlink ref="E1495" r:id="rId1493" display="javascript:void(0);"/>
    <hyperlink ref="F1495" r:id="rId1494" display="javascript:void(0);"/>
    <hyperlink ref="E1497" r:id="rId1495" display="javascript:void(0);"/>
    <hyperlink ref="F1497" r:id="rId1496" display="javascript:void(0);"/>
    <hyperlink ref="E1499" r:id="rId1497" display="javascript:void(0);"/>
    <hyperlink ref="F1499" r:id="rId1498" display="javascript:void(0);"/>
    <hyperlink ref="E1501" r:id="rId1499" display="javascript:void(0);"/>
    <hyperlink ref="F1501" r:id="rId1500" display="javascript:void(0);"/>
    <hyperlink ref="E1503" r:id="rId1501" display="javascript:void(0);"/>
    <hyperlink ref="F1503" r:id="rId1502" display="javascript:void(0);"/>
    <hyperlink ref="E1505" r:id="rId1503" display="javascript:void(0);"/>
    <hyperlink ref="F1505" r:id="rId1504" display="javascript:void(0);"/>
    <hyperlink ref="E1507" r:id="rId1505" display="javascript:void(0);"/>
    <hyperlink ref="F1507" r:id="rId1506" display="javascript:void(0);"/>
    <hyperlink ref="E1509" r:id="rId1507" display="javascript:void(0);"/>
    <hyperlink ref="F1509" r:id="rId1508" display="javascript:void(0);"/>
    <hyperlink ref="E1511" r:id="rId1509" display="javascript:void(0);"/>
    <hyperlink ref="F1511" r:id="rId1510" display="javascript:void(0);"/>
    <hyperlink ref="E1513" r:id="rId1511" display="javascript:void(0);"/>
    <hyperlink ref="F1513" r:id="rId1512" display="javascript:void(0);"/>
    <hyperlink ref="E1515" r:id="rId1513" display="javascript:void(0);"/>
    <hyperlink ref="F1515" r:id="rId1514" display="javascript:void(0);"/>
    <hyperlink ref="E1517" r:id="rId1515" display="javascript:void(0);"/>
    <hyperlink ref="F1517" r:id="rId1516" display="javascript:void(0);"/>
    <hyperlink ref="E1519" r:id="rId1517" display="javascript:void(0);"/>
    <hyperlink ref="F1519" r:id="rId1518" display="javascript:void(0);"/>
    <hyperlink ref="E1521" r:id="rId1519" display="javascript:void(0);"/>
    <hyperlink ref="F1521" r:id="rId1520" display="javascript:void(0);"/>
    <hyperlink ref="E1523" r:id="rId1521" display="javascript:void(0);"/>
    <hyperlink ref="F1523" r:id="rId1522" display="javascript:void(0);"/>
    <hyperlink ref="E1525" r:id="rId1523" display="javascript:void(0);"/>
    <hyperlink ref="F1525" r:id="rId1524" display="javascript:void(0);"/>
    <hyperlink ref="E1527" r:id="rId1525" display="javascript:void(0);"/>
    <hyperlink ref="F1527" r:id="rId1526" display="javascript:void(0);"/>
    <hyperlink ref="E1529" r:id="rId1527" display="javascript:void(0);"/>
    <hyperlink ref="F1529" r:id="rId1528" display="javascript:void(0);"/>
    <hyperlink ref="E1531" r:id="rId1529" display="javascript:void(0);"/>
    <hyperlink ref="F1531" r:id="rId1530" display="javascript:void(0);"/>
    <hyperlink ref="E1533" r:id="rId1531" display="javascript:void(0);"/>
    <hyperlink ref="F1533" r:id="rId1532" display="javascript:void(0);"/>
    <hyperlink ref="E1535" r:id="rId1533" display="javascript:void(0);"/>
    <hyperlink ref="F1535" r:id="rId1534" display="javascript:void(0);"/>
    <hyperlink ref="E1537" r:id="rId1535" display="javascript:void(0);"/>
    <hyperlink ref="F1537" r:id="rId1536" display="javascript:void(0);"/>
    <hyperlink ref="E1539" r:id="rId1537" display="javascript:void(0);"/>
    <hyperlink ref="F1539" r:id="rId1538" display="javascript:void(0);"/>
    <hyperlink ref="E1541" r:id="rId1539" display="javascript:void(0);"/>
    <hyperlink ref="F1541" r:id="rId1540" display="javascript:void(0);"/>
    <hyperlink ref="E1543" r:id="rId1541" display="javascript:void(0);"/>
    <hyperlink ref="F1543" r:id="rId1542" display="javascript:void(0);"/>
    <hyperlink ref="E1545" r:id="rId1543" display="javascript:void(0);"/>
    <hyperlink ref="F1545" r:id="rId1544" display="javascript:void(0);"/>
    <hyperlink ref="E1547" r:id="rId1545" display="javascript:void(0);"/>
    <hyperlink ref="F1547" r:id="rId1546" display="javascript:void(0);"/>
    <hyperlink ref="E1549" r:id="rId1547" display="javascript:void(0);"/>
    <hyperlink ref="F1549" r:id="rId1548" display="javascript:void(0);"/>
    <hyperlink ref="E1551" r:id="rId1549" display="javascript:void(0);"/>
    <hyperlink ref="F1551" r:id="rId1550" display="javascript:void(0);"/>
    <hyperlink ref="E1553" r:id="rId1551" display="javascript:void(0);"/>
    <hyperlink ref="F1553" r:id="rId1552" display="javascript:void(0);"/>
    <hyperlink ref="E1555" r:id="rId1553" display="javascript:void(0);"/>
    <hyperlink ref="F1555" r:id="rId1554" display="javascript:void(0);"/>
    <hyperlink ref="E1557" r:id="rId1555" display="javascript:void(0);"/>
    <hyperlink ref="F1557" r:id="rId1556" display="javascript:void(0);"/>
    <hyperlink ref="E1559" r:id="rId1557" display="javascript:void(0);"/>
    <hyperlink ref="F1559" r:id="rId1558" display="javascript:void(0);"/>
    <hyperlink ref="E1561" r:id="rId1559" display="javascript:void(0);"/>
    <hyperlink ref="F1561" r:id="rId1560" display="javascript:void(0);"/>
    <hyperlink ref="E1563" r:id="rId1561" display="javascript:void(0);"/>
    <hyperlink ref="F1563" r:id="rId1562" display="javascript:void(0);"/>
    <hyperlink ref="E1565" r:id="rId1563" display="javascript:void(0);"/>
    <hyperlink ref="F1565" r:id="rId1564" display="javascript:void(0);"/>
    <hyperlink ref="E1567" r:id="rId1565" display="javascript:void(0);"/>
    <hyperlink ref="F1567" r:id="rId1566" display="javascript:void(0);"/>
    <hyperlink ref="E1569" r:id="rId1567" display="javascript:void(0);"/>
    <hyperlink ref="F1569" r:id="rId1568" display="javascript:void(0);"/>
    <hyperlink ref="E1571" r:id="rId1569" display="javascript:void(0);"/>
    <hyperlink ref="F1571" r:id="rId1570" display="javascript:void(0);"/>
    <hyperlink ref="E1573" r:id="rId1571" display="javascript:void(0);"/>
    <hyperlink ref="F1573" r:id="rId1572" display="javascript:void(0);"/>
    <hyperlink ref="E1575" r:id="rId1573" display="javascript:void(0);"/>
    <hyperlink ref="F1575" r:id="rId1574" display="javascript:void(0);"/>
    <hyperlink ref="E1577" r:id="rId1575" display="javascript:void(0);"/>
    <hyperlink ref="F1577" r:id="rId1576" display="javascript:void(0);"/>
    <hyperlink ref="E1579" r:id="rId1577" display="javascript:void(0);"/>
    <hyperlink ref="F1579" r:id="rId1578" display="javascript:void(0);"/>
    <hyperlink ref="E1581" r:id="rId1579" display="javascript:void(0);"/>
    <hyperlink ref="F1581" r:id="rId1580" display="javascript:void(0);"/>
    <hyperlink ref="E1583" r:id="rId1581" display="javascript:void(0);"/>
    <hyperlink ref="F1583" r:id="rId1582" display="javascript:void(0);"/>
    <hyperlink ref="E1585" r:id="rId1583" display="javascript:void(0);"/>
    <hyperlink ref="F1585" r:id="rId1584" display="javascript:void(0);"/>
    <hyperlink ref="E1587" r:id="rId1585" display="javascript:void(0);"/>
    <hyperlink ref="F1587" r:id="rId1586" display="javascript:void(0);"/>
    <hyperlink ref="E1589" r:id="rId1587" display="javascript:void(0);"/>
    <hyperlink ref="F1589" r:id="rId1588" display="javascript:void(0);"/>
    <hyperlink ref="E1591" r:id="rId1589" display="javascript:void(0);"/>
    <hyperlink ref="F1591" r:id="rId1590" display="javascript:void(0);"/>
    <hyperlink ref="E1593" r:id="rId1591" display="javascript:void(0);"/>
    <hyperlink ref="F1593" r:id="rId1592" display="javascript:void(0);"/>
    <hyperlink ref="E1595" r:id="rId1593" display="javascript:void(0);"/>
    <hyperlink ref="F1595" r:id="rId1594" display="javascript:void(0);"/>
    <hyperlink ref="E1597" r:id="rId1595" display="javascript:void(0);"/>
    <hyperlink ref="F1597" r:id="rId1596" display="javascript:void(0);"/>
    <hyperlink ref="E1599" r:id="rId1597" display="javascript:void(0);"/>
    <hyperlink ref="F1599" r:id="rId1598" display="javascript:void(0);"/>
    <hyperlink ref="E1601" r:id="rId1599" display="javascript:void(0);"/>
    <hyperlink ref="F1601" r:id="rId1600" display="javascript:void(0);"/>
    <hyperlink ref="E1603" r:id="rId1601" display="javascript:void(0);"/>
    <hyperlink ref="F1603" r:id="rId1602" display="javascript:void(0);"/>
    <hyperlink ref="E1605" r:id="rId1603" display="javascript:void(0);"/>
    <hyperlink ref="F1605" r:id="rId1604" display="javascript:void(0);"/>
    <hyperlink ref="E1607" r:id="rId1605" display="javascript:void(0);"/>
    <hyperlink ref="F1607" r:id="rId1606" display="javascript:void(0);"/>
    <hyperlink ref="E1609" r:id="rId1607" display="javascript:void(0);"/>
    <hyperlink ref="F1609" r:id="rId1608" display="javascript:void(0);"/>
    <hyperlink ref="E1611" r:id="rId1609" display="javascript:void(0);"/>
    <hyperlink ref="F1611" r:id="rId1610" display="javascript:void(0);"/>
    <hyperlink ref="E1613" r:id="rId1611" display="javascript:void(0);"/>
    <hyperlink ref="F1613" r:id="rId1612" display="javascript:void(0);"/>
    <hyperlink ref="E1615" r:id="rId1613" display="javascript:void(0);"/>
    <hyperlink ref="F1615" r:id="rId1614" display="javascript:void(0);"/>
    <hyperlink ref="E1617" r:id="rId1615" display="javascript:void(0);"/>
    <hyperlink ref="F1617" r:id="rId1616" display="javascript:void(0);"/>
    <hyperlink ref="E1619" r:id="rId1617" display="javascript:void(0);"/>
    <hyperlink ref="F1619" r:id="rId1618" display="javascript:void(0);"/>
    <hyperlink ref="E1621" r:id="rId1619" display="javascript:void(0);"/>
    <hyperlink ref="F1621" r:id="rId1620" display="javascript:void(0);"/>
    <hyperlink ref="E1623" r:id="rId1621" display="javascript:void(0);"/>
    <hyperlink ref="F1623" r:id="rId1622" display="javascript:void(0);"/>
    <hyperlink ref="E1625" r:id="rId1623" display="javascript:void(0);"/>
    <hyperlink ref="F1625" r:id="rId1624" display="javascript:void(0);"/>
    <hyperlink ref="E1627" r:id="rId1625" display="javascript:void(0);"/>
    <hyperlink ref="F1627" r:id="rId1626" display="javascript:void(0);"/>
    <hyperlink ref="E1629" r:id="rId1627" display="javascript:void(0);"/>
    <hyperlink ref="F1629" r:id="rId1628" display="javascript:void(0);"/>
    <hyperlink ref="E1631" r:id="rId1629" display="javascript:void(0);"/>
    <hyperlink ref="F1631" r:id="rId1630" display="javascript:void(0);"/>
    <hyperlink ref="E1633" r:id="rId1631" display="javascript:void(0);"/>
    <hyperlink ref="F1633" r:id="rId1632" display="javascript:void(0);"/>
    <hyperlink ref="E1635" r:id="rId1633" display="javascript:void(0);"/>
    <hyperlink ref="F1635" r:id="rId1634" display="javascript:void(0);"/>
    <hyperlink ref="E1637" r:id="rId1635" display="javascript:void(0);"/>
    <hyperlink ref="F1637" r:id="rId1636" display="javascript:void(0);"/>
    <hyperlink ref="E1639" r:id="rId1637" display="javascript:void(0);"/>
    <hyperlink ref="F1639" r:id="rId1638" display="javascript:void(0);"/>
    <hyperlink ref="E1641" r:id="rId1639" display="javascript:void(0);"/>
    <hyperlink ref="F1641" r:id="rId1640" display="javascript:void(0);"/>
    <hyperlink ref="E1643" r:id="rId1641" display="javascript:void(0);"/>
    <hyperlink ref="F1643" r:id="rId1642" display="javascript:void(0);"/>
    <hyperlink ref="E1645" r:id="rId1643" display="javascript:void(0);"/>
    <hyperlink ref="F1645" r:id="rId1644" display="javascript:void(0);"/>
    <hyperlink ref="E1647" r:id="rId1645" display="javascript:void(0);"/>
    <hyperlink ref="F1647" r:id="rId1646" display="javascript:void(0);"/>
    <hyperlink ref="E1649" r:id="rId1647" display="javascript:void(0);"/>
    <hyperlink ref="F1649" r:id="rId1648" display="javascript:void(0);"/>
    <hyperlink ref="E1651" r:id="rId1649" display="javascript:void(0);"/>
    <hyperlink ref="F1651" r:id="rId1650" display="javascript:void(0);"/>
    <hyperlink ref="E1653" r:id="rId1651" display="javascript:void(0);"/>
    <hyperlink ref="F1653" r:id="rId1652" display="javascript:void(0);"/>
    <hyperlink ref="E1655" r:id="rId1653" display="javascript:void(0);"/>
    <hyperlink ref="F1655" r:id="rId1654" display="javascript:void(0);"/>
    <hyperlink ref="E1657" r:id="rId1655" display="javascript:void(0);"/>
    <hyperlink ref="F1657" r:id="rId1656" display="javascript:void(0);"/>
    <hyperlink ref="E1659" r:id="rId1657" display="javascript:void(0);"/>
    <hyperlink ref="F1659" r:id="rId1658" display="javascript:void(0);"/>
    <hyperlink ref="E1661" r:id="rId1659" display="javascript:void(0);"/>
    <hyperlink ref="F1661" r:id="rId1660" display="javascript:void(0);"/>
    <hyperlink ref="E1663" r:id="rId1661" display="javascript:void(0);"/>
    <hyperlink ref="F1663" r:id="rId1662" display="javascript:void(0);"/>
    <hyperlink ref="E1665" r:id="rId1663" display="javascript:void(0);"/>
    <hyperlink ref="F1665" r:id="rId1664" display="javascript:void(0);"/>
    <hyperlink ref="E1667" r:id="rId1665" display="javascript:void(0);"/>
    <hyperlink ref="F1667" r:id="rId1666" display="javascript:void(0);"/>
    <hyperlink ref="E1669" r:id="rId1667" display="javascript:void(0);"/>
    <hyperlink ref="F1669" r:id="rId1668" display="javascript:void(0);"/>
    <hyperlink ref="E1671" r:id="rId1669" display="javascript:void(0);"/>
    <hyperlink ref="F1671" r:id="rId1670" display="javascript:void(0);"/>
    <hyperlink ref="E1673" r:id="rId1671" display="javascript:void(0);"/>
    <hyperlink ref="F1673" r:id="rId1672" display="javascript:void(0);"/>
    <hyperlink ref="E1675" r:id="rId1673" display="javascript:void(0);"/>
    <hyperlink ref="F1675" r:id="rId1674" display="javascript:void(0);"/>
    <hyperlink ref="E1677" r:id="rId1675" display="javascript:void(0);"/>
    <hyperlink ref="F1677" r:id="rId1676" display="javascript:void(0);"/>
    <hyperlink ref="E1679" r:id="rId1677" display="javascript:void(0);"/>
    <hyperlink ref="F1679" r:id="rId1678" display="javascript:void(0);"/>
    <hyperlink ref="E1681" r:id="rId1679" display="javascript:void(0);"/>
    <hyperlink ref="F1681" r:id="rId1680" display="javascript:void(0);"/>
    <hyperlink ref="E1683" r:id="rId1681" display="javascript:void(0);"/>
    <hyperlink ref="F1683" r:id="rId1682" display="javascript:void(0);"/>
    <hyperlink ref="E1685" r:id="rId1683" display="javascript:void(0);"/>
    <hyperlink ref="F1685" r:id="rId1684" display="javascript:void(0);"/>
    <hyperlink ref="E1687" r:id="rId1685" display="javascript:void(0);"/>
    <hyperlink ref="F1687" r:id="rId1686" display="javascript:void(0);"/>
    <hyperlink ref="E1689" r:id="rId1687" display="javascript:void(0);"/>
    <hyperlink ref="F1689" r:id="rId1688" display="javascript:void(0);"/>
    <hyperlink ref="E1691" r:id="rId1689" display="javascript:void(0);"/>
    <hyperlink ref="F1691" r:id="rId1690" display="javascript:void(0);"/>
    <hyperlink ref="E1693" r:id="rId1691" display="javascript:void(0);"/>
    <hyperlink ref="F1693" r:id="rId1692" display="javascript:void(0);"/>
    <hyperlink ref="E1695" r:id="rId1693" display="javascript:void(0);"/>
    <hyperlink ref="F1695" r:id="rId1694" display="javascript:void(0);"/>
    <hyperlink ref="E1697" r:id="rId1695" display="javascript:void(0);"/>
    <hyperlink ref="F1697" r:id="rId1696" display="javascript:void(0);"/>
    <hyperlink ref="E1699" r:id="rId1697" display="javascript:void(0);"/>
    <hyperlink ref="F1699" r:id="rId1698" display="javascript:void(0);"/>
    <hyperlink ref="E1701" r:id="rId1699" display="javascript:void(0);"/>
    <hyperlink ref="F1701" r:id="rId1700" display="javascript:void(0);"/>
    <hyperlink ref="E1703" r:id="rId1701" display="javascript:void(0);"/>
    <hyperlink ref="F1703" r:id="rId1702" display="javascript:void(0);"/>
    <hyperlink ref="E1705" r:id="rId1703" display="javascript:void(0);"/>
    <hyperlink ref="F1705" r:id="rId1704" display="javascript:void(0);"/>
    <hyperlink ref="E1707" r:id="rId1705" display="javascript:void(0);"/>
    <hyperlink ref="F1707" r:id="rId1706" display="javascript:void(0);"/>
    <hyperlink ref="E1709" r:id="rId1707" display="javascript:void(0);"/>
    <hyperlink ref="F1709" r:id="rId1708" display="javascript:void(0);"/>
    <hyperlink ref="E1711" r:id="rId1709" display="javascript:void(0);"/>
    <hyperlink ref="F1711" r:id="rId1710" display="javascript:void(0);"/>
    <hyperlink ref="E1713" r:id="rId1711" display="javascript:void(0);"/>
    <hyperlink ref="F1713" r:id="rId1712" display="javascript:void(0);"/>
    <hyperlink ref="E1715" r:id="rId1713" display="javascript:void(0);"/>
    <hyperlink ref="F1715" r:id="rId1714" display="javascript:void(0);"/>
    <hyperlink ref="E1717" r:id="rId1715" display="javascript:void(0);"/>
    <hyperlink ref="F1717" r:id="rId1716" display="javascript:void(0);"/>
    <hyperlink ref="E1719" r:id="rId1717" display="javascript:void(0);"/>
    <hyperlink ref="F1719" r:id="rId1718" display="javascript:void(0);"/>
    <hyperlink ref="E1721" r:id="rId1719" display="javascript:void(0);"/>
    <hyperlink ref="F1721" r:id="rId1720" display="javascript:void(0);"/>
    <hyperlink ref="E1723" r:id="rId1721" display="javascript:void(0);"/>
    <hyperlink ref="F1723" r:id="rId1722" display="javascript:void(0);"/>
    <hyperlink ref="E1725" r:id="rId1723" display="javascript:void(0);"/>
    <hyperlink ref="F1725" r:id="rId1724" display="javascript:void(0);"/>
    <hyperlink ref="E1727" r:id="rId1725" display="javascript:void(0);"/>
    <hyperlink ref="F1727" r:id="rId1726" display="javascript:void(0);"/>
    <hyperlink ref="E1729" r:id="rId1727" display="javascript:void(0);"/>
    <hyperlink ref="F1729" r:id="rId1728" display="javascript:void(0);"/>
    <hyperlink ref="E1731" r:id="rId1729" display="javascript:void(0);"/>
    <hyperlink ref="F1731" r:id="rId1730" display="javascript:void(0);"/>
    <hyperlink ref="E1733" r:id="rId1731" display="javascript:void(0);"/>
    <hyperlink ref="F1733" r:id="rId1732" display="javascript:void(0);"/>
    <hyperlink ref="E1735" r:id="rId1733" display="javascript:void(0);"/>
    <hyperlink ref="F1735" r:id="rId1734" display="javascript:void(0);"/>
    <hyperlink ref="E1737" r:id="rId1735" display="javascript:void(0);"/>
    <hyperlink ref="F1737" r:id="rId1736" display="javascript:void(0);"/>
    <hyperlink ref="E1739" r:id="rId1737" display="javascript:void(0);"/>
    <hyperlink ref="F1739" r:id="rId1738" display="javascript:void(0);"/>
    <hyperlink ref="E1741" r:id="rId1739" display="javascript:void(0);"/>
    <hyperlink ref="F1741" r:id="rId1740" display="javascript:void(0);"/>
    <hyperlink ref="E1743" r:id="rId1741" display="javascript:void(0);"/>
    <hyperlink ref="F1743" r:id="rId1742" display="javascript:void(0);"/>
    <hyperlink ref="E1745" r:id="rId1743" display="javascript:void(0);"/>
    <hyperlink ref="F1745" r:id="rId1744" display="javascript:void(0);"/>
    <hyperlink ref="E1747" r:id="rId1745" display="javascript:void(0);"/>
    <hyperlink ref="F1747" r:id="rId1746" display="javascript:void(0);"/>
    <hyperlink ref="E1749" r:id="rId1747" display="javascript:void(0);"/>
    <hyperlink ref="F1749" r:id="rId1748" display="javascript:void(0);"/>
    <hyperlink ref="E1751" r:id="rId1749" display="javascript:void(0);"/>
    <hyperlink ref="F1751" r:id="rId1750" display="javascript:void(0);"/>
    <hyperlink ref="E1753" r:id="rId1751" display="javascript:void(0);"/>
    <hyperlink ref="F1753" r:id="rId1752" display="javascript:void(0);"/>
    <hyperlink ref="E1755" r:id="rId1753" display="javascript:void(0);"/>
    <hyperlink ref="F1755" r:id="rId1754" display="javascript:void(0);"/>
    <hyperlink ref="E1757" r:id="rId1755" display="javascript:void(0);"/>
    <hyperlink ref="F1757" r:id="rId1756" display="javascript:void(0);"/>
    <hyperlink ref="E1759" r:id="rId1757" display="javascript:void(0);"/>
    <hyperlink ref="F1759" r:id="rId1758" display="javascript:void(0);"/>
    <hyperlink ref="E1761" r:id="rId1759" display="javascript:void(0);"/>
    <hyperlink ref="F1761" r:id="rId1760" display="javascript:void(0);"/>
    <hyperlink ref="E1763" r:id="rId1761" display="javascript:void(0);"/>
    <hyperlink ref="F1763" r:id="rId1762" display="javascript:void(0);"/>
    <hyperlink ref="E1765" r:id="rId1763" display="javascript:void(0);"/>
    <hyperlink ref="F1765" r:id="rId1764" display="javascript:void(0);"/>
    <hyperlink ref="E1767" r:id="rId1765" display="javascript:void(0);"/>
    <hyperlink ref="F1767" r:id="rId1766" display="javascript:void(0);"/>
    <hyperlink ref="E1769" r:id="rId1767" display="javascript:void(0);"/>
    <hyperlink ref="F1769" r:id="rId1768" display="javascript:void(0);"/>
    <hyperlink ref="E1771" r:id="rId1769" display="javascript:void(0);"/>
    <hyperlink ref="F1771" r:id="rId1770" display="javascript:void(0);"/>
    <hyperlink ref="E1773" r:id="rId1771" display="javascript:void(0);"/>
    <hyperlink ref="F1773" r:id="rId1772" display="javascript:void(0);"/>
    <hyperlink ref="E1775" r:id="rId1773" display="javascript:void(0);"/>
    <hyperlink ref="F1775" r:id="rId1774" display="javascript:void(0);"/>
    <hyperlink ref="E1777" r:id="rId1775" display="javascript:void(0);"/>
    <hyperlink ref="F1777" r:id="rId1776" display="javascript:void(0);"/>
    <hyperlink ref="E1779" r:id="rId1777" display="javascript:void(0);"/>
    <hyperlink ref="F1779" r:id="rId1778" display="javascript:void(0);"/>
    <hyperlink ref="E1781" r:id="rId1779" display="javascript:void(0);"/>
    <hyperlink ref="F1781" r:id="rId1780" display="javascript:void(0);"/>
    <hyperlink ref="E1783" r:id="rId1781" display="javascript:void(0);"/>
    <hyperlink ref="F1783" r:id="rId1782" display="javascript:void(0);"/>
    <hyperlink ref="E1785" r:id="rId1783" display="javascript:void(0);"/>
    <hyperlink ref="F1785" r:id="rId1784" display="javascript:void(0);"/>
    <hyperlink ref="E1787" r:id="rId1785" display="javascript:void(0);"/>
    <hyperlink ref="F1787" r:id="rId1786" display="javascript:void(0);"/>
    <hyperlink ref="E1789" r:id="rId1787" display="javascript:void(0);"/>
    <hyperlink ref="F1789" r:id="rId1788" display="javascript:void(0);"/>
    <hyperlink ref="E1791" r:id="rId1789" display="javascript:void(0);"/>
    <hyperlink ref="F1791" r:id="rId1790" display="javascript:void(0);"/>
    <hyperlink ref="E1793" r:id="rId1791" display="javascript:void(0);"/>
    <hyperlink ref="F1793" r:id="rId1792" display="javascript:void(0);"/>
    <hyperlink ref="E1795" r:id="rId1793" display="javascript:void(0);"/>
    <hyperlink ref="F1795" r:id="rId1794" display="javascript:void(0);"/>
    <hyperlink ref="E1797" r:id="rId1795" display="javascript:void(0);"/>
    <hyperlink ref="F1797" r:id="rId1796" display="javascript:void(0);"/>
    <hyperlink ref="E1799" r:id="rId1797" display="javascript:void(0);"/>
    <hyperlink ref="F1799" r:id="rId1798" display="javascript:void(0);"/>
    <hyperlink ref="E1801" r:id="rId1799" display="javascript:void(0);"/>
    <hyperlink ref="F1801" r:id="rId1800" display="javascript:void(0);"/>
    <hyperlink ref="E1803" r:id="rId1801" display="javascript:void(0);"/>
    <hyperlink ref="F1803" r:id="rId1802" display="javascript:void(0);"/>
    <hyperlink ref="E1805" r:id="rId1803" display="javascript:void(0);"/>
    <hyperlink ref="F1805" r:id="rId1804" display="javascript:void(0);"/>
    <hyperlink ref="E1807" r:id="rId1805" display="javascript:void(0);"/>
    <hyperlink ref="F1807" r:id="rId1806" display="javascript:void(0);"/>
    <hyperlink ref="E1809" r:id="rId1807" display="javascript:void(0);"/>
    <hyperlink ref="F1809" r:id="rId1808" display="javascript:void(0);"/>
    <hyperlink ref="E1811" r:id="rId1809" display="javascript:void(0);"/>
    <hyperlink ref="F1811" r:id="rId1810" display="javascript:void(0);"/>
    <hyperlink ref="E1813" r:id="rId1811" display="javascript:void(0);"/>
    <hyperlink ref="F1813" r:id="rId1812" display="javascript:void(0);"/>
    <hyperlink ref="E1815" r:id="rId1813" display="javascript:void(0);"/>
    <hyperlink ref="F1815" r:id="rId1814" display="javascript:void(0);"/>
    <hyperlink ref="E1817" r:id="rId1815" display="javascript:void(0);"/>
    <hyperlink ref="F1817" r:id="rId1816" display="javascript:void(0);"/>
    <hyperlink ref="E1819" r:id="rId1817" display="javascript:void(0);"/>
    <hyperlink ref="F1819" r:id="rId1818" display="javascript:void(0);"/>
    <hyperlink ref="E1821" r:id="rId1819" display="javascript:void(0);"/>
    <hyperlink ref="F1821" r:id="rId1820" display="javascript:void(0);"/>
    <hyperlink ref="E1823" r:id="rId1821" display="javascript:void(0);"/>
    <hyperlink ref="F1823" r:id="rId1822" display="javascript:void(0);"/>
    <hyperlink ref="E1825" r:id="rId1823" display="javascript:void(0);"/>
    <hyperlink ref="F1825" r:id="rId1824" display="javascript:void(0);"/>
    <hyperlink ref="E1827" r:id="rId1825" display="javascript:void(0);"/>
    <hyperlink ref="F1827" r:id="rId1826" display="javascript:void(0);"/>
    <hyperlink ref="E1829" r:id="rId1827" display="javascript:void(0);"/>
    <hyperlink ref="F1829" r:id="rId1828" display="javascript:void(0);"/>
    <hyperlink ref="E1831" r:id="rId1829" display="javascript:void(0);"/>
    <hyperlink ref="F1831" r:id="rId1830" display="javascript:void(0);"/>
    <hyperlink ref="E1833" r:id="rId1831" display="javascript:void(0);"/>
    <hyperlink ref="F1833" r:id="rId1832" display="javascript:void(0);"/>
    <hyperlink ref="E1835" r:id="rId1833" display="javascript:void(0);"/>
    <hyperlink ref="F1835" r:id="rId1834" display="javascript:void(0);"/>
    <hyperlink ref="E1837" r:id="rId1835" display="javascript:void(0);"/>
    <hyperlink ref="F1837" r:id="rId1836" display="javascript:void(0);"/>
    <hyperlink ref="E1839" r:id="rId1837" display="javascript:void(0);"/>
    <hyperlink ref="F1839" r:id="rId1838" display="javascript:void(0);"/>
    <hyperlink ref="E1841" r:id="rId1839" display="javascript:void(0);"/>
    <hyperlink ref="F1841" r:id="rId1840" display="javascript:void(0);"/>
    <hyperlink ref="E1843" r:id="rId1841" display="javascript:void(0);"/>
    <hyperlink ref="F1843" r:id="rId1842" display="javascript:void(0);"/>
    <hyperlink ref="E1845" r:id="rId1843" display="javascript:void(0);"/>
    <hyperlink ref="F1845" r:id="rId1844" display="javascript:void(0);"/>
    <hyperlink ref="E1847" r:id="rId1845" display="javascript:void(0);"/>
    <hyperlink ref="F1847" r:id="rId1846" display="javascript:void(0);"/>
    <hyperlink ref="E1849" r:id="rId1847" display="javascript:void(0);"/>
    <hyperlink ref="F1849" r:id="rId1848" display="javascript:void(0);"/>
    <hyperlink ref="E1851" r:id="rId1849" display="javascript:void(0);"/>
    <hyperlink ref="F1851" r:id="rId1850" display="javascript:void(0);"/>
    <hyperlink ref="E1853" r:id="rId1851" display="javascript:void(0);"/>
    <hyperlink ref="F1853" r:id="rId1852" display="javascript:void(0);"/>
    <hyperlink ref="E1855" r:id="rId1853" display="javascript:void(0);"/>
    <hyperlink ref="F1855" r:id="rId1854" display="javascript:void(0);"/>
    <hyperlink ref="E1857" r:id="rId1855" display="javascript:void(0);"/>
    <hyperlink ref="F1857" r:id="rId1856" display="javascript:void(0);"/>
    <hyperlink ref="E1859" r:id="rId1857" display="javascript:void(0);"/>
    <hyperlink ref="F1859" r:id="rId1858" display="javascript:void(0);"/>
    <hyperlink ref="E1861" r:id="rId1859" display="javascript:void(0);"/>
    <hyperlink ref="F1861" r:id="rId1860" display="javascript:void(0);"/>
    <hyperlink ref="E1863" r:id="rId1861" display="javascript:void(0);"/>
    <hyperlink ref="F1863" r:id="rId1862" display="javascript:void(0);"/>
    <hyperlink ref="E1865" r:id="rId1863" display="javascript:void(0);"/>
    <hyperlink ref="F1865" r:id="rId1864" display="javascript:void(0);"/>
    <hyperlink ref="E1867" r:id="rId1865" display="javascript:void(0);"/>
    <hyperlink ref="F1867" r:id="rId1866" display="javascript:void(0);"/>
    <hyperlink ref="E1869" r:id="rId1867" display="javascript:void(0);"/>
    <hyperlink ref="F1869" r:id="rId1868" display="javascript:void(0);"/>
    <hyperlink ref="E1871" r:id="rId1869" display="javascript:void(0);"/>
    <hyperlink ref="F1871" r:id="rId1870" display="javascript:void(0);"/>
    <hyperlink ref="E1873" r:id="rId1871" display="javascript:void(0);"/>
    <hyperlink ref="F1873" r:id="rId1872" display="javascript:void(0);"/>
    <hyperlink ref="E1875" r:id="rId1873" display="javascript:void(0);"/>
    <hyperlink ref="F1875" r:id="rId1874" display="javascript:void(0);"/>
    <hyperlink ref="E1877" r:id="rId1875" display="javascript:void(0);"/>
    <hyperlink ref="F1877" r:id="rId1876" display="javascript:void(0);"/>
    <hyperlink ref="E1879" r:id="rId1877" display="javascript:void(0);"/>
    <hyperlink ref="F1879" r:id="rId1878" display="javascript:void(0);"/>
    <hyperlink ref="E1881" r:id="rId1879" display="javascript:void(0);"/>
    <hyperlink ref="F1881" r:id="rId1880" display="javascript:void(0);"/>
    <hyperlink ref="E1883" r:id="rId1881" display="javascript:void(0);"/>
    <hyperlink ref="F1883" r:id="rId1882" display="javascript:void(0);"/>
    <hyperlink ref="E1885" r:id="rId1883" display="javascript:void(0);"/>
    <hyperlink ref="F1885" r:id="rId1884" display="javascript:void(0);"/>
    <hyperlink ref="E1887" r:id="rId1885" display="javascript:void(0);"/>
    <hyperlink ref="F1887" r:id="rId1886" display="javascript:void(0);"/>
    <hyperlink ref="E1889" r:id="rId1887" display="javascript:void(0);"/>
    <hyperlink ref="F1889" r:id="rId1888" display="javascript:void(0);"/>
    <hyperlink ref="E1891" r:id="rId1889" display="javascript:void(0);"/>
    <hyperlink ref="F1891" r:id="rId1890" display="javascript:void(0);"/>
    <hyperlink ref="E1893" r:id="rId1891" display="javascript:void(0);"/>
    <hyperlink ref="F1893" r:id="rId1892" display="javascript:void(0);"/>
    <hyperlink ref="E1895" r:id="rId1893" display="javascript:void(0);"/>
    <hyperlink ref="F1895" r:id="rId1894" display="javascript:void(0);"/>
    <hyperlink ref="E1897" r:id="rId1895" display="javascript:void(0);"/>
    <hyperlink ref="F1897" r:id="rId1896" display="javascript:void(0);"/>
    <hyperlink ref="E1899" r:id="rId1897" display="javascript:void(0);"/>
    <hyperlink ref="F1899" r:id="rId1898" display="javascript:void(0);"/>
    <hyperlink ref="E1901" r:id="rId1899" display="javascript:void(0);"/>
    <hyperlink ref="F1901" r:id="rId1900" display="javascript:void(0);"/>
    <hyperlink ref="E1903" r:id="rId1901" display="javascript:void(0);"/>
    <hyperlink ref="F1903" r:id="rId1902" display="javascript:void(0);"/>
    <hyperlink ref="E1905" r:id="rId1903" display="javascript:void(0);"/>
    <hyperlink ref="F1905" r:id="rId1904" display="javascript:void(0);"/>
    <hyperlink ref="E1907" r:id="rId1905" display="javascript:void(0);"/>
    <hyperlink ref="F1907" r:id="rId1906" display="javascript:void(0);"/>
    <hyperlink ref="E1909" r:id="rId1907" display="javascript:void(0);"/>
    <hyperlink ref="F1909" r:id="rId1908" display="javascript:void(0);"/>
    <hyperlink ref="E1911" r:id="rId1909" display="javascript:void(0);"/>
    <hyperlink ref="F1911" r:id="rId1910" display="javascript:void(0);"/>
    <hyperlink ref="E1913" r:id="rId1911" display="javascript:void(0);"/>
    <hyperlink ref="F1913" r:id="rId1912" display="javascript:void(0);"/>
    <hyperlink ref="E1915" r:id="rId1913" display="javascript:void(0);"/>
    <hyperlink ref="F1915" r:id="rId1914" display="javascript:void(0);"/>
    <hyperlink ref="E1917" r:id="rId1915" display="javascript:void(0);"/>
    <hyperlink ref="F1917" r:id="rId1916" display="javascript:void(0);"/>
    <hyperlink ref="E1919" r:id="rId1917" display="javascript:void(0);"/>
    <hyperlink ref="F1919" r:id="rId1918" display="javascript:void(0);"/>
    <hyperlink ref="E1921" r:id="rId1919" display="javascript:void(0);"/>
    <hyperlink ref="F1921" r:id="rId1920" display="javascript:void(0);"/>
    <hyperlink ref="E1923" r:id="rId1921" display="javascript:void(0);"/>
    <hyperlink ref="F1923" r:id="rId1922" display="javascript:void(0);"/>
    <hyperlink ref="E1925" r:id="rId1923" display="javascript:void(0);"/>
    <hyperlink ref="F1925" r:id="rId1924" display="javascript:void(0);"/>
    <hyperlink ref="E1927" r:id="rId1925" display="javascript:void(0);"/>
    <hyperlink ref="F1927" r:id="rId1926" display="javascript:void(0);"/>
    <hyperlink ref="E1929" r:id="rId1927" display="javascript:void(0);"/>
    <hyperlink ref="F1929" r:id="rId1928" display="javascript:void(0);"/>
    <hyperlink ref="E1931" r:id="rId1929" display="javascript:void(0);"/>
    <hyperlink ref="F1931" r:id="rId1930" display="javascript:void(0);"/>
    <hyperlink ref="E1933" r:id="rId1931" display="javascript:void(0);"/>
    <hyperlink ref="F1933" r:id="rId1932" display="javascript:void(0);"/>
    <hyperlink ref="E1935" r:id="rId1933" display="javascript:void(0);"/>
    <hyperlink ref="F1935" r:id="rId1934" display="javascript:void(0);"/>
    <hyperlink ref="E1937" r:id="rId1935" display="javascript:void(0);"/>
    <hyperlink ref="F1937" r:id="rId1936" display="javascript:void(0);"/>
    <hyperlink ref="E1939" r:id="rId1937" display="javascript:void(0);"/>
    <hyperlink ref="F1939" r:id="rId1938" display="javascript:void(0);"/>
    <hyperlink ref="E1941" r:id="rId1939" display="javascript:void(0);"/>
    <hyperlink ref="F1941" r:id="rId1940" display="javascript:void(0);"/>
    <hyperlink ref="E1943" r:id="rId1941" display="javascript:void(0);"/>
    <hyperlink ref="F1943" r:id="rId1942" display="javascript:void(0);"/>
    <hyperlink ref="E1945" r:id="rId1943" display="javascript:void(0);"/>
    <hyperlink ref="F1945" r:id="rId1944" display="javascript:void(0);"/>
    <hyperlink ref="E1947" r:id="rId1945" display="javascript:void(0);"/>
    <hyperlink ref="F1947" r:id="rId1946" display="javascript:void(0);"/>
    <hyperlink ref="E1949" r:id="rId1947" display="javascript:void(0);"/>
    <hyperlink ref="F1949" r:id="rId1948" display="javascript:void(0);"/>
    <hyperlink ref="E1951" r:id="rId1949" display="javascript:void(0);"/>
    <hyperlink ref="F1951" r:id="rId1950" display="javascript:void(0);"/>
    <hyperlink ref="E1953" r:id="rId1951" display="javascript:void(0);"/>
    <hyperlink ref="F1953" r:id="rId1952" display="javascript:void(0);"/>
    <hyperlink ref="E1955" r:id="rId1953" display="javascript:void(0);"/>
    <hyperlink ref="F1955" r:id="rId1954" display="javascript:void(0);"/>
    <hyperlink ref="E1957" r:id="rId1955" display="javascript:void(0);"/>
    <hyperlink ref="F1957" r:id="rId1956" display="javascript:void(0);"/>
    <hyperlink ref="E1959" r:id="rId1957" display="javascript:void(0);"/>
    <hyperlink ref="F1959" r:id="rId1958" display="javascript:void(0);"/>
    <hyperlink ref="E1961" r:id="rId1959" display="javascript:void(0);"/>
    <hyperlink ref="F1961" r:id="rId1960" display="javascript:void(0);"/>
    <hyperlink ref="E1963" r:id="rId1961" display="javascript:void(0);"/>
    <hyperlink ref="F1963" r:id="rId1962" display="javascript:void(0);"/>
    <hyperlink ref="E1965" r:id="rId1963" display="javascript:void(0);"/>
    <hyperlink ref="F1965" r:id="rId1964" display="javascript:void(0);"/>
    <hyperlink ref="E1967" r:id="rId1965" display="javascript:void(0);"/>
    <hyperlink ref="F1967" r:id="rId1966" display="javascript:void(0);"/>
    <hyperlink ref="E1969" r:id="rId1967" display="javascript:void(0);"/>
    <hyperlink ref="F1969" r:id="rId1968" display="javascript:void(0);"/>
    <hyperlink ref="E1971" r:id="rId1969" display="javascript:void(0);"/>
    <hyperlink ref="F1971" r:id="rId1970" display="javascript:void(0);"/>
    <hyperlink ref="E1973" r:id="rId1971" display="javascript:void(0);"/>
    <hyperlink ref="F1973" r:id="rId1972" display="javascript:void(0);"/>
    <hyperlink ref="E1975" r:id="rId1973" display="javascript:void(0);"/>
    <hyperlink ref="F1975" r:id="rId1974" display="javascript:void(0);"/>
    <hyperlink ref="E1977" r:id="rId1975" display="javascript:void(0);"/>
    <hyperlink ref="F1977" r:id="rId1976" display="javascript:void(0);"/>
    <hyperlink ref="E1979" r:id="rId1977" display="javascript:void(0);"/>
    <hyperlink ref="F1979" r:id="rId1978" display="javascript:void(0);"/>
    <hyperlink ref="E1981" r:id="rId1979" display="javascript:void(0);"/>
    <hyperlink ref="F1981" r:id="rId1980" display="javascript:void(0);"/>
    <hyperlink ref="E1983" r:id="rId1981" display="javascript:void(0);"/>
    <hyperlink ref="F1983" r:id="rId1982" display="javascript:void(0);"/>
    <hyperlink ref="E1985" r:id="rId1983" display="javascript:void(0);"/>
    <hyperlink ref="F1985" r:id="rId1984" display="javascript:void(0);"/>
    <hyperlink ref="E1987" r:id="rId1985" display="javascript:void(0);"/>
    <hyperlink ref="F1987" r:id="rId1986" display="javascript:void(0);"/>
    <hyperlink ref="E1989" r:id="rId1987" display="javascript:void(0);"/>
    <hyperlink ref="F1989" r:id="rId1988" display="javascript:void(0);"/>
    <hyperlink ref="E1991" r:id="rId1989" display="javascript:void(0);"/>
    <hyperlink ref="F1991" r:id="rId1990" display="javascript:void(0);"/>
    <hyperlink ref="E1993" r:id="rId1991" display="javascript:void(0);"/>
    <hyperlink ref="F1993" r:id="rId1992" display="javascript:void(0);"/>
    <hyperlink ref="E1995" r:id="rId1993" display="javascript:void(0);"/>
    <hyperlink ref="F1995" r:id="rId1994" display="javascript:void(0);"/>
    <hyperlink ref="E1997" r:id="rId1995" display="javascript:void(0);"/>
    <hyperlink ref="F1997" r:id="rId1996" display="javascript:void(0);"/>
    <hyperlink ref="E1999" r:id="rId1997" display="javascript:void(0);"/>
    <hyperlink ref="F1999" r:id="rId1998" display="javascript:void(0);"/>
    <hyperlink ref="E2001" r:id="rId1999" display="javascript:void(0);"/>
    <hyperlink ref="F2001" r:id="rId2000" display="javascript:void(0);"/>
    <hyperlink ref="E2003" r:id="rId2001" display="javascript:void(0);"/>
    <hyperlink ref="F2003" r:id="rId2002" display="javascript:void(0);"/>
    <hyperlink ref="E2005" r:id="rId2003" display="javascript:void(0);"/>
    <hyperlink ref="F2005" r:id="rId2004" display="javascript:void(0);"/>
    <hyperlink ref="E2007" r:id="rId2005" display="javascript:void(0);"/>
    <hyperlink ref="F2007" r:id="rId2006" display="javascript:void(0);"/>
    <hyperlink ref="E2009" r:id="rId2007" display="javascript:void(0);"/>
    <hyperlink ref="F2009" r:id="rId2008" display="javascript:void(0);"/>
    <hyperlink ref="E2011" r:id="rId2009" display="javascript:void(0);"/>
    <hyperlink ref="F2011" r:id="rId2010" display="javascript:void(0);"/>
    <hyperlink ref="E2013" r:id="rId2011" display="javascript:void(0);"/>
    <hyperlink ref="F2013" r:id="rId2012" display="javascript:void(0);"/>
    <hyperlink ref="E2015" r:id="rId2013" display="javascript:void(0);"/>
    <hyperlink ref="F2015" r:id="rId2014" display="javascript:void(0);"/>
    <hyperlink ref="E2017" r:id="rId2015" display="javascript:void(0);"/>
    <hyperlink ref="F2017" r:id="rId2016" display="javascript:void(0);"/>
    <hyperlink ref="E2019" r:id="rId2017" display="javascript:void(0);"/>
    <hyperlink ref="F2019" r:id="rId2018" display="javascript:void(0);"/>
    <hyperlink ref="E2021" r:id="rId2019" display="javascript:void(0);"/>
    <hyperlink ref="F2021" r:id="rId2020" display="javascript:void(0);"/>
    <hyperlink ref="E2023" r:id="rId2021" display="javascript:void(0);"/>
    <hyperlink ref="F2023" r:id="rId2022" display="javascript:void(0);"/>
    <hyperlink ref="E2025" r:id="rId2023" display="javascript:void(0);"/>
    <hyperlink ref="F2025" r:id="rId2024" display="javascript:void(0);"/>
    <hyperlink ref="E2027" r:id="rId2025" display="javascript:void(0);"/>
    <hyperlink ref="F2027" r:id="rId2026" display="javascript:void(0);"/>
    <hyperlink ref="E2029" r:id="rId2027" display="javascript:void(0);"/>
    <hyperlink ref="F2029" r:id="rId2028" display="javascript:void(0);"/>
    <hyperlink ref="E2031" r:id="rId2029" display="javascript:void(0);"/>
    <hyperlink ref="F2031" r:id="rId2030" display="javascript:void(0);"/>
    <hyperlink ref="E2033" r:id="rId2031" display="javascript:void(0);"/>
    <hyperlink ref="F2033" r:id="rId2032" display="javascript:void(0);"/>
    <hyperlink ref="E2035" r:id="rId2033" display="javascript:void(0);"/>
    <hyperlink ref="F2035" r:id="rId2034" display="javascript:void(0);"/>
    <hyperlink ref="E2037" r:id="rId2035" display="javascript:void(0);"/>
    <hyperlink ref="F2037" r:id="rId2036" display="javascript:void(0);"/>
    <hyperlink ref="E2039" r:id="rId2037" display="javascript:void(0);"/>
    <hyperlink ref="F2039" r:id="rId2038" display="javascript:void(0);"/>
    <hyperlink ref="E2041" r:id="rId2039" display="javascript:void(0);"/>
    <hyperlink ref="F2041" r:id="rId2040" display="javascript:void(0);"/>
    <hyperlink ref="E2043" r:id="rId2041" display="javascript:void(0);"/>
    <hyperlink ref="F2043" r:id="rId2042" display="javascript:void(0);"/>
    <hyperlink ref="E2045" r:id="rId2043" display="javascript:void(0);"/>
    <hyperlink ref="F2045" r:id="rId2044" display="javascript:void(0);"/>
    <hyperlink ref="E2047" r:id="rId2045" display="javascript:void(0);"/>
    <hyperlink ref="F2047" r:id="rId2046" display="javascript:void(0);"/>
    <hyperlink ref="E2049" r:id="rId2047" display="javascript:void(0);"/>
    <hyperlink ref="F2049" r:id="rId2048" display="javascript:void(0);"/>
    <hyperlink ref="E2051" r:id="rId2049" display="javascript:void(0);"/>
    <hyperlink ref="F2051" r:id="rId2050" display="javascript:void(0);"/>
    <hyperlink ref="E2053" r:id="rId2051" display="javascript:void(0);"/>
    <hyperlink ref="F2053" r:id="rId2052" display="javascript:void(0);"/>
    <hyperlink ref="E2055" r:id="rId2053" display="javascript:void(0);"/>
    <hyperlink ref="F2055" r:id="rId2054" display="javascript:void(0);"/>
    <hyperlink ref="E2057" r:id="rId2055" display="javascript:void(0);"/>
    <hyperlink ref="F2057" r:id="rId2056" display="javascript:void(0);"/>
    <hyperlink ref="E2059" r:id="rId2057" display="javascript:void(0);"/>
    <hyperlink ref="F2059" r:id="rId2058" display="javascript:void(0);"/>
    <hyperlink ref="E2061" r:id="rId2059" display="javascript:void(0);"/>
    <hyperlink ref="F2061" r:id="rId2060" display="javascript:void(0);"/>
    <hyperlink ref="E2063" r:id="rId2061" display="javascript:void(0);"/>
    <hyperlink ref="F2063" r:id="rId2062" display="javascript:void(0);"/>
    <hyperlink ref="E2065" r:id="rId2063" display="javascript:void(0);"/>
    <hyperlink ref="F2065" r:id="rId2064" display="javascript:void(0);"/>
    <hyperlink ref="E2067" r:id="rId2065" display="javascript:void(0);"/>
    <hyperlink ref="F2067" r:id="rId2066" display="javascript:void(0);"/>
    <hyperlink ref="E2069" r:id="rId2067" display="javascript:void(0);"/>
    <hyperlink ref="F2069" r:id="rId2068" display="javascript:void(0);"/>
    <hyperlink ref="E2071" r:id="rId2069" display="javascript:void(0);"/>
    <hyperlink ref="F2071" r:id="rId2070" display="javascript:void(0);"/>
    <hyperlink ref="E2073" r:id="rId2071" display="javascript:void(0);"/>
    <hyperlink ref="F2073" r:id="rId2072" display="javascript:void(0);"/>
    <hyperlink ref="E2075" r:id="rId2073" display="javascript:void(0);"/>
    <hyperlink ref="F2075" r:id="rId2074" display="javascript:void(0);"/>
    <hyperlink ref="E2077" r:id="rId2075" display="javascript:void(0);"/>
    <hyperlink ref="F2077" r:id="rId2076" display="javascript:void(0);"/>
    <hyperlink ref="E2079" r:id="rId2077" display="javascript:void(0);"/>
    <hyperlink ref="F2079" r:id="rId2078" display="javascript:void(0);"/>
    <hyperlink ref="E2081" r:id="rId2079" display="javascript:void(0);"/>
    <hyperlink ref="F2081" r:id="rId2080" display="javascript:void(0);"/>
    <hyperlink ref="E2083" r:id="rId2081" display="javascript:void(0);"/>
    <hyperlink ref="F2083" r:id="rId2082" display="javascript:void(0);"/>
    <hyperlink ref="E2085" r:id="rId2083" display="javascript:void(0);"/>
    <hyperlink ref="F2085" r:id="rId2084" display="javascript:void(0);"/>
    <hyperlink ref="E2087" r:id="rId2085" display="javascript:void(0);"/>
    <hyperlink ref="F2087" r:id="rId2086" display="javascript:void(0);"/>
    <hyperlink ref="E2089" r:id="rId2087" display="javascript:void(0);"/>
    <hyperlink ref="F2089" r:id="rId2088" display="javascript:void(0);"/>
    <hyperlink ref="E2091" r:id="rId2089" display="javascript:void(0);"/>
    <hyperlink ref="F2091" r:id="rId2090" display="javascript:void(0);"/>
    <hyperlink ref="E2093" r:id="rId2091" display="javascript:void(0);"/>
    <hyperlink ref="F2093" r:id="rId2092" display="javascript:void(0);"/>
    <hyperlink ref="E2095" r:id="rId2093" display="javascript:void(0);"/>
    <hyperlink ref="F2095" r:id="rId2094" display="javascript:void(0);"/>
    <hyperlink ref="E2097" r:id="rId2095" display="javascript:void(0);"/>
    <hyperlink ref="F2097" r:id="rId2096" display="javascript:void(0);"/>
    <hyperlink ref="E2099" r:id="rId2097" display="javascript:void(0);"/>
    <hyperlink ref="F2099" r:id="rId2098" display="javascript:void(0);"/>
    <hyperlink ref="E2101" r:id="rId2099" display="javascript:void(0);"/>
    <hyperlink ref="F2101" r:id="rId2100" display="javascript:void(0);"/>
    <hyperlink ref="E2103" r:id="rId2101" display="javascript:void(0);"/>
    <hyperlink ref="F2103" r:id="rId2102" display="javascript:void(0);"/>
    <hyperlink ref="E2105" r:id="rId2103" display="javascript:void(0);"/>
    <hyperlink ref="F2105" r:id="rId2104" display="javascript:void(0);"/>
    <hyperlink ref="E2107" r:id="rId2105" display="javascript:void(0);"/>
    <hyperlink ref="F2107" r:id="rId2106" display="javascript:void(0);"/>
    <hyperlink ref="E2109" r:id="rId2107" display="javascript:void(0);"/>
    <hyperlink ref="F2109" r:id="rId2108" display="javascript:void(0);"/>
    <hyperlink ref="E2111" r:id="rId2109" display="javascript:void(0);"/>
    <hyperlink ref="F2111" r:id="rId2110" display="javascript:void(0);"/>
    <hyperlink ref="E2113" r:id="rId2111" display="javascript:void(0);"/>
    <hyperlink ref="F2113" r:id="rId2112" display="javascript:void(0);"/>
    <hyperlink ref="E2115" r:id="rId2113" display="javascript:void(0);"/>
    <hyperlink ref="F2115" r:id="rId2114" display="javascript:void(0);"/>
    <hyperlink ref="E2117" r:id="rId2115" display="javascript:void(0);"/>
    <hyperlink ref="F2117" r:id="rId2116" display="javascript:void(0);"/>
    <hyperlink ref="E2119" r:id="rId2117" display="javascript:void(0);"/>
    <hyperlink ref="F2119" r:id="rId2118" display="javascript:void(0);"/>
    <hyperlink ref="E2121" r:id="rId2119" display="javascript:void(0);"/>
    <hyperlink ref="F2121" r:id="rId2120" display="javascript:void(0);"/>
    <hyperlink ref="E2123" r:id="rId2121" display="javascript:void(0);"/>
    <hyperlink ref="F2123" r:id="rId2122" display="javascript:void(0);"/>
    <hyperlink ref="E2125" r:id="rId2123" display="javascript:void(0);"/>
    <hyperlink ref="F2125" r:id="rId2124" display="javascript:void(0);"/>
    <hyperlink ref="E2127" r:id="rId2125" display="javascript:void(0);"/>
    <hyperlink ref="F2127" r:id="rId2126" display="javascript:void(0);"/>
    <hyperlink ref="E2129" r:id="rId2127" display="javascript:void(0);"/>
    <hyperlink ref="F2129" r:id="rId2128" display="javascript:void(0);"/>
    <hyperlink ref="E2131" r:id="rId2129" display="javascript:void(0);"/>
    <hyperlink ref="F2131" r:id="rId2130" display="javascript:void(0);"/>
    <hyperlink ref="E2133" r:id="rId2131" display="javascript:void(0);"/>
    <hyperlink ref="F2133" r:id="rId2132" display="javascript:void(0);"/>
    <hyperlink ref="E2135" r:id="rId2133" display="javascript:void(0);"/>
    <hyperlink ref="F2135" r:id="rId2134" display="javascript:void(0);"/>
    <hyperlink ref="E2137" r:id="rId2135" display="javascript:void(0);"/>
    <hyperlink ref="F2137" r:id="rId2136" display="javascript:void(0);"/>
    <hyperlink ref="E2139" r:id="rId2137" display="javascript:void(0);"/>
    <hyperlink ref="F2139" r:id="rId2138" display="javascript:void(0);"/>
    <hyperlink ref="E2141" r:id="rId2139" display="javascript:void(0);"/>
    <hyperlink ref="F2141" r:id="rId2140" display="javascript:void(0);"/>
    <hyperlink ref="E2143" r:id="rId2141" display="javascript:void(0);"/>
    <hyperlink ref="F2143" r:id="rId2142" display="javascript:void(0);"/>
    <hyperlink ref="E2145" r:id="rId2143" display="javascript:void(0);"/>
    <hyperlink ref="F2145" r:id="rId2144" display="javascript:void(0);"/>
    <hyperlink ref="E2147" r:id="rId2145" display="javascript:void(0);"/>
    <hyperlink ref="F2147" r:id="rId2146" display="javascript:void(0);"/>
    <hyperlink ref="E2149" r:id="rId2147" display="javascript:void(0);"/>
    <hyperlink ref="F2149" r:id="rId2148" display="javascript:void(0);"/>
    <hyperlink ref="E2151" r:id="rId2149" display="javascript:void(0);"/>
    <hyperlink ref="F2151" r:id="rId2150" display="javascript:void(0);"/>
    <hyperlink ref="E2153" r:id="rId2151" display="javascript:void(0);"/>
    <hyperlink ref="F2153" r:id="rId2152" display="javascript:void(0);"/>
    <hyperlink ref="E2155" r:id="rId2153" display="javascript:void(0);"/>
    <hyperlink ref="F2155" r:id="rId2154" display="javascript:void(0);"/>
    <hyperlink ref="E2157" r:id="rId2155" display="javascript:void(0);"/>
    <hyperlink ref="F2157" r:id="rId2156" display="javascript:void(0);"/>
    <hyperlink ref="E2159" r:id="rId2157" display="javascript:void(0);"/>
    <hyperlink ref="F2159" r:id="rId2158" display="javascript:void(0);"/>
    <hyperlink ref="E2161" r:id="rId2159" display="javascript:void(0);"/>
    <hyperlink ref="F2161" r:id="rId2160" display="javascript:void(0);"/>
    <hyperlink ref="E2163" r:id="rId2161" display="javascript:void(0);"/>
    <hyperlink ref="F2163" r:id="rId2162" display="javascript:void(0);"/>
    <hyperlink ref="E2165" r:id="rId2163" display="javascript:void(0);"/>
    <hyperlink ref="F2165" r:id="rId2164" display="javascript:void(0);"/>
    <hyperlink ref="E2167" r:id="rId2165" display="javascript:void(0);"/>
    <hyperlink ref="F2167" r:id="rId2166" display="javascript:void(0);"/>
    <hyperlink ref="E2169" r:id="rId2167" display="javascript:void(0);"/>
    <hyperlink ref="F2169" r:id="rId2168" display="javascript:void(0);"/>
    <hyperlink ref="E2171" r:id="rId2169" display="javascript:void(0);"/>
    <hyperlink ref="F2171" r:id="rId2170" display="javascript:void(0);"/>
    <hyperlink ref="E2173" r:id="rId2171" display="javascript:void(0);"/>
    <hyperlink ref="F2173" r:id="rId2172" display="javascript:void(0);"/>
    <hyperlink ref="E2175" r:id="rId2173" display="javascript:void(0);"/>
    <hyperlink ref="F2175" r:id="rId2174" display="javascript:void(0);"/>
    <hyperlink ref="E2177" r:id="rId2175" display="javascript:void(0);"/>
    <hyperlink ref="F2177" r:id="rId2176" display="javascript:void(0);"/>
    <hyperlink ref="E2179" r:id="rId2177" display="javascript:void(0);"/>
    <hyperlink ref="F2179" r:id="rId2178" display="javascript:void(0);"/>
    <hyperlink ref="E2181" r:id="rId2179" display="javascript:void(0);"/>
    <hyperlink ref="F2181" r:id="rId2180" display="javascript:void(0);"/>
    <hyperlink ref="E2183" r:id="rId2181" display="javascript:void(0);"/>
    <hyperlink ref="F2183" r:id="rId2182" display="javascript:void(0);"/>
    <hyperlink ref="E2185" r:id="rId2183" display="javascript:void(0);"/>
    <hyperlink ref="F2185" r:id="rId2184" display="javascript:void(0);"/>
    <hyperlink ref="E2187" r:id="rId2185" display="javascript:void(0);"/>
    <hyperlink ref="F2187" r:id="rId2186" display="javascript:void(0);"/>
    <hyperlink ref="E2189" r:id="rId2187" display="javascript:void(0);"/>
    <hyperlink ref="F2189" r:id="rId2188" display="javascript:void(0);"/>
    <hyperlink ref="E2191" r:id="rId2189" display="javascript:void(0);"/>
    <hyperlink ref="F2191" r:id="rId2190" display="javascript:void(0);"/>
    <hyperlink ref="E2193" r:id="rId2191" display="javascript:void(0);"/>
    <hyperlink ref="F2193" r:id="rId2192" display="javascript:void(0);"/>
    <hyperlink ref="E2195" r:id="rId2193" display="javascript:void(0);"/>
    <hyperlink ref="F2195" r:id="rId2194" display="javascript:void(0);"/>
    <hyperlink ref="E2197" r:id="rId2195" display="javascript:void(0);"/>
    <hyperlink ref="F2197" r:id="rId2196" display="javascript:void(0);"/>
    <hyperlink ref="E2199" r:id="rId2197" display="javascript:void(0);"/>
    <hyperlink ref="F2199" r:id="rId2198" display="javascript:void(0);"/>
    <hyperlink ref="E2201" r:id="rId2199" display="javascript:void(0);"/>
    <hyperlink ref="F2201" r:id="rId2200" display="javascript:void(0);"/>
    <hyperlink ref="E2203" r:id="rId2201" display="javascript:void(0);"/>
    <hyperlink ref="F2203" r:id="rId2202" display="javascript:void(0);"/>
    <hyperlink ref="E2205" r:id="rId2203" display="javascript:void(0);"/>
    <hyperlink ref="F2205" r:id="rId2204" display="javascript:void(0);"/>
    <hyperlink ref="E2207" r:id="rId2205" display="javascript:void(0);"/>
    <hyperlink ref="F2207" r:id="rId2206" display="javascript:void(0);"/>
    <hyperlink ref="E2209" r:id="rId2207" display="javascript:void(0);"/>
    <hyperlink ref="F2209" r:id="rId2208" display="javascript:void(0);"/>
    <hyperlink ref="E2211" r:id="rId2209" display="javascript:void(0);"/>
    <hyperlink ref="F2211" r:id="rId2210" display="javascript:void(0);"/>
    <hyperlink ref="E2213" r:id="rId2211" display="javascript:void(0);"/>
    <hyperlink ref="F2213" r:id="rId2212" display="javascript:void(0);"/>
    <hyperlink ref="E2215" r:id="rId2213" display="javascript:void(0);"/>
    <hyperlink ref="F2215" r:id="rId2214" display="javascript:void(0);"/>
    <hyperlink ref="E2217" r:id="rId2215" display="javascript:void(0);"/>
    <hyperlink ref="F2217" r:id="rId2216" display="javascript:void(0);"/>
    <hyperlink ref="E2219" r:id="rId2217" display="javascript:void(0);"/>
    <hyperlink ref="F2219" r:id="rId2218" display="javascript:void(0);"/>
    <hyperlink ref="E2221" r:id="rId2219" display="javascript:void(0);"/>
    <hyperlink ref="F2221" r:id="rId2220" display="javascript:void(0);"/>
    <hyperlink ref="E2223" r:id="rId2221" display="javascript:void(0);"/>
    <hyperlink ref="F2223" r:id="rId2222" display="javascript:void(0);"/>
    <hyperlink ref="E2225" r:id="rId2223" display="javascript:void(0);"/>
    <hyperlink ref="F2225" r:id="rId2224" display="javascript:void(0);"/>
    <hyperlink ref="E2227" r:id="rId2225" display="javascript:void(0);"/>
    <hyperlink ref="F2227" r:id="rId2226" display="javascript:void(0);"/>
    <hyperlink ref="E2229" r:id="rId2227" display="javascript:void(0);"/>
    <hyperlink ref="F2229" r:id="rId2228" display="javascript:void(0);"/>
    <hyperlink ref="E2231" r:id="rId2229" display="javascript:void(0);"/>
    <hyperlink ref="F2231" r:id="rId2230" display="javascript:void(0);"/>
    <hyperlink ref="E2233" r:id="rId2231" display="javascript:void(0);"/>
    <hyperlink ref="F2233" r:id="rId2232" display="javascript:void(0);"/>
    <hyperlink ref="E2235" r:id="rId2233" display="javascript:void(0);"/>
    <hyperlink ref="F2235" r:id="rId2234" display="javascript:void(0);"/>
    <hyperlink ref="E2237" r:id="rId2235" display="javascript:void(0);"/>
    <hyperlink ref="F2237" r:id="rId2236" display="javascript:void(0);"/>
    <hyperlink ref="E2239" r:id="rId2237" display="javascript:void(0);"/>
    <hyperlink ref="F2239" r:id="rId2238" display="javascript:void(0);"/>
    <hyperlink ref="E2241" r:id="rId2239" display="javascript:void(0);"/>
    <hyperlink ref="F2241" r:id="rId2240" display="javascript:void(0);"/>
    <hyperlink ref="E2243" r:id="rId2241" display="javascript:void(0);"/>
    <hyperlink ref="F2243" r:id="rId2242" display="javascript:void(0);"/>
    <hyperlink ref="E2245" r:id="rId2243" display="javascript:void(0);"/>
    <hyperlink ref="F2245" r:id="rId2244" display="javascript:void(0);"/>
    <hyperlink ref="E2247" r:id="rId2245" display="javascript:void(0);"/>
    <hyperlink ref="F2247" r:id="rId2246" display="javascript:void(0);"/>
    <hyperlink ref="E2249" r:id="rId2247" display="javascript:void(0);"/>
    <hyperlink ref="F2249" r:id="rId2248" display="javascript:void(0);"/>
    <hyperlink ref="E2251" r:id="rId2249" display="javascript:void(0);"/>
    <hyperlink ref="F2251" r:id="rId2250" display="javascript:void(0);"/>
    <hyperlink ref="E2253" r:id="rId2251" display="javascript:void(0);"/>
    <hyperlink ref="F2253" r:id="rId2252" display="javascript:void(0);"/>
    <hyperlink ref="E2255" r:id="rId2253" display="javascript:void(0);"/>
    <hyperlink ref="F2255" r:id="rId2254" display="javascript:void(0);"/>
    <hyperlink ref="E2257" r:id="rId2255" display="javascript:void(0);"/>
    <hyperlink ref="F2257" r:id="rId2256" display="javascript:void(0);"/>
    <hyperlink ref="E2259" r:id="rId2257" display="javascript:void(0);"/>
    <hyperlink ref="F2259" r:id="rId2258" display="javascript:void(0);"/>
    <hyperlink ref="E2261" r:id="rId2259" display="javascript:void(0);"/>
    <hyperlink ref="F2261" r:id="rId2260" display="javascript:void(0);"/>
    <hyperlink ref="E2263" r:id="rId2261" display="javascript:void(0);"/>
    <hyperlink ref="F2263" r:id="rId2262" display="javascript:void(0);"/>
    <hyperlink ref="E2265" r:id="rId2263" display="javascript:void(0);"/>
    <hyperlink ref="F2265" r:id="rId2264" display="javascript:void(0);"/>
    <hyperlink ref="E2267" r:id="rId2265" display="javascript:void(0);"/>
    <hyperlink ref="F2267" r:id="rId2266" display="javascript:void(0);"/>
    <hyperlink ref="E2269" r:id="rId2267" display="javascript:void(0);"/>
    <hyperlink ref="F2269" r:id="rId2268" display="javascript:void(0);"/>
    <hyperlink ref="E2271" r:id="rId2269" display="javascript:void(0);"/>
    <hyperlink ref="F2271" r:id="rId2270" display="javascript:void(0);"/>
    <hyperlink ref="E2273" r:id="rId2271" display="javascript:void(0);"/>
    <hyperlink ref="F2273" r:id="rId2272" display="javascript:void(0);"/>
    <hyperlink ref="E2275" r:id="rId2273" display="javascript:void(0);"/>
    <hyperlink ref="F2275" r:id="rId2274" display="javascript:void(0);"/>
    <hyperlink ref="E2277" r:id="rId2275" display="javascript:void(0);"/>
    <hyperlink ref="F2277" r:id="rId2276" display="javascript:void(0);"/>
    <hyperlink ref="E2279" r:id="rId2277" display="javascript:void(0);"/>
    <hyperlink ref="F2279" r:id="rId2278" display="javascript:void(0);"/>
    <hyperlink ref="E2281" r:id="rId2279" display="javascript:void(0);"/>
    <hyperlink ref="F2281" r:id="rId2280" display="javascript:void(0);"/>
    <hyperlink ref="E2283" r:id="rId2281" display="javascript:void(0);"/>
    <hyperlink ref="F2283" r:id="rId2282" display="javascript:void(0);"/>
    <hyperlink ref="E2285" r:id="rId2283" display="javascript:void(0);"/>
    <hyperlink ref="F2285" r:id="rId2284" display="javascript:void(0);"/>
    <hyperlink ref="E2287" r:id="rId2285" display="javascript:void(0);"/>
    <hyperlink ref="F2287" r:id="rId2286" display="javascript:void(0);"/>
    <hyperlink ref="E2289" r:id="rId2287" display="javascript:void(0);"/>
    <hyperlink ref="F2289" r:id="rId2288" display="javascript:void(0);"/>
    <hyperlink ref="E2291" r:id="rId2289" display="javascript:void(0);"/>
    <hyperlink ref="F2291" r:id="rId2290" display="javascript:void(0);"/>
    <hyperlink ref="E2293" r:id="rId2291" display="javascript:void(0);"/>
    <hyperlink ref="F2293" r:id="rId2292" display="javascript:void(0);"/>
    <hyperlink ref="E2295" r:id="rId2293" display="javascript:void(0);"/>
    <hyperlink ref="F2295" r:id="rId2294" display="javascript:void(0);"/>
    <hyperlink ref="E2297" r:id="rId2295" display="javascript:void(0);"/>
    <hyperlink ref="F2297" r:id="rId2296" display="javascript:void(0);"/>
    <hyperlink ref="E2299" r:id="rId2297" display="javascript:void(0);"/>
    <hyperlink ref="F2299" r:id="rId2298" display="javascript:void(0);"/>
    <hyperlink ref="O7" r:id="rId2299"/>
    <hyperlink ref="E2301" r:id="rId2300" display="javascript:void(0);"/>
    <hyperlink ref="F2301" r:id="rId2301" display="javascript:void(0);"/>
    <hyperlink ref="E2303" r:id="rId2302" display="javascript:void(0);"/>
    <hyperlink ref="F2303" r:id="rId2303" display="javascript:void(0);"/>
    <hyperlink ref="E2305" r:id="rId2304" display="javascript:void(0);"/>
    <hyperlink ref="F2305" r:id="rId2305" display="javascript:void(0);"/>
    <hyperlink ref="E2307" r:id="rId2306" display="javascript:void(0);"/>
    <hyperlink ref="F2307" r:id="rId2307" display="javascript:void(0);"/>
    <hyperlink ref="E2309" r:id="rId2308" display="javascript:void(0);"/>
    <hyperlink ref="F2309" r:id="rId2309" display="javascript:void(0);"/>
    <hyperlink ref="E2311" r:id="rId2310" display="javascript:void(0);"/>
    <hyperlink ref="F2311" r:id="rId2311" display="javascript:void(0);"/>
    <hyperlink ref="E2313" r:id="rId2312" display="javascript:void(0);"/>
    <hyperlink ref="F2313" r:id="rId2313" display="javascript:void(0);"/>
    <hyperlink ref="E2315" r:id="rId2314" display="javascript:void(0);"/>
    <hyperlink ref="F2315" r:id="rId2315" display="javascript:void(0);"/>
    <hyperlink ref="E2317" r:id="rId2316" display="javascript:void(0);"/>
    <hyperlink ref="F2317" r:id="rId2317" display="javascript:void(0);"/>
    <hyperlink ref="E2319" r:id="rId2318" display="javascript:void(0);"/>
    <hyperlink ref="F2319" r:id="rId2319" display="javascript:void(0);"/>
    <hyperlink ref="E2321" r:id="rId2320" display="javascript:void(0);"/>
    <hyperlink ref="F2321" r:id="rId2321" display="javascript:void(0);"/>
    <hyperlink ref="E2323" r:id="rId2322" display="javascript:void(0);"/>
    <hyperlink ref="F2323" r:id="rId2323" display="javascript:void(0);"/>
    <hyperlink ref="E2325" r:id="rId2324" display="javascript:void(0);"/>
    <hyperlink ref="F2325" r:id="rId2325" display="javascript:void(0);"/>
    <hyperlink ref="E2327" r:id="rId2326" display="javascript:void(0);"/>
    <hyperlink ref="F2327" r:id="rId2327" display="javascript:void(0);"/>
    <hyperlink ref="E2329" r:id="rId2328" display="javascript:void(0);"/>
    <hyperlink ref="F2329" r:id="rId2329" display="javascript:void(0);"/>
    <hyperlink ref="E2331" r:id="rId2330" display="javascript:void(0);"/>
    <hyperlink ref="F2331" r:id="rId2331" display="javascript:void(0);"/>
    <hyperlink ref="E2333" r:id="rId2332" display="javascript:void(0);"/>
    <hyperlink ref="F2333" r:id="rId2333" display="javascript:void(0);"/>
    <hyperlink ref="E2335" r:id="rId2334" display="javascript:void(0);"/>
    <hyperlink ref="F2335" r:id="rId2335" display="javascript:void(0);"/>
    <hyperlink ref="E2337" r:id="rId2336" display="javascript:void(0);"/>
    <hyperlink ref="F2337" r:id="rId2337" display="javascript:void(0);"/>
    <hyperlink ref="E2339" r:id="rId2338" display="javascript:void(0);"/>
    <hyperlink ref="F2339" r:id="rId2339" display="javascript:void(0);"/>
    <hyperlink ref="E2341" r:id="rId2340" display="javascript:void(0);"/>
    <hyperlink ref="F2341" r:id="rId2341" display="javascript:void(0);"/>
    <hyperlink ref="E2343" r:id="rId2342" display="javascript:void(0);"/>
    <hyperlink ref="F2343" r:id="rId2343" display="javascript:void(0);"/>
    <hyperlink ref="E2345" r:id="rId2344" display="javascript:void(0);"/>
    <hyperlink ref="F2345" r:id="rId2345" display="javascript:void(0);"/>
    <hyperlink ref="E2347" r:id="rId2346" display="javascript:void(0);"/>
    <hyperlink ref="F2347" r:id="rId2347" display="javascript:void(0);"/>
    <hyperlink ref="E2349" r:id="rId2348" display="javascript:void(0);"/>
    <hyperlink ref="F2349" r:id="rId2349" display="javascript:void(0);"/>
    <hyperlink ref="E2351" r:id="rId2350" display="javascript:void(0);"/>
    <hyperlink ref="F2351" r:id="rId2351" display="javascript:void(0);"/>
    <hyperlink ref="E2353" r:id="rId2352" display="javascript:void(0);"/>
    <hyperlink ref="F2353" r:id="rId2353" display="javascript:void(0);"/>
    <hyperlink ref="E2355" r:id="rId2354" display="javascript:void(0);"/>
    <hyperlink ref="F2355" r:id="rId2355" display="javascript:void(0);"/>
    <hyperlink ref="E2357" r:id="rId2356" display="javascript:void(0);"/>
    <hyperlink ref="F2357" r:id="rId2357" display="javascript:void(0);"/>
    <hyperlink ref="E2359" r:id="rId2358" display="javascript:void(0);"/>
    <hyperlink ref="F2359" r:id="rId2359" display="javascript:void(0);"/>
    <hyperlink ref="E2361" r:id="rId2360" display="javascript:void(0);"/>
    <hyperlink ref="F2361" r:id="rId2361" display="javascript:void(0);"/>
    <hyperlink ref="E2363" r:id="rId2362" display="javascript:void(0);"/>
    <hyperlink ref="F2363" r:id="rId2363" display="javascript:void(0);"/>
    <hyperlink ref="E2365" r:id="rId2364" display="javascript:void(0);"/>
    <hyperlink ref="F2365" r:id="rId2365" display="javascript:void(0);"/>
    <hyperlink ref="E2367" r:id="rId2366" display="javascript:void(0);"/>
    <hyperlink ref="F2367" r:id="rId2367" display="javascript:void(0);"/>
    <hyperlink ref="E2369" r:id="rId2368" display="javascript:void(0);"/>
    <hyperlink ref="F2369" r:id="rId2369" display="javascript:void(0);"/>
    <hyperlink ref="E2371" r:id="rId2370" display="javascript:void(0);"/>
    <hyperlink ref="F2371" r:id="rId2371" display="javascript:void(0);"/>
    <hyperlink ref="E2373" r:id="rId2372" display="javascript:void(0);"/>
    <hyperlink ref="F2373" r:id="rId2373" display="javascript:void(0);"/>
    <hyperlink ref="E2375" r:id="rId2374" display="javascript:void(0);"/>
    <hyperlink ref="F2375" r:id="rId2375" display="javascript:void(0);"/>
    <hyperlink ref="E2377" r:id="rId2376" display="javascript:void(0);"/>
    <hyperlink ref="F2377" r:id="rId2377" display="javascript:void(0);"/>
    <hyperlink ref="E2379" r:id="rId2378" display="javascript:void(0);"/>
    <hyperlink ref="F2379" r:id="rId2379" display="javascript:void(0);"/>
    <hyperlink ref="E2381" r:id="rId2380" display="javascript:void(0);"/>
    <hyperlink ref="F2381" r:id="rId2381" display="javascript:void(0);"/>
    <hyperlink ref="E2383" r:id="rId2382" display="javascript:void(0);"/>
    <hyperlink ref="F2383" r:id="rId2383" display="javascript:void(0);"/>
    <hyperlink ref="E2385" r:id="rId2384" display="javascript:void(0);"/>
    <hyperlink ref="F2385" r:id="rId2385" display="javascript:void(0);"/>
    <hyperlink ref="E2387" r:id="rId2386" display="javascript:void(0);"/>
    <hyperlink ref="F2387" r:id="rId2387" display="javascript:void(0);"/>
    <hyperlink ref="E2389" r:id="rId2388" display="javascript:void(0);"/>
    <hyperlink ref="F2389" r:id="rId2389" display="javascript:void(0);"/>
    <hyperlink ref="E2391" r:id="rId2390" display="javascript:void(0);"/>
    <hyperlink ref="F2391" r:id="rId2391" display="javascript:void(0);"/>
    <hyperlink ref="E2393" r:id="rId2392" display="javascript:void(0);"/>
    <hyperlink ref="F2393" r:id="rId2393" display="javascript:void(0);"/>
    <hyperlink ref="E2395" r:id="rId2394" display="javascript:void(0);"/>
    <hyperlink ref="F2395" r:id="rId2395" display="javascript:void(0);"/>
    <hyperlink ref="E2397" r:id="rId2396" display="javascript:void(0);"/>
    <hyperlink ref="F2397" r:id="rId2397" display="javascript:void(0);"/>
    <hyperlink ref="E2399" r:id="rId2398" display="javascript:void(0);"/>
    <hyperlink ref="F2399" r:id="rId2399" display="javascript:void(0);"/>
    <hyperlink ref="E2401" r:id="rId2400" display="javascript:void(0);"/>
    <hyperlink ref="F2401" r:id="rId2401" display="javascript:void(0);"/>
    <hyperlink ref="E2403" r:id="rId2402" display="javascript:void(0);"/>
    <hyperlink ref="F2403" r:id="rId2403" display="javascript:void(0);"/>
    <hyperlink ref="E2405" r:id="rId2404" display="javascript:void(0);"/>
    <hyperlink ref="F2405" r:id="rId2405" display="javascript:void(0);"/>
    <hyperlink ref="E2407" r:id="rId2406" display="javascript:void(0);"/>
    <hyperlink ref="F2407" r:id="rId2407" display="javascript:void(0);"/>
    <hyperlink ref="E2409" r:id="rId2408" display="javascript:void(0);"/>
    <hyperlink ref="F2409" r:id="rId2409" display="javascript:void(0);"/>
    <hyperlink ref="E2411" r:id="rId2410" display="javascript:void(0);"/>
    <hyperlink ref="F2411" r:id="rId2411" display="javascript:void(0);"/>
    <hyperlink ref="E2413" r:id="rId2412" display="javascript:void(0);"/>
    <hyperlink ref="F2413" r:id="rId2413" display="javascript:void(0);"/>
    <hyperlink ref="E2415" r:id="rId2414" display="javascript:void(0);"/>
    <hyperlink ref="F2415" r:id="rId2415" display="javascript:void(0);"/>
    <hyperlink ref="E2417" r:id="rId2416" display="javascript:void(0);"/>
    <hyperlink ref="F2417" r:id="rId2417" display="javascript:void(0);"/>
    <hyperlink ref="E2419" r:id="rId2418" display="javascript:void(0);"/>
    <hyperlink ref="F2419" r:id="rId2419" display="javascript:void(0);"/>
    <hyperlink ref="E2421" r:id="rId2420" display="javascript:void(0);"/>
    <hyperlink ref="F2421" r:id="rId2421" display="javascript:void(0);"/>
    <hyperlink ref="E2423" r:id="rId2422" display="javascript:void(0);"/>
    <hyperlink ref="F2423" r:id="rId2423" display="javascript:void(0);"/>
    <hyperlink ref="E2425" r:id="rId2424" display="javascript:void(0);"/>
    <hyperlink ref="F2425" r:id="rId2425" display="javascript:void(0);"/>
    <hyperlink ref="E2427" r:id="rId2426" display="javascript:void(0);"/>
    <hyperlink ref="F2427" r:id="rId2427" display="javascript:void(0);"/>
    <hyperlink ref="E2429" r:id="rId2428" display="javascript:void(0);"/>
    <hyperlink ref="F2429" r:id="rId2429" display="javascript:void(0);"/>
    <hyperlink ref="E2431" r:id="rId2430" display="javascript:void(0);"/>
    <hyperlink ref="F2431" r:id="rId2431" display="javascript:void(0);"/>
    <hyperlink ref="E2433" r:id="rId2432" display="javascript:void(0);"/>
    <hyperlink ref="F2433" r:id="rId2433" display="javascript:void(0);"/>
    <hyperlink ref="E2435" r:id="rId2434" display="javascript:void(0);"/>
    <hyperlink ref="F2435" r:id="rId2435" display="javascript:void(0);"/>
    <hyperlink ref="E2437" r:id="rId2436" display="javascript:void(0);"/>
    <hyperlink ref="F2437" r:id="rId2437" display="javascript:void(0);"/>
    <hyperlink ref="E2439" r:id="rId2438" display="javascript:void(0);"/>
    <hyperlink ref="F2439" r:id="rId2439" display="javascript:void(0);"/>
    <hyperlink ref="E2441" r:id="rId2440" display="javascript:void(0);"/>
    <hyperlink ref="F2441" r:id="rId2441" display="javascript:void(0);"/>
    <hyperlink ref="E2443" r:id="rId2442" display="javascript:void(0);"/>
    <hyperlink ref="F2443" r:id="rId2443" display="javascript:void(0);"/>
    <hyperlink ref="E2445" r:id="rId2444" display="javascript:void(0);"/>
    <hyperlink ref="F2445" r:id="rId2445" display="javascript:void(0);"/>
    <hyperlink ref="E2447" r:id="rId2446" display="javascript:void(0);"/>
    <hyperlink ref="F2447" r:id="rId2447" display="javascript:void(0);"/>
    <hyperlink ref="E2449" r:id="rId2448" display="javascript:void(0);"/>
    <hyperlink ref="F2449" r:id="rId2449" display="javascript:void(0);"/>
    <hyperlink ref="E2451" r:id="rId2450" display="javascript:void(0);"/>
    <hyperlink ref="F2451" r:id="rId2451" display="javascript:void(0);"/>
    <hyperlink ref="E2453" r:id="rId2452" display="javascript:void(0);"/>
    <hyperlink ref="F2453" r:id="rId2453" display="javascript:void(0);"/>
    <hyperlink ref="E2455" r:id="rId2454" display="javascript:void(0);"/>
    <hyperlink ref="F2455" r:id="rId2455" display="javascript:void(0);"/>
    <hyperlink ref="E2457" r:id="rId2456" display="javascript:void(0);"/>
    <hyperlink ref="F2457" r:id="rId2457" display="javascript:void(0);"/>
    <hyperlink ref="E2459" r:id="rId2458" display="javascript:void(0);"/>
    <hyperlink ref="F2459" r:id="rId2459" display="javascript:void(0);"/>
    <hyperlink ref="E2461" r:id="rId2460" display="javascript:void(0);"/>
    <hyperlink ref="F2461" r:id="rId2461" display="javascript:void(0);"/>
  </hyperlinks>
  <pageMargins left="0.7" right="0.7" top="0.75" bottom="0.75" header="0.3" footer="0.3"/>
  <drawing r:id="rId246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J13" sqref="J13"/>
    </sheetView>
  </sheetViews>
  <sheetFormatPr defaultRowHeight="15"/>
  <cols>
    <col min="1" max="1" width="40" style="65" bestFit="1" customWidth="1"/>
    <col min="2" max="2" width="13.7109375" style="25" bestFit="1" customWidth="1"/>
    <col min="3" max="3" width="13.7109375" style="25" customWidth="1"/>
    <col min="10" max="10" width="10.7109375" bestFit="1" customWidth="1"/>
  </cols>
  <sheetData>
    <row r="1" spans="1:11">
      <c r="A1" s="64" t="s">
        <v>313</v>
      </c>
    </row>
    <row r="2" spans="1:11">
      <c r="A2" s="66" t="s">
        <v>175</v>
      </c>
      <c r="B2" s="67"/>
      <c r="C2" s="68" t="s">
        <v>194</v>
      </c>
      <c r="D2" s="69" t="s">
        <v>314</v>
      </c>
      <c r="E2" s="68" t="s">
        <v>315</v>
      </c>
      <c r="F2" s="70" t="s">
        <v>195</v>
      </c>
      <c r="G2" s="68" t="s">
        <v>316</v>
      </c>
      <c r="H2" s="68" t="s">
        <v>317</v>
      </c>
      <c r="I2" t="s">
        <v>1209</v>
      </c>
      <c r="J2" t="s">
        <v>311</v>
      </c>
      <c r="K2" t="s">
        <v>1211</v>
      </c>
    </row>
    <row r="3" spans="1:11">
      <c r="A3" s="72" t="s">
        <v>235</v>
      </c>
      <c r="B3" s="62" t="s">
        <v>205</v>
      </c>
      <c r="C3" s="62">
        <v>82</v>
      </c>
      <c r="D3" s="63">
        <v>228</v>
      </c>
      <c r="E3" s="62">
        <v>385</v>
      </c>
      <c r="F3" s="62">
        <f>D3+E3</f>
        <v>613</v>
      </c>
      <c r="G3" s="62">
        <v>2.73</v>
      </c>
      <c r="H3" s="62">
        <v>2.65</v>
      </c>
      <c r="I3">
        <f>F3/C3</f>
        <v>7.475609756097561</v>
      </c>
      <c r="J3">
        <f ca="1">Sim!EO44</f>
        <v>14.85</v>
      </c>
      <c r="K3">
        <f ca="1">J3*I3</f>
        <v>111.01280487804878</v>
      </c>
    </row>
    <row r="4" spans="1:11">
      <c r="A4" s="72" t="s">
        <v>239</v>
      </c>
      <c r="B4" s="62" t="s">
        <v>1210</v>
      </c>
      <c r="C4" s="62">
        <v>82</v>
      </c>
      <c r="D4" s="63">
        <v>237</v>
      </c>
      <c r="E4" s="62">
        <v>427</v>
      </c>
      <c r="F4" s="62">
        <f t="shared" ref="F4:F14" si="0">D4+E4</f>
        <v>664</v>
      </c>
      <c r="G4" s="62">
        <v>2.85</v>
      </c>
      <c r="H4" s="62">
        <v>2.56</v>
      </c>
      <c r="I4">
        <f t="shared" ref="I4:I18" si="1">F4/C4</f>
        <v>8.0975609756097562</v>
      </c>
      <c r="J4">
        <f ca="1">Sim!ER44</f>
        <v>13.23</v>
      </c>
      <c r="K4">
        <f t="shared" ref="K4:K18" ca="1" si="2">J4*I4</f>
        <v>107.13073170731708</v>
      </c>
    </row>
    <row r="5" spans="1:11">
      <c r="A5" s="72" t="s">
        <v>240</v>
      </c>
      <c r="B5" s="62" t="s">
        <v>202</v>
      </c>
      <c r="C5" s="62">
        <v>82</v>
      </c>
      <c r="D5" s="63">
        <v>220</v>
      </c>
      <c r="E5" s="62">
        <v>381</v>
      </c>
      <c r="F5" s="62">
        <f t="shared" si="0"/>
        <v>601</v>
      </c>
      <c r="G5" s="62">
        <v>2.64</v>
      </c>
      <c r="H5" s="62">
        <v>2.23</v>
      </c>
      <c r="I5">
        <f t="shared" si="1"/>
        <v>7.3292682926829267</v>
      </c>
      <c r="J5">
        <f ca="1">Sim!ES44</f>
        <v>9.14</v>
      </c>
      <c r="K5">
        <f t="shared" ca="1" si="2"/>
        <v>66.989512195121961</v>
      </c>
    </row>
    <row r="6" spans="1:11">
      <c r="A6" s="72" t="s">
        <v>237</v>
      </c>
      <c r="B6" s="62" t="s">
        <v>209</v>
      </c>
      <c r="C6" s="62">
        <v>82</v>
      </c>
      <c r="D6" s="63">
        <v>231</v>
      </c>
      <c r="E6" s="62">
        <v>399</v>
      </c>
      <c r="F6" s="62">
        <f t="shared" si="0"/>
        <v>630</v>
      </c>
      <c r="G6" s="62">
        <v>2.76</v>
      </c>
      <c r="H6" s="62">
        <v>2.52</v>
      </c>
      <c r="I6">
        <f t="shared" si="1"/>
        <v>7.6829268292682924</v>
      </c>
      <c r="J6">
        <f ca="1">Sim!EK44</f>
        <v>10.06</v>
      </c>
      <c r="K6">
        <f t="shared" ca="1" si="2"/>
        <v>77.29024390243903</v>
      </c>
    </row>
    <row r="7" spans="1:11">
      <c r="A7" s="72" t="s">
        <v>242</v>
      </c>
      <c r="B7" s="62" t="s">
        <v>212</v>
      </c>
      <c r="C7" s="62">
        <v>82</v>
      </c>
      <c r="D7" s="63">
        <v>227</v>
      </c>
      <c r="E7" s="62">
        <v>381</v>
      </c>
      <c r="F7" s="62">
        <f t="shared" si="0"/>
        <v>608</v>
      </c>
      <c r="G7" s="62">
        <v>2.74</v>
      </c>
      <c r="H7" s="62">
        <v>2.39</v>
      </c>
      <c r="I7">
        <f t="shared" si="1"/>
        <v>7.4146341463414638</v>
      </c>
      <c r="J7">
        <f ca="1">Sim!EU44</f>
        <v>11.71</v>
      </c>
      <c r="K7">
        <f t="shared" ca="1" si="2"/>
        <v>86.825365853658553</v>
      </c>
    </row>
    <row r="8" spans="1:11">
      <c r="A8" s="72" t="s">
        <v>230</v>
      </c>
      <c r="B8" s="62" t="s">
        <v>207</v>
      </c>
      <c r="C8" s="62">
        <v>82</v>
      </c>
      <c r="D8" s="63">
        <v>214</v>
      </c>
      <c r="E8" s="62">
        <v>365</v>
      </c>
      <c r="F8" s="62">
        <f t="shared" si="0"/>
        <v>579</v>
      </c>
      <c r="G8" s="62">
        <v>2.56</v>
      </c>
      <c r="H8" s="62">
        <v>2.2000000000000002</v>
      </c>
      <c r="I8">
        <f t="shared" si="1"/>
        <v>7.0609756097560972</v>
      </c>
      <c r="J8">
        <f ca="1">Sim!EF44</f>
        <v>8.65</v>
      </c>
      <c r="K8">
        <f t="shared" ca="1" si="2"/>
        <v>61.077439024390245</v>
      </c>
    </row>
    <row r="9" spans="1:11">
      <c r="A9" s="72" t="s">
        <v>234</v>
      </c>
      <c r="B9" s="62" t="s">
        <v>211</v>
      </c>
      <c r="C9" s="62">
        <v>82</v>
      </c>
      <c r="D9" s="63">
        <v>226</v>
      </c>
      <c r="E9" s="62">
        <v>385</v>
      </c>
      <c r="F9" s="62">
        <f t="shared" si="0"/>
        <v>611</v>
      </c>
      <c r="G9" s="62">
        <v>2.71</v>
      </c>
      <c r="H9" s="62">
        <v>2.42</v>
      </c>
      <c r="I9">
        <f t="shared" si="1"/>
        <v>7.4512195121951219</v>
      </c>
      <c r="J9">
        <f ca="1">Sim!EN44</f>
        <v>7.94</v>
      </c>
      <c r="K9">
        <f t="shared" ca="1" si="2"/>
        <v>59.16268292682927</v>
      </c>
    </row>
    <row r="10" spans="1:11">
      <c r="A10" s="72" t="s">
        <v>244</v>
      </c>
      <c r="B10" s="62" t="s">
        <v>196</v>
      </c>
      <c r="C10" s="62">
        <v>82</v>
      </c>
      <c r="D10" s="63">
        <v>245</v>
      </c>
      <c r="E10" s="62">
        <v>411</v>
      </c>
      <c r="F10" s="62">
        <f t="shared" si="0"/>
        <v>656</v>
      </c>
      <c r="G10" s="62">
        <v>2.94</v>
      </c>
      <c r="H10" s="62">
        <v>2.68</v>
      </c>
      <c r="I10">
        <f t="shared" si="1"/>
        <v>8</v>
      </c>
      <c r="J10">
        <f ca="1">Sim!EJ44</f>
        <v>13.18</v>
      </c>
      <c r="K10">
        <f t="shared" ca="1" si="2"/>
        <v>105.44</v>
      </c>
    </row>
    <row r="11" spans="1:11">
      <c r="A11" s="72" t="s">
        <v>243</v>
      </c>
      <c r="B11" s="62" t="s">
        <v>203</v>
      </c>
      <c r="C11" s="62">
        <v>82</v>
      </c>
      <c r="D11" s="63">
        <v>248</v>
      </c>
      <c r="E11" s="62">
        <v>411</v>
      </c>
      <c r="F11" s="62">
        <f t="shared" si="0"/>
        <v>659</v>
      </c>
      <c r="G11" s="62">
        <v>2.99</v>
      </c>
      <c r="H11" s="62">
        <v>2.25</v>
      </c>
      <c r="I11">
        <f t="shared" si="1"/>
        <v>8.036585365853659</v>
      </c>
      <c r="J11">
        <f ca="1">Sim!EG44</f>
        <v>8.7200000000000006</v>
      </c>
      <c r="K11">
        <f t="shared" ca="1" si="2"/>
        <v>70.079024390243916</v>
      </c>
    </row>
    <row r="12" spans="1:11">
      <c r="A12" s="72" t="s">
        <v>318</v>
      </c>
      <c r="B12" s="62" t="s">
        <v>214</v>
      </c>
      <c r="C12" s="62">
        <v>82</v>
      </c>
      <c r="D12" s="63">
        <v>232</v>
      </c>
      <c r="E12" s="62">
        <v>387</v>
      </c>
      <c r="F12" s="62">
        <f t="shared" si="0"/>
        <v>619</v>
      </c>
      <c r="G12" s="62">
        <v>2.77</v>
      </c>
      <c r="H12" s="62">
        <v>2.48</v>
      </c>
      <c r="I12">
        <f t="shared" si="1"/>
        <v>7.5487804878048781</v>
      </c>
      <c r="J12">
        <f ca="1">Sim!EM44</f>
        <v>10.71</v>
      </c>
      <c r="K12">
        <f t="shared" ca="1" si="2"/>
        <v>80.847439024390255</v>
      </c>
    </row>
    <row r="13" spans="1:11">
      <c r="A13" s="72" t="s">
        <v>232</v>
      </c>
      <c r="B13" s="62" t="s">
        <v>198</v>
      </c>
      <c r="C13" s="62">
        <v>82</v>
      </c>
      <c r="D13" s="63">
        <v>217</v>
      </c>
      <c r="E13" s="62">
        <v>383</v>
      </c>
      <c r="F13" s="62">
        <f t="shared" si="0"/>
        <v>600</v>
      </c>
      <c r="G13" s="62">
        <v>2.6</v>
      </c>
      <c r="H13" s="62">
        <v>2.4500000000000002</v>
      </c>
      <c r="I13">
        <f t="shared" si="1"/>
        <v>7.3170731707317076</v>
      </c>
      <c r="J13">
        <f ca="1">Sim!EI44</f>
        <v>9.74</v>
      </c>
      <c r="K13">
        <f t="shared" ca="1" si="2"/>
        <v>71.268292682926827</v>
      </c>
    </row>
    <row r="14" spans="1:11">
      <c r="A14" s="72" t="s">
        <v>236</v>
      </c>
      <c r="B14" s="62" t="s">
        <v>200</v>
      </c>
      <c r="C14" s="62">
        <v>82</v>
      </c>
      <c r="D14" s="63">
        <v>239</v>
      </c>
      <c r="E14" s="62">
        <v>421</v>
      </c>
      <c r="F14" s="62">
        <f t="shared" si="0"/>
        <v>660</v>
      </c>
      <c r="G14" s="62">
        <v>2.87</v>
      </c>
      <c r="H14" s="62">
        <v>2.36</v>
      </c>
      <c r="I14">
        <f t="shared" si="1"/>
        <v>8.0487804878048781</v>
      </c>
      <c r="J14">
        <f ca="1">Sim!EP44</f>
        <v>10.87</v>
      </c>
      <c r="K14">
        <f t="shared" ca="1" si="2"/>
        <v>87.490243902439019</v>
      </c>
    </row>
    <row r="15" spans="1:11">
      <c r="A15" s="72" t="s">
        <v>231</v>
      </c>
      <c r="B15" s="62" t="s">
        <v>201</v>
      </c>
      <c r="C15" s="62">
        <v>82</v>
      </c>
      <c r="D15" s="63">
        <v>259</v>
      </c>
      <c r="E15" s="62">
        <v>445</v>
      </c>
      <c r="F15" s="62">
        <f>D15+E15</f>
        <v>704</v>
      </c>
      <c r="G15" s="62">
        <v>3.12</v>
      </c>
      <c r="H15" s="62">
        <v>2.48</v>
      </c>
      <c r="I15">
        <f t="shared" si="1"/>
        <v>8.5853658536585371</v>
      </c>
      <c r="J15">
        <f ca="1">Sim!EH44</f>
        <v>16.010000000000002</v>
      </c>
      <c r="K15">
        <f t="shared" ca="1" si="2"/>
        <v>137.45170731707319</v>
      </c>
    </row>
    <row r="16" spans="1:11">
      <c r="A16" s="72" t="s">
        <v>238</v>
      </c>
      <c r="B16" s="62" t="s">
        <v>206</v>
      </c>
      <c r="C16" s="62">
        <v>82</v>
      </c>
      <c r="D16" s="63">
        <v>236</v>
      </c>
      <c r="E16" s="62">
        <v>406</v>
      </c>
      <c r="F16" s="62">
        <f t="shared" ref="F16:F18" si="3">D16+E16</f>
        <v>642</v>
      </c>
      <c r="G16" s="62">
        <v>2.84</v>
      </c>
      <c r="H16" s="62">
        <v>2.65</v>
      </c>
      <c r="I16">
        <f t="shared" si="1"/>
        <v>7.8292682926829267</v>
      </c>
      <c r="J16">
        <f ca="1">Sim!EQ44</f>
        <v>10.35</v>
      </c>
      <c r="K16">
        <f t="shared" ca="1" si="2"/>
        <v>81.032926829268291</v>
      </c>
    </row>
    <row r="17" spans="1:11">
      <c r="A17" s="72" t="s">
        <v>233</v>
      </c>
      <c r="B17" s="62" t="s">
        <v>197</v>
      </c>
      <c r="C17" s="62">
        <v>82</v>
      </c>
      <c r="D17" s="63">
        <v>237</v>
      </c>
      <c r="E17" s="62">
        <v>415</v>
      </c>
      <c r="F17" s="62">
        <f t="shared" si="3"/>
        <v>652</v>
      </c>
      <c r="G17" s="62">
        <v>2.84</v>
      </c>
      <c r="H17" s="62">
        <v>2.39</v>
      </c>
      <c r="I17">
        <f t="shared" si="1"/>
        <v>7.9512195121951219</v>
      </c>
      <c r="J17">
        <f ca="1">Sim!EL44</f>
        <v>7.68</v>
      </c>
      <c r="K17">
        <f t="shared" ca="1" si="2"/>
        <v>61.065365853658534</v>
      </c>
    </row>
    <row r="18" spans="1:11">
      <c r="A18" s="72" t="s">
        <v>241</v>
      </c>
      <c r="B18" s="62" t="s">
        <v>210</v>
      </c>
      <c r="C18" s="62">
        <v>82</v>
      </c>
      <c r="D18" s="63">
        <v>223</v>
      </c>
      <c r="E18" s="62">
        <v>371</v>
      </c>
      <c r="F18" s="62">
        <f t="shared" si="3"/>
        <v>594</v>
      </c>
      <c r="G18" s="62">
        <v>2.67</v>
      </c>
      <c r="H18" s="62">
        <v>2.44</v>
      </c>
      <c r="I18">
        <f t="shared" si="1"/>
        <v>7.2439024390243905</v>
      </c>
      <c r="J18">
        <f ca="1">Sim!ET44</f>
        <v>8.94</v>
      </c>
      <c r="K18">
        <f t="shared" ca="1" si="2"/>
        <v>64.760487804878053</v>
      </c>
    </row>
  </sheetData>
  <sortState ref="A3:H32">
    <sortCondition ref="A3"/>
  </sortState>
  <hyperlinks>
    <hyperlink ref="A1" r:id="rId1"/>
    <hyperlink ref="C2" r:id="rId2" display="http://sports.yahoo.com/nhl/stats/byteam?cat=teamstats&amp;conference=NHL&amp;year=season_2014&amp;cut_type=0&amp;sort=400"/>
    <hyperlink ref="E2" r:id="rId3" display="http://sports.yahoo.com/nhl/stats/byteam?cat=teamstats&amp;conference=NHL&amp;year=season_2014&amp;cut_type=0&amp;sort=406"/>
    <hyperlink ref="G2" r:id="rId4" display="http://sports.yahoo.com/nhl/stats/byteam?cat=teamstats&amp;conference=NHL&amp;year=season_2014&amp;cut_type=0&amp;sort=443"/>
    <hyperlink ref="H2" r:id="rId5" display="http://sports.yahoo.com/nhl/stats/byteam?cat=teamstats&amp;conference=NHL&amp;year=season_2014&amp;cut_type=0&amp;sort=444"/>
    <hyperlink ref="A15" r:id="rId6" display="http://sports.yahoo.com/nhl/teams/tam"/>
    <hyperlink ref="A11" r:id="rId7" display="http://sports.yahoo.com/nhl/teams/nyr"/>
    <hyperlink ref="A10" r:id="rId8" display="http://sports.yahoo.com/nhl/teams/nyi"/>
    <hyperlink ref="A14" r:id="rId9" display="http://sports.yahoo.com/nhl/teams/stl"/>
    <hyperlink ref="A17" r:id="rId10" display="http://sports.yahoo.com/nhl/teams/was"/>
    <hyperlink ref="A4" r:id="rId11" display="http://sports.yahoo.com/nhl/teams/cgy"/>
    <hyperlink ref="A16" r:id="rId12" display="http://sports.yahoo.com/nhl/teams/van"/>
    <hyperlink ref="A12" r:id="rId13" display="http://sports.yahoo.com/nhl/teams/ott"/>
    <hyperlink ref="A6" r:id="rId14" display="http://sports.yahoo.com/nhl/teams/det"/>
    <hyperlink ref="A3" r:id="rId15" display="http://sports.yahoo.com/nhl/teams/ana"/>
    <hyperlink ref="A7" r:id="rId16" display="http://sports.yahoo.com/nhl/teams/min"/>
    <hyperlink ref="A9" r:id="rId17" display="http://sports.yahoo.com/nhl/teams/nas"/>
    <hyperlink ref="A18" r:id="rId18" display="http://sports.yahoo.com/nhl/teams/wpg"/>
    <hyperlink ref="A5" r:id="rId19" display="http://sports.yahoo.com/nhl/teams/chi"/>
    <hyperlink ref="A13" r:id="rId20" display="http://sports.yahoo.com/nhl/teams/pit"/>
    <hyperlink ref="A8" r:id="rId21" display="http://sports.yahoo.com/nhl/teams/mon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884"/>
  <sheetViews>
    <sheetView topLeftCell="G1" workbookViewId="0">
      <selection activeCell="M1" sqref="M1:U1048576"/>
    </sheetView>
  </sheetViews>
  <sheetFormatPr defaultRowHeight="15"/>
  <cols>
    <col min="1" max="1" width="19.5703125" customWidth="1"/>
    <col min="10" max="10" width="19.140625" bestFit="1" customWidth="1"/>
    <col min="11" max="12" width="9" customWidth="1"/>
    <col min="13" max="13" width="20.42578125" bestFit="1" customWidth="1"/>
    <col min="14" max="14" width="9.7109375" customWidth="1"/>
    <col min="17" max="17" width="14.7109375" bestFit="1" customWidth="1"/>
    <col min="18" max="18" width="19.28515625" bestFit="1" customWidth="1"/>
    <col min="20" max="20" width="10.42578125" bestFit="1" customWidth="1"/>
  </cols>
  <sheetData>
    <row r="1" spans="1:21">
      <c r="B1" t="s">
        <v>223</v>
      </c>
    </row>
    <row r="2" spans="1:21">
      <c r="A2" s="72" t="s">
        <v>193</v>
      </c>
      <c r="B2" s="72" t="s">
        <v>175</v>
      </c>
      <c r="C2" s="68" t="s">
        <v>194</v>
      </c>
      <c r="D2" s="67"/>
      <c r="E2" s="68" t="s">
        <v>314</v>
      </c>
      <c r="F2" s="67"/>
      <c r="G2" s="68" t="s">
        <v>315</v>
      </c>
      <c r="H2" s="67"/>
      <c r="I2" s="69" t="s">
        <v>319</v>
      </c>
      <c r="J2" t="s">
        <v>1212</v>
      </c>
      <c r="M2" t="s">
        <v>1213</v>
      </c>
      <c r="N2" t="s">
        <v>175</v>
      </c>
      <c r="O2" t="s">
        <v>319</v>
      </c>
      <c r="P2" t="s">
        <v>1214</v>
      </c>
      <c r="Q2" t="s">
        <v>1215</v>
      </c>
      <c r="R2" t="s">
        <v>1216</v>
      </c>
      <c r="S2" t="s">
        <v>1217</v>
      </c>
      <c r="T2" t="s">
        <v>1211</v>
      </c>
      <c r="U2" t="s">
        <v>270</v>
      </c>
    </row>
    <row r="3" spans="1:21">
      <c r="A3" s="73" t="s">
        <v>320</v>
      </c>
      <c r="B3" s="73" t="s">
        <v>204</v>
      </c>
      <c r="C3" s="74">
        <v>82</v>
      </c>
      <c r="D3" s="74"/>
      <c r="E3" s="74">
        <v>35</v>
      </c>
      <c r="F3" s="74"/>
      <c r="G3" s="74">
        <v>52</v>
      </c>
      <c r="H3" s="74"/>
      <c r="I3" s="63">
        <v>87</v>
      </c>
      <c r="J3" t="b">
        <f>OR(B3="MTL",B3="OTT",B3="TBL",B3="DET",B3="WSH",B3="NYI",B3="NYR",B3="PIT",B3="STL",B3="MIN",B3="NSH",B3="CHI",B3="VAN",B3="CAL",B3="ANA",B3="WPG")</f>
        <v>0</v>
      </c>
      <c r="K3" t="b">
        <f>J3</f>
        <v>0</v>
      </c>
      <c r="M3" t="str">
        <f>IF(K3=FALSE,"",A3)</f>
        <v/>
      </c>
      <c r="N3" t="str">
        <f>IF(M3="","",B3)</f>
        <v/>
      </c>
      <c r="O3" t="str">
        <f>IF(M3="","",I3)</f>
        <v/>
      </c>
      <c r="P3" t="str">
        <f>IF(M3="","",VLOOKUP(B3,'Team Stats'!$B$3:$K$18,5,0))</f>
        <v/>
      </c>
      <c r="Q3" t="str">
        <f>IF(N3="","",IF(O3=0,0,O3/P3))</f>
        <v/>
      </c>
      <c r="R3" t="str">
        <f>IF(M3="","",VLOOKUP(N3,Sim!$EF$46:$EG$61,2,0))</f>
        <v/>
      </c>
      <c r="S3" t="str">
        <f>IF(M3="","",VLOOKUP(N3,'Team Stats'!$B$3:$K$18,10,0))</f>
        <v/>
      </c>
      <c r="T3" s="84" t="str">
        <f>IF(M3="","",IF(O3=0,0,Q3*S3))</f>
        <v/>
      </c>
      <c r="U3" t="str">
        <f>IF(M3="","",RANK(T3,$T$3:$T$884,0))</f>
        <v/>
      </c>
    </row>
    <row r="4" spans="1:21">
      <c r="A4" s="73" t="s">
        <v>321</v>
      </c>
      <c r="B4" s="73" t="s">
        <v>196</v>
      </c>
      <c r="C4" s="74">
        <v>82</v>
      </c>
      <c r="D4" s="74"/>
      <c r="E4" s="74">
        <v>38</v>
      </c>
      <c r="F4" s="74"/>
      <c r="G4" s="74">
        <v>48</v>
      </c>
      <c r="H4" s="74"/>
      <c r="I4" s="63">
        <v>86</v>
      </c>
      <c r="J4" t="b">
        <f t="shared" ref="J4:J67" si="0">OR(B4="MTL",B4="OTT",B4="TBL",B4="DET",B4="WSH",B4="NYI",B4="NYR",B4="PIT",B4="STL",B4="MIN",B4="NSH",B4="CHI",B4="VAN",B4="CAL",B4="ANA",B4="WPG")</f>
        <v>1</v>
      </c>
      <c r="K4" t="b">
        <f t="shared" ref="K4:K67" si="1">J4</f>
        <v>1</v>
      </c>
      <c r="M4" t="str">
        <f t="shared" ref="M4:M67" si="2">IF(K4=FALSE,"",A4)</f>
        <v> John Tavares</v>
      </c>
      <c r="N4" t="str">
        <f t="shared" ref="N4:N67" si="3">IF(M4="","",B4)</f>
        <v>NYI</v>
      </c>
      <c r="O4">
        <f t="shared" ref="O4:O67" si="4">IF(M4="","",I4)</f>
        <v>86</v>
      </c>
      <c r="P4">
        <f>IF(M4="","",VLOOKUP(B4,'Team Stats'!$B$3:$K$18,5,0))</f>
        <v>656</v>
      </c>
      <c r="Q4">
        <f t="shared" ref="Q4:Q67" si="5">IF(N4="","",IF(O4=0,0,O4/P4))</f>
        <v>0.13109756097560976</v>
      </c>
      <c r="R4">
        <f ca="1">IF(M4="","",VLOOKUP(N4,Sim!$EF$46:$EG$61,2,0))</f>
        <v>13.18</v>
      </c>
      <c r="S4">
        <f ca="1">IF(M4="","",VLOOKUP(N4,'Team Stats'!$B$3:$K$18,10,0))</f>
        <v>105.44</v>
      </c>
      <c r="T4" s="84">
        <f t="shared" ref="T4:T67" ca="1" si="6">IF(M4="","",IF(O4=0,0,Q4*S4))</f>
        <v>13.822926829268292</v>
      </c>
      <c r="U4">
        <f t="shared" ref="U4:U67" ca="1" si="7">IF(M4="","",RANK(T4,$T$3:$T$884,0))</f>
        <v>1</v>
      </c>
    </row>
    <row r="5" spans="1:21">
      <c r="A5" s="73" t="s">
        <v>322</v>
      </c>
      <c r="B5" s="73" t="s">
        <v>198</v>
      </c>
      <c r="C5" s="74">
        <v>77</v>
      </c>
      <c r="D5" s="74"/>
      <c r="E5" s="74">
        <v>28</v>
      </c>
      <c r="F5" s="74"/>
      <c r="G5" s="74">
        <v>56</v>
      </c>
      <c r="H5" s="74"/>
      <c r="I5" s="63">
        <v>84</v>
      </c>
      <c r="J5" t="b">
        <f t="shared" si="0"/>
        <v>1</v>
      </c>
      <c r="K5" t="b">
        <f t="shared" si="1"/>
        <v>1</v>
      </c>
      <c r="M5" t="str">
        <f t="shared" si="2"/>
        <v> Sidney Crosby</v>
      </c>
      <c r="N5" t="str">
        <f t="shared" si="3"/>
        <v>PIT</v>
      </c>
      <c r="O5">
        <f t="shared" si="4"/>
        <v>84</v>
      </c>
      <c r="P5">
        <f>IF(M5="","",VLOOKUP(B5,'Team Stats'!$B$3:$K$18,5,0))</f>
        <v>600</v>
      </c>
      <c r="Q5">
        <f t="shared" si="5"/>
        <v>0.14000000000000001</v>
      </c>
      <c r="R5">
        <f ca="1">IF(M5="","",VLOOKUP(N5,Sim!$EF$46:$EG$61,2,0))</f>
        <v>9.74</v>
      </c>
      <c r="S5">
        <f ca="1">IF(M5="","",VLOOKUP(N5,'Team Stats'!$B$3:$K$18,10,0))</f>
        <v>71.268292682926827</v>
      </c>
      <c r="T5" s="84">
        <f t="shared" ca="1" si="6"/>
        <v>9.977560975609757</v>
      </c>
      <c r="U5">
        <f t="shared" ca="1" si="7"/>
        <v>3</v>
      </c>
    </row>
    <row r="6" spans="1:21">
      <c r="A6" s="73" t="s">
        <v>323</v>
      </c>
      <c r="B6" s="73" t="s">
        <v>199</v>
      </c>
      <c r="C6" s="74">
        <v>82</v>
      </c>
      <c r="D6" s="74"/>
      <c r="E6" s="74">
        <v>22</v>
      </c>
      <c r="F6" s="74"/>
      <c r="G6" s="74">
        <v>59</v>
      </c>
      <c r="H6" s="74"/>
      <c r="I6" s="63">
        <v>81</v>
      </c>
      <c r="J6" t="b">
        <f t="shared" si="0"/>
        <v>0</v>
      </c>
      <c r="K6" t="b">
        <f t="shared" si="1"/>
        <v>0</v>
      </c>
      <c r="M6" t="str">
        <f t="shared" si="2"/>
        <v/>
      </c>
      <c r="N6" t="str">
        <f t="shared" si="3"/>
        <v/>
      </c>
      <c r="O6" t="str">
        <f t="shared" si="4"/>
        <v/>
      </c>
      <c r="P6" t="str">
        <f>IF(M6="","",VLOOKUP(B6,'Team Stats'!$B$3:$K$18,5,0))</f>
        <v/>
      </c>
      <c r="Q6" t="str">
        <f t="shared" si="5"/>
        <v/>
      </c>
      <c r="R6" t="str">
        <f>IF(M6="","",VLOOKUP(N6,Sim!$EF$46:$EG$61,2,0))</f>
        <v/>
      </c>
      <c r="S6" t="str">
        <f>IF(M6="","",VLOOKUP(N6,'Team Stats'!$B$3:$K$18,10,0))</f>
        <v/>
      </c>
      <c r="T6" s="84" t="str">
        <f t="shared" si="6"/>
        <v/>
      </c>
      <c r="U6" t="str">
        <f t="shared" si="7"/>
        <v/>
      </c>
    </row>
    <row r="7" spans="1:21">
      <c r="A7" s="73" t="s">
        <v>324</v>
      </c>
      <c r="B7" s="73" t="s">
        <v>325</v>
      </c>
      <c r="C7" s="74">
        <v>81</v>
      </c>
      <c r="D7" s="74"/>
      <c r="E7" s="74">
        <v>53</v>
      </c>
      <c r="F7" s="74"/>
      <c r="G7" s="74">
        <v>28</v>
      </c>
      <c r="H7" s="74"/>
      <c r="I7" s="63">
        <v>81</v>
      </c>
      <c r="J7" t="b">
        <f t="shared" si="0"/>
        <v>0</v>
      </c>
      <c r="K7" t="b">
        <f t="shared" si="1"/>
        <v>0</v>
      </c>
      <c r="M7" t="str">
        <f t="shared" si="2"/>
        <v/>
      </c>
      <c r="N7" t="str">
        <f t="shared" si="3"/>
        <v/>
      </c>
      <c r="O7" t="str">
        <f t="shared" si="4"/>
        <v/>
      </c>
      <c r="P7" t="str">
        <f>IF(M7="","",VLOOKUP(B7,'Team Stats'!$B$3:$K$18,5,0))</f>
        <v/>
      </c>
      <c r="Q7" t="str">
        <f t="shared" si="5"/>
        <v/>
      </c>
      <c r="R7" t="str">
        <f>IF(M7="","",VLOOKUP(N7,Sim!$EF$46:$EG$61,2,0))</f>
        <v/>
      </c>
      <c r="S7" t="str">
        <f>IF(M7="","",VLOOKUP(N7,'Team Stats'!$B$3:$K$18,10,0))</f>
        <v/>
      </c>
      <c r="T7" s="84" t="str">
        <f t="shared" si="6"/>
        <v/>
      </c>
      <c r="U7" t="str">
        <f t="shared" si="7"/>
        <v/>
      </c>
    </row>
    <row r="8" spans="1:21">
      <c r="A8" s="73" t="s">
        <v>326</v>
      </c>
      <c r="B8" s="73" t="s">
        <v>325</v>
      </c>
      <c r="C8" s="74">
        <v>82</v>
      </c>
      <c r="D8" s="74"/>
      <c r="E8" s="74">
        <v>18</v>
      </c>
      <c r="F8" s="74"/>
      <c r="G8" s="74">
        <v>60</v>
      </c>
      <c r="H8" s="74"/>
      <c r="I8" s="63">
        <v>78</v>
      </c>
      <c r="J8" t="b">
        <f t="shared" si="0"/>
        <v>0</v>
      </c>
      <c r="K8" t="b">
        <f t="shared" si="1"/>
        <v>0</v>
      </c>
      <c r="M8" t="str">
        <f t="shared" si="2"/>
        <v/>
      </c>
      <c r="N8" t="str">
        <f t="shared" si="3"/>
        <v/>
      </c>
      <c r="O8" t="str">
        <f t="shared" si="4"/>
        <v/>
      </c>
      <c r="P8" t="str">
        <f>IF(M8="","",VLOOKUP(B8,'Team Stats'!$B$3:$K$18,5,0))</f>
        <v/>
      </c>
      <c r="Q8" t="str">
        <f t="shared" si="5"/>
        <v/>
      </c>
      <c r="R8" t="str">
        <f>IF(M8="","",VLOOKUP(N8,Sim!$EF$46:$EG$61,2,0))</f>
        <v/>
      </c>
      <c r="S8" t="str">
        <f>IF(M8="","",VLOOKUP(N8,'Team Stats'!$B$3:$K$18,10,0))</f>
        <v/>
      </c>
      <c r="T8" s="84" t="str">
        <f t="shared" si="6"/>
        <v/>
      </c>
      <c r="U8" t="str">
        <f t="shared" si="7"/>
        <v/>
      </c>
    </row>
    <row r="9" spans="1:21">
      <c r="A9" s="73" t="s">
        <v>327</v>
      </c>
      <c r="B9" s="73" t="s">
        <v>204</v>
      </c>
      <c r="C9" s="74">
        <v>71</v>
      </c>
      <c r="D9" s="74"/>
      <c r="E9" s="74">
        <v>37</v>
      </c>
      <c r="F9" s="74"/>
      <c r="G9" s="74">
        <v>40</v>
      </c>
      <c r="H9" s="74"/>
      <c r="I9" s="63">
        <v>77</v>
      </c>
      <c r="J9" t="b">
        <f t="shared" si="0"/>
        <v>0</v>
      </c>
      <c r="K9" t="b">
        <f t="shared" si="1"/>
        <v>0</v>
      </c>
      <c r="M9" t="str">
        <f t="shared" si="2"/>
        <v/>
      </c>
      <c r="N9" t="str">
        <f t="shared" si="3"/>
        <v/>
      </c>
      <c r="O9" t="str">
        <f t="shared" si="4"/>
        <v/>
      </c>
      <c r="P9" t="str">
        <f>IF(M9="","",VLOOKUP(B9,'Team Stats'!$B$3:$K$18,5,0))</f>
        <v/>
      </c>
      <c r="Q9" t="str">
        <f t="shared" si="5"/>
        <v/>
      </c>
      <c r="R9" t="str">
        <f>IF(M9="","",VLOOKUP(N9,Sim!$EF$46:$EG$61,2,0))</f>
        <v/>
      </c>
      <c r="S9" t="str">
        <f>IF(M9="","",VLOOKUP(N9,'Team Stats'!$B$3:$K$18,10,0))</f>
        <v/>
      </c>
      <c r="T9" s="84" t="str">
        <f t="shared" si="6"/>
        <v/>
      </c>
      <c r="U9" t="str">
        <f t="shared" si="7"/>
        <v/>
      </c>
    </row>
    <row r="10" spans="1:21">
      <c r="A10" s="73" t="s">
        <v>328</v>
      </c>
      <c r="B10" s="73" t="s">
        <v>208</v>
      </c>
      <c r="C10" s="74">
        <v>78</v>
      </c>
      <c r="D10" s="74"/>
      <c r="E10" s="74">
        <v>31</v>
      </c>
      <c r="F10" s="74"/>
      <c r="G10" s="74">
        <v>45</v>
      </c>
      <c r="H10" s="74"/>
      <c r="I10" s="63">
        <v>76</v>
      </c>
      <c r="J10" t="b">
        <f t="shared" si="0"/>
        <v>0</v>
      </c>
      <c r="K10" t="b">
        <f t="shared" si="1"/>
        <v>0</v>
      </c>
      <c r="M10" t="str">
        <f t="shared" si="2"/>
        <v/>
      </c>
      <c r="N10" t="str">
        <f t="shared" si="3"/>
        <v/>
      </c>
      <c r="O10" t="str">
        <f t="shared" si="4"/>
        <v/>
      </c>
      <c r="P10" t="str">
        <f>IF(M10="","",VLOOKUP(B10,'Team Stats'!$B$3:$K$18,5,0))</f>
        <v/>
      </c>
      <c r="Q10" t="str">
        <f t="shared" si="5"/>
        <v/>
      </c>
      <c r="R10" t="str">
        <f>IF(M10="","",VLOOKUP(N10,Sim!$EF$46:$EG$61,2,0))</f>
        <v/>
      </c>
      <c r="S10" t="str">
        <f>IF(M10="","",VLOOKUP(N10,'Team Stats'!$B$3:$K$18,10,0))</f>
        <v/>
      </c>
      <c r="T10" s="84" t="str">
        <f t="shared" si="6"/>
        <v/>
      </c>
      <c r="U10" t="str">
        <f t="shared" si="7"/>
        <v/>
      </c>
    </row>
    <row r="11" spans="1:21">
      <c r="A11" s="73" t="s">
        <v>329</v>
      </c>
      <c r="B11" s="73" t="s">
        <v>206</v>
      </c>
      <c r="C11" s="74">
        <v>82</v>
      </c>
      <c r="D11" s="74"/>
      <c r="E11" s="74">
        <v>20</v>
      </c>
      <c r="F11" s="74"/>
      <c r="G11" s="74">
        <v>56</v>
      </c>
      <c r="H11" s="74"/>
      <c r="I11" s="63">
        <v>76</v>
      </c>
      <c r="J11" t="b">
        <f t="shared" si="0"/>
        <v>1</v>
      </c>
      <c r="K11" t="b">
        <f t="shared" si="1"/>
        <v>1</v>
      </c>
      <c r="M11" t="str">
        <f t="shared" si="2"/>
        <v> Daniel Sedin</v>
      </c>
      <c r="N11" t="str">
        <f t="shared" si="3"/>
        <v>VAN</v>
      </c>
      <c r="O11">
        <f t="shared" si="4"/>
        <v>76</v>
      </c>
      <c r="P11">
        <f>IF(M11="","",VLOOKUP(B11,'Team Stats'!$B$3:$K$18,5,0))</f>
        <v>642</v>
      </c>
      <c r="Q11">
        <f t="shared" si="5"/>
        <v>0.11838006230529595</v>
      </c>
      <c r="R11">
        <f ca="1">IF(M11="","",VLOOKUP(N11,Sim!$EF$46:$EG$61,2,0))</f>
        <v>10.35</v>
      </c>
      <c r="S11">
        <f ca="1">IF(M11="","",VLOOKUP(N11,'Team Stats'!$B$3:$K$18,10,0))</f>
        <v>81.032926829268291</v>
      </c>
      <c r="T11" s="84">
        <f t="shared" ca="1" si="6"/>
        <v>9.5926829268292675</v>
      </c>
      <c r="U11">
        <f t="shared" ca="1" si="7"/>
        <v>6</v>
      </c>
    </row>
    <row r="12" spans="1:21">
      <c r="A12" s="73" t="s">
        <v>330</v>
      </c>
      <c r="B12" s="73" t="s">
        <v>331</v>
      </c>
      <c r="C12" s="74">
        <v>79</v>
      </c>
      <c r="D12" s="74"/>
      <c r="E12" s="74">
        <v>31</v>
      </c>
      <c r="F12" s="74"/>
      <c r="G12" s="74">
        <v>42</v>
      </c>
      <c r="H12" s="74"/>
      <c r="I12" s="63">
        <v>73</v>
      </c>
      <c r="J12" t="b">
        <f t="shared" si="0"/>
        <v>0</v>
      </c>
      <c r="K12" t="b">
        <f t="shared" si="1"/>
        <v>0</v>
      </c>
      <c r="M12" t="str">
        <f t="shared" si="2"/>
        <v/>
      </c>
      <c r="N12" t="str">
        <f t="shared" si="3"/>
        <v/>
      </c>
      <c r="O12" t="str">
        <f t="shared" si="4"/>
        <v/>
      </c>
      <c r="P12" t="str">
        <f>IF(M12="","",VLOOKUP(B12,'Team Stats'!$B$3:$K$18,5,0))</f>
        <v/>
      </c>
      <c r="Q12" t="str">
        <f t="shared" si="5"/>
        <v/>
      </c>
      <c r="R12" t="str">
        <f>IF(M12="","",VLOOKUP(N12,Sim!$EF$46:$EG$61,2,0))</f>
        <v/>
      </c>
      <c r="S12" t="str">
        <f>IF(M12="","",VLOOKUP(N12,'Team Stats'!$B$3:$K$18,10,0))</f>
        <v/>
      </c>
      <c r="T12" s="84" t="str">
        <f t="shared" si="6"/>
        <v/>
      </c>
      <c r="U12" t="str">
        <f t="shared" si="7"/>
        <v/>
      </c>
    </row>
    <row r="13" spans="1:21">
      <c r="A13" s="73" t="s">
        <v>332</v>
      </c>
      <c r="B13" s="73" t="s">
        <v>199</v>
      </c>
      <c r="C13" s="74">
        <v>81</v>
      </c>
      <c r="D13" s="74"/>
      <c r="E13" s="74">
        <v>25</v>
      </c>
      <c r="F13" s="74"/>
      <c r="G13" s="74">
        <v>48</v>
      </c>
      <c r="H13" s="74"/>
      <c r="I13" s="63">
        <v>73</v>
      </c>
      <c r="J13" t="b">
        <f t="shared" si="0"/>
        <v>0</v>
      </c>
      <c r="K13" t="b">
        <f t="shared" si="1"/>
        <v>0</v>
      </c>
      <c r="M13" t="str">
        <f t="shared" si="2"/>
        <v/>
      </c>
      <c r="N13" t="str">
        <f t="shared" si="3"/>
        <v/>
      </c>
      <c r="O13" t="str">
        <f t="shared" si="4"/>
        <v/>
      </c>
      <c r="P13" t="str">
        <f>IF(M13="","",VLOOKUP(B13,'Team Stats'!$B$3:$K$18,5,0))</f>
        <v/>
      </c>
      <c r="Q13" t="str">
        <f t="shared" si="5"/>
        <v/>
      </c>
      <c r="R13" t="str">
        <f>IF(M13="","",VLOOKUP(N13,Sim!$EF$46:$EG$61,2,0))</f>
        <v/>
      </c>
      <c r="S13" t="str">
        <f>IF(M13="","",VLOOKUP(N13,'Team Stats'!$B$3:$K$18,10,0))</f>
        <v/>
      </c>
      <c r="T13" s="84" t="str">
        <f t="shared" si="6"/>
        <v/>
      </c>
      <c r="U13" t="str">
        <f t="shared" si="7"/>
        <v/>
      </c>
    </row>
    <row r="14" spans="1:21">
      <c r="A14" s="73" t="s">
        <v>333</v>
      </c>
      <c r="B14" s="73" t="s">
        <v>200</v>
      </c>
      <c r="C14" s="74">
        <v>77</v>
      </c>
      <c r="D14" s="74"/>
      <c r="E14" s="74">
        <v>37</v>
      </c>
      <c r="F14" s="74"/>
      <c r="G14" s="74">
        <v>36</v>
      </c>
      <c r="H14" s="74"/>
      <c r="I14" s="63">
        <v>73</v>
      </c>
      <c r="J14" t="b">
        <f t="shared" si="0"/>
        <v>1</v>
      </c>
      <c r="K14" t="b">
        <f t="shared" si="1"/>
        <v>1</v>
      </c>
      <c r="M14" t="str">
        <f t="shared" si="2"/>
        <v> Vladimir Tarasenko</v>
      </c>
      <c r="N14" t="str">
        <f t="shared" si="3"/>
        <v>STL</v>
      </c>
      <c r="O14">
        <f t="shared" si="4"/>
        <v>73</v>
      </c>
      <c r="P14">
        <f>IF(M14="","",VLOOKUP(B14,'Team Stats'!$B$3:$K$18,5,0))</f>
        <v>660</v>
      </c>
      <c r="Q14">
        <f t="shared" si="5"/>
        <v>0.11060606060606061</v>
      </c>
      <c r="R14">
        <f ca="1">IF(M14="","",VLOOKUP(N14,Sim!$EF$46:$EG$61,2,0))</f>
        <v>10.87</v>
      </c>
      <c r="S14">
        <f ca="1">IF(M14="","",VLOOKUP(N14,'Team Stats'!$B$3:$K$18,10,0))</f>
        <v>87.490243902439019</v>
      </c>
      <c r="T14" s="84">
        <f t="shared" ca="1" si="6"/>
        <v>9.6769512195121941</v>
      </c>
      <c r="U14">
        <f t="shared" ca="1" si="7"/>
        <v>5</v>
      </c>
    </row>
    <row r="15" spans="1:21">
      <c r="A15" s="73" t="s">
        <v>334</v>
      </c>
      <c r="B15" s="73" t="s">
        <v>206</v>
      </c>
      <c r="C15" s="74">
        <v>82</v>
      </c>
      <c r="D15" s="74"/>
      <c r="E15" s="74">
        <v>18</v>
      </c>
      <c r="F15" s="74"/>
      <c r="G15" s="74">
        <v>55</v>
      </c>
      <c r="H15" s="74"/>
      <c r="I15" s="63">
        <v>73</v>
      </c>
      <c r="J15" t="b">
        <f t="shared" si="0"/>
        <v>1</v>
      </c>
      <c r="K15" t="b">
        <f t="shared" si="1"/>
        <v>1</v>
      </c>
      <c r="M15" t="str">
        <f t="shared" si="2"/>
        <v> Henrik Sedin</v>
      </c>
      <c r="N15" t="str">
        <f t="shared" si="3"/>
        <v>VAN</v>
      </c>
      <c r="O15">
        <f t="shared" si="4"/>
        <v>73</v>
      </c>
      <c r="P15">
        <f>IF(M15="","",VLOOKUP(B15,'Team Stats'!$B$3:$K$18,5,0))</f>
        <v>642</v>
      </c>
      <c r="Q15">
        <f t="shared" si="5"/>
        <v>0.11370716510903427</v>
      </c>
      <c r="R15">
        <f ca="1">IF(M15="","",VLOOKUP(N15,Sim!$EF$46:$EG$61,2,0))</f>
        <v>10.35</v>
      </c>
      <c r="S15">
        <f ca="1">IF(M15="","",VLOOKUP(N15,'Team Stats'!$B$3:$K$18,10,0))</f>
        <v>81.032926829268291</v>
      </c>
      <c r="T15" s="84">
        <f t="shared" ca="1" si="6"/>
        <v>9.2140243902439014</v>
      </c>
      <c r="U15">
        <f t="shared" ca="1" si="7"/>
        <v>7</v>
      </c>
    </row>
    <row r="16" spans="1:21">
      <c r="A16" s="73" t="s">
        <v>335</v>
      </c>
      <c r="B16" s="73" t="s">
        <v>336</v>
      </c>
      <c r="C16" s="74">
        <v>82</v>
      </c>
      <c r="D16" s="74"/>
      <c r="E16" s="74">
        <v>43</v>
      </c>
      <c r="F16" s="74"/>
      <c r="G16" s="74">
        <v>29</v>
      </c>
      <c r="H16" s="74"/>
      <c r="I16" s="63">
        <v>72</v>
      </c>
      <c r="J16" t="b">
        <f t="shared" si="0"/>
        <v>0</v>
      </c>
      <c r="K16" t="b">
        <f t="shared" si="1"/>
        <v>0</v>
      </c>
      <c r="M16" t="str">
        <f t="shared" si="2"/>
        <v/>
      </c>
      <c r="N16" t="str">
        <f t="shared" si="3"/>
        <v/>
      </c>
      <c r="O16" t="str">
        <f t="shared" si="4"/>
        <v/>
      </c>
      <c r="P16" t="str">
        <f>IF(M16="","",VLOOKUP(B16,'Team Stats'!$B$3:$K$18,5,0))</f>
        <v/>
      </c>
      <c r="Q16" t="str">
        <f t="shared" si="5"/>
        <v/>
      </c>
      <c r="R16" t="str">
        <f>IF(M16="","",VLOOKUP(N16,Sim!$EF$46:$EG$61,2,0))</f>
        <v/>
      </c>
      <c r="S16" t="str">
        <f>IF(M16="","",VLOOKUP(N16,'Team Stats'!$B$3:$K$18,10,0))</f>
        <v/>
      </c>
      <c r="T16" s="84" t="str">
        <f t="shared" si="6"/>
        <v/>
      </c>
      <c r="U16" t="str">
        <f t="shared" si="7"/>
        <v/>
      </c>
    </row>
    <row r="17" spans="1:21">
      <c r="A17" s="73" t="s">
        <v>337</v>
      </c>
      <c r="B17" s="73" t="s">
        <v>336</v>
      </c>
      <c r="C17" s="74">
        <v>77</v>
      </c>
      <c r="D17" s="74"/>
      <c r="E17" s="74">
        <v>29</v>
      </c>
      <c r="F17" s="74"/>
      <c r="G17" s="74">
        <v>43</v>
      </c>
      <c r="H17" s="74"/>
      <c r="I17" s="63">
        <v>72</v>
      </c>
      <c r="J17" t="b">
        <f t="shared" si="0"/>
        <v>0</v>
      </c>
      <c r="K17" t="b">
        <f t="shared" si="1"/>
        <v>0</v>
      </c>
      <c r="M17" t="str">
        <f t="shared" si="2"/>
        <v/>
      </c>
      <c r="N17" t="str">
        <f t="shared" si="3"/>
        <v/>
      </c>
      <c r="O17" t="str">
        <f t="shared" si="4"/>
        <v/>
      </c>
      <c r="P17" t="str">
        <f>IF(M17="","",VLOOKUP(B17,'Team Stats'!$B$3:$K$18,5,0))</f>
        <v/>
      </c>
      <c r="Q17" t="str">
        <f t="shared" si="5"/>
        <v/>
      </c>
      <c r="R17" t="str">
        <f>IF(M17="","",VLOOKUP(N17,Sim!$EF$46:$EG$61,2,0))</f>
        <v/>
      </c>
      <c r="S17" t="str">
        <f>IF(M17="","",VLOOKUP(N17,'Team Stats'!$B$3:$K$18,10,0))</f>
        <v/>
      </c>
      <c r="T17" s="84" t="str">
        <f t="shared" si="6"/>
        <v/>
      </c>
      <c r="U17" t="str">
        <f t="shared" si="7"/>
        <v/>
      </c>
    </row>
    <row r="18" spans="1:21">
      <c r="A18" s="73" t="s">
        <v>338</v>
      </c>
      <c r="B18" s="73" t="s">
        <v>331</v>
      </c>
      <c r="C18" s="74">
        <v>82</v>
      </c>
      <c r="D18" s="74"/>
      <c r="E18" s="74">
        <v>26</v>
      </c>
      <c r="F18" s="74"/>
      <c r="G18" s="74">
        <v>45</v>
      </c>
      <c r="H18" s="74"/>
      <c r="I18" s="63">
        <v>71</v>
      </c>
      <c r="J18" t="b">
        <f t="shared" si="0"/>
        <v>0</v>
      </c>
      <c r="K18" t="b">
        <f t="shared" si="1"/>
        <v>0</v>
      </c>
      <c r="M18" t="str">
        <f t="shared" si="2"/>
        <v/>
      </c>
      <c r="N18" t="str">
        <f t="shared" si="3"/>
        <v/>
      </c>
      <c r="O18" t="str">
        <f t="shared" si="4"/>
        <v/>
      </c>
      <c r="P18" t="str">
        <f>IF(M18="","",VLOOKUP(B18,'Team Stats'!$B$3:$K$18,5,0))</f>
        <v/>
      </c>
      <c r="Q18" t="str">
        <f t="shared" si="5"/>
        <v/>
      </c>
      <c r="R18" t="str">
        <f>IF(M18="","",VLOOKUP(N18,Sim!$EF$46:$EG$61,2,0))</f>
        <v/>
      </c>
      <c r="S18" t="str">
        <f>IF(M18="","",VLOOKUP(N18,'Team Stats'!$B$3:$K$18,10,0))</f>
        <v/>
      </c>
      <c r="T18" s="84" t="str">
        <f t="shared" si="6"/>
        <v/>
      </c>
      <c r="U18" t="str">
        <f t="shared" si="7"/>
        <v/>
      </c>
    </row>
    <row r="19" spans="1:21">
      <c r="A19" s="73" t="s">
        <v>339</v>
      </c>
      <c r="B19" s="73" t="s">
        <v>340</v>
      </c>
      <c r="C19" s="74">
        <v>82</v>
      </c>
      <c r="D19" s="74"/>
      <c r="E19" s="74">
        <v>37</v>
      </c>
      <c r="F19" s="74"/>
      <c r="G19" s="74">
        <v>33</v>
      </c>
      <c r="H19" s="74"/>
      <c r="I19" s="63">
        <v>70</v>
      </c>
      <c r="J19" t="b">
        <f t="shared" si="0"/>
        <v>0</v>
      </c>
      <c r="K19" t="b">
        <f t="shared" si="1"/>
        <v>0</v>
      </c>
      <c r="M19" t="str">
        <f t="shared" si="2"/>
        <v/>
      </c>
      <c r="N19" t="str">
        <f t="shared" si="3"/>
        <v/>
      </c>
      <c r="O19" t="str">
        <f t="shared" si="4"/>
        <v/>
      </c>
      <c r="P19" t="str">
        <f>IF(M19="","",VLOOKUP(B19,'Team Stats'!$B$3:$K$18,5,0))</f>
        <v/>
      </c>
      <c r="Q19" t="str">
        <f t="shared" si="5"/>
        <v/>
      </c>
      <c r="R19" t="str">
        <f>IF(M19="","",VLOOKUP(N19,Sim!$EF$46:$EG$61,2,0))</f>
        <v/>
      </c>
      <c r="S19" t="str">
        <f>IF(M19="","",VLOOKUP(N19,'Team Stats'!$B$3:$K$18,10,0))</f>
        <v/>
      </c>
      <c r="T19" s="84" t="str">
        <f t="shared" si="6"/>
        <v/>
      </c>
      <c r="U19" t="str">
        <f t="shared" si="7"/>
        <v/>
      </c>
    </row>
    <row r="20" spans="1:21">
      <c r="A20" s="73" t="s">
        <v>341</v>
      </c>
      <c r="B20" s="73" t="s">
        <v>198</v>
      </c>
      <c r="C20" s="74">
        <v>69</v>
      </c>
      <c r="D20" s="74"/>
      <c r="E20" s="74">
        <v>28</v>
      </c>
      <c r="F20" s="74"/>
      <c r="G20" s="74">
        <v>42</v>
      </c>
      <c r="H20" s="74"/>
      <c r="I20" s="63">
        <v>70</v>
      </c>
      <c r="J20" t="b">
        <f t="shared" si="0"/>
        <v>1</v>
      </c>
      <c r="K20" t="b">
        <f t="shared" si="1"/>
        <v>1</v>
      </c>
      <c r="M20" t="str">
        <f t="shared" si="2"/>
        <v> Evgeni Malkin</v>
      </c>
      <c r="N20" t="str">
        <f t="shared" si="3"/>
        <v>PIT</v>
      </c>
      <c r="O20">
        <f t="shared" si="4"/>
        <v>70</v>
      </c>
      <c r="P20">
        <f>IF(M20="","",VLOOKUP(B20,'Team Stats'!$B$3:$K$18,5,0))</f>
        <v>600</v>
      </c>
      <c r="Q20">
        <f t="shared" si="5"/>
        <v>0.11666666666666667</v>
      </c>
      <c r="R20">
        <f ca="1">IF(M20="","",VLOOKUP(N20,Sim!$EF$46:$EG$61,2,0))</f>
        <v>9.74</v>
      </c>
      <c r="S20">
        <f ca="1">IF(M20="","",VLOOKUP(N20,'Team Stats'!$B$3:$K$18,10,0))</f>
        <v>71.268292682926827</v>
      </c>
      <c r="T20" s="84">
        <f t="shared" ca="1" si="6"/>
        <v>8.3146341463414632</v>
      </c>
      <c r="U20">
        <f t="shared" ca="1" si="7"/>
        <v>15</v>
      </c>
    </row>
    <row r="21" spans="1:21">
      <c r="A21" s="73" t="s">
        <v>342</v>
      </c>
      <c r="B21" s="73" t="s">
        <v>205</v>
      </c>
      <c r="C21" s="74">
        <v>77</v>
      </c>
      <c r="D21" s="74"/>
      <c r="E21" s="74">
        <v>25</v>
      </c>
      <c r="F21" s="74"/>
      <c r="G21" s="74">
        <v>45</v>
      </c>
      <c r="H21" s="74"/>
      <c r="I21" s="63">
        <v>70</v>
      </c>
      <c r="J21" t="b">
        <f t="shared" si="0"/>
        <v>1</v>
      </c>
      <c r="K21" t="b">
        <f t="shared" si="1"/>
        <v>1</v>
      </c>
      <c r="M21" t="str">
        <f t="shared" si="2"/>
        <v> Ryan Getzlaf</v>
      </c>
      <c r="N21" t="str">
        <f t="shared" si="3"/>
        <v>ANA</v>
      </c>
      <c r="O21">
        <f t="shared" si="4"/>
        <v>70</v>
      </c>
      <c r="P21">
        <f>IF(M21="","",VLOOKUP(B21,'Team Stats'!$B$3:$K$18,5,0))</f>
        <v>613</v>
      </c>
      <c r="Q21">
        <f t="shared" si="5"/>
        <v>0.11419249592169657</v>
      </c>
      <c r="R21">
        <f ca="1">IF(M21="","",VLOOKUP(N21,Sim!$EF$46:$EG$61,2,0))</f>
        <v>14.85</v>
      </c>
      <c r="S21">
        <f ca="1">IF(M21="","",VLOOKUP(N21,'Team Stats'!$B$3:$K$18,10,0))</f>
        <v>111.01280487804878</v>
      </c>
      <c r="T21" s="84">
        <f t="shared" ca="1" si="6"/>
        <v>12.676829268292684</v>
      </c>
      <c r="U21">
        <f t="shared" ca="1" si="7"/>
        <v>2</v>
      </c>
    </row>
    <row r="22" spans="1:21">
      <c r="A22" s="73" t="s">
        <v>343</v>
      </c>
      <c r="B22" s="73" t="s">
        <v>203</v>
      </c>
      <c r="C22" s="74">
        <v>79</v>
      </c>
      <c r="D22" s="74"/>
      <c r="E22" s="74">
        <v>42</v>
      </c>
      <c r="F22" s="74"/>
      <c r="G22" s="74">
        <v>27</v>
      </c>
      <c r="H22" s="74"/>
      <c r="I22" s="63">
        <v>69</v>
      </c>
      <c r="J22" t="b">
        <f t="shared" si="0"/>
        <v>1</v>
      </c>
      <c r="K22" t="b">
        <f t="shared" si="1"/>
        <v>1</v>
      </c>
      <c r="M22" t="str">
        <f t="shared" si="2"/>
        <v> Rick Nash</v>
      </c>
      <c r="N22" t="str">
        <f t="shared" si="3"/>
        <v>NYR</v>
      </c>
      <c r="O22">
        <f t="shared" si="4"/>
        <v>69</v>
      </c>
      <c r="P22">
        <f>IF(M22="","",VLOOKUP(B22,'Team Stats'!$B$3:$K$18,5,0))</f>
        <v>659</v>
      </c>
      <c r="Q22">
        <f t="shared" si="5"/>
        <v>0.1047040971168437</v>
      </c>
      <c r="R22">
        <f ca="1">IF(M22="","",VLOOKUP(N22,Sim!$EF$46:$EG$61,2,0))</f>
        <v>8.7200000000000006</v>
      </c>
      <c r="S22">
        <f ca="1">IF(M22="","",VLOOKUP(N22,'Team Stats'!$B$3:$K$18,10,0))</f>
        <v>70.079024390243916</v>
      </c>
      <c r="T22" s="84">
        <f t="shared" ca="1" si="6"/>
        <v>7.3375609756097573</v>
      </c>
      <c r="U22">
        <f t="shared" ca="1" si="7"/>
        <v>25</v>
      </c>
    </row>
    <row r="23" spans="1:21">
      <c r="A23" s="73" t="s">
        <v>344</v>
      </c>
      <c r="B23" s="73" t="s">
        <v>345</v>
      </c>
      <c r="C23" s="74">
        <v>80</v>
      </c>
      <c r="D23" s="74"/>
      <c r="E23" s="74">
        <v>37</v>
      </c>
      <c r="F23" s="74"/>
      <c r="G23" s="74">
        <v>30</v>
      </c>
      <c r="H23" s="74"/>
      <c r="I23" s="63">
        <v>67</v>
      </c>
      <c r="J23" t="b">
        <f t="shared" si="0"/>
        <v>0</v>
      </c>
      <c r="K23" t="b">
        <f t="shared" si="1"/>
        <v>0</v>
      </c>
      <c r="M23" t="str">
        <f t="shared" si="2"/>
        <v/>
      </c>
      <c r="N23" t="str">
        <f t="shared" si="3"/>
        <v/>
      </c>
      <c r="O23" t="str">
        <f t="shared" si="4"/>
        <v/>
      </c>
      <c r="P23" t="str">
        <f>IF(M23="","",VLOOKUP(B23,'Team Stats'!$B$3:$K$18,5,0))</f>
        <v/>
      </c>
      <c r="Q23" t="str">
        <f t="shared" si="5"/>
        <v/>
      </c>
      <c r="R23" t="str">
        <f>IF(M23="","",VLOOKUP(N23,Sim!$EF$46:$EG$61,2,0))</f>
        <v/>
      </c>
      <c r="S23" t="str">
        <f>IF(M23="","",VLOOKUP(N23,'Team Stats'!$B$3:$K$18,10,0))</f>
        <v/>
      </c>
      <c r="T23" s="84" t="str">
        <f t="shared" si="6"/>
        <v/>
      </c>
      <c r="U23" t="str">
        <f t="shared" si="7"/>
        <v/>
      </c>
    </row>
    <row r="24" spans="1:21">
      <c r="A24" s="73" t="s">
        <v>346</v>
      </c>
      <c r="B24" s="73" t="s">
        <v>340</v>
      </c>
      <c r="C24" s="74">
        <v>82</v>
      </c>
      <c r="D24" s="74"/>
      <c r="E24" s="74">
        <v>27</v>
      </c>
      <c r="F24" s="74"/>
      <c r="G24" s="74">
        <v>40</v>
      </c>
      <c r="H24" s="74"/>
      <c r="I24" s="63">
        <v>67</v>
      </c>
      <c r="J24" t="b">
        <f t="shared" si="0"/>
        <v>0</v>
      </c>
      <c r="K24" t="b">
        <f t="shared" si="1"/>
        <v>0</v>
      </c>
      <c r="M24" t="str">
        <f t="shared" si="2"/>
        <v/>
      </c>
      <c r="N24" t="str">
        <f t="shared" si="3"/>
        <v/>
      </c>
      <c r="O24" t="str">
        <f t="shared" si="4"/>
        <v/>
      </c>
      <c r="P24" t="str">
        <f>IF(M24="","",VLOOKUP(B24,'Team Stats'!$B$3:$K$18,5,0))</f>
        <v/>
      </c>
      <c r="Q24" t="str">
        <f t="shared" si="5"/>
        <v/>
      </c>
      <c r="R24" t="str">
        <f>IF(M24="","",VLOOKUP(N24,Sim!$EF$46:$EG$61,2,0))</f>
        <v/>
      </c>
      <c r="S24" t="str">
        <f>IF(M24="","",VLOOKUP(N24,'Team Stats'!$B$3:$K$18,10,0))</f>
        <v/>
      </c>
      <c r="T24" s="84" t="str">
        <f t="shared" si="6"/>
        <v/>
      </c>
      <c r="U24" t="str">
        <f t="shared" si="7"/>
        <v/>
      </c>
    </row>
    <row r="25" spans="1:21">
      <c r="A25" s="73" t="s">
        <v>347</v>
      </c>
      <c r="B25" s="73" t="s">
        <v>209</v>
      </c>
      <c r="C25" s="74">
        <v>77</v>
      </c>
      <c r="D25" s="74"/>
      <c r="E25" s="74">
        <v>17</v>
      </c>
      <c r="F25" s="74"/>
      <c r="G25" s="74">
        <v>49</v>
      </c>
      <c r="H25" s="74"/>
      <c r="I25" s="63">
        <v>66</v>
      </c>
      <c r="J25" t="b">
        <f t="shared" si="0"/>
        <v>1</v>
      </c>
      <c r="K25" t="b">
        <f t="shared" si="1"/>
        <v>1</v>
      </c>
      <c r="M25" t="str">
        <f t="shared" si="2"/>
        <v> Henrik Zetterberg</v>
      </c>
      <c r="N25" t="str">
        <f t="shared" si="3"/>
        <v>DET</v>
      </c>
      <c r="O25">
        <f t="shared" si="4"/>
        <v>66</v>
      </c>
      <c r="P25">
        <f>IF(M25="","",VLOOKUP(B25,'Team Stats'!$B$3:$K$18,5,0))</f>
        <v>630</v>
      </c>
      <c r="Q25">
        <f t="shared" si="5"/>
        <v>0.10476190476190476</v>
      </c>
      <c r="R25">
        <f ca="1">IF(M25="","",VLOOKUP(N25,Sim!$EF$46:$EG$61,2,0))</f>
        <v>10.06</v>
      </c>
      <c r="S25">
        <f ca="1">IF(M25="","",VLOOKUP(N25,'Team Stats'!$B$3:$K$18,10,0))</f>
        <v>77.29024390243903</v>
      </c>
      <c r="T25" s="84">
        <f t="shared" ca="1" si="6"/>
        <v>8.0970731707317078</v>
      </c>
      <c r="U25">
        <f t="shared" ca="1" si="7"/>
        <v>17</v>
      </c>
    </row>
    <row r="26" spans="1:21">
      <c r="A26" s="73" t="s">
        <v>348</v>
      </c>
      <c r="B26" s="73" t="s">
        <v>202</v>
      </c>
      <c r="C26" s="74">
        <v>81</v>
      </c>
      <c r="D26" s="74"/>
      <c r="E26" s="74">
        <v>28</v>
      </c>
      <c r="F26" s="74"/>
      <c r="G26" s="74">
        <v>38</v>
      </c>
      <c r="H26" s="74"/>
      <c r="I26" s="63">
        <v>66</v>
      </c>
      <c r="J26" t="b">
        <f t="shared" si="0"/>
        <v>1</v>
      </c>
      <c r="K26" t="b">
        <f t="shared" si="1"/>
        <v>1</v>
      </c>
      <c r="M26" t="str">
        <f t="shared" si="2"/>
        <v> Jonathan Toews</v>
      </c>
      <c r="N26" t="str">
        <f t="shared" si="3"/>
        <v>CHI</v>
      </c>
      <c r="O26">
        <f t="shared" si="4"/>
        <v>66</v>
      </c>
      <c r="P26">
        <f>IF(M26="","",VLOOKUP(B26,'Team Stats'!$B$3:$K$18,5,0))</f>
        <v>601</v>
      </c>
      <c r="Q26">
        <f t="shared" si="5"/>
        <v>0.10981697171381032</v>
      </c>
      <c r="R26">
        <f ca="1">IF(M26="","",VLOOKUP(N26,Sim!$EF$46:$EG$61,2,0))</f>
        <v>9.14</v>
      </c>
      <c r="S26">
        <f ca="1">IF(M26="","",VLOOKUP(N26,'Team Stats'!$B$3:$K$18,10,0))</f>
        <v>66.989512195121961</v>
      </c>
      <c r="T26" s="84">
        <f t="shared" ca="1" si="6"/>
        <v>7.3565853658536593</v>
      </c>
      <c r="U26">
        <f t="shared" ca="1" si="7"/>
        <v>24</v>
      </c>
    </row>
    <row r="27" spans="1:21">
      <c r="A27" s="73" t="s">
        <v>349</v>
      </c>
      <c r="B27" s="73" t="s">
        <v>214</v>
      </c>
      <c r="C27" s="74">
        <v>82</v>
      </c>
      <c r="D27" s="74"/>
      <c r="E27" s="74">
        <v>21</v>
      </c>
      <c r="F27" s="74"/>
      <c r="G27" s="74">
        <v>45</v>
      </c>
      <c r="H27" s="74"/>
      <c r="I27" s="63">
        <v>66</v>
      </c>
      <c r="J27" t="b">
        <f t="shared" si="0"/>
        <v>1</v>
      </c>
      <c r="K27" t="b">
        <f t="shared" si="1"/>
        <v>1</v>
      </c>
      <c r="M27" t="str">
        <f t="shared" si="2"/>
        <v> Erik Karlsson</v>
      </c>
      <c r="N27" t="str">
        <f t="shared" si="3"/>
        <v>OTT</v>
      </c>
      <c r="O27">
        <f t="shared" si="4"/>
        <v>66</v>
      </c>
      <c r="P27">
        <f>IF(M27="","",VLOOKUP(B27,'Team Stats'!$B$3:$K$18,5,0))</f>
        <v>619</v>
      </c>
      <c r="Q27">
        <f t="shared" si="5"/>
        <v>0.10662358642972536</v>
      </c>
      <c r="R27">
        <f ca="1">IF(M27="","",VLOOKUP(N27,Sim!$EF$46:$EG$61,2,0))</f>
        <v>10.71</v>
      </c>
      <c r="S27">
        <f ca="1">IF(M27="","",VLOOKUP(N27,'Team Stats'!$B$3:$K$18,10,0))</f>
        <v>80.847439024390255</v>
      </c>
      <c r="T27" s="84">
        <f t="shared" ca="1" si="6"/>
        <v>8.6202439024390252</v>
      </c>
      <c r="U27">
        <f t="shared" ca="1" si="7"/>
        <v>9</v>
      </c>
    </row>
    <row r="28" spans="1:21">
      <c r="A28" s="73" t="s">
        <v>350</v>
      </c>
      <c r="B28" s="73" t="s">
        <v>340</v>
      </c>
      <c r="C28" s="74">
        <v>78</v>
      </c>
      <c r="D28" s="74"/>
      <c r="E28" s="74">
        <v>16</v>
      </c>
      <c r="F28" s="74"/>
      <c r="G28" s="74">
        <v>49</v>
      </c>
      <c r="H28" s="74"/>
      <c r="I28" s="63">
        <v>65</v>
      </c>
      <c r="J28" t="b">
        <f t="shared" si="0"/>
        <v>0</v>
      </c>
      <c r="K28" t="b">
        <f t="shared" si="1"/>
        <v>0</v>
      </c>
      <c r="M28" t="str">
        <f t="shared" si="2"/>
        <v/>
      </c>
      <c r="N28" t="str">
        <f t="shared" si="3"/>
        <v/>
      </c>
      <c r="O28" t="str">
        <f t="shared" si="4"/>
        <v/>
      </c>
      <c r="P28" t="str">
        <f>IF(M28="","",VLOOKUP(B28,'Team Stats'!$B$3:$K$18,5,0))</f>
        <v/>
      </c>
      <c r="Q28" t="str">
        <f t="shared" si="5"/>
        <v/>
      </c>
      <c r="R28" t="str">
        <f>IF(M28="","",VLOOKUP(N28,Sim!$EF$46:$EG$61,2,0))</f>
        <v/>
      </c>
      <c r="S28" t="str">
        <f>IF(M28="","",VLOOKUP(N28,'Team Stats'!$B$3:$K$18,10,0))</f>
        <v/>
      </c>
      <c r="T28" s="84" t="str">
        <f t="shared" si="6"/>
        <v/>
      </c>
      <c r="U28" t="str">
        <f t="shared" si="7"/>
        <v/>
      </c>
    </row>
    <row r="29" spans="1:21">
      <c r="A29" s="73" t="s">
        <v>351</v>
      </c>
      <c r="B29" s="73" t="s">
        <v>209</v>
      </c>
      <c r="C29" s="74">
        <v>63</v>
      </c>
      <c r="D29" s="74"/>
      <c r="E29" s="74">
        <v>26</v>
      </c>
      <c r="F29" s="74"/>
      <c r="G29" s="74">
        <v>39</v>
      </c>
      <c r="H29" s="74"/>
      <c r="I29" s="63">
        <v>65</v>
      </c>
      <c r="J29" t="b">
        <f t="shared" si="0"/>
        <v>1</v>
      </c>
      <c r="K29" t="b">
        <f t="shared" si="1"/>
        <v>1</v>
      </c>
      <c r="M29" t="str">
        <f t="shared" si="2"/>
        <v> Pavel Datsyuk</v>
      </c>
      <c r="N29" t="str">
        <f t="shared" si="3"/>
        <v>DET</v>
      </c>
      <c r="O29">
        <f t="shared" si="4"/>
        <v>65</v>
      </c>
      <c r="P29">
        <f>IF(M29="","",VLOOKUP(B29,'Team Stats'!$B$3:$K$18,5,0))</f>
        <v>630</v>
      </c>
      <c r="Q29">
        <f t="shared" si="5"/>
        <v>0.10317460317460317</v>
      </c>
      <c r="R29">
        <f ca="1">IF(M29="","",VLOOKUP(N29,Sim!$EF$46:$EG$61,2,0))</f>
        <v>10.06</v>
      </c>
      <c r="S29">
        <f ca="1">IF(M29="","",VLOOKUP(N29,'Team Stats'!$B$3:$K$18,10,0))</f>
        <v>77.29024390243903</v>
      </c>
      <c r="T29" s="84">
        <f t="shared" ca="1" si="6"/>
        <v>7.9743902439024392</v>
      </c>
      <c r="U29">
        <f t="shared" ca="1" si="7"/>
        <v>19</v>
      </c>
    </row>
    <row r="30" spans="1:21">
      <c r="A30" s="73" t="s">
        <v>352</v>
      </c>
      <c r="B30" s="73" t="s">
        <v>208</v>
      </c>
      <c r="C30" s="74">
        <v>80</v>
      </c>
      <c r="D30" s="74"/>
      <c r="E30" s="74">
        <v>24</v>
      </c>
      <c r="F30" s="74"/>
      <c r="G30" s="74">
        <v>40</v>
      </c>
      <c r="H30" s="74"/>
      <c r="I30" s="63">
        <v>64</v>
      </c>
      <c r="J30" t="b">
        <f t="shared" si="0"/>
        <v>0</v>
      </c>
      <c r="K30" t="b">
        <f t="shared" si="1"/>
        <v>0</v>
      </c>
      <c r="M30" t="str">
        <f t="shared" si="2"/>
        <v/>
      </c>
      <c r="N30" t="str">
        <f t="shared" si="3"/>
        <v/>
      </c>
      <c r="O30" t="str">
        <f t="shared" si="4"/>
        <v/>
      </c>
      <c r="P30" t="str">
        <f>IF(M30="","",VLOOKUP(B30,'Team Stats'!$B$3:$K$18,5,0))</f>
        <v/>
      </c>
      <c r="Q30" t="str">
        <f t="shared" si="5"/>
        <v/>
      </c>
      <c r="R30" t="str">
        <f>IF(M30="","",VLOOKUP(N30,Sim!$EF$46:$EG$61,2,0))</f>
        <v/>
      </c>
      <c r="S30" t="str">
        <f>IF(M30="","",VLOOKUP(N30,'Team Stats'!$B$3:$K$18,10,0))</f>
        <v/>
      </c>
      <c r="T30" s="84" t="str">
        <f t="shared" si="6"/>
        <v/>
      </c>
      <c r="U30" t="str">
        <f t="shared" si="7"/>
        <v/>
      </c>
    </row>
    <row r="31" spans="1:21">
      <c r="A31" s="73" t="s">
        <v>353</v>
      </c>
      <c r="B31" s="73" t="s">
        <v>336</v>
      </c>
      <c r="C31" s="74">
        <v>82</v>
      </c>
      <c r="D31" s="74"/>
      <c r="E31" s="74">
        <v>28</v>
      </c>
      <c r="F31" s="74"/>
      <c r="G31" s="74">
        <v>36</v>
      </c>
      <c r="H31" s="74"/>
      <c r="I31" s="63">
        <v>64</v>
      </c>
      <c r="J31" t="b">
        <f t="shared" si="0"/>
        <v>0</v>
      </c>
      <c r="K31" t="b">
        <f t="shared" si="1"/>
        <v>0</v>
      </c>
      <c r="M31" t="str">
        <f t="shared" si="2"/>
        <v/>
      </c>
      <c r="N31" t="str">
        <f t="shared" si="3"/>
        <v/>
      </c>
      <c r="O31" t="str">
        <f t="shared" si="4"/>
        <v/>
      </c>
      <c r="P31" t="str">
        <f>IF(M31="","",VLOOKUP(B31,'Team Stats'!$B$3:$K$18,5,0))</f>
        <v/>
      </c>
      <c r="Q31" t="str">
        <f t="shared" si="5"/>
        <v/>
      </c>
      <c r="R31" t="str">
        <f>IF(M31="","",VLOOKUP(N31,Sim!$EF$46:$EG$61,2,0))</f>
        <v/>
      </c>
      <c r="S31" t="str">
        <f>IF(M31="","",VLOOKUP(N31,'Team Stats'!$B$3:$K$18,10,0))</f>
        <v/>
      </c>
      <c r="T31" s="84" t="str">
        <f t="shared" si="6"/>
        <v/>
      </c>
      <c r="U31" t="str">
        <f t="shared" si="7"/>
        <v/>
      </c>
    </row>
    <row r="32" spans="1:21">
      <c r="A32" s="73" t="s">
        <v>354</v>
      </c>
      <c r="B32" s="73" t="s">
        <v>214</v>
      </c>
      <c r="C32" s="74">
        <v>80</v>
      </c>
      <c r="D32" s="74"/>
      <c r="E32" s="74">
        <v>26</v>
      </c>
      <c r="F32" s="74"/>
      <c r="G32" s="74">
        <v>38</v>
      </c>
      <c r="H32" s="74"/>
      <c r="I32" s="63">
        <v>64</v>
      </c>
      <c r="J32" t="b">
        <f t="shared" si="0"/>
        <v>1</v>
      </c>
      <c r="K32" t="b">
        <f t="shared" si="1"/>
        <v>1</v>
      </c>
      <c r="M32" t="str">
        <f t="shared" si="2"/>
        <v> Mark Stone</v>
      </c>
      <c r="N32" t="str">
        <f t="shared" si="3"/>
        <v>OTT</v>
      </c>
      <c r="O32">
        <f t="shared" si="4"/>
        <v>64</v>
      </c>
      <c r="P32">
        <f>IF(M32="","",VLOOKUP(B32,'Team Stats'!$B$3:$K$18,5,0))</f>
        <v>619</v>
      </c>
      <c r="Q32">
        <f t="shared" si="5"/>
        <v>0.10339256865912763</v>
      </c>
      <c r="R32">
        <f ca="1">IF(M32="","",VLOOKUP(N32,Sim!$EF$46:$EG$61,2,0))</f>
        <v>10.71</v>
      </c>
      <c r="S32">
        <f ca="1">IF(M32="","",VLOOKUP(N32,'Team Stats'!$B$3:$K$18,10,0))</f>
        <v>80.847439024390255</v>
      </c>
      <c r="T32" s="84">
        <f t="shared" ca="1" si="6"/>
        <v>8.3590243902439045</v>
      </c>
      <c r="U32">
        <f t="shared" ca="1" si="7"/>
        <v>12</v>
      </c>
    </row>
    <row r="33" spans="1:21">
      <c r="A33" s="73" t="s">
        <v>355</v>
      </c>
      <c r="B33" s="73" t="s">
        <v>200</v>
      </c>
      <c r="C33" s="74">
        <v>74</v>
      </c>
      <c r="D33" s="74"/>
      <c r="E33" s="74">
        <v>24</v>
      </c>
      <c r="F33" s="74"/>
      <c r="G33" s="74">
        <v>40</v>
      </c>
      <c r="H33" s="74"/>
      <c r="I33" s="63">
        <v>64</v>
      </c>
      <c r="J33" t="b">
        <f t="shared" si="0"/>
        <v>1</v>
      </c>
      <c r="K33" t="b">
        <f t="shared" si="1"/>
        <v>1</v>
      </c>
      <c r="M33" t="str">
        <f t="shared" si="2"/>
        <v> Alexander Steen</v>
      </c>
      <c r="N33" t="str">
        <f t="shared" si="3"/>
        <v>STL</v>
      </c>
      <c r="O33">
        <f t="shared" si="4"/>
        <v>64</v>
      </c>
      <c r="P33">
        <f>IF(M33="","",VLOOKUP(B33,'Team Stats'!$B$3:$K$18,5,0))</f>
        <v>660</v>
      </c>
      <c r="Q33">
        <f t="shared" si="5"/>
        <v>9.696969696969697E-2</v>
      </c>
      <c r="R33">
        <f ca="1">IF(M33="","",VLOOKUP(N33,Sim!$EF$46:$EG$61,2,0))</f>
        <v>10.87</v>
      </c>
      <c r="S33">
        <f ca="1">IF(M33="","",VLOOKUP(N33,'Team Stats'!$B$3:$K$18,10,0))</f>
        <v>87.490243902439019</v>
      </c>
      <c r="T33" s="84">
        <f t="shared" ca="1" si="6"/>
        <v>8.4839024390243889</v>
      </c>
      <c r="U33">
        <f t="shared" ca="1" si="7"/>
        <v>11</v>
      </c>
    </row>
    <row r="34" spans="1:21">
      <c r="A34" s="73" t="s">
        <v>356</v>
      </c>
      <c r="B34" s="73" t="s">
        <v>357</v>
      </c>
      <c r="C34" s="74">
        <v>79</v>
      </c>
      <c r="D34" s="74"/>
      <c r="E34" s="74">
        <v>16</v>
      </c>
      <c r="F34" s="74"/>
      <c r="G34" s="74">
        <v>48</v>
      </c>
      <c r="H34" s="74"/>
      <c r="I34" s="63">
        <v>64</v>
      </c>
      <c r="J34" t="b">
        <f t="shared" si="0"/>
        <v>0</v>
      </c>
      <c r="K34" t="b">
        <f t="shared" si="1"/>
        <v>0</v>
      </c>
      <c r="M34" t="str">
        <f t="shared" si="2"/>
        <v/>
      </c>
      <c r="N34" t="str">
        <f t="shared" si="3"/>
        <v/>
      </c>
      <c r="O34" t="str">
        <f t="shared" si="4"/>
        <v/>
      </c>
      <c r="P34" t="str">
        <f>IF(M34="","",VLOOKUP(B34,'Team Stats'!$B$3:$K$18,5,0))</f>
        <v/>
      </c>
      <c r="Q34" t="str">
        <f t="shared" si="5"/>
        <v/>
      </c>
      <c r="R34" t="str">
        <f>IF(M34="","",VLOOKUP(N34,Sim!$EF$46:$EG$61,2,0))</f>
        <v/>
      </c>
      <c r="S34" t="str">
        <f>IF(M34="","",VLOOKUP(N34,'Team Stats'!$B$3:$K$18,10,0))</f>
        <v/>
      </c>
      <c r="T34" s="84" t="str">
        <f t="shared" si="6"/>
        <v/>
      </c>
      <c r="U34" t="str">
        <f t="shared" si="7"/>
        <v/>
      </c>
    </row>
    <row r="35" spans="1:21">
      <c r="A35" s="73" t="s">
        <v>358</v>
      </c>
      <c r="B35" s="73" t="s">
        <v>202</v>
      </c>
      <c r="C35" s="74">
        <v>61</v>
      </c>
      <c r="D35" s="74"/>
      <c r="E35" s="74">
        <v>27</v>
      </c>
      <c r="F35" s="74"/>
      <c r="G35" s="74">
        <v>37</v>
      </c>
      <c r="H35" s="74"/>
      <c r="I35" s="63">
        <v>64</v>
      </c>
      <c r="J35" t="b">
        <f t="shared" si="0"/>
        <v>1</v>
      </c>
      <c r="K35" t="b">
        <f t="shared" si="1"/>
        <v>1</v>
      </c>
      <c r="M35" t="str">
        <f t="shared" si="2"/>
        <v> Patrick Kane</v>
      </c>
      <c r="N35" t="str">
        <f t="shared" si="3"/>
        <v>CHI</v>
      </c>
      <c r="O35">
        <f t="shared" si="4"/>
        <v>64</v>
      </c>
      <c r="P35">
        <f>IF(M35="","",VLOOKUP(B35,'Team Stats'!$B$3:$K$18,5,0))</f>
        <v>601</v>
      </c>
      <c r="Q35">
        <f t="shared" si="5"/>
        <v>0.1064891846921797</v>
      </c>
      <c r="R35">
        <f ca="1">IF(M35="","",VLOOKUP(N35,Sim!$EF$46:$EG$61,2,0))</f>
        <v>9.14</v>
      </c>
      <c r="S35">
        <f ca="1">IF(M35="","",VLOOKUP(N35,'Team Stats'!$B$3:$K$18,10,0))</f>
        <v>66.989512195121961</v>
      </c>
      <c r="T35" s="84">
        <f t="shared" ca="1" si="6"/>
        <v>7.1336585365853669</v>
      </c>
      <c r="U35">
        <f t="shared" ca="1" si="7"/>
        <v>27</v>
      </c>
    </row>
    <row r="36" spans="1:21">
      <c r="A36" s="73" t="s">
        <v>359</v>
      </c>
      <c r="B36" s="73" t="s">
        <v>214</v>
      </c>
      <c r="C36" s="74">
        <v>82</v>
      </c>
      <c r="D36" s="74"/>
      <c r="E36" s="74">
        <v>24</v>
      </c>
      <c r="F36" s="74"/>
      <c r="G36" s="74">
        <v>40</v>
      </c>
      <c r="H36" s="74"/>
      <c r="I36" s="63">
        <v>64</v>
      </c>
      <c r="J36" t="b">
        <f t="shared" si="0"/>
        <v>1</v>
      </c>
      <c r="K36" t="b">
        <f t="shared" si="1"/>
        <v>1</v>
      </c>
      <c r="M36" t="str">
        <f t="shared" si="2"/>
        <v> Kyle Turris</v>
      </c>
      <c r="N36" t="str">
        <f t="shared" si="3"/>
        <v>OTT</v>
      </c>
      <c r="O36">
        <f t="shared" si="4"/>
        <v>64</v>
      </c>
      <c r="P36">
        <f>IF(M36="","",VLOOKUP(B36,'Team Stats'!$B$3:$K$18,5,0))</f>
        <v>619</v>
      </c>
      <c r="Q36">
        <f t="shared" si="5"/>
        <v>0.10339256865912763</v>
      </c>
      <c r="R36">
        <f ca="1">IF(M36="","",VLOOKUP(N36,Sim!$EF$46:$EG$61,2,0))</f>
        <v>10.71</v>
      </c>
      <c r="S36">
        <f ca="1">IF(M36="","",VLOOKUP(N36,'Team Stats'!$B$3:$K$18,10,0))</f>
        <v>80.847439024390255</v>
      </c>
      <c r="T36" s="84">
        <f t="shared" ca="1" si="6"/>
        <v>8.3590243902439045</v>
      </c>
      <c r="U36">
        <f t="shared" ca="1" si="7"/>
        <v>12</v>
      </c>
    </row>
    <row r="37" spans="1:21">
      <c r="A37" s="73" t="s">
        <v>360</v>
      </c>
      <c r="B37" s="73" t="s">
        <v>215</v>
      </c>
      <c r="C37" s="74">
        <v>81</v>
      </c>
      <c r="D37" s="74"/>
      <c r="E37" s="74">
        <v>24</v>
      </c>
      <c r="F37" s="74"/>
      <c r="G37" s="74">
        <v>39</v>
      </c>
      <c r="H37" s="74"/>
      <c r="I37" s="63">
        <v>63</v>
      </c>
      <c r="J37" t="b">
        <f t="shared" si="0"/>
        <v>0</v>
      </c>
      <c r="K37" t="b">
        <f t="shared" si="1"/>
        <v>0</v>
      </c>
      <c r="M37" t="str">
        <f t="shared" si="2"/>
        <v/>
      </c>
      <c r="N37" t="str">
        <f t="shared" si="3"/>
        <v/>
      </c>
      <c r="O37" t="str">
        <f t="shared" si="4"/>
        <v/>
      </c>
      <c r="P37" t="str">
        <f>IF(M37="","",VLOOKUP(B37,'Team Stats'!$B$3:$K$18,5,0))</f>
        <v/>
      </c>
      <c r="Q37" t="str">
        <f t="shared" si="5"/>
        <v/>
      </c>
      <c r="R37" t="str">
        <f>IF(M37="","",VLOOKUP(N37,Sim!$EF$46:$EG$61,2,0))</f>
        <v/>
      </c>
      <c r="S37" t="str">
        <f>IF(M37="","",VLOOKUP(N37,'Team Stats'!$B$3:$K$18,10,0))</f>
        <v/>
      </c>
      <c r="T37" s="84" t="str">
        <f t="shared" si="6"/>
        <v/>
      </c>
      <c r="U37" t="str">
        <f t="shared" si="7"/>
        <v/>
      </c>
    </row>
    <row r="38" spans="1:21">
      <c r="A38" s="73" t="s">
        <v>361</v>
      </c>
      <c r="B38" s="73" t="s">
        <v>200</v>
      </c>
      <c r="C38" s="74">
        <v>75</v>
      </c>
      <c r="D38" s="74"/>
      <c r="E38" s="74">
        <v>28</v>
      </c>
      <c r="F38" s="74"/>
      <c r="G38" s="74">
        <v>35</v>
      </c>
      <c r="H38" s="74"/>
      <c r="I38" s="63">
        <v>63</v>
      </c>
      <c r="J38" t="b">
        <f t="shared" si="0"/>
        <v>1</v>
      </c>
      <c r="K38" t="b">
        <f t="shared" si="1"/>
        <v>1</v>
      </c>
      <c r="M38" t="str">
        <f t="shared" si="2"/>
        <v> Jaden Schwartz</v>
      </c>
      <c r="N38" t="str">
        <f t="shared" si="3"/>
        <v>STL</v>
      </c>
      <c r="O38">
        <f t="shared" si="4"/>
        <v>63</v>
      </c>
      <c r="P38">
        <f>IF(M38="","",VLOOKUP(B38,'Team Stats'!$B$3:$K$18,5,0))</f>
        <v>660</v>
      </c>
      <c r="Q38">
        <f t="shared" si="5"/>
        <v>9.5454545454545459E-2</v>
      </c>
      <c r="R38">
        <f ca="1">IF(M38="","",VLOOKUP(N38,Sim!$EF$46:$EG$61,2,0))</f>
        <v>10.87</v>
      </c>
      <c r="S38">
        <f ca="1">IF(M38="","",VLOOKUP(N38,'Team Stats'!$B$3:$K$18,10,0))</f>
        <v>87.490243902439019</v>
      </c>
      <c r="T38" s="84">
        <f t="shared" ca="1" si="6"/>
        <v>8.3513414634146343</v>
      </c>
      <c r="U38">
        <f t="shared" ca="1" si="7"/>
        <v>14</v>
      </c>
    </row>
    <row r="39" spans="1:21">
      <c r="A39" s="73" t="s">
        <v>362</v>
      </c>
      <c r="B39" s="73" t="s">
        <v>336</v>
      </c>
      <c r="C39" s="74">
        <v>75</v>
      </c>
      <c r="D39" s="74"/>
      <c r="E39" s="74">
        <v>16</v>
      </c>
      <c r="F39" s="74"/>
      <c r="G39" s="74">
        <v>47</v>
      </c>
      <c r="H39" s="74"/>
      <c r="I39" s="63">
        <v>63</v>
      </c>
      <c r="J39" t="b">
        <f t="shared" si="0"/>
        <v>0</v>
      </c>
      <c r="K39" t="b">
        <f t="shared" si="1"/>
        <v>0</v>
      </c>
      <c r="M39" t="str">
        <f t="shared" si="2"/>
        <v/>
      </c>
      <c r="N39" t="str">
        <f t="shared" si="3"/>
        <v/>
      </c>
      <c r="O39" t="str">
        <f t="shared" si="4"/>
        <v/>
      </c>
      <c r="P39" t="str">
        <f>IF(M39="","",VLOOKUP(B39,'Team Stats'!$B$3:$K$18,5,0))</f>
        <v/>
      </c>
      <c r="Q39" t="str">
        <f t="shared" si="5"/>
        <v/>
      </c>
      <c r="R39" t="str">
        <f>IF(M39="","",VLOOKUP(N39,Sim!$EF$46:$EG$61,2,0))</f>
        <v/>
      </c>
      <c r="S39" t="str">
        <f>IF(M39="","",VLOOKUP(N39,'Team Stats'!$B$3:$K$18,10,0))</f>
        <v/>
      </c>
      <c r="T39" s="84" t="str">
        <f t="shared" si="6"/>
        <v/>
      </c>
      <c r="U39" t="str">
        <f t="shared" si="7"/>
        <v/>
      </c>
    </row>
    <row r="40" spans="1:21">
      <c r="A40" s="73" t="s">
        <v>363</v>
      </c>
      <c r="B40" s="73" t="s">
        <v>206</v>
      </c>
      <c r="C40" s="74">
        <v>79</v>
      </c>
      <c r="D40" s="74"/>
      <c r="E40" s="74">
        <v>31</v>
      </c>
      <c r="F40" s="74"/>
      <c r="G40" s="74">
        <v>32</v>
      </c>
      <c r="H40" s="74"/>
      <c r="I40" s="63">
        <v>63</v>
      </c>
      <c r="J40" t="b">
        <f t="shared" si="0"/>
        <v>1</v>
      </c>
      <c r="K40" t="b">
        <f t="shared" si="1"/>
        <v>1</v>
      </c>
      <c r="M40" t="str">
        <f t="shared" si="2"/>
        <v> Radim Vrbata</v>
      </c>
      <c r="N40" t="str">
        <f t="shared" si="3"/>
        <v>VAN</v>
      </c>
      <c r="O40">
        <f t="shared" si="4"/>
        <v>63</v>
      </c>
      <c r="P40">
        <f>IF(M40="","",VLOOKUP(B40,'Team Stats'!$B$3:$K$18,5,0))</f>
        <v>642</v>
      </c>
      <c r="Q40">
        <f t="shared" si="5"/>
        <v>9.8130841121495324E-2</v>
      </c>
      <c r="R40">
        <f ca="1">IF(M40="","",VLOOKUP(N40,Sim!$EF$46:$EG$61,2,0))</f>
        <v>10.35</v>
      </c>
      <c r="S40">
        <f ca="1">IF(M40="","",VLOOKUP(N40,'Team Stats'!$B$3:$K$18,10,0))</f>
        <v>81.032926829268291</v>
      </c>
      <c r="T40" s="84">
        <f t="shared" ca="1" si="6"/>
        <v>7.9518292682926823</v>
      </c>
      <c r="U40">
        <f t="shared" ca="1" si="7"/>
        <v>20</v>
      </c>
    </row>
    <row r="41" spans="1:21">
      <c r="A41" s="73" t="s">
        <v>364</v>
      </c>
      <c r="B41" s="73" t="s">
        <v>365</v>
      </c>
      <c r="C41" s="74">
        <v>82</v>
      </c>
      <c r="D41" s="74"/>
      <c r="E41" s="74">
        <v>26</v>
      </c>
      <c r="F41" s="74"/>
      <c r="G41" s="74">
        <v>37</v>
      </c>
      <c r="H41" s="74"/>
      <c r="I41" s="63">
        <v>63</v>
      </c>
      <c r="J41" t="b">
        <f t="shared" si="0"/>
        <v>0</v>
      </c>
      <c r="K41" t="b">
        <f t="shared" si="1"/>
        <v>0</v>
      </c>
      <c r="M41" t="str">
        <f t="shared" si="2"/>
        <v/>
      </c>
      <c r="N41" t="str">
        <f t="shared" si="3"/>
        <v/>
      </c>
      <c r="O41" t="str">
        <f t="shared" si="4"/>
        <v/>
      </c>
      <c r="P41" t="str">
        <f>IF(M41="","",VLOOKUP(B41,'Team Stats'!$B$3:$K$18,5,0))</f>
        <v/>
      </c>
      <c r="Q41" t="str">
        <f t="shared" si="5"/>
        <v/>
      </c>
      <c r="R41" t="str">
        <f>IF(M41="","",VLOOKUP(N41,Sim!$EF$46:$EG$61,2,0))</f>
        <v/>
      </c>
      <c r="S41" t="str">
        <f>IF(M41="","",VLOOKUP(N41,'Team Stats'!$B$3:$K$18,10,0))</f>
        <v/>
      </c>
      <c r="T41" s="84" t="str">
        <f t="shared" si="6"/>
        <v/>
      </c>
      <c r="U41" t="str">
        <f t="shared" si="7"/>
        <v/>
      </c>
    </row>
    <row r="42" spans="1:21">
      <c r="A42" s="73" t="s">
        <v>366</v>
      </c>
      <c r="B42" s="73" t="s">
        <v>210</v>
      </c>
      <c r="C42" s="74">
        <v>81</v>
      </c>
      <c r="D42" s="74"/>
      <c r="E42" s="74">
        <v>24</v>
      </c>
      <c r="F42" s="74"/>
      <c r="G42" s="74">
        <v>38</v>
      </c>
      <c r="H42" s="74"/>
      <c r="I42" s="63">
        <v>62</v>
      </c>
      <c r="J42" t="b">
        <f t="shared" si="0"/>
        <v>1</v>
      </c>
      <c r="K42" t="b">
        <f t="shared" si="1"/>
        <v>1</v>
      </c>
      <c r="M42" t="str">
        <f t="shared" si="2"/>
        <v> Andrew Ladd</v>
      </c>
      <c r="N42" t="str">
        <f t="shared" si="3"/>
        <v>WPG</v>
      </c>
      <c r="O42">
        <f t="shared" si="4"/>
        <v>62</v>
      </c>
      <c r="P42">
        <f>IF(M42="","",VLOOKUP(B42,'Team Stats'!$B$3:$K$18,5,0))</f>
        <v>594</v>
      </c>
      <c r="Q42">
        <f t="shared" si="5"/>
        <v>0.10437710437710437</v>
      </c>
      <c r="R42">
        <f ca="1">IF(M42="","",VLOOKUP(N42,Sim!$EF$46:$EG$61,2,0))</f>
        <v>8.94</v>
      </c>
      <c r="S42">
        <f ca="1">IF(M42="","",VLOOKUP(N42,'Team Stats'!$B$3:$K$18,10,0))</f>
        <v>64.760487804878053</v>
      </c>
      <c r="T42" s="84">
        <f t="shared" ca="1" si="6"/>
        <v>6.7595121951219515</v>
      </c>
      <c r="U42">
        <f t="shared" ca="1" si="7"/>
        <v>34</v>
      </c>
    </row>
    <row r="43" spans="1:21">
      <c r="A43" s="73" t="s">
        <v>367</v>
      </c>
      <c r="B43" s="73" t="s">
        <v>365</v>
      </c>
      <c r="C43" s="74">
        <v>82</v>
      </c>
      <c r="D43" s="74"/>
      <c r="E43" s="74">
        <v>15</v>
      </c>
      <c r="F43" s="74"/>
      <c r="G43" s="74">
        <v>47</v>
      </c>
      <c r="H43" s="74"/>
      <c r="I43" s="63">
        <v>62</v>
      </c>
      <c r="J43" t="b">
        <f t="shared" si="0"/>
        <v>0</v>
      </c>
      <c r="K43" t="b">
        <f t="shared" si="1"/>
        <v>0</v>
      </c>
      <c r="M43" t="str">
        <f t="shared" si="2"/>
        <v/>
      </c>
      <c r="N43" t="str">
        <f t="shared" si="3"/>
        <v/>
      </c>
      <c r="O43" t="str">
        <f t="shared" si="4"/>
        <v/>
      </c>
      <c r="P43" t="str">
        <f>IF(M43="","",VLOOKUP(B43,'Team Stats'!$B$3:$K$18,5,0))</f>
        <v/>
      </c>
      <c r="Q43" t="str">
        <f t="shared" si="5"/>
        <v/>
      </c>
      <c r="R43" t="str">
        <f>IF(M43="","",VLOOKUP(N43,Sim!$EF$46:$EG$61,2,0))</f>
        <v/>
      </c>
      <c r="S43" t="str">
        <f>IF(M43="","",VLOOKUP(N43,'Team Stats'!$B$3:$K$18,10,0))</f>
        <v/>
      </c>
      <c r="T43" s="84" t="str">
        <f t="shared" si="6"/>
        <v/>
      </c>
      <c r="U43" t="str">
        <f t="shared" si="7"/>
        <v/>
      </c>
    </row>
    <row r="44" spans="1:21">
      <c r="A44" s="73" t="s">
        <v>368</v>
      </c>
      <c r="B44" s="73" t="s">
        <v>208</v>
      </c>
      <c r="C44" s="74">
        <v>81</v>
      </c>
      <c r="D44" s="74"/>
      <c r="E44" s="74">
        <v>31</v>
      </c>
      <c r="F44" s="74"/>
      <c r="G44" s="74">
        <v>31</v>
      </c>
      <c r="H44" s="74"/>
      <c r="I44" s="63">
        <v>62</v>
      </c>
      <c r="J44" t="b">
        <f t="shared" si="0"/>
        <v>0</v>
      </c>
      <c r="K44" t="b">
        <f t="shared" si="1"/>
        <v>0</v>
      </c>
      <c r="M44" t="str">
        <f t="shared" si="2"/>
        <v/>
      </c>
      <c r="N44" t="str">
        <f t="shared" si="3"/>
        <v/>
      </c>
      <c r="O44" t="str">
        <f t="shared" si="4"/>
        <v/>
      </c>
      <c r="P44" t="str">
        <f>IF(M44="","",VLOOKUP(B44,'Team Stats'!$B$3:$K$18,5,0))</f>
        <v/>
      </c>
      <c r="Q44" t="str">
        <f t="shared" si="5"/>
        <v/>
      </c>
      <c r="R44" t="str">
        <f>IF(M44="","",VLOOKUP(N44,Sim!$EF$46:$EG$61,2,0))</f>
        <v/>
      </c>
      <c r="S44" t="str">
        <f>IF(M44="","",VLOOKUP(N44,'Team Stats'!$B$3:$K$18,10,0))</f>
        <v/>
      </c>
      <c r="T44" s="84" t="str">
        <f t="shared" si="6"/>
        <v/>
      </c>
      <c r="U44" t="str">
        <f t="shared" si="7"/>
        <v/>
      </c>
    </row>
    <row r="45" spans="1:21">
      <c r="A45" s="73" t="s">
        <v>369</v>
      </c>
      <c r="B45" s="73" t="s">
        <v>212</v>
      </c>
      <c r="C45" s="74">
        <v>74</v>
      </c>
      <c r="D45" s="74"/>
      <c r="E45" s="74">
        <v>33</v>
      </c>
      <c r="F45" s="74"/>
      <c r="G45" s="74">
        <v>29</v>
      </c>
      <c r="H45" s="74"/>
      <c r="I45" s="63">
        <v>62</v>
      </c>
      <c r="J45" t="b">
        <f t="shared" si="0"/>
        <v>1</v>
      </c>
      <c r="K45" t="b">
        <f t="shared" si="1"/>
        <v>1</v>
      </c>
      <c r="M45" t="str">
        <f t="shared" si="2"/>
        <v> Zach Parise</v>
      </c>
      <c r="N45" t="str">
        <f t="shared" si="3"/>
        <v>MIN</v>
      </c>
      <c r="O45">
        <f t="shared" si="4"/>
        <v>62</v>
      </c>
      <c r="P45">
        <f>IF(M45="","",VLOOKUP(B45,'Team Stats'!$B$3:$K$18,5,0))</f>
        <v>608</v>
      </c>
      <c r="Q45">
        <f t="shared" si="5"/>
        <v>0.10197368421052631</v>
      </c>
      <c r="R45">
        <f ca="1">IF(M45="","",VLOOKUP(N45,Sim!$EF$46:$EG$61,2,0))</f>
        <v>11.71</v>
      </c>
      <c r="S45">
        <f ca="1">IF(M45="","",VLOOKUP(N45,'Team Stats'!$B$3:$K$18,10,0))</f>
        <v>86.825365853658553</v>
      </c>
      <c r="T45" s="84">
        <f t="shared" ca="1" si="6"/>
        <v>8.8539024390243917</v>
      </c>
      <c r="U45">
        <f t="shared" ca="1" si="7"/>
        <v>8</v>
      </c>
    </row>
    <row r="46" spans="1:21">
      <c r="A46" s="73" t="s">
        <v>370</v>
      </c>
      <c r="B46" s="73" t="s">
        <v>204</v>
      </c>
      <c r="C46" s="74">
        <v>82</v>
      </c>
      <c r="D46" s="74"/>
      <c r="E46" s="74">
        <v>17</v>
      </c>
      <c r="F46" s="74"/>
      <c r="G46" s="74">
        <v>45</v>
      </c>
      <c r="H46" s="74"/>
      <c r="I46" s="63">
        <v>62</v>
      </c>
      <c r="J46" t="b">
        <f t="shared" si="0"/>
        <v>0</v>
      </c>
      <c r="K46" t="b">
        <f t="shared" si="1"/>
        <v>0</v>
      </c>
      <c r="M46" t="str">
        <f t="shared" si="2"/>
        <v/>
      </c>
      <c r="N46" t="str">
        <f t="shared" si="3"/>
        <v/>
      </c>
      <c r="O46" t="str">
        <f t="shared" si="4"/>
        <v/>
      </c>
      <c r="P46" t="str">
        <f>IF(M46="","",VLOOKUP(B46,'Team Stats'!$B$3:$K$18,5,0))</f>
        <v/>
      </c>
      <c r="Q46" t="str">
        <f t="shared" si="5"/>
        <v/>
      </c>
      <c r="R46" t="str">
        <f>IF(M46="","",VLOOKUP(N46,Sim!$EF$46:$EG$61,2,0))</f>
        <v/>
      </c>
      <c r="S46" t="str">
        <f>IF(M46="","",VLOOKUP(N46,'Team Stats'!$B$3:$K$18,10,0))</f>
        <v/>
      </c>
      <c r="T46" s="84" t="str">
        <f t="shared" si="6"/>
        <v/>
      </c>
      <c r="U46" t="str">
        <f t="shared" si="7"/>
        <v/>
      </c>
    </row>
    <row r="47" spans="1:21">
      <c r="A47" s="73" t="s">
        <v>371</v>
      </c>
      <c r="B47" s="73" t="s">
        <v>357</v>
      </c>
      <c r="C47" s="74">
        <v>82</v>
      </c>
      <c r="D47" s="74"/>
      <c r="E47" s="74">
        <v>28</v>
      </c>
      <c r="F47" s="74"/>
      <c r="G47" s="74">
        <v>34</v>
      </c>
      <c r="H47" s="74"/>
      <c r="I47" s="63">
        <v>62</v>
      </c>
      <c r="J47" t="b">
        <f t="shared" si="0"/>
        <v>0</v>
      </c>
      <c r="K47" t="b">
        <f t="shared" si="1"/>
        <v>0</v>
      </c>
      <c r="M47" t="str">
        <f t="shared" si="2"/>
        <v/>
      </c>
      <c r="N47" t="str">
        <f t="shared" si="3"/>
        <v/>
      </c>
      <c r="O47" t="str">
        <f t="shared" si="4"/>
        <v/>
      </c>
      <c r="P47" t="str">
        <f>IF(M47="","",VLOOKUP(B47,'Team Stats'!$B$3:$K$18,5,0))</f>
        <v/>
      </c>
      <c r="Q47" t="str">
        <f t="shared" si="5"/>
        <v/>
      </c>
      <c r="R47" t="str">
        <f>IF(M47="","",VLOOKUP(N47,Sim!$EF$46:$EG$61,2,0))</f>
        <v/>
      </c>
      <c r="S47" t="str">
        <f>IF(M47="","",VLOOKUP(N47,'Team Stats'!$B$3:$K$18,10,0))</f>
        <v/>
      </c>
      <c r="T47" s="84" t="str">
        <f t="shared" si="6"/>
        <v/>
      </c>
      <c r="U47" t="str">
        <f t="shared" si="7"/>
        <v/>
      </c>
    </row>
    <row r="48" spans="1:21">
      <c r="A48" s="73" t="s">
        <v>372</v>
      </c>
      <c r="B48" s="73" t="s">
        <v>202</v>
      </c>
      <c r="C48" s="74">
        <v>82</v>
      </c>
      <c r="D48" s="74"/>
      <c r="E48" s="74">
        <v>22</v>
      </c>
      <c r="F48" s="74"/>
      <c r="G48" s="74">
        <v>39</v>
      </c>
      <c r="H48" s="74"/>
      <c r="I48" s="63">
        <v>61</v>
      </c>
      <c r="J48" t="b">
        <f t="shared" si="0"/>
        <v>1</v>
      </c>
      <c r="K48" t="b">
        <f t="shared" si="1"/>
        <v>1</v>
      </c>
      <c r="M48" t="str">
        <f t="shared" si="2"/>
        <v> Marian Hossa</v>
      </c>
      <c r="N48" t="str">
        <f t="shared" si="3"/>
        <v>CHI</v>
      </c>
      <c r="O48">
        <f t="shared" si="4"/>
        <v>61</v>
      </c>
      <c r="P48">
        <f>IF(M48="","",VLOOKUP(B48,'Team Stats'!$B$3:$K$18,5,0))</f>
        <v>601</v>
      </c>
      <c r="Q48">
        <f t="shared" si="5"/>
        <v>0.10149750415973377</v>
      </c>
      <c r="R48">
        <f ca="1">IF(M48="","",VLOOKUP(N48,Sim!$EF$46:$EG$61,2,0))</f>
        <v>9.14</v>
      </c>
      <c r="S48">
        <f ca="1">IF(M48="","",VLOOKUP(N48,'Team Stats'!$B$3:$K$18,10,0))</f>
        <v>66.989512195121961</v>
      </c>
      <c r="T48" s="84">
        <f t="shared" ca="1" si="6"/>
        <v>6.7992682926829273</v>
      </c>
      <c r="U48">
        <f t="shared" ca="1" si="7"/>
        <v>33</v>
      </c>
    </row>
    <row r="49" spans="1:21">
      <c r="A49" s="73" t="s">
        <v>373</v>
      </c>
      <c r="B49" s="73" t="s">
        <v>210</v>
      </c>
      <c r="C49" s="74">
        <v>79</v>
      </c>
      <c r="D49" s="74"/>
      <c r="E49" s="74">
        <v>26</v>
      </c>
      <c r="F49" s="74"/>
      <c r="G49" s="74">
        <v>35</v>
      </c>
      <c r="H49" s="74"/>
      <c r="I49" s="63">
        <v>61</v>
      </c>
      <c r="J49" t="b">
        <f t="shared" si="0"/>
        <v>1</v>
      </c>
      <c r="K49" t="b">
        <f t="shared" si="1"/>
        <v>1</v>
      </c>
      <c r="M49" t="str">
        <f t="shared" si="2"/>
        <v> Blake Wheeler</v>
      </c>
      <c r="N49" t="str">
        <f t="shared" si="3"/>
        <v>WPG</v>
      </c>
      <c r="O49">
        <f t="shared" si="4"/>
        <v>61</v>
      </c>
      <c r="P49">
        <f>IF(M49="","",VLOOKUP(B49,'Team Stats'!$B$3:$K$18,5,0))</f>
        <v>594</v>
      </c>
      <c r="Q49">
        <f t="shared" si="5"/>
        <v>0.1026936026936027</v>
      </c>
      <c r="R49">
        <f ca="1">IF(M49="","",VLOOKUP(N49,Sim!$EF$46:$EG$61,2,0))</f>
        <v>8.94</v>
      </c>
      <c r="S49">
        <f ca="1">IF(M49="","",VLOOKUP(N49,'Team Stats'!$B$3:$K$18,10,0))</f>
        <v>64.760487804878053</v>
      </c>
      <c r="T49" s="84">
        <f t="shared" ca="1" si="6"/>
        <v>6.6504878048780496</v>
      </c>
      <c r="U49">
        <f t="shared" ca="1" si="7"/>
        <v>37</v>
      </c>
    </row>
    <row r="50" spans="1:21">
      <c r="A50" s="73" t="s">
        <v>374</v>
      </c>
      <c r="B50" s="73" t="s">
        <v>213</v>
      </c>
      <c r="C50" s="74">
        <v>82</v>
      </c>
      <c r="D50" s="74"/>
      <c r="E50" s="74">
        <v>25</v>
      </c>
      <c r="F50" s="74"/>
      <c r="G50" s="74">
        <v>36</v>
      </c>
      <c r="H50" s="74"/>
      <c r="I50" s="63">
        <v>61</v>
      </c>
      <c r="J50" t="b">
        <f t="shared" si="0"/>
        <v>0</v>
      </c>
      <c r="K50" t="b">
        <f t="shared" si="1"/>
        <v>0</v>
      </c>
      <c r="M50" t="str">
        <f t="shared" si="2"/>
        <v/>
      </c>
      <c r="N50" t="str">
        <f t="shared" si="3"/>
        <v/>
      </c>
      <c r="O50" t="str">
        <f t="shared" si="4"/>
        <v/>
      </c>
      <c r="P50" t="str">
        <f>IF(M50="","",VLOOKUP(B50,'Team Stats'!$B$3:$K$18,5,0))</f>
        <v/>
      </c>
      <c r="Q50" t="str">
        <f t="shared" si="5"/>
        <v/>
      </c>
      <c r="R50" t="str">
        <f>IF(M50="","",VLOOKUP(N50,Sim!$EF$46:$EG$61,2,0))</f>
        <v/>
      </c>
      <c r="S50" t="str">
        <f>IF(M50="","",VLOOKUP(N50,'Team Stats'!$B$3:$K$18,10,0))</f>
        <v/>
      </c>
      <c r="T50" s="84" t="str">
        <f t="shared" si="6"/>
        <v/>
      </c>
      <c r="U50" t="str">
        <f t="shared" si="7"/>
        <v/>
      </c>
    </row>
    <row r="51" spans="1:21">
      <c r="A51" s="73" t="s">
        <v>375</v>
      </c>
      <c r="B51" s="73" t="s">
        <v>203</v>
      </c>
      <c r="C51" s="74">
        <v>80</v>
      </c>
      <c r="D51" s="74"/>
      <c r="E51" s="74">
        <v>19</v>
      </c>
      <c r="F51" s="74"/>
      <c r="G51" s="74">
        <v>41</v>
      </c>
      <c r="H51" s="74"/>
      <c r="I51" s="63">
        <v>60</v>
      </c>
      <c r="J51" t="b">
        <f t="shared" si="0"/>
        <v>1</v>
      </c>
      <c r="K51" t="b">
        <f t="shared" si="1"/>
        <v>1</v>
      </c>
      <c r="M51" t="str">
        <f t="shared" si="2"/>
        <v> Derick Brassard</v>
      </c>
      <c r="N51" t="str">
        <f t="shared" si="3"/>
        <v>NYR</v>
      </c>
      <c r="O51">
        <f t="shared" si="4"/>
        <v>60</v>
      </c>
      <c r="P51">
        <f>IF(M51="","",VLOOKUP(B51,'Team Stats'!$B$3:$K$18,5,0))</f>
        <v>659</v>
      </c>
      <c r="Q51">
        <f t="shared" si="5"/>
        <v>9.1047040971168433E-2</v>
      </c>
      <c r="R51">
        <f ca="1">IF(M51="","",VLOOKUP(N51,Sim!$EF$46:$EG$61,2,0))</f>
        <v>8.7200000000000006</v>
      </c>
      <c r="S51">
        <f ca="1">IF(M51="","",VLOOKUP(N51,'Team Stats'!$B$3:$K$18,10,0))</f>
        <v>70.079024390243916</v>
      </c>
      <c r="T51" s="84">
        <f t="shared" ca="1" si="6"/>
        <v>6.38048780487805</v>
      </c>
      <c r="U51">
        <f t="shared" ca="1" si="7"/>
        <v>42</v>
      </c>
    </row>
    <row r="52" spans="1:21">
      <c r="A52" s="73" t="s">
        <v>376</v>
      </c>
      <c r="B52" s="73" t="s">
        <v>331</v>
      </c>
      <c r="C52" s="74">
        <v>77</v>
      </c>
      <c r="D52" s="74"/>
      <c r="E52" s="74">
        <v>28</v>
      </c>
      <c r="F52" s="74"/>
      <c r="G52" s="74">
        <v>32</v>
      </c>
      <c r="H52" s="74"/>
      <c r="I52" s="63">
        <v>60</v>
      </c>
      <c r="J52" t="b">
        <f t="shared" si="0"/>
        <v>0</v>
      </c>
      <c r="K52" t="b">
        <f t="shared" si="1"/>
        <v>0</v>
      </c>
      <c r="M52" t="str">
        <f t="shared" si="2"/>
        <v/>
      </c>
      <c r="N52" t="str">
        <f t="shared" si="3"/>
        <v/>
      </c>
      <c r="O52" t="str">
        <f t="shared" si="4"/>
        <v/>
      </c>
      <c r="P52" t="str">
        <f>IF(M52="","",VLOOKUP(B52,'Team Stats'!$B$3:$K$18,5,0))</f>
        <v/>
      </c>
      <c r="Q52" t="str">
        <f t="shared" si="5"/>
        <v/>
      </c>
      <c r="R52" t="str">
        <f>IF(M52="","",VLOOKUP(N52,Sim!$EF$46:$EG$61,2,0))</f>
        <v/>
      </c>
      <c r="S52" t="str">
        <f>IF(M52="","",VLOOKUP(N52,'Team Stats'!$B$3:$K$18,10,0))</f>
        <v/>
      </c>
      <c r="T52" s="84" t="str">
        <f t="shared" si="6"/>
        <v/>
      </c>
      <c r="U52" t="str">
        <f t="shared" si="7"/>
        <v/>
      </c>
    </row>
    <row r="53" spans="1:21">
      <c r="A53" s="73" t="s">
        <v>377</v>
      </c>
      <c r="B53" s="73" t="s">
        <v>345</v>
      </c>
      <c r="C53" s="74">
        <v>82</v>
      </c>
      <c r="D53" s="74"/>
      <c r="E53" s="74">
        <v>15</v>
      </c>
      <c r="F53" s="74"/>
      <c r="G53" s="74">
        <v>45</v>
      </c>
      <c r="H53" s="74"/>
      <c r="I53" s="63">
        <v>60</v>
      </c>
      <c r="J53" t="b">
        <f t="shared" si="0"/>
        <v>0</v>
      </c>
      <c r="K53" t="b">
        <f t="shared" si="1"/>
        <v>0</v>
      </c>
      <c r="M53" t="str">
        <f t="shared" si="2"/>
        <v/>
      </c>
      <c r="N53" t="str">
        <f t="shared" si="3"/>
        <v/>
      </c>
      <c r="O53" t="str">
        <f t="shared" si="4"/>
        <v/>
      </c>
      <c r="P53" t="str">
        <f>IF(M53="","",VLOOKUP(B53,'Team Stats'!$B$3:$K$18,5,0))</f>
        <v/>
      </c>
      <c r="Q53" t="str">
        <f t="shared" si="5"/>
        <v/>
      </c>
      <c r="R53" t="str">
        <f>IF(M53="","",VLOOKUP(N53,Sim!$EF$46:$EG$61,2,0))</f>
        <v/>
      </c>
      <c r="S53" t="str">
        <f>IF(M53="","",VLOOKUP(N53,'Team Stats'!$B$3:$K$18,10,0))</f>
        <v/>
      </c>
      <c r="T53" s="84" t="str">
        <f t="shared" si="6"/>
        <v/>
      </c>
      <c r="U53" t="str">
        <f t="shared" si="7"/>
        <v/>
      </c>
    </row>
    <row r="54" spans="1:21">
      <c r="A54" s="73" t="s">
        <v>378</v>
      </c>
      <c r="B54" s="73" t="s">
        <v>345</v>
      </c>
      <c r="C54" s="74">
        <v>82</v>
      </c>
      <c r="D54" s="74"/>
      <c r="E54" s="74">
        <v>26</v>
      </c>
      <c r="F54" s="74"/>
      <c r="G54" s="74">
        <v>34</v>
      </c>
      <c r="H54" s="74"/>
      <c r="I54" s="63">
        <v>60</v>
      </c>
      <c r="J54" t="b">
        <f t="shared" si="0"/>
        <v>0</v>
      </c>
      <c r="K54" t="b">
        <f t="shared" si="1"/>
        <v>0</v>
      </c>
      <c r="M54" t="str">
        <f t="shared" si="2"/>
        <v/>
      </c>
      <c r="N54" t="str">
        <f t="shared" si="3"/>
        <v/>
      </c>
      <c r="O54" t="str">
        <f t="shared" si="4"/>
        <v/>
      </c>
      <c r="P54" t="str">
        <f>IF(M54="","",VLOOKUP(B54,'Team Stats'!$B$3:$K$18,5,0))</f>
        <v/>
      </c>
      <c r="Q54" t="str">
        <f t="shared" si="5"/>
        <v/>
      </c>
      <c r="R54" t="str">
        <f>IF(M54="","",VLOOKUP(N54,Sim!$EF$46:$EG$61,2,0))</f>
        <v/>
      </c>
      <c r="S54" t="str">
        <f>IF(M54="","",VLOOKUP(N54,'Team Stats'!$B$3:$K$18,10,0))</f>
        <v/>
      </c>
      <c r="T54" s="84" t="str">
        <f t="shared" si="6"/>
        <v/>
      </c>
      <c r="U54" t="str">
        <f t="shared" si="7"/>
        <v/>
      </c>
    </row>
    <row r="55" spans="1:21">
      <c r="A55" s="73" t="s">
        <v>379</v>
      </c>
      <c r="B55" s="73" t="s">
        <v>340</v>
      </c>
      <c r="C55" s="74">
        <v>82</v>
      </c>
      <c r="D55" s="74"/>
      <c r="E55" s="74">
        <v>17</v>
      </c>
      <c r="F55" s="74"/>
      <c r="G55" s="74">
        <v>43</v>
      </c>
      <c r="H55" s="74"/>
      <c r="I55" s="63">
        <v>60</v>
      </c>
      <c r="J55" t="b">
        <f t="shared" si="0"/>
        <v>0</v>
      </c>
      <c r="K55" t="b">
        <f t="shared" si="1"/>
        <v>0</v>
      </c>
      <c r="M55" t="str">
        <f t="shared" si="2"/>
        <v/>
      </c>
      <c r="N55" t="str">
        <f t="shared" si="3"/>
        <v/>
      </c>
      <c r="O55" t="str">
        <f t="shared" si="4"/>
        <v/>
      </c>
      <c r="P55" t="str">
        <f>IF(M55="","",VLOOKUP(B55,'Team Stats'!$B$3:$K$18,5,0))</f>
        <v/>
      </c>
      <c r="Q55" t="str">
        <f t="shared" si="5"/>
        <v/>
      </c>
      <c r="R55" t="str">
        <f>IF(M55="","",VLOOKUP(N55,Sim!$EF$46:$EG$61,2,0))</f>
        <v/>
      </c>
      <c r="S55" t="str">
        <f>IF(M55="","",VLOOKUP(N55,'Team Stats'!$B$3:$K$18,10,0))</f>
        <v/>
      </c>
      <c r="T55" s="84" t="str">
        <f t="shared" si="6"/>
        <v/>
      </c>
      <c r="U55" t="str">
        <f t="shared" si="7"/>
        <v/>
      </c>
    </row>
    <row r="56" spans="1:21">
      <c r="A56" s="73" t="s">
        <v>380</v>
      </c>
      <c r="B56" s="73" t="s">
        <v>216</v>
      </c>
      <c r="C56" s="74">
        <v>82</v>
      </c>
      <c r="D56" s="74"/>
      <c r="E56" s="74">
        <v>23</v>
      </c>
      <c r="F56" s="74"/>
      <c r="G56" s="74">
        <v>36</v>
      </c>
      <c r="H56" s="74"/>
      <c r="I56" s="63">
        <v>59</v>
      </c>
      <c r="J56" t="b">
        <f t="shared" si="0"/>
        <v>0</v>
      </c>
      <c r="K56" t="b">
        <f t="shared" si="1"/>
        <v>0</v>
      </c>
      <c r="M56" t="str">
        <f t="shared" si="2"/>
        <v/>
      </c>
      <c r="N56" t="str">
        <f t="shared" si="3"/>
        <v/>
      </c>
      <c r="O56" t="str">
        <f t="shared" si="4"/>
        <v/>
      </c>
      <c r="P56" t="str">
        <f>IF(M56="","",VLOOKUP(B56,'Team Stats'!$B$3:$K$18,5,0))</f>
        <v/>
      </c>
      <c r="Q56" t="str">
        <f t="shared" si="5"/>
        <v/>
      </c>
      <c r="R56" t="str">
        <f>IF(M56="","",VLOOKUP(N56,Sim!$EF$46:$EG$61,2,0))</f>
        <v/>
      </c>
      <c r="S56" t="str">
        <f>IF(M56="","",VLOOKUP(N56,'Team Stats'!$B$3:$K$18,10,0))</f>
        <v/>
      </c>
      <c r="T56" s="84" t="str">
        <f t="shared" si="6"/>
        <v/>
      </c>
      <c r="U56" t="str">
        <f t="shared" si="7"/>
        <v/>
      </c>
    </row>
    <row r="57" spans="1:21">
      <c r="A57" s="73" t="s">
        <v>381</v>
      </c>
      <c r="B57" s="73" t="s">
        <v>216</v>
      </c>
      <c r="C57" s="74">
        <v>82</v>
      </c>
      <c r="D57" s="74"/>
      <c r="E57" s="74">
        <v>29</v>
      </c>
      <c r="F57" s="74"/>
      <c r="G57" s="74">
        <v>30</v>
      </c>
      <c r="H57" s="74"/>
      <c r="I57" s="63">
        <v>59</v>
      </c>
      <c r="J57" t="b">
        <f t="shared" si="0"/>
        <v>0</v>
      </c>
      <c r="K57" t="b">
        <f t="shared" si="1"/>
        <v>0</v>
      </c>
      <c r="M57" t="str">
        <f t="shared" si="2"/>
        <v/>
      </c>
      <c r="N57" t="str">
        <f t="shared" si="3"/>
        <v/>
      </c>
      <c r="O57" t="str">
        <f t="shared" si="4"/>
        <v/>
      </c>
      <c r="P57" t="str">
        <f>IF(M57="","",VLOOKUP(B57,'Team Stats'!$B$3:$K$18,5,0))</f>
        <v/>
      </c>
      <c r="Q57" t="str">
        <f t="shared" si="5"/>
        <v/>
      </c>
      <c r="R57" t="str">
        <f>IF(M57="","",VLOOKUP(N57,Sim!$EF$46:$EG$61,2,0))</f>
        <v/>
      </c>
      <c r="S57" t="str">
        <f>IF(M57="","",VLOOKUP(N57,'Team Stats'!$B$3:$K$18,10,0))</f>
        <v/>
      </c>
      <c r="T57" s="84" t="str">
        <f t="shared" si="6"/>
        <v/>
      </c>
      <c r="U57" t="str">
        <f t="shared" si="7"/>
        <v/>
      </c>
    </row>
    <row r="58" spans="1:21">
      <c r="A58" s="73" t="s">
        <v>382</v>
      </c>
      <c r="B58" s="73" t="s">
        <v>200</v>
      </c>
      <c r="C58" s="74">
        <v>80</v>
      </c>
      <c r="D58" s="74"/>
      <c r="E58" s="74">
        <v>26</v>
      </c>
      <c r="F58" s="74"/>
      <c r="G58" s="74">
        <v>32</v>
      </c>
      <c r="H58" s="74"/>
      <c r="I58" s="63">
        <v>58</v>
      </c>
      <c r="J58" t="b">
        <f t="shared" si="0"/>
        <v>1</v>
      </c>
      <c r="K58" t="b">
        <f t="shared" si="1"/>
        <v>1</v>
      </c>
      <c r="M58" t="str">
        <f t="shared" si="2"/>
        <v> David Backes</v>
      </c>
      <c r="N58" t="str">
        <f t="shared" si="3"/>
        <v>STL</v>
      </c>
      <c r="O58">
        <f t="shared" si="4"/>
        <v>58</v>
      </c>
      <c r="P58">
        <f>IF(M58="","",VLOOKUP(B58,'Team Stats'!$B$3:$K$18,5,0))</f>
        <v>660</v>
      </c>
      <c r="Q58">
        <f t="shared" si="5"/>
        <v>8.7878787878787876E-2</v>
      </c>
      <c r="R58">
        <f ca="1">IF(M58="","",VLOOKUP(N58,Sim!$EF$46:$EG$61,2,0))</f>
        <v>10.87</v>
      </c>
      <c r="S58">
        <f ca="1">IF(M58="","",VLOOKUP(N58,'Team Stats'!$B$3:$K$18,10,0))</f>
        <v>87.490243902439019</v>
      </c>
      <c r="T58" s="84">
        <f t="shared" ca="1" si="6"/>
        <v>7.6885365853658527</v>
      </c>
      <c r="U58">
        <f t="shared" ca="1" si="7"/>
        <v>22</v>
      </c>
    </row>
    <row r="59" spans="1:21">
      <c r="A59" s="73" t="s">
        <v>383</v>
      </c>
      <c r="B59" s="73" t="s">
        <v>340</v>
      </c>
      <c r="C59" s="74">
        <v>82</v>
      </c>
      <c r="D59" s="74"/>
      <c r="E59" s="74">
        <v>19</v>
      </c>
      <c r="F59" s="74"/>
      <c r="G59" s="74">
        <v>38</v>
      </c>
      <c r="H59" s="74"/>
      <c r="I59" s="63">
        <v>57</v>
      </c>
      <c r="J59" t="b">
        <f t="shared" si="0"/>
        <v>0</v>
      </c>
      <c r="K59" t="b">
        <f t="shared" si="1"/>
        <v>0</v>
      </c>
      <c r="M59" t="str">
        <f t="shared" si="2"/>
        <v/>
      </c>
      <c r="N59" t="str">
        <f t="shared" si="3"/>
        <v/>
      </c>
      <c r="O59" t="str">
        <f t="shared" si="4"/>
        <v/>
      </c>
      <c r="P59" t="str">
        <f>IF(M59="","",VLOOKUP(B59,'Team Stats'!$B$3:$K$18,5,0))</f>
        <v/>
      </c>
      <c r="Q59" t="str">
        <f t="shared" si="5"/>
        <v/>
      </c>
      <c r="R59" t="str">
        <f>IF(M59="","",VLOOKUP(N59,Sim!$EF$46:$EG$61,2,0))</f>
        <v/>
      </c>
      <c r="S59" t="str">
        <f>IF(M59="","",VLOOKUP(N59,'Team Stats'!$B$3:$K$18,10,0))</f>
        <v/>
      </c>
      <c r="T59" s="84" t="str">
        <f t="shared" si="6"/>
        <v/>
      </c>
      <c r="U59" t="str">
        <f t="shared" si="7"/>
        <v/>
      </c>
    </row>
    <row r="60" spans="1:21" ht="30">
      <c r="A60" s="73" t="s">
        <v>384</v>
      </c>
      <c r="B60" s="73" t="s">
        <v>215</v>
      </c>
      <c r="C60" s="74">
        <v>76</v>
      </c>
      <c r="D60" s="74"/>
      <c r="E60" s="74">
        <v>24</v>
      </c>
      <c r="F60" s="74"/>
      <c r="G60" s="74">
        <v>32</v>
      </c>
      <c r="H60" s="74"/>
      <c r="I60" s="63">
        <v>56</v>
      </c>
      <c r="J60" t="b">
        <f t="shared" si="0"/>
        <v>0</v>
      </c>
      <c r="K60" t="b">
        <f t="shared" si="1"/>
        <v>0</v>
      </c>
      <c r="M60" t="str">
        <f t="shared" si="2"/>
        <v/>
      </c>
      <c r="N60" t="str">
        <f t="shared" si="3"/>
        <v/>
      </c>
      <c r="O60" t="str">
        <f t="shared" si="4"/>
        <v/>
      </c>
      <c r="P60" t="str">
        <f>IF(M60="","",VLOOKUP(B60,'Team Stats'!$B$3:$K$18,5,0))</f>
        <v/>
      </c>
      <c r="Q60" t="str">
        <f t="shared" si="5"/>
        <v/>
      </c>
      <c r="R60" t="str">
        <f>IF(M60="","",VLOOKUP(N60,Sim!$EF$46:$EG$61,2,0))</f>
        <v/>
      </c>
      <c r="S60" t="str">
        <f>IF(M60="","",VLOOKUP(N60,'Team Stats'!$B$3:$K$18,10,0))</f>
        <v/>
      </c>
      <c r="T60" s="84" t="str">
        <f t="shared" si="6"/>
        <v/>
      </c>
      <c r="U60" t="str">
        <f t="shared" si="7"/>
        <v/>
      </c>
    </row>
    <row r="61" spans="1:21" ht="30">
      <c r="A61" s="73" t="s">
        <v>385</v>
      </c>
      <c r="B61" s="73" t="s">
        <v>213</v>
      </c>
      <c r="C61" s="74">
        <v>82</v>
      </c>
      <c r="D61" s="74"/>
      <c r="E61" s="74">
        <v>27</v>
      </c>
      <c r="F61" s="74"/>
      <c r="G61" s="74">
        <v>29</v>
      </c>
      <c r="H61" s="74"/>
      <c r="I61" s="63">
        <v>56</v>
      </c>
      <c r="J61" t="b">
        <f t="shared" si="0"/>
        <v>0</v>
      </c>
      <c r="K61" t="b">
        <f t="shared" si="1"/>
        <v>0</v>
      </c>
      <c r="M61" t="str">
        <f t="shared" si="2"/>
        <v/>
      </c>
      <c r="N61" t="str">
        <f t="shared" si="3"/>
        <v/>
      </c>
      <c r="O61" t="str">
        <f t="shared" si="4"/>
        <v/>
      </c>
      <c r="P61" t="str">
        <f>IF(M61="","",VLOOKUP(B61,'Team Stats'!$B$3:$K$18,5,0))</f>
        <v/>
      </c>
      <c r="Q61" t="str">
        <f t="shared" si="5"/>
        <v/>
      </c>
      <c r="R61" t="str">
        <f>IF(M61="","",VLOOKUP(N61,Sim!$EF$46:$EG$61,2,0))</f>
        <v/>
      </c>
      <c r="S61" t="str">
        <f>IF(M61="","",VLOOKUP(N61,'Team Stats'!$B$3:$K$18,10,0))</f>
        <v/>
      </c>
      <c r="T61" s="84" t="str">
        <f t="shared" si="6"/>
        <v/>
      </c>
      <c r="U61" t="str">
        <f t="shared" si="7"/>
        <v/>
      </c>
    </row>
    <row r="62" spans="1:21">
      <c r="A62" s="73" t="s">
        <v>386</v>
      </c>
      <c r="B62" s="73" t="s">
        <v>208</v>
      </c>
      <c r="C62" s="74">
        <v>80</v>
      </c>
      <c r="D62" s="74"/>
      <c r="E62" s="74">
        <v>15</v>
      </c>
      <c r="F62" s="74"/>
      <c r="G62" s="74">
        <v>41</v>
      </c>
      <c r="H62" s="74"/>
      <c r="I62" s="63">
        <v>56</v>
      </c>
      <c r="J62" t="b">
        <f t="shared" si="0"/>
        <v>0</v>
      </c>
      <c r="K62" t="b">
        <f t="shared" si="1"/>
        <v>0</v>
      </c>
      <c r="M62" t="str">
        <f t="shared" si="2"/>
        <v/>
      </c>
      <c r="N62" t="str">
        <f t="shared" si="3"/>
        <v/>
      </c>
      <c r="O62" t="str">
        <f t="shared" si="4"/>
        <v/>
      </c>
      <c r="P62" t="str">
        <f>IF(M62="","",VLOOKUP(B62,'Team Stats'!$B$3:$K$18,5,0))</f>
        <v/>
      </c>
      <c r="Q62" t="str">
        <f t="shared" si="5"/>
        <v/>
      </c>
      <c r="R62" t="str">
        <f>IF(M62="","",VLOOKUP(N62,Sim!$EF$46:$EG$61,2,0))</f>
        <v/>
      </c>
      <c r="S62" t="str">
        <f>IF(M62="","",VLOOKUP(N62,'Team Stats'!$B$3:$K$18,10,0))</f>
        <v/>
      </c>
      <c r="T62" s="84" t="str">
        <f t="shared" si="6"/>
        <v/>
      </c>
      <c r="U62" t="str">
        <f t="shared" si="7"/>
        <v/>
      </c>
    </row>
    <row r="63" spans="1:21">
      <c r="A63" s="73" t="s">
        <v>387</v>
      </c>
      <c r="B63" s="73" t="s">
        <v>209</v>
      </c>
      <c r="C63" s="74">
        <v>82</v>
      </c>
      <c r="D63" s="74"/>
      <c r="E63" s="74">
        <v>29</v>
      </c>
      <c r="F63" s="74"/>
      <c r="G63" s="74">
        <v>27</v>
      </c>
      <c r="H63" s="74"/>
      <c r="I63" s="63">
        <v>56</v>
      </c>
      <c r="J63" t="b">
        <f t="shared" si="0"/>
        <v>1</v>
      </c>
      <c r="K63" t="b">
        <f t="shared" si="1"/>
        <v>1</v>
      </c>
      <c r="M63" t="str">
        <f t="shared" si="2"/>
        <v> Tomas Tatar</v>
      </c>
      <c r="N63" t="str">
        <f t="shared" si="3"/>
        <v>DET</v>
      </c>
      <c r="O63">
        <f t="shared" si="4"/>
        <v>56</v>
      </c>
      <c r="P63">
        <f>IF(M63="","",VLOOKUP(B63,'Team Stats'!$B$3:$K$18,5,0))</f>
        <v>630</v>
      </c>
      <c r="Q63">
        <f t="shared" si="5"/>
        <v>8.8888888888888892E-2</v>
      </c>
      <c r="R63">
        <f ca="1">IF(M63="","",VLOOKUP(N63,Sim!$EF$46:$EG$61,2,0))</f>
        <v>10.06</v>
      </c>
      <c r="S63">
        <f ca="1">IF(M63="","",VLOOKUP(N63,'Team Stats'!$B$3:$K$18,10,0))</f>
        <v>77.29024390243903</v>
      </c>
      <c r="T63" s="84">
        <f t="shared" ca="1" si="6"/>
        <v>6.8702439024390252</v>
      </c>
      <c r="U63">
        <f t="shared" ca="1" si="7"/>
        <v>31</v>
      </c>
    </row>
    <row r="64" spans="1:21">
      <c r="A64" s="73" t="s">
        <v>388</v>
      </c>
      <c r="B64" s="73" t="s">
        <v>216</v>
      </c>
      <c r="C64" s="74">
        <v>82</v>
      </c>
      <c r="D64" s="74"/>
      <c r="E64" s="74">
        <v>21</v>
      </c>
      <c r="F64" s="74"/>
      <c r="G64" s="74">
        <v>34</v>
      </c>
      <c r="H64" s="74"/>
      <c r="I64" s="63">
        <v>55</v>
      </c>
      <c r="J64" t="b">
        <f t="shared" si="0"/>
        <v>0</v>
      </c>
      <c r="K64" t="b">
        <f t="shared" si="1"/>
        <v>0</v>
      </c>
      <c r="M64" t="str">
        <f t="shared" si="2"/>
        <v/>
      </c>
      <c r="N64" t="str">
        <f t="shared" si="3"/>
        <v/>
      </c>
      <c r="O64" t="str">
        <f t="shared" si="4"/>
        <v/>
      </c>
      <c r="P64" t="str">
        <f>IF(M64="","",VLOOKUP(B64,'Team Stats'!$B$3:$K$18,5,0))</f>
        <v/>
      </c>
      <c r="Q64" t="str">
        <f t="shared" si="5"/>
        <v/>
      </c>
      <c r="R64" t="str">
        <f>IF(M64="","",VLOOKUP(N64,Sim!$EF$46:$EG$61,2,0))</f>
        <v/>
      </c>
      <c r="S64" t="str">
        <f>IF(M64="","",VLOOKUP(N64,'Team Stats'!$B$3:$K$18,10,0))</f>
        <v/>
      </c>
      <c r="T64" s="84" t="str">
        <f t="shared" si="6"/>
        <v/>
      </c>
      <c r="U64" t="str">
        <f t="shared" si="7"/>
        <v/>
      </c>
    </row>
    <row r="65" spans="1:21">
      <c r="A65" s="73" t="s">
        <v>389</v>
      </c>
      <c r="B65" s="73" t="s">
        <v>325</v>
      </c>
      <c r="C65" s="74">
        <v>82</v>
      </c>
      <c r="D65" s="74"/>
      <c r="E65" s="74">
        <v>12</v>
      </c>
      <c r="F65" s="74"/>
      <c r="G65" s="74">
        <v>43</v>
      </c>
      <c r="H65" s="74"/>
      <c r="I65" s="63">
        <v>55</v>
      </c>
      <c r="J65" t="b">
        <f t="shared" si="0"/>
        <v>0</v>
      </c>
      <c r="K65" t="b">
        <f t="shared" si="1"/>
        <v>0</v>
      </c>
      <c r="M65" t="str">
        <f t="shared" si="2"/>
        <v/>
      </c>
      <c r="N65" t="str">
        <f t="shared" si="3"/>
        <v/>
      </c>
      <c r="O65" t="str">
        <f t="shared" si="4"/>
        <v/>
      </c>
      <c r="P65" t="str">
        <f>IF(M65="","",VLOOKUP(B65,'Team Stats'!$B$3:$K$18,5,0))</f>
        <v/>
      </c>
      <c r="Q65" t="str">
        <f t="shared" si="5"/>
        <v/>
      </c>
      <c r="R65" t="str">
        <f>IF(M65="","",VLOOKUP(N65,Sim!$EF$46:$EG$61,2,0))</f>
        <v/>
      </c>
      <c r="S65" t="str">
        <f>IF(M65="","",VLOOKUP(N65,'Team Stats'!$B$3:$K$18,10,0))</f>
        <v/>
      </c>
      <c r="T65" s="84" t="str">
        <f t="shared" si="6"/>
        <v/>
      </c>
      <c r="U65" t="str">
        <f t="shared" si="7"/>
        <v/>
      </c>
    </row>
    <row r="66" spans="1:21">
      <c r="A66" s="73" t="s">
        <v>390</v>
      </c>
      <c r="B66" s="73" t="s">
        <v>216</v>
      </c>
      <c r="C66" s="74">
        <v>82</v>
      </c>
      <c r="D66" s="74"/>
      <c r="E66" s="74">
        <v>17</v>
      </c>
      <c r="F66" s="74"/>
      <c r="G66" s="74">
        <v>38</v>
      </c>
      <c r="H66" s="74"/>
      <c r="I66" s="63">
        <v>55</v>
      </c>
      <c r="J66" t="b">
        <f t="shared" si="0"/>
        <v>0</v>
      </c>
      <c r="K66" t="b">
        <f t="shared" si="1"/>
        <v>0</v>
      </c>
      <c r="M66" t="str">
        <f t="shared" si="2"/>
        <v/>
      </c>
      <c r="N66" t="str">
        <f t="shared" si="3"/>
        <v/>
      </c>
      <c r="O66" t="str">
        <f t="shared" si="4"/>
        <v/>
      </c>
      <c r="P66" t="str">
        <f>IF(M66="","",VLOOKUP(B66,'Team Stats'!$B$3:$K$18,5,0))</f>
        <v/>
      </c>
      <c r="Q66" t="str">
        <f t="shared" si="5"/>
        <v/>
      </c>
      <c r="R66" t="str">
        <f>IF(M66="","",VLOOKUP(N66,Sim!$EF$46:$EG$61,2,0))</f>
        <v/>
      </c>
      <c r="S66" t="str">
        <f>IF(M66="","",VLOOKUP(N66,'Team Stats'!$B$3:$K$18,10,0))</f>
        <v/>
      </c>
      <c r="T66" s="84" t="str">
        <f t="shared" si="6"/>
        <v/>
      </c>
      <c r="U66" t="str">
        <f t="shared" si="7"/>
        <v/>
      </c>
    </row>
    <row r="67" spans="1:21">
      <c r="A67" s="73" t="s">
        <v>391</v>
      </c>
      <c r="B67" s="73" t="s">
        <v>365</v>
      </c>
      <c r="C67" s="74">
        <v>81</v>
      </c>
      <c r="D67" s="74"/>
      <c r="E67" s="74">
        <v>15</v>
      </c>
      <c r="F67" s="74"/>
      <c r="G67" s="74">
        <v>40</v>
      </c>
      <c r="H67" s="74"/>
      <c r="I67" s="63">
        <v>55</v>
      </c>
      <c r="J67" t="b">
        <f t="shared" si="0"/>
        <v>0</v>
      </c>
      <c r="K67" t="b">
        <f t="shared" si="1"/>
        <v>0</v>
      </c>
      <c r="M67" t="str">
        <f t="shared" si="2"/>
        <v/>
      </c>
      <c r="N67" t="str">
        <f t="shared" si="3"/>
        <v/>
      </c>
      <c r="O67" t="str">
        <f t="shared" si="4"/>
        <v/>
      </c>
      <c r="P67" t="str">
        <f>IF(M67="","",VLOOKUP(B67,'Team Stats'!$B$3:$K$18,5,0))</f>
        <v/>
      </c>
      <c r="Q67" t="str">
        <f t="shared" si="5"/>
        <v/>
      </c>
      <c r="R67" t="str">
        <f>IF(M67="","",VLOOKUP(N67,Sim!$EF$46:$EG$61,2,0))</f>
        <v/>
      </c>
      <c r="S67" t="str">
        <f>IF(M67="","",VLOOKUP(N67,'Team Stats'!$B$3:$K$18,10,0))</f>
        <v/>
      </c>
      <c r="T67" s="84" t="str">
        <f t="shared" si="6"/>
        <v/>
      </c>
      <c r="U67" t="str">
        <f t="shared" si="7"/>
        <v/>
      </c>
    </row>
    <row r="68" spans="1:21">
      <c r="A68" s="73" t="s">
        <v>392</v>
      </c>
      <c r="B68" s="73" t="s">
        <v>205</v>
      </c>
      <c r="C68" s="74">
        <v>67</v>
      </c>
      <c r="D68" s="74"/>
      <c r="E68" s="74">
        <v>33</v>
      </c>
      <c r="F68" s="74"/>
      <c r="G68" s="74">
        <v>22</v>
      </c>
      <c r="H68" s="74"/>
      <c r="I68" s="63">
        <v>55</v>
      </c>
      <c r="J68" t="b">
        <f t="shared" ref="J68:J131" si="8">OR(B68="MTL",B68="OTT",B68="TBL",B68="DET",B68="WSH",B68="NYI",B68="NYR",B68="PIT",B68="STL",B68="MIN",B68="NSH",B68="CHI",B68="VAN",B68="CAL",B68="ANA",B68="WPG")</f>
        <v>1</v>
      </c>
      <c r="K68" t="b">
        <f t="shared" ref="K68:K131" si="9">J68</f>
        <v>1</v>
      </c>
      <c r="M68" t="str">
        <f t="shared" ref="M68:M131" si="10">IF(K68=FALSE,"",A68)</f>
        <v> Corey Perry</v>
      </c>
      <c r="N68" t="str">
        <f t="shared" ref="N68:N131" si="11">IF(M68="","",B68)</f>
        <v>ANA</v>
      </c>
      <c r="O68">
        <f t="shared" ref="O68:O131" si="12">IF(M68="","",I68)</f>
        <v>55</v>
      </c>
      <c r="P68">
        <f>IF(M68="","",VLOOKUP(B68,'Team Stats'!$B$3:$K$18,5,0))</f>
        <v>613</v>
      </c>
      <c r="Q68">
        <f t="shared" ref="Q68:Q131" si="13">IF(N68="","",IF(O68=0,0,O68/P68))</f>
        <v>8.9722675367047311E-2</v>
      </c>
      <c r="R68">
        <f ca="1">IF(M68="","",VLOOKUP(N68,Sim!$EF$46:$EG$61,2,0))</f>
        <v>14.85</v>
      </c>
      <c r="S68">
        <f ca="1">IF(M68="","",VLOOKUP(N68,'Team Stats'!$B$3:$K$18,10,0))</f>
        <v>111.01280487804878</v>
      </c>
      <c r="T68" s="84">
        <f t="shared" ref="T68:T131" ca="1" si="14">IF(M68="","",IF(O68=0,0,Q68*S68))</f>
        <v>9.9603658536585371</v>
      </c>
      <c r="U68">
        <f t="shared" ref="U68:U131" ca="1" si="15">IF(M68="","",RANK(T68,$T$3:$T$884,0))</f>
        <v>4</v>
      </c>
    </row>
    <row r="69" spans="1:21">
      <c r="A69" s="73" t="s">
        <v>393</v>
      </c>
      <c r="B69" s="73" t="s">
        <v>200</v>
      </c>
      <c r="C69" s="74">
        <v>72</v>
      </c>
      <c r="D69" s="74"/>
      <c r="E69" s="74">
        <v>19</v>
      </c>
      <c r="F69" s="74"/>
      <c r="G69" s="74">
        <v>36</v>
      </c>
      <c r="H69" s="74"/>
      <c r="I69" s="63">
        <v>55</v>
      </c>
      <c r="J69" t="b">
        <f t="shared" si="8"/>
        <v>1</v>
      </c>
      <c r="K69" t="b">
        <f t="shared" si="9"/>
        <v>1</v>
      </c>
      <c r="M69" t="str">
        <f t="shared" si="10"/>
        <v> T.J. Oshie</v>
      </c>
      <c r="N69" t="str">
        <f t="shared" si="11"/>
        <v>STL</v>
      </c>
      <c r="O69">
        <f t="shared" si="12"/>
        <v>55</v>
      </c>
      <c r="P69">
        <f>IF(M69="","",VLOOKUP(B69,'Team Stats'!$B$3:$K$18,5,0))</f>
        <v>660</v>
      </c>
      <c r="Q69">
        <f t="shared" si="13"/>
        <v>8.3333333333333329E-2</v>
      </c>
      <c r="R69">
        <f ca="1">IF(M69="","",VLOOKUP(N69,Sim!$EF$46:$EG$61,2,0))</f>
        <v>10.87</v>
      </c>
      <c r="S69">
        <f ca="1">IF(M69="","",VLOOKUP(N69,'Team Stats'!$B$3:$K$18,10,0))</f>
        <v>87.490243902439019</v>
      </c>
      <c r="T69" s="84">
        <f t="shared" ca="1" si="14"/>
        <v>7.2908536585365846</v>
      </c>
      <c r="U69">
        <f t="shared" ca="1" si="15"/>
        <v>26</v>
      </c>
    </row>
    <row r="70" spans="1:21">
      <c r="A70" s="73" t="s">
        <v>394</v>
      </c>
      <c r="B70" s="73" t="s">
        <v>217</v>
      </c>
      <c r="C70" s="74">
        <v>81</v>
      </c>
      <c r="D70" s="74"/>
      <c r="E70" s="74">
        <v>23</v>
      </c>
      <c r="F70" s="74"/>
      <c r="G70" s="74">
        <v>32</v>
      </c>
      <c r="H70" s="74"/>
      <c r="I70" s="63">
        <v>55</v>
      </c>
      <c r="J70" t="b">
        <f t="shared" si="8"/>
        <v>0</v>
      </c>
      <c r="K70" t="b">
        <f t="shared" si="9"/>
        <v>0</v>
      </c>
      <c r="M70" t="str">
        <f t="shared" si="10"/>
        <v/>
      </c>
      <c r="N70" t="str">
        <f t="shared" si="11"/>
        <v/>
      </c>
      <c r="O70" t="str">
        <f t="shared" si="12"/>
        <v/>
      </c>
      <c r="P70" t="str">
        <f>IF(M70="","",VLOOKUP(B70,'Team Stats'!$B$3:$K$18,5,0))</f>
        <v/>
      </c>
      <c r="Q70" t="str">
        <f t="shared" si="13"/>
        <v/>
      </c>
      <c r="R70" t="str">
        <f>IF(M70="","",VLOOKUP(N70,Sim!$EF$46:$EG$61,2,0))</f>
        <v/>
      </c>
      <c r="S70" t="str">
        <f>IF(M70="","",VLOOKUP(N70,'Team Stats'!$B$3:$K$18,10,0))</f>
        <v/>
      </c>
      <c r="T70" s="84" t="str">
        <f t="shared" si="14"/>
        <v/>
      </c>
      <c r="U70" t="str">
        <f t="shared" si="15"/>
        <v/>
      </c>
    </row>
    <row r="71" spans="1:21">
      <c r="A71" s="73" t="s">
        <v>395</v>
      </c>
      <c r="B71" s="73" t="s">
        <v>216</v>
      </c>
      <c r="C71" s="74">
        <v>80</v>
      </c>
      <c r="D71" s="74"/>
      <c r="E71" s="74">
        <v>22</v>
      </c>
      <c r="F71" s="74"/>
      <c r="G71" s="74">
        <v>33</v>
      </c>
      <c r="H71" s="74"/>
      <c r="I71" s="63">
        <v>55</v>
      </c>
      <c r="J71" t="b">
        <f t="shared" si="8"/>
        <v>0</v>
      </c>
      <c r="K71" t="b">
        <f t="shared" si="9"/>
        <v>0</v>
      </c>
      <c r="M71" t="str">
        <f t="shared" si="10"/>
        <v/>
      </c>
      <c r="N71" t="str">
        <f t="shared" si="11"/>
        <v/>
      </c>
      <c r="O71" t="str">
        <f t="shared" si="12"/>
        <v/>
      </c>
      <c r="P71" t="str">
        <f>IF(M71="","",VLOOKUP(B71,'Team Stats'!$B$3:$K$18,5,0))</f>
        <v/>
      </c>
      <c r="Q71" t="str">
        <f t="shared" si="13"/>
        <v/>
      </c>
      <c r="R71" t="str">
        <f>IF(M71="","",VLOOKUP(N71,Sim!$EF$46:$EG$61,2,0))</f>
        <v/>
      </c>
      <c r="S71" t="str">
        <f>IF(M71="","",VLOOKUP(N71,'Team Stats'!$B$3:$K$18,10,0))</f>
        <v/>
      </c>
      <c r="T71" s="84" t="str">
        <f t="shared" si="14"/>
        <v/>
      </c>
      <c r="U71" t="str">
        <f t="shared" si="15"/>
        <v/>
      </c>
    </row>
    <row r="72" spans="1:21">
      <c r="A72" s="73" t="s">
        <v>396</v>
      </c>
      <c r="B72" s="73" t="s">
        <v>203</v>
      </c>
      <c r="C72" s="74">
        <v>68</v>
      </c>
      <c r="D72" s="74"/>
      <c r="E72" s="74">
        <v>16</v>
      </c>
      <c r="F72" s="74"/>
      <c r="G72" s="74">
        <v>39</v>
      </c>
      <c r="H72" s="74"/>
      <c r="I72" s="63">
        <v>55</v>
      </c>
      <c r="J72" t="b">
        <f t="shared" si="8"/>
        <v>1</v>
      </c>
      <c r="K72" t="b">
        <f t="shared" si="9"/>
        <v>1</v>
      </c>
      <c r="M72" t="str">
        <f t="shared" si="10"/>
        <v> Derek Stepan</v>
      </c>
      <c r="N72" t="str">
        <f t="shared" si="11"/>
        <v>NYR</v>
      </c>
      <c r="O72">
        <f t="shared" si="12"/>
        <v>55</v>
      </c>
      <c r="P72">
        <f>IF(M72="","",VLOOKUP(B72,'Team Stats'!$B$3:$K$18,5,0))</f>
        <v>659</v>
      </c>
      <c r="Q72">
        <f t="shared" si="13"/>
        <v>8.3459787556904405E-2</v>
      </c>
      <c r="R72">
        <f ca="1">IF(M72="","",VLOOKUP(N72,Sim!$EF$46:$EG$61,2,0))</f>
        <v>8.7200000000000006</v>
      </c>
      <c r="S72">
        <f ca="1">IF(M72="","",VLOOKUP(N72,'Team Stats'!$B$3:$K$18,10,0))</f>
        <v>70.079024390243916</v>
      </c>
      <c r="T72" s="84">
        <f t="shared" ca="1" si="14"/>
        <v>5.8487804878048797</v>
      </c>
      <c r="U72">
        <f t="shared" ca="1" si="15"/>
        <v>53</v>
      </c>
    </row>
    <row r="73" spans="1:21">
      <c r="A73" s="73" t="s">
        <v>397</v>
      </c>
      <c r="B73" s="73" t="s">
        <v>218</v>
      </c>
      <c r="C73" s="74">
        <v>77</v>
      </c>
      <c r="D73" s="74"/>
      <c r="E73" s="74">
        <v>23</v>
      </c>
      <c r="F73" s="74"/>
      <c r="G73" s="74">
        <v>31</v>
      </c>
      <c r="H73" s="74"/>
      <c r="I73" s="63">
        <v>54</v>
      </c>
      <c r="J73" t="b">
        <f t="shared" si="8"/>
        <v>0</v>
      </c>
      <c r="K73" t="b">
        <f t="shared" si="9"/>
        <v>0</v>
      </c>
      <c r="M73" t="str">
        <f t="shared" si="10"/>
        <v/>
      </c>
      <c r="N73" t="str">
        <f t="shared" si="11"/>
        <v/>
      </c>
      <c r="O73" t="str">
        <f t="shared" si="12"/>
        <v/>
      </c>
      <c r="P73" t="str">
        <f>IF(M73="","",VLOOKUP(B73,'Team Stats'!$B$3:$K$18,5,0))</f>
        <v/>
      </c>
      <c r="Q73" t="str">
        <f t="shared" si="13"/>
        <v/>
      </c>
      <c r="R73" t="str">
        <f>IF(M73="","",VLOOKUP(N73,Sim!$EF$46:$EG$61,2,0))</f>
        <v/>
      </c>
      <c r="S73" t="str">
        <f>IF(M73="","",VLOOKUP(N73,'Team Stats'!$B$3:$K$18,10,0))</f>
        <v/>
      </c>
      <c r="T73" s="84" t="str">
        <f t="shared" si="14"/>
        <v/>
      </c>
      <c r="U73" t="str">
        <f t="shared" si="15"/>
        <v/>
      </c>
    </row>
    <row r="74" spans="1:21">
      <c r="A74" s="73" t="s">
        <v>398</v>
      </c>
      <c r="B74" s="73" t="s">
        <v>214</v>
      </c>
      <c r="C74" s="74">
        <v>78</v>
      </c>
      <c r="D74" s="74"/>
      <c r="E74" s="74">
        <v>18</v>
      </c>
      <c r="F74" s="74"/>
      <c r="G74" s="74">
        <v>36</v>
      </c>
      <c r="H74" s="74"/>
      <c r="I74" s="63">
        <v>54</v>
      </c>
      <c r="J74" t="b">
        <f t="shared" si="8"/>
        <v>1</v>
      </c>
      <c r="K74" t="b">
        <f t="shared" si="9"/>
        <v>1</v>
      </c>
      <c r="M74" t="str">
        <f t="shared" si="10"/>
        <v> Bobby Ryan</v>
      </c>
      <c r="N74" t="str">
        <f t="shared" si="11"/>
        <v>OTT</v>
      </c>
      <c r="O74">
        <f t="shared" si="12"/>
        <v>54</v>
      </c>
      <c r="P74">
        <f>IF(M74="","",VLOOKUP(B74,'Team Stats'!$B$3:$K$18,5,0))</f>
        <v>619</v>
      </c>
      <c r="Q74">
        <f t="shared" si="13"/>
        <v>8.723747980613894E-2</v>
      </c>
      <c r="R74">
        <f ca="1">IF(M74="","",VLOOKUP(N74,Sim!$EF$46:$EG$61,2,0))</f>
        <v>10.71</v>
      </c>
      <c r="S74">
        <f ca="1">IF(M74="","",VLOOKUP(N74,'Team Stats'!$B$3:$K$18,10,0))</f>
        <v>80.847439024390255</v>
      </c>
      <c r="T74" s="84">
        <f t="shared" ca="1" si="14"/>
        <v>7.0529268292682943</v>
      </c>
      <c r="U74">
        <f t="shared" ca="1" si="15"/>
        <v>29</v>
      </c>
    </row>
    <row r="75" spans="1:21">
      <c r="A75" s="73" t="s">
        <v>399</v>
      </c>
      <c r="B75" s="73" t="s">
        <v>212</v>
      </c>
      <c r="C75" s="74">
        <v>82</v>
      </c>
      <c r="D75" s="74"/>
      <c r="E75" s="74">
        <v>18</v>
      </c>
      <c r="F75" s="74"/>
      <c r="G75" s="74">
        <v>36</v>
      </c>
      <c r="H75" s="74"/>
      <c r="I75" s="63">
        <v>54</v>
      </c>
      <c r="J75" t="b">
        <f t="shared" si="8"/>
        <v>1</v>
      </c>
      <c r="K75" t="b">
        <f t="shared" si="9"/>
        <v>1</v>
      </c>
      <c r="M75" t="str">
        <f t="shared" si="10"/>
        <v> Jason Pominville</v>
      </c>
      <c r="N75" t="str">
        <f t="shared" si="11"/>
        <v>MIN</v>
      </c>
      <c r="O75">
        <f t="shared" si="12"/>
        <v>54</v>
      </c>
      <c r="P75">
        <f>IF(M75="","",VLOOKUP(B75,'Team Stats'!$B$3:$K$18,5,0))</f>
        <v>608</v>
      </c>
      <c r="Q75">
        <f t="shared" si="13"/>
        <v>8.8815789473684209E-2</v>
      </c>
      <c r="R75">
        <f ca="1">IF(M75="","",VLOOKUP(N75,Sim!$EF$46:$EG$61,2,0))</f>
        <v>11.71</v>
      </c>
      <c r="S75">
        <f ca="1">IF(M75="","",VLOOKUP(N75,'Team Stats'!$B$3:$K$18,10,0))</f>
        <v>86.825365853658553</v>
      </c>
      <c r="T75" s="84">
        <f t="shared" ca="1" si="14"/>
        <v>7.7114634146341476</v>
      </c>
      <c r="U75">
        <f t="shared" ca="1" si="15"/>
        <v>21</v>
      </c>
    </row>
    <row r="76" spans="1:21">
      <c r="A76" s="73" t="s">
        <v>400</v>
      </c>
      <c r="B76" s="73" t="s">
        <v>336</v>
      </c>
      <c r="C76" s="74">
        <v>77</v>
      </c>
      <c r="D76" s="74"/>
      <c r="E76" s="74">
        <v>24</v>
      </c>
      <c r="F76" s="74"/>
      <c r="G76" s="74">
        <v>30</v>
      </c>
      <c r="H76" s="74"/>
      <c r="I76" s="63">
        <v>54</v>
      </c>
      <c r="J76" t="b">
        <f t="shared" si="8"/>
        <v>0</v>
      </c>
      <c r="K76" t="b">
        <f t="shared" si="9"/>
        <v>0</v>
      </c>
      <c r="M76" t="str">
        <f t="shared" si="10"/>
        <v/>
      </c>
      <c r="N76" t="str">
        <f t="shared" si="11"/>
        <v/>
      </c>
      <c r="O76" t="str">
        <f t="shared" si="12"/>
        <v/>
      </c>
      <c r="P76" t="str">
        <f>IF(M76="","",VLOOKUP(B76,'Team Stats'!$B$3:$K$18,5,0))</f>
        <v/>
      </c>
      <c r="Q76" t="str">
        <f t="shared" si="13"/>
        <v/>
      </c>
      <c r="R76" t="str">
        <f>IF(M76="","",VLOOKUP(N76,Sim!$EF$46:$EG$61,2,0))</f>
        <v/>
      </c>
      <c r="S76" t="str">
        <f>IF(M76="","",VLOOKUP(N76,'Team Stats'!$B$3:$K$18,10,0))</f>
        <v/>
      </c>
      <c r="T76" s="84" t="str">
        <f t="shared" si="14"/>
        <v/>
      </c>
      <c r="U76" t="str">
        <f t="shared" si="15"/>
        <v/>
      </c>
    </row>
    <row r="77" spans="1:21" ht="30">
      <c r="A77" s="73" t="s">
        <v>401</v>
      </c>
      <c r="B77" s="73" t="s">
        <v>219</v>
      </c>
      <c r="C77" s="74">
        <v>79</v>
      </c>
      <c r="D77" s="74"/>
      <c r="E77" s="74">
        <v>15</v>
      </c>
      <c r="F77" s="74"/>
      <c r="G77" s="74">
        <v>39</v>
      </c>
      <c r="H77" s="74"/>
      <c r="I77" s="63">
        <v>54</v>
      </c>
      <c r="J77" t="b">
        <f t="shared" si="8"/>
        <v>0</v>
      </c>
      <c r="K77" t="b">
        <f t="shared" si="9"/>
        <v>0</v>
      </c>
      <c r="M77" t="str">
        <f t="shared" si="10"/>
        <v/>
      </c>
      <c r="N77" t="str">
        <f t="shared" si="11"/>
        <v/>
      </c>
      <c r="O77" t="str">
        <f t="shared" si="12"/>
        <v/>
      </c>
      <c r="P77" t="str">
        <f>IF(M77="","",VLOOKUP(B77,'Team Stats'!$B$3:$K$18,5,0))</f>
        <v/>
      </c>
      <c r="Q77" t="str">
        <f t="shared" si="13"/>
        <v/>
      </c>
      <c r="R77" t="str">
        <f>IF(M77="","",VLOOKUP(N77,Sim!$EF$46:$EG$61,2,0))</f>
        <v/>
      </c>
      <c r="S77" t="str">
        <f>IF(M77="","",VLOOKUP(N77,'Team Stats'!$B$3:$K$18,10,0))</f>
        <v/>
      </c>
      <c r="T77" s="84" t="str">
        <f t="shared" si="14"/>
        <v/>
      </c>
      <c r="U77" t="str">
        <f t="shared" si="15"/>
        <v/>
      </c>
    </row>
    <row r="78" spans="1:21">
      <c r="A78" s="73" t="s">
        <v>402</v>
      </c>
      <c r="B78" s="73" t="s">
        <v>209</v>
      </c>
      <c r="C78" s="74">
        <v>82</v>
      </c>
      <c r="D78" s="74"/>
      <c r="E78" s="74">
        <v>27</v>
      </c>
      <c r="F78" s="74"/>
      <c r="G78" s="74">
        <v>27</v>
      </c>
      <c r="H78" s="74"/>
      <c r="I78" s="63">
        <v>54</v>
      </c>
      <c r="J78" t="b">
        <f t="shared" si="8"/>
        <v>1</v>
      </c>
      <c r="K78" t="b">
        <f t="shared" si="9"/>
        <v>1</v>
      </c>
      <c r="M78" t="str">
        <f t="shared" si="10"/>
        <v> Gustav Nyquist</v>
      </c>
      <c r="N78" t="str">
        <f t="shared" si="11"/>
        <v>DET</v>
      </c>
      <c r="O78">
        <f t="shared" si="12"/>
        <v>54</v>
      </c>
      <c r="P78">
        <f>IF(M78="","",VLOOKUP(B78,'Team Stats'!$B$3:$K$18,5,0))</f>
        <v>630</v>
      </c>
      <c r="Q78">
        <f t="shared" si="13"/>
        <v>8.5714285714285715E-2</v>
      </c>
      <c r="R78">
        <f ca="1">IF(M78="","",VLOOKUP(N78,Sim!$EF$46:$EG$61,2,0))</f>
        <v>10.06</v>
      </c>
      <c r="S78">
        <f ca="1">IF(M78="","",VLOOKUP(N78,'Team Stats'!$B$3:$K$18,10,0))</f>
        <v>77.29024390243903</v>
      </c>
      <c r="T78" s="84">
        <f t="shared" ca="1" si="14"/>
        <v>6.6248780487804888</v>
      </c>
      <c r="U78">
        <f t="shared" ca="1" si="15"/>
        <v>38</v>
      </c>
    </row>
    <row r="79" spans="1:21">
      <c r="A79" s="73" t="s">
        <v>403</v>
      </c>
      <c r="B79" s="73" t="s">
        <v>198</v>
      </c>
      <c r="C79" s="74">
        <v>69</v>
      </c>
      <c r="D79" s="74"/>
      <c r="E79" s="74">
        <v>11</v>
      </c>
      <c r="F79" s="74"/>
      <c r="G79" s="74">
        <v>43</v>
      </c>
      <c r="H79" s="74"/>
      <c r="I79" s="63">
        <v>54</v>
      </c>
      <c r="J79" t="b">
        <f t="shared" si="8"/>
        <v>1</v>
      </c>
      <c r="K79" t="b">
        <f t="shared" si="9"/>
        <v>1</v>
      </c>
      <c r="M79" t="str">
        <f t="shared" si="10"/>
        <v> Kris Letang</v>
      </c>
      <c r="N79" t="str">
        <f t="shared" si="11"/>
        <v>PIT</v>
      </c>
      <c r="O79">
        <f t="shared" si="12"/>
        <v>54</v>
      </c>
      <c r="P79">
        <f>IF(M79="","",VLOOKUP(B79,'Team Stats'!$B$3:$K$18,5,0))</f>
        <v>600</v>
      </c>
      <c r="Q79">
        <f t="shared" si="13"/>
        <v>0.09</v>
      </c>
      <c r="R79">
        <f ca="1">IF(M79="","",VLOOKUP(N79,Sim!$EF$46:$EG$61,2,0))</f>
        <v>9.74</v>
      </c>
      <c r="S79">
        <f ca="1">IF(M79="","",VLOOKUP(N79,'Team Stats'!$B$3:$K$18,10,0))</f>
        <v>71.268292682926827</v>
      </c>
      <c r="T79" s="84">
        <f t="shared" ca="1" si="14"/>
        <v>6.4141463414634146</v>
      </c>
      <c r="U79">
        <f t="shared" ca="1" si="15"/>
        <v>41</v>
      </c>
    </row>
    <row r="80" spans="1:21">
      <c r="A80" s="73" t="s">
        <v>404</v>
      </c>
      <c r="B80" s="73" t="s">
        <v>216</v>
      </c>
      <c r="C80" s="74">
        <v>80</v>
      </c>
      <c r="D80" s="74"/>
      <c r="E80" s="74">
        <v>12</v>
      </c>
      <c r="F80" s="74"/>
      <c r="G80" s="74">
        <v>41</v>
      </c>
      <c r="H80" s="74"/>
      <c r="I80" s="63">
        <v>53</v>
      </c>
      <c r="J80" t="b">
        <f t="shared" si="8"/>
        <v>0</v>
      </c>
      <c r="K80" t="b">
        <f t="shared" si="9"/>
        <v>0</v>
      </c>
      <c r="M80" t="str">
        <f t="shared" si="10"/>
        <v/>
      </c>
      <c r="N80" t="str">
        <f t="shared" si="11"/>
        <v/>
      </c>
      <c r="O80" t="str">
        <f t="shared" si="12"/>
        <v/>
      </c>
      <c r="P80" t="str">
        <f>IF(M80="","",VLOOKUP(B80,'Team Stats'!$B$3:$K$18,5,0))</f>
        <v/>
      </c>
      <c r="Q80" t="str">
        <f t="shared" si="13"/>
        <v/>
      </c>
      <c r="R80" t="str">
        <f>IF(M80="","",VLOOKUP(N80,Sim!$EF$46:$EG$61,2,0))</f>
        <v/>
      </c>
      <c r="S80" t="str">
        <f>IF(M80="","",VLOOKUP(N80,'Team Stats'!$B$3:$K$18,10,0))</f>
        <v/>
      </c>
      <c r="T80" s="84" t="str">
        <f t="shared" si="14"/>
        <v/>
      </c>
      <c r="U80" t="str">
        <f t="shared" si="15"/>
        <v/>
      </c>
    </row>
    <row r="81" spans="1:21">
      <c r="A81" s="73" t="s">
        <v>405</v>
      </c>
      <c r="B81" s="73" t="s">
        <v>199</v>
      </c>
      <c r="C81" s="74">
        <v>81</v>
      </c>
      <c r="D81" s="74"/>
      <c r="E81" s="74">
        <v>9</v>
      </c>
      <c r="F81" s="74"/>
      <c r="G81" s="74">
        <v>43</v>
      </c>
      <c r="H81" s="74"/>
      <c r="I81" s="63">
        <v>52</v>
      </c>
      <c r="J81" t="b">
        <f t="shared" si="8"/>
        <v>0</v>
      </c>
      <c r="K81" t="b">
        <f t="shared" si="9"/>
        <v>0</v>
      </c>
      <c r="M81" t="str">
        <f t="shared" si="10"/>
        <v/>
      </c>
      <c r="N81" t="str">
        <f t="shared" si="11"/>
        <v/>
      </c>
      <c r="O81" t="str">
        <f t="shared" si="12"/>
        <v/>
      </c>
      <c r="P81" t="str">
        <f>IF(M81="","",VLOOKUP(B81,'Team Stats'!$B$3:$K$18,5,0))</f>
        <v/>
      </c>
      <c r="Q81" t="str">
        <f t="shared" si="13"/>
        <v/>
      </c>
      <c r="R81" t="str">
        <f>IF(M81="","",VLOOKUP(N81,Sim!$EF$46:$EG$61,2,0))</f>
        <v/>
      </c>
      <c r="S81" t="str">
        <f>IF(M81="","",VLOOKUP(N81,'Team Stats'!$B$3:$K$18,10,0))</f>
        <v/>
      </c>
      <c r="T81" s="84" t="str">
        <f t="shared" si="14"/>
        <v/>
      </c>
      <c r="U81" t="str">
        <f t="shared" si="15"/>
        <v/>
      </c>
    </row>
    <row r="82" spans="1:21">
      <c r="A82" s="73" t="s">
        <v>406</v>
      </c>
      <c r="B82" s="73" t="s">
        <v>202</v>
      </c>
      <c r="C82" s="74">
        <v>82</v>
      </c>
      <c r="D82" s="74"/>
      <c r="E82" s="74">
        <v>23</v>
      </c>
      <c r="F82" s="74"/>
      <c r="G82" s="74">
        <v>29</v>
      </c>
      <c r="H82" s="74"/>
      <c r="I82" s="63">
        <v>52</v>
      </c>
      <c r="J82" t="b">
        <f t="shared" si="8"/>
        <v>1</v>
      </c>
      <c r="K82" t="b">
        <f t="shared" si="9"/>
        <v>1</v>
      </c>
      <c r="M82" t="str">
        <f t="shared" si="10"/>
        <v> Brandon Saad</v>
      </c>
      <c r="N82" t="str">
        <f t="shared" si="11"/>
        <v>CHI</v>
      </c>
      <c r="O82">
        <f t="shared" si="12"/>
        <v>52</v>
      </c>
      <c r="P82">
        <f>IF(M82="","",VLOOKUP(B82,'Team Stats'!$B$3:$K$18,5,0))</f>
        <v>601</v>
      </c>
      <c r="Q82">
        <f t="shared" si="13"/>
        <v>8.6522462562396013E-2</v>
      </c>
      <c r="R82">
        <f ca="1">IF(M82="","",VLOOKUP(N82,Sim!$EF$46:$EG$61,2,0))</f>
        <v>9.14</v>
      </c>
      <c r="S82">
        <f ca="1">IF(M82="","",VLOOKUP(N82,'Team Stats'!$B$3:$K$18,10,0))</f>
        <v>66.989512195121961</v>
      </c>
      <c r="T82" s="84">
        <f t="shared" ca="1" si="14"/>
        <v>5.7960975609756114</v>
      </c>
      <c r="U82">
        <f t="shared" ca="1" si="15"/>
        <v>56</v>
      </c>
    </row>
    <row r="83" spans="1:21">
      <c r="A83" s="73" t="s">
        <v>407</v>
      </c>
      <c r="B83" s="73" t="s">
        <v>203</v>
      </c>
      <c r="C83" s="74">
        <v>84</v>
      </c>
      <c r="D83" s="74"/>
      <c r="E83" s="74">
        <v>6</v>
      </c>
      <c r="F83" s="74"/>
      <c r="G83" s="74">
        <v>46</v>
      </c>
      <c r="H83" s="74"/>
      <c r="I83" s="63">
        <v>52</v>
      </c>
      <c r="J83" t="b">
        <f t="shared" si="8"/>
        <v>1</v>
      </c>
      <c r="K83" t="b">
        <f t="shared" si="9"/>
        <v>1</v>
      </c>
      <c r="M83" t="str">
        <f t="shared" si="10"/>
        <v> Keith Yandle</v>
      </c>
      <c r="N83" t="str">
        <f t="shared" si="11"/>
        <v>NYR</v>
      </c>
      <c r="O83">
        <f t="shared" si="12"/>
        <v>52</v>
      </c>
      <c r="P83">
        <f>IF(M83="","",VLOOKUP(B83,'Team Stats'!$B$3:$K$18,5,0))</f>
        <v>659</v>
      </c>
      <c r="Q83">
        <f t="shared" si="13"/>
        <v>7.8907435508345974E-2</v>
      </c>
      <c r="R83">
        <f ca="1">IF(M83="","",VLOOKUP(N83,Sim!$EF$46:$EG$61,2,0))</f>
        <v>8.7200000000000006</v>
      </c>
      <c r="S83">
        <f ca="1">IF(M83="","",VLOOKUP(N83,'Team Stats'!$B$3:$K$18,10,0))</f>
        <v>70.079024390243916</v>
      </c>
      <c r="T83" s="84">
        <f t="shared" ca="1" si="14"/>
        <v>5.5297560975609761</v>
      </c>
      <c r="U83">
        <f t="shared" ca="1" si="15"/>
        <v>62</v>
      </c>
    </row>
    <row r="84" spans="1:21">
      <c r="A84" s="73" t="s">
        <v>408</v>
      </c>
      <c r="B84" s="73" t="s">
        <v>210</v>
      </c>
      <c r="C84" s="74">
        <v>70</v>
      </c>
      <c r="D84" s="74"/>
      <c r="E84" s="74">
        <v>24</v>
      </c>
      <c r="F84" s="74"/>
      <c r="G84" s="74">
        <v>28</v>
      </c>
      <c r="H84" s="74"/>
      <c r="I84" s="63">
        <v>52</v>
      </c>
      <c r="J84" t="b">
        <f t="shared" si="8"/>
        <v>1</v>
      </c>
      <c r="K84" t="b">
        <f t="shared" si="9"/>
        <v>1</v>
      </c>
      <c r="M84" t="str">
        <f t="shared" si="10"/>
        <v> Bryan Little</v>
      </c>
      <c r="N84" t="str">
        <f t="shared" si="11"/>
        <v>WPG</v>
      </c>
      <c r="O84">
        <f t="shared" si="12"/>
        <v>52</v>
      </c>
      <c r="P84">
        <f>IF(M84="","",VLOOKUP(B84,'Team Stats'!$B$3:$K$18,5,0))</f>
        <v>594</v>
      </c>
      <c r="Q84">
        <f t="shared" si="13"/>
        <v>8.7542087542087546E-2</v>
      </c>
      <c r="R84">
        <f ca="1">IF(M84="","",VLOOKUP(N84,Sim!$EF$46:$EG$61,2,0))</f>
        <v>8.94</v>
      </c>
      <c r="S84">
        <f ca="1">IF(M84="","",VLOOKUP(N84,'Team Stats'!$B$3:$K$18,10,0))</f>
        <v>64.760487804878053</v>
      </c>
      <c r="T84" s="84">
        <f t="shared" ca="1" si="14"/>
        <v>5.6692682926829274</v>
      </c>
      <c r="U84">
        <f t="shared" ca="1" si="15"/>
        <v>58</v>
      </c>
    </row>
    <row r="85" spans="1:21">
      <c r="A85" s="73" t="s">
        <v>409</v>
      </c>
      <c r="B85" s="73" t="s">
        <v>212</v>
      </c>
      <c r="C85" s="74">
        <v>80</v>
      </c>
      <c r="D85" s="74"/>
      <c r="E85" s="74">
        <v>21</v>
      </c>
      <c r="F85" s="74"/>
      <c r="G85" s="74">
        <v>31</v>
      </c>
      <c r="H85" s="74"/>
      <c r="I85" s="63">
        <v>52</v>
      </c>
      <c r="J85" t="b">
        <f t="shared" si="8"/>
        <v>1</v>
      </c>
      <c r="K85" t="b">
        <f t="shared" si="9"/>
        <v>1</v>
      </c>
      <c r="M85" t="str">
        <f t="shared" si="10"/>
        <v> Thomas Vanek</v>
      </c>
      <c r="N85" t="str">
        <f t="shared" si="11"/>
        <v>MIN</v>
      </c>
      <c r="O85">
        <f t="shared" si="12"/>
        <v>52</v>
      </c>
      <c r="P85">
        <f>IF(M85="","",VLOOKUP(B85,'Team Stats'!$B$3:$K$18,5,0))</f>
        <v>608</v>
      </c>
      <c r="Q85">
        <f t="shared" si="13"/>
        <v>8.5526315789473686E-2</v>
      </c>
      <c r="R85">
        <f ca="1">IF(M85="","",VLOOKUP(N85,Sim!$EF$46:$EG$61,2,0))</f>
        <v>11.71</v>
      </c>
      <c r="S85">
        <f ca="1">IF(M85="","",VLOOKUP(N85,'Team Stats'!$B$3:$K$18,10,0))</f>
        <v>86.825365853658553</v>
      </c>
      <c r="T85" s="84">
        <f t="shared" ca="1" si="14"/>
        <v>7.4258536585365871</v>
      </c>
      <c r="U85">
        <f t="shared" ca="1" si="15"/>
        <v>23</v>
      </c>
    </row>
    <row r="86" spans="1:21">
      <c r="A86" s="73" t="s">
        <v>410</v>
      </c>
      <c r="B86" s="73" t="s">
        <v>203</v>
      </c>
      <c r="C86" s="74">
        <v>74</v>
      </c>
      <c r="D86" s="74"/>
      <c r="E86" s="74">
        <v>21</v>
      </c>
      <c r="F86" s="74"/>
      <c r="G86" s="74">
        <v>31</v>
      </c>
      <c r="H86" s="74"/>
      <c r="I86" s="63">
        <v>52</v>
      </c>
      <c r="J86" t="b">
        <f t="shared" si="8"/>
        <v>1</v>
      </c>
      <c r="K86" t="b">
        <f t="shared" si="9"/>
        <v>1</v>
      </c>
      <c r="M86" t="str">
        <f t="shared" si="10"/>
        <v> Martin St. Louis</v>
      </c>
      <c r="N86" t="str">
        <f t="shared" si="11"/>
        <v>NYR</v>
      </c>
      <c r="O86">
        <f t="shared" si="12"/>
        <v>52</v>
      </c>
      <c r="P86">
        <f>IF(M86="","",VLOOKUP(B86,'Team Stats'!$B$3:$K$18,5,0))</f>
        <v>659</v>
      </c>
      <c r="Q86">
        <f t="shared" si="13"/>
        <v>7.8907435508345974E-2</v>
      </c>
      <c r="R86">
        <f ca="1">IF(M86="","",VLOOKUP(N86,Sim!$EF$46:$EG$61,2,0))</f>
        <v>8.7200000000000006</v>
      </c>
      <c r="S86">
        <f ca="1">IF(M86="","",VLOOKUP(N86,'Team Stats'!$B$3:$K$18,10,0))</f>
        <v>70.079024390243916</v>
      </c>
      <c r="T86" s="84">
        <f t="shared" ca="1" si="14"/>
        <v>5.5297560975609761</v>
      </c>
      <c r="U86">
        <f t="shared" ca="1" si="15"/>
        <v>62</v>
      </c>
    </row>
    <row r="87" spans="1:21">
      <c r="A87" s="73" t="s">
        <v>411</v>
      </c>
      <c r="B87" s="73" t="s">
        <v>196</v>
      </c>
      <c r="C87" s="74">
        <v>60</v>
      </c>
      <c r="D87" s="74"/>
      <c r="E87" s="74">
        <v>18</v>
      </c>
      <c r="F87" s="74"/>
      <c r="G87" s="74">
        <v>33</v>
      </c>
      <c r="H87" s="74"/>
      <c r="I87" s="63">
        <v>51</v>
      </c>
      <c r="J87" t="b">
        <f t="shared" si="8"/>
        <v>1</v>
      </c>
      <c r="K87" t="b">
        <f t="shared" si="9"/>
        <v>1</v>
      </c>
      <c r="M87" t="str">
        <f t="shared" si="10"/>
        <v> Kyle Okposo</v>
      </c>
      <c r="N87" t="str">
        <f t="shared" si="11"/>
        <v>NYI</v>
      </c>
      <c r="O87">
        <f t="shared" si="12"/>
        <v>51</v>
      </c>
      <c r="P87">
        <f>IF(M87="","",VLOOKUP(B87,'Team Stats'!$B$3:$K$18,5,0))</f>
        <v>656</v>
      </c>
      <c r="Q87">
        <f t="shared" si="13"/>
        <v>7.774390243902439E-2</v>
      </c>
      <c r="R87">
        <f ca="1">IF(M87="","",VLOOKUP(N87,Sim!$EF$46:$EG$61,2,0))</f>
        <v>13.18</v>
      </c>
      <c r="S87">
        <f ca="1">IF(M87="","",VLOOKUP(N87,'Team Stats'!$B$3:$K$18,10,0))</f>
        <v>105.44</v>
      </c>
      <c r="T87" s="84">
        <f t="shared" ca="1" si="14"/>
        <v>8.1973170731707317</v>
      </c>
      <c r="U87">
        <f t="shared" ca="1" si="15"/>
        <v>16</v>
      </c>
    </row>
    <row r="88" spans="1:21">
      <c r="A88" s="73" t="s">
        <v>412</v>
      </c>
      <c r="B88" s="73" t="s">
        <v>198</v>
      </c>
      <c r="C88" s="74">
        <v>64</v>
      </c>
      <c r="D88" s="74"/>
      <c r="E88" s="74">
        <v>25</v>
      </c>
      <c r="F88" s="74"/>
      <c r="G88" s="74">
        <v>26</v>
      </c>
      <c r="H88" s="74"/>
      <c r="I88" s="63">
        <v>51</v>
      </c>
      <c r="J88" t="b">
        <f t="shared" si="8"/>
        <v>1</v>
      </c>
      <c r="K88" t="b">
        <f t="shared" si="9"/>
        <v>1</v>
      </c>
      <c r="M88" t="str">
        <f t="shared" si="10"/>
        <v> Patric Hornqvist</v>
      </c>
      <c r="N88" t="str">
        <f t="shared" si="11"/>
        <v>PIT</v>
      </c>
      <c r="O88">
        <f t="shared" si="12"/>
        <v>51</v>
      </c>
      <c r="P88">
        <f>IF(M88="","",VLOOKUP(B88,'Team Stats'!$B$3:$K$18,5,0))</f>
        <v>600</v>
      </c>
      <c r="Q88">
        <f t="shared" si="13"/>
        <v>8.5000000000000006E-2</v>
      </c>
      <c r="R88">
        <f ca="1">IF(M88="","",VLOOKUP(N88,Sim!$EF$46:$EG$61,2,0))</f>
        <v>9.74</v>
      </c>
      <c r="S88">
        <f ca="1">IF(M88="","",VLOOKUP(N88,'Team Stats'!$B$3:$K$18,10,0))</f>
        <v>71.268292682926827</v>
      </c>
      <c r="T88" s="84">
        <f t="shared" ca="1" si="14"/>
        <v>6.0578048780487803</v>
      </c>
      <c r="U88">
        <f t="shared" ca="1" si="15"/>
        <v>50</v>
      </c>
    </row>
    <row r="89" spans="1:21">
      <c r="A89" s="73" t="s">
        <v>413</v>
      </c>
      <c r="B89" s="73" t="s">
        <v>345</v>
      </c>
      <c r="C89" s="74">
        <v>81</v>
      </c>
      <c r="D89" s="74"/>
      <c r="E89" s="74">
        <v>10</v>
      </c>
      <c r="F89" s="74"/>
      <c r="G89" s="74">
        <v>40</v>
      </c>
      <c r="H89" s="74"/>
      <c r="I89" s="63">
        <v>50</v>
      </c>
      <c r="J89" t="b">
        <f t="shared" si="8"/>
        <v>0</v>
      </c>
      <c r="K89" t="b">
        <f t="shared" si="9"/>
        <v>0</v>
      </c>
      <c r="M89" t="str">
        <f t="shared" si="10"/>
        <v/>
      </c>
      <c r="N89" t="str">
        <f t="shared" si="11"/>
        <v/>
      </c>
      <c r="O89" t="str">
        <f t="shared" si="12"/>
        <v/>
      </c>
      <c r="P89" t="str">
        <f>IF(M89="","",VLOOKUP(B89,'Team Stats'!$B$3:$K$18,5,0))</f>
        <v/>
      </c>
      <c r="Q89" t="str">
        <f t="shared" si="13"/>
        <v/>
      </c>
      <c r="R89" t="str">
        <f>IF(M89="","",VLOOKUP(N89,Sim!$EF$46:$EG$61,2,0))</f>
        <v/>
      </c>
      <c r="S89" t="str">
        <f>IF(M89="","",VLOOKUP(N89,'Team Stats'!$B$3:$K$18,10,0))</f>
        <v/>
      </c>
      <c r="T89" s="84" t="str">
        <f t="shared" si="14"/>
        <v/>
      </c>
      <c r="U89" t="str">
        <f t="shared" si="15"/>
        <v/>
      </c>
    </row>
    <row r="90" spans="1:21">
      <c r="A90" s="73" t="s">
        <v>414</v>
      </c>
      <c r="B90" s="73" t="s">
        <v>196</v>
      </c>
      <c r="C90" s="74">
        <v>81</v>
      </c>
      <c r="D90" s="74"/>
      <c r="E90" s="74">
        <v>17</v>
      </c>
      <c r="F90" s="74"/>
      <c r="G90" s="74">
        <v>33</v>
      </c>
      <c r="H90" s="74"/>
      <c r="I90" s="63">
        <v>50</v>
      </c>
      <c r="J90" t="b">
        <f t="shared" si="8"/>
        <v>1</v>
      </c>
      <c r="K90" t="b">
        <f t="shared" si="9"/>
        <v>1</v>
      </c>
      <c r="M90" t="str">
        <f t="shared" si="10"/>
        <v> Ryan Strome</v>
      </c>
      <c r="N90" t="str">
        <f t="shared" si="11"/>
        <v>NYI</v>
      </c>
      <c r="O90">
        <f t="shared" si="12"/>
        <v>50</v>
      </c>
      <c r="P90">
        <f>IF(M90="","",VLOOKUP(B90,'Team Stats'!$B$3:$K$18,5,0))</f>
        <v>656</v>
      </c>
      <c r="Q90">
        <f t="shared" si="13"/>
        <v>7.621951219512195E-2</v>
      </c>
      <c r="R90">
        <f ca="1">IF(M90="","",VLOOKUP(N90,Sim!$EF$46:$EG$61,2,0))</f>
        <v>13.18</v>
      </c>
      <c r="S90">
        <f ca="1">IF(M90="","",VLOOKUP(N90,'Team Stats'!$B$3:$K$18,10,0))</f>
        <v>105.44</v>
      </c>
      <c r="T90" s="84">
        <f t="shared" ca="1" si="14"/>
        <v>8.036585365853659</v>
      </c>
      <c r="U90">
        <f t="shared" ca="1" si="15"/>
        <v>18</v>
      </c>
    </row>
    <row r="91" spans="1:21">
      <c r="A91" s="73" t="s">
        <v>415</v>
      </c>
      <c r="B91" s="73" t="s">
        <v>199</v>
      </c>
      <c r="C91" s="74">
        <v>75</v>
      </c>
      <c r="D91" s="74"/>
      <c r="E91" s="74">
        <v>28</v>
      </c>
      <c r="F91" s="74"/>
      <c r="G91" s="74">
        <v>22</v>
      </c>
      <c r="H91" s="74"/>
      <c r="I91" s="63">
        <v>50</v>
      </c>
      <c r="J91" t="b">
        <f t="shared" si="8"/>
        <v>0</v>
      </c>
      <c r="K91" t="b">
        <f t="shared" si="9"/>
        <v>0</v>
      </c>
      <c r="M91" t="str">
        <f t="shared" si="10"/>
        <v/>
      </c>
      <c r="N91" t="str">
        <f t="shared" si="11"/>
        <v/>
      </c>
      <c r="O91" t="str">
        <f t="shared" si="12"/>
        <v/>
      </c>
      <c r="P91" t="str">
        <f>IF(M91="","",VLOOKUP(B91,'Team Stats'!$B$3:$K$18,5,0))</f>
        <v/>
      </c>
      <c r="Q91" t="str">
        <f t="shared" si="13"/>
        <v/>
      </c>
      <c r="R91" t="str">
        <f>IF(M91="","",VLOOKUP(N91,Sim!$EF$46:$EG$61,2,0))</f>
        <v/>
      </c>
      <c r="S91" t="str">
        <f>IF(M91="","",VLOOKUP(N91,'Team Stats'!$B$3:$K$18,10,0))</f>
        <v/>
      </c>
      <c r="T91" s="84" t="str">
        <f t="shared" si="14"/>
        <v/>
      </c>
      <c r="U91" t="str">
        <f t="shared" si="15"/>
        <v/>
      </c>
    </row>
    <row r="92" spans="1:21">
      <c r="A92" s="73" t="s">
        <v>416</v>
      </c>
      <c r="B92" s="73" t="s">
        <v>213</v>
      </c>
      <c r="C92" s="74">
        <v>82</v>
      </c>
      <c r="D92" s="74"/>
      <c r="E92" s="74">
        <v>23</v>
      </c>
      <c r="F92" s="74"/>
      <c r="G92" s="74">
        <v>26</v>
      </c>
      <c r="H92" s="74"/>
      <c r="I92" s="63">
        <v>49</v>
      </c>
      <c r="J92" t="b">
        <f t="shared" si="8"/>
        <v>0</v>
      </c>
      <c r="K92" t="b">
        <f t="shared" si="9"/>
        <v>0</v>
      </c>
      <c r="M92" t="str">
        <f t="shared" si="10"/>
        <v/>
      </c>
      <c r="N92" t="str">
        <f t="shared" si="11"/>
        <v/>
      </c>
      <c r="O92" t="str">
        <f t="shared" si="12"/>
        <v/>
      </c>
      <c r="P92" t="str">
        <f>IF(M92="","",VLOOKUP(B92,'Team Stats'!$B$3:$K$18,5,0))</f>
        <v/>
      </c>
      <c r="Q92" t="str">
        <f t="shared" si="13"/>
        <v/>
      </c>
      <c r="R92" t="str">
        <f>IF(M92="","",VLOOKUP(N92,Sim!$EF$46:$EG$61,2,0))</f>
        <v/>
      </c>
      <c r="S92" t="str">
        <f>IF(M92="","",VLOOKUP(N92,'Team Stats'!$B$3:$K$18,10,0))</f>
        <v/>
      </c>
      <c r="T92" s="84" t="str">
        <f t="shared" si="14"/>
        <v/>
      </c>
      <c r="U92" t="str">
        <f t="shared" si="15"/>
        <v/>
      </c>
    </row>
    <row r="93" spans="1:21">
      <c r="A93" s="73" t="s">
        <v>417</v>
      </c>
      <c r="B93" s="73" t="s">
        <v>203</v>
      </c>
      <c r="C93" s="74">
        <v>78</v>
      </c>
      <c r="D93" s="74"/>
      <c r="E93" s="74">
        <v>15</v>
      </c>
      <c r="F93" s="74"/>
      <c r="G93" s="74">
        <v>34</v>
      </c>
      <c r="H93" s="74"/>
      <c r="I93" s="63">
        <v>49</v>
      </c>
      <c r="J93" t="b">
        <f t="shared" si="8"/>
        <v>1</v>
      </c>
      <c r="K93" t="b">
        <f t="shared" si="9"/>
        <v>1</v>
      </c>
      <c r="M93" t="str">
        <f t="shared" si="10"/>
        <v> Mats Zuccarello</v>
      </c>
      <c r="N93" t="str">
        <f t="shared" si="11"/>
        <v>NYR</v>
      </c>
      <c r="O93">
        <f t="shared" si="12"/>
        <v>49</v>
      </c>
      <c r="P93">
        <f>IF(M93="","",VLOOKUP(B93,'Team Stats'!$B$3:$K$18,5,0))</f>
        <v>659</v>
      </c>
      <c r="Q93">
        <f t="shared" si="13"/>
        <v>7.4355083459787558E-2</v>
      </c>
      <c r="R93">
        <f ca="1">IF(M93="","",VLOOKUP(N93,Sim!$EF$46:$EG$61,2,0))</f>
        <v>8.7200000000000006</v>
      </c>
      <c r="S93">
        <f ca="1">IF(M93="","",VLOOKUP(N93,'Team Stats'!$B$3:$K$18,10,0))</f>
        <v>70.079024390243916</v>
      </c>
      <c r="T93" s="84">
        <f t="shared" ca="1" si="14"/>
        <v>5.2107317073170742</v>
      </c>
      <c r="U93">
        <f t="shared" ca="1" si="15"/>
        <v>72</v>
      </c>
    </row>
    <row r="94" spans="1:21">
      <c r="A94" s="73" t="s">
        <v>418</v>
      </c>
      <c r="B94" s="73" t="s">
        <v>210</v>
      </c>
      <c r="C94" s="74">
        <v>82</v>
      </c>
      <c r="D94" s="74"/>
      <c r="E94" s="74">
        <v>15</v>
      </c>
      <c r="F94" s="74"/>
      <c r="G94" s="74">
        <v>34</v>
      </c>
      <c r="H94" s="74"/>
      <c r="I94" s="63">
        <v>49</v>
      </c>
      <c r="J94" t="b">
        <f t="shared" si="8"/>
        <v>1</v>
      </c>
      <c r="K94" t="b">
        <f t="shared" si="9"/>
        <v>1</v>
      </c>
      <c r="M94" t="str">
        <f t="shared" si="10"/>
        <v> Mark Scheifele</v>
      </c>
      <c r="N94" t="str">
        <f t="shared" si="11"/>
        <v>WPG</v>
      </c>
      <c r="O94">
        <f t="shared" si="12"/>
        <v>49</v>
      </c>
      <c r="P94">
        <f>IF(M94="","",VLOOKUP(B94,'Team Stats'!$B$3:$K$18,5,0))</f>
        <v>594</v>
      </c>
      <c r="Q94">
        <f t="shared" si="13"/>
        <v>8.2491582491582491E-2</v>
      </c>
      <c r="R94">
        <f ca="1">IF(M94="","",VLOOKUP(N94,Sim!$EF$46:$EG$61,2,0))</f>
        <v>8.94</v>
      </c>
      <c r="S94">
        <f ca="1">IF(M94="","",VLOOKUP(N94,'Team Stats'!$B$3:$K$18,10,0))</f>
        <v>64.760487804878053</v>
      </c>
      <c r="T94" s="84">
        <f t="shared" ca="1" si="14"/>
        <v>5.34219512195122</v>
      </c>
      <c r="U94">
        <f t="shared" ca="1" si="15"/>
        <v>67</v>
      </c>
    </row>
    <row r="95" spans="1:21">
      <c r="A95" s="73" t="s">
        <v>419</v>
      </c>
      <c r="B95" s="73" t="s">
        <v>218</v>
      </c>
      <c r="C95" s="74">
        <v>82</v>
      </c>
      <c r="D95" s="74"/>
      <c r="E95" s="74">
        <v>15</v>
      </c>
      <c r="F95" s="74"/>
      <c r="G95" s="74">
        <v>34</v>
      </c>
      <c r="H95" s="74"/>
      <c r="I95" s="63">
        <v>49</v>
      </c>
      <c r="J95" t="b">
        <f t="shared" si="8"/>
        <v>0</v>
      </c>
      <c r="K95" t="b">
        <f t="shared" si="9"/>
        <v>0</v>
      </c>
      <c r="M95" t="str">
        <f t="shared" si="10"/>
        <v/>
      </c>
      <c r="N95" t="str">
        <f t="shared" si="11"/>
        <v/>
      </c>
      <c r="O95" t="str">
        <f t="shared" si="12"/>
        <v/>
      </c>
      <c r="P95" t="str">
        <f>IF(M95="","",VLOOKUP(B95,'Team Stats'!$B$3:$K$18,5,0))</f>
        <v/>
      </c>
      <c r="Q95" t="str">
        <f t="shared" si="13"/>
        <v/>
      </c>
      <c r="R95" t="str">
        <f>IF(M95="","",VLOOKUP(N95,Sim!$EF$46:$EG$61,2,0))</f>
        <v/>
      </c>
      <c r="S95" t="str">
        <f>IF(M95="","",VLOOKUP(N95,'Team Stats'!$B$3:$K$18,10,0))</f>
        <v/>
      </c>
      <c r="T95" s="84" t="str">
        <f t="shared" si="14"/>
        <v/>
      </c>
      <c r="U95" t="str">
        <f t="shared" si="15"/>
        <v/>
      </c>
    </row>
    <row r="96" spans="1:21">
      <c r="A96" s="73" t="s">
        <v>420</v>
      </c>
      <c r="B96" s="73" t="s">
        <v>357</v>
      </c>
      <c r="C96" s="74">
        <v>76</v>
      </c>
      <c r="D96" s="74"/>
      <c r="E96" s="74">
        <v>23</v>
      </c>
      <c r="F96" s="74"/>
      <c r="G96" s="74">
        <v>26</v>
      </c>
      <c r="H96" s="74"/>
      <c r="I96" s="63">
        <v>49</v>
      </c>
      <c r="J96" t="b">
        <f t="shared" si="8"/>
        <v>0</v>
      </c>
      <c r="K96" t="b">
        <f t="shared" si="9"/>
        <v>0</v>
      </c>
      <c r="M96" t="str">
        <f t="shared" si="10"/>
        <v/>
      </c>
      <c r="N96" t="str">
        <f t="shared" si="11"/>
        <v/>
      </c>
      <c r="O96" t="str">
        <f t="shared" si="12"/>
        <v/>
      </c>
      <c r="P96" t="str">
        <f>IF(M96="","",VLOOKUP(B96,'Team Stats'!$B$3:$K$18,5,0))</f>
        <v/>
      </c>
      <c r="Q96" t="str">
        <f t="shared" si="13"/>
        <v/>
      </c>
      <c r="R96" t="str">
        <f>IF(M96="","",VLOOKUP(N96,Sim!$EF$46:$EG$61,2,0))</f>
        <v/>
      </c>
      <c r="S96" t="str">
        <f>IF(M96="","",VLOOKUP(N96,'Team Stats'!$B$3:$K$18,10,0))</f>
        <v/>
      </c>
      <c r="T96" s="84" t="str">
        <f t="shared" si="14"/>
        <v/>
      </c>
      <c r="U96" t="str">
        <f t="shared" si="15"/>
        <v/>
      </c>
    </row>
    <row r="97" spans="1:21">
      <c r="A97" s="73" t="s">
        <v>421</v>
      </c>
      <c r="B97" s="73" t="s">
        <v>212</v>
      </c>
      <c r="C97" s="74">
        <v>80</v>
      </c>
      <c r="D97" s="74"/>
      <c r="E97" s="74">
        <v>14</v>
      </c>
      <c r="F97" s="74"/>
      <c r="G97" s="74">
        <v>34</v>
      </c>
      <c r="H97" s="74"/>
      <c r="I97" s="63">
        <v>48</v>
      </c>
      <c r="J97" t="b">
        <f t="shared" si="8"/>
        <v>1</v>
      </c>
      <c r="K97" t="b">
        <f t="shared" si="9"/>
        <v>1</v>
      </c>
      <c r="M97" t="str">
        <f t="shared" si="10"/>
        <v> Mikko Koivu</v>
      </c>
      <c r="N97" t="str">
        <f t="shared" si="11"/>
        <v>MIN</v>
      </c>
      <c r="O97">
        <f t="shared" si="12"/>
        <v>48</v>
      </c>
      <c r="P97">
        <f>IF(M97="","",VLOOKUP(B97,'Team Stats'!$B$3:$K$18,5,0))</f>
        <v>608</v>
      </c>
      <c r="Q97">
        <f t="shared" si="13"/>
        <v>7.8947368421052627E-2</v>
      </c>
      <c r="R97">
        <f ca="1">IF(M97="","",VLOOKUP(N97,Sim!$EF$46:$EG$61,2,0))</f>
        <v>11.71</v>
      </c>
      <c r="S97">
        <f ca="1">IF(M97="","",VLOOKUP(N97,'Team Stats'!$B$3:$K$18,10,0))</f>
        <v>86.825365853658553</v>
      </c>
      <c r="T97" s="84">
        <f t="shared" ca="1" si="14"/>
        <v>6.8546341463414642</v>
      </c>
      <c r="U97">
        <f t="shared" ca="1" si="15"/>
        <v>32</v>
      </c>
    </row>
    <row r="98" spans="1:21">
      <c r="A98" s="73" t="s">
        <v>422</v>
      </c>
      <c r="B98" s="73" t="s">
        <v>214</v>
      </c>
      <c r="C98" s="74">
        <v>79</v>
      </c>
      <c r="D98" s="74"/>
      <c r="E98" s="74">
        <v>27</v>
      </c>
      <c r="F98" s="74"/>
      <c r="G98" s="74">
        <v>21</v>
      </c>
      <c r="H98" s="74"/>
      <c r="I98" s="63">
        <v>48</v>
      </c>
      <c r="J98" t="b">
        <f t="shared" si="8"/>
        <v>1</v>
      </c>
      <c r="K98" t="b">
        <f t="shared" si="9"/>
        <v>1</v>
      </c>
      <c r="M98" t="str">
        <f t="shared" si="10"/>
        <v> Mike Hoffman</v>
      </c>
      <c r="N98" t="str">
        <f t="shared" si="11"/>
        <v>OTT</v>
      </c>
      <c r="O98">
        <f t="shared" si="12"/>
        <v>48</v>
      </c>
      <c r="P98">
        <f>IF(M98="","",VLOOKUP(B98,'Team Stats'!$B$3:$K$18,5,0))</f>
        <v>619</v>
      </c>
      <c r="Q98">
        <f t="shared" si="13"/>
        <v>7.7544426494345717E-2</v>
      </c>
      <c r="R98">
        <f ca="1">IF(M98="","",VLOOKUP(N98,Sim!$EF$46:$EG$61,2,0))</f>
        <v>10.71</v>
      </c>
      <c r="S98">
        <f ca="1">IF(M98="","",VLOOKUP(N98,'Team Stats'!$B$3:$K$18,10,0))</f>
        <v>80.847439024390255</v>
      </c>
      <c r="T98" s="84">
        <f t="shared" ca="1" si="14"/>
        <v>6.2692682926829271</v>
      </c>
      <c r="U98">
        <f t="shared" ca="1" si="15"/>
        <v>43</v>
      </c>
    </row>
    <row r="99" spans="1:21">
      <c r="A99" s="73" t="s">
        <v>423</v>
      </c>
      <c r="B99" s="73" t="s">
        <v>208</v>
      </c>
      <c r="C99" s="74">
        <v>61</v>
      </c>
      <c r="D99" s="74"/>
      <c r="E99" s="74">
        <v>11</v>
      </c>
      <c r="F99" s="74"/>
      <c r="G99" s="74">
        <v>37</v>
      </c>
      <c r="H99" s="74"/>
      <c r="I99" s="63">
        <v>48</v>
      </c>
      <c r="J99" t="b">
        <f t="shared" si="8"/>
        <v>0</v>
      </c>
      <c r="K99" t="b">
        <f t="shared" si="9"/>
        <v>0</v>
      </c>
      <c r="M99" t="str">
        <f t="shared" si="10"/>
        <v/>
      </c>
      <c r="N99" t="str">
        <f t="shared" si="11"/>
        <v/>
      </c>
      <c r="O99" t="str">
        <f t="shared" si="12"/>
        <v/>
      </c>
      <c r="P99" t="str">
        <f>IF(M99="","",VLOOKUP(B99,'Team Stats'!$B$3:$K$18,5,0))</f>
        <v/>
      </c>
      <c r="Q99" t="str">
        <f t="shared" si="13"/>
        <v/>
      </c>
      <c r="R99" t="str">
        <f>IF(M99="","",VLOOKUP(N99,Sim!$EF$46:$EG$61,2,0))</f>
        <v/>
      </c>
      <c r="S99" t="str">
        <f>IF(M99="","",VLOOKUP(N99,'Team Stats'!$B$3:$K$18,10,0))</f>
        <v/>
      </c>
      <c r="T99" s="84" t="str">
        <f t="shared" si="14"/>
        <v/>
      </c>
      <c r="U99" t="str">
        <f t="shared" si="15"/>
        <v/>
      </c>
    </row>
    <row r="100" spans="1:21">
      <c r="A100" s="73" t="s">
        <v>424</v>
      </c>
      <c r="B100" s="73" t="s">
        <v>336</v>
      </c>
      <c r="C100" s="74">
        <v>82</v>
      </c>
      <c r="D100" s="74"/>
      <c r="E100" s="74">
        <v>12</v>
      </c>
      <c r="F100" s="74"/>
      <c r="G100" s="74">
        <v>36</v>
      </c>
      <c r="H100" s="74"/>
      <c r="I100" s="63">
        <v>48</v>
      </c>
      <c r="J100" t="b">
        <f t="shared" si="8"/>
        <v>0</v>
      </c>
      <c r="K100" t="b">
        <f t="shared" si="9"/>
        <v>0</v>
      </c>
      <c r="M100" t="str">
        <f t="shared" si="10"/>
        <v/>
      </c>
      <c r="N100" t="str">
        <f t="shared" si="11"/>
        <v/>
      </c>
      <c r="O100" t="str">
        <f t="shared" si="12"/>
        <v/>
      </c>
      <c r="P100" t="str">
        <f>IF(M100="","",VLOOKUP(B100,'Team Stats'!$B$3:$K$18,5,0))</f>
        <v/>
      </c>
      <c r="Q100" t="str">
        <f t="shared" si="13"/>
        <v/>
      </c>
      <c r="R100" t="str">
        <f>IF(M100="","",VLOOKUP(N100,Sim!$EF$46:$EG$61,2,0))</f>
        <v/>
      </c>
      <c r="S100" t="str">
        <f>IF(M100="","",VLOOKUP(N100,'Team Stats'!$B$3:$K$18,10,0))</f>
        <v/>
      </c>
      <c r="T100" s="84" t="str">
        <f t="shared" si="14"/>
        <v/>
      </c>
      <c r="U100" t="str">
        <f t="shared" si="15"/>
        <v/>
      </c>
    </row>
    <row r="101" spans="1:21">
      <c r="A101" s="73" t="s">
        <v>425</v>
      </c>
      <c r="B101" s="73" t="s">
        <v>345</v>
      </c>
      <c r="C101" s="74">
        <v>82</v>
      </c>
      <c r="D101" s="74"/>
      <c r="E101" s="74">
        <v>14</v>
      </c>
      <c r="F101" s="74"/>
      <c r="G101" s="74">
        <v>34</v>
      </c>
      <c r="H101" s="74"/>
      <c r="I101" s="63">
        <v>48</v>
      </c>
      <c r="J101" t="b">
        <f t="shared" si="8"/>
        <v>0</v>
      </c>
      <c r="K101" t="b">
        <f t="shared" si="9"/>
        <v>0</v>
      </c>
      <c r="M101" t="str">
        <f t="shared" si="10"/>
        <v/>
      </c>
      <c r="N101" t="str">
        <f t="shared" si="11"/>
        <v/>
      </c>
      <c r="O101" t="str">
        <f t="shared" si="12"/>
        <v/>
      </c>
      <c r="P101" t="str">
        <f>IF(M101="","",VLOOKUP(B101,'Team Stats'!$B$3:$K$18,5,0))</f>
        <v/>
      </c>
      <c r="Q101" t="str">
        <f t="shared" si="13"/>
        <v/>
      </c>
      <c r="R101" t="str">
        <f>IF(M101="","",VLOOKUP(N101,Sim!$EF$46:$EG$61,2,0))</f>
        <v/>
      </c>
      <c r="S101" t="str">
        <f>IF(M101="","",VLOOKUP(N101,'Team Stats'!$B$3:$K$18,10,0))</f>
        <v/>
      </c>
      <c r="T101" s="84" t="str">
        <f t="shared" si="14"/>
        <v/>
      </c>
      <c r="U101" t="str">
        <f t="shared" si="15"/>
        <v/>
      </c>
    </row>
    <row r="102" spans="1:21">
      <c r="A102" s="73" t="s">
        <v>426</v>
      </c>
      <c r="B102" s="73" t="s">
        <v>345</v>
      </c>
      <c r="C102" s="74">
        <v>82</v>
      </c>
      <c r="D102" s="74"/>
      <c r="E102" s="74">
        <v>24</v>
      </c>
      <c r="F102" s="74"/>
      <c r="G102" s="74">
        <v>23</v>
      </c>
      <c r="H102" s="74"/>
      <c r="I102" s="63">
        <v>47</v>
      </c>
      <c r="J102" t="b">
        <f t="shared" si="8"/>
        <v>0</v>
      </c>
      <c r="K102" t="b">
        <f t="shared" si="9"/>
        <v>0</v>
      </c>
      <c r="M102" t="str">
        <f t="shared" si="10"/>
        <v/>
      </c>
      <c r="N102" t="str">
        <f t="shared" si="11"/>
        <v/>
      </c>
      <c r="O102" t="str">
        <f t="shared" si="12"/>
        <v/>
      </c>
      <c r="P102" t="str">
        <f>IF(M102="","",VLOOKUP(B102,'Team Stats'!$B$3:$K$18,5,0))</f>
        <v/>
      </c>
      <c r="Q102" t="str">
        <f t="shared" si="13"/>
        <v/>
      </c>
      <c r="R102" t="str">
        <f>IF(M102="","",VLOOKUP(N102,Sim!$EF$46:$EG$61,2,0))</f>
        <v/>
      </c>
      <c r="S102" t="str">
        <f>IF(M102="","",VLOOKUP(N102,'Team Stats'!$B$3:$K$18,10,0))</f>
        <v/>
      </c>
      <c r="T102" s="84" t="str">
        <f t="shared" si="14"/>
        <v/>
      </c>
      <c r="U102" t="str">
        <f t="shared" si="15"/>
        <v/>
      </c>
    </row>
    <row r="103" spans="1:21">
      <c r="A103" s="73" t="s">
        <v>427</v>
      </c>
      <c r="B103" s="73" t="s">
        <v>199</v>
      </c>
      <c r="C103" s="74">
        <v>82</v>
      </c>
      <c r="D103" s="74"/>
      <c r="E103" s="74">
        <v>18</v>
      </c>
      <c r="F103" s="74"/>
      <c r="G103" s="74">
        <v>29</v>
      </c>
      <c r="H103" s="74"/>
      <c r="I103" s="63">
        <v>47</v>
      </c>
      <c r="J103" t="b">
        <f t="shared" si="8"/>
        <v>0</v>
      </c>
      <c r="K103" t="b">
        <f t="shared" si="9"/>
        <v>0</v>
      </c>
      <c r="M103" t="str">
        <f t="shared" si="10"/>
        <v/>
      </c>
      <c r="N103" t="str">
        <f t="shared" si="11"/>
        <v/>
      </c>
      <c r="O103" t="str">
        <f t="shared" si="12"/>
        <v/>
      </c>
      <c r="P103" t="str">
        <f>IF(M103="","",VLOOKUP(B103,'Team Stats'!$B$3:$K$18,5,0))</f>
        <v/>
      </c>
      <c r="Q103" t="str">
        <f t="shared" si="13"/>
        <v/>
      </c>
      <c r="R103" t="str">
        <f>IF(M103="","",VLOOKUP(N103,Sim!$EF$46:$EG$61,2,0))</f>
        <v/>
      </c>
      <c r="S103" t="str">
        <f>IF(M103="","",VLOOKUP(N103,'Team Stats'!$B$3:$K$18,10,0))</f>
        <v/>
      </c>
      <c r="T103" s="84" t="str">
        <f t="shared" si="14"/>
        <v/>
      </c>
      <c r="U103" t="str">
        <f t="shared" si="15"/>
        <v/>
      </c>
    </row>
    <row r="104" spans="1:21">
      <c r="A104" s="73" t="s">
        <v>428</v>
      </c>
      <c r="B104" s="73" t="s">
        <v>205</v>
      </c>
      <c r="C104" s="74">
        <v>81</v>
      </c>
      <c r="D104" s="74"/>
      <c r="E104" s="74">
        <v>20</v>
      </c>
      <c r="F104" s="74"/>
      <c r="G104" s="74">
        <v>27</v>
      </c>
      <c r="H104" s="74"/>
      <c r="I104" s="63">
        <v>47</v>
      </c>
      <c r="J104" t="b">
        <f t="shared" si="8"/>
        <v>1</v>
      </c>
      <c r="K104" t="b">
        <f t="shared" si="9"/>
        <v>1</v>
      </c>
      <c r="M104" t="str">
        <f t="shared" si="10"/>
        <v> Ryan Kesler</v>
      </c>
      <c r="N104" t="str">
        <f t="shared" si="11"/>
        <v>ANA</v>
      </c>
      <c r="O104">
        <f t="shared" si="12"/>
        <v>47</v>
      </c>
      <c r="P104">
        <f>IF(M104="","",VLOOKUP(B104,'Team Stats'!$B$3:$K$18,5,0))</f>
        <v>613</v>
      </c>
      <c r="Q104">
        <f t="shared" si="13"/>
        <v>7.6672104404567704E-2</v>
      </c>
      <c r="R104">
        <f ca="1">IF(M104="","",VLOOKUP(N104,Sim!$EF$46:$EG$61,2,0))</f>
        <v>14.85</v>
      </c>
      <c r="S104">
        <f ca="1">IF(M104="","",VLOOKUP(N104,'Team Stats'!$B$3:$K$18,10,0))</f>
        <v>111.01280487804878</v>
      </c>
      <c r="T104" s="84">
        <f t="shared" ca="1" si="14"/>
        <v>8.5115853658536587</v>
      </c>
      <c r="U104">
        <f t="shared" ca="1" si="15"/>
        <v>10</v>
      </c>
    </row>
    <row r="105" spans="1:21">
      <c r="A105" s="73" t="s">
        <v>429</v>
      </c>
      <c r="B105" s="73" t="s">
        <v>219</v>
      </c>
      <c r="C105" s="74">
        <v>77</v>
      </c>
      <c r="D105" s="74"/>
      <c r="E105" s="74">
        <v>17</v>
      </c>
      <c r="F105" s="74"/>
      <c r="G105" s="74">
        <v>30</v>
      </c>
      <c r="H105" s="74"/>
      <c r="I105" s="63">
        <v>47</v>
      </c>
      <c r="J105" t="b">
        <f t="shared" si="8"/>
        <v>0</v>
      </c>
      <c r="K105" t="b">
        <f t="shared" si="9"/>
        <v>0</v>
      </c>
      <c r="M105" t="str">
        <f t="shared" si="10"/>
        <v/>
      </c>
      <c r="N105" t="str">
        <f t="shared" si="11"/>
        <v/>
      </c>
      <c r="O105" t="str">
        <f t="shared" si="12"/>
        <v/>
      </c>
      <c r="P105" t="str">
        <f>IF(M105="","",VLOOKUP(B105,'Team Stats'!$B$3:$K$18,5,0))</f>
        <v/>
      </c>
      <c r="Q105" t="str">
        <f t="shared" si="13"/>
        <v/>
      </c>
      <c r="R105" t="str">
        <f>IF(M105="","",VLOOKUP(N105,Sim!$EF$46:$EG$61,2,0))</f>
        <v/>
      </c>
      <c r="S105" t="str">
        <f>IF(M105="","",VLOOKUP(N105,'Team Stats'!$B$3:$K$18,10,0))</f>
        <v/>
      </c>
      <c r="T105" s="84" t="str">
        <f t="shared" si="14"/>
        <v/>
      </c>
      <c r="U105" t="str">
        <f t="shared" si="15"/>
        <v/>
      </c>
    </row>
    <row r="106" spans="1:21">
      <c r="A106" s="73" t="s">
        <v>430</v>
      </c>
      <c r="B106" s="73" t="s">
        <v>217</v>
      </c>
      <c r="C106" s="74">
        <v>81</v>
      </c>
      <c r="D106" s="74"/>
      <c r="E106" s="74">
        <v>22</v>
      </c>
      <c r="F106" s="74"/>
      <c r="G106" s="74">
        <v>25</v>
      </c>
      <c r="H106" s="74"/>
      <c r="I106" s="63">
        <v>47</v>
      </c>
      <c r="J106" t="b">
        <f t="shared" si="8"/>
        <v>0</v>
      </c>
      <c r="K106" t="b">
        <f t="shared" si="9"/>
        <v>0</v>
      </c>
      <c r="M106" t="str">
        <f t="shared" si="10"/>
        <v/>
      </c>
      <c r="N106" t="str">
        <f t="shared" si="11"/>
        <v/>
      </c>
      <c r="O106" t="str">
        <f t="shared" si="12"/>
        <v/>
      </c>
      <c r="P106" t="str">
        <f>IF(M106="","",VLOOKUP(B106,'Team Stats'!$B$3:$K$18,5,0))</f>
        <v/>
      </c>
      <c r="Q106" t="str">
        <f t="shared" si="13"/>
        <v/>
      </c>
      <c r="R106" t="str">
        <f>IF(M106="","",VLOOKUP(N106,Sim!$EF$46:$EG$61,2,0))</f>
        <v/>
      </c>
      <c r="S106" t="str">
        <f>IF(M106="","",VLOOKUP(N106,'Team Stats'!$B$3:$K$18,10,0))</f>
        <v/>
      </c>
      <c r="T106" s="84" t="str">
        <f t="shared" si="14"/>
        <v/>
      </c>
      <c r="U106" t="str">
        <f t="shared" si="15"/>
        <v/>
      </c>
    </row>
    <row r="107" spans="1:21">
      <c r="A107" s="73" t="s">
        <v>431</v>
      </c>
      <c r="B107" s="73" t="s">
        <v>357</v>
      </c>
      <c r="C107" s="74">
        <v>69</v>
      </c>
      <c r="D107" s="74"/>
      <c r="E107" s="74">
        <v>27</v>
      </c>
      <c r="F107" s="74"/>
      <c r="G107" s="74">
        <v>20</v>
      </c>
      <c r="H107" s="74"/>
      <c r="I107" s="63">
        <v>47</v>
      </c>
      <c r="J107" t="b">
        <f t="shared" si="8"/>
        <v>0</v>
      </c>
      <c r="K107" t="b">
        <f t="shared" si="9"/>
        <v>0</v>
      </c>
      <c r="M107" t="str">
        <f t="shared" si="10"/>
        <v/>
      </c>
      <c r="N107" t="str">
        <f t="shared" si="11"/>
        <v/>
      </c>
      <c r="O107" t="str">
        <f t="shared" si="12"/>
        <v/>
      </c>
      <c r="P107" t="str">
        <f>IF(M107="","",VLOOKUP(B107,'Team Stats'!$B$3:$K$18,5,0))</f>
        <v/>
      </c>
      <c r="Q107" t="str">
        <f t="shared" si="13"/>
        <v/>
      </c>
      <c r="R107" t="str">
        <f>IF(M107="","",VLOOKUP(N107,Sim!$EF$46:$EG$61,2,0))</f>
        <v/>
      </c>
      <c r="S107" t="str">
        <f>IF(M107="","",VLOOKUP(N107,'Team Stats'!$B$3:$K$18,10,0))</f>
        <v/>
      </c>
      <c r="T107" s="84" t="str">
        <f t="shared" si="14"/>
        <v/>
      </c>
      <c r="U107" t="str">
        <f t="shared" si="15"/>
        <v/>
      </c>
    </row>
    <row r="108" spans="1:21">
      <c r="A108" s="73" t="s">
        <v>432</v>
      </c>
      <c r="B108" s="73" t="s">
        <v>325</v>
      </c>
      <c r="C108" s="74">
        <v>82</v>
      </c>
      <c r="D108" s="74"/>
      <c r="E108" s="74">
        <v>20</v>
      </c>
      <c r="F108" s="74"/>
      <c r="G108" s="74">
        <v>27</v>
      </c>
      <c r="H108" s="74"/>
      <c r="I108" s="63">
        <v>47</v>
      </c>
      <c r="J108" t="b">
        <f t="shared" si="8"/>
        <v>0</v>
      </c>
      <c r="K108" t="b">
        <f t="shared" si="9"/>
        <v>0</v>
      </c>
      <c r="M108" t="str">
        <f t="shared" si="10"/>
        <v/>
      </c>
      <c r="N108" t="str">
        <f t="shared" si="11"/>
        <v/>
      </c>
      <c r="O108" t="str">
        <f t="shared" si="12"/>
        <v/>
      </c>
      <c r="P108" t="str">
        <f>IF(M108="","",VLOOKUP(B108,'Team Stats'!$B$3:$K$18,5,0))</f>
        <v/>
      </c>
      <c r="Q108" t="str">
        <f t="shared" si="13"/>
        <v/>
      </c>
      <c r="R108" t="str">
        <f>IF(M108="","",VLOOKUP(N108,Sim!$EF$46:$EG$61,2,0))</f>
        <v/>
      </c>
      <c r="S108" t="str">
        <f>IF(M108="","",VLOOKUP(N108,'Team Stats'!$B$3:$K$18,10,0))</f>
        <v/>
      </c>
      <c r="T108" s="84" t="str">
        <f t="shared" si="14"/>
        <v/>
      </c>
      <c r="U108" t="str">
        <f t="shared" si="15"/>
        <v/>
      </c>
    </row>
    <row r="109" spans="1:21">
      <c r="A109" s="73" t="s">
        <v>433</v>
      </c>
      <c r="B109" s="73" t="s">
        <v>200</v>
      </c>
      <c r="C109" s="74">
        <v>81</v>
      </c>
      <c r="D109" s="74"/>
      <c r="E109" s="74">
        <v>7</v>
      </c>
      <c r="F109" s="74"/>
      <c r="G109" s="74">
        <v>39</v>
      </c>
      <c r="H109" s="74"/>
      <c r="I109" s="63">
        <v>46</v>
      </c>
      <c r="J109" t="b">
        <f t="shared" si="8"/>
        <v>1</v>
      </c>
      <c r="K109" t="b">
        <f t="shared" si="9"/>
        <v>1</v>
      </c>
      <c r="M109" t="str">
        <f t="shared" si="10"/>
        <v> Alex Pietrangelo</v>
      </c>
      <c r="N109" t="str">
        <f t="shared" si="11"/>
        <v>STL</v>
      </c>
      <c r="O109">
        <f t="shared" si="12"/>
        <v>46</v>
      </c>
      <c r="P109">
        <f>IF(M109="","",VLOOKUP(B109,'Team Stats'!$B$3:$K$18,5,0))</f>
        <v>660</v>
      </c>
      <c r="Q109">
        <f t="shared" si="13"/>
        <v>6.9696969696969702E-2</v>
      </c>
      <c r="R109">
        <f ca="1">IF(M109="","",VLOOKUP(N109,Sim!$EF$46:$EG$61,2,0))</f>
        <v>10.87</v>
      </c>
      <c r="S109">
        <f ca="1">IF(M109="","",VLOOKUP(N109,'Team Stats'!$B$3:$K$18,10,0))</f>
        <v>87.490243902439019</v>
      </c>
      <c r="T109" s="84">
        <f t="shared" ca="1" si="14"/>
        <v>6.0978048780487804</v>
      </c>
      <c r="U109">
        <f t="shared" ca="1" si="15"/>
        <v>48</v>
      </c>
    </row>
    <row r="110" spans="1:21">
      <c r="A110" s="73" t="s">
        <v>434</v>
      </c>
      <c r="B110" s="73" t="s">
        <v>357</v>
      </c>
      <c r="C110" s="74">
        <v>82</v>
      </c>
      <c r="D110" s="74"/>
      <c r="E110" s="74">
        <v>7</v>
      </c>
      <c r="F110" s="74"/>
      <c r="G110" s="74">
        <v>39</v>
      </c>
      <c r="H110" s="74"/>
      <c r="I110" s="63">
        <v>46</v>
      </c>
      <c r="J110" t="b">
        <f t="shared" si="8"/>
        <v>0</v>
      </c>
      <c r="K110" t="b">
        <f t="shared" si="9"/>
        <v>0</v>
      </c>
      <c r="M110" t="str">
        <f t="shared" si="10"/>
        <v/>
      </c>
      <c r="N110" t="str">
        <f t="shared" si="11"/>
        <v/>
      </c>
      <c r="O110" t="str">
        <f t="shared" si="12"/>
        <v/>
      </c>
      <c r="P110" t="str">
        <f>IF(M110="","",VLOOKUP(B110,'Team Stats'!$B$3:$K$18,5,0))</f>
        <v/>
      </c>
      <c r="Q110" t="str">
        <f t="shared" si="13"/>
        <v/>
      </c>
      <c r="R110" t="str">
        <f>IF(M110="","",VLOOKUP(N110,Sim!$EF$46:$EG$61,2,0))</f>
        <v/>
      </c>
      <c r="S110" t="str">
        <f>IF(M110="","",VLOOKUP(N110,'Team Stats'!$B$3:$K$18,10,0))</f>
        <v/>
      </c>
      <c r="T110" s="84" t="str">
        <f t="shared" si="14"/>
        <v/>
      </c>
      <c r="U110" t="str">
        <f t="shared" si="15"/>
        <v/>
      </c>
    </row>
    <row r="111" spans="1:21">
      <c r="A111" s="73" t="s">
        <v>435</v>
      </c>
      <c r="B111" s="73" t="s">
        <v>221</v>
      </c>
      <c r="C111" s="74">
        <v>78</v>
      </c>
      <c r="D111" s="74"/>
      <c r="E111" s="74">
        <v>20</v>
      </c>
      <c r="F111" s="74"/>
      <c r="G111" s="74">
        <v>26</v>
      </c>
      <c r="H111" s="74"/>
      <c r="I111" s="63">
        <v>46</v>
      </c>
      <c r="J111" t="b">
        <f t="shared" si="8"/>
        <v>0</v>
      </c>
      <c r="K111" t="b">
        <f t="shared" si="9"/>
        <v>0</v>
      </c>
      <c r="M111" t="str">
        <f t="shared" si="10"/>
        <v/>
      </c>
      <c r="N111" t="str">
        <f t="shared" si="11"/>
        <v/>
      </c>
      <c r="O111" t="str">
        <f t="shared" si="12"/>
        <v/>
      </c>
      <c r="P111" t="str">
        <f>IF(M111="","",VLOOKUP(B111,'Team Stats'!$B$3:$K$18,5,0))</f>
        <v/>
      </c>
      <c r="Q111" t="str">
        <f t="shared" si="13"/>
        <v/>
      </c>
      <c r="R111" t="str">
        <f>IF(M111="","",VLOOKUP(N111,Sim!$EF$46:$EG$61,2,0))</f>
        <v/>
      </c>
      <c r="S111" t="str">
        <f>IF(M111="","",VLOOKUP(N111,'Team Stats'!$B$3:$K$18,10,0))</f>
        <v/>
      </c>
      <c r="T111" s="84" t="str">
        <f t="shared" si="14"/>
        <v/>
      </c>
      <c r="U111" t="str">
        <f t="shared" si="15"/>
        <v/>
      </c>
    </row>
    <row r="112" spans="1:21">
      <c r="A112" s="73" t="s">
        <v>436</v>
      </c>
      <c r="B112" s="73" t="s">
        <v>214</v>
      </c>
      <c r="C112" s="74">
        <v>80</v>
      </c>
      <c r="D112" s="74"/>
      <c r="E112" s="74">
        <v>20</v>
      </c>
      <c r="F112" s="74"/>
      <c r="G112" s="74">
        <v>26</v>
      </c>
      <c r="H112" s="74"/>
      <c r="I112" s="63">
        <v>46</v>
      </c>
      <c r="J112" t="b">
        <f t="shared" si="8"/>
        <v>1</v>
      </c>
      <c r="K112" t="b">
        <f t="shared" si="9"/>
        <v>1</v>
      </c>
      <c r="M112" t="str">
        <f t="shared" si="10"/>
        <v> Mika Zibanejad</v>
      </c>
      <c r="N112" t="str">
        <f t="shared" si="11"/>
        <v>OTT</v>
      </c>
      <c r="O112">
        <f t="shared" si="12"/>
        <v>46</v>
      </c>
      <c r="P112">
        <f>IF(M112="","",VLOOKUP(B112,'Team Stats'!$B$3:$K$18,5,0))</f>
        <v>619</v>
      </c>
      <c r="Q112">
        <f t="shared" si="13"/>
        <v>7.4313408723747976E-2</v>
      </c>
      <c r="R112">
        <f ca="1">IF(M112="","",VLOOKUP(N112,Sim!$EF$46:$EG$61,2,0))</f>
        <v>10.71</v>
      </c>
      <c r="S112">
        <f ca="1">IF(M112="","",VLOOKUP(N112,'Team Stats'!$B$3:$K$18,10,0))</f>
        <v>80.847439024390255</v>
      </c>
      <c r="T112" s="84">
        <f t="shared" ca="1" si="14"/>
        <v>6.0080487804878056</v>
      </c>
      <c r="U112">
        <f t="shared" ca="1" si="15"/>
        <v>51</v>
      </c>
    </row>
    <row r="113" spans="1:21">
      <c r="A113" s="73" t="s">
        <v>437</v>
      </c>
      <c r="B113" s="73" t="s">
        <v>345</v>
      </c>
      <c r="C113" s="74">
        <v>80</v>
      </c>
      <c r="D113" s="74"/>
      <c r="E113" s="74">
        <v>20</v>
      </c>
      <c r="F113" s="74"/>
      <c r="G113" s="74">
        <v>26</v>
      </c>
      <c r="H113" s="74"/>
      <c r="I113" s="63">
        <v>46</v>
      </c>
      <c r="J113" t="b">
        <f t="shared" si="8"/>
        <v>0</v>
      </c>
      <c r="K113" t="b">
        <f t="shared" si="9"/>
        <v>0</v>
      </c>
      <c r="M113" t="str">
        <f t="shared" si="10"/>
        <v/>
      </c>
      <c r="N113" t="str">
        <f t="shared" si="11"/>
        <v/>
      </c>
      <c r="O113" t="str">
        <f t="shared" si="12"/>
        <v/>
      </c>
      <c r="P113" t="str">
        <f>IF(M113="","",VLOOKUP(B113,'Team Stats'!$B$3:$K$18,5,0))</f>
        <v/>
      </c>
      <c r="Q113" t="str">
        <f t="shared" si="13"/>
        <v/>
      </c>
      <c r="R113" t="str">
        <f>IF(M113="","",VLOOKUP(N113,Sim!$EF$46:$EG$61,2,0))</f>
        <v/>
      </c>
      <c r="S113" t="str">
        <f>IF(M113="","",VLOOKUP(N113,'Team Stats'!$B$3:$K$18,10,0))</f>
        <v/>
      </c>
      <c r="T113" s="84" t="str">
        <f t="shared" si="14"/>
        <v/>
      </c>
      <c r="U113" t="str">
        <f t="shared" si="15"/>
        <v/>
      </c>
    </row>
    <row r="114" spans="1:21">
      <c r="A114" s="73" t="s">
        <v>438</v>
      </c>
      <c r="B114" s="73" t="s">
        <v>203</v>
      </c>
      <c r="C114" s="74">
        <v>80</v>
      </c>
      <c r="D114" s="74"/>
      <c r="E114" s="74">
        <v>21</v>
      </c>
      <c r="F114" s="74"/>
      <c r="G114" s="74">
        <v>25</v>
      </c>
      <c r="H114" s="74"/>
      <c r="I114" s="63">
        <v>46</v>
      </c>
      <c r="J114" t="b">
        <f t="shared" si="8"/>
        <v>1</v>
      </c>
      <c r="K114" t="b">
        <f t="shared" si="9"/>
        <v>1</v>
      </c>
      <c r="M114" t="str">
        <f t="shared" si="10"/>
        <v> Chris Kreider</v>
      </c>
      <c r="N114" t="str">
        <f t="shared" si="11"/>
        <v>NYR</v>
      </c>
      <c r="O114">
        <f t="shared" si="12"/>
        <v>46</v>
      </c>
      <c r="P114">
        <f>IF(M114="","",VLOOKUP(B114,'Team Stats'!$B$3:$K$18,5,0))</f>
        <v>659</v>
      </c>
      <c r="Q114">
        <f t="shared" si="13"/>
        <v>6.9802731411229141E-2</v>
      </c>
      <c r="R114">
        <f ca="1">IF(M114="","",VLOOKUP(N114,Sim!$EF$46:$EG$61,2,0))</f>
        <v>8.7200000000000006</v>
      </c>
      <c r="S114">
        <f ca="1">IF(M114="","",VLOOKUP(N114,'Team Stats'!$B$3:$K$18,10,0))</f>
        <v>70.079024390243916</v>
      </c>
      <c r="T114" s="84">
        <f t="shared" ca="1" si="14"/>
        <v>4.8917073170731724</v>
      </c>
      <c r="U114">
        <f t="shared" ca="1" si="15"/>
        <v>79</v>
      </c>
    </row>
    <row r="115" spans="1:21">
      <c r="A115" s="73" t="s">
        <v>439</v>
      </c>
      <c r="B115" s="73" t="s">
        <v>200</v>
      </c>
      <c r="C115" s="74">
        <v>74</v>
      </c>
      <c r="D115" s="74"/>
      <c r="E115" s="74">
        <v>16</v>
      </c>
      <c r="F115" s="74"/>
      <c r="G115" s="74">
        <v>30</v>
      </c>
      <c r="H115" s="74"/>
      <c r="I115" s="63">
        <v>46</v>
      </c>
      <c r="J115" t="b">
        <f t="shared" si="8"/>
        <v>1</v>
      </c>
      <c r="K115" t="b">
        <f t="shared" si="9"/>
        <v>1</v>
      </c>
      <c r="M115" t="str">
        <f t="shared" si="10"/>
        <v> Paul Stastny</v>
      </c>
      <c r="N115" t="str">
        <f t="shared" si="11"/>
        <v>STL</v>
      </c>
      <c r="O115">
        <f t="shared" si="12"/>
        <v>46</v>
      </c>
      <c r="P115">
        <f>IF(M115="","",VLOOKUP(B115,'Team Stats'!$B$3:$K$18,5,0))</f>
        <v>660</v>
      </c>
      <c r="Q115">
        <f t="shared" si="13"/>
        <v>6.9696969696969702E-2</v>
      </c>
      <c r="R115">
        <f ca="1">IF(M115="","",VLOOKUP(N115,Sim!$EF$46:$EG$61,2,0))</f>
        <v>10.87</v>
      </c>
      <c r="S115">
        <f ca="1">IF(M115="","",VLOOKUP(N115,'Team Stats'!$B$3:$K$18,10,0))</f>
        <v>87.490243902439019</v>
      </c>
      <c r="T115" s="84">
        <f t="shared" ca="1" si="14"/>
        <v>6.0978048780487804</v>
      </c>
      <c r="U115">
        <f t="shared" ca="1" si="15"/>
        <v>48</v>
      </c>
    </row>
    <row r="116" spans="1:21">
      <c r="A116" s="73" t="s">
        <v>440</v>
      </c>
      <c r="B116" s="73" t="s">
        <v>203</v>
      </c>
      <c r="C116" s="74">
        <v>79</v>
      </c>
      <c r="D116" s="74"/>
      <c r="E116" s="74">
        <v>17</v>
      </c>
      <c r="F116" s="74"/>
      <c r="G116" s="74">
        <v>28</v>
      </c>
      <c r="H116" s="74"/>
      <c r="I116" s="63">
        <v>45</v>
      </c>
      <c r="J116" t="b">
        <f t="shared" si="8"/>
        <v>1</v>
      </c>
      <c r="K116" t="b">
        <f t="shared" si="9"/>
        <v>1</v>
      </c>
      <c r="M116" t="str">
        <f t="shared" si="10"/>
        <v> Kevin Hayes</v>
      </c>
      <c r="N116" t="str">
        <f t="shared" si="11"/>
        <v>NYR</v>
      </c>
      <c r="O116">
        <f t="shared" si="12"/>
        <v>45</v>
      </c>
      <c r="P116">
        <f>IF(M116="","",VLOOKUP(B116,'Team Stats'!$B$3:$K$18,5,0))</f>
        <v>659</v>
      </c>
      <c r="Q116">
        <f t="shared" si="13"/>
        <v>6.8285280728376321E-2</v>
      </c>
      <c r="R116">
        <f ca="1">IF(M116="","",VLOOKUP(N116,Sim!$EF$46:$EG$61,2,0))</f>
        <v>8.7200000000000006</v>
      </c>
      <c r="S116">
        <f ca="1">IF(M116="","",VLOOKUP(N116,'Team Stats'!$B$3:$K$18,10,0))</f>
        <v>70.079024390243916</v>
      </c>
      <c r="T116" s="84">
        <f t="shared" ca="1" si="14"/>
        <v>4.7853658536585373</v>
      </c>
      <c r="U116">
        <f t="shared" ca="1" si="15"/>
        <v>83</v>
      </c>
    </row>
    <row r="117" spans="1:21">
      <c r="A117" s="73" t="s">
        <v>441</v>
      </c>
      <c r="B117" s="73" t="s">
        <v>325</v>
      </c>
      <c r="C117" s="74">
        <v>72</v>
      </c>
      <c r="D117" s="74"/>
      <c r="E117" s="74">
        <v>10</v>
      </c>
      <c r="F117" s="74"/>
      <c r="G117" s="74">
        <v>35</v>
      </c>
      <c r="H117" s="74"/>
      <c r="I117" s="63">
        <v>45</v>
      </c>
      <c r="J117" t="b">
        <f t="shared" si="8"/>
        <v>0</v>
      </c>
      <c r="K117" t="b">
        <f t="shared" si="9"/>
        <v>0</v>
      </c>
      <c r="M117" t="str">
        <f t="shared" si="10"/>
        <v/>
      </c>
      <c r="N117" t="str">
        <f t="shared" si="11"/>
        <v/>
      </c>
      <c r="O117" t="str">
        <f t="shared" si="12"/>
        <v/>
      </c>
      <c r="P117" t="str">
        <f>IF(M117="","",VLOOKUP(B117,'Team Stats'!$B$3:$K$18,5,0))</f>
        <v/>
      </c>
      <c r="Q117" t="str">
        <f t="shared" si="13"/>
        <v/>
      </c>
      <c r="R117" t="str">
        <f>IF(M117="","",VLOOKUP(N117,Sim!$EF$46:$EG$61,2,0))</f>
        <v/>
      </c>
      <c r="S117" t="str">
        <f>IF(M117="","",VLOOKUP(N117,'Team Stats'!$B$3:$K$18,10,0))</f>
        <v/>
      </c>
      <c r="T117" s="84" t="str">
        <f t="shared" si="14"/>
        <v/>
      </c>
      <c r="U117" t="str">
        <f t="shared" si="15"/>
        <v/>
      </c>
    </row>
    <row r="118" spans="1:21">
      <c r="A118" s="73" t="s">
        <v>442</v>
      </c>
      <c r="B118" s="73" t="s">
        <v>202</v>
      </c>
      <c r="C118" s="74">
        <v>80</v>
      </c>
      <c r="D118" s="74"/>
      <c r="E118" s="74">
        <v>10</v>
      </c>
      <c r="F118" s="74"/>
      <c r="G118" s="74">
        <v>35</v>
      </c>
      <c r="H118" s="74"/>
      <c r="I118" s="63">
        <v>45</v>
      </c>
      <c r="J118" t="b">
        <f t="shared" si="8"/>
        <v>1</v>
      </c>
      <c r="K118" t="b">
        <f t="shared" si="9"/>
        <v>1</v>
      </c>
      <c r="M118" t="str">
        <f t="shared" si="10"/>
        <v> Duncan Keith</v>
      </c>
      <c r="N118" t="str">
        <f t="shared" si="11"/>
        <v>CHI</v>
      </c>
      <c r="O118">
        <f t="shared" si="12"/>
        <v>45</v>
      </c>
      <c r="P118">
        <f>IF(M118="","",VLOOKUP(B118,'Team Stats'!$B$3:$K$18,5,0))</f>
        <v>601</v>
      </c>
      <c r="Q118">
        <f t="shared" si="13"/>
        <v>7.4875207986688855E-2</v>
      </c>
      <c r="R118">
        <f ca="1">IF(M118="","",VLOOKUP(N118,Sim!$EF$46:$EG$61,2,0))</f>
        <v>9.14</v>
      </c>
      <c r="S118">
        <f ca="1">IF(M118="","",VLOOKUP(N118,'Team Stats'!$B$3:$K$18,10,0))</f>
        <v>66.989512195121961</v>
      </c>
      <c r="T118" s="84">
        <f t="shared" ca="1" si="14"/>
        <v>5.015853658536586</v>
      </c>
      <c r="U118">
        <f t="shared" ca="1" si="15"/>
        <v>74</v>
      </c>
    </row>
    <row r="119" spans="1:21">
      <c r="A119" s="73" t="s">
        <v>443</v>
      </c>
      <c r="B119" s="73" t="s">
        <v>365</v>
      </c>
      <c r="C119" s="74">
        <v>78</v>
      </c>
      <c r="D119" s="74"/>
      <c r="E119" s="74">
        <v>15</v>
      </c>
      <c r="F119" s="74"/>
      <c r="G119" s="74">
        <v>30</v>
      </c>
      <c r="H119" s="74"/>
      <c r="I119" s="63">
        <v>45</v>
      </c>
      <c r="J119" t="b">
        <f t="shared" si="8"/>
        <v>0</v>
      </c>
      <c r="K119" t="b">
        <f t="shared" si="9"/>
        <v>0</v>
      </c>
      <c r="M119" t="str">
        <f t="shared" si="10"/>
        <v/>
      </c>
      <c r="N119" t="str">
        <f t="shared" si="11"/>
        <v/>
      </c>
      <c r="O119" t="str">
        <f t="shared" si="12"/>
        <v/>
      </c>
      <c r="P119" t="str">
        <f>IF(M119="","",VLOOKUP(B119,'Team Stats'!$B$3:$K$18,5,0))</f>
        <v/>
      </c>
      <c r="Q119" t="str">
        <f t="shared" si="13"/>
        <v/>
      </c>
      <c r="R119" t="str">
        <f>IF(M119="","",VLOOKUP(N119,Sim!$EF$46:$EG$61,2,0))</f>
        <v/>
      </c>
      <c r="S119" t="str">
        <f>IF(M119="","",VLOOKUP(N119,'Team Stats'!$B$3:$K$18,10,0))</f>
        <v/>
      </c>
      <c r="T119" s="84" t="str">
        <f t="shared" si="14"/>
        <v/>
      </c>
      <c r="U119" t="str">
        <f t="shared" si="15"/>
        <v/>
      </c>
    </row>
    <row r="120" spans="1:21">
      <c r="A120" s="73" t="s">
        <v>444</v>
      </c>
      <c r="B120" s="73" t="s">
        <v>210</v>
      </c>
      <c r="C120" s="74">
        <v>69</v>
      </c>
      <c r="D120" s="74"/>
      <c r="E120" s="74">
        <v>18</v>
      </c>
      <c r="F120" s="74"/>
      <c r="G120" s="74">
        <v>27</v>
      </c>
      <c r="H120" s="74"/>
      <c r="I120" s="63">
        <v>45</v>
      </c>
      <c r="J120" t="b">
        <f t="shared" si="8"/>
        <v>1</v>
      </c>
      <c r="K120" t="b">
        <f t="shared" si="9"/>
        <v>1</v>
      </c>
      <c r="M120" t="str">
        <f t="shared" si="10"/>
        <v> Dustin Byfuglien</v>
      </c>
      <c r="N120" t="str">
        <f t="shared" si="11"/>
        <v>WPG</v>
      </c>
      <c r="O120">
        <f t="shared" si="12"/>
        <v>45</v>
      </c>
      <c r="P120">
        <f>IF(M120="","",VLOOKUP(B120,'Team Stats'!$B$3:$K$18,5,0))</f>
        <v>594</v>
      </c>
      <c r="Q120">
        <f t="shared" si="13"/>
        <v>7.575757575757576E-2</v>
      </c>
      <c r="R120">
        <f ca="1">IF(M120="","",VLOOKUP(N120,Sim!$EF$46:$EG$61,2,0))</f>
        <v>8.94</v>
      </c>
      <c r="S120">
        <f ca="1">IF(M120="","",VLOOKUP(N120,'Team Stats'!$B$3:$K$18,10,0))</f>
        <v>64.760487804878053</v>
      </c>
      <c r="T120" s="84">
        <f t="shared" ca="1" si="14"/>
        <v>4.9060975609756099</v>
      </c>
      <c r="U120">
        <f t="shared" ca="1" si="15"/>
        <v>78</v>
      </c>
    </row>
    <row r="121" spans="1:21">
      <c r="A121" s="73" t="s">
        <v>445</v>
      </c>
      <c r="B121" s="73" t="s">
        <v>209</v>
      </c>
      <c r="C121" s="74">
        <v>71</v>
      </c>
      <c r="D121" s="74"/>
      <c r="E121" s="74">
        <v>23</v>
      </c>
      <c r="F121" s="74"/>
      <c r="G121" s="74">
        <v>21</v>
      </c>
      <c r="H121" s="74"/>
      <c r="I121" s="63">
        <v>44</v>
      </c>
      <c r="J121" t="b">
        <f t="shared" si="8"/>
        <v>1</v>
      </c>
      <c r="K121" t="b">
        <f t="shared" si="9"/>
        <v>1</v>
      </c>
      <c r="M121" t="str">
        <f t="shared" si="10"/>
        <v> Justin Abdelkader</v>
      </c>
      <c r="N121" t="str">
        <f t="shared" si="11"/>
        <v>DET</v>
      </c>
      <c r="O121">
        <f t="shared" si="12"/>
        <v>44</v>
      </c>
      <c r="P121">
        <f>IF(M121="","",VLOOKUP(B121,'Team Stats'!$B$3:$K$18,5,0))</f>
        <v>630</v>
      </c>
      <c r="Q121">
        <f t="shared" si="13"/>
        <v>6.9841269841269843E-2</v>
      </c>
      <c r="R121">
        <f ca="1">IF(M121="","",VLOOKUP(N121,Sim!$EF$46:$EG$61,2,0))</f>
        <v>10.06</v>
      </c>
      <c r="S121">
        <f ca="1">IF(M121="","",VLOOKUP(N121,'Team Stats'!$B$3:$K$18,10,0))</f>
        <v>77.29024390243903</v>
      </c>
      <c r="T121" s="84">
        <f t="shared" ca="1" si="14"/>
        <v>5.3980487804878052</v>
      </c>
      <c r="U121">
        <f t="shared" ca="1" si="15"/>
        <v>65</v>
      </c>
    </row>
    <row r="122" spans="1:21">
      <c r="A122" s="73" t="s">
        <v>446</v>
      </c>
      <c r="B122" s="73" t="s">
        <v>200</v>
      </c>
      <c r="C122" s="74">
        <v>75</v>
      </c>
      <c r="D122" s="74"/>
      <c r="E122" s="74">
        <v>14</v>
      </c>
      <c r="F122" s="74"/>
      <c r="G122" s="74">
        <v>30</v>
      </c>
      <c r="H122" s="74"/>
      <c r="I122" s="63">
        <v>44</v>
      </c>
      <c r="J122" t="b">
        <f t="shared" si="8"/>
        <v>1</v>
      </c>
      <c r="K122" t="b">
        <f t="shared" si="9"/>
        <v>1</v>
      </c>
      <c r="M122" t="str">
        <f t="shared" si="10"/>
        <v> Jori Lehtera</v>
      </c>
      <c r="N122" t="str">
        <f t="shared" si="11"/>
        <v>STL</v>
      </c>
      <c r="O122">
        <f t="shared" si="12"/>
        <v>44</v>
      </c>
      <c r="P122">
        <f>IF(M122="","",VLOOKUP(B122,'Team Stats'!$B$3:$K$18,5,0))</f>
        <v>660</v>
      </c>
      <c r="Q122">
        <f t="shared" si="13"/>
        <v>6.6666666666666666E-2</v>
      </c>
      <c r="R122">
        <f ca="1">IF(M122="","",VLOOKUP(N122,Sim!$EF$46:$EG$61,2,0))</f>
        <v>10.87</v>
      </c>
      <c r="S122">
        <f ca="1">IF(M122="","",VLOOKUP(N122,'Team Stats'!$B$3:$K$18,10,0))</f>
        <v>87.490243902439019</v>
      </c>
      <c r="T122" s="84">
        <f t="shared" ca="1" si="14"/>
        <v>5.8326829268292677</v>
      </c>
      <c r="U122">
        <f t="shared" ca="1" si="15"/>
        <v>54</v>
      </c>
    </row>
    <row r="123" spans="1:21">
      <c r="A123" s="73" t="s">
        <v>447</v>
      </c>
      <c r="B123" s="73" t="s">
        <v>209</v>
      </c>
      <c r="C123" s="74">
        <v>80</v>
      </c>
      <c r="D123" s="74"/>
      <c r="E123" s="74">
        <v>9</v>
      </c>
      <c r="F123" s="74"/>
      <c r="G123" s="74">
        <v>35</v>
      </c>
      <c r="H123" s="74"/>
      <c r="I123" s="63">
        <v>44</v>
      </c>
      <c r="J123" t="b">
        <f t="shared" si="8"/>
        <v>1</v>
      </c>
      <c r="K123" t="b">
        <f t="shared" si="9"/>
        <v>1</v>
      </c>
      <c r="M123" t="str">
        <f t="shared" si="10"/>
        <v> Niklas Kronwall</v>
      </c>
      <c r="N123" t="str">
        <f t="shared" si="11"/>
        <v>DET</v>
      </c>
      <c r="O123">
        <f t="shared" si="12"/>
        <v>44</v>
      </c>
      <c r="P123">
        <f>IF(M123="","",VLOOKUP(B123,'Team Stats'!$B$3:$K$18,5,0))</f>
        <v>630</v>
      </c>
      <c r="Q123">
        <f t="shared" si="13"/>
        <v>6.9841269841269843E-2</v>
      </c>
      <c r="R123">
        <f ca="1">IF(M123="","",VLOOKUP(N123,Sim!$EF$46:$EG$61,2,0))</f>
        <v>10.06</v>
      </c>
      <c r="S123">
        <f ca="1">IF(M123="","",VLOOKUP(N123,'Team Stats'!$B$3:$K$18,10,0))</f>
        <v>77.29024390243903</v>
      </c>
      <c r="T123" s="84">
        <f t="shared" ca="1" si="14"/>
        <v>5.3980487804878052</v>
      </c>
      <c r="U123">
        <f t="shared" ca="1" si="15"/>
        <v>65</v>
      </c>
    </row>
    <row r="124" spans="1:21">
      <c r="A124" s="73" t="s">
        <v>448</v>
      </c>
      <c r="B124" s="73" t="s">
        <v>365</v>
      </c>
      <c r="C124" s="74">
        <v>82</v>
      </c>
      <c r="D124" s="74"/>
      <c r="E124" s="74">
        <v>23</v>
      </c>
      <c r="F124" s="74"/>
      <c r="G124" s="74">
        <v>21</v>
      </c>
      <c r="H124" s="74"/>
      <c r="I124" s="63">
        <v>44</v>
      </c>
      <c r="J124" t="b">
        <f t="shared" si="8"/>
        <v>0</v>
      </c>
      <c r="K124" t="b">
        <f t="shared" si="9"/>
        <v>0</v>
      </c>
      <c r="M124" t="str">
        <f t="shared" si="10"/>
        <v/>
      </c>
      <c r="N124" t="str">
        <f t="shared" si="11"/>
        <v/>
      </c>
      <c r="O124" t="str">
        <f t="shared" si="12"/>
        <v/>
      </c>
      <c r="P124" t="str">
        <f>IF(M124="","",VLOOKUP(B124,'Team Stats'!$B$3:$K$18,5,0))</f>
        <v/>
      </c>
      <c r="Q124" t="str">
        <f t="shared" si="13"/>
        <v/>
      </c>
      <c r="R124" t="str">
        <f>IF(M124="","",VLOOKUP(N124,Sim!$EF$46:$EG$61,2,0))</f>
        <v/>
      </c>
      <c r="S124" t="str">
        <f>IF(M124="","",VLOOKUP(N124,'Team Stats'!$B$3:$K$18,10,0))</f>
        <v/>
      </c>
      <c r="T124" s="84" t="str">
        <f t="shared" si="14"/>
        <v/>
      </c>
      <c r="U124" t="str">
        <f t="shared" si="15"/>
        <v/>
      </c>
    </row>
    <row r="125" spans="1:21">
      <c r="A125" s="73" t="s">
        <v>449</v>
      </c>
      <c r="B125" s="73" t="s">
        <v>200</v>
      </c>
      <c r="C125" s="74">
        <v>56</v>
      </c>
      <c r="D125" s="74"/>
      <c r="E125" s="74">
        <v>8</v>
      </c>
      <c r="F125" s="74"/>
      <c r="G125" s="74">
        <v>36</v>
      </c>
      <c r="H125" s="74"/>
      <c r="I125" s="63">
        <v>44</v>
      </c>
      <c r="J125" t="b">
        <f t="shared" si="8"/>
        <v>1</v>
      </c>
      <c r="K125" t="b">
        <f t="shared" si="9"/>
        <v>1</v>
      </c>
      <c r="M125" t="str">
        <f t="shared" si="10"/>
        <v> Kevin Shattenkirk</v>
      </c>
      <c r="N125" t="str">
        <f t="shared" si="11"/>
        <v>STL</v>
      </c>
      <c r="O125">
        <f t="shared" si="12"/>
        <v>44</v>
      </c>
      <c r="P125">
        <f>IF(M125="","",VLOOKUP(B125,'Team Stats'!$B$3:$K$18,5,0))</f>
        <v>660</v>
      </c>
      <c r="Q125">
        <f t="shared" si="13"/>
        <v>6.6666666666666666E-2</v>
      </c>
      <c r="R125">
        <f ca="1">IF(M125="","",VLOOKUP(N125,Sim!$EF$46:$EG$61,2,0))</f>
        <v>10.87</v>
      </c>
      <c r="S125">
        <f ca="1">IF(M125="","",VLOOKUP(N125,'Team Stats'!$B$3:$K$18,10,0))</f>
        <v>87.490243902439019</v>
      </c>
      <c r="T125" s="84">
        <f t="shared" ca="1" si="14"/>
        <v>5.8326829268292677</v>
      </c>
      <c r="U125">
        <f t="shared" ca="1" si="15"/>
        <v>54</v>
      </c>
    </row>
    <row r="126" spans="1:21">
      <c r="A126" s="73" t="s">
        <v>450</v>
      </c>
      <c r="B126" s="73" t="s">
        <v>217</v>
      </c>
      <c r="C126" s="74">
        <v>81</v>
      </c>
      <c r="D126" s="74"/>
      <c r="E126" s="74">
        <v>18</v>
      </c>
      <c r="F126" s="74"/>
      <c r="G126" s="74">
        <v>26</v>
      </c>
      <c r="H126" s="74"/>
      <c r="I126" s="63">
        <v>44</v>
      </c>
      <c r="J126" t="b">
        <f t="shared" si="8"/>
        <v>0</v>
      </c>
      <c r="K126" t="b">
        <f t="shared" si="9"/>
        <v>0</v>
      </c>
      <c r="M126" t="str">
        <f t="shared" si="10"/>
        <v/>
      </c>
      <c r="N126" t="str">
        <f t="shared" si="11"/>
        <v/>
      </c>
      <c r="O126" t="str">
        <f t="shared" si="12"/>
        <v/>
      </c>
      <c r="P126" t="str">
        <f>IF(M126="","",VLOOKUP(B126,'Team Stats'!$B$3:$K$18,5,0))</f>
        <v/>
      </c>
      <c r="Q126" t="str">
        <f t="shared" si="13"/>
        <v/>
      </c>
      <c r="R126" t="str">
        <f>IF(M126="","",VLOOKUP(N126,Sim!$EF$46:$EG$61,2,0))</f>
        <v/>
      </c>
      <c r="S126" t="str">
        <f>IF(M126="","",VLOOKUP(N126,'Team Stats'!$B$3:$K$18,10,0))</f>
        <v/>
      </c>
      <c r="T126" s="84" t="str">
        <f t="shared" si="14"/>
        <v/>
      </c>
      <c r="U126" t="str">
        <f t="shared" si="15"/>
        <v/>
      </c>
    </row>
    <row r="127" spans="1:21">
      <c r="A127" s="73" t="s">
        <v>451</v>
      </c>
      <c r="B127" s="73" t="s">
        <v>219</v>
      </c>
      <c r="C127" s="74">
        <v>81</v>
      </c>
      <c r="D127" s="74"/>
      <c r="E127" s="74">
        <v>8</v>
      </c>
      <c r="F127" s="74"/>
      <c r="G127" s="74">
        <v>36</v>
      </c>
      <c r="H127" s="74"/>
      <c r="I127" s="63">
        <v>44</v>
      </c>
      <c r="J127" t="b">
        <f t="shared" si="8"/>
        <v>0</v>
      </c>
      <c r="K127" t="b">
        <f t="shared" si="9"/>
        <v>0</v>
      </c>
      <c r="M127" t="str">
        <f t="shared" si="10"/>
        <v/>
      </c>
      <c r="N127" t="str">
        <f t="shared" si="11"/>
        <v/>
      </c>
      <c r="O127" t="str">
        <f t="shared" si="12"/>
        <v/>
      </c>
      <c r="P127" t="str">
        <f>IF(M127="","",VLOOKUP(B127,'Team Stats'!$B$3:$K$18,5,0))</f>
        <v/>
      </c>
      <c r="Q127" t="str">
        <f t="shared" si="13"/>
        <v/>
      </c>
      <c r="R127" t="str">
        <f>IF(M127="","",VLOOKUP(N127,Sim!$EF$46:$EG$61,2,0))</f>
        <v/>
      </c>
      <c r="S127" t="str">
        <f>IF(M127="","",VLOOKUP(N127,'Team Stats'!$B$3:$K$18,10,0))</f>
        <v/>
      </c>
      <c r="T127" s="84" t="str">
        <f t="shared" si="14"/>
        <v/>
      </c>
      <c r="U127" t="str">
        <f t="shared" si="15"/>
        <v/>
      </c>
    </row>
    <row r="128" spans="1:21">
      <c r="A128" s="73" t="s">
        <v>452</v>
      </c>
      <c r="B128" s="73" t="s">
        <v>217</v>
      </c>
      <c r="C128" s="74">
        <v>82</v>
      </c>
      <c r="D128" s="74"/>
      <c r="E128" s="74">
        <v>13</v>
      </c>
      <c r="F128" s="74"/>
      <c r="G128" s="74">
        <v>31</v>
      </c>
      <c r="H128" s="74"/>
      <c r="I128" s="63">
        <v>44</v>
      </c>
      <c r="J128" t="b">
        <f t="shared" si="8"/>
        <v>0</v>
      </c>
      <c r="K128" t="b">
        <f t="shared" si="9"/>
        <v>0</v>
      </c>
      <c r="M128" t="str">
        <f t="shared" si="10"/>
        <v/>
      </c>
      <c r="N128" t="str">
        <f t="shared" si="11"/>
        <v/>
      </c>
      <c r="O128" t="str">
        <f t="shared" si="12"/>
        <v/>
      </c>
      <c r="P128" t="str">
        <f>IF(M128="","",VLOOKUP(B128,'Team Stats'!$B$3:$K$18,5,0))</f>
        <v/>
      </c>
      <c r="Q128" t="str">
        <f t="shared" si="13"/>
        <v/>
      </c>
      <c r="R128" t="str">
        <f>IF(M128="","",VLOOKUP(N128,Sim!$EF$46:$EG$61,2,0))</f>
        <v/>
      </c>
      <c r="S128" t="str">
        <f>IF(M128="","",VLOOKUP(N128,'Team Stats'!$B$3:$K$18,10,0))</f>
        <v/>
      </c>
      <c r="T128" s="84" t="str">
        <f t="shared" si="14"/>
        <v/>
      </c>
      <c r="U128" t="str">
        <f t="shared" si="15"/>
        <v/>
      </c>
    </row>
    <row r="129" spans="1:21">
      <c r="A129" s="73" t="s">
        <v>453</v>
      </c>
      <c r="B129" s="73" t="s">
        <v>219</v>
      </c>
      <c r="C129" s="74">
        <v>72</v>
      </c>
      <c r="D129" s="74"/>
      <c r="E129" s="74">
        <v>24</v>
      </c>
      <c r="F129" s="74"/>
      <c r="G129" s="74">
        <v>19</v>
      </c>
      <c r="H129" s="74"/>
      <c r="I129" s="63">
        <v>43</v>
      </c>
      <c r="J129" t="b">
        <f t="shared" si="8"/>
        <v>0</v>
      </c>
      <c r="K129" t="b">
        <f t="shared" si="9"/>
        <v>0</v>
      </c>
      <c r="M129" t="str">
        <f t="shared" si="10"/>
        <v/>
      </c>
      <c r="N129" t="str">
        <f t="shared" si="11"/>
        <v/>
      </c>
      <c r="O129" t="str">
        <f t="shared" si="12"/>
        <v/>
      </c>
      <c r="P129" t="str">
        <f>IF(M129="","",VLOOKUP(B129,'Team Stats'!$B$3:$K$18,5,0))</f>
        <v/>
      </c>
      <c r="Q129" t="str">
        <f t="shared" si="13"/>
        <v/>
      </c>
      <c r="R129" t="str">
        <f>IF(M129="","",VLOOKUP(N129,Sim!$EF$46:$EG$61,2,0))</f>
        <v/>
      </c>
      <c r="S129" t="str">
        <f>IF(M129="","",VLOOKUP(N129,'Team Stats'!$B$3:$K$18,10,0))</f>
        <v/>
      </c>
      <c r="T129" s="84" t="str">
        <f t="shared" si="14"/>
        <v/>
      </c>
      <c r="U129" t="str">
        <f t="shared" si="15"/>
        <v/>
      </c>
    </row>
    <row r="130" spans="1:21">
      <c r="A130" s="73" t="s">
        <v>454</v>
      </c>
      <c r="B130" s="73" t="s">
        <v>196</v>
      </c>
      <c r="C130" s="74">
        <v>78</v>
      </c>
      <c r="D130" s="74"/>
      <c r="E130" s="74">
        <v>14</v>
      </c>
      <c r="F130" s="74"/>
      <c r="G130" s="74">
        <v>29</v>
      </c>
      <c r="H130" s="74"/>
      <c r="I130" s="63">
        <v>43</v>
      </c>
      <c r="J130" t="b">
        <f t="shared" si="8"/>
        <v>1</v>
      </c>
      <c r="K130" t="b">
        <f t="shared" si="9"/>
        <v>1</v>
      </c>
      <c r="M130" t="str">
        <f t="shared" si="10"/>
        <v> Frans Nielsen</v>
      </c>
      <c r="N130" t="str">
        <f t="shared" si="11"/>
        <v>NYI</v>
      </c>
      <c r="O130">
        <f t="shared" si="12"/>
        <v>43</v>
      </c>
      <c r="P130">
        <f>IF(M130="","",VLOOKUP(B130,'Team Stats'!$B$3:$K$18,5,0))</f>
        <v>656</v>
      </c>
      <c r="Q130">
        <f t="shared" si="13"/>
        <v>6.5548780487804881E-2</v>
      </c>
      <c r="R130">
        <f ca="1">IF(M130="","",VLOOKUP(N130,Sim!$EF$46:$EG$61,2,0))</f>
        <v>13.18</v>
      </c>
      <c r="S130">
        <f ca="1">IF(M130="","",VLOOKUP(N130,'Team Stats'!$B$3:$K$18,10,0))</f>
        <v>105.44</v>
      </c>
      <c r="T130" s="84">
        <f t="shared" ca="1" si="14"/>
        <v>6.911463414634146</v>
      </c>
      <c r="U130">
        <f t="shared" ca="1" si="15"/>
        <v>30</v>
      </c>
    </row>
    <row r="131" spans="1:21">
      <c r="A131" s="73" t="s">
        <v>455</v>
      </c>
      <c r="B131" s="73" t="s">
        <v>220</v>
      </c>
      <c r="C131" s="74">
        <v>75</v>
      </c>
      <c r="D131" s="74"/>
      <c r="E131" s="74">
        <v>16</v>
      </c>
      <c r="F131" s="74"/>
      <c r="G131" s="74">
        <v>27</v>
      </c>
      <c r="H131" s="74"/>
      <c r="I131" s="63">
        <v>43</v>
      </c>
      <c r="J131" t="b">
        <f t="shared" si="8"/>
        <v>0</v>
      </c>
      <c r="K131" t="b">
        <f t="shared" si="9"/>
        <v>0</v>
      </c>
      <c r="M131" t="str">
        <f t="shared" si="10"/>
        <v/>
      </c>
      <c r="N131" t="str">
        <f t="shared" si="11"/>
        <v/>
      </c>
      <c r="O131" t="str">
        <f t="shared" si="12"/>
        <v/>
      </c>
      <c r="P131" t="str">
        <f>IF(M131="","",VLOOKUP(B131,'Team Stats'!$B$3:$K$18,5,0))</f>
        <v/>
      </c>
      <c r="Q131" t="str">
        <f t="shared" si="13"/>
        <v/>
      </c>
      <c r="R131" t="str">
        <f>IF(M131="","",VLOOKUP(N131,Sim!$EF$46:$EG$61,2,0))</f>
        <v/>
      </c>
      <c r="S131" t="str">
        <f>IF(M131="","",VLOOKUP(N131,'Team Stats'!$B$3:$K$18,10,0))</f>
        <v/>
      </c>
      <c r="T131" s="84" t="str">
        <f t="shared" si="14"/>
        <v/>
      </c>
      <c r="U131" t="str">
        <f t="shared" si="15"/>
        <v/>
      </c>
    </row>
    <row r="132" spans="1:21">
      <c r="A132" s="73" t="s">
        <v>456</v>
      </c>
      <c r="B132" s="73" t="s">
        <v>210</v>
      </c>
      <c r="C132" s="74">
        <v>76</v>
      </c>
      <c r="D132" s="74"/>
      <c r="E132" s="74">
        <v>18</v>
      </c>
      <c r="F132" s="74"/>
      <c r="G132" s="74">
        <v>25</v>
      </c>
      <c r="H132" s="74"/>
      <c r="I132" s="63">
        <v>43</v>
      </c>
      <c r="J132" t="b">
        <f t="shared" ref="J132:J195" si="16">OR(B132="MTL",B132="OTT",B132="TBL",B132="DET",B132="WSH",B132="NYI",B132="NYR",B132="PIT",B132="STL",B132="MIN",B132="NSH",B132="CHI",B132="VAN",B132="CAL",B132="ANA",B132="WPG")</f>
        <v>1</v>
      </c>
      <c r="K132" t="b">
        <f t="shared" ref="K132:K195" si="17">J132</f>
        <v>1</v>
      </c>
      <c r="M132" t="str">
        <f t="shared" ref="M132:M195" si="18">IF(K132=FALSE,"",A132)</f>
        <v> Drew Stafford</v>
      </c>
      <c r="N132" t="str">
        <f t="shared" ref="N132:N195" si="19">IF(M132="","",B132)</f>
        <v>WPG</v>
      </c>
      <c r="O132">
        <f t="shared" ref="O132:O195" si="20">IF(M132="","",I132)</f>
        <v>43</v>
      </c>
      <c r="P132">
        <f>IF(M132="","",VLOOKUP(B132,'Team Stats'!$B$3:$K$18,5,0))</f>
        <v>594</v>
      </c>
      <c r="Q132">
        <f t="shared" ref="Q132:Q195" si="21">IF(N132="","",IF(O132=0,0,O132/P132))</f>
        <v>7.2390572390572394E-2</v>
      </c>
      <c r="R132">
        <f ca="1">IF(M132="","",VLOOKUP(N132,Sim!$EF$46:$EG$61,2,0))</f>
        <v>8.94</v>
      </c>
      <c r="S132">
        <f ca="1">IF(M132="","",VLOOKUP(N132,'Team Stats'!$B$3:$K$18,10,0))</f>
        <v>64.760487804878053</v>
      </c>
      <c r="T132" s="84">
        <f t="shared" ref="T132:T195" ca="1" si="22">IF(M132="","",IF(O132=0,0,Q132*S132))</f>
        <v>4.6880487804878053</v>
      </c>
      <c r="U132">
        <f t="shared" ref="U132:U195" ca="1" si="23">IF(M132="","",RANK(T132,$T$3:$T$884,0))</f>
        <v>87</v>
      </c>
    </row>
    <row r="133" spans="1:21">
      <c r="A133" s="73" t="s">
        <v>457</v>
      </c>
      <c r="B133" s="73" t="s">
        <v>202</v>
      </c>
      <c r="C133" s="74">
        <v>68</v>
      </c>
      <c r="D133" s="74"/>
      <c r="E133" s="74">
        <v>16</v>
      </c>
      <c r="F133" s="74"/>
      <c r="G133" s="74">
        <v>27</v>
      </c>
      <c r="H133" s="74"/>
      <c r="I133" s="63">
        <v>43</v>
      </c>
      <c r="J133" t="b">
        <f t="shared" si="16"/>
        <v>1</v>
      </c>
      <c r="K133" t="b">
        <f t="shared" si="17"/>
        <v>1</v>
      </c>
      <c r="M133" t="str">
        <f t="shared" si="18"/>
        <v> Patrick Sharp</v>
      </c>
      <c r="N133" t="str">
        <f t="shared" si="19"/>
        <v>CHI</v>
      </c>
      <c r="O133">
        <f t="shared" si="20"/>
        <v>43</v>
      </c>
      <c r="P133">
        <f>IF(M133="","",VLOOKUP(B133,'Team Stats'!$B$3:$K$18,5,0))</f>
        <v>601</v>
      </c>
      <c r="Q133">
        <f t="shared" si="21"/>
        <v>7.1547420965058242E-2</v>
      </c>
      <c r="R133">
        <f ca="1">IF(M133="","",VLOOKUP(N133,Sim!$EF$46:$EG$61,2,0))</f>
        <v>9.14</v>
      </c>
      <c r="S133">
        <f ca="1">IF(M133="","",VLOOKUP(N133,'Team Stats'!$B$3:$K$18,10,0))</f>
        <v>66.989512195121961</v>
      </c>
      <c r="T133" s="84">
        <f t="shared" ca="1" si="22"/>
        <v>4.7929268292682936</v>
      </c>
      <c r="U133">
        <f t="shared" ca="1" si="23"/>
        <v>82</v>
      </c>
    </row>
    <row r="134" spans="1:21">
      <c r="A134" s="73" t="s">
        <v>458</v>
      </c>
      <c r="B134" s="73" t="s">
        <v>325</v>
      </c>
      <c r="C134" s="74">
        <v>82</v>
      </c>
      <c r="D134" s="74"/>
      <c r="E134" s="74">
        <v>21</v>
      </c>
      <c r="F134" s="74"/>
      <c r="G134" s="74">
        <v>22</v>
      </c>
      <c r="H134" s="74"/>
      <c r="I134" s="63">
        <v>43</v>
      </c>
      <c r="J134" t="b">
        <f t="shared" si="16"/>
        <v>0</v>
      </c>
      <c r="K134" t="b">
        <f t="shared" si="17"/>
        <v>0</v>
      </c>
      <c r="M134" t="str">
        <f t="shared" si="18"/>
        <v/>
      </c>
      <c r="N134" t="str">
        <f t="shared" si="19"/>
        <v/>
      </c>
      <c r="O134" t="str">
        <f t="shared" si="20"/>
        <v/>
      </c>
      <c r="P134" t="str">
        <f>IF(M134="","",VLOOKUP(B134,'Team Stats'!$B$3:$K$18,5,0))</f>
        <v/>
      </c>
      <c r="Q134" t="str">
        <f t="shared" si="21"/>
        <v/>
      </c>
      <c r="R134" t="str">
        <f>IF(M134="","",VLOOKUP(N134,Sim!$EF$46:$EG$61,2,0))</f>
        <v/>
      </c>
      <c r="S134" t="str">
        <f>IF(M134="","",VLOOKUP(N134,'Team Stats'!$B$3:$K$18,10,0))</f>
        <v/>
      </c>
      <c r="T134" s="84" t="str">
        <f t="shared" si="22"/>
        <v/>
      </c>
      <c r="U134" t="str">
        <f t="shared" si="23"/>
        <v/>
      </c>
    </row>
    <row r="135" spans="1:21" ht="30">
      <c r="A135" s="73" t="s">
        <v>459</v>
      </c>
      <c r="B135" s="73" t="s">
        <v>222</v>
      </c>
      <c r="C135" s="74">
        <v>82</v>
      </c>
      <c r="D135" s="74"/>
      <c r="E135" s="74">
        <v>23</v>
      </c>
      <c r="F135" s="74"/>
      <c r="G135" s="74">
        <v>20</v>
      </c>
      <c r="H135" s="74"/>
      <c r="I135" s="63">
        <v>43</v>
      </c>
      <c r="J135" t="b">
        <f t="shared" si="16"/>
        <v>0</v>
      </c>
      <c r="K135" t="b">
        <f t="shared" si="17"/>
        <v>0</v>
      </c>
      <c r="M135" t="str">
        <f t="shared" si="18"/>
        <v/>
      </c>
      <c r="N135" t="str">
        <f t="shared" si="19"/>
        <v/>
      </c>
      <c r="O135" t="str">
        <f t="shared" si="20"/>
        <v/>
      </c>
      <c r="P135" t="str">
        <f>IF(M135="","",VLOOKUP(B135,'Team Stats'!$B$3:$K$18,5,0))</f>
        <v/>
      </c>
      <c r="Q135" t="str">
        <f t="shared" si="21"/>
        <v/>
      </c>
      <c r="R135" t="str">
        <f>IF(M135="","",VLOOKUP(N135,Sim!$EF$46:$EG$61,2,0))</f>
        <v/>
      </c>
      <c r="S135" t="str">
        <f>IF(M135="","",VLOOKUP(N135,'Team Stats'!$B$3:$K$18,10,0))</f>
        <v/>
      </c>
      <c r="T135" s="84" t="str">
        <f t="shared" si="22"/>
        <v/>
      </c>
      <c r="U135" t="str">
        <f t="shared" si="23"/>
        <v/>
      </c>
    </row>
    <row r="136" spans="1:21">
      <c r="A136" s="73" t="s">
        <v>460</v>
      </c>
      <c r="B136" s="73" t="s">
        <v>217</v>
      </c>
      <c r="C136" s="74">
        <v>72</v>
      </c>
      <c r="D136" s="74"/>
      <c r="E136" s="74">
        <v>10</v>
      </c>
      <c r="F136" s="74"/>
      <c r="G136" s="74">
        <v>32</v>
      </c>
      <c r="H136" s="74"/>
      <c r="I136" s="63">
        <v>42</v>
      </c>
      <c r="J136" t="b">
        <f t="shared" si="16"/>
        <v>0</v>
      </c>
      <c r="K136" t="b">
        <f t="shared" si="17"/>
        <v>0</v>
      </c>
      <c r="M136" t="str">
        <f t="shared" si="18"/>
        <v/>
      </c>
      <c r="N136" t="str">
        <f t="shared" si="19"/>
        <v/>
      </c>
      <c r="O136" t="str">
        <f t="shared" si="20"/>
        <v/>
      </c>
      <c r="P136" t="str">
        <f>IF(M136="","",VLOOKUP(B136,'Team Stats'!$B$3:$K$18,5,0))</f>
        <v/>
      </c>
      <c r="Q136" t="str">
        <f t="shared" si="21"/>
        <v/>
      </c>
      <c r="R136" t="str">
        <f>IF(M136="","",VLOOKUP(N136,Sim!$EF$46:$EG$61,2,0))</f>
        <v/>
      </c>
      <c r="S136" t="str">
        <f>IF(M136="","",VLOOKUP(N136,'Team Stats'!$B$3:$K$18,10,0))</f>
        <v/>
      </c>
      <c r="T136" s="84" t="str">
        <f t="shared" si="22"/>
        <v/>
      </c>
      <c r="U136" t="str">
        <f t="shared" si="23"/>
        <v/>
      </c>
    </row>
    <row r="137" spans="1:21">
      <c r="A137" s="73" t="s">
        <v>461</v>
      </c>
      <c r="B137" s="73" t="s">
        <v>217</v>
      </c>
      <c r="C137" s="74">
        <v>77</v>
      </c>
      <c r="D137" s="74"/>
      <c r="E137" s="74">
        <v>24</v>
      </c>
      <c r="F137" s="74"/>
      <c r="G137" s="74">
        <v>18</v>
      </c>
      <c r="H137" s="74"/>
      <c r="I137" s="63">
        <v>42</v>
      </c>
      <c r="J137" t="b">
        <f t="shared" si="16"/>
        <v>0</v>
      </c>
      <c r="K137" t="b">
        <f t="shared" si="17"/>
        <v>0</v>
      </c>
      <c r="M137" t="str">
        <f t="shared" si="18"/>
        <v/>
      </c>
      <c r="N137" t="str">
        <f t="shared" si="19"/>
        <v/>
      </c>
      <c r="O137" t="str">
        <f t="shared" si="20"/>
        <v/>
      </c>
      <c r="P137" t="str">
        <f>IF(M137="","",VLOOKUP(B137,'Team Stats'!$B$3:$K$18,5,0))</f>
        <v/>
      </c>
      <c r="Q137" t="str">
        <f t="shared" si="21"/>
        <v/>
      </c>
      <c r="R137" t="str">
        <f>IF(M137="","",VLOOKUP(N137,Sim!$EF$46:$EG$61,2,0))</f>
        <v/>
      </c>
      <c r="S137" t="str">
        <f>IF(M137="","",VLOOKUP(N137,'Team Stats'!$B$3:$K$18,10,0))</f>
        <v/>
      </c>
      <c r="T137" s="84" t="str">
        <f t="shared" si="22"/>
        <v/>
      </c>
      <c r="U137" t="str">
        <f t="shared" si="23"/>
        <v/>
      </c>
    </row>
    <row r="138" spans="1:21">
      <c r="A138" s="73" t="s">
        <v>462</v>
      </c>
      <c r="B138" s="73" t="s">
        <v>220</v>
      </c>
      <c r="C138" s="74">
        <v>68</v>
      </c>
      <c r="D138" s="74"/>
      <c r="E138" s="74">
        <v>27</v>
      </c>
      <c r="F138" s="74"/>
      <c r="G138" s="74">
        <v>15</v>
      </c>
      <c r="H138" s="74"/>
      <c r="I138" s="63">
        <v>42</v>
      </c>
      <c r="J138" t="b">
        <f t="shared" si="16"/>
        <v>0</v>
      </c>
      <c r="K138" t="b">
        <f t="shared" si="17"/>
        <v>0</v>
      </c>
      <c r="M138" t="str">
        <f t="shared" si="18"/>
        <v/>
      </c>
      <c r="N138" t="str">
        <f t="shared" si="19"/>
        <v/>
      </c>
      <c r="O138" t="str">
        <f t="shared" si="20"/>
        <v/>
      </c>
      <c r="P138" t="str">
        <f>IF(M138="","",VLOOKUP(B138,'Team Stats'!$B$3:$K$18,5,0))</f>
        <v/>
      </c>
      <c r="Q138" t="str">
        <f t="shared" si="21"/>
        <v/>
      </c>
      <c r="R138" t="str">
        <f>IF(M138="","",VLOOKUP(N138,Sim!$EF$46:$EG$61,2,0))</f>
        <v/>
      </c>
      <c r="S138" t="str">
        <f>IF(M138="","",VLOOKUP(N138,'Team Stats'!$B$3:$K$18,10,0))</f>
        <v/>
      </c>
      <c r="T138" s="84" t="str">
        <f t="shared" si="22"/>
        <v/>
      </c>
      <c r="U138" t="str">
        <f t="shared" si="23"/>
        <v/>
      </c>
    </row>
    <row r="139" spans="1:21">
      <c r="A139" s="73" t="s">
        <v>463</v>
      </c>
      <c r="B139" s="73" t="s">
        <v>365</v>
      </c>
      <c r="C139" s="74">
        <v>77</v>
      </c>
      <c r="D139" s="74"/>
      <c r="E139" s="74">
        <v>20</v>
      </c>
      <c r="F139" s="74"/>
      <c r="G139" s="74">
        <v>22</v>
      </c>
      <c r="H139" s="74"/>
      <c r="I139" s="63">
        <v>42</v>
      </c>
      <c r="J139" t="b">
        <f t="shared" si="16"/>
        <v>0</v>
      </c>
      <c r="K139" t="b">
        <f t="shared" si="17"/>
        <v>0</v>
      </c>
      <c r="M139" t="str">
        <f t="shared" si="18"/>
        <v/>
      </c>
      <c r="N139" t="str">
        <f t="shared" si="19"/>
        <v/>
      </c>
      <c r="O139" t="str">
        <f t="shared" si="20"/>
        <v/>
      </c>
      <c r="P139" t="str">
        <f>IF(M139="","",VLOOKUP(B139,'Team Stats'!$B$3:$K$18,5,0))</f>
        <v/>
      </c>
      <c r="Q139" t="str">
        <f t="shared" si="21"/>
        <v/>
      </c>
      <c r="R139" t="str">
        <f>IF(M139="","",VLOOKUP(N139,Sim!$EF$46:$EG$61,2,0))</f>
        <v/>
      </c>
      <c r="S139" t="str">
        <f>IF(M139="","",VLOOKUP(N139,'Team Stats'!$B$3:$K$18,10,0))</f>
        <v/>
      </c>
      <c r="T139" s="84" t="str">
        <f t="shared" si="22"/>
        <v/>
      </c>
      <c r="U139" t="str">
        <f t="shared" si="23"/>
        <v/>
      </c>
    </row>
    <row r="140" spans="1:21">
      <c r="A140" s="73" t="s">
        <v>464</v>
      </c>
      <c r="B140" s="73" t="s">
        <v>196</v>
      </c>
      <c r="C140" s="74">
        <v>82</v>
      </c>
      <c r="D140" s="74"/>
      <c r="E140" s="74">
        <v>20</v>
      </c>
      <c r="F140" s="74"/>
      <c r="G140" s="74">
        <v>22</v>
      </c>
      <c r="H140" s="74"/>
      <c r="I140" s="63">
        <v>42</v>
      </c>
      <c r="J140" t="b">
        <f t="shared" si="16"/>
        <v>1</v>
      </c>
      <c r="K140" t="b">
        <f t="shared" si="17"/>
        <v>1</v>
      </c>
      <c r="M140" t="str">
        <f t="shared" si="18"/>
        <v> Brock Nelson</v>
      </c>
      <c r="N140" t="str">
        <f t="shared" si="19"/>
        <v>NYI</v>
      </c>
      <c r="O140">
        <f t="shared" si="20"/>
        <v>42</v>
      </c>
      <c r="P140">
        <f>IF(M140="","",VLOOKUP(B140,'Team Stats'!$B$3:$K$18,5,0))</f>
        <v>656</v>
      </c>
      <c r="Q140">
        <f t="shared" si="21"/>
        <v>6.402439024390244E-2</v>
      </c>
      <c r="R140">
        <f ca="1">IF(M140="","",VLOOKUP(N140,Sim!$EF$46:$EG$61,2,0))</f>
        <v>13.18</v>
      </c>
      <c r="S140">
        <f ca="1">IF(M140="","",VLOOKUP(N140,'Team Stats'!$B$3:$K$18,10,0))</f>
        <v>105.44</v>
      </c>
      <c r="T140" s="84">
        <f t="shared" ca="1" si="22"/>
        <v>6.7507317073170734</v>
      </c>
      <c r="U140">
        <f t="shared" ca="1" si="23"/>
        <v>35</v>
      </c>
    </row>
    <row r="141" spans="1:21">
      <c r="A141" s="73" t="s">
        <v>465</v>
      </c>
      <c r="B141" s="73" t="s">
        <v>210</v>
      </c>
      <c r="C141" s="74">
        <v>82</v>
      </c>
      <c r="D141" s="74"/>
      <c r="E141" s="74">
        <v>19</v>
      </c>
      <c r="F141" s="74"/>
      <c r="G141" s="74">
        <v>23</v>
      </c>
      <c r="H141" s="74"/>
      <c r="I141" s="63">
        <v>42</v>
      </c>
      <c r="J141" t="b">
        <f t="shared" si="16"/>
        <v>1</v>
      </c>
      <c r="K141" t="b">
        <f t="shared" si="17"/>
        <v>1</v>
      </c>
      <c r="M141" t="str">
        <f t="shared" si="18"/>
        <v> Michael Frolik</v>
      </c>
      <c r="N141" t="str">
        <f t="shared" si="19"/>
        <v>WPG</v>
      </c>
      <c r="O141">
        <f t="shared" si="20"/>
        <v>42</v>
      </c>
      <c r="P141">
        <f>IF(M141="","",VLOOKUP(B141,'Team Stats'!$B$3:$K$18,5,0))</f>
        <v>594</v>
      </c>
      <c r="Q141">
        <f t="shared" si="21"/>
        <v>7.0707070707070704E-2</v>
      </c>
      <c r="R141">
        <f ca="1">IF(M141="","",VLOOKUP(N141,Sim!$EF$46:$EG$61,2,0))</f>
        <v>8.94</v>
      </c>
      <c r="S141">
        <f ca="1">IF(M141="","",VLOOKUP(N141,'Team Stats'!$B$3:$K$18,10,0))</f>
        <v>64.760487804878053</v>
      </c>
      <c r="T141" s="84">
        <f t="shared" ca="1" si="22"/>
        <v>4.5790243902439025</v>
      </c>
      <c r="U141">
        <f t="shared" ca="1" si="23"/>
        <v>88</v>
      </c>
    </row>
    <row r="142" spans="1:21">
      <c r="A142" s="73" t="s">
        <v>466</v>
      </c>
      <c r="B142" s="73" t="s">
        <v>222</v>
      </c>
      <c r="C142" s="74">
        <v>81</v>
      </c>
      <c r="D142" s="74"/>
      <c r="E142" s="74">
        <v>15</v>
      </c>
      <c r="F142" s="74"/>
      <c r="G142" s="74">
        <v>26</v>
      </c>
      <c r="H142" s="74"/>
      <c r="I142" s="63">
        <v>41</v>
      </c>
      <c r="J142" t="b">
        <f t="shared" si="16"/>
        <v>0</v>
      </c>
      <c r="K142" t="b">
        <f t="shared" si="17"/>
        <v>0</v>
      </c>
      <c r="M142" t="str">
        <f t="shared" si="18"/>
        <v/>
      </c>
      <c r="N142" t="str">
        <f t="shared" si="19"/>
        <v/>
      </c>
      <c r="O142" t="str">
        <f t="shared" si="20"/>
        <v/>
      </c>
      <c r="P142" t="str">
        <f>IF(M142="","",VLOOKUP(B142,'Team Stats'!$B$3:$K$18,5,0))</f>
        <v/>
      </c>
      <c r="Q142" t="str">
        <f t="shared" si="21"/>
        <v/>
      </c>
      <c r="R142" t="str">
        <f>IF(M142="","",VLOOKUP(N142,Sim!$EF$46:$EG$61,2,0))</f>
        <v/>
      </c>
      <c r="S142" t="str">
        <f>IF(M142="","",VLOOKUP(N142,'Team Stats'!$B$3:$K$18,10,0))</f>
        <v/>
      </c>
      <c r="T142" s="84" t="str">
        <f t="shared" si="22"/>
        <v/>
      </c>
      <c r="U142" t="str">
        <f t="shared" si="23"/>
        <v/>
      </c>
    </row>
    <row r="143" spans="1:21">
      <c r="A143" s="73" t="s">
        <v>467</v>
      </c>
      <c r="B143" s="73" t="s">
        <v>208</v>
      </c>
      <c r="C143" s="74">
        <v>81</v>
      </c>
      <c r="D143" s="74"/>
      <c r="E143" s="74">
        <v>11</v>
      </c>
      <c r="F143" s="74"/>
      <c r="G143" s="74">
        <v>30</v>
      </c>
      <c r="H143" s="74"/>
      <c r="I143" s="63">
        <v>41</v>
      </c>
      <c r="J143" t="b">
        <f t="shared" si="16"/>
        <v>0</v>
      </c>
      <c r="K143" t="b">
        <f t="shared" si="17"/>
        <v>0</v>
      </c>
      <c r="M143" t="str">
        <f t="shared" si="18"/>
        <v/>
      </c>
      <c r="N143" t="str">
        <f t="shared" si="19"/>
        <v/>
      </c>
      <c r="O143" t="str">
        <f t="shared" si="20"/>
        <v/>
      </c>
      <c r="P143" t="str">
        <f>IF(M143="","",VLOOKUP(B143,'Team Stats'!$B$3:$K$18,5,0))</f>
        <v/>
      </c>
      <c r="Q143" t="str">
        <f t="shared" si="21"/>
        <v/>
      </c>
      <c r="R143" t="str">
        <f>IF(M143="","",VLOOKUP(N143,Sim!$EF$46:$EG$61,2,0))</f>
        <v/>
      </c>
      <c r="S143" t="str">
        <f>IF(M143="","",VLOOKUP(N143,'Team Stats'!$B$3:$K$18,10,0))</f>
        <v/>
      </c>
      <c r="T143" s="84" t="str">
        <f t="shared" si="22"/>
        <v/>
      </c>
      <c r="U143" t="str">
        <f t="shared" si="23"/>
        <v/>
      </c>
    </row>
    <row r="144" spans="1:21">
      <c r="A144" s="73" t="s">
        <v>468</v>
      </c>
      <c r="B144" s="73" t="s">
        <v>210</v>
      </c>
      <c r="C144" s="74">
        <v>62</v>
      </c>
      <c r="D144" s="74"/>
      <c r="E144" s="74">
        <v>18</v>
      </c>
      <c r="F144" s="74"/>
      <c r="G144" s="74">
        <v>23</v>
      </c>
      <c r="H144" s="74"/>
      <c r="I144" s="63">
        <v>41</v>
      </c>
      <c r="J144" t="b">
        <f t="shared" si="16"/>
        <v>1</v>
      </c>
      <c r="K144" t="b">
        <f t="shared" si="17"/>
        <v>1</v>
      </c>
      <c r="M144" t="str">
        <f t="shared" si="18"/>
        <v> Mathieu Perreault</v>
      </c>
      <c r="N144" t="str">
        <f t="shared" si="19"/>
        <v>WPG</v>
      </c>
      <c r="O144">
        <f t="shared" si="20"/>
        <v>41</v>
      </c>
      <c r="P144">
        <f>IF(M144="","",VLOOKUP(B144,'Team Stats'!$B$3:$K$18,5,0))</f>
        <v>594</v>
      </c>
      <c r="Q144">
        <f t="shared" si="21"/>
        <v>6.9023569023569029E-2</v>
      </c>
      <c r="R144">
        <f ca="1">IF(M144="","",VLOOKUP(N144,Sim!$EF$46:$EG$61,2,0))</f>
        <v>8.94</v>
      </c>
      <c r="S144">
        <f ca="1">IF(M144="","",VLOOKUP(N144,'Team Stats'!$B$3:$K$18,10,0))</f>
        <v>64.760487804878053</v>
      </c>
      <c r="T144" s="84">
        <f t="shared" ca="1" si="22"/>
        <v>4.4700000000000006</v>
      </c>
      <c r="U144">
        <f t="shared" ca="1" si="23"/>
        <v>90</v>
      </c>
    </row>
    <row r="145" spans="1:21">
      <c r="A145" s="73" t="s">
        <v>469</v>
      </c>
      <c r="B145" s="73" t="s">
        <v>196</v>
      </c>
      <c r="C145" s="74">
        <v>76</v>
      </c>
      <c r="D145" s="74"/>
      <c r="E145" s="74">
        <v>25</v>
      </c>
      <c r="F145" s="74"/>
      <c r="G145" s="74">
        <v>16</v>
      </c>
      <c r="H145" s="74"/>
      <c r="I145" s="63">
        <v>41</v>
      </c>
      <c r="J145" t="b">
        <f t="shared" si="16"/>
        <v>1</v>
      </c>
      <c r="K145" t="b">
        <f t="shared" si="17"/>
        <v>1</v>
      </c>
      <c r="M145" t="str">
        <f t="shared" si="18"/>
        <v> Anders Lee</v>
      </c>
      <c r="N145" t="str">
        <f t="shared" si="19"/>
        <v>NYI</v>
      </c>
      <c r="O145">
        <f t="shared" si="20"/>
        <v>41</v>
      </c>
      <c r="P145">
        <f>IF(M145="","",VLOOKUP(B145,'Team Stats'!$B$3:$K$18,5,0))</f>
        <v>656</v>
      </c>
      <c r="Q145">
        <f t="shared" si="21"/>
        <v>6.25E-2</v>
      </c>
      <c r="R145">
        <f ca="1">IF(M145="","",VLOOKUP(N145,Sim!$EF$46:$EG$61,2,0))</f>
        <v>13.18</v>
      </c>
      <c r="S145">
        <f ca="1">IF(M145="","",VLOOKUP(N145,'Team Stats'!$B$3:$K$18,10,0))</f>
        <v>105.44</v>
      </c>
      <c r="T145" s="84">
        <f t="shared" ca="1" si="22"/>
        <v>6.59</v>
      </c>
      <c r="U145">
        <f t="shared" ca="1" si="23"/>
        <v>39</v>
      </c>
    </row>
    <row r="146" spans="1:21">
      <c r="A146" s="73" t="s">
        <v>470</v>
      </c>
      <c r="B146" s="73" t="s">
        <v>221</v>
      </c>
      <c r="C146" s="74">
        <v>77</v>
      </c>
      <c r="D146" s="74"/>
      <c r="E146" s="74">
        <v>13</v>
      </c>
      <c r="F146" s="74"/>
      <c r="G146" s="74">
        <v>28</v>
      </c>
      <c r="H146" s="74"/>
      <c r="I146" s="63">
        <v>41</v>
      </c>
      <c r="J146" t="b">
        <f t="shared" si="16"/>
        <v>0</v>
      </c>
      <c r="K146" t="b">
        <f t="shared" si="17"/>
        <v>0</v>
      </c>
      <c r="M146" t="str">
        <f t="shared" si="18"/>
        <v/>
      </c>
      <c r="N146" t="str">
        <f t="shared" si="19"/>
        <v/>
      </c>
      <c r="O146" t="str">
        <f t="shared" si="20"/>
        <v/>
      </c>
      <c r="P146" t="str">
        <f>IF(M146="","",VLOOKUP(B146,'Team Stats'!$B$3:$K$18,5,0))</f>
        <v/>
      </c>
      <c r="Q146" t="str">
        <f t="shared" si="21"/>
        <v/>
      </c>
      <c r="R146" t="str">
        <f>IF(M146="","",VLOOKUP(N146,Sim!$EF$46:$EG$61,2,0))</f>
        <v/>
      </c>
      <c r="S146" t="str">
        <f>IF(M146="","",VLOOKUP(N146,'Team Stats'!$B$3:$K$18,10,0))</f>
        <v/>
      </c>
      <c r="T146" s="84" t="str">
        <f t="shared" si="22"/>
        <v/>
      </c>
      <c r="U146" t="str">
        <f t="shared" si="23"/>
        <v/>
      </c>
    </row>
    <row r="147" spans="1:21">
      <c r="A147" s="73" t="s">
        <v>471</v>
      </c>
      <c r="B147" s="73" t="s">
        <v>357</v>
      </c>
      <c r="C147" s="74">
        <v>76</v>
      </c>
      <c r="D147" s="74"/>
      <c r="E147" s="74">
        <v>10</v>
      </c>
      <c r="F147" s="74"/>
      <c r="G147" s="74">
        <v>31</v>
      </c>
      <c r="H147" s="74"/>
      <c r="I147" s="63">
        <v>41</v>
      </c>
      <c r="J147" t="b">
        <f t="shared" si="16"/>
        <v>0</v>
      </c>
      <c r="K147" t="b">
        <f t="shared" si="17"/>
        <v>0</v>
      </c>
      <c r="M147" t="str">
        <f t="shared" si="18"/>
        <v/>
      </c>
      <c r="N147" t="str">
        <f t="shared" si="19"/>
        <v/>
      </c>
      <c r="O147" t="str">
        <f t="shared" si="20"/>
        <v/>
      </c>
      <c r="P147" t="str">
        <f>IF(M147="","",VLOOKUP(B147,'Team Stats'!$B$3:$K$18,5,0))</f>
        <v/>
      </c>
      <c r="Q147" t="str">
        <f t="shared" si="21"/>
        <v/>
      </c>
      <c r="R147" t="str">
        <f>IF(M147="","",VLOOKUP(N147,Sim!$EF$46:$EG$61,2,0))</f>
        <v/>
      </c>
      <c r="S147" t="str">
        <f>IF(M147="","",VLOOKUP(N147,'Team Stats'!$B$3:$K$18,10,0))</f>
        <v/>
      </c>
      <c r="T147" s="84" t="str">
        <f t="shared" si="22"/>
        <v/>
      </c>
      <c r="U147" t="str">
        <f t="shared" si="23"/>
        <v/>
      </c>
    </row>
    <row r="148" spans="1:21">
      <c r="A148" s="73" t="s">
        <v>472</v>
      </c>
      <c r="B148" s="73" t="s">
        <v>196</v>
      </c>
      <c r="C148" s="74">
        <v>70</v>
      </c>
      <c r="D148" s="74"/>
      <c r="E148" s="74">
        <v>15</v>
      </c>
      <c r="F148" s="74"/>
      <c r="G148" s="74">
        <v>26</v>
      </c>
      <c r="H148" s="74"/>
      <c r="I148" s="63">
        <v>41</v>
      </c>
      <c r="J148" t="b">
        <f t="shared" si="16"/>
        <v>1</v>
      </c>
      <c r="K148" t="b">
        <f t="shared" si="17"/>
        <v>1</v>
      </c>
      <c r="M148" t="str">
        <f t="shared" si="18"/>
        <v> Josh Bailey</v>
      </c>
      <c r="N148" t="str">
        <f t="shared" si="19"/>
        <v>NYI</v>
      </c>
      <c r="O148">
        <f t="shared" si="20"/>
        <v>41</v>
      </c>
      <c r="P148">
        <f>IF(M148="","",VLOOKUP(B148,'Team Stats'!$B$3:$K$18,5,0))</f>
        <v>656</v>
      </c>
      <c r="Q148">
        <f t="shared" si="21"/>
        <v>6.25E-2</v>
      </c>
      <c r="R148">
        <f ca="1">IF(M148="","",VLOOKUP(N148,Sim!$EF$46:$EG$61,2,0))</f>
        <v>13.18</v>
      </c>
      <c r="S148">
        <f ca="1">IF(M148="","",VLOOKUP(N148,'Team Stats'!$B$3:$K$18,10,0))</f>
        <v>105.44</v>
      </c>
      <c r="T148" s="84">
        <f t="shared" ca="1" si="22"/>
        <v>6.59</v>
      </c>
      <c r="U148">
        <f t="shared" ca="1" si="23"/>
        <v>39</v>
      </c>
    </row>
    <row r="149" spans="1:21">
      <c r="A149" s="73" t="s">
        <v>473</v>
      </c>
      <c r="B149" s="73" t="s">
        <v>357</v>
      </c>
      <c r="C149" s="74">
        <v>81</v>
      </c>
      <c r="D149" s="74"/>
      <c r="E149" s="74">
        <v>18</v>
      </c>
      <c r="F149" s="74"/>
      <c r="G149" s="74">
        <v>23</v>
      </c>
      <c r="H149" s="74"/>
      <c r="I149" s="63">
        <v>41</v>
      </c>
      <c r="J149" t="b">
        <f t="shared" si="16"/>
        <v>0</v>
      </c>
      <c r="K149" t="b">
        <f t="shared" si="17"/>
        <v>0</v>
      </c>
      <c r="M149" t="str">
        <f t="shared" si="18"/>
        <v/>
      </c>
      <c r="N149" t="str">
        <f t="shared" si="19"/>
        <v/>
      </c>
      <c r="O149" t="str">
        <f t="shared" si="20"/>
        <v/>
      </c>
      <c r="P149" t="str">
        <f>IF(M149="","",VLOOKUP(B149,'Team Stats'!$B$3:$K$18,5,0))</f>
        <v/>
      </c>
      <c r="Q149" t="str">
        <f t="shared" si="21"/>
        <v/>
      </c>
      <c r="R149" t="str">
        <f>IF(M149="","",VLOOKUP(N149,Sim!$EF$46:$EG$61,2,0))</f>
        <v/>
      </c>
      <c r="S149" t="str">
        <f>IF(M149="","",VLOOKUP(N149,'Team Stats'!$B$3:$K$18,10,0))</f>
        <v/>
      </c>
      <c r="T149" s="84" t="str">
        <f t="shared" si="22"/>
        <v/>
      </c>
      <c r="U149" t="str">
        <f t="shared" si="23"/>
        <v/>
      </c>
    </row>
    <row r="150" spans="1:21">
      <c r="A150" s="73" t="s">
        <v>474</v>
      </c>
      <c r="B150" s="73" t="s">
        <v>198</v>
      </c>
      <c r="C150" s="74">
        <v>81</v>
      </c>
      <c r="D150" s="74"/>
      <c r="E150" s="74">
        <v>17</v>
      </c>
      <c r="F150" s="74"/>
      <c r="G150" s="74">
        <v>24</v>
      </c>
      <c r="H150" s="74"/>
      <c r="I150" s="63">
        <v>41</v>
      </c>
      <c r="J150" t="b">
        <f t="shared" si="16"/>
        <v>1</v>
      </c>
      <c r="K150" t="b">
        <f t="shared" si="17"/>
        <v>1</v>
      </c>
      <c r="M150" t="str">
        <f t="shared" si="18"/>
        <v> David Perron</v>
      </c>
      <c r="N150" t="str">
        <f t="shared" si="19"/>
        <v>PIT</v>
      </c>
      <c r="O150">
        <f t="shared" si="20"/>
        <v>41</v>
      </c>
      <c r="P150">
        <f>IF(M150="","",VLOOKUP(B150,'Team Stats'!$B$3:$K$18,5,0))</f>
        <v>600</v>
      </c>
      <c r="Q150">
        <f t="shared" si="21"/>
        <v>6.8333333333333329E-2</v>
      </c>
      <c r="R150">
        <f ca="1">IF(M150="","",VLOOKUP(N150,Sim!$EF$46:$EG$61,2,0))</f>
        <v>9.74</v>
      </c>
      <c r="S150">
        <f ca="1">IF(M150="","",VLOOKUP(N150,'Team Stats'!$B$3:$K$18,10,0))</f>
        <v>71.268292682926827</v>
      </c>
      <c r="T150" s="84">
        <f t="shared" ca="1" si="22"/>
        <v>4.8699999999999992</v>
      </c>
      <c r="U150">
        <f t="shared" ca="1" si="23"/>
        <v>81</v>
      </c>
    </row>
    <row r="151" spans="1:21">
      <c r="A151" s="73" t="s">
        <v>475</v>
      </c>
      <c r="B151" s="73" t="s">
        <v>331</v>
      </c>
      <c r="C151" s="74">
        <v>79</v>
      </c>
      <c r="D151" s="74"/>
      <c r="E151" s="74">
        <v>8</v>
      </c>
      <c r="F151" s="74"/>
      <c r="G151" s="74">
        <v>32</v>
      </c>
      <c r="H151" s="74"/>
      <c r="I151" s="63">
        <v>40</v>
      </c>
      <c r="J151" t="b">
        <f t="shared" si="16"/>
        <v>0</v>
      </c>
      <c r="K151" t="b">
        <f t="shared" si="17"/>
        <v>0</v>
      </c>
      <c r="M151" t="str">
        <f t="shared" si="18"/>
        <v/>
      </c>
      <c r="N151" t="str">
        <f t="shared" si="19"/>
        <v/>
      </c>
      <c r="O151" t="str">
        <f t="shared" si="20"/>
        <v/>
      </c>
      <c r="P151" t="str">
        <f>IF(M151="","",VLOOKUP(B151,'Team Stats'!$B$3:$K$18,5,0))</f>
        <v/>
      </c>
      <c r="Q151" t="str">
        <f t="shared" si="21"/>
        <v/>
      </c>
      <c r="R151" t="str">
        <f>IF(M151="","",VLOOKUP(N151,Sim!$EF$46:$EG$61,2,0))</f>
        <v/>
      </c>
      <c r="S151" t="str">
        <f>IF(M151="","",VLOOKUP(N151,'Team Stats'!$B$3:$K$18,10,0))</f>
        <v/>
      </c>
      <c r="T151" s="84" t="str">
        <f t="shared" si="22"/>
        <v/>
      </c>
      <c r="U151" t="str">
        <f t="shared" si="23"/>
        <v/>
      </c>
    </row>
    <row r="152" spans="1:21">
      <c r="A152" s="73" t="s">
        <v>476</v>
      </c>
      <c r="B152" s="73" t="s">
        <v>217</v>
      </c>
      <c r="C152" s="74">
        <v>81</v>
      </c>
      <c r="D152" s="74"/>
      <c r="E152" s="74">
        <v>13</v>
      </c>
      <c r="F152" s="74"/>
      <c r="G152" s="74">
        <v>27</v>
      </c>
      <c r="H152" s="74"/>
      <c r="I152" s="63">
        <v>40</v>
      </c>
      <c r="J152" t="b">
        <f t="shared" si="16"/>
        <v>0</v>
      </c>
      <c r="K152" t="b">
        <f t="shared" si="17"/>
        <v>0</v>
      </c>
      <c r="M152" t="str">
        <f t="shared" si="18"/>
        <v/>
      </c>
      <c r="N152" t="str">
        <f t="shared" si="19"/>
        <v/>
      </c>
      <c r="O152" t="str">
        <f t="shared" si="20"/>
        <v/>
      </c>
      <c r="P152" t="str">
        <f>IF(M152="","",VLOOKUP(B152,'Team Stats'!$B$3:$K$18,5,0))</f>
        <v/>
      </c>
      <c r="Q152" t="str">
        <f t="shared" si="21"/>
        <v/>
      </c>
      <c r="R152" t="str">
        <f>IF(M152="","",VLOOKUP(N152,Sim!$EF$46:$EG$61,2,0))</f>
        <v/>
      </c>
      <c r="S152" t="str">
        <f>IF(M152="","",VLOOKUP(N152,'Team Stats'!$B$3:$K$18,10,0))</f>
        <v/>
      </c>
      <c r="T152" s="84" t="str">
        <f t="shared" si="22"/>
        <v/>
      </c>
      <c r="U152" t="str">
        <f t="shared" si="23"/>
        <v/>
      </c>
    </row>
    <row r="153" spans="1:21">
      <c r="A153" s="73" t="s">
        <v>477</v>
      </c>
      <c r="B153" s="73" t="s">
        <v>204</v>
      </c>
      <c r="C153" s="74">
        <v>65</v>
      </c>
      <c r="D153" s="74"/>
      <c r="E153" s="74">
        <v>11</v>
      </c>
      <c r="F153" s="74"/>
      <c r="G153" s="74">
        <v>29</v>
      </c>
      <c r="H153" s="74"/>
      <c r="I153" s="63">
        <v>40</v>
      </c>
      <c r="J153" t="b">
        <f t="shared" si="16"/>
        <v>0</v>
      </c>
      <c r="K153" t="b">
        <f t="shared" si="17"/>
        <v>0</v>
      </c>
      <c r="M153" t="str">
        <f t="shared" si="18"/>
        <v/>
      </c>
      <c r="N153" t="str">
        <f t="shared" si="19"/>
        <v/>
      </c>
      <c r="O153" t="str">
        <f t="shared" si="20"/>
        <v/>
      </c>
      <c r="P153" t="str">
        <f>IF(M153="","",VLOOKUP(B153,'Team Stats'!$B$3:$K$18,5,0))</f>
        <v/>
      </c>
      <c r="Q153" t="str">
        <f t="shared" si="21"/>
        <v/>
      </c>
      <c r="R153" t="str">
        <f>IF(M153="","",VLOOKUP(N153,Sim!$EF$46:$EG$61,2,0))</f>
        <v/>
      </c>
      <c r="S153" t="str">
        <f>IF(M153="","",VLOOKUP(N153,'Team Stats'!$B$3:$K$18,10,0))</f>
        <v/>
      </c>
      <c r="T153" s="84" t="str">
        <f t="shared" si="22"/>
        <v/>
      </c>
      <c r="U153" t="str">
        <f t="shared" si="23"/>
        <v/>
      </c>
    </row>
    <row r="154" spans="1:21">
      <c r="A154" s="73" t="s">
        <v>478</v>
      </c>
      <c r="B154" s="73" t="s">
        <v>198</v>
      </c>
      <c r="C154" s="74">
        <v>74</v>
      </c>
      <c r="D154" s="74"/>
      <c r="E154" s="74">
        <v>17</v>
      </c>
      <c r="F154" s="74"/>
      <c r="G154" s="74">
        <v>23</v>
      </c>
      <c r="H154" s="74"/>
      <c r="I154" s="63">
        <v>40</v>
      </c>
      <c r="J154" t="b">
        <f t="shared" si="16"/>
        <v>1</v>
      </c>
      <c r="K154" t="b">
        <f t="shared" si="17"/>
        <v>1</v>
      </c>
      <c r="M154" t="str">
        <f t="shared" si="18"/>
        <v> Chris Kunitz</v>
      </c>
      <c r="N154" t="str">
        <f t="shared" si="19"/>
        <v>PIT</v>
      </c>
      <c r="O154">
        <f t="shared" si="20"/>
        <v>40</v>
      </c>
      <c r="P154">
        <f>IF(M154="","",VLOOKUP(B154,'Team Stats'!$B$3:$K$18,5,0))</f>
        <v>600</v>
      </c>
      <c r="Q154">
        <f t="shared" si="21"/>
        <v>6.6666666666666666E-2</v>
      </c>
      <c r="R154">
        <f ca="1">IF(M154="","",VLOOKUP(N154,Sim!$EF$46:$EG$61,2,0))</f>
        <v>9.74</v>
      </c>
      <c r="S154">
        <f ca="1">IF(M154="","",VLOOKUP(N154,'Team Stats'!$B$3:$K$18,10,0))</f>
        <v>71.268292682926827</v>
      </c>
      <c r="T154" s="84">
        <f t="shared" ca="1" si="22"/>
        <v>4.7512195121951217</v>
      </c>
      <c r="U154">
        <f t="shared" ca="1" si="23"/>
        <v>85</v>
      </c>
    </row>
    <row r="155" spans="1:21">
      <c r="A155" s="73" t="s">
        <v>479</v>
      </c>
      <c r="B155" s="73" t="s">
        <v>331</v>
      </c>
      <c r="C155" s="74">
        <v>78</v>
      </c>
      <c r="D155" s="74"/>
      <c r="E155" s="74">
        <v>22</v>
      </c>
      <c r="F155" s="74"/>
      <c r="G155" s="74">
        <v>18</v>
      </c>
      <c r="H155" s="74"/>
      <c r="I155" s="63">
        <v>40</v>
      </c>
      <c r="J155" t="b">
        <f t="shared" si="16"/>
        <v>0</v>
      </c>
      <c r="K155" t="b">
        <f t="shared" si="17"/>
        <v>0</v>
      </c>
      <c r="M155" t="str">
        <f t="shared" si="18"/>
        <v/>
      </c>
      <c r="N155" t="str">
        <f t="shared" si="19"/>
        <v/>
      </c>
      <c r="O155" t="str">
        <f t="shared" si="20"/>
        <v/>
      </c>
      <c r="P155" t="str">
        <f>IF(M155="","",VLOOKUP(B155,'Team Stats'!$B$3:$K$18,5,0))</f>
        <v/>
      </c>
      <c r="Q155" t="str">
        <f t="shared" si="21"/>
        <v/>
      </c>
      <c r="R155" t="str">
        <f>IF(M155="","",VLOOKUP(N155,Sim!$EF$46:$EG$61,2,0))</f>
        <v/>
      </c>
      <c r="S155" t="str">
        <f>IF(M155="","",VLOOKUP(N155,'Team Stats'!$B$3:$K$18,10,0))</f>
        <v/>
      </c>
      <c r="T155" s="84" t="str">
        <f t="shared" si="22"/>
        <v/>
      </c>
      <c r="U155" t="str">
        <f t="shared" si="23"/>
        <v/>
      </c>
    </row>
    <row r="156" spans="1:21">
      <c r="A156" s="73" t="s">
        <v>480</v>
      </c>
      <c r="B156" s="73" t="s">
        <v>204</v>
      </c>
      <c r="C156" s="74">
        <v>78</v>
      </c>
      <c r="D156" s="74"/>
      <c r="E156" s="74">
        <v>19</v>
      </c>
      <c r="F156" s="74"/>
      <c r="G156" s="74">
        <v>21</v>
      </c>
      <c r="H156" s="74"/>
      <c r="I156" s="63">
        <v>40</v>
      </c>
      <c r="J156" t="b">
        <f t="shared" si="16"/>
        <v>0</v>
      </c>
      <c r="K156" t="b">
        <f t="shared" si="17"/>
        <v>0</v>
      </c>
      <c r="M156" t="str">
        <f t="shared" si="18"/>
        <v/>
      </c>
      <c r="N156" t="str">
        <f t="shared" si="19"/>
        <v/>
      </c>
      <c r="O156" t="str">
        <f t="shared" si="20"/>
        <v/>
      </c>
      <c r="P156" t="str">
        <f>IF(M156="","",VLOOKUP(B156,'Team Stats'!$B$3:$K$18,5,0))</f>
        <v/>
      </c>
      <c r="Q156" t="str">
        <f t="shared" si="21"/>
        <v/>
      </c>
      <c r="R156" t="str">
        <f>IF(M156="","",VLOOKUP(N156,Sim!$EF$46:$EG$61,2,0))</f>
        <v/>
      </c>
      <c r="S156" t="str">
        <f>IF(M156="","",VLOOKUP(N156,'Team Stats'!$B$3:$K$18,10,0))</f>
        <v/>
      </c>
      <c r="T156" s="84" t="str">
        <f t="shared" si="22"/>
        <v/>
      </c>
      <c r="U156" t="str">
        <f t="shared" si="23"/>
        <v/>
      </c>
    </row>
    <row r="157" spans="1:21">
      <c r="A157" s="73" t="s">
        <v>481</v>
      </c>
      <c r="B157" s="73" t="s">
        <v>213</v>
      </c>
      <c r="C157" s="74">
        <v>73</v>
      </c>
      <c r="D157" s="74"/>
      <c r="E157" s="74">
        <v>18</v>
      </c>
      <c r="F157" s="74"/>
      <c r="G157" s="74">
        <v>21</v>
      </c>
      <c r="H157" s="74"/>
      <c r="I157" s="63">
        <v>39</v>
      </c>
      <c r="J157" t="b">
        <f t="shared" si="16"/>
        <v>0</v>
      </c>
      <c r="K157" t="b">
        <f t="shared" si="17"/>
        <v>0</v>
      </c>
      <c r="M157" t="str">
        <f t="shared" si="18"/>
        <v/>
      </c>
      <c r="N157" t="str">
        <f t="shared" si="19"/>
        <v/>
      </c>
      <c r="O157" t="str">
        <f t="shared" si="20"/>
        <v/>
      </c>
      <c r="P157" t="str">
        <f>IF(M157="","",VLOOKUP(B157,'Team Stats'!$B$3:$K$18,5,0))</f>
        <v/>
      </c>
      <c r="Q157" t="str">
        <f t="shared" si="21"/>
        <v/>
      </c>
      <c r="R157" t="str">
        <f>IF(M157="","",VLOOKUP(N157,Sim!$EF$46:$EG$61,2,0))</f>
        <v/>
      </c>
      <c r="S157" t="str">
        <f>IF(M157="","",VLOOKUP(N157,'Team Stats'!$B$3:$K$18,10,0))</f>
        <v/>
      </c>
      <c r="T157" s="84" t="str">
        <f t="shared" si="22"/>
        <v/>
      </c>
      <c r="U157" t="str">
        <f t="shared" si="23"/>
        <v/>
      </c>
    </row>
    <row r="158" spans="1:21">
      <c r="A158" s="73" t="s">
        <v>482</v>
      </c>
      <c r="B158" s="73" t="s">
        <v>217</v>
      </c>
      <c r="C158" s="74">
        <v>78</v>
      </c>
      <c r="D158" s="74"/>
      <c r="E158" s="74">
        <v>12</v>
      </c>
      <c r="F158" s="74"/>
      <c r="G158" s="74">
        <v>27</v>
      </c>
      <c r="H158" s="74"/>
      <c r="I158" s="63">
        <v>39</v>
      </c>
      <c r="J158" t="b">
        <f t="shared" si="16"/>
        <v>0</v>
      </c>
      <c r="K158" t="b">
        <f t="shared" si="17"/>
        <v>0</v>
      </c>
      <c r="M158" t="str">
        <f t="shared" si="18"/>
        <v/>
      </c>
      <c r="N158" t="str">
        <f t="shared" si="19"/>
        <v/>
      </c>
      <c r="O158" t="str">
        <f t="shared" si="20"/>
        <v/>
      </c>
      <c r="P158" t="str">
        <f>IF(M158="","",VLOOKUP(B158,'Team Stats'!$B$3:$K$18,5,0))</f>
        <v/>
      </c>
      <c r="Q158" t="str">
        <f t="shared" si="21"/>
        <v/>
      </c>
      <c r="R158" t="str">
        <f>IF(M158="","",VLOOKUP(N158,Sim!$EF$46:$EG$61,2,0))</f>
        <v/>
      </c>
      <c r="S158" t="str">
        <f>IF(M158="","",VLOOKUP(N158,'Team Stats'!$B$3:$K$18,10,0))</f>
        <v/>
      </c>
      <c r="T158" s="84" t="str">
        <f t="shared" si="22"/>
        <v/>
      </c>
      <c r="U158" t="str">
        <f t="shared" si="23"/>
        <v/>
      </c>
    </row>
    <row r="159" spans="1:21">
      <c r="A159" s="73" t="s">
        <v>483</v>
      </c>
      <c r="B159" s="73" t="s">
        <v>365</v>
      </c>
      <c r="C159" s="74">
        <v>59</v>
      </c>
      <c r="D159" s="74"/>
      <c r="E159" s="74">
        <v>19</v>
      </c>
      <c r="F159" s="74"/>
      <c r="G159" s="74">
        <v>20</v>
      </c>
      <c r="H159" s="74"/>
      <c r="I159" s="63">
        <v>39</v>
      </c>
      <c r="J159" t="b">
        <f t="shared" si="16"/>
        <v>0</v>
      </c>
      <c r="K159" t="b">
        <f t="shared" si="17"/>
        <v>0</v>
      </c>
      <c r="M159" t="str">
        <f t="shared" si="18"/>
        <v/>
      </c>
      <c r="N159" t="str">
        <f t="shared" si="19"/>
        <v/>
      </c>
      <c r="O159" t="str">
        <f t="shared" si="20"/>
        <v/>
      </c>
      <c r="P159" t="str">
        <f>IF(M159="","",VLOOKUP(B159,'Team Stats'!$B$3:$K$18,5,0))</f>
        <v/>
      </c>
      <c r="Q159" t="str">
        <f t="shared" si="21"/>
        <v/>
      </c>
      <c r="R159" t="str">
        <f>IF(M159="","",VLOOKUP(N159,Sim!$EF$46:$EG$61,2,0))</f>
        <v/>
      </c>
      <c r="S159" t="str">
        <f>IF(M159="","",VLOOKUP(N159,'Team Stats'!$B$3:$K$18,10,0))</f>
        <v/>
      </c>
      <c r="T159" s="84" t="str">
        <f t="shared" si="22"/>
        <v/>
      </c>
      <c r="U159" t="str">
        <f t="shared" si="23"/>
        <v/>
      </c>
    </row>
    <row r="160" spans="1:21">
      <c r="A160" s="73" t="s">
        <v>484</v>
      </c>
      <c r="B160" s="73" t="s">
        <v>219</v>
      </c>
      <c r="C160" s="74">
        <v>81</v>
      </c>
      <c r="D160" s="74"/>
      <c r="E160" s="74">
        <v>12</v>
      </c>
      <c r="F160" s="74"/>
      <c r="G160" s="74">
        <v>27</v>
      </c>
      <c r="H160" s="74"/>
      <c r="I160" s="63">
        <v>39</v>
      </c>
      <c r="J160" t="b">
        <f t="shared" si="16"/>
        <v>0</v>
      </c>
      <c r="K160" t="b">
        <f t="shared" si="17"/>
        <v>0</v>
      </c>
      <c r="M160" t="str">
        <f t="shared" si="18"/>
        <v/>
      </c>
      <c r="N160" t="str">
        <f t="shared" si="19"/>
        <v/>
      </c>
      <c r="O160" t="str">
        <f t="shared" si="20"/>
        <v/>
      </c>
      <c r="P160" t="str">
        <f>IF(M160="","",VLOOKUP(B160,'Team Stats'!$B$3:$K$18,5,0))</f>
        <v/>
      </c>
      <c r="Q160" t="str">
        <f t="shared" si="21"/>
        <v/>
      </c>
      <c r="R160" t="str">
        <f>IF(M160="","",VLOOKUP(N160,Sim!$EF$46:$EG$61,2,0))</f>
        <v/>
      </c>
      <c r="S160" t="str">
        <f>IF(M160="","",VLOOKUP(N160,'Team Stats'!$B$3:$K$18,10,0))</f>
        <v/>
      </c>
      <c r="T160" s="84" t="str">
        <f t="shared" si="22"/>
        <v/>
      </c>
      <c r="U160" t="str">
        <f t="shared" si="23"/>
        <v/>
      </c>
    </row>
    <row r="161" spans="1:21">
      <c r="A161" s="73" t="s">
        <v>485</v>
      </c>
      <c r="B161" s="73" t="s">
        <v>212</v>
      </c>
      <c r="C161" s="74">
        <v>68</v>
      </c>
      <c r="D161" s="74"/>
      <c r="E161" s="74">
        <v>8</v>
      </c>
      <c r="F161" s="74"/>
      <c r="G161" s="74">
        <v>31</v>
      </c>
      <c r="H161" s="74"/>
      <c r="I161" s="63">
        <v>39</v>
      </c>
      <c r="J161" t="b">
        <f t="shared" si="16"/>
        <v>1</v>
      </c>
      <c r="K161" t="b">
        <f t="shared" si="17"/>
        <v>1</v>
      </c>
      <c r="M161" t="str">
        <f t="shared" si="18"/>
        <v> Mikael Granlund</v>
      </c>
      <c r="N161" t="str">
        <f t="shared" si="19"/>
        <v>MIN</v>
      </c>
      <c r="O161">
        <f t="shared" si="20"/>
        <v>39</v>
      </c>
      <c r="P161">
        <f>IF(M161="","",VLOOKUP(B161,'Team Stats'!$B$3:$K$18,5,0))</f>
        <v>608</v>
      </c>
      <c r="Q161">
        <f t="shared" si="21"/>
        <v>6.4144736842105268E-2</v>
      </c>
      <c r="R161">
        <f ca="1">IF(M161="","",VLOOKUP(N161,Sim!$EF$46:$EG$61,2,0))</f>
        <v>11.71</v>
      </c>
      <c r="S161">
        <f ca="1">IF(M161="","",VLOOKUP(N161,'Team Stats'!$B$3:$K$18,10,0))</f>
        <v>86.825365853658553</v>
      </c>
      <c r="T161" s="84">
        <f t="shared" ca="1" si="22"/>
        <v>5.5693902439024408</v>
      </c>
      <c r="U161">
        <f t="shared" ca="1" si="23"/>
        <v>61</v>
      </c>
    </row>
    <row r="162" spans="1:21">
      <c r="A162" s="73" t="s">
        <v>486</v>
      </c>
      <c r="B162" s="73" t="s">
        <v>206</v>
      </c>
      <c r="C162" s="74">
        <v>75</v>
      </c>
      <c r="D162" s="74"/>
      <c r="E162" s="74">
        <v>15</v>
      </c>
      <c r="F162" s="74"/>
      <c r="G162" s="74">
        <v>24</v>
      </c>
      <c r="H162" s="74"/>
      <c r="I162" s="63">
        <v>39</v>
      </c>
      <c r="J162" t="b">
        <f t="shared" si="16"/>
        <v>1</v>
      </c>
      <c r="K162" t="b">
        <f t="shared" si="17"/>
        <v>1</v>
      </c>
      <c r="M162" t="str">
        <f t="shared" si="18"/>
        <v> Nick Bonino</v>
      </c>
      <c r="N162" t="str">
        <f t="shared" si="19"/>
        <v>VAN</v>
      </c>
      <c r="O162">
        <f t="shared" si="20"/>
        <v>39</v>
      </c>
      <c r="P162">
        <f>IF(M162="","",VLOOKUP(B162,'Team Stats'!$B$3:$K$18,5,0))</f>
        <v>642</v>
      </c>
      <c r="Q162">
        <f t="shared" si="21"/>
        <v>6.0747663551401869E-2</v>
      </c>
      <c r="R162">
        <f ca="1">IF(M162="","",VLOOKUP(N162,Sim!$EF$46:$EG$61,2,0))</f>
        <v>10.35</v>
      </c>
      <c r="S162">
        <f ca="1">IF(M162="","",VLOOKUP(N162,'Team Stats'!$B$3:$K$18,10,0))</f>
        <v>81.032926829268291</v>
      </c>
      <c r="T162" s="84">
        <f t="shared" ca="1" si="22"/>
        <v>4.9225609756097564</v>
      </c>
      <c r="U162">
        <f t="shared" ca="1" si="23"/>
        <v>77</v>
      </c>
    </row>
    <row r="163" spans="1:21">
      <c r="A163" s="73" t="s">
        <v>487</v>
      </c>
      <c r="B163" s="73" t="s">
        <v>218</v>
      </c>
      <c r="C163" s="74">
        <v>81</v>
      </c>
      <c r="D163" s="74"/>
      <c r="E163" s="74">
        <v>17</v>
      </c>
      <c r="F163" s="74"/>
      <c r="G163" s="74">
        <v>22</v>
      </c>
      <c r="H163" s="74"/>
      <c r="I163" s="63">
        <v>39</v>
      </c>
      <c r="J163" t="b">
        <f t="shared" si="16"/>
        <v>0</v>
      </c>
      <c r="K163" t="b">
        <f t="shared" si="17"/>
        <v>0</v>
      </c>
      <c r="M163" t="str">
        <f t="shared" si="18"/>
        <v/>
      </c>
      <c r="N163" t="str">
        <f t="shared" si="19"/>
        <v/>
      </c>
      <c r="O163" t="str">
        <f t="shared" si="20"/>
        <v/>
      </c>
      <c r="P163" t="str">
        <f>IF(M163="","",VLOOKUP(B163,'Team Stats'!$B$3:$K$18,5,0))</f>
        <v/>
      </c>
      <c r="Q163" t="str">
        <f t="shared" si="21"/>
        <v/>
      </c>
      <c r="R163" t="str">
        <f>IF(M163="","",VLOOKUP(N163,Sim!$EF$46:$EG$61,2,0))</f>
        <v/>
      </c>
      <c r="S163" t="str">
        <f>IF(M163="","",VLOOKUP(N163,'Team Stats'!$B$3:$K$18,10,0))</f>
        <v/>
      </c>
      <c r="T163" s="84" t="str">
        <f t="shared" si="22"/>
        <v/>
      </c>
      <c r="U163" t="str">
        <f t="shared" si="23"/>
        <v/>
      </c>
    </row>
    <row r="164" spans="1:21">
      <c r="A164" s="73" t="s">
        <v>488</v>
      </c>
      <c r="B164" s="73" t="s">
        <v>209</v>
      </c>
      <c r="C164" s="74">
        <v>68</v>
      </c>
      <c r="D164" s="74"/>
      <c r="E164" s="74">
        <v>21</v>
      </c>
      <c r="F164" s="74"/>
      <c r="G164" s="74">
        <v>18</v>
      </c>
      <c r="H164" s="74"/>
      <c r="I164" s="63">
        <v>39</v>
      </c>
      <c r="J164" t="b">
        <f t="shared" si="16"/>
        <v>1</v>
      </c>
      <c r="K164" t="b">
        <f t="shared" si="17"/>
        <v>1</v>
      </c>
      <c r="M164" t="str">
        <f t="shared" si="18"/>
        <v> Erik Cole</v>
      </c>
      <c r="N164" t="str">
        <f t="shared" si="19"/>
        <v>DET</v>
      </c>
      <c r="O164">
        <f t="shared" si="20"/>
        <v>39</v>
      </c>
      <c r="P164">
        <f>IF(M164="","",VLOOKUP(B164,'Team Stats'!$B$3:$K$18,5,0))</f>
        <v>630</v>
      </c>
      <c r="Q164">
        <f t="shared" si="21"/>
        <v>6.1904761904761907E-2</v>
      </c>
      <c r="R164">
        <f ca="1">IF(M164="","",VLOOKUP(N164,Sim!$EF$46:$EG$61,2,0))</f>
        <v>10.06</v>
      </c>
      <c r="S164">
        <f ca="1">IF(M164="","",VLOOKUP(N164,'Team Stats'!$B$3:$K$18,10,0))</f>
        <v>77.29024390243903</v>
      </c>
      <c r="T164" s="84">
        <f t="shared" ca="1" si="22"/>
        <v>4.7846341463414639</v>
      </c>
      <c r="U164">
        <f t="shared" ca="1" si="23"/>
        <v>84</v>
      </c>
    </row>
    <row r="165" spans="1:21">
      <c r="A165" s="73" t="s">
        <v>489</v>
      </c>
      <c r="B165" s="73" t="s">
        <v>205</v>
      </c>
      <c r="C165" s="74">
        <v>81</v>
      </c>
      <c r="D165" s="74"/>
      <c r="E165" s="74">
        <v>13</v>
      </c>
      <c r="F165" s="74"/>
      <c r="G165" s="74">
        <v>26</v>
      </c>
      <c r="H165" s="74"/>
      <c r="I165" s="63">
        <v>39</v>
      </c>
      <c r="J165" t="b">
        <f t="shared" si="16"/>
        <v>1</v>
      </c>
      <c r="K165" t="b">
        <f t="shared" si="17"/>
        <v>1</v>
      </c>
      <c r="M165" t="str">
        <f t="shared" si="18"/>
        <v> Jakob Silfverberg</v>
      </c>
      <c r="N165" t="str">
        <f t="shared" si="19"/>
        <v>ANA</v>
      </c>
      <c r="O165">
        <f t="shared" si="20"/>
        <v>39</v>
      </c>
      <c r="P165">
        <f>IF(M165="","",VLOOKUP(B165,'Team Stats'!$B$3:$K$18,5,0))</f>
        <v>613</v>
      </c>
      <c r="Q165">
        <f t="shared" si="21"/>
        <v>6.3621533442088096E-2</v>
      </c>
      <c r="R165">
        <f ca="1">IF(M165="","",VLOOKUP(N165,Sim!$EF$46:$EG$61,2,0))</f>
        <v>14.85</v>
      </c>
      <c r="S165">
        <f ca="1">IF(M165="","",VLOOKUP(N165,'Team Stats'!$B$3:$K$18,10,0))</f>
        <v>111.01280487804878</v>
      </c>
      <c r="T165" s="84">
        <f t="shared" ca="1" si="22"/>
        <v>7.0628048780487811</v>
      </c>
      <c r="U165">
        <f t="shared" ca="1" si="23"/>
        <v>28</v>
      </c>
    </row>
    <row r="166" spans="1:21">
      <c r="A166" s="73" t="s">
        <v>490</v>
      </c>
      <c r="B166" s="73" t="s">
        <v>336</v>
      </c>
      <c r="C166" s="74">
        <v>82</v>
      </c>
      <c r="D166" s="74"/>
      <c r="E166" s="74">
        <v>9</v>
      </c>
      <c r="F166" s="74"/>
      <c r="G166" s="74">
        <v>30</v>
      </c>
      <c r="H166" s="74"/>
      <c r="I166" s="63">
        <v>39</v>
      </c>
      <c r="J166" t="b">
        <f t="shared" si="16"/>
        <v>0</v>
      </c>
      <c r="K166" t="b">
        <f t="shared" si="17"/>
        <v>0</v>
      </c>
      <c r="M166" t="str">
        <f t="shared" si="18"/>
        <v/>
      </c>
      <c r="N166" t="str">
        <f t="shared" si="19"/>
        <v/>
      </c>
      <c r="O166" t="str">
        <f t="shared" si="20"/>
        <v/>
      </c>
      <c r="P166" t="str">
        <f>IF(M166="","",VLOOKUP(B166,'Team Stats'!$B$3:$K$18,5,0))</f>
        <v/>
      </c>
      <c r="Q166" t="str">
        <f t="shared" si="21"/>
        <v/>
      </c>
      <c r="R166" t="str">
        <f>IF(M166="","",VLOOKUP(N166,Sim!$EF$46:$EG$61,2,0))</f>
        <v/>
      </c>
      <c r="S166" t="str">
        <f>IF(M166="","",VLOOKUP(N166,'Team Stats'!$B$3:$K$18,10,0))</f>
        <v/>
      </c>
      <c r="T166" s="84" t="str">
        <f t="shared" si="22"/>
        <v/>
      </c>
      <c r="U166" t="str">
        <f t="shared" si="23"/>
        <v/>
      </c>
    </row>
    <row r="167" spans="1:21">
      <c r="A167" s="73" t="s">
        <v>491</v>
      </c>
      <c r="B167" s="73" t="s">
        <v>216</v>
      </c>
      <c r="C167" s="74">
        <v>64</v>
      </c>
      <c r="D167" s="74"/>
      <c r="E167" s="74">
        <v>14</v>
      </c>
      <c r="F167" s="74"/>
      <c r="G167" s="74">
        <v>24</v>
      </c>
      <c r="H167" s="74"/>
      <c r="I167" s="63">
        <v>38</v>
      </c>
      <c r="J167" t="b">
        <f t="shared" si="16"/>
        <v>0</v>
      </c>
      <c r="K167" t="b">
        <f t="shared" si="17"/>
        <v>0</v>
      </c>
      <c r="M167" t="str">
        <f t="shared" si="18"/>
        <v/>
      </c>
      <c r="N167" t="str">
        <f t="shared" si="19"/>
        <v/>
      </c>
      <c r="O167" t="str">
        <f t="shared" si="20"/>
        <v/>
      </c>
      <c r="P167" t="str">
        <f>IF(M167="","",VLOOKUP(B167,'Team Stats'!$B$3:$K$18,5,0))</f>
        <v/>
      </c>
      <c r="Q167" t="str">
        <f t="shared" si="21"/>
        <v/>
      </c>
      <c r="R167" t="str">
        <f>IF(M167="","",VLOOKUP(N167,Sim!$EF$46:$EG$61,2,0))</f>
        <v/>
      </c>
      <c r="S167" t="str">
        <f>IF(M167="","",VLOOKUP(N167,'Team Stats'!$B$3:$K$18,10,0))</f>
        <v/>
      </c>
      <c r="T167" s="84" t="str">
        <f t="shared" si="22"/>
        <v/>
      </c>
      <c r="U167" t="str">
        <f t="shared" si="23"/>
        <v/>
      </c>
    </row>
    <row r="168" spans="1:21">
      <c r="A168" s="73" t="s">
        <v>492</v>
      </c>
      <c r="B168" s="73" t="s">
        <v>202</v>
      </c>
      <c r="C168" s="74">
        <v>82</v>
      </c>
      <c r="D168" s="74"/>
      <c r="E168" s="74">
        <v>13</v>
      </c>
      <c r="F168" s="74"/>
      <c r="G168" s="74">
        <v>25</v>
      </c>
      <c r="H168" s="74"/>
      <c r="I168" s="63">
        <v>38</v>
      </c>
      <c r="J168" t="b">
        <f t="shared" si="16"/>
        <v>1</v>
      </c>
      <c r="K168" t="b">
        <f t="shared" si="17"/>
        <v>1</v>
      </c>
      <c r="M168" t="str">
        <f t="shared" si="18"/>
        <v> Antoine Vermette</v>
      </c>
      <c r="N168" t="str">
        <f t="shared" si="19"/>
        <v>CHI</v>
      </c>
      <c r="O168">
        <f t="shared" si="20"/>
        <v>38</v>
      </c>
      <c r="P168">
        <f>IF(M168="","",VLOOKUP(B168,'Team Stats'!$B$3:$K$18,5,0))</f>
        <v>601</v>
      </c>
      <c r="Q168">
        <f t="shared" si="21"/>
        <v>6.3227953410981697E-2</v>
      </c>
      <c r="R168">
        <f ca="1">IF(M168="","",VLOOKUP(N168,Sim!$EF$46:$EG$61,2,0))</f>
        <v>9.14</v>
      </c>
      <c r="S168">
        <f ca="1">IF(M168="","",VLOOKUP(N168,'Team Stats'!$B$3:$K$18,10,0))</f>
        <v>66.989512195121961</v>
      </c>
      <c r="T168" s="84">
        <f t="shared" ca="1" si="22"/>
        <v>4.2356097560975616</v>
      </c>
      <c r="U168">
        <f t="shared" ca="1" si="23"/>
        <v>94</v>
      </c>
    </row>
    <row r="169" spans="1:21">
      <c r="A169" s="73" t="s">
        <v>493</v>
      </c>
      <c r="B169" s="73" t="s">
        <v>219</v>
      </c>
      <c r="C169" s="74">
        <v>78</v>
      </c>
      <c r="D169" s="74"/>
      <c r="E169" s="74">
        <v>14</v>
      </c>
      <c r="F169" s="74"/>
      <c r="G169" s="74">
        <v>24</v>
      </c>
      <c r="H169" s="74"/>
      <c r="I169" s="63">
        <v>38</v>
      </c>
      <c r="J169" t="b">
        <f t="shared" si="16"/>
        <v>0</v>
      </c>
      <c r="K169" t="b">
        <f t="shared" si="17"/>
        <v>0</v>
      </c>
      <c r="M169" t="str">
        <f t="shared" si="18"/>
        <v/>
      </c>
      <c r="N169" t="str">
        <f t="shared" si="19"/>
        <v/>
      </c>
      <c r="O169" t="str">
        <f t="shared" si="20"/>
        <v/>
      </c>
      <c r="P169" t="str">
        <f>IF(M169="","",VLOOKUP(B169,'Team Stats'!$B$3:$K$18,5,0))</f>
        <v/>
      </c>
      <c r="Q169" t="str">
        <f t="shared" si="21"/>
        <v/>
      </c>
      <c r="R169" t="str">
        <f>IF(M169="","",VLOOKUP(N169,Sim!$EF$46:$EG$61,2,0))</f>
        <v/>
      </c>
      <c r="S169" t="str">
        <f>IF(M169="","",VLOOKUP(N169,'Team Stats'!$B$3:$K$18,10,0))</f>
        <v/>
      </c>
      <c r="T169" s="84" t="str">
        <f t="shared" si="22"/>
        <v/>
      </c>
      <c r="U169" t="str">
        <f t="shared" si="23"/>
        <v/>
      </c>
    </row>
    <row r="170" spans="1:21">
      <c r="A170" s="73" t="s">
        <v>494</v>
      </c>
      <c r="B170" s="73" t="s">
        <v>336</v>
      </c>
      <c r="C170" s="74">
        <v>71</v>
      </c>
      <c r="D170" s="74"/>
      <c r="E170" s="74">
        <v>15</v>
      </c>
      <c r="F170" s="74"/>
      <c r="G170" s="74">
        <v>23</v>
      </c>
      <c r="H170" s="74"/>
      <c r="I170" s="63">
        <v>38</v>
      </c>
      <c r="J170" t="b">
        <f t="shared" si="16"/>
        <v>0</v>
      </c>
      <c r="K170" t="b">
        <f t="shared" si="17"/>
        <v>0</v>
      </c>
      <c r="M170" t="str">
        <f t="shared" si="18"/>
        <v/>
      </c>
      <c r="N170" t="str">
        <f t="shared" si="19"/>
        <v/>
      </c>
      <c r="O170" t="str">
        <f t="shared" si="20"/>
        <v/>
      </c>
      <c r="P170" t="str">
        <f>IF(M170="","",VLOOKUP(B170,'Team Stats'!$B$3:$K$18,5,0))</f>
        <v/>
      </c>
      <c r="Q170" t="str">
        <f t="shared" si="21"/>
        <v/>
      </c>
      <c r="R170" t="str">
        <f>IF(M170="","",VLOOKUP(N170,Sim!$EF$46:$EG$61,2,0))</f>
        <v/>
      </c>
      <c r="S170" t="str">
        <f>IF(M170="","",VLOOKUP(N170,'Team Stats'!$B$3:$K$18,10,0))</f>
        <v/>
      </c>
      <c r="T170" s="84" t="str">
        <f t="shared" si="22"/>
        <v/>
      </c>
      <c r="U170" t="str">
        <f t="shared" si="23"/>
        <v/>
      </c>
    </row>
    <row r="171" spans="1:21">
      <c r="A171" s="73" t="s">
        <v>495</v>
      </c>
      <c r="B171" s="73" t="s">
        <v>215</v>
      </c>
      <c r="C171" s="74">
        <v>53</v>
      </c>
      <c r="D171" s="74"/>
      <c r="E171" s="74">
        <v>14</v>
      </c>
      <c r="F171" s="74"/>
      <c r="G171" s="74">
        <v>24</v>
      </c>
      <c r="H171" s="74"/>
      <c r="I171" s="63">
        <v>38</v>
      </c>
      <c r="J171" t="b">
        <f t="shared" si="16"/>
        <v>0</v>
      </c>
      <c r="K171" t="b">
        <f t="shared" si="17"/>
        <v>0</v>
      </c>
      <c r="M171" t="str">
        <f t="shared" si="18"/>
        <v/>
      </c>
      <c r="N171" t="str">
        <f t="shared" si="19"/>
        <v/>
      </c>
      <c r="O171" t="str">
        <f t="shared" si="20"/>
        <v/>
      </c>
      <c r="P171" t="str">
        <f>IF(M171="","",VLOOKUP(B171,'Team Stats'!$B$3:$K$18,5,0))</f>
        <v/>
      </c>
      <c r="Q171" t="str">
        <f t="shared" si="21"/>
        <v/>
      </c>
      <c r="R171" t="str">
        <f>IF(M171="","",VLOOKUP(N171,Sim!$EF$46:$EG$61,2,0))</f>
        <v/>
      </c>
      <c r="S171" t="str">
        <f>IF(M171="","",VLOOKUP(N171,'Team Stats'!$B$3:$K$18,10,0))</f>
        <v/>
      </c>
      <c r="T171" s="84" t="str">
        <f t="shared" si="22"/>
        <v/>
      </c>
      <c r="U171" t="str">
        <f t="shared" si="23"/>
        <v/>
      </c>
    </row>
    <row r="172" spans="1:21">
      <c r="A172" s="73" t="s">
        <v>496</v>
      </c>
      <c r="B172" s="73" t="s">
        <v>212</v>
      </c>
      <c r="C172" s="74">
        <v>77</v>
      </c>
      <c r="D172" s="74"/>
      <c r="E172" s="74">
        <v>2</v>
      </c>
      <c r="F172" s="74"/>
      <c r="G172" s="74">
        <v>36</v>
      </c>
      <c r="H172" s="74"/>
      <c r="I172" s="63">
        <v>38</v>
      </c>
      <c r="J172" t="b">
        <f t="shared" si="16"/>
        <v>1</v>
      </c>
      <c r="K172" t="b">
        <f t="shared" si="17"/>
        <v>1</v>
      </c>
      <c r="M172" t="str">
        <f t="shared" si="18"/>
        <v> Ryan Suter</v>
      </c>
      <c r="N172" t="str">
        <f t="shared" si="19"/>
        <v>MIN</v>
      </c>
      <c r="O172">
        <f t="shared" si="20"/>
        <v>38</v>
      </c>
      <c r="P172">
        <f>IF(M172="","",VLOOKUP(B172,'Team Stats'!$B$3:$K$18,5,0))</f>
        <v>608</v>
      </c>
      <c r="Q172">
        <f t="shared" si="21"/>
        <v>6.25E-2</v>
      </c>
      <c r="R172">
        <f ca="1">IF(M172="","",VLOOKUP(N172,Sim!$EF$46:$EG$61,2,0))</f>
        <v>11.71</v>
      </c>
      <c r="S172">
        <f ca="1">IF(M172="","",VLOOKUP(N172,'Team Stats'!$B$3:$K$18,10,0))</f>
        <v>86.825365853658553</v>
      </c>
      <c r="T172" s="84">
        <f t="shared" ca="1" si="22"/>
        <v>5.4265853658536596</v>
      </c>
      <c r="U172">
        <f t="shared" ca="1" si="23"/>
        <v>64</v>
      </c>
    </row>
    <row r="173" spans="1:21">
      <c r="A173" s="73" t="s">
        <v>497</v>
      </c>
      <c r="B173" s="73" t="s">
        <v>336</v>
      </c>
      <c r="C173" s="74">
        <v>59</v>
      </c>
      <c r="D173" s="74"/>
      <c r="E173" s="74">
        <v>10</v>
      </c>
      <c r="F173" s="74"/>
      <c r="G173" s="74">
        <v>28</v>
      </c>
      <c r="H173" s="74"/>
      <c r="I173" s="63">
        <v>38</v>
      </c>
      <c r="J173" t="b">
        <f t="shared" si="16"/>
        <v>0</v>
      </c>
      <c r="K173" t="b">
        <f t="shared" si="17"/>
        <v>0</v>
      </c>
      <c r="M173" t="str">
        <f t="shared" si="18"/>
        <v/>
      </c>
      <c r="N173" t="str">
        <f t="shared" si="19"/>
        <v/>
      </c>
      <c r="O173" t="str">
        <f t="shared" si="20"/>
        <v/>
      </c>
      <c r="P173" t="str">
        <f>IF(M173="","",VLOOKUP(B173,'Team Stats'!$B$3:$K$18,5,0))</f>
        <v/>
      </c>
      <c r="Q173" t="str">
        <f t="shared" si="21"/>
        <v/>
      </c>
      <c r="R173" t="str">
        <f>IF(M173="","",VLOOKUP(N173,Sim!$EF$46:$EG$61,2,0))</f>
        <v/>
      </c>
      <c r="S173" t="str">
        <f>IF(M173="","",VLOOKUP(N173,'Team Stats'!$B$3:$K$18,10,0))</f>
        <v/>
      </c>
      <c r="T173" s="84" t="str">
        <f t="shared" si="22"/>
        <v/>
      </c>
      <c r="U173" t="str">
        <f t="shared" si="23"/>
        <v/>
      </c>
    </row>
    <row r="174" spans="1:21">
      <c r="A174" s="73" t="s">
        <v>498</v>
      </c>
      <c r="B174" s="73" t="s">
        <v>204</v>
      </c>
      <c r="C174" s="74">
        <v>68</v>
      </c>
      <c r="D174" s="74"/>
      <c r="E174" s="74">
        <v>16</v>
      </c>
      <c r="F174" s="74"/>
      <c r="G174" s="74">
        <v>22</v>
      </c>
      <c r="H174" s="74"/>
      <c r="I174" s="63">
        <v>38</v>
      </c>
      <c r="J174" t="b">
        <f t="shared" si="16"/>
        <v>0</v>
      </c>
      <c r="K174" t="b">
        <f t="shared" si="17"/>
        <v>0</v>
      </c>
      <c r="M174" t="str">
        <f t="shared" si="18"/>
        <v/>
      </c>
      <c r="N174" t="str">
        <f t="shared" si="19"/>
        <v/>
      </c>
      <c r="O174" t="str">
        <f t="shared" si="20"/>
        <v/>
      </c>
      <c r="P174" t="str">
        <f>IF(M174="","",VLOOKUP(B174,'Team Stats'!$B$3:$K$18,5,0))</f>
        <v/>
      </c>
      <c r="Q174" t="str">
        <f t="shared" si="21"/>
        <v/>
      </c>
      <c r="R174" t="str">
        <f>IF(M174="","",VLOOKUP(N174,Sim!$EF$46:$EG$61,2,0))</f>
        <v/>
      </c>
      <c r="S174" t="str">
        <f>IF(M174="","",VLOOKUP(N174,'Team Stats'!$B$3:$K$18,10,0))</f>
        <v/>
      </c>
      <c r="T174" s="84" t="str">
        <f t="shared" si="22"/>
        <v/>
      </c>
      <c r="U174" t="str">
        <f t="shared" si="23"/>
        <v/>
      </c>
    </row>
    <row r="175" spans="1:21">
      <c r="A175" s="73" t="s">
        <v>499</v>
      </c>
      <c r="B175" s="73" t="s">
        <v>325</v>
      </c>
      <c r="C175" s="74">
        <v>80</v>
      </c>
      <c r="D175" s="74"/>
      <c r="E175" s="74">
        <v>11</v>
      </c>
      <c r="F175" s="74"/>
      <c r="G175" s="74">
        <v>26</v>
      </c>
      <c r="H175" s="74"/>
      <c r="I175" s="63">
        <v>37</v>
      </c>
      <c r="J175" t="b">
        <f t="shared" si="16"/>
        <v>0</v>
      </c>
      <c r="K175" t="b">
        <f t="shared" si="17"/>
        <v>0</v>
      </c>
      <c r="M175" t="str">
        <f t="shared" si="18"/>
        <v/>
      </c>
      <c r="N175" t="str">
        <f t="shared" si="19"/>
        <v/>
      </c>
      <c r="O175" t="str">
        <f t="shared" si="20"/>
        <v/>
      </c>
      <c r="P175" t="str">
        <f>IF(M175="","",VLOOKUP(B175,'Team Stats'!$B$3:$K$18,5,0))</f>
        <v/>
      </c>
      <c r="Q175" t="str">
        <f t="shared" si="21"/>
        <v/>
      </c>
      <c r="R175" t="str">
        <f>IF(M175="","",VLOOKUP(N175,Sim!$EF$46:$EG$61,2,0))</f>
        <v/>
      </c>
      <c r="S175" t="str">
        <f>IF(M175="","",VLOOKUP(N175,'Team Stats'!$B$3:$K$18,10,0))</f>
        <v/>
      </c>
      <c r="T175" s="84" t="str">
        <f t="shared" si="22"/>
        <v/>
      </c>
      <c r="U175" t="str">
        <f t="shared" si="23"/>
        <v/>
      </c>
    </row>
    <row r="176" spans="1:21">
      <c r="A176" s="73" t="s">
        <v>500</v>
      </c>
      <c r="B176" s="73" t="s">
        <v>202</v>
      </c>
      <c r="C176" s="74">
        <v>76</v>
      </c>
      <c r="D176" s="74"/>
      <c r="E176" s="74">
        <v>12</v>
      </c>
      <c r="F176" s="74"/>
      <c r="G176" s="74">
        <v>25</v>
      </c>
      <c r="H176" s="74"/>
      <c r="I176" s="63">
        <v>37</v>
      </c>
      <c r="J176" t="b">
        <f t="shared" si="16"/>
        <v>1</v>
      </c>
      <c r="K176" t="b">
        <f t="shared" si="17"/>
        <v>1</v>
      </c>
      <c r="M176" t="str">
        <f t="shared" si="18"/>
        <v> Brad Richards</v>
      </c>
      <c r="N176" t="str">
        <f t="shared" si="19"/>
        <v>CHI</v>
      </c>
      <c r="O176">
        <f t="shared" si="20"/>
        <v>37</v>
      </c>
      <c r="P176">
        <f>IF(M176="","",VLOOKUP(B176,'Team Stats'!$B$3:$K$18,5,0))</f>
        <v>601</v>
      </c>
      <c r="Q176">
        <f t="shared" si="21"/>
        <v>6.156405990016639E-2</v>
      </c>
      <c r="R176">
        <f ca="1">IF(M176="","",VLOOKUP(N176,Sim!$EF$46:$EG$61,2,0))</f>
        <v>9.14</v>
      </c>
      <c r="S176">
        <f ca="1">IF(M176="","",VLOOKUP(N176,'Team Stats'!$B$3:$K$18,10,0))</f>
        <v>66.989512195121961</v>
      </c>
      <c r="T176" s="84">
        <f t="shared" ca="1" si="22"/>
        <v>4.1241463414634154</v>
      </c>
      <c r="U176">
        <f t="shared" ca="1" si="23"/>
        <v>101</v>
      </c>
    </row>
    <row r="177" spans="1:21">
      <c r="A177" s="73" t="s">
        <v>501</v>
      </c>
      <c r="B177" s="73" t="s">
        <v>196</v>
      </c>
      <c r="C177" s="74">
        <v>78</v>
      </c>
      <c r="D177" s="74"/>
      <c r="E177" s="74">
        <v>10</v>
      </c>
      <c r="F177" s="74"/>
      <c r="G177" s="74">
        <v>27</v>
      </c>
      <c r="H177" s="74"/>
      <c r="I177" s="63">
        <v>37</v>
      </c>
      <c r="J177" t="b">
        <f t="shared" si="16"/>
        <v>1</v>
      </c>
      <c r="K177" t="b">
        <f t="shared" si="17"/>
        <v>1</v>
      </c>
      <c r="M177" t="str">
        <f t="shared" si="18"/>
        <v> Nick Leddy</v>
      </c>
      <c r="N177" t="str">
        <f t="shared" si="19"/>
        <v>NYI</v>
      </c>
      <c r="O177">
        <f t="shared" si="20"/>
        <v>37</v>
      </c>
      <c r="P177">
        <f>IF(M177="","",VLOOKUP(B177,'Team Stats'!$B$3:$K$18,5,0))</f>
        <v>656</v>
      </c>
      <c r="Q177">
        <f t="shared" si="21"/>
        <v>5.6402439024390245E-2</v>
      </c>
      <c r="R177">
        <f ca="1">IF(M177="","",VLOOKUP(N177,Sim!$EF$46:$EG$61,2,0))</f>
        <v>13.18</v>
      </c>
      <c r="S177">
        <f ca="1">IF(M177="","",VLOOKUP(N177,'Team Stats'!$B$3:$K$18,10,0))</f>
        <v>105.44</v>
      </c>
      <c r="T177" s="84">
        <f t="shared" ca="1" si="22"/>
        <v>5.9470731707317075</v>
      </c>
      <c r="U177">
        <f t="shared" ca="1" si="23"/>
        <v>52</v>
      </c>
    </row>
    <row r="178" spans="1:21">
      <c r="A178" s="73" t="s">
        <v>502</v>
      </c>
      <c r="B178" s="73" t="s">
        <v>199</v>
      </c>
      <c r="C178" s="74">
        <v>82</v>
      </c>
      <c r="D178" s="74"/>
      <c r="E178" s="74">
        <v>15</v>
      </c>
      <c r="F178" s="74"/>
      <c r="G178" s="74">
        <v>22</v>
      </c>
      <c r="H178" s="74"/>
      <c r="I178" s="63">
        <v>37</v>
      </c>
      <c r="J178" t="b">
        <f t="shared" si="16"/>
        <v>0</v>
      </c>
      <c r="K178" t="b">
        <f t="shared" si="17"/>
        <v>0</v>
      </c>
      <c r="M178" t="str">
        <f t="shared" si="18"/>
        <v/>
      </c>
      <c r="N178" t="str">
        <f t="shared" si="19"/>
        <v/>
      </c>
      <c r="O178" t="str">
        <f t="shared" si="20"/>
        <v/>
      </c>
      <c r="P178" t="str">
        <f>IF(M178="","",VLOOKUP(B178,'Team Stats'!$B$3:$K$18,5,0))</f>
        <v/>
      </c>
      <c r="Q178" t="str">
        <f t="shared" si="21"/>
        <v/>
      </c>
      <c r="R178" t="str">
        <f>IF(M178="","",VLOOKUP(N178,Sim!$EF$46:$EG$61,2,0))</f>
        <v/>
      </c>
      <c r="S178" t="str">
        <f>IF(M178="","",VLOOKUP(N178,'Team Stats'!$B$3:$K$18,10,0))</f>
        <v/>
      </c>
      <c r="T178" s="84" t="str">
        <f t="shared" si="22"/>
        <v/>
      </c>
      <c r="U178" t="str">
        <f t="shared" si="23"/>
        <v/>
      </c>
    </row>
    <row r="179" spans="1:21">
      <c r="A179" s="73" t="s">
        <v>503</v>
      </c>
      <c r="B179" s="73" t="s">
        <v>205</v>
      </c>
      <c r="C179" s="74">
        <v>67</v>
      </c>
      <c r="D179" s="74"/>
      <c r="E179" s="74">
        <v>12</v>
      </c>
      <c r="F179" s="74"/>
      <c r="G179" s="74">
        <v>25</v>
      </c>
      <c r="H179" s="74"/>
      <c r="I179" s="63">
        <v>37</v>
      </c>
      <c r="J179" t="b">
        <f t="shared" si="16"/>
        <v>1</v>
      </c>
      <c r="K179" t="b">
        <f t="shared" si="17"/>
        <v>1</v>
      </c>
      <c r="M179" t="str">
        <f t="shared" si="18"/>
        <v> Sami Vatanen</v>
      </c>
      <c r="N179" t="str">
        <f t="shared" si="19"/>
        <v>ANA</v>
      </c>
      <c r="O179">
        <f t="shared" si="20"/>
        <v>37</v>
      </c>
      <c r="P179">
        <f>IF(M179="","",VLOOKUP(B179,'Team Stats'!$B$3:$K$18,5,0))</f>
        <v>613</v>
      </c>
      <c r="Q179">
        <f t="shared" si="21"/>
        <v>6.0358890701468187E-2</v>
      </c>
      <c r="R179">
        <f ca="1">IF(M179="","",VLOOKUP(N179,Sim!$EF$46:$EG$61,2,0))</f>
        <v>14.85</v>
      </c>
      <c r="S179">
        <f ca="1">IF(M179="","",VLOOKUP(N179,'Team Stats'!$B$3:$K$18,10,0))</f>
        <v>111.01280487804878</v>
      </c>
      <c r="T179" s="84">
        <f t="shared" ca="1" si="22"/>
        <v>6.7006097560975606</v>
      </c>
      <c r="U179">
        <f t="shared" ca="1" si="23"/>
        <v>36</v>
      </c>
    </row>
    <row r="180" spans="1:21">
      <c r="A180" s="73" t="s">
        <v>504</v>
      </c>
      <c r="B180" s="73" t="s">
        <v>365</v>
      </c>
      <c r="C180" s="74">
        <v>67</v>
      </c>
      <c r="D180" s="74"/>
      <c r="E180" s="74">
        <v>23</v>
      </c>
      <c r="F180" s="74"/>
      <c r="G180" s="74">
        <v>14</v>
      </c>
      <c r="H180" s="74"/>
      <c r="I180" s="63">
        <v>37</v>
      </c>
      <c r="J180" t="b">
        <f t="shared" si="16"/>
        <v>0</v>
      </c>
      <c r="K180" t="b">
        <f t="shared" si="17"/>
        <v>0</v>
      </c>
      <c r="M180" t="str">
        <f t="shared" si="18"/>
        <v/>
      </c>
      <c r="N180" t="str">
        <f t="shared" si="19"/>
        <v/>
      </c>
      <c r="O180" t="str">
        <f t="shared" si="20"/>
        <v/>
      </c>
      <c r="P180" t="str">
        <f>IF(M180="","",VLOOKUP(B180,'Team Stats'!$B$3:$K$18,5,0))</f>
        <v/>
      </c>
      <c r="Q180" t="str">
        <f t="shared" si="21"/>
        <v/>
      </c>
      <c r="R180" t="str">
        <f>IF(M180="","",VLOOKUP(N180,Sim!$EF$46:$EG$61,2,0))</f>
        <v/>
      </c>
      <c r="S180" t="str">
        <f>IF(M180="","",VLOOKUP(N180,'Team Stats'!$B$3:$K$18,10,0))</f>
        <v/>
      </c>
      <c r="T180" s="84" t="str">
        <f t="shared" si="22"/>
        <v/>
      </c>
      <c r="U180" t="str">
        <f t="shared" si="23"/>
        <v/>
      </c>
    </row>
    <row r="181" spans="1:21">
      <c r="A181" s="73" t="s">
        <v>505</v>
      </c>
      <c r="B181" s="73" t="s">
        <v>212</v>
      </c>
      <c r="C181" s="74">
        <v>80</v>
      </c>
      <c r="D181" s="74"/>
      <c r="E181" s="74">
        <v>24</v>
      </c>
      <c r="F181" s="74"/>
      <c r="G181" s="74">
        <v>13</v>
      </c>
      <c r="H181" s="74"/>
      <c r="I181" s="63">
        <v>37</v>
      </c>
      <c r="J181" t="b">
        <f t="shared" si="16"/>
        <v>1</v>
      </c>
      <c r="K181" t="b">
        <f t="shared" si="17"/>
        <v>1</v>
      </c>
      <c r="M181" t="str">
        <f t="shared" si="18"/>
        <v> Nino Niederreiter</v>
      </c>
      <c r="N181" t="str">
        <f t="shared" si="19"/>
        <v>MIN</v>
      </c>
      <c r="O181">
        <f t="shared" si="20"/>
        <v>37</v>
      </c>
      <c r="P181">
        <f>IF(M181="","",VLOOKUP(B181,'Team Stats'!$B$3:$K$18,5,0))</f>
        <v>608</v>
      </c>
      <c r="Q181">
        <f t="shared" si="21"/>
        <v>6.0855263157894739E-2</v>
      </c>
      <c r="R181">
        <f ca="1">IF(M181="","",VLOOKUP(N181,Sim!$EF$46:$EG$61,2,0))</f>
        <v>11.71</v>
      </c>
      <c r="S181">
        <f ca="1">IF(M181="","",VLOOKUP(N181,'Team Stats'!$B$3:$K$18,10,0))</f>
        <v>86.825365853658553</v>
      </c>
      <c r="T181" s="84">
        <f t="shared" ca="1" si="22"/>
        <v>5.2837804878048793</v>
      </c>
      <c r="U181">
        <f t="shared" ca="1" si="23"/>
        <v>69</v>
      </c>
    </row>
    <row r="182" spans="1:21">
      <c r="A182" s="73" t="s">
        <v>506</v>
      </c>
      <c r="B182" s="73" t="s">
        <v>204</v>
      </c>
      <c r="C182" s="74">
        <v>81</v>
      </c>
      <c r="D182" s="74"/>
      <c r="E182" s="74">
        <v>4</v>
      </c>
      <c r="F182" s="74"/>
      <c r="G182" s="74">
        <v>32</v>
      </c>
      <c r="H182" s="74"/>
      <c r="I182" s="63">
        <v>36</v>
      </c>
      <c r="J182" t="b">
        <f t="shared" si="16"/>
        <v>0</v>
      </c>
      <c r="K182" t="b">
        <f t="shared" si="17"/>
        <v>0</v>
      </c>
      <c r="M182" t="str">
        <f t="shared" si="18"/>
        <v/>
      </c>
      <c r="N182" t="str">
        <f t="shared" si="19"/>
        <v/>
      </c>
      <c r="O182" t="str">
        <f t="shared" si="20"/>
        <v/>
      </c>
      <c r="P182" t="str">
        <f>IF(M182="","",VLOOKUP(B182,'Team Stats'!$B$3:$K$18,5,0))</f>
        <v/>
      </c>
      <c r="Q182" t="str">
        <f t="shared" si="21"/>
        <v/>
      </c>
      <c r="R182" t="str">
        <f>IF(M182="","",VLOOKUP(N182,Sim!$EF$46:$EG$61,2,0))</f>
        <v/>
      </c>
      <c r="S182" t="str">
        <f>IF(M182="","",VLOOKUP(N182,'Team Stats'!$B$3:$K$18,10,0))</f>
        <v/>
      </c>
      <c r="T182" s="84" t="str">
        <f t="shared" si="22"/>
        <v/>
      </c>
      <c r="U182" t="str">
        <f t="shared" si="23"/>
        <v/>
      </c>
    </row>
    <row r="183" spans="1:21">
      <c r="A183" s="73" t="s">
        <v>507</v>
      </c>
      <c r="B183" s="73" t="s">
        <v>222</v>
      </c>
      <c r="C183" s="74">
        <v>79</v>
      </c>
      <c r="D183" s="74"/>
      <c r="E183" s="74">
        <v>14</v>
      </c>
      <c r="F183" s="74"/>
      <c r="G183" s="74">
        <v>22</v>
      </c>
      <c r="H183" s="74"/>
      <c r="I183" s="63">
        <v>36</v>
      </c>
      <c r="J183" t="b">
        <f t="shared" si="16"/>
        <v>0</v>
      </c>
      <c r="K183" t="b">
        <f t="shared" si="17"/>
        <v>0</v>
      </c>
      <c r="M183" t="str">
        <f t="shared" si="18"/>
        <v/>
      </c>
      <c r="N183" t="str">
        <f t="shared" si="19"/>
        <v/>
      </c>
      <c r="O183" t="str">
        <f t="shared" si="20"/>
        <v/>
      </c>
      <c r="P183" t="str">
        <f>IF(M183="","",VLOOKUP(B183,'Team Stats'!$B$3:$K$18,5,0))</f>
        <v/>
      </c>
      <c r="Q183" t="str">
        <f t="shared" si="21"/>
        <v/>
      </c>
      <c r="R183" t="str">
        <f>IF(M183="","",VLOOKUP(N183,Sim!$EF$46:$EG$61,2,0))</f>
        <v/>
      </c>
      <c r="S183" t="str">
        <f>IF(M183="","",VLOOKUP(N183,'Team Stats'!$B$3:$K$18,10,0))</f>
        <v/>
      </c>
      <c r="T183" s="84" t="str">
        <f t="shared" si="22"/>
        <v/>
      </c>
      <c r="U183" t="str">
        <f t="shared" si="23"/>
        <v/>
      </c>
    </row>
    <row r="184" spans="1:21">
      <c r="A184" s="73" t="s">
        <v>508</v>
      </c>
      <c r="B184" s="73" t="s">
        <v>340</v>
      </c>
      <c r="C184" s="74">
        <v>75</v>
      </c>
      <c r="D184" s="74"/>
      <c r="E184" s="74">
        <v>15</v>
      </c>
      <c r="F184" s="74"/>
      <c r="G184" s="74">
        <v>21</v>
      </c>
      <c r="H184" s="74"/>
      <c r="I184" s="63">
        <v>36</v>
      </c>
      <c r="J184" t="b">
        <f t="shared" si="16"/>
        <v>0</v>
      </c>
      <c r="K184" t="b">
        <f t="shared" si="17"/>
        <v>0</v>
      </c>
      <c r="M184" t="str">
        <f t="shared" si="18"/>
        <v/>
      </c>
      <c r="N184" t="str">
        <f t="shared" si="19"/>
        <v/>
      </c>
      <c r="O184" t="str">
        <f t="shared" si="20"/>
        <v/>
      </c>
      <c r="P184" t="str">
        <f>IF(M184="","",VLOOKUP(B184,'Team Stats'!$B$3:$K$18,5,0))</f>
        <v/>
      </c>
      <c r="Q184" t="str">
        <f t="shared" si="21"/>
        <v/>
      </c>
      <c r="R184" t="str">
        <f>IF(M184="","",VLOOKUP(N184,Sim!$EF$46:$EG$61,2,0))</f>
        <v/>
      </c>
      <c r="S184" t="str">
        <f>IF(M184="","",VLOOKUP(N184,'Team Stats'!$B$3:$K$18,10,0))</f>
        <v/>
      </c>
      <c r="T184" s="84" t="str">
        <f t="shared" si="22"/>
        <v/>
      </c>
      <c r="U184" t="str">
        <f t="shared" si="23"/>
        <v/>
      </c>
    </row>
    <row r="185" spans="1:21">
      <c r="A185" s="73" t="s">
        <v>509</v>
      </c>
      <c r="B185" s="73" t="s">
        <v>206</v>
      </c>
      <c r="C185" s="74">
        <v>77</v>
      </c>
      <c r="D185" s="74"/>
      <c r="E185" s="74">
        <v>12</v>
      </c>
      <c r="F185" s="74"/>
      <c r="G185" s="74">
        <v>24</v>
      </c>
      <c r="H185" s="74"/>
      <c r="I185" s="63">
        <v>36</v>
      </c>
      <c r="J185" t="b">
        <f t="shared" si="16"/>
        <v>1</v>
      </c>
      <c r="K185" t="b">
        <f t="shared" si="17"/>
        <v>1</v>
      </c>
      <c r="M185" t="str">
        <f t="shared" si="18"/>
        <v> Chris Higgins</v>
      </c>
      <c r="N185" t="str">
        <f t="shared" si="19"/>
        <v>VAN</v>
      </c>
      <c r="O185">
        <f t="shared" si="20"/>
        <v>36</v>
      </c>
      <c r="P185">
        <f>IF(M185="","",VLOOKUP(B185,'Team Stats'!$B$3:$K$18,5,0))</f>
        <v>642</v>
      </c>
      <c r="Q185">
        <f t="shared" si="21"/>
        <v>5.6074766355140186E-2</v>
      </c>
      <c r="R185">
        <f ca="1">IF(M185="","",VLOOKUP(N185,Sim!$EF$46:$EG$61,2,0))</f>
        <v>10.35</v>
      </c>
      <c r="S185">
        <f ca="1">IF(M185="","",VLOOKUP(N185,'Team Stats'!$B$3:$K$18,10,0))</f>
        <v>81.032926829268291</v>
      </c>
      <c r="T185" s="84">
        <f t="shared" ca="1" si="22"/>
        <v>4.5439024390243903</v>
      </c>
      <c r="U185">
        <f t="shared" ca="1" si="23"/>
        <v>89</v>
      </c>
    </row>
    <row r="186" spans="1:21">
      <c r="A186" s="73" t="s">
        <v>510</v>
      </c>
      <c r="B186" s="73" t="s">
        <v>209</v>
      </c>
      <c r="C186" s="74">
        <v>79</v>
      </c>
      <c r="D186" s="74"/>
      <c r="E186" s="74">
        <v>13</v>
      </c>
      <c r="F186" s="74"/>
      <c r="G186" s="74">
        <v>23</v>
      </c>
      <c r="H186" s="74"/>
      <c r="I186" s="63">
        <v>36</v>
      </c>
      <c r="J186" t="b">
        <f t="shared" si="16"/>
        <v>1</v>
      </c>
      <c r="K186" t="b">
        <f t="shared" si="17"/>
        <v>1</v>
      </c>
      <c r="M186" t="str">
        <f t="shared" si="18"/>
        <v> Riley Sheahan</v>
      </c>
      <c r="N186" t="str">
        <f t="shared" si="19"/>
        <v>DET</v>
      </c>
      <c r="O186">
        <f t="shared" si="20"/>
        <v>36</v>
      </c>
      <c r="P186">
        <f>IF(M186="","",VLOOKUP(B186,'Team Stats'!$B$3:$K$18,5,0))</f>
        <v>630</v>
      </c>
      <c r="Q186">
        <f t="shared" si="21"/>
        <v>5.7142857142857141E-2</v>
      </c>
      <c r="R186">
        <f ca="1">IF(M186="","",VLOOKUP(N186,Sim!$EF$46:$EG$61,2,0))</f>
        <v>10.06</v>
      </c>
      <c r="S186">
        <f ca="1">IF(M186="","",VLOOKUP(N186,'Team Stats'!$B$3:$K$18,10,0))</f>
        <v>77.29024390243903</v>
      </c>
      <c r="T186" s="84">
        <f t="shared" ca="1" si="22"/>
        <v>4.4165853658536589</v>
      </c>
      <c r="U186">
        <f t="shared" ca="1" si="23"/>
        <v>93</v>
      </c>
    </row>
    <row r="187" spans="1:21">
      <c r="A187" s="73" t="s">
        <v>511</v>
      </c>
      <c r="B187" s="73" t="s">
        <v>331</v>
      </c>
      <c r="C187" s="74">
        <v>82</v>
      </c>
      <c r="D187" s="74"/>
      <c r="E187" s="74">
        <v>11</v>
      </c>
      <c r="F187" s="74"/>
      <c r="G187" s="74">
        <v>25</v>
      </c>
      <c r="H187" s="74"/>
      <c r="I187" s="63">
        <v>36</v>
      </c>
      <c r="J187" t="b">
        <f t="shared" si="16"/>
        <v>0</v>
      </c>
      <c r="K187" t="b">
        <f t="shared" si="17"/>
        <v>0</v>
      </c>
      <c r="M187" t="str">
        <f t="shared" si="18"/>
        <v/>
      </c>
      <c r="N187" t="str">
        <f t="shared" si="19"/>
        <v/>
      </c>
      <c r="O187" t="str">
        <f t="shared" si="20"/>
        <v/>
      </c>
      <c r="P187" t="str">
        <f>IF(M187="","",VLOOKUP(B187,'Team Stats'!$B$3:$K$18,5,0))</f>
        <v/>
      </c>
      <c r="Q187" t="str">
        <f t="shared" si="21"/>
        <v/>
      </c>
      <c r="R187" t="str">
        <f>IF(M187="","",VLOOKUP(N187,Sim!$EF$46:$EG$61,2,0))</f>
        <v/>
      </c>
      <c r="S187" t="str">
        <f>IF(M187="","",VLOOKUP(N187,'Team Stats'!$B$3:$K$18,10,0))</f>
        <v/>
      </c>
      <c r="T187" s="84" t="str">
        <f t="shared" si="22"/>
        <v/>
      </c>
      <c r="U187" t="str">
        <f t="shared" si="23"/>
        <v/>
      </c>
    </row>
    <row r="188" spans="1:21">
      <c r="A188" s="73" t="s">
        <v>512</v>
      </c>
      <c r="B188" s="73" t="s">
        <v>212</v>
      </c>
      <c r="C188" s="74">
        <v>81</v>
      </c>
      <c r="D188" s="74"/>
      <c r="E188" s="74">
        <v>14</v>
      </c>
      <c r="F188" s="74"/>
      <c r="G188" s="74">
        <v>22</v>
      </c>
      <c r="H188" s="74"/>
      <c r="I188" s="63">
        <v>36</v>
      </c>
      <c r="J188" t="b">
        <f t="shared" si="16"/>
        <v>1</v>
      </c>
      <c r="K188" t="b">
        <f t="shared" si="17"/>
        <v>1</v>
      </c>
      <c r="M188" t="str">
        <f t="shared" si="18"/>
        <v> Chris Stewart</v>
      </c>
      <c r="N188" t="str">
        <f t="shared" si="19"/>
        <v>MIN</v>
      </c>
      <c r="O188">
        <f t="shared" si="20"/>
        <v>36</v>
      </c>
      <c r="P188">
        <f>IF(M188="","",VLOOKUP(B188,'Team Stats'!$B$3:$K$18,5,0))</f>
        <v>608</v>
      </c>
      <c r="Q188">
        <f t="shared" si="21"/>
        <v>5.921052631578947E-2</v>
      </c>
      <c r="R188">
        <f ca="1">IF(M188="","",VLOOKUP(N188,Sim!$EF$46:$EG$61,2,0))</f>
        <v>11.71</v>
      </c>
      <c r="S188">
        <f ca="1">IF(M188="","",VLOOKUP(N188,'Team Stats'!$B$3:$K$18,10,0))</f>
        <v>86.825365853658553</v>
      </c>
      <c r="T188" s="84">
        <f t="shared" ca="1" si="22"/>
        <v>5.1409756097560981</v>
      </c>
      <c r="U188">
        <f t="shared" ca="1" si="23"/>
        <v>73</v>
      </c>
    </row>
    <row r="189" spans="1:21">
      <c r="A189" s="73" t="s">
        <v>513</v>
      </c>
      <c r="B189" s="73" t="s">
        <v>365</v>
      </c>
      <c r="C189" s="74">
        <v>78</v>
      </c>
      <c r="D189" s="74"/>
      <c r="E189" s="74">
        <v>7</v>
      </c>
      <c r="F189" s="74"/>
      <c r="G189" s="74">
        <v>29</v>
      </c>
      <c r="H189" s="74"/>
      <c r="I189" s="63">
        <v>36</v>
      </c>
      <c r="J189" t="b">
        <f t="shared" si="16"/>
        <v>0</v>
      </c>
      <c r="K189" t="b">
        <f t="shared" si="17"/>
        <v>0</v>
      </c>
      <c r="M189" t="str">
        <f t="shared" si="18"/>
        <v/>
      </c>
      <c r="N189" t="str">
        <f t="shared" si="19"/>
        <v/>
      </c>
      <c r="O189" t="str">
        <f t="shared" si="20"/>
        <v/>
      </c>
      <c r="P189" t="str">
        <f>IF(M189="","",VLOOKUP(B189,'Team Stats'!$B$3:$K$18,5,0))</f>
        <v/>
      </c>
      <c r="Q189" t="str">
        <f t="shared" si="21"/>
        <v/>
      </c>
      <c r="R189" t="str">
        <f>IF(M189="","",VLOOKUP(N189,Sim!$EF$46:$EG$61,2,0))</f>
        <v/>
      </c>
      <c r="S189" t="str">
        <f>IF(M189="","",VLOOKUP(N189,'Team Stats'!$B$3:$K$18,10,0))</f>
        <v/>
      </c>
      <c r="T189" s="84" t="str">
        <f t="shared" si="22"/>
        <v/>
      </c>
      <c r="U189" t="str">
        <f t="shared" si="23"/>
        <v/>
      </c>
    </row>
    <row r="190" spans="1:21">
      <c r="A190" s="73" t="s">
        <v>514</v>
      </c>
      <c r="B190" s="73" t="s">
        <v>219</v>
      </c>
      <c r="C190" s="74">
        <v>71</v>
      </c>
      <c r="D190" s="74"/>
      <c r="E190" s="74">
        <v>16</v>
      </c>
      <c r="F190" s="74"/>
      <c r="G190" s="74">
        <v>20</v>
      </c>
      <c r="H190" s="74"/>
      <c r="I190" s="63">
        <v>36</v>
      </c>
      <c r="J190" t="b">
        <f t="shared" si="16"/>
        <v>0</v>
      </c>
      <c r="K190" t="b">
        <f t="shared" si="17"/>
        <v>0</v>
      </c>
      <c r="M190" t="str">
        <f t="shared" si="18"/>
        <v/>
      </c>
      <c r="N190" t="str">
        <f t="shared" si="19"/>
        <v/>
      </c>
      <c r="O190" t="str">
        <f t="shared" si="20"/>
        <v/>
      </c>
      <c r="P190" t="str">
        <f>IF(M190="","",VLOOKUP(B190,'Team Stats'!$B$3:$K$18,5,0))</f>
        <v/>
      </c>
      <c r="Q190" t="str">
        <f t="shared" si="21"/>
        <v/>
      </c>
      <c r="R190" t="str">
        <f>IF(M190="","",VLOOKUP(N190,Sim!$EF$46:$EG$61,2,0))</f>
        <v/>
      </c>
      <c r="S190" t="str">
        <f>IF(M190="","",VLOOKUP(N190,'Team Stats'!$B$3:$K$18,10,0))</f>
        <v/>
      </c>
      <c r="T190" s="84" t="str">
        <f t="shared" si="22"/>
        <v/>
      </c>
      <c r="U190" t="str">
        <f t="shared" si="23"/>
        <v/>
      </c>
    </row>
    <row r="191" spans="1:21">
      <c r="A191" s="73" t="s">
        <v>515</v>
      </c>
      <c r="B191" s="73" t="s">
        <v>214</v>
      </c>
      <c r="C191" s="74">
        <v>62</v>
      </c>
      <c r="D191" s="74"/>
      <c r="E191" s="74">
        <v>16</v>
      </c>
      <c r="F191" s="74"/>
      <c r="G191" s="74">
        <v>20</v>
      </c>
      <c r="H191" s="74"/>
      <c r="I191" s="63">
        <v>36</v>
      </c>
      <c r="J191" t="b">
        <f t="shared" si="16"/>
        <v>1</v>
      </c>
      <c r="K191" t="b">
        <f t="shared" si="17"/>
        <v>1</v>
      </c>
      <c r="M191" t="str">
        <f t="shared" si="18"/>
        <v> Clarke MacArthur</v>
      </c>
      <c r="N191" t="str">
        <f t="shared" si="19"/>
        <v>OTT</v>
      </c>
      <c r="O191">
        <f t="shared" si="20"/>
        <v>36</v>
      </c>
      <c r="P191">
        <f>IF(M191="","",VLOOKUP(B191,'Team Stats'!$B$3:$K$18,5,0))</f>
        <v>619</v>
      </c>
      <c r="Q191">
        <f t="shared" si="21"/>
        <v>5.8158319870759291E-2</v>
      </c>
      <c r="R191">
        <f ca="1">IF(M191="","",VLOOKUP(N191,Sim!$EF$46:$EG$61,2,0))</f>
        <v>10.71</v>
      </c>
      <c r="S191">
        <f ca="1">IF(M191="","",VLOOKUP(N191,'Team Stats'!$B$3:$K$18,10,0))</f>
        <v>80.847439024390255</v>
      </c>
      <c r="T191" s="84">
        <f t="shared" ca="1" si="22"/>
        <v>4.7019512195121962</v>
      </c>
      <c r="U191">
        <f t="shared" ca="1" si="23"/>
        <v>86</v>
      </c>
    </row>
    <row r="192" spans="1:21">
      <c r="A192" s="73" t="s">
        <v>516</v>
      </c>
      <c r="B192" s="73" t="s">
        <v>331</v>
      </c>
      <c r="C192" s="74">
        <v>47</v>
      </c>
      <c r="D192" s="74"/>
      <c r="E192" s="74">
        <v>13</v>
      </c>
      <c r="F192" s="74"/>
      <c r="G192" s="74">
        <v>23</v>
      </c>
      <c r="H192" s="74"/>
      <c r="I192" s="63">
        <v>36</v>
      </c>
      <c r="J192" t="b">
        <f t="shared" si="16"/>
        <v>0</v>
      </c>
      <c r="K192" t="b">
        <f t="shared" si="17"/>
        <v>0</v>
      </c>
      <c r="M192" t="str">
        <f t="shared" si="18"/>
        <v/>
      </c>
      <c r="N192" t="str">
        <f t="shared" si="19"/>
        <v/>
      </c>
      <c r="O192" t="str">
        <f t="shared" si="20"/>
        <v/>
      </c>
      <c r="P192" t="str">
        <f>IF(M192="","",VLOOKUP(B192,'Team Stats'!$B$3:$K$18,5,0))</f>
        <v/>
      </c>
      <c r="Q192" t="str">
        <f t="shared" si="21"/>
        <v/>
      </c>
      <c r="R192" t="str">
        <f>IF(M192="","",VLOOKUP(N192,Sim!$EF$46:$EG$61,2,0))</f>
        <v/>
      </c>
      <c r="S192" t="str">
        <f>IF(M192="","",VLOOKUP(N192,'Team Stats'!$B$3:$K$18,10,0))</f>
        <v/>
      </c>
      <c r="T192" s="84" t="str">
        <f t="shared" si="22"/>
        <v/>
      </c>
      <c r="U192" t="str">
        <f t="shared" si="23"/>
        <v/>
      </c>
    </row>
    <row r="193" spans="1:21">
      <c r="A193" s="73" t="s">
        <v>517</v>
      </c>
      <c r="B193" s="73" t="s">
        <v>221</v>
      </c>
      <c r="C193" s="74">
        <v>69</v>
      </c>
      <c r="D193" s="74"/>
      <c r="E193" s="74">
        <v>13</v>
      </c>
      <c r="F193" s="74"/>
      <c r="G193" s="74">
        <v>22</v>
      </c>
      <c r="H193" s="74"/>
      <c r="I193" s="63">
        <v>35</v>
      </c>
      <c r="J193" t="b">
        <f t="shared" si="16"/>
        <v>0</v>
      </c>
      <c r="K193" t="b">
        <f t="shared" si="17"/>
        <v>0</v>
      </c>
      <c r="M193" t="str">
        <f t="shared" si="18"/>
        <v/>
      </c>
      <c r="N193" t="str">
        <f t="shared" si="19"/>
        <v/>
      </c>
      <c r="O193" t="str">
        <f t="shared" si="20"/>
        <v/>
      </c>
      <c r="P193" t="str">
        <f>IF(M193="","",VLOOKUP(B193,'Team Stats'!$B$3:$K$18,5,0))</f>
        <v/>
      </c>
      <c r="Q193" t="str">
        <f t="shared" si="21"/>
        <v/>
      </c>
      <c r="R193" t="str">
        <f>IF(M193="","",VLOOKUP(N193,Sim!$EF$46:$EG$61,2,0))</f>
        <v/>
      </c>
      <c r="S193" t="str">
        <f>IF(M193="","",VLOOKUP(N193,'Team Stats'!$B$3:$K$18,10,0))</f>
        <v/>
      </c>
      <c r="T193" s="84" t="str">
        <f t="shared" si="22"/>
        <v/>
      </c>
      <c r="U193" t="str">
        <f t="shared" si="23"/>
        <v/>
      </c>
    </row>
    <row r="194" spans="1:21">
      <c r="A194" s="73" t="s">
        <v>518</v>
      </c>
      <c r="B194" s="73" t="s">
        <v>219</v>
      </c>
      <c r="C194" s="74">
        <v>72</v>
      </c>
      <c r="D194" s="74"/>
      <c r="E194" s="74">
        <v>19</v>
      </c>
      <c r="F194" s="74"/>
      <c r="G194" s="74">
        <v>16</v>
      </c>
      <c r="H194" s="74"/>
      <c r="I194" s="63">
        <v>35</v>
      </c>
      <c r="J194" t="b">
        <f t="shared" si="16"/>
        <v>0</v>
      </c>
      <c r="K194" t="b">
        <f t="shared" si="17"/>
        <v>0</v>
      </c>
      <c r="M194" t="str">
        <f t="shared" si="18"/>
        <v/>
      </c>
      <c r="N194" t="str">
        <f t="shared" si="19"/>
        <v/>
      </c>
      <c r="O194" t="str">
        <f t="shared" si="20"/>
        <v/>
      </c>
      <c r="P194" t="str">
        <f>IF(M194="","",VLOOKUP(B194,'Team Stats'!$B$3:$K$18,5,0))</f>
        <v/>
      </c>
      <c r="Q194" t="str">
        <f t="shared" si="21"/>
        <v/>
      </c>
      <c r="R194" t="str">
        <f>IF(M194="","",VLOOKUP(N194,Sim!$EF$46:$EG$61,2,0))</f>
        <v/>
      </c>
      <c r="S194" t="str">
        <f>IF(M194="","",VLOOKUP(N194,'Team Stats'!$B$3:$K$18,10,0))</f>
        <v/>
      </c>
      <c r="T194" s="84" t="str">
        <f t="shared" si="22"/>
        <v/>
      </c>
      <c r="U194" t="str">
        <f t="shared" si="23"/>
        <v/>
      </c>
    </row>
    <row r="195" spans="1:21">
      <c r="A195" s="73" t="s">
        <v>519</v>
      </c>
      <c r="B195" s="73" t="s">
        <v>325</v>
      </c>
      <c r="C195" s="74">
        <v>71</v>
      </c>
      <c r="D195" s="74"/>
      <c r="E195" s="74">
        <v>13</v>
      </c>
      <c r="F195" s="74"/>
      <c r="G195" s="74">
        <v>22</v>
      </c>
      <c r="H195" s="74"/>
      <c r="I195" s="63">
        <v>35</v>
      </c>
      <c r="J195" t="b">
        <f t="shared" si="16"/>
        <v>0</v>
      </c>
      <c r="K195" t="b">
        <f t="shared" si="17"/>
        <v>0</v>
      </c>
      <c r="M195" t="str">
        <f t="shared" si="18"/>
        <v/>
      </c>
      <c r="N195" t="str">
        <f t="shared" si="19"/>
        <v/>
      </c>
      <c r="O195" t="str">
        <f t="shared" si="20"/>
        <v/>
      </c>
      <c r="P195" t="str">
        <f>IF(M195="","",VLOOKUP(B195,'Team Stats'!$B$3:$K$18,5,0))</f>
        <v/>
      </c>
      <c r="Q195" t="str">
        <f t="shared" si="21"/>
        <v/>
      </c>
      <c r="R195" t="str">
        <f>IF(M195="","",VLOOKUP(N195,Sim!$EF$46:$EG$61,2,0))</f>
        <v/>
      </c>
      <c r="S195" t="str">
        <f>IF(M195="","",VLOOKUP(N195,'Team Stats'!$B$3:$K$18,10,0))</f>
        <v/>
      </c>
      <c r="T195" s="84" t="str">
        <f t="shared" si="22"/>
        <v/>
      </c>
      <c r="U195" t="str">
        <f t="shared" si="23"/>
        <v/>
      </c>
    </row>
    <row r="196" spans="1:21">
      <c r="A196" s="73" t="s">
        <v>520</v>
      </c>
      <c r="B196" s="73" t="s">
        <v>196</v>
      </c>
      <c r="C196" s="74">
        <v>72</v>
      </c>
      <c r="D196" s="74"/>
      <c r="E196" s="74">
        <v>9</v>
      </c>
      <c r="F196" s="74"/>
      <c r="G196" s="74">
        <v>26</v>
      </c>
      <c r="H196" s="74"/>
      <c r="I196" s="63">
        <v>35</v>
      </c>
      <c r="J196" t="b">
        <f t="shared" ref="J196:J259" si="24">OR(B196="MTL",B196="OTT",B196="TBL",B196="DET",B196="WSH",B196="NYI",B196="NYR",B196="PIT",B196="STL",B196="MIN",B196="NSH",B196="CHI",B196="VAN",B196="CAL",B196="ANA",B196="WPG")</f>
        <v>1</v>
      </c>
      <c r="K196" t="b">
        <f t="shared" ref="K196:K259" si="25">J196</f>
        <v>1</v>
      </c>
      <c r="M196" t="str">
        <f t="shared" ref="M196:M259" si="26">IF(K196=FALSE,"",A196)</f>
        <v> Johnny Boychuk</v>
      </c>
      <c r="N196" t="str">
        <f t="shared" ref="N196:N259" si="27">IF(M196="","",B196)</f>
        <v>NYI</v>
      </c>
      <c r="O196">
        <f t="shared" ref="O196:O259" si="28">IF(M196="","",I196)</f>
        <v>35</v>
      </c>
      <c r="P196">
        <f>IF(M196="","",VLOOKUP(B196,'Team Stats'!$B$3:$K$18,5,0))</f>
        <v>656</v>
      </c>
      <c r="Q196">
        <f t="shared" ref="Q196:Q259" si="29">IF(N196="","",IF(O196=0,0,O196/P196))</f>
        <v>5.3353658536585365E-2</v>
      </c>
      <c r="R196">
        <f ca="1">IF(M196="","",VLOOKUP(N196,Sim!$EF$46:$EG$61,2,0))</f>
        <v>13.18</v>
      </c>
      <c r="S196">
        <f ca="1">IF(M196="","",VLOOKUP(N196,'Team Stats'!$B$3:$K$18,10,0))</f>
        <v>105.44</v>
      </c>
      <c r="T196" s="84">
        <f t="shared" ref="T196:T259" ca="1" si="30">IF(M196="","",IF(O196=0,0,Q196*S196))</f>
        <v>5.6256097560975604</v>
      </c>
      <c r="U196">
        <f t="shared" ref="U196:U259" ca="1" si="31">IF(M196="","",RANK(T196,$T$3:$T$884,0))</f>
        <v>59</v>
      </c>
    </row>
    <row r="197" spans="1:21">
      <c r="A197" s="73" t="s">
        <v>521</v>
      </c>
      <c r="B197" s="73" t="s">
        <v>212</v>
      </c>
      <c r="C197" s="74">
        <v>82</v>
      </c>
      <c r="D197" s="74"/>
      <c r="E197" s="74">
        <v>11</v>
      </c>
      <c r="F197" s="74"/>
      <c r="G197" s="74">
        <v>24</v>
      </c>
      <c r="H197" s="74"/>
      <c r="I197" s="63">
        <v>35</v>
      </c>
      <c r="J197" t="b">
        <f t="shared" si="24"/>
        <v>1</v>
      </c>
      <c r="K197" t="b">
        <f t="shared" si="25"/>
        <v>1</v>
      </c>
      <c r="M197" t="str">
        <f t="shared" si="26"/>
        <v> Charlie Coyle</v>
      </c>
      <c r="N197" t="str">
        <f t="shared" si="27"/>
        <v>MIN</v>
      </c>
      <c r="O197">
        <f t="shared" si="28"/>
        <v>35</v>
      </c>
      <c r="P197">
        <f>IF(M197="","",VLOOKUP(B197,'Team Stats'!$B$3:$K$18,5,0))</f>
        <v>608</v>
      </c>
      <c r="Q197">
        <f t="shared" si="29"/>
        <v>5.7565789473684209E-2</v>
      </c>
      <c r="R197">
        <f ca="1">IF(M197="","",VLOOKUP(N197,Sim!$EF$46:$EG$61,2,0))</f>
        <v>11.71</v>
      </c>
      <c r="S197">
        <f ca="1">IF(M197="","",VLOOKUP(N197,'Team Stats'!$B$3:$K$18,10,0))</f>
        <v>86.825365853658553</v>
      </c>
      <c r="T197" s="84">
        <f t="shared" ca="1" si="30"/>
        <v>4.9981707317073178</v>
      </c>
      <c r="U197">
        <f t="shared" ca="1" si="31"/>
        <v>75</v>
      </c>
    </row>
    <row r="198" spans="1:21">
      <c r="A198" s="73" t="s">
        <v>522</v>
      </c>
      <c r="B198" s="73" t="s">
        <v>203</v>
      </c>
      <c r="C198" s="74">
        <v>82</v>
      </c>
      <c r="D198" s="74"/>
      <c r="E198" s="74">
        <v>17</v>
      </c>
      <c r="F198" s="74"/>
      <c r="G198" s="74">
        <v>18</v>
      </c>
      <c r="H198" s="74"/>
      <c r="I198" s="63">
        <v>35</v>
      </c>
      <c r="J198" t="b">
        <f t="shared" si="24"/>
        <v>1</v>
      </c>
      <c r="K198" t="b">
        <f t="shared" si="25"/>
        <v>1</v>
      </c>
      <c r="M198" t="str">
        <f t="shared" si="26"/>
        <v> Carl Hagelin</v>
      </c>
      <c r="N198" t="str">
        <f t="shared" si="27"/>
        <v>NYR</v>
      </c>
      <c r="O198">
        <f t="shared" si="28"/>
        <v>35</v>
      </c>
      <c r="P198">
        <f>IF(M198="","",VLOOKUP(B198,'Team Stats'!$B$3:$K$18,5,0))</f>
        <v>659</v>
      </c>
      <c r="Q198">
        <f t="shared" si="29"/>
        <v>5.3110773899848251E-2</v>
      </c>
      <c r="R198">
        <f ca="1">IF(M198="","",VLOOKUP(N198,Sim!$EF$46:$EG$61,2,0))</f>
        <v>8.7200000000000006</v>
      </c>
      <c r="S198">
        <f ca="1">IF(M198="","",VLOOKUP(N198,'Team Stats'!$B$3:$K$18,10,0))</f>
        <v>70.079024390243916</v>
      </c>
      <c r="T198" s="84">
        <f t="shared" ca="1" si="30"/>
        <v>3.7219512195121958</v>
      </c>
      <c r="U198">
        <f t="shared" ca="1" si="31"/>
        <v>108</v>
      </c>
    </row>
    <row r="199" spans="1:21">
      <c r="A199" s="73" t="s">
        <v>523</v>
      </c>
      <c r="B199" s="73" t="s">
        <v>220</v>
      </c>
      <c r="C199" s="74">
        <v>69</v>
      </c>
      <c r="D199" s="74"/>
      <c r="E199" s="74">
        <v>13</v>
      </c>
      <c r="F199" s="74"/>
      <c r="G199" s="74">
        <v>21</v>
      </c>
      <c r="H199" s="74"/>
      <c r="I199" s="63">
        <v>34</v>
      </c>
      <c r="J199" t="b">
        <f t="shared" si="24"/>
        <v>0</v>
      </c>
      <c r="K199" t="b">
        <f t="shared" si="25"/>
        <v>0</v>
      </c>
      <c r="M199" t="str">
        <f t="shared" si="26"/>
        <v/>
      </c>
      <c r="N199" t="str">
        <f t="shared" si="27"/>
        <v/>
      </c>
      <c r="O199" t="str">
        <f t="shared" si="28"/>
        <v/>
      </c>
      <c r="P199" t="str">
        <f>IF(M199="","",VLOOKUP(B199,'Team Stats'!$B$3:$K$18,5,0))</f>
        <v/>
      </c>
      <c r="Q199" t="str">
        <f t="shared" si="29"/>
        <v/>
      </c>
      <c r="R199" t="str">
        <f>IF(M199="","",VLOOKUP(N199,Sim!$EF$46:$EG$61,2,0))</f>
        <v/>
      </c>
      <c r="S199" t="str">
        <f>IF(M199="","",VLOOKUP(N199,'Team Stats'!$B$3:$K$18,10,0))</f>
        <v/>
      </c>
      <c r="T199" s="84" t="str">
        <f t="shared" si="30"/>
        <v/>
      </c>
      <c r="U199" t="str">
        <f t="shared" si="31"/>
        <v/>
      </c>
    </row>
    <row r="200" spans="1:21">
      <c r="A200" s="73" t="s">
        <v>524</v>
      </c>
      <c r="B200" s="73" t="s">
        <v>215</v>
      </c>
      <c r="C200" s="74">
        <v>58</v>
      </c>
      <c r="D200" s="74"/>
      <c r="E200" s="74">
        <v>19</v>
      </c>
      <c r="F200" s="74"/>
      <c r="G200" s="74">
        <v>15</v>
      </c>
      <c r="H200" s="74"/>
      <c r="I200" s="63">
        <v>34</v>
      </c>
      <c r="J200" t="b">
        <f t="shared" si="24"/>
        <v>0</v>
      </c>
      <c r="K200" t="b">
        <f t="shared" si="25"/>
        <v>0</v>
      </c>
      <c r="M200" t="str">
        <f t="shared" si="26"/>
        <v/>
      </c>
      <c r="N200" t="str">
        <f t="shared" si="27"/>
        <v/>
      </c>
      <c r="O200" t="str">
        <f t="shared" si="28"/>
        <v/>
      </c>
      <c r="P200" t="str">
        <f>IF(M200="","",VLOOKUP(B200,'Team Stats'!$B$3:$K$18,5,0))</f>
        <v/>
      </c>
      <c r="Q200" t="str">
        <f t="shared" si="29"/>
        <v/>
      </c>
      <c r="R200" t="str">
        <f>IF(M200="","",VLOOKUP(N200,Sim!$EF$46:$EG$61,2,0))</f>
        <v/>
      </c>
      <c r="S200" t="str">
        <f>IF(M200="","",VLOOKUP(N200,'Team Stats'!$B$3:$K$18,10,0))</f>
        <v/>
      </c>
      <c r="T200" s="84" t="str">
        <f t="shared" si="30"/>
        <v/>
      </c>
      <c r="U200" t="str">
        <f t="shared" si="31"/>
        <v/>
      </c>
    </row>
    <row r="201" spans="1:21">
      <c r="A201" s="73" t="s">
        <v>525</v>
      </c>
      <c r="B201" s="73" t="s">
        <v>202</v>
      </c>
      <c r="C201" s="74">
        <v>61</v>
      </c>
      <c r="D201" s="74"/>
      <c r="E201" s="74">
        <v>14</v>
      </c>
      <c r="F201" s="74"/>
      <c r="G201" s="74">
        <v>20</v>
      </c>
      <c r="H201" s="74"/>
      <c r="I201" s="63">
        <v>34</v>
      </c>
      <c r="J201" t="b">
        <f t="shared" si="24"/>
        <v>1</v>
      </c>
      <c r="K201" t="b">
        <f t="shared" si="25"/>
        <v>1</v>
      </c>
      <c r="M201" t="str">
        <f t="shared" si="26"/>
        <v> Kris Versteeg</v>
      </c>
      <c r="N201" t="str">
        <f t="shared" si="27"/>
        <v>CHI</v>
      </c>
      <c r="O201">
        <f t="shared" si="28"/>
        <v>34</v>
      </c>
      <c r="P201">
        <f>IF(M201="","",VLOOKUP(B201,'Team Stats'!$B$3:$K$18,5,0))</f>
        <v>601</v>
      </c>
      <c r="Q201">
        <f t="shared" si="29"/>
        <v>5.6572379367720464E-2</v>
      </c>
      <c r="R201">
        <f ca="1">IF(M201="","",VLOOKUP(N201,Sim!$EF$46:$EG$61,2,0))</f>
        <v>9.14</v>
      </c>
      <c r="S201">
        <f ca="1">IF(M201="","",VLOOKUP(N201,'Team Stats'!$B$3:$K$18,10,0))</f>
        <v>66.989512195121961</v>
      </c>
      <c r="T201" s="84">
        <f t="shared" ca="1" si="30"/>
        <v>3.7897560975609759</v>
      </c>
      <c r="U201">
        <f t="shared" ca="1" si="31"/>
        <v>107</v>
      </c>
    </row>
    <row r="202" spans="1:21">
      <c r="A202" s="73" t="s">
        <v>526</v>
      </c>
      <c r="B202" s="73" t="s">
        <v>209</v>
      </c>
      <c r="C202" s="74">
        <v>84</v>
      </c>
      <c r="D202" s="74"/>
      <c r="E202" s="74">
        <v>7</v>
      </c>
      <c r="F202" s="74"/>
      <c r="G202" s="74">
        <v>27</v>
      </c>
      <c r="H202" s="74"/>
      <c r="I202" s="63">
        <v>34</v>
      </c>
      <c r="J202" t="b">
        <f t="shared" si="24"/>
        <v>1</v>
      </c>
      <c r="K202" t="b">
        <f t="shared" si="25"/>
        <v>1</v>
      </c>
      <c r="M202" t="str">
        <f t="shared" si="26"/>
        <v> Marek Zidlicky</v>
      </c>
      <c r="N202" t="str">
        <f t="shared" si="27"/>
        <v>DET</v>
      </c>
      <c r="O202">
        <f t="shared" si="28"/>
        <v>34</v>
      </c>
      <c r="P202">
        <f>IF(M202="","",VLOOKUP(B202,'Team Stats'!$B$3:$K$18,5,0))</f>
        <v>630</v>
      </c>
      <c r="Q202">
        <f t="shared" si="29"/>
        <v>5.3968253968253971E-2</v>
      </c>
      <c r="R202">
        <f ca="1">IF(M202="","",VLOOKUP(N202,Sim!$EF$46:$EG$61,2,0))</f>
        <v>10.06</v>
      </c>
      <c r="S202">
        <f ca="1">IF(M202="","",VLOOKUP(N202,'Team Stats'!$B$3:$K$18,10,0))</f>
        <v>77.29024390243903</v>
      </c>
      <c r="T202" s="84">
        <f t="shared" ca="1" si="30"/>
        <v>4.1712195121951225</v>
      </c>
      <c r="U202">
        <f t="shared" ca="1" si="31"/>
        <v>95</v>
      </c>
    </row>
    <row r="203" spans="1:21">
      <c r="A203" s="73" t="s">
        <v>527</v>
      </c>
      <c r="B203" s="73" t="s">
        <v>208</v>
      </c>
      <c r="C203" s="74">
        <v>79</v>
      </c>
      <c r="D203" s="74"/>
      <c r="E203" s="74">
        <v>4</v>
      </c>
      <c r="F203" s="74"/>
      <c r="G203" s="74">
        <v>30</v>
      </c>
      <c r="H203" s="74"/>
      <c r="I203" s="63">
        <v>34</v>
      </c>
      <c r="J203" t="b">
        <f t="shared" si="24"/>
        <v>0</v>
      </c>
      <c r="K203" t="b">
        <f t="shared" si="25"/>
        <v>0</v>
      </c>
      <c r="M203" t="str">
        <f t="shared" si="26"/>
        <v/>
      </c>
      <c r="N203" t="str">
        <f t="shared" si="27"/>
        <v/>
      </c>
      <c r="O203" t="str">
        <f t="shared" si="28"/>
        <v/>
      </c>
      <c r="P203" t="str">
        <f>IF(M203="","",VLOOKUP(B203,'Team Stats'!$B$3:$K$18,5,0))</f>
        <v/>
      </c>
      <c r="Q203" t="str">
        <f t="shared" si="29"/>
        <v/>
      </c>
      <c r="R203" t="str">
        <f>IF(M203="","",VLOOKUP(N203,Sim!$EF$46:$EG$61,2,0))</f>
        <v/>
      </c>
      <c r="S203" t="str">
        <f>IF(M203="","",VLOOKUP(N203,'Team Stats'!$B$3:$K$18,10,0))</f>
        <v/>
      </c>
      <c r="T203" s="84" t="str">
        <f t="shared" si="30"/>
        <v/>
      </c>
      <c r="U203" t="str">
        <f t="shared" si="31"/>
        <v/>
      </c>
    </row>
    <row r="204" spans="1:21">
      <c r="A204" s="73" t="s">
        <v>528</v>
      </c>
      <c r="B204" s="73" t="s">
        <v>220</v>
      </c>
      <c r="C204" s="74">
        <v>58</v>
      </c>
      <c r="D204" s="74"/>
      <c r="E204" s="74">
        <v>7</v>
      </c>
      <c r="F204" s="74"/>
      <c r="G204" s="74">
        <v>27</v>
      </c>
      <c r="H204" s="74"/>
      <c r="I204" s="63">
        <v>34</v>
      </c>
      <c r="J204" t="b">
        <f t="shared" si="24"/>
        <v>0</v>
      </c>
      <c r="K204" t="b">
        <f t="shared" si="25"/>
        <v>0</v>
      </c>
      <c r="M204" t="str">
        <f t="shared" si="26"/>
        <v/>
      </c>
      <c r="N204" t="str">
        <f t="shared" si="27"/>
        <v/>
      </c>
      <c r="O204" t="str">
        <f t="shared" si="28"/>
        <v/>
      </c>
      <c r="P204" t="str">
        <f>IF(M204="","",VLOOKUP(B204,'Team Stats'!$B$3:$K$18,5,0))</f>
        <v/>
      </c>
      <c r="Q204" t="str">
        <f t="shared" si="29"/>
        <v/>
      </c>
      <c r="R204" t="str">
        <f>IF(M204="","",VLOOKUP(N204,Sim!$EF$46:$EG$61,2,0))</f>
        <v/>
      </c>
      <c r="S204" t="str">
        <f>IF(M204="","",VLOOKUP(N204,'Team Stats'!$B$3:$K$18,10,0))</f>
        <v/>
      </c>
      <c r="T204" s="84" t="str">
        <f t="shared" si="30"/>
        <v/>
      </c>
      <c r="U204" t="str">
        <f t="shared" si="31"/>
        <v/>
      </c>
    </row>
    <row r="205" spans="1:21">
      <c r="A205" s="73" t="s">
        <v>529</v>
      </c>
      <c r="B205" s="73" t="s">
        <v>214</v>
      </c>
      <c r="C205" s="74">
        <v>66</v>
      </c>
      <c r="D205" s="74"/>
      <c r="E205" s="74">
        <v>13</v>
      </c>
      <c r="F205" s="74"/>
      <c r="G205" s="74">
        <v>21</v>
      </c>
      <c r="H205" s="74"/>
      <c r="I205" s="63">
        <v>34</v>
      </c>
      <c r="J205" t="b">
        <f t="shared" si="24"/>
        <v>1</v>
      </c>
      <c r="K205" t="b">
        <f t="shared" si="25"/>
        <v>1</v>
      </c>
      <c r="M205" t="str">
        <f t="shared" si="26"/>
        <v> Milan Michalek</v>
      </c>
      <c r="N205" t="str">
        <f t="shared" si="27"/>
        <v>OTT</v>
      </c>
      <c r="O205">
        <f t="shared" si="28"/>
        <v>34</v>
      </c>
      <c r="P205">
        <f>IF(M205="","",VLOOKUP(B205,'Team Stats'!$B$3:$K$18,5,0))</f>
        <v>619</v>
      </c>
      <c r="Q205">
        <f t="shared" si="29"/>
        <v>5.492730210016155E-2</v>
      </c>
      <c r="R205">
        <f ca="1">IF(M205="","",VLOOKUP(N205,Sim!$EF$46:$EG$61,2,0))</f>
        <v>10.71</v>
      </c>
      <c r="S205">
        <f ca="1">IF(M205="","",VLOOKUP(N205,'Team Stats'!$B$3:$K$18,10,0))</f>
        <v>80.847439024390255</v>
      </c>
      <c r="T205" s="84">
        <f t="shared" ca="1" si="30"/>
        <v>4.4407317073170738</v>
      </c>
      <c r="U205">
        <f t="shared" ca="1" si="31"/>
        <v>91</v>
      </c>
    </row>
    <row r="206" spans="1:21">
      <c r="A206" s="73" t="s">
        <v>530</v>
      </c>
      <c r="B206" s="73" t="s">
        <v>205</v>
      </c>
      <c r="C206" s="74">
        <v>78</v>
      </c>
      <c r="D206" s="74"/>
      <c r="E206" s="74">
        <v>7</v>
      </c>
      <c r="F206" s="74"/>
      <c r="G206" s="74">
        <v>27</v>
      </c>
      <c r="H206" s="74"/>
      <c r="I206" s="63">
        <v>34</v>
      </c>
      <c r="J206" t="b">
        <f t="shared" si="24"/>
        <v>1</v>
      </c>
      <c r="K206" t="b">
        <f t="shared" si="25"/>
        <v>1</v>
      </c>
      <c r="M206" t="str">
        <f t="shared" si="26"/>
        <v> Hampus Lindholm</v>
      </c>
      <c r="N206" t="str">
        <f t="shared" si="27"/>
        <v>ANA</v>
      </c>
      <c r="O206">
        <f t="shared" si="28"/>
        <v>34</v>
      </c>
      <c r="P206">
        <f>IF(M206="","",VLOOKUP(B206,'Team Stats'!$B$3:$K$18,5,0))</f>
        <v>613</v>
      </c>
      <c r="Q206">
        <f t="shared" si="29"/>
        <v>5.5464926590538338E-2</v>
      </c>
      <c r="R206">
        <f ca="1">IF(M206="","",VLOOKUP(N206,Sim!$EF$46:$EG$61,2,0))</f>
        <v>14.85</v>
      </c>
      <c r="S206">
        <f ca="1">IF(M206="","",VLOOKUP(N206,'Team Stats'!$B$3:$K$18,10,0))</f>
        <v>111.01280487804878</v>
      </c>
      <c r="T206" s="84">
        <f t="shared" ca="1" si="30"/>
        <v>6.1573170731707325</v>
      </c>
      <c r="U206">
        <f t="shared" ca="1" si="31"/>
        <v>44</v>
      </c>
    </row>
    <row r="207" spans="1:21">
      <c r="A207" s="73" t="s">
        <v>531</v>
      </c>
      <c r="B207" s="73" t="s">
        <v>205</v>
      </c>
      <c r="C207" s="74">
        <v>80</v>
      </c>
      <c r="D207" s="74"/>
      <c r="E207" s="74">
        <v>7</v>
      </c>
      <c r="F207" s="74"/>
      <c r="G207" s="74">
        <v>27</v>
      </c>
      <c r="H207" s="74"/>
      <c r="I207" s="63">
        <v>34</v>
      </c>
      <c r="J207" t="b">
        <f t="shared" si="24"/>
        <v>1</v>
      </c>
      <c r="K207" t="b">
        <f t="shared" si="25"/>
        <v>1</v>
      </c>
      <c r="M207" t="str">
        <f t="shared" si="26"/>
        <v> Cam Fowler</v>
      </c>
      <c r="N207" t="str">
        <f t="shared" si="27"/>
        <v>ANA</v>
      </c>
      <c r="O207">
        <f t="shared" si="28"/>
        <v>34</v>
      </c>
      <c r="P207">
        <f>IF(M207="","",VLOOKUP(B207,'Team Stats'!$B$3:$K$18,5,0))</f>
        <v>613</v>
      </c>
      <c r="Q207">
        <f t="shared" si="29"/>
        <v>5.5464926590538338E-2</v>
      </c>
      <c r="R207">
        <f ca="1">IF(M207="","",VLOOKUP(N207,Sim!$EF$46:$EG$61,2,0))</f>
        <v>14.85</v>
      </c>
      <c r="S207">
        <f ca="1">IF(M207="","",VLOOKUP(N207,'Team Stats'!$B$3:$K$18,10,0))</f>
        <v>111.01280487804878</v>
      </c>
      <c r="T207" s="84">
        <f t="shared" ca="1" si="30"/>
        <v>6.1573170731707325</v>
      </c>
      <c r="U207">
        <f t="shared" ca="1" si="31"/>
        <v>44</v>
      </c>
    </row>
    <row r="208" spans="1:21">
      <c r="A208" s="73" t="s">
        <v>532</v>
      </c>
      <c r="B208" s="73" t="s">
        <v>205</v>
      </c>
      <c r="C208" s="74">
        <v>69</v>
      </c>
      <c r="D208" s="74"/>
      <c r="E208" s="74">
        <v>8</v>
      </c>
      <c r="F208" s="74"/>
      <c r="G208" s="74">
        <v>26</v>
      </c>
      <c r="H208" s="74"/>
      <c r="I208" s="63">
        <v>34</v>
      </c>
      <c r="J208" t="b">
        <f t="shared" si="24"/>
        <v>1</v>
      </c>
      <c r="K208" t="b">
        <f t="shared" si="25"/>
        <v>1</v>
      </c>
      <c r="M208" t="str">
        <f t="shared" si="26"/>
        <v> James Wisniewski</v>
      </c>
      <c r="N208" t="str">
        <f t="shared" si="27"/>
        <v>ANA</v>
      </c>
      <c r="O208">
        <f t="shared" si="28"/>
        <v>34</v>
      </c>
      <c r="P208">
        <f>IF(M208="","",VLOOKUP(B208,'Team Stats'!$B$3:$K$18,5,0))</f>
        <v>613</v>
      </c>
      <c r="Q208">
        <f t="shared" si="29"/>
        <v>5.5464926590538338E-2</v>
      </c>
      <c r="R208">
        <f ca="1">IF(M208="","",VLOOKUP(N208,Sim!$EF$46:$EG$61,2,0))</f>
        <v>14.85</v>
      </c>
      <c r="S208">
        <f ca="1">IF(M208="","",VLOOKUP(N208,'Team Stats'!$B$3:$K$18,10,0))</f>
        <v>111.01280487804878</v>
      </c>
      <c r="T208" s="84">
        <f t="shared" ca="1" si="30"/>
        <v>6.1573170731707325</v>
      </c>
      <c r="U208">
        <f t="shared" ca="1" si="31"/>
        <v>44</v>
      </c>
    </row>
    <row r="209" spans="1:21">
      <c r="A209" s="73" t="s">
        <v>533</v>
      </c>
      <c r="B209" s="73" t="s">
        <v>198</v>
      </c>
      <c r="C209" s="74">
        <v>79</v>
      </c>
      <c r="D209" s="74"/>
      <c r="E209" s="74">
        <v>9</v>
      </c>
      <c r="F209" s="74"/>
      <c r="G209" s="74">
        <v>25</v>
      </c>
      <c r="H209" s="74"/>
      <c r="I209" s="63">
        <v>34</v>
      </c>
      <c r="J209" t="b">
        <f t="shared" si="24"/>
        <v>1</v>
      </c>
      <c r="K209" t="b">
        <f t="shared" si="25"/>
        <v>1</v>
      </c>
      <c r="M209" t="str">
        <f t="shared" si="26"/>
        <v> Daniel Winnik</v>
      </c>
      <c r="N209" t="str">
        <f t="shared" si="27"/>
        <v>PIT</v>
      </c>
      <c r="O209">
        <f t="shared" si="28"/>
        <v>34</v>
      </c>
      <c r="P209">
        <f>IF(M209="","",VLOOKUP(B209,'Team Stats'!$B$3:$K$18,5,0))</f>
        <v>600</v>
      </c>
      <c r="Q209">
        <f t="shared" si="29"/>
        <v>5.6666666666666664E-2</v>
      </c>
      <c r="R209">
        <f ca="1">IF(M209="","",VLOOKUP(N209,Sim!$EF$46:$EG$61,2,0))</f>
        <v>9.74</v>
      </c>
      <c r="S209">
        <f ca="1">IF(M209="","",VLOOKUP(N209,'Team Stats'!$B$3:$K$18,10,0))</f>
        <v>71.268292682926827</v>
      </c>
      <c r="T209" s="84">
        <f t="shared" ca="1" si="30"/>
        <v>4.0385365853658532</v>
      </c>
      <c r="U209">
        <f t="shared" ca="1" si="31"/>
        <v>103</v>
      </c>
    </row>
    <row r="210" spans="1:21">
      <c r="A210" s="73" t="s">
        <v>534</v>
      </c>
      <c r="B210" s="73" t="s">
        <v>208</v>
      </c>
      <c r="C210" s="74">
        <v>78</v>
      </c>
      <c r="D210" s="74"/>
      <c r="E210" s="74">
        <v>16</v>
      </c>
      <c r="F210" s="74"/>
      <c r="G210" s="74">
        <v>18</v>
      </c>
      <c r="H210" s="74"/>
      <c r="I210" s="63">
        <v>34</v>
      </c>
      <c r="J210" t="b">
        <f t="shared" si="24"/>
        <v>0</v>
      </c>
      <c r="K210" t="b">
        <f t="shared" si="25"/>
        <v>0</v>
      </c>
      <c r="M210" t="str">
        <f t="shared" si="26"/>
        <v/>
      </c>
      <c r="N210" t="str">
        <f t="shared" si="27"/>
        <v/>
      </c>
      <c r="O210" t="str">
        <f t="shared" si="28"/>
        <v/>
      </c>
      <c r="P210" t="str">
        <f>IF(M210="","",VLOOKUP(B210,'Team Stats'!$B$3:$K$18,5,0))</f>
        <v/>
      </c>
      <c r="Q210" t="str">
        <f t="shared" si="29"/>
        <v/>
      </c>
      <c r="R210" t="str">
        <f>IF(M210="","",VLOOKUP(N210,Sim!$EF$46:$EG$61,2,0))</f>
        <v/>
      </c>
      <c r="S210" t="str">
        <f>IF(M210="","",VLOOKUP(N210,'Team Stats'!$B$3:$K$18,10,0))</f>
        <v/>
      </c>
      <c r="T210" s="84" t="str">
        <f t="shared" si="30"/>
        <v/>
      </c>
      <c r="U210" t="str">
        <f t="shared" si="31"/>
        <v/>
      </c>
    </row>
    <row r="211" spans="1:21">
      <c r="A211" s="73" t="s">
        <v>535</v>
      </c>
      <c r="B211" s="73" t="s">
        <v>205</v>
      </c>
      <c r="C211" s="74">
        <v>71</v>
      </c>
      <c r="D211" s="74"/>
      <c r="E211" s="74">
        <v>9</v>
      </c>
      <c r="F211" s="74"/>
      <c r="G211" s="74">
        <v>25</v>
      </c>
      <c r="H211" s="74"/>
      <c r="I211" s="63">
        <v>34</v>
      </c>
      <c r="J211" t="b">
        <f t="shared" si="24"/>
        <v>1</v>
      </c>
      <c r="K211" t="b">
        <f t="shared" si="25"/>
        <v>1</v>
      </c>
      <c r="M211" t="str">
        <f t="shared" si="26"/>
        <v> Patrick Maroon</v>
      </c>
      <c r="N211" t="str">
        <f t="shared" si="27"/>
        <v>ANA</v>
      </c>
      <c r="O211">
        <f t="shared" si="28"/>
        <v>34</v>
      </c>
      <c r="P211">
        <f>IF(M211="","",VLOOKUP(B211,'Team Stats'!$B$3:$K$18,5,0))</f>
        <v>613</v>
      </c>
      <c r="Q211">
        <f t="shared" si="29"/>
        <v>5.5464926590538338E-2</v>
      </c>
      <c r="R211">
        <f ca="1">IF(M211="","",VLOOKUP(N211,Sim!$EF$46:$EG$61,2,0))</f>
        <v>14.85</v>
      </c>
      <c r="S211">
        <f ca="1">IF(M211="","",VLOOKUP(N211,'Team Stats'!$B$3:$K$18,10,0))</f>
        <v>111.01280487804878</v>
      </c>
      <c r="T211" s="84">
        <f t="shared" ca="1" si="30"/>
        <v>6.1573170731707325</v>
      </c>
      <c r="U211">
        <f t="shared" ca="1" si="31"/>
        <v>44</v>
      </c>
    </row>
    <row r="212" spans="1:21">
      <c r="A212" s="73" t="s">
        <v>536</v>
      </c>
      <c r="B212" s="73" t="s">
        <v>325</v>
      </c>
      <c r="C212" s="74">
        <v>82</v>
      </c>
      <c r="D212" s="74"/>
      <c r="E212" s="74">
        <v>19</v>
      </c>
      <c r="F212" s="74"/>
      <c r="G212" s="74">
        <v>15</v>
      </c>
      <c r="H212" s="74"/>
      <c r="I212" s="63">
        <v>34</v>
      </c>
      <c r="J212" t="b">
        <f t="shared" si="24"/>
        <v>0</v>
      </c>
      <c r="K212" t="b">
        <f t="shared" si="25"/>
        <v>0</v>
      </c>
      <c r="M212" t="str">
        <f t="shared" si="26"/>
        <v/>
      </c>
      <c r="N212" t="str">
        <f t="shared" si="27"/>
        <v/>
      </c>
      <c r="O212" t="str">
        <f t="shared" si="28"/>
        <v/>
      </c>
      <c r="P212" t="str">
        <f>IF(M212="","",VLOOKUP(B212,'Team Stats'!$B$3:$K$18,5,0))</f>
        <v/>
      </c>
      <c r="Q212" t="str">
        <f t="shared" si="29"/>
        <v/>
      </c>
      <c r="R212" t="str">
        <f>IF(M212="","",VLOOKUP(N212,Sim!$EF$46:$EG$61,2,0))</f>
        <v/>
      </c>
      <c r="S212" t="str">
        <f>IF(M212="","",VLOOKUP(N212,'Team Stats'!$B$3:$K$18,10,0))</f>
        <v/>
      </c>
      <c r="T212" s="84" t="str">
        <f t="shared" si="30"/>
        <v/>
      </c>
      <c r="U212" t="str">
        <f t="shared" si="31"/>
        <v/>
      </c>
    </row>
    <row r="213" spans="1:21">
      <c r="A213" s="73" t="s">
        <v>537</v>
      </c>
      <c r="B213" s="73" t="s">
        <v>215</v>
      </c>
      <c r="C213" s="74">
        <v>82</v>
      </c>
      <c r="D213" s="74"/>
      <c r="E213" s="74">
        <v>12</v>
      </c>
      <c r="F213" s="74"/>
      <c r="G213" s="74">
        <v>22</v>
      </c>
      <c r="H213" s="74"/>
      <c r="I213" s="63">
        <v>34</v>
      </c>
      <c r="J213" t="b">
        <f t="shared" si="24"/>
        <v>0</v>
      </c>
      <c r="K213" t="b">
        <f t="shared" si="25"/>
        <v>0</v>
      </c>
      <c r="M213" t="str">
        <f t="shared" si="26"/>
        <v/>
      </c>
      <c r="N213" t="str">
        <f t="shared" si="27"/>
        <v/>
      </c>
      <c r="O213" t="str">
        <f t="shared" si="28"/>
        <v/>
      </c>
      <c r="P213" t="str">
        <f>IF(M213="","",VLOOKUP(B213,'Team Stats'!$B$3:$K$18,5,0))</f>
        <v/>
      </c>
      <c r="Q213" t="str">
        <f t="shared" si="29"/>
        <v/>
      </c>
      <c r="R213" t="str">
        <f>IF(M213="","",VLOOKUP(N213,Sim!$EF$46:$EG$61,2,0))</f>
        <v/>
      </c>
      <c r="S213" t="str">
        <f>IF(M213="","",VLOOKUP(N213,'Team Stats'!$B$3:$K$18,10,0))</f>
        <v/>
      </c>
      <c r="T213" s="84" t="str">
        <f t="shared" si="30"/>
        <v/>
      </c>
      <c r="U213" t="str">
        <f t="shared" si="31"/>
        <v/>
      </c>
    </row>
    <row r="214" spans="1:21">
      <c r="A214" s="73" t="s">
        <v>538</v>
      </c>
      <c r="B214" s="73" t="s">
        <v>209</v>
      </c>
      <c r="C214" s="74">
        <v>75</v>
      </c>
      <c r="D214" s="74"/>
      <c r="E214" s="74">
        <v>15</v>
      </c>
      <c r="F214" s="74"/>
      <c r="G214" s="74">
        <v>18</v>
      </c>
      <c r="H214" s="74"/>
      <c r="I214" s="63">
        <v>33</v>
      </c>
      <c r="J214" t="b">
        <f t="shared" si="24"/>
        <v>1</v>
      </c>
      <c r="K214" t="b">
        <f t="shared" si="25"/>
        <v>1</v>
      </c>
      <c r="M214" t="str">
        <f t="shared" si="26"/>
        <v> Darren Helm</v>
      </c>
      <c r="N214" t="str">
        <f t="shared" si="27"/>
        <v>DET</v>
      </c>
      <c r="O214">
        <f t="shared" si="28"/>
        <v>33</v>
      </c>
      <c r="P214">
        <f>IF(M214="","",VLOOKUP(B214,'Team Stats'!$B$3:$K$18,5,0))</f>
        <v>630</v>
      </c>
      <c r="Q214">
        <f t="shared" si="29"/>
        <v>5.2380952380952382E-2</v>
      </c>
      <c r="R214">
        <f ca="1">IF(M214="","",VLOOKUP(N214,Sim!$EF$46:$EG$61,2,0))</f>
        <v>10.06</v>
      </c>
      <c r="S214">
        <f ca="1">IF(M214="","",VLOOKUP(N214,'Team Stats'!$B$3:$K$18,10,0))</f>
        <v>77.29024390243903</v>
      </c>
      <c r="T214" s="84">
        <f t="shared" ca="1" si="30"/>
        <v>4.0485365853658539</v>
      </c>
      <c r="U214">
        <f t="shared" ca="1" si="31"/>
        <v>102</v>
      </c>
    </row>
    <row r="215" spans="1:21">
      <c r="A215" s="73" t="s">
        <v>539</v>
      </c>
      <c r="B215" s="73" t="s">
        <v>198</v>
      </c>
      <c r="C215" s="74">
        <v>80</v>
      </c>
      <c r="D215" s="74"/>
      <c r="E215" s="74">
        <v>21</v>
      </c>
      <c r="F215" s="74"/>
      <c r="G215" s="74">
        <v>12</v>
      </c>
      <c r="H215" s="74"/>
      <c r="I215" s="63">
        <v>33</v>
      </c>
      <c r="J215" t="b">
        <f t="shared" si="24"/>
        <v>1</v>
      </c>
      <c r="K215" t="b">
        <f t="shared" si="25"/>
        <v>1</v>
      </c>
      <c r="M215" t="str">
        <f t="shared" si="26"/>
        <v> Brandon Sutter</v>
      </c>
      <c r="N215" t="str">
        <f t="shared" si="27"/>
        <v>PIT</v>
      </c>
      <c r="O215">
        <f t="shared" si="28"/>
        <v>33</v>
      </c>
      <c r="P215">
        <f>IF(M215="","",VLOOKUP(B215,'Team Stats'!$B$3:$K$18,5,0))</f>
        <v>600</v>
      </c>
      <c r="Q215">
        <f t="shared" si="29"/>
        <v>5.5E-2</v>
      </c>
      <c r="R215">
        <f ca="1">IF(M215="","",VLOOKUP(N215,Sim!$EF$46:$EG$61,2,0))</f>
        <v>9.74</v>
      </c>
      <c r="S215">
        <f ca="1">IF(M215="","",VLOOKUP(N215,'Team Stats'!$B$3:$K$18,10,0))</f>
        <v>71.268292682926827</v>
      </c>
      <c r="T215" s="84">
        <f t="shared" ca="1" si="30"/>
        <v>3.9197560975609753</v>
      </c>
      <c r="U215">
        <f t="shared" ca="1" si="31"/>
        <v>104</v>
      </c>
    </row>
    <row r="216" spans="1:21">
      <c r="A216" s="73" t="s">
        <v>540</v>
      </c>
      <c r="B216" s="73" t="s">
        <v>196</v>
      </c>
      <c r="C216" s="74">
        <v>71</v>
      </c>
      <c r="D216" s="74"/>
      <c r="E216" s="74">
        <v>5</v>
      </c>
      <c r="F216" s="74"/>
      <c r="G216" s="74">
        <v>28</v>
      </c>
      <c r="H216" s="74"/>
      <c r="I216" s="63">
        <v>33</v>
      </c>
      <c r="J216" t="b">
        <f t="shared" si="24"/>
        <v>1</v>
      </c>
      <c r="K216" t="b">
        <f t="shared" si="25"/>
        <v>1</v>
      </c>
      <c r="M216" t="str">
        <f t="shared" si="26"/>
        <v> Travis Hamonic</v>
      </c>
      <c r="N216" t="str">
        <f t="shared" si="27"/>
        <v>NYI</v>
      </c>
      <c r="O216">
        <f t="shared" si="28"/>
        <v>33</v>
      </c>
      <c r="P216">
        <f>IF(M216="","",VLOOKUP(B216,'Team Stats'!$B$3:$K$18,5,0))</f>
        <v>656</v>
      </c>
      <c r="Q216">
        <f t="shared" si="29"/>
        <v>5.0304878048780491E-2</v>
      </c>
      <c r="R216">
        <f ca="1">IF(M216="","",VLOOKUP(N216,Sim!$EF$46:$EG$61,2,0))</f>
        <v>13.18</v>
      </c>
      <c r="S216">
        <f ca="1">IF(M216="","",VLOOKUP(N216,'Team Stats'!$B$3:$K$18,10,0))</f>
        <v>105.44</v>
      </c>
      <c r="T216" s="84">
        <f t="shared" ca="1" si="30"/>
        <v>5.3041463414634151</v>
      </c>
      <c r="U216">
        <f t="shared" ca="1" si="31"/>
        <v>68</v>
      </c>
    </row>
    <row r="217" spans="1:21">
      <c r="A217" s="73" t="s">
        <v>541</v>
      </c>
      <c r="B217" s="73" t="s">
        <v>325</v>
      </c>
      <c r="C217" s="74">
        <v>75</v>
      </c>
      <c r="D217" s="74"/>
      <c r="E217" s="74">
        <v>19</v>
      </c>
      <c r="F217" s="74"/>
      <c r="G217" s="74">
        <v>14</v>
      </c>
      <c r="H217" s="74"/>
      <c r="I217" s="63">
        <v>33</v>
      </c>
      <c r="J217" t="b">
        <f t="shared" si="24"/>
        <v>0</v>
      </c>
      <c r="K217" t="b">
        <f t="shared" si="25"/>
        <v>0</v>
      </c>
      <c r="M217" t="str">
        <f t="shared" si="26"/>
        <v/>
      </c>
      <c r="N217" t="str">
        <f t="shared" si="27"/>
        <v/>
      </c>
      <c r="O217" t="str">
        <f t="shared" si="28"/>
        <v/>
      </c>
      <c r="P217" t="str">
        <f>IF(M217="","",VLOOKUP(B217,'Team Stats'!$B$3:$K$18,5,0))</f>
        <v/>
      </c>
      <c r="Q217" t="str">
        <f t="shared" si="29"/>
        <v/>
      </c>
      <c r="R217" t="str">
        <f>IF(M217="","",VLOOKUP(N217,Sim!$EF$46:$EG$61,2,0))</f>
        <v/>
      </c>
      <c r="S217" t="str">
        <f>IF(M217="","",VLOOKUP(N217,'Team Stats'!$B$3:$K$18,10,0))</f>
        <v/>
      </c>
      <c r="T217" s="84" t="str">
        <f t="shared" si="30"/>
        <v/>
      </c>
      <c r="U217" t="str">
        <f t="shared" si="31"/>
        <v/>
      </c>
    </row>
    <row r="218" spans="1:21">
      <c r="A218" s="73" t="s">
        <v>542</v>
      </c>
      <c r="B218" s="73" t="s">
        <v>206</v>
      </c>
      <c r="C218" s="74">
        <v>70</v>
      </c>
      <c r="D218" s="74"/>
      <c r="E218" s="74">
        <v>18</v>
      </c>
      <c r="F218" s="74"/>
      <c r="G218" s="74">
        <v>15</v>
      </c>
      <c r="H218" s="74"/>
      <c r="I218" s="63">
        <v>33</v>
      </c>
      <c r="J218" t="b">
        <f t="shared" si="24"/>
        <v>1</v>
      </c>
      <c r="K218" t="b">
        <f t="shared" si="25"/>
        <v>1</v>
      </c>
      <c r="M218" t="str">
        <f t="shared" si="26"/>
        <v> Alexandre Burrows</v>
      </c>
      <c r="N218" t="str">
        <f t="shared" si="27"/>
        <v>VAN</v>
      </c>
      <c r="O218">
        <f t="shared" si="28"/>
        <v>33</v>
      </c>
      <c r="P218">
        <f>IF(M218="","",VLOOKUP(B218,'Team Stats'!$B$3:$K$18,5,0))</f>
        <v>642</v>
      </c>
      <c r="Q218">
        <f t="shared" si="29"/>
        <v>5.1401869158878503E-2</v>
      </c>
      <c r="R218">
        <f ca="1">IF(M218="","",VLOOKUP(N218,Sim!$EF$46:$EG$61,2,0))</f>
        <v>10.35</v>
      </c>
      <c r="S218">
        <f ca="1">IF(M218="","",VLOOKUP(N218,'Team Stats'!$B$3:$K$18,10,0))</f>
        <v>81.032926829268291</v>
      </c>
      <c r="T218" s="84">
        <f t="shared" ca="1" si="30"/>
        <v>4.1652439024390242</v>
      </c>
      <c r="U218">
        <f t="shared" ca="1" si="31"/>
        <v>96</v>
      </c>
    </row>
    <row r="219" spans="1:21">
      <c r="A219" s="73" t="s">
        <v>543</v>
      </c>
      <c r="B219" s="73" t="s">
        <v>365</v>
      </c>
      <c r="C219" s="74">
        <v>79</v>
      </c>
      <c r="D219" s="74"/>
      <c r="E219" s="74">
        <v>12</v>
      </c>
      <c r="F219" s="74"/>
      <c r="G219" s="74">
        <v>21</v>
      </c>
      <c r="H219" s="74"/>
      <c r="I219" s="63">
        <v>33</v>
      </c>
      <c r="J219" t="b">
        <f t="shared" si="24"/>
        <v>0</v>
      </c>
      <c r="K219" t="b">
        <f t="shared" si="25"/>
        <v>0</v>
      </c>
      <c r="M219" t="str">
        <f t="shared" si="26"/>
        <v/>
      </c>
      <c r="N219" t="str">
        <f t="shared" si="27"/>
        <v/>
      </c>
      <c r="O219" t="str">
        <f t="shared" si="28"/>
        <v/>
      </c>
      <c r="P219" t="str">
        <f>IF(M219="","",VLOOKUP(B219,'Team Stats'!$B$3:$K$18,5,0))</f>
        <v/>
      </c>
      <c r="Q219" t="str">
        <f t="shared" si="29"/>
        <v/>
      </c>
      <c r="R219" t="str">
        <f>IF(M219="","",VLOOKUP(N219,Sim!$EF$46:$EG$61,2,0))</f>
        <v/>
      </c>
      <c r="S219" t="str">
        <f>IF(M219="","",VLOOKUP(N219,'Team Stats'!$B$3:$K$18,10,0))</f>
        <v/>
      </c>
      <c r="T219" s="84" t="str">
        <f t="shared" si="30"/>
        <v/>
      </c>
      <c r="U219" t="str">
        <f t="shared" si="31"/>
        <v/>
      </c>
    </row>
    <row r="220" spans="1:21">
      <c r="A220" s="73" t="s">
        <v>544</v>
      </c>
      <c r="B220" s="73" t="s">
        <v>218</v>
      </c>
      <c r="C220" s="74">
        <v>80</v>
      </c>
      <c r="D220" s="74"/>
      <c r="E220" s="74">
        <v>11</v>
      </c>
      <c r="F220" s="74"/>
      <c r="G220" s="74">
        <v>22</v>
      </c>
      <c r="H220" s="74"/>
      <c r="I220" s="63">
        <v>33</v>
      </c>
      <c r="J220" t="b">
        <f t="shared" si="24"/>
        <v>0</v>
      </c>
      <c r="K220" t="b">
        <f t="shared" si="25"/>
        <v>0</v>
      </c>
      <c r="M220" t="str">
        <f t="shared" si="26"/>
        <v/>
      </c>
      <c r="N220" t="str">
        <f t="shared" si="27"/>
        <v/>
      </c>
      <c r="O220" t="str">
        <f t="shared" si="28"/>
        <v/>
      </c>
      <c r="P220" t="str">
        <f>IF(M220="","",VLOOKUP(B220,'Team Stats'!$B$3:$K$18,5,0))</f>
        <v/>
      </c>
      <c r="Q220" t="str">
        <f t="shared" si="29"/>
        <v/>
      </c>
      <c r="R220" t="str">
        <f>IF(M220="","",VLOOKUP(N220,Sim!$EF$46:$EG$61,2,0))</f>
        <v/>
      </c>
      <c r="S220" t="str">
        <f>IF(M220="","",VLOOKUP(N220,'Team Stats'!$B$3:$K$18,10,0))</f>
        <v/>
      </c>
      <c r="T220" s="84" t="str">
        <f t="shared" si="30"/>
        <v/>
      </c>
      <c r="U220" t="str">
        <f t="shared" si="31"/>
        <v/>
      </c>
    </row>
    <row r="221" spans="1:21">
      <c r="A221" s="73" t="s">
        <v>545</v>
      </c>
      <c r="B221" s="73" t="s">
        <v>215</v>
      </c>
      <c r="C221" s="74">
        <v>81</v>
      </c>
      <c r="D221" s="74"/>
      <c r="E221" s="74">
        <v>14</v>
      </c>
      <c r="F221" s="74"/>
      <c r="G221" s="74">
        <v>19</v>
      </c>
      <c r="H221" s="74"/>
      <c r="I221" s="63">
        <v>33</v>
      </c>
      <c r="J221" t="b">
        <f t="shared" si="24"/>
        <v>0</v>
      </c>
      <c r="K221" t="b">
        <f t="shared" si="25"/>
        <v>0</v>
      </c>
      <c r="M221" t="str">
        <f t="shared" si="26"/>
        <v/>
      </c>
      <c r="N221" t="str">
        <f t="shared" si="27"/>
        <v/>
      </c>
      <c r="O221" t="str">
        <f t="shared" si="28"/>
        <v/>
      </c>
      <c r="P221" t="str">
        <f>IF(M221="","",VLOOKUP(B221,'Team Stats'!$B$3:$K$18,5,0))</f>
        <v/>
      </c>
      <c r="Q221" t="str">
        <f t="shared" si="29"/>
        <v/>
      </c>
      <c r="R221" t="str">
        <f>IF(M221="","",VLOOKUP(N221,Sim!$EF$46:$EG$61,2,0))</f>
        <v/>
      </c>
      <c r="S221" t="str">
        <f>IF(M221="","",VLOOKUP(N221,'Team Stats'!$B$3:$K$18,10,0))</f>
        <v/>
      </c>
      <c r="T221" s="84" t="str">
        <f t="shared" si="30"/>
        <v/>
      </c>
      <c r="U221" t="str">
        <f t="shared" si="31"/>
        <v/>
      </c>
    </row>
    <row r="222" spans="1:21">
      <c r="A222" s="73" t="s">
        <v>546</v>
      </c>
      <c r="B222" s="73" t="s">
        <v>203</v>
      </c>
      <c r="C222" s="74">
        <v>71</v>
      </c>
      <c r="D222" s="74"/>
      <c r="E222" s="74">
        <v>8</v>
      </c>
      <c r="F222" s="74"/>
      <c r="G222" s="74">
        <v>25</v>
      </c>
      <c r="H222" s="74"/>
      <c r="I222" s="63">
        <v>33</v>
      </c>
      <c r="J222" t="b">
        <f t="shared" si="24"/>
        <v>1</v>
      </c>
      <c r="K222" t="b">
        <f t="shared" si="25"/>
        <v>1</v>
      </c>
      <c r="M222" t="str">
        <f t="shared" si="26"/>
        <v> Ryan McDonagh</v>
      </c>
      <c r="N222" t="str">
        <f t="shared" si="27"/>
        <v>NYR</v>
      </c>
      <c r="O222">
        <f t="shared" si="28"/>
        <v>33</v>
      </c>
      <c r="P222">
        <f>IF(M222="","",VLOOKUP(B222,'Team Stats'!$B$3:$K$18,5,0))</f>
        <v>659</v>
      </c>
      <c r="Q222">
        <f t="shared" si="29"/>
        <v>5.007587253414264E-2</v>
      </c>
      <c r="R222">
        <f ca="1">IF(M222="","",VLOOKUP(N222,Sim!$EF$46:$EG$61,2,0))</f>
        <v>8.7200000000000006</v>
      </c>
      <c r="S222">
        <f ca="1">IF(M222="","",VLOOKUP(N222,'Team Stats'!$B$3:$K$18,10,0))</f>
        <v>70.079024390243916</v>
      </c>
      <c r="T222" s="84">
        <f t="shared" ca="1" si="30"/>
        <v>3.5092682926829273</v>
      </c>
      <c r="U222">
        <f t="shared" ca="1" si="31"/>
        <v>115</v>
      </c>
    </row>
    <row r="223" spans="1:21">
      <c r="A223" s="73" t="s">
        <v>547</v>
      </c>
      <c r="B223" s="73" t="s">
        <v>206</v>
      </c>
      <c r="C223" s="74">
        <v>81</v>
      </c>
      <c r="D223" s="74"/>
      <c r="E223" s="74">
        <v>16</v>
      </c>
      <c r="F223" s="74"/>
      <c r="G223" s="74">
        <v>17</v>
      </c>
      <c r="H223" s="74"/>
      <c r="I223" s="63">
        <v>33</v>
      </c>
      <c r="J223" t="b">
        <f t="shared" si="24"/>
        <v>1</v>
      </c>
      <c r="K223" t="b">
        <f t="shared" si="25"/>
        <v>1</v>
      </c>
      <c r="M223" t="str">
        <f t="shared" si="26"/>
        <v> Jannik Hansen</v>
      </c>
      <c r="N223" t="str">
        <f t="shared" si="27"/>
        <v>VAN</v>
      </c>
      <c r="O223">
        <f t="shared" si="28"/>
        <v>33</v>
      </c>
      <c r="P223">
        <f>IF(M223="","",VLOOKUP(B223,'Team Stats'!$B$3:$K$18,5,0))</f>
        <v>642</v>
      </c>
      <c r="Q223">
        <f t="shared" si="29"/>
        <v>5.1401869158878503E-2</v>
      </c>
      <c r="R223">
        <f ca="1">IF(M223="","",VLOOKUP(N223,Sim!$EF$46:$EG$61,2,0))</f>
        <v>10.35</v>
      </c>
      <c r="S223">
        <f ca="1">IF(M223="","",VLOOKUP(N223,'Team Stats'!$B$3:$K$18,10,0))</f>
        <v>81.032926829268291</v>
      </c>
      <c r="T223" s="84">
        <f t="shared" ca="1" si="30"/>
        <v>4.1652439024390242</v>
      </c>
      <c r="U223">
        <f t="shared" ca="1" si="31"/>
        <v>96</v>
      </c>
    </row>
    <row r="224" spans="1:21">
      <c r="A224" s="73" t="s">
        <v>548</v>
      </c>
      <c r="B224" s="73" t="s">
        <v>199</v>
      </c>
      <c r="C224" s="74">
        <v>64</v>
      </c>
      <c r="D224" s="74"/>
      <c r="E224" s="74">
        <v>10</v>
      </c>
      <c r="F224" s="74"/>
      <c r="G224" s="74">
        <v>22</v>
      </c>
      <c r="H224" s="74"/>
      <c r="I224" s="63">
        <v>32</v>
      </c>
      <c r="J224" t="b">
        <f t="shared" si="24"/>
        <v>0</v>
      </c>
      <c r="K224" t="b">
        <f t="shared" si="25"/>
        <v>0</v>
      </c>
      <c r="M224" t="str">
        <f t="shared" si="26"/>
        <v/>
      </c>
      <c r="N224" t="str">
        <f t="shared" si="27"/>
        <v/>
      </c>
      <c r="O224" t="str">
        <f t="shared" si="28"/>
        <v/>
      </c>
      <c r="P224" t="str">
        <f>IF(M224="","",VLOOKUP(B224,'Team Stats'!$B$3:$K$18,5,0))</f>
        <v/>
      </c>
      <c r="Q224" t="str">
        <f t="shared" si="29"/>
        <v/>
      </c>
      <c r="R224" t="str">
        <f>IF(M224="","",VLOOKUP(N224,Sim!$EF$46:$EG$61,2,0))</f>
        <v/>
      </c>
      <c r="S224" t="str">
        <f>IF(M224="","",VLOOKUP(N224,'Team Stats'!$B$3:$K$18,10,0))</f>
        <v/>
      </c>
      <c r="T224" s="84" t="str">
        <f t="shared" si="30"/>
        <v/>
      </c>
      <c r="U224" t="str">
        <f t="shared" si="31"/>
        <v/>
      </c>
    </row>
    <row r="225" spans="1:21">
      <c r="A225" s="73" t="s">
        <v>549</v>
      </c>
      <c r="B225" s="73" t="s">
        <v>336</v>
      </c>
      <c r="C225" s="74">
        <v>70</v>
      </c>
      <c r="D225" s="74"/>
      <c r="E225" s="74">
        <v>4</v>
      </c>
      <c r="F225" s="74"/>
      <c r="G225" s="74">
        <v>28</v>
      </c>
      <c r="H225" s="74"/>
      <c r="I225" s="63">
        <v>32</v>
      </c>
      <c r="J225" t="b">
        <f t="shared" si="24"/>
        <v>0</v>
      </c>
      <c r="K225" t="b">
        <f t="shared" si="25"/>
        <v>0</v>
      </c>
      <c r="M225" t="str">
        <f t="shared" si="26"/>
        <v/>
      </c>
      <c r="N225" t="str">
        <f t="shared" si="27"/>
        <v/>
      </c>
      <c r="O225" t="str">
        <f t="shared" si="28"/>
        <v/>
      </c>
      <c r="P225" t="str">
        <f>IF(M225="","",VLOOKUP(B225,'Team Stats'!$B$3:$K$18,5,0))</f>
        <v/>
      </c>
      <c r="Q225" t="str">
        <f t="shared" si="29"/>
        <v/>
      </c>
      <c r="R225" t="str">
        <f>IF(M225="","",VLOOKUP(N225,Sim!$EF$46:$EG$61,2,0))</f>
        <v/>
      </c>
      <c r="S225" t="str">
        <f>IF(M225="","",VLOOKUP(N225,'Team Stats'!$B$3:$K$18,10,0))</f>
        <v/>
      </c>
      <c r="T225" s="84" t="str">
        <f t="shared" si="30"/>
        <v/>
      </c>
      <c r="U225" t="str">
        <f t="shared" si="31"/>
        <v/>
      </c>
    </row>
    <row r="226" spans="1:21">
      <c r="A226" s="73" t="s">
        <v>550</v>
      </c>
      <c r="B226" s="73" t="s">
        <v>220</v>
      </c>
      <c r="C226" s="74">
        <v>67</v>
      </c>
      <c r="D226" s="74"/>
      <c r="E226" s="74">
        <v>16</v>
      </c>
      <c r="F226" s="74"/>
      <c r="G226" s="74">
        <v>16</v>
      </c>
      <c r="H226" s="74"/>
      <c r="I226" s="63">
        <v>32</v>
      </c>
      <c r="J226" t="b">
        <f t="shared" si="24"/>
        <v>0</v>
      </c>
      <c r="K226" t="b">
        <f t="shared" si="25"/>
        <v>0</v>
      </c>
      <c r="M226" t="str">
        <f t="shared" si="26"/>
        <v/>
      </c>
      <c r="N226" t="str">
        <f t="shared" si="27"/>
        <v/>
      </c>
      <c r="O226" t="str">
        <f t="shared" si="28"/>
        <v/>
      </c>
      <c r="P226" t="str">
        <f>IF(M226="","",VLOOKUP(B226,'Team Stats'!$B$3:$K$18,5,0))</f>
        <v/>
      </c>
      <c r="Q226" t="str">
        <f t="shared" si="29"/>
        <v/>
      </c>
      <c r="R226" t="str">
        <f>IF(M226="","",VLOOKUP(N226,Sim!$EF$46:$EG$61,2,0))</f>
        <v/>
      </c>
      <c r="S226" t="str">
        <f>IF(M226="","",VLOOKUP(N226,'Team Stats'!$B$3:$K$18,10,0))</f>
        <v/>
      </c>
      <c r="T226" s="84" t="str">
        <f t="shared" si="30"/>
        <v/>
      </c>
      <c r="U226" t="str">
        <f t="shared" si="31"/>
        <v/>
      </c>
    </row>
    <row r="227" spans="1:21">
      <c r="A227" s="73" t="s">
        <v>551</v>
      </c>
      <c r="B227" s="73" t="s">
        <v>222</v>
      </c>
      <c r="C227" s="74">
        <v>79</v>
      </c>
      <c r="D227" s="74"/>
      <c r="E227" s="74">
        <v>9</v>
      </c>
      <c r="F227" s="74"/>
      <c r="G227" s="74">
        <v>23</v>
      </c>
      <c r="H227" s="74"/>
      <c r="I227" s="63">
        <v>32</v>
      </c>
      <c r="J227" t="b">
        <f t="shared" si="24"/>
        <v>0</v>
      </c>
      <c r="K227" t="b">
        <f t="shared" si="25"/>
        <v>0</v>
      </c>
      <c r="M227" t="str">
        <f t="shared" si="26"/>
        <v/>
      </c>
      <c r="N227" t="str">
        <f t="shared" si="27"/>
        <v/>
      </c>
      <c r="O227" t="str">
        <f t="shared" si="28"/>
        <v/>
      </c>
      <c r="P227" t="str">
        <f>IF(M227="","",VLOOKUP(B227,'Team Stats'!$B$3:$K$18,5,0))</f>
        <v/>
      </c>
      <c r="Q227" t="str">
        <f t="shared" si="29"/>
        <v/>
      </c>
      <c r="R227" t="str">
        <f>IF(M227="","",VLOOKUP(N227,Sim!$EF$46:$EG$61,2,0))</f>
        <v/>
      </c>
      <c r="S227" t="str">
        <f>IF(M227="","",VLOOKUP(N227,'Team Stats'!$B$3:$K$18,10,0))</f>
        <v/>
      </c>
      <c r="T227" s="84" t="str">
        <f t="shared" si="30"/>
        <v/>
      </c>
      <c r="U227" t="str">
        <f t="shared" si="31"/>
        <v/>
      </c>
    </row>
    <row r="228" spans="1:21">
      <c r="A228" s="73" t="s">
        <v>552</v>
      </c>
      <c r="B228" s="73" t="s">
        <v>215</v>
      </c>
      <c r="C228" s="74">
        <v>72</v>
      </c>
      <c r="D228" s="74"/>
      <c r="E228" s="74">
        <v>12</v>
      </c>
      <c r="F228" s="74"/>
      <c r="G228" s="74">
        <v>20</v>
      </c>
      <c r="H228" s="74"/>
      <c r="I228" s="63">
        <v>32</v>
      </c>
      <c r="J228" t="b">
        <f t="shared" si="24"/>
        <v>0</v>
      </c>
      <c r="K228" t="b">
        <f t="shared" si="25"/>
        <v>0</v>
      </c>
      <c r="M228" t="str">
        <f t="shared" si="26"/>
        <v/>
      </c>
      <c r="N228" t="str">
        <f t="shared" si="27"/>
        <v/>
      </c>
      <c r="O228" t="str">
        <f t="shared" si="28"/>
        <v/>
      </c>
      <c r="P228" t="str">
        <f>IF(M228="","",VLOOKUP(B228,'Team Stats'!$B$3:$K$18,5,0))</f>
        <v/>
      </c>
      <c r="Q228" t="str">
        <f t="shared" si="29"/>
        <v/>
      </c>
      <c r="R228" t="str">
        <f>IF(M228="","",VLOOKUP(N228,Sim!$EF$46:$EG$61,2,0))</f>
        <v/>
      </c>
      <c r="S228" t="str">
        <f>IF(M228="","",VLOOKUP(N228,'Team Stats'!$B$3:$K$18,10,0))</f>
        <v/>
      </c>
      <c r="T228" s="84" t="str">
        <f t="shared" si="30"/>
        <v/>
      </c>
      <c r="U228" t="str">
        <f t="shared" si="31"/>
        <v/>
      </c>
    </row>
    <row r="229" spans="1:21">
      <c r="A229" s="73" t="s">
        <v>553</v>
      </c>
      <c r="B229" s="73" t="s">
        <v>204</v>
      </c>
      <c r="C229" s="74">
        <v>76</v>
      </c>
      <c r="D229" s="74"/>
      <c r="E229" s="74">
        <v>11</v>
      </c>
      <c r="F229" s="74"/>
      <c r="G229" s="74">
        <v>21</v>
      </c>
      <c r="H229" s="74"/>
      <c r="I229" s="63">
        <v>32</v>
      </c>
      <c r="J229" t="b">
        <f t="shared" si="24"/>
        <v>0</v>
      </c>
      <c r="K229" t="b">
        <f t="shared" si="25"/>
        <v>0</v>
      </c>
      <c r="M229" t="str">
        <f t="shared" si="26"/>
        <v/>
      </c>
      <c r="N229" t="str">
        <f t="shared" si="27"/>
        <v/>
      </c>
      <c r="O229" t="str">
        <f t="shared" si="28"/>
        <v/>
      </c>
      <c r="P229" t="str">
        <f>IF(M229="","",VLOOKUP(B229,'Team Stats'!$B$3:$K$18,5,0))</f>
        <v/>
      </c>
      <c r="Q229" t="str">
        <f t="shared" si="29"/>
        <v/>
      </c>
      <c r="R229" t="str">
        <f>IF(M229="","",VLOOKUP(N229,Sim!$EF$46:$EG$61,2,0))</f>
        <v/>
      </c>
      <c r="S229" t="str">
        <f>IF(M229="","",VLOOKUP(N229,'Team Stats'!$B$3:$K$18,10,0))</f>
        <v/>
      </c>
      <c r="T229" s="84" t="str">
        <f t="shared" si="30"/>
        <v/>
      </c>
      <c r="U229" t="str">
        <f t="shared" si="31"/>
        <v/>
      </c>
    </row>
    <row r="230" spans="1:21">
      <c r="A230" s="73" t="s">
        <v>554</v>
      </c>
      <c r="B230" s="73" t="s">
        <v>205</v>
      </c>
      <c r="C230" s="74">
        <v>65</v>
      </c>
      <c r="D230" s="74"/>
      <c r="E230" s="74">
        <v>22</v>
      </c>
      <c r="F230" s="74"/>
      <c r="G230" s="74">
        <v>10</v>
      </c>
      <c r="H230" s="74"/>
      <c r="I230" s="63">
        <v>32</v>
      </c>
      <c r="J230" t="b">
        <f t="shared" si="24"/>
        <v>1</v>
      </c>
      <c r="K230" t="b">
        <f t="shared" si="25"/>
        <v>1</v>
      </c>
      <c r="M230" t="str">
        <f t="shared" si="26"/>
        <v> Matt Beleskey</v>
      </c>
      <c r="N230" t="str">
        <f t="shared" si="27"/>
        <v>ANA</v>
      </c>
      <c r="O230">
        <f t="shared" si="28"/>
        <v>32</v>
      </c>
      <c r="P230">
        <f>IF(M230="","",VLOOKUP(B230,'Team Stats'!$B$3:$K$18,5,0))</f>
        <v>613</v>
      </c>
      <c r="Q230">
        <f t="shared" si="29"/>
        <v>5.2202283849918436E-2</v>
      </c>
      <c r="R230">
        <f ca="1">IF(M230="","",VLOOKUP(N230,Sim!$EF$46:$EG$61,2,0))</f>
        <v>14.85</v>
      </c>
      <c r="S230">
        <f ca="1">IF(M230="","",VLOOKUP(N230,'Team Stats'!$B$3:$K$18,10,0))</f>
        <v>111.01280487804878</v>
      </c>
      <c r="T230" s="84">
        <f t="shared" ca="1" si="30"/>
        <v>5.7951219512195129</v>
      </c>
      <c r="U230">
        <f t="shared" ca="1" si="31"/>
        <v>57</v>
      </c>
    </row>
    <row r="231" spans="1:21">
      <c r="A231" s="73" t="s">
        <v>555</v>
      </c>
      <c r="B231" s="73" t="s">
        <v>217</v>
      </c>
      <c r="C231" s="74">
        <v>47</v>
      </c>
      <c r="D231" s="74"/>
      <c r="E231" s="74">
        <v>7</v>
      </c>
      <c r="F231" s="74"/>
      <c r="G231" s="74">
        <v>24</v>
      </c>
      <c r="H231" s="74"/>
      <c r="I231" s="63">
        <v>31</v>
      </c>
      <c r="J231" t="b">
        <f t="shared" si="24"/>
        <v>0</v>
      </c>
      <c r="K231" t="b">
        <f t="shared" si="25"/>
        <v>0</v>
      </c>
      <c r="M231" t="str">
        <f t="shared" si="26"/>
        <v/>
      </c>
      <c r="N231" t="str">
        <f t="shared" si="27"/>
        <v/>
      </c>
      <c r="O231" t="str">
        <f t="shared" si="28"/>
        <v/>
      </c>
      <c r="P231" t="str">
        <f>IF(M231="","",VLOOKUP(B231,'Team Stats'!$B$3:$K$18,5,0))</f>
        <v/>
      </c>
      <c r="Q231" t="str">
        <f t="shared" si="29"/>
        <v/>
      </c>
      <c r="R231" t="str">
        <f>IF(M231="","",VLOOKUP(N231,Sim!$EF$46:$EG$61,2,0))</f>
        <v/>
      </c>
      <c r="S231" t="str">
        <f>IF(M231="","",VLOOKUP(N231,'Team Stats'!$B$3:$K$18,10,0))</f>
        <v/>
      </c>
      <c r="T231" s="84" t="str">
        <f t="shared" si="30"/>
        <v/>
      </c>
      <c r="U231" t="str">
        <f t="shared" si="31"/>
        <v/>
      </c>
    </row>
    <row r="232" spans="1:21">
      <c r="A232" s="73" t="s">
        <v>556</v>
      </c>
      <c r="B232" s="73" t="s">
        <v>209</v>
      </c>
      <c r="C232" s="74">
        <v>80</v>
      </c>
      <c r="D232" s="74"/>
      <c r="E232" s="74">
        <v>2</v>
      </c>
      <c r="F232" s="74"/>
      <c r="G232" s="74">
        <v>29</v>
      </c>
      <c r="H232" s="74"/>
      <c r="I232" s="63">
        <v>31</v>
      </c>
      <c r="J232" t="b">
        <f t="shared" si="24"/>
        <v>1</v>
      </c>
      <c r="K232" t="b">
        <f t="shared" si="25"/>
        <v>1</v>
      </c>
      <c r="M232" t="str">
        <f t="shared" si="26"/>
        <v> Danny DeKeyser</v>
      </c>
      <c r="N232" t="str">
        <f t="shared" si="27"/>
        <v>DET</v>
      </c>
      <c r="O232">
        <f t="shared" si="28"/>
        <v>31</v>
      </c>
      <c r="P232">
        <f>IF(M232="","",VLOOKUP(B232,'Team Stats'!$B$3:$K$18,5,0))</f>
        <v>630</v>
      </c>
      <c r="Q232">
        <f t="shared" si="29"/>
        <v>4.9206349206349205E-2</v>
      </c>
      <c r="R232">
        <f ca="1">IF(M232="","",VLOOKUP(N232,Sim!$EF$46:$EG$61,2,0))</f>
        <v>10.06</v>
      </c>
      <c r="S232">
        <f ca="1">IF(M232="","",VLOOKUP(N232,'Team Stats'!$B$3:$K$18,10,0))</f>
        <v>77.29024390243903</v>
      </c>
      <c r="T232" s="84">
        <f t="shared" ca="1" si="30"/>
        <v>3.8031707317073171</v>
      </c>
      <c r="U232">
        <f t="shared" ca="1" si="31"/>
        <v>106</v>
      </c>
    </row>
    <row r="233" spans="1:21">
      <c r="A233" s="73" t="s">
        <v>557</v>
      </c>
      <c r="B233" s="73" t="s">
        <v>340</v>
      </c>
      <c r="C233" s="74">
        <v>82</v>
      </c>
      <c r="D233" s="74"/>
      <c r="E233" s="74">
        <v>13</v>
      </c>
      <c r="F233" s="74"/>
      <c r="G233" s="74">
        <v>18</v>
      </c>
      <c r="H233" s="74"/>
      <c r="I233" s="63">
        <v>31</v>
      </c>
      <c r="J233" t="b">
        <f t="shared" si="24"/>
        <v>0</v>
      </c>
      <c r="K233" t="b">
        <f t="shared" si="25"/>
        <v>0</v>
      </c>
      <c r="M233" t="str">
        <f t="shared" si="26"/>
        <v/>
      </c>
      <c r="N233" t="str">
        <f t="shared" si="27"/>
        <v/>
      </c>
      <c r="O233" t="str">
        <f t="shared" si="28"/>
        <v/>
      </c>
      <c r="P233" t="str">
        <f>IF(M233="","",VLOOKUP(B233,'Team Stats'!$B$3:$K$18,5,0))</f>
        <v/>
      </c>
      <c r="Q233" t="str">
        <f t="shared" si="29"/>
        <v/>
      </c>
      <c r="R233" t="str">
        <f>IF(M233="","",VLOOKUP(N233,Sim!$EF$46:$EG$61,2,0))</f>
        <v/>
      </c>
      <c r="S233" t="str">
        <f>IF(M233="","",VLOOKUP(N233,'Team Stats'!$B$3:$K$18,10,0))</f>
        <v/>
      </c>
      <c r="T233" s="84" t="str">
        <f t="shared" si="30"/>
        <v/>
      </c>
      <c r="U233" t="str">
        <f t="shared" si="31"/>
        <v/>
      </c>
    </row>
    <row r="234" spans="1:21">
      <c r="A234" s="73" t="s">
        <v>558</v>
      </c>
      <c r="B234" s="73" t="s">
        <v>196</v>
      </c>
      <c r="C234" s="74">
        <v>82</v>
      </c>
      <c r="D234" s="74"/>
      <c r="E234" s="74">
        <v>15</v>
      </c>
      <c r="F234" s="74"/>
      <c r="G234" s="74">
        <v>16</v>
      </c>
      <c r="H234" s="74"/>
      <c r="I234" s="63">
        <v>31</v>
      </c>
      <c r="J234" t="b">
        <f t="shared" si="24"/>
        <v>1</v>
      </c>
      <c r="K234" t="b">
        <f t="shared" si="25"/>
        <v>1</v>
      </c>
      <c r="M234" t="str">
        <f t="shared" si="26"/>
        <v> Nikolay Kulemin</v>
      </c>
      <c r="N234" t="str">
        <f t="shared" si="27"/>
        <v>NYI</v>
      </c>
      <c r="O234">
        <f t="shared" si="28"/>
        <v>31</v>
      </c>
      <c r="P234">
        <f>IF(M234="","",VLOOKUP(B234,'Team Stats'!$B$3:$K$18,5,0))</f>
        <v>656</v>
      </c>
      <c r="Q234">
        <f t="shared" si="29"/>
        <v>4.725609756097561E-2</v>
      </c>
      <c r="R234">
        <f ca="1">IF(M234="","",VLOOKUP(N234,Sim!$EF$46:$EG$61,2,0))</f>
        <v>13.18</v>
      </c>
      <c r="S234">
        <f ca="1">IF(M234="","",VLOOKUP(N234,'Team Stats'!$B$3:$K$18,10,0))</f>
        <v>105.44</v>
      </c>
      <c r="T234" s="84">
        <f t="shared" ca="1" si="30"/>
        <v>4.9826829268292681</v>
      </c>
      <c r="U234">
        <f t="shared" ca="1" si="31"/>
        <v>76</v>
      </c>
    </row>
    <row r="235" spans="1:21">
      <c r="A235" s="73" t="s">
        <v>559</v>
      </c>
      <c r="B235" s="73" t="s">
        <v>218</v>
      </c>
      <c r="C235" s="74">
        <v>77</v>
      </c>
      <c r="D235" s="74"/>
      <c r="E235" s="74">
        <v>18</v>
      </c>
      <c r="F235" s="74"/>
      <c r="G235" s="74">
        <v>13</v>
      </c>
      <c r="H235" s="74"/>
      <c r="I235" s="63">
        <v>31</v>
      </c>
      <c r="J235" t="b">
        <f t="shared" si="24"/>
        <v>0</v>
      </c>
      <c r="K235" t="b">
        <f t="shared" si="25"/>
        <v>0</v>
      </c>
      <c r="M235" t="str">
        <f t="shared" si="26"/>
        <v/>
      </c>
      <c r="N235" t="str">
        <f t="shared" si="27"/>
        <v/>
      </c>
      <c r="O235" t="str">
        <f t="shared" si="28"/>
        <v/>
      </c>
      <c r="P235" t="str">
        <f>IF(M235="","",VLOOKUP(B235,'Team Stats'!$B$3:$K$18,5,0))</f>
        <v/>
      </c>
      <c r="Q235" t="str">
        <f t="shared" si="29"/>
        <v/>
      </c>
      <c r="R235" t="str">
        <f>IF(M235="","",VLOOKUP(N235,Sim!$EF$46:$EG$61,2,0))</f>
        <v/>
      </c>
      <c r="S235" t="str">
        <f>IF(M235="","",VLOOKUP(N235,'Team Stats'!$B$3:$K$18,10,0))</f>
        <v/>
      </c>
      <c r="T235" s="84" t="str">
        <f t="shared" si="30"/>
        <v/>
      </c>
      <c r="U235" t="str">
        <f t="shared" si="31"/>
        <v/>
      </c>
    </row>
    <row r="236" spans="1:21">
      <c r="A236" s="73" t="s">
        <v>560</v>
      </c>
      <c r="B236" s="73" t="s">
        <v>212</v>
      </c>
      <c r="C236" s="74">
        <v>71</v>
      </c>
      <c r="D236" s="74"/>
      <c r="E236" s="74">
        <v>9</v>
      </c>
      <c r="F236" s="74"/>
      <c r="G236" s="74">
        <v>22</v>
      </c>
      <c r="H236" s="74"/>
      <c r="I236" s="63">
        <v>31</v>
      </c>
      <c r="J236" t="b">
        <f t="shared" si="24"/>
        <v>1</v>
      </c>
      <c r="K236" t="b">
        <f t="shared" si="25"/>
        <v>1</v>
      </c>
      <c r="M236" t="str">
        <f t="shared" si="26"/>
        <v> Justin Fontaine</v>
      </c>
      <c r="N236" t="str">
        <f t="shared" si="27"/>
        <v>MIN</v>
      </c>
      <c r="O236">
        <f t="shared" si="28"/>
        <v>31</v>
      </c>
      <c r="P236">
        <f>IF(M236="","",VLOOKUP(B236,'Team Stats'!$B$3:$K$18,5,0))</f>
        <v>608</v>
      </c>
      <c r="Q236">
        <f t="shared" si="29"/>
        <v>5.0986842105263157E-2</v>
      </c>
      <c r="R236">
        <f ca="1">IF(M236="","",VLOOKUP(N236,Sim!$EF$46:$EG$61,2,0))</f>
        <v>11.71</v>
      </c>
      <c r="S236">
        <f ca="1">IF(M236="","",VLOOKUP(N236,'Team Stats'!$B$3:$K$18,10,0))</f>
        <v>86.825365853658553</v>
      </c>
      <c r="T236" s="84">
        <f t="shared" ca="1" si="30"/>
        <v>4.4269512195121958</v>
      </c>
      <c r="U236">
        <f t="shared" ca="1" si="31"/>
        <v>92</v>
      </c>
    </row>
    <row r="237" spans="1:21">
      <c r="A237" s="73" t="s">
        <v>561</v>
      </c>
      <c r="B237" s="73" t="s">
        <v>222</v>
      </c>
      <c r="C237" s="74">
        <v>77</v>
      </c>
      <c r="D237" s="74"/>
      <c r="E237" s="74">
        <v>17</v>
      </c>
      <c r="F237" s="74"/>
      <c r="G237" s="74">
        <v>14</v>
      </c>
      <c r="H237" s="74"/>
      <c r="I237" s="63">
        <v>31</v>
      </c>
      <c r="J237" t="b">
        <f t="shared" si="24"/>
        <v>0</v>
      </c>
      <c r="K237" t="b">
        <f t="shared" si="25"/>
        <v>0</v>
      </c>
      <c r="M237" t="str">
        <f t="shared" si="26"/>
        <v/>
      </c>
      <c r="N237" t="str">
        <f t="shared" si="27"/>
        <v/>
      </c>
      <c r="O237" t="str">
        <f t="shared" si="28"/>
        <v/>
      </c>
      <c r="P237" t="str">
        <f>IF(M237="","",VLOOKUP(B237,'Team Stats'!$B$3:$K$18,5,0))</f>
        <v/>
      </c>
      <c r="Q237" t="str">
        <f t="shared" si="29"/>
        <v/>
      </c>
      <c r="R237" t="str">
        <f>IF(M237="","",VLOOKUP(N237,Sim!$EF$46:$EG$61,2,0))</f>
        <v/>
      </c>
      <c r="S237" t="str">
        <f>IF(M237="","",VLOOKUP(N237,'Team Stats'!$B$3:$K$18,10,0))</f>
        <v/>
      </c>
      <c r="T237" s="84" t="str">
        <f t="shared" si="30"/>
        <v/>
      </c>
      <c r="U237" t="str">
        <f t="shared" si="31"/>
        <v/>
      </c>
    </row>
    <row r="238" spans="1:21">
      <c r="A238" s="73" t="s">
        <v>562</v>
      </c>
      <c r="B238" s="73" t="s">
        <v>205</v>
      </c>
      <c r="C238" s="74">
        <v>71</v>
      </c>
      <c r="D238" s="74"/>
      <c r="E238" s="74">
        <v>9</v>
      </c>
      <c r="F238" s="74"/>
      <c r="G238" s="74">
        <v>22</v>
      </c>
      <c r="H238" s="74"/>
      <c r="I238" s="63">
        <v>31</v>
      </c>
      <c r="J238" t="b">
        <f t="shared" si="24"/>
        <v>1</v>
      </c>
      <c r="K238" t="b">
        <f t="shared" si="25"/>
        <v>1</v>
      </c>
      <c r="M238" t="str">
        <f t="shared" si="26"/>
        <v> Rickard Rakell</v>
      </c>
      <c r="N238" t="str">
        <f t="shared" si="27"/>
        <v>ANA</v>
      </c>
      <c r="O238">
        <f t="shared" si="28"/>
        <v>31</v>
      </c>
      <c r="P238">
        <f>IF(M238="","",VLOOKUP(B238,'Team Stats'!$B$3:$K$18,5,0))</f>
        <v>613</v>
      </c>
      <c r="Q238">
        <f t="shared" si="29"/>
        <v>5.0570962479608482E-2</v>
      </c>
      <c r="R238">
        <f ca="1">IF(M238="","",VLOOKUP(N238,Sim!$EF$46:$EG$61,2,0))</f>
        <v>14.85</v>
      </c>
      <c r="S238">
        <f ca="1">IF(M238="","",VLOOKUP(N238,'Team Stats'!$B$3:$K$18,10,0))</f>
        <v>111.01280487804878</v>
      </c>
      <c r="T238" s="84">
        <f t="shared" ca="1" si="30"/>
        <v>5.6140243902439027</v>
      </c>
      <c r="U238">
        <f t="shared" ca="1" si="31"/>
        <v>60</v>
      </c>
    </row>
    <row r="239" spans="1:21">
      <c r="A239" s="73" t="s">
        <v>563</v>
      </c>
      <c r="B239" s="73" t="s">
        <v>210</v>
      </c>
      <c r="C239" s="74">
        <v>72</v>
      </c>
      <c r="D239" s="74"/>
      <c r="E239" s="74">
        <v>14</v>
      </c>
      <c r="F239" s="74"/>
      <c r="G239" s="74">
        <v>17</v>
      </c>
      <c r="H239" s="74"/>
      <c r="I239" s="63">
        <v>31</v>
      </c>
      <c r="J239" t="b">
        <f t="shared" si="24"/>
        <v>1</v>
      </c>
      <c r="K239" t="b">
        <f t="shared" si="25"/>
        <v>1</v>
      </c>
      <c r="M239" t="str">
        <f t="shared" si="26"/>
        <v> Jiri Tlusty</v>
      </c>
      <c r="N239" t="str">
        <f t="shared" si="27"/>
        <v>WPG</v>
      </c>
      <c r="O239">
        <f t="shared" si="28"/>
        <v>31</v>
      </c>
      <c r="P239">
        <f>IF(M239="","",VLOOKUP(B239,'Team Stats'!$B$3:$K$18,5,0))</f>
        <v>594</v>
      </c>
      <c r="Q239">
        <f t="shared" si="29"/>
        <v>5.2188552188552187E-2</v>
      </c>
      <c r="R239">
        <f ca="1">IF(M239="","",VLOOKUP(N239,Sim!$EF$46:$EG$61,2,0))</f>
        <v>8.94</v>
      </c>
      <c r="S239">
        <f ca="1">IF(M239="","",VLOOKUP(N239,'Team Stats'!$B$3:$K$18,10,0))</f>
        <v>64.760487804878053</v>
      </c>
      <c r="T239" s="84">
        <f t="shared" ca="1" si="30"/>
        <v>3.3797560975609757</v>
      </c>
      <c r="U239">
        <f t="shared" ca="1" si="31"/>
        <v>119</v>
      </c>
    </row>
    <row r="240" spans="1:21">
      <c r="A240" s="73" t="s">
        <v>564</v>
      </c>
      <c r="B240" s="73" t="s">
        <v>215</v>
      </c>
      <c r="C240" s="74">
        <v>81</v>
      </c>
      <c r="D240" s="74"/>
      <c r="E240" s="74">
        <v>6</v>
      </c>
      <c r="F240" s="74"/>
      <c r="G240" s="74">
        <v>25</v>
      </c>
      <c r="H240" s="74"/>
      <c r="I240" s="63">
        <v>31</v>
      </c>
      <c r="J240" t="b">
        <f t="shared" si="24"/>
        <v>0</v>
      </c>
      <c r="K240" t="b">
        <f t="shared" si="25"/>
        <v>0</v>
      </c>
      <c r="M240" t="str">
        <f t="shared" si="26"/>
        <v/>
      </c>
      <c r="N240" t="str">
        <f t="shared" si="27"/>
        <v/>
      </c>
      <c r="O240" t="str">
        <f t="shared" si="28"/>
        <v/>
      </c>
      <c r="P240" t="str">
        <f>IF(M240="","",VLOOKUP(B240,'Team Stats'!$B$3:$K$18,5,0))</f>
        <v/>
      </c>
      <c r="Q240" t="str">
        <f t="shared" si="29"/>
        <v/>
      </c>
      <c r="R240" t="str">
        <f>IF(M240="","",VLOOKUP(N240,Sim!$EF$46:$EG$61,2,0))</f>
        <v/>
      </c>
      <c r="S240" t="str">
        <f>IF(M240="","",VLOOKUP(N240,'Team Stats'!$B$3:$K$18,10,0))</f>
        <v/>
      </c>
      <c r="T240" s="84" t="str">
        <f t="shared" si="30"/>
        <v/>
      </c>
      <c r="U240" t="str">
        <f t="shared" si="31"/>
        <v/>
      </c>
    </row>
    <row r="241" spans="1:21">
      <c r="A241" s="73" t="s">
        <v>565</v>
      </c>
      <c r="B241" s="73" t="s">
        <v>206</v>
      </c>
      <c r="C241" s="74">
        <v>74</v>
      </c>
      <c r="D241" s="74"/>
      <c r="E241" s="74">
        <v>8</v>
      </c>
      <c r="F241" s="74"/>
      <c r="G241" s="74">
        <v>23</v>
      </c>
      <c r="H241" s="74"/>
      <c r="I241" s="63">
        <v>31</v>
      </c>
      <c r="J241" t="b">
        <f t="shared" si="24"/>
        <v>1</v>
      </c>
      <c r="K241" t="b">
        <f t="shared" si="25"/>
        <v>1</v>
      </c>
      <c r="M241" t="str">
        <f t="shared" si="26"/>
        <v> Alexander Edler</v>
      </c>
      <c r="N241" t="str">
        <f t="shared" si="27"/>
        <v>VAN</v>
      </c>
      <c r="O241">
        <f t="shared" si="28"/>
        <v>31</v>
      </c>
      <c r="P241">
        <f>IF(M241="","",VLOOKUP(B241,'Team Stats'!$B$3:$K$18,5,0))</f>
        <v>642</v>
      </c>
      <c r="Q241">
        <f t="shared" si="29"/>
        <v>4.8286604361370715E-2</v>
      </c>
      <c r="R241">
        <f ca="1">IF(M241="","",VLOOKUP(N241,Sim!$EF$46:$EG$61,2,0))</f>
        <v>10.35</v>
      </c>
      <c r="S241">
        <f ca="1">IF(M241="","",VLOOKUP(N241,'Team Stats'!$B$3:$K$18,10,0))</f>
        <v>81.032926829268291</v>
      </c>
      <c r="T241" s="84">
        <f t="shared" ca="1" si="30"/>
        <v>3.9128048780487803</v>
      </c>
      <c r="U241">
        <f t="shared" ca="1" si="31"/>
        <v>105</v>
      </c>
    </row>
    <row r="242" spans="1:21">
      <c r="A242" s="73" t="s">
        <v>566</v>
      </c>
      <c r="B242" s="73" t="s">
        <v>202</v>
      </c>
      <c r="C242" s="74">
        <v>82</v>
      </c>
      <c r="D242" s="74"/>
      <c r="E242" s="74">
        <v>8</v>
      </c>
      <c r="F242" s="74"/>
      <c r="G242" s="74">
        <v>23</v>
      </c>
      <c r="H242" s="74"/>
      <c r="I242" s="63">
        <v>31</v>
      </c>
      <c r="J242" t="b">
        <f t="shared" si="24"/>
        <v>1</v>
      </c>
      <c r="K242" t="b">
        <f t="shared" si="25"/>
        <v>1</v>
      </c>
      <c r="M242" t="str">
        <f t="shared" si="26"/>
        <v> Brent Seabrook</v>
      </c>
      <c r="N242" t="str">
        <f t="shared" si="27"/>
        <v>CHI</v>
      </c>
      <c r="O242">
        <f t="shared" si="28"/>
        <v>31</v>
      </c>
      <c r="P242">
        <f>IF(M242="","",VLOOKUP(B242,'Team Stats'!$B$3:$K$18,5,0))</f>
        <v>601</v>
      </c>
      <c r="Q242">
        <f t="shared" si="29"/>
        <v>5.1580698835274545E-2</v>
      </c>
      <c r="R242">
        <f ca="1">IF(M242="","",VLOOKUP(N242,Sim!$EF$46:$EG$61,2,0))</f>
        <v>9.14</v>
      </c>
      <c r="S242">
        <f ca="1">IF(M242="","",VLOOKUP(N242,'Team Stats'!$B$3:$K$18,10,0))</f>
        <v>66.989512195121961</v>
      </c>
      <c r="T242" s="84">
        <f t="shared" ca="1" si="30"/>
        <v>3.4553658536585372</v>
      </c>
      <c r="U242">
        <f t="shared" ca="1" si="31"/>
        <v>116</v>
      </c>
    </row>
    <row r="243" spans="1:21">
      <c r="A243" s="73" t="s">
        <v>567</v>
      </c>
      <c r="B243" s="73" t="s">
        <v>325</v>
      </c>
      <c r="C243" s="74">
        <v>82</v>
      </c>
      <c r="D243" s="74"/>
      <c r="E243" s="74">
        <v>4</v>
      </c>
      <c r="F243" s="74"/>
      <c r="G243" s="74">
        <v>27</v>
      </c>
      <c r="H243" s="74"/>
      <c r="I243" s="63">
        <v>31</v>
      </c>
      <c r="J243" t="b">
        <f t="shared" si="24"/>
        <v>0</v>
      </c>
      <c r="K243" t="b">
        <f t="shared" si="25"/>
        <v>0</v>
      </c>
      <c r="M243" t="str">
        <f t="shared" si="26"/>
        <v/>
      </c>
      <c r="N243" t="str">
        <f t="shared" si="27"/>
        <v/>
      </c>
      <c r="O243" t="str">
        <f t="shared" si="28"/>
        <v/>
      </c>
      <c r="P243" t="str">
        <f>IF(M243="","",VLOOKUP(B243,'Team Stats'!$B$3:$K$18,5,0))</f>
        <v/>
      </c>
      <c r="Q243" t="str">
        <f t="shared" si="29"/>
        <v/>
      </c>
      <c r="R243" t="str">
        <f>IF(M243="","",VLOOKUP(N243,Sim!$EF$46:$EG$61,2,0))</f>
        <v/>
      </c>
      <c r="S243" t="str">
        <f>IF(M243="","",VLOOKUP(N243,'Team Stats'!$B$3:$K$18,10,0))</f>
        <v/>
      </c>
      <c r="T243" s="84" t="str">
        <f t="shared" si="30"/>
        <v/>
      </c>
      <c r="U243" t="str">
        <f t="shared" si="31"/>
        <v/>
      </c>
    </row>
    <row r="244" spans="1:21">
      <c r="A244" s="73" t="s">
        <v>568</v>
      </c>
      <c r="B244" s="73" t="s">
        <v>198</v>
      </c>
      <c r="C244" s="74">
        <v>61</v>
      </c>
      <c r="D244" s="74"/>
      <c r="E244" s="74">
        <v>16</v>
      </c>
      <c r="F244" s="74"/>
      <c r="G244" s="74">
        <v>15</v>
      </c>
      <c r="H244" s="74"/>
      <c r="I244" s="63">
        <v>31</v>
      </c>
      <c r="J244" t="b">
        <f t="shared" si="24"/>
        <v>1</v>
      </c>
      <c r="K244" t="b">
        <f t="shared" si="25"/>
        <v>1</v>
      </c>
      <c r="M244" t="str">
        <f t="shared" si="26"/>
        <v> Blake Comeau</v>
      </c>
      <c r="N244" t="str">
        <f t="shared" si="27"/>
        <v>PIT</v>
      </c>
      <c r="O244">
        <f t="shared" si="28"/>
        <v>31</v>
      </c>
      <c r="P244">
        <f>IF(M244="","",VLOOKUP(B244,'Team Stats'!$B$3:$K$18,5,0))</f>
        <v>600</v>
      </c>
      <c r="Q244">
        <f t="shared" si="29"/>
        <v>5.1666666666666666E-2</v>
      </c>
      <c r="R244">
        <f ca="1">IF(M244="","",VLOOKUP(N244,Sim!$EF$46:$EG$61,2,0))</f>
        <v>9.74</v>
      </c>
      <c r="S244">
        <f ca="1">IF(M244="","",VLOOKUP(N244,'Team Stats'!$B$3:$K$18,10,0))</f>
        <v>71.268292682926827</v>
      </c>
      <c r="T244" s="84">
        <f t="shared" ca="1" si="30"/>
        <v>3.6821951219512195</v>
      </c>
      <c r="U244">
        <f t="shared" ca="1" si="31"/>
        <v>110</v>
      </c>
    </row>
    <row r="245" spans="1:21">
      <c r="A245" s="73" t="s">
        <v>569</v>
      </c>
      <c r="B245" s="73" t="s">
        <v>199</v>
      </c>
      <c r="C245" s="74">
        <v>80</v>
      </c>
      <c r="D245" s="74"/>
      <c r="E245" s="74">
        <v>8</v>
      </c>
      <c r="F245" s="74"/>
      <c r="G245" s="74">
        <v>22</v>
      </c>
      <c r="H245" s="74"/>
      <c r="I245" s="63">
        <v>30</v>
      </c>
      <c r="J245" t="b">
        <f t="shared" si="24"/>
        <v>0</v>
      </c>
      <c r="K245" t="b">
        <f t="shared" si="25"/>
        <v>0</v>
      </c>
      <c r="M245" t="str">
        <f t="shared" si="26"/>
        <v/>
      </c>
      <c r="N245" t="str">
        <f t="shared" si="27"/>
        <v/>
      </c>
      <c r="O245" t="str">
        <f t="shared" si="28"/>
        <v/>
      </c>
      <c r="P245" t="str">
        <f>IF(M245="","",VLOOKUP(B245,'Team Stats'!$B$3:$K$18,5,0))</f>
        <v/>
      </c>
      <c r="Q245" t="str">
        <f t="shared" si="29"/>
        <v/>
      </c>
      <c r="R245" t="str">
        <f>IF(M245="","",VLOOKUP(N245,Sim!$EF$46:$EG$61,2,0))</f>
        <v/>
      </c>
      <c r="S245" t="str">
        <f>IF(M245="","",VLOOKUP(N245,'Team Stats'!$B$3:$K$18,10,0))</f>
        <v/>
      </c>
      <c r="T245" s="84" t="str">
        <f t="shared" si="30"/>
        <v/>
      </c>
      <c r="U245" t="str">
        <f t="shared" si="31"/>
        <v/>
      </c>
    </row>
    <row r="246" spans="1:21">
      <c r="A246" s="73" t="s">
        <v>570</v>
      </c>
      <c r="B246" s="73" t="s">
        <v>208</v>
      </c>
      <c r="C246" s="74">
        <v>67</v>
      </c>
      <c r="D246" s="74"/>
      <c r="E246" s="74">
        <v>14</v>
      </c>
      <c r="F246" s="74"/>
      <c r="G246" s="74">
        <v>16</v>
      </c>
      <c r="H246" s="74"/>
      <c r="I246" s="63">
        <v>30</v>
      </c>
      <c r="J246" t="b">
        <f t="shared" si="24"/>
        <v>0</v>
      </c>
      <c r="K246" t="b">
        <f t="shared" si="25"/>
        <v>0</v>
      </c>
      <c r="M246" t="str">
        <f t="shared" si="26"/>
        <v/>
      </c>
      <c r="N246" t="str">
        <f t="shared" si="27"/>
        <v/>
      </c>
      <c r="O246" t="str">
        <f t="shared" si="28"/>
        <v/>
      </c>
      <c r="P246" t="str">
        <f>IF(M246="","",VLOOKUP(B246,'Team Stats'!$B$3:$K$18,5,0))</f>
        <v/>
      </c>
      <c r="Q246" t="str">
        <f t="shared" si="29"/>
        <v/>
      </c>
      <c r="R246" t="str">
        <f>IF(M246="","",VLOOKUP(N246,Sim!$EF$46:$EG$61,2,0))</f>
        <v/>
      </c>
      <c r="S246" t="str">
        <f>IF(M246="","",VLOOKUP(N246,'Team Stats'!$B$3:$K$18,10,0))</f>
        <v/>
      </c>
      <c r="T246" s="84" t="str">
        <f t="shared" si="30"/>
        <v/>
      </c>
      <c r="U246" t="str">
        <f t="shared" si="31"/>
        <v/>
      </c>
    </row>
    <row r="247" spans="1:21">
      <c r="A247" s="73" t="s">
        <v>571</v>
      </c>
      <c r="B247" s="73" t="s">
        <v>336</v>
      </c>
      <c r="C247" s="74">
        <v>70</v>
      </c>
      <c r="D247" s="74"/>
      <c r="E247" s="74">
        <v>4</v>
      </c>
      <c r="F247" s="74"/>
      <c r="G247" s="74">
        <v>26</v>
      </c>
      <c r="H247" s="74"/>
      <c r="I247" s="63">
        <v>30</v>
      </c>
      <c r="J247" t="b">
        <f t="shared" si="24"/>
        <v>0</v>
      </c>
      <c r="K247" t="b">
        <f t="shared" si="25"/>
        <v>0</v>
      </c>
      <c r="M247" t="str">
        <f t="shared" si="26"/>
        <v/>
      </c>
      <c r="N247" t="str">
        <f t="shared" si="27"/>
        <v/>
      </c>
      <c r="O247" t="str">
        <f t="shared" si="28"/>
        <v/>
      </c>
      <c r="P247" t="str">
        <f>IF(M247="","",VLOOKUP(B247,'Team Stats'!$B$3:$K$18,5,0))</f>
        <v/>
      </c>
      <c r="Q247" t="str">
        <f t="shared" si="29"/>
        <v/>
      </c>
      <c r="R247" t="str">
        <f>IF(M247="","",VLOOKUP(N247,Sim!$EF$46:$EG$61,2,0))</f>
        <v/>
      </c>
      <c r="S247" t="str">
        <f>IF(M247="","",VLOOKUP(N247,'Team Stats'!$B$3:$K$18,10,0))</f>
        <v/>
      </c>
      <c r="T247" s="84" t="str">
        <f t="shared" si="30"/>
        <v/>
      </c>
      <c r="U247" t="str">
        <f t="shared" si="31"/>
        <v/>
      </c>
    </row>
    <row r="248" spans="1:21">
      <c r="A248" s="73" t="s">
        <v>572</v>
      </c>
      <c r="B248" s="73" t="s">
        <v>221</v>
      </c>
      <c r="C248" s="74">
        <v>61</v>
      </c>
      <c r="D248" s="74"/>
      <c r="E248" s="74">
        <v>15</v>
      </c>
      <c r="F248" s="74"/>
      <c r="G248" s="74">
        <v>15</v>
      </c>
      <c r="H248" s="74"/>
      <c r="I248" s="63">
        <v>30</v>
      </c>
      <c r="J248" t="b">
        <f t="shared" si="24"/>
        <v>0</v>
      </c>
      <c r="K248" t="b">
        <f t="shared" si="25"/>
        <v>0</v>
      </c>
      <c r="M248" t="str">
        <f t="shared" si="26"/>
        <v/>
      </c>
      <c r="N248" t="str">
        <f t="shared" si="27"/>
        <v/>
      </c>
      <c r="O248" t="str">
        <f t="shared" si="28"/>
        <v/>
      </c>
      <c r="P248" t="str">
        <f>IF(M248="","",VLOOKUP(B248,'Team Stats'!$B$3:$K$18,5,0))</f>
        <v/>
      </c>
      <c r="Q248" t="str">
        <f t="shared" si="29"/>
        <v/>
      </c>
      <c r="R248" t="str">
        <f>IF(M248="","",VLOOKUP(N248,Sim!$EF$46:$EG$61,2,0))</f>
        <v/>
      </c>
      <c r="S248" t="str">
        <f>IF(M248="","",VLOOKUP(N248,'Team Stats'!$B$3:$K$18,10,0))</f>
        <v/>
      </c>
      <c r="T248" s="84" t="str">
        <f t="shared" si="30"/>
        <v/>
      </c>
      <c r="U248" t="str">
        <f t="shared" si="31"/>
        <v/>
      </c>
    </row>
    <row r="249" spans="1:21">
      <c r="A249" s="73" t="s">
        <v>573</v>
      </c>
      <c r="B249" s="73" t="s">
        <v>205</v>
      </c>
      <c r="C249" s="74">
        <v>57</v>
      </c>
      <c r="D249" s="74"/>
      <c r="E249" s="74">
        <v>14</v>
      </c>
      <c r="F249" s="74"/>
      <c r="G249" s="74">
        <v>15</v>
      </c>
      <c r="H249" s="74"/>
      <c r="I249" s="63">
        <v>29</v>
      </c>
      <c r="J249" t="b">
        <f t="shared" si="24"/>
        <v>1</v>
      </c>
      <c r="K249" t="b">
        <f t="shared" si="25"/>
        <v>1</v>
      </c>
      <c r="M249" t="str">
        <f t="shared" si="26"/>
        <v> Kyle Palmieri</v>
      </c>
      <c r="N249" t="str">
        <f t="shared" si="27"/>
        <v>ANA</v>
      </c>
      <c r="O249">
        <f t="shared" si="28"/>
        <v>29</v>
      </c>
      <c r="P249">
        <f>IF(M249="","",VLOOKUP(B249,'Team Stats'!$B$3:$K$18,5,0))</f>
        <v>613</v>
      </c>
      <c r="Q249">
        <f t="shared" si="29"/>
        <v>4.730831973898858E-2</v>
      </c>
      <c r="R249">
        <f ca="1">IF(M249="","",VLOOKUP(N249,Sim!$EF$46:$EG$61,2,0))</f>
        <v>14.85</v>
      </c>
      <c r="S249">
        <f ca="1">IF(M249="","",VLOOKUP(N249,'Team Stats'!$B$3:$K$18,10,0))</f>
        <v>111.01280487804878</v>
      </c>
      <c r="T249" s="84">
        <f t="shared" ca="1" si="30"/>
        <v>5.251829268292683</v>
      </c>
      <c r="U249">
        <f t="shared" ca="1" si="31"/>
        <v>70</v>
      </c>
    </row>
    <row r="250" spans="1:21">
      <c r="A250" s="73" t="s">
        <v>574</v>
      </c>
      <c r="B250" s="73" t="s">
        <v>213</v>
      </c>
      <c r="C250" s="74">
        <v>70</v>
      </c>
      <c r="D250" s="74"/>
      <c r="E250" s="74">
        <v>3</v>
      </c>
      <c r="F250" s="74"/>
      <c r="G250" s="74">
        <v>26</v>
      </c>
      <c r="H250" s="74"/>
      <c r="I250" s="63">
        <v>29</v>
      </c>
      <c r="J250" t="b">
        <f t="shared" si="24"/>
        <v>0</v>
      </c>
      <c r="K250" t="b">
        <f t="shared" si="25"/>
        <v>0</v>
      </c>
      <c r="M250" t="str">
        <f t="shared" si="26"/>
        <v/>
      </c>
      <c r="N250" t="str">
        <f t="shared" si="27"/>
        <v/>
      </c>
      <c r="O250" t="str">
        <f t="shared" si="28"/>
        <v/>
      </c>
      <c r="P250" t="str">
        <f>IF(M250="","",VLOOKUP(B250,'Team Stats'!$B$3:$K$18,5,0))</f>
        <v/>
      </c>
      <c r="Q250" t="str">
        <f t="shared" si="29"/>
        <v/>
      </c>
      <c r="R250" t="str">
        <f>IF(M250="","",VLOOKUP(N250,Sim!$EF$46:$EG$61,2,0))</f>
        <v/>
      </c>
      <c r="S250" t="str">
        <f>IF(M250="","",VLOOKUP(N250,'Team Stats'!$B$3:$K$18,10,0))</f>
        <v/>
      </c>
      <c r="T250" s="84" t="str">
        <f t="shared" si="30"/>
        <v/>
      </c>
      <c r="U250" t="str">
        <f t="shared" si="31"/>
        <v/>
      </c>
    </row>
    <row r="251" spans="1:21">
      <c r="A251" s="73" t="s">
        <v>575</v>
      </c>
      <c r="B251" s="73" t="s">
        <v>213</v>
      </c>
      <c r="C251" s="74">
        <v>81</v>
      </c>
      <c r="D251" s="74"/>
      <c r="E251" s="74">
        <v>8</v>
      </c>
      <c r="F251" s="74"/>
      <c r="G251" s="74">
        <v>21</v>
      </c>
      <c r="H251" s="74"/>
      <c r="I251" s="63">
        <v>29</v>
      </c>
      <c r="J251" t="b">
        <f t="shared" si="24"/>
        <v>0</v>
      </c>
      <c r="K251" t="b">
        <f t="shared" si="25"/>
        <v>0</v>
      </c>
      <c r="M251" t="str">
        <f t="shared" si="26"/>
        <v/>
      </c>
      <c r="N251" t="str">
        <f t="shared" si="27"/>
        <v/>
      </c>
      <c r="O251" t="str">
        <f t="shared" si="28"/>
        <v/>
      </c>
      <c r="P251" t="str">
        <f>IF(M251="","",VLOOKUP(B251,'Team Stats'!$B$3:$K$18,5,0))</f>
        <v/>
      </c>
      <c r="Q251" t="str">
        <f t="shared" si="29"/>
        <v/>
      </c>
      <c r="R251" t="str">
        <f>IF(M251="","",VLOOKUP(N251,Sim!$EF$46:$EG$61,2,0))</f>
        <v/>
      </c>
      <c r="S251" t="str">
        <f>IF(M251="","",VLOOKUP(N251,'Team Stats'!$B$3:$K$18,10,0))</f>
        <v/>
      </c>
      <c r="T251" s="84" t="str">
        <f t="shared" si="30"/>
        <v/>
      </c>
      <c r="U251" t="str">
        <f t="shared" si="31"/>
        <v/>
      </c>
    </row>
    <row r="252" spans="1:21">
      <c r="A252" s="73" t="s">
        <v>576</v>
      </c>
      <c r="B252" s="73" t="s">
        <v>204</v>
      </c>
      <c r="C252" s="74">
        <v>80</v>
      </c>
      <c r="D252" s="74"/>
      <c r="E252" s="74">
        <v>13</v>
      </c>
      <c r="F252" s="74"/>
      <c r="G252" s="74">
        <v>16</v>
      </c>
      <c r="H252" s="74"/>
      <c r="I252" s="63">
        <v>29</v>
      </c>
      <c r="J252" t="b">
        <f t="shared" si="24"/>
        <v>0</v>
      </c>
      <c r="K252" t="b">
        <f t="shared" si="25"/>
        <v>0</v>
      </c>
      <c r="M252" t="str">
        <f t="shared" si="26"/>
        <v/>
      </c>
      <c r="N252" t="str">
        <f t="shared" si="27"/>
        <v/>
      </c>
      <c r="O252" t="str">
        <f t="shared" si="28"/>
        <v/>
      </c>
      <c r="P252" t="str">
        <f>IF(M252="","",VLOOKUP(B252,'Team Stats'!$B$3:$K$18,5,0))</f>
        <v/>
      </c>
      <c r="Q252" t="str">
        <f t="shared" si="29"/>
        <v/>
      </c>
      <c r="R252" t="str">
        <f>IF(M252="","",VLOOKUP(N252,Sim!$EF$46:$EG$61,2,0))</f>
        <v/>
      </c>
      <c r="S252" t="str">
        <f>IF(M252="","",VLOOKUP(N252,'Team Stats'!$B$3:$K$18,10,0))</f>
        <v/>
      </c>
      <c r="T252" s="84" t="str">
        <f t="shared" si="30"/>
        <v/>
      </c>
      <c r="U252" t="str">
        <f t="shared" si="31"/>
        <v/>
      </c>
    </row>
    <row r="253" spans="1:21">
      <c r="A253" s="73" t="s">
        <v>577</v>
      </c>
      <c r="B253" s="73" t="s">
        <v>204</v>
      </c>
      <c r="C253" s="74">
        <v>76</v>
      </c>
      <c r="D253" s="74"/>
      <c r="E253" s="74">
        <v>11</v>
      </c>
      <c r="F253" s="74"/>
      <c r="G253" s="74">
        <v>18</v>
      </c>
      <c r="H253" s="74"/>
      <c r="I253" s="63">
        <v>29</v>
      </c>
      <c r="J253" t="b">
        <f t="shared" si="24"/>
        <v>0</v>
      </c>
      <c r="K253" t="b">
        <f t="shared" si="25"/>
        <v>0</v>
      </c>
      <c r="M253" t="str">
        <f t="shared" si="26"/>
        <v/>
      </c>
      <c r="N253" t="str">
        <f t="shared" si="27"/>
        <v/>
      </c>
      <c r="O253" t="str">
        <f t="shared" si="28"/>
        <v/>
      </c>
      <c r="P253" t="str">
        <f>IF(M253="","",VLOOKUP(B253,'Team Stats'!$B$3:$K$18,5,0))</f>
        <v/>
      </c>
      <c r="Q253" t="str">
        <f t="shared" si="29"/>
        <v/>
      </c>
      <c r="R253" t="str">
        <f>IF(M253="","",VLOOKUP(N253,Sim!$EF$46:$EG$61,2,0))</f>
        <v/>
      </c>
      <c r="S253" t="str">
        <f>IF(M253="","",VLOOKUP(N253,'Team Stats'!$B$3:$K$18,10,0))</f>
        <v/>
      </c>
      <c r="T253" s="84" t="str">
        <f t="shared" si="30"/>
        <v/>
      </c>
      <c r="U253" t="str">
        <f t="shared" si="31"/>
        <v/>
      </c>
    </row>
    <row r="254" spans="1:21">
      <c r="A254" s="73" t="s">
        <v>578</v>
      </c>
      <c r="B254" s="73" t="s">
        <v>205</v>
      </c>
      <c r="C254" s="74">
        <v>82</v>
      </c>
      <c r="D254" s="74"/>
      <c r="E254" s="74">
        <v>15</v>
      </c>
      <c r="F254" s="74"/>
      <c r="G254" s="74">
        <v>14</v>
      </c>
      <c r="H254" s="74"/>
      <c r="I254" s="63">
        <v>29</v>
      </c>
      <c r="J254" t="b">
        <f t="shared" si="24"/>
        <v>1</v>
      </c>
      <c r="K254" t="b">
        <f t="shared" si="25"/>
        <v>1</v>
      </c>
      <c r="M254" t="str">
        <f t="shared" si="26"/>
        <v> Andrew Cogliano</v>
      </c>
      <c r="N254" t="str">
        <f t="shared" si="27"/>
        <v>ANA</v>
      </c>
      <c r="O254">
        <f t="shared" si="28"/>
        <v>29</v>
      </c>
      <c r="P254">
        <f>IF(M254="","",VLOOKUP(B254,'Team Stats'!$B$3:$K$18,5,0))</f>
        <v>613</v>
      </c>
      <c r="Q254">
        <f t="shared" si="29"/>
        <v>4.730831973898858E-2</v>
      </c>
      <c r="R254">
        <f ca="1">IF(M254="","",VLOOKUP(N254,Sim!$EF$46:$EG$61,2,0))</f>
        <v>14.85</v>
      </c>
      <c r="S254">
        <f ca="1">IF(M254="","",VLOOKUP(N254,'Team Stats'!$B$3:$K$18,10,0))</f>
        <v>111.01280487804878</v>
      </c>
      <c r="T254" s="84">
        <f t="shared" ca="1" si="30"/>
        <v>5.251829268292683</v>
      </c>
      <c r="U254">
        <f t="shared" ca="1" si="31"/>
        <v>70</v>
      </c>
    </row>
    <row r="255" spans="1:21">
      <c r="A255" s="73" t="s">
        <v>579</v>
      </c>
      <c r="B255" s="73" t="s">
        <v>345</v>
      </c>
      <c r="C255" s="74">
        <v>79</v>
      </c>
      <c r="D255" s="74"/>
      <c r="E255" s="74">
        <v>10</v>
      </c>
      <c r="F255" s="74"/>
      <c r="G255" s="74">
        <v>19</v>
      </c>
      <c r="H255" s="74"/>
      <c r="I255" s="63">
        <v>29</v>
      </c>
      <c r="J255" t="b">
        <f t="shared" si="24"/>
        <v>0</v>
      </c>
      <c r="K255" t="b">
        <f t="shared" si="25"/>
        <v>0</v>
      </c>
      <c r="M255" t="str">
        <f t="shared" si="26"/>
        <v/>
      </c>
      <c r="N255" t="str">
        <f t="shared" si="27"/>
        <v/>
      </c>
      <c r="O255" t="str">
        <f t="shared" si="28"/>
        <v/>
      </c>
      <c r="P255" t="str">
        <f>IF(M255="","",VLOOKUP(B255,'Team Stats'!$B$3:$K$18,5,0))</f>
        <v/>
      </c>
      <c r="Q255" t="str">
        <f t="shared" si="29"/>
        <v/>
      </c>
      <c r="R255" t="str">
        <f>IF(M255="","",VLOOKUP(N255,Sim!$EF$46:$EG$61,2,0))</f>
        <v/>
      </c>
      <c r="S255" t="str">
        <f>IF(M255="","",VLOOKUP(N255,'Team Stats'!$B$3:$K$18,10,0))</f>
        <v/>
      </c>
      <c r="T255" s="84" t="str">
        <f t="shared" si="30"/>
        <v/>
      </c>
      <c r="U255" t="str">
        <f t="shared" si="31"/>
        <v/>
      </c>
    </row>
    <row r="256" spans="1:21">
      <c r="A256" s="73" t="s">
        <v>580</v>
      </c>
      <c r="B256" s="73" t="s">
        <v>202</v>
      </c>
      <c r="C256" s="74">
        <v>80</v>
      </c>
      <c r="D256" s="74"/>
      <c r="E256" s="74">
        <v>14</v>
      </c>
      <c r="F256" s="74"/>
      <c r="G256" s="74">
        <v>14</v>
      </c>
      <c r="H256" s="74"/>
      <c r="I256" s="63">
        <v>28</v>
      </c>
      <c r="J256" t="b">
        <f t="shared" si="24"/>
        <v>1</v>
      </c>
      <c r="K256" t="b">
        <f t="shared" si="25"/>
        <v>1</v>
      </c>
      <c r="M256" t="str">
        <f t="shared" si="26"/>
        <v> Bryan Bickell</v>
      </c>
      <c r="N256" t="str">
        <f t="shared" si="27"/>
        <v>CHI</v>
      </c>
      <c r="O256">
        <f t="shared" si="28"/>
        <v>28</v>
      </c>
      <c r="P256">
        <f>IF(M256="","",VLOOKUP(B256,'Team Stats'!$B$3:$K$18,5,0))</f>
        <v>601</v>
      </c>
      <c r="Q256">
        <f t="shared" si="29"/>
        <v>4.6589018302828619E-2</v>
      </c>
      <c r="R256">
        <f ca="1">IF(M256="","",VLOOKUP(N256,Sim!$EF$46:$EG$61,2,0))</f>
        <v>9.14</v>
      </c>
      <c r="S256">
        <f ca="1">IF(M256="","",VLOOKUP(N256,'Team Stats'!$B$3:$K$18,10,0))</f>
        <v>66.989512195121961</v>
      </c>
      <c r="T256" s="84">
        <f t="shared" ca="1" si="30"/>
        <v>3.1209756097560981</v>
      </c>
      <c r="U256">
        <f t="shared" ca="1" si="31"/>
        <v>127</v>
      </c>
    </row>
    <row r="257" spans="1:21">
      <c r="A257" s="73" t="s">
        <v>581</v>
      </c>
      <c r="B257" s="73" t="s">
        <v>199</v>
      </c>
      <c r="C257" s="74">
        <v>67</v>
      </c>
      <c r="D257" s="74"/>
      <c r="E257" s="74">
        <v>21</v>
      </c>
      <c r="F257" s="74"/>
      <c r="G257" s="74">
        <v>7</v>
      </c>
      <c r="H257" s="74"/>
      <c r="I257" s="63">
        <v>28</v>
      </c>
      <c r="J257" t="b">
        <f t="shared" si="24"/>
        <v>0</v>
      </c>
      <c r="K257" t="b">
        <f t="shared" si="25"/>
        <v>0</v>
      </c>
      <c r="M257" t="str">
        <f t="shared" si="26"/>
        <v/>
      </c>
      <c r="N257" t="str">
        <f t="shared" si="27"/>
        <v/>
      </c>
      <c r="O257" t="str">
        <f t="shared" si="28"/>
        <v/>
      </c>
      <c r="P257" t="str">
        <f>IF(M257="","",VLOOKUP(B257,'Team Stats'!$B$3:$K$18,5,0))</f>
        <v/>
      </c>
      <c r="Q257" t="str">
        <f t="shared" si="29"/>
        <v/>
      </c>
      <c r="R257" t="str">
        <f>IF(M257="","",VLOOKUP(N257,Sim!$EF$46:$EG$61,2,0))</f>
        <v/>
      </c>
      <c r="S257" t="str">
        <f>IF(M257="","",VLOOKUP(N257,'Team Stats'!$B$3:$K$18,10,0))</f>
        <v/>
      </c>
      <c r="T257" s="84" t="str">
        <f t="shared" si="30"/>
        <v/>
      </c>
      <c r="U257" t="str">
        <f t="shared" si="31"/>
        <v/>
      </c>
    </row>
    <row r="258" spans="1:21">
      <c r="A258" s="73" t="s">
        <v>582</v>
      </c>
      <c r="B258" s="73" t="s">
        <v>208</v>
      </c>
      <c r="C258" s="74">
        <v>64</v>
      </c>
      <c r="D258" s="74"/>
      <c r="E258" s="74">
        <v>8</v>
      </c>
      <c r="F258" s="74"/>
      <c r="G258" s="74">
        <v>20</v>
      </c>
      <c r="H258" s="74"/>
      <c r="I258" s="63">
        <v>28</v>
      </c>
      <c r="J258" t="b">
        <f t="shared" si="24"/>
        <v>0</v>
      </c>
      <c r="K258" t="b">
        <f t="shared" si="25"/>
        <v>0</v>
      </c>
      <c r="M258" t="str">
        <f t="shared" si="26"/>
        <v/>
      </c>
      <c r="N258" t="str">
        <f t="shared" si="27"/>
        <v/>
      </c>
      <c r="O258" t="str">
        <f t="shared" si="28"/>
        <v/>
      </c>
      <c r="P258" t="str">
        <f>IF(M258="","",VLOOKUP(B258,'Team Stats'!$B$3:$K$18,5,0))</f>
        <v/>
      </c>
      <c r="Q258" t="str">
        <f t="shared" si="29"/>
        <v/>
      </c>
      <c r="R258" t="str">
        <f>IF(M258="","",VLOOKUP(N258,Sim!$EF$46:$EG$61,2,0))</f>
        <v/>
      </c>
      <c r="S258" t="str">
        <f>IF(M258="","",VLOOKUP(N258,'Team Stats'!$B$3:$K$18,10,0))</f>
        <v/>
      </c>
      <c r="T258" s="84" t="str">
        <f t="shared" si="30"/>
        <v/>
      </c>
      <c r="U258" t="str">
        <f t="shared" si="31"/>
        <v/>
      </c>
    </row>
    <row r="259" spans="1:21">
      <c r="A259" s="73" t="s">
        <v>583</v>
      </c>
      <c r="B259" s="73" t="s">
        <v>210</v>
      </c>
      <c r="C259" s="74">
        <v>71</v>
      </c>
      <c r="D259" s="74"/>
      <c r="E259" s="74">
        <v>15</v>
      </c>
      <c r="F259" s="74"/>
      <c r="G259" s="74">
        <v>13</v>
      </c>
      <c r="H259" s="74"/>
      <c r="I259" s="63">
        <v>28</v>
      </c>
      <c r="J259" t="b">
        <f t="shared" si="24"/>
        <v>1</v>
      </c>
      <c r="K259" t="b">
        <f t="shared" si="25"/>
        <v>1</v>
      </c>
      <c r="M259" t="str">
        <f t="shared" si="26"/>
        <v> Lee Stempniak</v>
      </c>
      <c r="N259" t="str">
        <f t="shared" si="27"/>
        <v>WPG</v>
      </c>
      <c r="O259">
        <f t="shared" si="28"/>
        <v>28</v>
      </c>
      <c r="P259">
        <f>IF(M259="","",VLOOKUP(B259,'Team Stats'!$B$3:$K$18,5,0))</f>
        <v>594</v>
      </c>
      <c r="Q259">
        <f t="shared" si="29"/>
        <v>4.7138047138047139E-2</v>
      </c>
      <c r="R259">
        <f ca="1">IF(M259="","",VLOOKUP(N259,Sim!$EF$46:$EG$61,2,0))</f>
        <v>8.94</v>
      </c>
      <c r="S259">
        <f ca="1">IF(M259="","",VLOOKUP(N259,'Team Stats'!$B$3:$K$18,10,0))</f>
        <v>64.760487804878053</v>
      </c>
      <c r="T259" s="84">
        <f t="shared" ca="1" si="30"/>
        <v>3.0526829268292683</v>
      </c>
      <c r="U259">
        <f t="shared" ca="1" si="31"/>
        <v>130</v>
      </c>
    </row>
    <row r="260" spans="1:21">
      <c r="A260" s="73" t="s">
        <v>584</v>
      </c>
      <c r="B260" s="73" t="s">
        <v>218</v>
      </c>
      <c r="C260" s="74">
        <v>78</v>
      </c>
      <c r="D260" s="74"/>
      <c r="E260" s="74">
        <v>10</v>
      </c>
      <c r="F260" s="74"/>
      <c r="G260" s="74">
        <v>18</v>
      </c>
      <c r="H260" s="74"/>
      <c r="I260" s="63">
        <v>28</v>
      </c>
      <c r="J260" t="b">
        <f t="shared" ref="J260:J323" si="32">OR(B260="MTL",B260="OTT",B260="TBL",B260="DET",B260="WSH",B260="NYI",B260="NYR",B260="PIT",B260="STL",B260="MIN",B260="NSH",B260="CHI",B260="VAN",B260="CAL",B260="ANA",B260="WPG")</f>
        <v>0</v>
      </c>
      <c r="K260" t="b">
        <f t="shared" ref="K260:K323" si="33">J260</f>
        <v>0</v>
      </c>
      <c r="M260" t="str">
        <f t="shared" ref="M260:M323" si="34">IF(K260=FALSE,"",A260)</f>
        <v/>
      </c>
      <c r="N260" t="str">
        <f t="shared" ref="N260:N323" si="35">IF(M260="","",B260)</f>
        <v/>
      </c>
      <c r="O260" t="str">
        <f t="shared" ref="O260:O323" si="36">IF(M260="","",I260)</f>
        <v/>
      </c>
      <c r="P260" t="str">
        <f>IF(M260="","",VLOOKUP(B260,'Team Stats'!$B$3:$K$18,5,0))</f>
        <v/>
      </c>
      <c r="Q260" t="str">
        <f t="shared" ref="Q260:Q323" si="37">IF(N260="","",IF(O260=0,0,O260/P260))</f>
        <v/>
      </c>
      <c r="R260" t="str">
        <f>IF(M260="","",VLOOKUP(N260,Sim!$EF$46:$EG$61,2,0))</f>
        <v/>
      </c>
      <c r="S260" t="str">
        <f>IF(M260="","",VLOOKUP(N260,'Team Stats'!$B$3:$K$18,10,0))</f>
        <v/>
      </c>
      <c r="T260" s="84" t="str">
        <f t="shared" ref="T260:T323" si="38">IF(M260="","",IF(O260=0,0,Q260*S260))</f>
        <v/>
      </c>
      <c r="U260" t="str">
        <f t="shared" ref="U260:U323" si="39">IF(M260="","",RANK(T260,$T$3:$T$884,0))</f>
        <v/>
      </c>
    </row>
    <row r="261" spans="1:21">
      <c r="A261" s="73" t="s">
        <v>585</v>
      </c>
      <c r="B261" s="73" t="s">
        <v>210</v>
      </c>
      <c r="C261" s="74">
        <v>71</v>
      </c>
      <c r="D261" s="74"/>
      <c r="E261" s="74">
        <v>7</v>
      </c>
      <c r="F261" s="74"/>
      <c r="G261" s="74">
        <v>21</v>
      </c>
      <c r="H261" s="74"/>
      <c r="I261" s="63">
        <v>28</v>
      </c>
      <c r="J261" t="b">
        <f t="shared" si="32"/>
        <v>1</v>
      </c>
      <c r="K261" t="b">
        <f t="shared" si="33"/>
        <v>1</v>
      </c>
      <c r="M261" t="str">
        <f t="shared" si="34"/>
        <v> Tyler Myers</v>
      </c>
      <c r="N261" t="str">
        <f t="shared" si="35"/>
        <v>WPG</v>
      </c>
      <c r="O261">
        <f t="shared" si="36"/>
        <v>28</v>
      </c>
      <c r="P261">
        <f>IF(M261="","",VLOOKUP(B261,'Team Stats'!$B$3:$K$18,5,0))</f>
        <v>594</v>
      </c>
      <c r="Q261">
        <f t="shared" si="37"/>
        <v>4.7138047138047139E-2</v>
      </c>
      <c r="R261">
        <f ca="1">IF(M261="","",VLOOKUP(N261,Sim!$EF$46:$EG$61,2,0))</f>
        <v>8.94</v>
      </c>
      <c r="S261">
        <f ca="1">IF(M261="","",VLOOKUP(N261,'Team Stats'!$B$3:$K$18,10,0))</f>
        <v>64.760487804878053</v>
      </c>
      <c r="T261" s="84">
        <f t="shared" ca="1" si="38"/>
        <v>3.0526829268292683</v>
      </c>
      <c r="U261">
        <f t="shared" ca="1" si="39"/>
        <v>130</v>
      </c>
    </row>
    <row r="262" spans="1:21">
      <c r="A262" s="73" t="s">
        <v>586</v>
      </c>
      <c r="B262" s="73" t="s">
        <v>217</v>
      </c>
      <c r="C262" s="74">
        <v>80</v>
      </c>
      <c r="D262" s="74"/>
      <c r="E262" s="74">
        <v>7</v>
      </c>
      <c r="F262" s="74"/>
      <c r="G262" s="74">
        <v>21</v>
      </c>
      <c r="H262" s="74"/>
      <c r="I262" s="63">
        <v>28</v>
      </c>
      <c r="J262" t="b">
        <f t="shared" si="32"/>
        <v>0</v>
      </c>
      <c r="K262" t="b">
        <f t="shared" si="33"/>
        <v>0</v>
      </c>
      <c r="M262" t="str">
        <f t="shared" si="34"/>
        <v/>
      </c>
      <c r="N262" t="str">
        <f t="shared" si="35"/>
        <v/>
      </c>
      <c r="O262" t="str">
        <f t="shared" si="36"/>
        <v/>
      </c>
      <c r="P262" t="str">
        <f>IF(M262="","",VLOOKUP(B262,'Team Stats'!$B$3:$K$18,5,0))</f>
        <v/>
      </c>
      <c r="Q262" t="str">
        <f t="shared" si="37"/>
        <v/>
      </c>
      <c r="R262" t="str">
        <f>IF(M262="","",VLOOKUP(N262,Sim!$EF$46:$EG$61,2,0))</f>
        <v/>
      </c>
      <c r="S262" t="str">
        <f>IF(M262="","",VLOOKUP(N262,'Team Stats'!$B$3:$K$18,10,0))</f>
        <v/>
      </c>
      <c r="T262" s="84" t="str">
        <f t="shared" si="38"/>
        <v/>
      </c>
      <c r="U262" t="str">
        <f t="shared" si="39"/>
        <v/>
      </c>
    </row>
    <row r="263" spans="1:21">
      <c r="A263" s="73" t="s">
        <v>587</v>
      </c>
      <c r="B263" s="73" t="s">
        <v>198</v>
      </c>
      <c r="C263" s="74">
        <v>72</v>
      </c>
      <c r="D263" s="74"/>
      <c r="E263" s="74">
        <v>14</v>
      </c>
      <c r="F263" s="74"/>
      <c r="G263" s="74">
        <v>14</v>
      </c>
      <c r="H263" s="74"/>
      <c r="I263" s="63">
        <v>28</v>
      </c>
      <c r="J263" t="b">
        <f t="shared" si="32"/>
        <v>1</v>
      </c>
      <c r="K263" t="b">
        <f t="shared" si="33"/>
        <v>1</v>
      </c>
      <c r="M263" t="str">
        <f t="shared" si="34"/>
        <v> Steve Downie</v>
      </c>
      <c r="N263" t="str">
        <f t="shared" si="35"/>
        <v>PIT</v>
      </c>
      <c r="O263">
        <f t="shared" si="36"/>
        <v>28</v>
      </c>
      <c r="P263">
        <f>IF(M263="","",VLOOKUP(B263,'Team Stats'!$B$3:$K$18,5,0))</f>
        <v>600</v>
      </c>
      <c r="Q263">
        <f t="shared" si="37"/>
        <v>4.6666666666666669E-2</v>
      </c>
      <c r="R263">
        <f ca="1">IF(M263="","",VLOOKUP(N263,Sim!$EF$46:$EG$61,2,0))</f>
        <v>9.74</v>
      </c>
      <c r="S263">
        <f ca="1">IF(M263="","",VLOOKUP(N263,'Team Stats'!$B$3:$K$18,10,0))</f>
        <v>71.268292682926827</v>
      </c>
      <c r="T263" s="84">
        <f t="shared" ca="1" si="38"/>
        <v>3.3258536585365852</v>
      </c>
      <c r="U263">
        <f t="shared" ca="1" si="39"/>
        <v>120</v>
      </c>
    </row>
    <row r="264" spans="1:21">
      <c r="A264" s="73" t="s">
        <v>588</v>
      </c>
      <c r="B264" s="73" t="s">
        <v>222</v>
      </c>
      <c r="C264" s="74">
        <v>45</v>
      </c>
      <c r="D264" s="74"/>
      <c r="E264" s="74">
        <v>14</v>
      </c>
      <c r="F264" s="74"/>
      <c r="G264" s="74">
        <v>14</v>
      </c>
      <c r="H264" s="74"/>
      <c r="I264" s="63">
        <v>28</v>
      </c>
      <c r="J264" t="b">
        <f t="shared" si="32"/>
        <v>0</v>
      </c>
      <c r="K264" t="b">
        <f t="shared" si="33"/>
        <v>0</v>
      </c>
      <c r="M264" t="str">
        <f t="shared" si="34"/>
        <v/>
      </c>
      <c r="N264" t="str">
        <f t="shared" si="35"/>
        <v/>
      </c>
      <c r="O264" t="str">
        <f t="shared" si="36"/>
        <v/>
      </c>
      <c r="P264" t="str">
        <f>IF(M264="","",VLOOKUP(B264,'Team Stats'!$B$3:$K$18,5,0))</f>
        <v/>
      </c>
      <c r="Q264" t="str">
        <f t="shared" si="37"/>
        <v/>
      </c>
      <c r="R264" t="str">
        <f>IF(M264="","",VLOOKUP(N264,Sim!$EF$46:$EG$61,2,0))</f>
        <v/>
      </c>
      <c r="S264" t="str">
        <f>IF(M264="","",VLOOKUP(N264,'Team Stats'!$B$3:$K$18,10,0))</f>
        <v/>
      </c>
      <c r="T264" s="84" t="str">
        <f t="shared" si="38"/>
        <v/>
      </c>
      <c r="U264" t="str">
        <f t="shared" si="39"/>
        <v/>
      </c>
    </row>
    <row r="265" spans="1:21">
      <c r="A265" s="73" t="s">
        <v>589</v>
      </c>
      <c r="B265" s="73" t="s">
        <v>206</v>
      </c>
      <c r="C265" s="74">
        <v>78</v>
      </c>
      <c r="D265" s="74"/>
      <c r="E265" s="74">
        <v>18</v>
      </c>
      <c r="F265" s="74"/>
      <c r="G265" s="74">
        <v>9</v>
      </c>
      <c r="H265" s="74"/>
      <c r="I265" s="63">
        <v>27</v>
      </c>
      <c r="J265" t="b">
        <f t="shared" si="32"/>
        <v>1</v>
      </c>
      <c r="K265" t="b">
        <f t="shared" si="33"/>
        <v>1</v>
      </c>
      <c r="M265" t="str">
        <f t="shared" si="34"/>
        <v> Shawn Matthias</v>
      </c>
      <c r="N265" t="str">
        <f t="shared" si="35"/>
        <v>VAN</v>
      </c>
      <c r="O265">
        <f t="shared" si="36"/>
        <v>27</v>
      </c>
      <c r="P265">
        <f>IF(M265="","",VLOOKUP(B265,'Team Stats'!$B$3:$K$18,5,0))</f>
        <v>642</v>
      </c>
      <c r="Q265">
        <f t="shared" si="37"/>
        <v>4.2056074766355138E-2</v>
      </c>
      <c r="R265">
        <f ca="1">IF(M265="","",VLOOKUP(N265,Sim!$EF$46:$EG$61,2,0))</f>
        <v>10.35</v>
      </c>
      <c r="S265">
        <f ca="1">IF(M265="","",VLOOKUP(N265,'Team Stats'!$B$3:$K$18,10,0))</f>
        <v>81.032926829268291</v>
      </c>
      <c r="T265" s="84">
        <f t="shared" ca="1" si="38"/>
        <v>3.4079268292682925</v>
      </c>
      <c r="U265">
        <f t="shared" ca="1" si="39"/>
        <v>117</v>
      </c>
    </row>
    <row r="266" spans="1:21">
      <c r="A266" s="73" t="s">
        <v>590</v>
      </c>
      <c r="B266" s="73" t="s">
        <v>365</v>
      </c>
      <c r="C266" s="74">
        <v>58</v>
      </c>
      <c r="D266" s="74"/>
      <c r="E266" s="74">
        <v>9</v>
      </c>
      <c r="F266" s="74"/>
      <c r="G266" s="74">
        <v>18</v>
      </c>
      <c r="H266" s="74"/>
      <c r="I266" s="63">
        <v>27</v>
      </c>
      <c r="J266" t="b">
        <f t="shared" si="32"/>
        <v>0</v>
      </c>
      <c r="K266" t="b">
        <f t="shared" si="33"/>
        <v>0</v>
      </c>
      <c r="M266" t="str">
        <f t="shared" si="34"/>
        <v/>
      </c>
      <c r="N266" t="str">
        <f t="shared" si="35"/>
        <v/>
      </c>
      <c r="O266" t="str">
        <f t="shared" si="36"/>
        <v/>
      </c>
      <c r="P266" t="str">
        <f>IF(M266="","",VLOOKUP(B266,'Team Stats'!$B$3:$K$18,5,0))</f>
        <v/>
      </c>
      <c r="Q266" t="str">
        <f t="shared" si="37"/>
        <v/>
      </c>
      <c r="R266" t="str">
        <f>IF(M266="","",VLOOKUP(N266,Sim!$EF$46:$EG$61,2,0))</f>
        <v/>
      </c>
      <c r="S266" t="str">
        <f>IF(M266="","",VLOOKUP(N266,'Team Stats'!$B$3:$K$18,10,0))</f>
        <v/>
      </c>
      <c r="T266" s="84" t="str">
        <f t="shared" si="38"/>
        <v/>
      </c>
      <c r="U266" t="str">
        <f t="shared" si="39"/>
        <v/>
      </c>
    </row>
    <row r="267" spans="1:21">
      <c r="A267" s="73" t="s">
        <v>591</v>
      </c>
      <c r="B267" s="73" t="s">
        <v>219</v>
      </c>
      <c r="C267" s="74">
        <v>82</v>
      </c>
      <c r="D267" s="74"/>
      <c r="E267" s="74">
        <v>3</v>
      </c>
      <c r="F267" s="74"/>
      <c r="G267" s="74">
        <v>24</v>
      </c>
      <c r="H267" s="74"/>
      <c r="I267" s="63">
        <v>27</v>
      </c>
      <c r="J267" t="b">
        <f t="shared" si="32"/>
        <v>0</v>
      </c>
      <c r="K267" t="b">
        <f t="shared" si="33"/>
        <v>0</v>
      </c>
      <c r="M267" t="str">
        <f t="shared" si="34"/>
        <v/>
      </c>
      <c r="N267" t="str">
        <f t="shared" si="35"/>
        <v/>
      </c>
      <c r="O267" t="str">
        <f t="shared" si="36"/>
        <v/>
      </c>
      <c r="P267" t="str">
        <f>IF(M267="","",VLOOKUP(B267,'Team Stats'!$B$3:$K$18,5,0))</f>
        <v/>
      </c>
      <c r="Q267" t="str">
        <f t="shared" si="37"/>
        <v/>
      </c>
      <c r="R267" t="str">
        <f>IF(M267="","",VLOOKUP(N267,Sim!$EF$46:$EG$61,2,0))</f>
        <v/>
      </c>
      <c r="S267" t="str">
        <f>IF(M267="","",VLOOKUP(N267,'Team Stats'!$B$3:$K$18,10,0))</f>
        <v/>
      </c>
      <c r="T267" s="84" t="str">
        <f t="shared" si="38"/>
        <v/>
      </c>
      <c r="U267" t="str">
        <f t="shared" si="39"/>
        <v/>
      </c>
    </row>
    <row r="268" spans="1:21">
      <c r="A268" s="73" t="s">
        <v>592</v>
      </c>
      <c r="B268" s="73" t="s">
        <v>205</v>
      </c>
      <c r="C268" s="74">
        <v>66</v>
      </c>
      <c r="D268" s="74"/>
      <c r="E268" s="74">
        <v>8</v>
      </c>
      <c r="F268" s="74"/>
      <c r="G268" s="74">
        <v>19</v>
      </c>
      <c r="H268" s="74"/>
      <c r="I268" s="63">
        <v>27</v>
      </c>
      <c r="J268" t="b">
        <f t="shared" si="32"/>
        <v>1</v>
      </c>
      <c r="K268" t="b">
        <f t="shared" si="33"/>
        <v>1</v>
      </c>
      <c r="M268" t="str">
        <f t="shared" si="34"/>
        <v> Tomas Fleischmann</v>
      </c>
      <c r="N268" t="str">
        <f t="shared" si="35"/>
        <v>ANA</v>
      </c>
      <c r="O268">
        <f t="shared" si="36"/>
        <v>27</v>
      </c>
      <c r="P268">
        <f>IF(M268="","",VLOOKUP(B268,'Team Stats'!$B$3:$K$18,5,0))</f>
        <v>613</v>
      </c>
      <c r="Q268">
        <f t="shared" si="37"/>
        <v>4.4045676998368678E-2</v>
      </c>
      <c r="R268">
        <f ca="1">IF(M268="","",VLOOKUP(N268,Sim!$EF$46:$EG$61,2,0))</f>
        <v>14.85</v>
      </c>
      <c r="S268">
        <f ca="1">IF(M268="","",VLOOKUP(N268,'Team Stats'!$B$3:$K$18,10,0))</f>
        <v>111.01280487804878</v>
      </c>
      <c r="T268" s="84">
        <f t="shared" ca="1" si="38"/>
        <v>4.8896341463414634</v>
      </c>
      <c r="U268">
        <f t="shared" ca="1" si="39"/>
        <v>80</v>
      </c>
    </row>
    <row r="269" spans="1:21">
      <c r="A269" s="73" t="s">
        <v>593</v>
      </c>
      <c r="B269" s="73" t="s">
        <v>203</v>
      </c>
      <c r="C269" s="74">
        <v>82</v>
      </c>
      <c r="D269" s="74"/>
      <c r="E269" s="74">
        <v>10</v>
      </c>
      <c r="F269" s="74"/>
      <c r="G269" s="74">
        <v>17</v>
      </c>
      <c r="H269" s="74"/>
      <c r="I269" s="63">
        <v>27</v>
      </c>
      <c r="J269" t="b">
        <f t="shared" si="32"/>
        <v>1</v>
      </c>
      <c r="K269" t="b">
        <f t="shared" si="33"/>
        <v>1</v>
      </c>
      <c r="M269" t="str">
        <f t="shared" si="34"/>
        <v> Dominic Moore</v>
      </c>
      <c r="N269" t="str">
        <f t="shared" si="35"/>
        <v>NYR</v>
      </c>
      <c r="O269">
        <f t="shared" si="36"/>
        <v>27</v>
      </c>
      <c r="P269">
        <f>IF(M269="","",VLOOKUP(B269,'Team Stats'!$B$3:$K$18,5,0))</f>
        <v>659</v>
      </c>
      <c r="Q269">
        <f t="shared" si="37"/>
        <v>4.09711684370258E-2</v>
      </c>
      <c r="R269">
        <f ca="1">IF(M269="","",VLOOKUP(N269,Sim!$EF$46:$EG$61,2,0))</f>
        <v>8.7200000000000006</v>
      </c>
      <c r="S269">
        <f ca="1">IF(M269="","",VLOOKUP(N269,'Team Stats'!$B$3:$K$18,10,0))</f>
        <v>70.079024390243916</v>
      </c>
      <c r="T269" s="84">
        <f t="shared" ca="1" si="38"/>
        <v>2.8712195121951227</v>
      </c>
      <c r="U269">
        <f t="shared" ca="1" si="39"/>
        <v>137</v>
      </c>
    </row>
    <row r="270" spans="1:21">
      <c r="A270" s="73" t="s">
        <v>594</v>
      </c>
      <c r="B270" s="73" t="s">
        <v>200</v>
      </c>
      <c r="C270" s="74">
        <v>77</v>
      </c>
      <c r="D270" s="74"/>
      <c r="E270" s="74">
        <v>12</v>
      </c>
      <c r="F270" s="74"/>
      <c r="G270" s="74">
        <v>15</v>
      </c>
      <c r="H270" s="74"/>
      <c r="I270" s="63">
        <v>27</v>
      </c>
      <c r="J270" t="b">
        <f t="shared" si="32"/>
        <v>1</v>
      </c>
      <c r="K270" t="b">
        <f t="shared" si="33"/>
        <v>1</v>
      </c>
      <c r="M270" t="str">
        <f t="shared" si="34"/>
        <v> Patrik Berglund</v>
      </c>
      <c r="N270" t="str">
        <f t="shared" si="35"/>
        <v>STL</v>
      </c>
      <c r="O270">
        <f t="shared" si="36"/>
        <v>27</v>
      </c>
      <c r="P270">
        <f>IF(M270="","",VLOOKUP(B270,'Team Stats'!$B$3:$K$18,5,0))</f>
        <v>660</v>
      </c>
      <c r="Q270">
        <f t="shared" si="37"/>
        <v>4.0909090909090909E-2</v>
      </c>
      <c r="R270">
        <f ca="1">IF(M270="","",VLOOKUP(N270,Sim!$EF$46:$EG$61,2,0))</f>
        <v>10.87</v>
      </c>
      <c r="S270">
        <f ca="1">IF(M270="","",VLOOKUP(N270,'Team Stats'!$B$3:$K$18,10,0))</f>
        <v>87.490243902439019</v>
      </c>
      <c r="T270" s="84">
        <f t="shared" ca="1" si="38"/>
        <v>3.5791463414634146</v>
      </c>
      <c r="U270">
        <f t="shared" ca="1" si="39"/>
        <v>111</v>
      </c>
    </row>
    <row r="271" spans="1:21">
      <c r="A271" s="73" t="s">
        <v>595</v>
      </c>
      <c r="B271" s="73" t="s">
        <v>217</v>
      </c>
      <c r="C271" s="74">
        <v>46</v>
      </c>
      <c r="D271" s="74"/>
      <c r="E271" s="74">
        <v>10</v>
      </c>
      <c r="F271" s="74"/>
      <c r="G271" s="74">
        <v>17</v>
      </c>
      <c r="H271" s="74"/>
      <c r="I271" s="63">
        <v>27</v>
      </c>
      <c r="J271" t="b">
        <f t="shared" si="32"/>
        <v>0</v>
      </c>
      <c r="K271" t="b">
        <f t="shared" si="33"/>
        <v>0</v>
      </c>
      <c r="M271" t="str">
        <f t="shared" si="34"/>
        <v/>
      </c>
      <c r="N271" t="str">
        <f t="shared" si="35"/>
        <v/>
      </c>
      <c r="O271" t="str">
        <f t="shared" si="36"/>
        <v/>
      </c>
      <c r="P271" t="str">
        <f>IF(M271="","",VLOOKUP(B271,'Team Stats'!$B$3:$K$18,5,0))</f>
        <v/>
      </c>
      <c r="Q271" t="str">
        <f t="shared" si="37"/>
        <v/>
      </c>
      <c r="R271" t="str">
        <f>IF(M271="","",VLOOKUP(N271,Sim!$EF$46:$EG$61,2,0))</f>
        <v/>
      </c>
      <c r="S271" t="str">
        <f>IF(M271="","",VLOOKUP(N271,'Team Stats'!$B$3:$K$18,10,0))</f>
        <v/>
      </c>
      <c r="T271" s="84" t="str">
        <f t="shared" si="38"/>
        <v/>
      </c>
      <c r="U271" t="str">
        <f t="shared" si="39"/>
        <v/>
      </c>
    </row>
    <row r="272" spans="1:21">
      <c r="A272" s="73" t="s">
        <v>596</v>
      </c>
      <c r="B272" s="73" t="s">
        <v>357</v>
      </c>
      <c r="C272" s="74">
        <v>82</v>
      </c>
      <c r="D272" s="74"/>
      <c r="E272" s="74">
        <v>11</v>
      </c>
      <c r="F272" s="74"/>
      <c r="G272" s="74">
        <v>16</v>
      </c>
      <c r="H272" s="74"/>
      <c r="I272" s="63">
        <v>27</v>
      </c>
      <c r="J272" t="b">
        <f t="shared" si="32"/>
        <v>0</v>
      </c>
      <c r="K272" t="b">
        <f t="shared" si="33"/>
        <v>0</v>
      </c>
      <c r="M272" t="str">
        <f t="shared" si="34"/>
        <v/>
      </c>
      <c r="N272" t="str">
        <f t="shared" si="35"/>
        <v/>
      </c>
      <c r="O272" t="str">
        <f t="shared" si="36"/>
        <v/>
      </c>
      <c r="P272" t="str">
        <f>IF(M272="","",VLOOKUP(B272,'Team Stats'!$B$3:$K$18,5,0))</f>
        <v/>
      </c>
      <c r="Q272" t="str">
        <f t="shared" si="37"/>
        <v/>
      </c>
      <c r="R272" t="str">
        <f>IF(M272="","",VLOOKUP(N272,Sim!$EF$46:$EG$61,2,0))</f>
        <v/>
      </c>
      <c r="S272" t="str">
        <f>IF(M272="","",VLOOKUP(N272,'Team Stats'!$B$3:$K$18,10,0))</f>
        <v/>
      </c>
      <c r="T272" s="84" t="str">
        <f t="shared" si="38"/>
        <v/>
      </c>
      <c r="U272" t="str">
        <f t="shared" si="39"/>
        <v/>
      </c>
    </row>
    <row r="273" spans="1:21">
      <c r="A273" s="73" t="s">
        <v>597</v>
      </c>
      <c r="B273" s="73" t="s">
        <v>198</v>
      </c>
      <c r="C273" s="74">
        <v>82</v>
      </c>
      <c r="D273" s="74"/>
      <c r="E273" s="74">
        <v>9</v>
      </c>
      <c r="F273" s="74"/>
      <c r="G273" s="74">
        <v>18</v>
      </c>
      <c r="H273" s="74"/>
      <c r="I273" s="63">
        <v>27</v>
      </c>
      <c r="J273" t="b">
        <f t="shared" si="32"/>
        <v>1</v>
      </c>
      <c r="K273" t="b">
        <f t="shared" si="33"/>
        <v>1</v>
      </c>
      <c r="M273" t="str">
        <f t="shared" si="34"/>
        <v> Nick Spaling</v>
      </c>
      <c r="N273" t="str">
        <f t="shared" si="35"/>
        <v>PIT</v>
      </c>
      <c r="O273">
        <f t="shared" si="36"/>
        <v>27</v>
      </c>
      <c r="P273">
        <f>IF(M273="","",VLOOKUP(B273,'Team Stats'!$B$3:$K$18,5,0))</f>
        <v>600</v>
      </c>
      <c r="Q273">
        <f t="shared" si="37"/>
        <v>4.4999999999999998E-2</v>
      </c>
      <c r="R273">
        <f ca="1">IF(M273="","",VLOOKUP(N273,Sim!$EF$46:$EG$61,2,0))</f>
        <v>9.74</v>
      </c>
      <c r="S273">
        <f ca="1">IF(M273="","",VLOOKUP(N273,'Team Stats'!$B$3:$K$18,10,0))</f>
        <v>71.268292682926827</v>
      </c>
      <c r="T273" s="84">
        <f t="shared" ca="1" si="38"/>
        <v>3.2070731707317073</v>
      </c>
      <c r="U273">
        <f t="shared" ca="1" si="39"/>
        <v>124</v>
      </c>
    </row>
    <row r="274" spans="1:21">
      <c r="A274" s="73" t="s">
        <v>598</v>
      </c>
      <c r="B274" s="73" t="s">
        <v>214</v>
      </c>
      <c r="C274" s="74">
        <v>80</v>
      </c>
      <c r="D274" s="74"/>
      <c r="E274" s="74">
        <v>9</v>
      </c>
      <c r="F274" s="74"/>
      <c r="G274" s="74">
        <v>18</v>
      </c>
      <c r="H274" s="74"/>
      <c r="I274" s="63">
        <v>27</v>
      </c>
      <c r="J274" t="b">
        <f t="shared" si="32"/>
        <v>1</v>
      </c>
      <c r="K274" t="b">
        <f t="shared" si="33"/>
        <v>1</v>
      </c>
      <c r="M274" t="str">
        <f t="shared" si="34"/>
        <v> David Legwand</v>
      </c>
      <c r="N274" t="str">
        <f t="shared" si="35"/>
        <v>OTT</v>
      </c>
      <c r="O274">
        <f t="shared" si="36"/>
        <v>27</v>
      </c>
      <c r="P274">
        <f>IF(M274="","",VLOOKUP(B274,'Team Stats'!$B$3:$K$18,5,0))</f>
        <v>619</v>
      </c>
      <c r="Q274">
        <f t="shared" si="37"/>
        <v>4.361873990306947E-2</v>
      </c>
      <c r="R274">
        <f ca="1">IF(M274="","",VLOOKUP(N274,Sim!$EF$46:$EG$61,2,0))</f>
        <v>10.71</v>
      </c>
      <c r="S274">
        <f ca="1">IF(M274="","",VLOOKUP(N274,'Team Stats'!$B$3:$K$18,10,0))</f>
        <v>80.847439024390255</v>
      </c>
      <c r="T274" s="84">
        <f t="shared" ca="1" si="38"/>
        <v>3.5264634146341471</v>
      </c>
      <c r="U274">
        <f t="shared" ca="1" si="39"/>
        <v>114</v>
      </c>
    </row>
    <row r="275" spans="1:21">
      <c r="A275" s="73" t="s">
        <v>599</v>
      </c>
      <c r="B275" s="73" t="s">
        <v>340</v>
      </c>
      <c r="C275" s="74">
        <v>72</v>
      </c>
      <c r="D275" s="74"/>
      <c r="E275" s="74">
        <v>10</v>
      </c>
      <c r="F275" s="74"/>
      <c r="G275" s="74">
        <v>17</v>
      </c>
      <c r="H275" s="74"/>
      <c r="I275" s="63">
        <v>27</v>
      </c>
      <c r="J275" t="b">
        <f t="shared" si="32"/>
        <v>0</v>
      </c>
      <c r="K275" t="b">
        <f t="shared" si="33"/>
        <v>0</v>
      </c>
      <c r="M275" t="str">
        <f t="shared" si="34"/>
        <v/>
      </c>
      <c r="N275" t="str">
        <f t="shared" si="35"/>
        <v/>
      </c>
      <c r="O275" t="str">
        <f t="shared" si="36"/>
        <v/>
      </c>
      <c r="P275" t="str">
        <f>IF(M275="","",VLOOKUP(B275,'Team Stats'!$B$3:$K$18,5,0))</f>
        <v/>
      </c>
      <c r="Q275" t="str">
        <f t="shared" si="37"/>
        <v/>
      </c>
      <c r="R275" t="str">
        <f>IF(M275="","",VLOOKUP(N275,Sim!$EF$46:$EG$61,2,0))</f>
        <v/>
      </c>
      <c r="S275" t="str">
        <f>IF(M275="","",VLOOKUP(N275,'Team Stats'!$B$3:$K$18,10,0))</f>
        <v/>
      </c>
      <c r="T275" s="84" t="str">
        <f t="shared" si="38"/>
        <v/>
      </c>
      <c r="U275" t="str">
        <f t="shared" si="39"/>
        <v/>
      </c>
    </row>
    <row r="276" spans="1:21">
      <c r="A276" s="73" t="s">
        <v>600</v>
      </c>
      <c r="B276" s="73" t="s">
        <v>204</v>
      </c>
      <c r="C276" s="74">
        <v>47</v>
      </c>
      <c r="D276" s="74"/>
      <c r="E276" s="74">
        <v>14</v>
      </c>
      <c r="F276" s="74"/>
      <c r="G276" s="74">
        <v>13</v>
      </c>
      <c r="H276" s="74"/>
      <c r="I276" s="63">
        <v>27</v>
      </c>
      <c r="J276" t="b">
        <f t="shared" si="32"/>
        <v>0</v>
      </c>
      <c r="K276" t="b">
        <f t="shared" si="33"/>
        <v>0</v>
      </c>
      <c r="M276" t="str">
        <f t="shared" si="34"/>
        <v/>
      </c>
      <c r="N276" t="str">
        <f t="shared" si="35"/>
        <v/>
      </c>
      <c r="O276" t="str">
        <f t="shared" si="36"/>
        <v/>
      </c>
      <c r="P276" t="str">
        <f>IF(M276="","",VLOOKUP(B276,'Team Stats'!$B$3:$K$18,5,0))</f>
        <v/>
      </c>
      <c r="Q276" t="str">
        <f t="shared" si="37"/>
        <v/>
      </c>
      <c r="R276" t="str">
        <f>IF(M276="","",VLOOKUP(N276,Sim!$EF$46:$EG$61,2,0))</f>
        <v/>
      </c>
      <c r="S276" t="str">
        <f>IF(M276="","",VLOOKUP(N276,'Team Stats'!$B$3:$K$18,10,0))</f>
        <v/>
      </c>
      <c r="T276" s="84" t="str">
        <f t="shared" si="38"/>
        <v/>
      </c>
      <c r="U276" t="str">
        <f t="shared" si="39"/>
        <v/>
      </c>
    </row>
    <row r="277" spans="1:21">
      <c r="A277" s="73" t="s">
        <v>601</v>
      </c>
      <c r="B277" s="73" t="s">
        <v>345</v>
      </c>
      <c r="C277" s="74">
        <v>77</v>
      </c>
      <c r="D277" s="74"/>
      <c r="E277" s="74">
        <v>15</v>
      </c>
      <c r="F277" s="74"/>
      <c r="G277" s="74">
        <v>12</v>
      </c>
      <c r="H277" s="74"/>
      <c r="I277" s="63">
        <v>27</v>
      </c>
      <c r="J277" t="b">
        <f t="shared" si="32"/>
        <v>0</v>
      </c>
      <c r="K277" t="b">
        <f t="shared" si="33"/>
        <v>0</v>
      </c>
      <c r="M277" t="str">
        <f t="shared" si="34"/>
        <v/>
      </c>
      <c r="N277" t="str">
        <f t="shared" si="35"/>
        <v/>
      </c>
      <c r="O277" t="str">
        <f t="shared" si="36"/>
        <v/>
      </c>
      <c r="P277" t="str">
        <f>IF(M277="","",VLOOKUP(B277,'Team Stats'!$B$3:$K$18,5,0))</f>
        <v/>
      </c>
      <c r="Q277" t="str">
        <f t="shared" si="37"/>
        <v/>
      </c>
      <c r="R277" t="str">
        <f>IF(M277="","",VLOOKUP(N277,Sim!$EF$46:$EG$61,2,0))</f>
        <v/>
      </c>
      <c r="S277" t="str">
        <f>IF(M277="","",VLOOKUP(N277,'Team Stats'!$B$3:$K$18,10,0))</f>
        <v/>
      </c>
      <c r="T277" s="84" t="str">
        <f t="shared" si="38"/>
        <v/>
      </c>
      <c r="U277" t="str">
        <f t="shared" si="39"/>
        <v/>
      </c>
    </row>
    <row r="278" spans="1:21">
      <c r="A278" s="73" t="s">
        <v>602</v>
      </c>
      <c r="B278" s="73" t="s">
        <v>208</v>
      </c>
      <c r="C278" s="74">
        <v>52</v>
      </c>
      <c r="D278" s="74"/>
      <c r="E278" s="74">
        <v>10</v>
      </c>
      <c r="F278" s="74"/>
      <c r="G278" s="74">
        <v>17</v>
      </c>
      <c r="H278" s="74"/>
      <c r="I278" s="63">
        <v>27</v>
      </c>
      <c r="J278" t="b">
        <f t="shared" si="32"/>
        <v>0</v>
      </c>
      <c r="K278" t="b">
        <f t="shared" si="33"/>
        <v>0</v>
      </c>
      <c r="M278" t="str">
        <f t="shared" si="34"/>
        <v/>
      </c>
      <c r="N278" t="str">
        <f t="shared" si="35"/>
        <v/>
      </c>
      <c r="O278" t="str">
        <f t="shared" si="36"/>
        <v/>
      </c>
      <c r="P278" t="str">
        <f>IF(M278="","",VLOOKUP(B278,'Team Stats'!$B$3:$K$18,5,0))</f>
        <v/>
      </c>
      <c r="Q278" t="str">
        <f t="shared" si="37"/>
        <v/>
      </c>
      <c r="R278" t="str">
        <f>IF(M278="","",VLOOKUP(N278,Sim!$EF$46:$EG$61,2,0))</f>
        <v/>
      </c>
      <c r="S278" t="str">
        <f>IF(M278="","",VLOOKUP(N278,'Team Stats'!$B$3:$K$18,10,0))</f>
        <v/>
      </c>
      <c r="T278" s="84" t="str">
        <f t="shared" si="38"/>
        <v/>
      </c>
      <c r="U278" t="str">
        <f t="shared" si="39"/>
        <v/>
      </c>
    </row>
    <row r="279" spans="1:21">
      <c r="A279" s="73" t="s">
        <v>603</v>
      </c>
      <c r="B279" s="73" t="s">
        <v>365</v>
      </c>
      <c r="C279" s="74">
        <v>82</v>
      </c>
      <c r="D279" s="74"/>
      <c r="E279" s="74">
        <v>8</v>
      </c>
      <c r="F279" s="74"/>
      <c r="G279" s="74">
        <v>19</v>
      </c>
      <c r="H279" s="74"/>
      <c r="I279" s="63">
        <v>27</v>
      </c>
      <c r="J279" t="b">
        <f t="shared" si="32"/>
        <v>0</v>
      </c>
      <c r="K279" t="b">
        <f t="shared" si="33"/>
        <v>0</v>
      </c>
      <c r="M279" t="str">
        <f t="shared" si="34"/>
        <v/>
      </c>
      <c r="N279" t="str">
        <f t="shared" si="35"/>
        <v/>
      </c>
      <c r="O279" t="str">
        <f t="shared" si="36"/>
        <v/>
      </c>
      <c r="P279" t="str">
        <f>IF(M279="","",VLOOKUP(B279,'Team Stats'!$B$3:$K$18,5,0))</f>
        <v/>
      </c>
      <c r="Q279" t="str">
        <f t="shared" si="37"/>
        <v/>
      </c>
      <c r="R279" t="str">
        <f>IF(M279="","",VLOOKUP(N279,Sim!$EF$46:$EG$61,2,0))</f>
        <v/>
      </c>
      <c r="S279" t="str">
        <f>IF(M279="","",VLOOKUP(N279,'Team Stats'!$B$3:$K$18,10,0))</f>
        <v/>
      </c>
      <c r="T279" s="84" t="str">
        <f t="shared" si="38"/>
        <v/>
      </c>
      <c r="U279" t="str">
        <f t="shared" si="39"/>
        <v/>
      </c>
    </row>
    <row r="280" spans="1:21">
      <c r="A280" s="73" t="s">
        <v>604</v>
      </c>
      <c r="B280" s="73" t="s">
        <v>331</v>
      </c>
      <c r="C280" s="74">
        <v>52</v>
      </c>
      <c r="D280" s="74"/>
      <c r="E280" s="74">
        <v>7</v>
      </c>
      <c r="F280" s="74"/>
      <c r="G280" s="74">
        <v>20</v>
      </c>
      <c r="H280" s="74"/>
      <c r="I280" s="63">
        <v>27</v>
      </c>
      <c r="J280" t="b">
        <f t="shared" si="32"/>
        <v>0</v>
      </c>
      <c r="K280" t="b">
        <f t="shared" si="33"/>
        <v>0</v>
      </c>
      <c r="M280" t="str">
        <f t="shared" si="34"/>
        <v/>
      </c>
      <c r="N280" t="str">
        <f t="shared" si="35"/>
        <v/>
      </c>
      <c r="O280" t="str">
        <f t="shared" si="36"/>
        <v/>
      </c>
      <c r="P280" t="str">
        <f>IF(M280="","",VLOOKUP(B280,'Team Stats'!$B$3:$K$18,5,0))</f>
        <v/>
      </c>
      <c r="Q280" t="str">
        <f t="shared" si="37"/>
        <v/>
      </c>
      <c r="R280" t="str">
        <f>IF(M280="","",VLOOKUP(N280,Sim!$EF$46:$EG$61,2,0))</f>
        <v/>
      </c>
      <c r="S280" t="str">
        <f>IF(M280="","",VLOOKUP(N280,'Team Stats'!$B$3:$K$18,10,0))</f>
        <v/>
      </c>
      <c r="T280" s="84" t="str">
        <f t="shared" si="38"/>
        <v/>
      </c>
      <c r="U280" t="str">
        <f t="shared" si="39"/>
        <v/>
      </c>
    </row>
    <row r="281" spans="1:21">
      <c r="A281" s="73" t="s">
        <v>605</v>
      </c>
      <c r="B281" s="73" t="s">
        <v>216</v>
      </c>
      <c r="C281" s="74">
        <v>68</v>
      </c>
      <c r="D281" s="74"/>
      <c r="E281" s="74">
        <v>11</v>
      </c>
      <c r="F281" s="74"/>
      <c r="G281" s="74">
        <v>15</v>
      </c>
      <c r="H281" s="74"/>
      <c r="I281" s="63">
        <v>26</v>
      </c>
      <c r="J281" t="b">
        <f t="shared" si="32"/>
        <v>0</v>
      </c>
      <c r="K281" t="b">
        <f t="shared" si="33"/>
        <v>0</v>
      </c>
      <c r="M281" t="str">
        <f t="shared" si="34"/>
        <v/>
      </c>
      <c r="N281" t="str">
        <f t="shared" si="35"/>
        <v/>
      </c>
      <c r="O281" t="str">
        <f t="shared" si="36"/>
        <v/>
      </c>
      <c r="P281" t="str">
        <f>IF(M281="","",VLOOKUP(B281,'Team Stats'!$B$3:$K$18,5,0))</f>
        <v/>
      </c>
      <c r="Q281" t="str">
        <f t="shared" si="37"/>
        <v/>
      </c>
      <c r="R281" t="str">
        <f>IF(M281="","",VLOOKUP(N281,Sim!$EF$46:$EG$61,2,0))</f>
        <v/>
      </c>
      <c r="S281" t="str">
        <f>IF(M281="","",VLOOKUP(N281,'Team Stats'!$B$3:$K$18,10,0))</f>
        <v/>
      </c>
      <c r="T281" s="84" t="str">
        <f t="shared" si="38"/>
        <v/>
      </c>
      <c r="U281" t="str">
        <f t="shared" si="39"/>
        <v/>
      </c>
    </row>
    <row r="282" spans="1:21">
      <c r="A282" s="73" t="s">
        <v>606</v>
      </c>
      <c r="B282" s="73" t="s">
        <v>214</v>
      </c>
      <c r="C282" s="74">
        <v>76</v>
      </c>
      <c r="D282" s="74"/>
      <c r="E282" s="74">
        <v>11</v>
      </c>
      <c r="F282" s="74"/>
      <c r="G282" s="74">
        <v>15</v>
      </c>
      <c r="H282" s="74"/>
      <c r="I282" s="63">
        <v>26</v>
      </c>
      <c r="J282" t="b">
        <f t="shared" si="32"/>
        <v>1</v>
      </c>
      <c r="K282" t="b">
        <f t="shared" si="33"/>
        <v>1</v>
      </c>
      <c r="M282" t="str">
        <f t="shared" si="34"/>
        <v> Alex Chiasson</v>
      </c>
      <c r="N282" t="str">
        <f t="shared" si="35"/>
        <v>OTT</v>
      </c>
      <c r="O282">
        <f t="shared" si="36"/>
        <v>26</v>
      </c>
      <c r="P282">
        <f>IF(M282="","",VLOOKUP(B282,'Team Stats'!$B$3:$K$18,5,0))</f>
        <v>619</v>
      </c>
      <c r="Q282">
        <f t="shared" si="37"/>
        <v>4.2003231017770599E-2</v>
      </c>
      <c r="R282">
        <f ca="1">IF(M282="","",VLOOKUP(N282,Sim!$EF$46:$EG$61,2,0))</f>
        <v>10.71</v>
      </c>
      <c r="S282">
        <f ca="1">IF(M282="","",VLOOKUP(N282,'Team Stats'!$B$3:$K$18,10,0))</f>
        <v>80.847439024390255</v>
      </c>
      <c r="T282" s="84">
        <f t="shared" ca="1" si="38"/>
        <v>3.3958536585365859</v>
      </c>
      <c r="U282">
        <f t="shared" ca="1" si="39"/>
        <v>118</v>
      </c>
    </row>
    <row r="283" spans="1:21">
      <c r="A283" s="73" t="s">
        <v>607</v>
      </c>
      <c r="B283" s="73" t="s">
        <v>212</v>
      </c>
      <c r="C283" s="74">
        <v>51</v>
      </c>
      <c r="D283" s="74"/>
      <c r="E283" s="74">
        <v>21</v>
      </c>
      <c r="F283" s="74"/>
      <c r="G283" s="74">
        <v>5</v>
      </c>
      <c r="H283" s="74"/>
      <c r="I283" s="63">
        <v>26</v>
      </c>
      <c r="J283" t="b">
        <f t="shared" si="32"/>
        <v>1</v>
      </c>
      <c r="K283" t="b">
        <f t="shared" si="33"/>
        <v>1</v>
      </c>
      <c r="M283" t="str">
        <f t="shared" si="34"/>
        <v> Jason Zucker</v>
      </c>
      <c r="N283" t="str">
        <f t="shared" si="35"/>
        <v>MIN</v>
      </c>
      <c r="O283">
        <f t="shared" si="36"/>
        <v>26</v>
      </c>
      <c r="P283">
        <f>IF(M283="","",VLOOKUP(B283,'Team Stats'!$B$3:$K$18,5,0))</f>
        <v>608</v>
      </c>
      <c r="Q283">
        <f t="shared" si="37"/>
        <v>4.2763157894736843E-2</v>
      </c>
      <c r="R283">
        <f ca="1">IF(M283="","",VLOOKUP(N283,Sim!$EF$46:$EG$61,2,0))</f>
        <v>11.71</v>
      </c>
      <c r="S283">
        <f ca="1">IF(M283="","",VLOOKUP(N283,'Team Stats'!$B$3:$K$18,10,0))</f>
        <v>86.825365853658553</v>
      </c>
      <c r="T283" s="84">
        <f t="shared" ca="1" si="38"/>
        <v>3.7129268292682935</v>
      </c>
      <c r="U283">
        <f t="shared" ca="1" si="39"/>
        <v>109</v>
      </c>
    </row>
    <row r="284" spans="1:21">
      <c r="A284" s="73" t="s">
        <v>608</v>
      </c>
      <c r="B284" s="73" t="s">
        <v>213</v>
      </c>
      <c r="C284" s="74">
        <v>62</v>
      </c>
      <c r="D284" s="74"/>
      <c r="E284" s="74">
        <v>8</v>
      </c>
      <c r="F284" s="74"/>
      <c r="G284" s="74">
        <v>18</v>
      </c>
      <c r="H284" s="74"/>
      <c r="I284" s="63">
        <v>26</v>
      </c>
      <c r="J284" t="b">
        <f t="shared" si="32"/>
        <v>0</v>
      </c>
      <c r="K284" t="b">
        <f t="shared" si="33"/>
        <v>0</v>
      </c>
      <c r="M284" t="str">
        <f t="shared" si="34"/>
        <v/>
      </c>
      <c r="N284" t="str">
        <f t="shared" si="35"/>
        <v/>
      </c>
      <c r="O284" t="str">
        <f t="shared" si="36"/>
        <v/>
      </c>
      <c r="P284" t="str">
        <f>IF(M284="","",VLOOKUP(B284,'Team Stats'!$B$3:$K$18,5,0))</f>
        <v/>
      </c>
      <c r="Q284" t="str">
        <f t="shared" si="37"/>
        <v/>
      </c>
      <c r="R284" t="str">
        <f>IF(M284="","",VLOOKUP(N284,Sim!$EF$46:$EG$61,2,0))</f>
        <v/>
      </c>
      <c r="S284" t="str">
        <f>IF(M284="","",VLOOKUP(N284,'Team Stats'!$B$3:$K$18,10,0))</f>
        <v/>
      </c>
      <c r="T284" s="84" t="str">
        <f t="shared" si="38"/>
        <v/>
      </c>
      <c r="U284" t="str">
        <f t="shared" si="39"/>
        <v/>
      </c>
    </row>
    <row r="285" spans="1:21">
      <c r="A285" s="73" t="s">
        <v>609</v>
      </c>
      <c r="B285" s="73" t="s">
        <v>202</v>
      </c>
      <c r="C285" s="74">
        <v>79</v>
      </c>
      <c r="D285" s="74"/>
      <c r="E285" s="74">
        <v>15</v>
      </c>
      <c r="F285" s="74"/>
      <c r="G285" s="74">
        <v>11</v>
      </c>
      <c r="H285" s="74"/>
      <c r="I285" s="63">
        <v>26</v>
      </c>
      <c r="J285" t="b">
        <f t="shared" si="32"/>
        <v>1</v>
      </c>
      <c r="K285" t="b">
        <f t="shared" si="33"/>
        <v>1</v>
      </c>
      <c r="M285" t="str">
        <f t="shared" si="34"/>
        <v> Andrew Shaw</v>
      </c>
      <c r="N285" t="str">
        <f t="shared" si="35"/>
        <v>CHI</v>
      </c>
      <c r="O285">
        <f t="shared" si="36"/>
        <v>26</v>
      </c>
      <c r="P285">
        <f>IF(M285="","",VLOOKUP(B285,'Team Stats'!$B$3:$K$18,5,0))</f>
        <v>601</v>
      </c>
      <c r="Q285">
        <f t="shared" si="37"/>
        <v>4.3261231281198007E-2</v>
      </c>
      <c r="R285">
        <f ca="1">IF(M285="","",VLOOKUP(N285,Sim!$EF$46:$EG$61,2,0))</f>
        <v>9.14</v>
      </c>
      <c r="S285">
        <f ca="1">IF(M285="","",VLOOKUP(N285,'Team Stats'!$B$3:$K$18,10,0))</f>
        <v>66.989512195121961</v>
      </c>
      <c r="T285" s="84">
        <f t="shared" ca="1" si="38"/>
        <v>2.8980487804878057</v>
      </c>
      <c r="U285">
        <f t="shared" ca="1" si="39"/>
        <v>135</v>
      </c>
    </row>
    <row r="286" spans="1:21">
      <c r="A286" s="73" t="s">
        <v>610</v>
      </c>
      <c r="B286" s="73" t="s">
        <v>203</v>
      </c>
      <c r="C286" s="74">
        <v>65</v>
      </c>
      <c r="D286" s="74"/>
      <c r="E286" s="74">
        <v>9</v>
      </c>
      <c r="F286" s="74"/>
      <c r="G286" s="74">
        <v>17</v>
      </c>
      <c r="H286" s="74"/>
      <c r="I286" s="63">
        <v>26</v>
      </c>
      <c r="J286" t="b">
        <f t="shared" si="32"/>
        <v>1</v>
      </c>
      <c r="K286" t="b">
        <f t="shared" si="33"/>
        <v>1</v>
      </c>
      <c r="M286" t="str">
        <f t="shared" si="34"/>
        <v> Kevin Klein</v>
      </c>
      <c r="N286" t="str">
        <f t="shared" si="35"/>
        <v>NYR</v>
      </c>
      <c r="O286">
        <f t="shared" si="36"/>
        <v>26</v>
      </c>
      <c r="P286">
        <f>IF(M286="","",VLOOKUP(B286,'Team Stats'!$B$3:$K$18,5,0))</f>
        <v>659</v>
      </c>
      <c r="Q286">
        <f t="shared" si="37"/>
        <v>3.9453717754172987E-2</v>
      </c>
      <c r="R286">
        <f ca="1">IF(M286="","",VLOOKUP(N286,Sim!$EF$46:$EG$61,2,0))</f>
        <v>8.7200000000000006</v>
      </c>
      <c r="S286">
        <f ca="1">IF(M286="","",VLOOKUP(N286,'Team Stats'!$B$3:$K$18,10,0))</f>
        <v>70.079024390243916</v>
      </c>
      <c r="T286" s="84">
        <f t="shared" ca="1" si="38"/>
        <v>2.764878048780488</v>
      </c>
      <c r="U286">
        <f t="shared" ca="1" si="39"/>
        <v>139</v>
      </c>
    </row>
    <row r="287" spans="1:21">
      <c r="A287" s="73" t="s">
        <v>611</v>
      </c>
      <c r="B287" s="73" t="s">
        <v>204</v>
      </c>
      <c r="C287" s="74">
        <v>71</v>
      </c>
      <c r="D287" s="74"/>
      <c r="E287" s="74">
        <v>9</v>
      </c>
      <c r="F287" s="74"/>
      <c r="G287" s="74">
        <v>17</v>
      </c>
      <c r="H287" s="74"/>
      <c r="I287" s="63">
        <v>26</v>
      </c>
      <c r="J287" t="b">
        <f t="shared" si="32"/>
        <v>0</v>
      </c>
      <c r="K287" t="b">
        <f t="shared" si="33"/>
        <v>0</v>
      </c>
      <c r="M287" t="str">
        <f t="shared" si="34"/>
        <v/>
      </c>
      <c r="N287" t="str">
        <f t="shared" si="35"/>
        <v/>
      </c>
      <c r="O287" t="str">
        <f t="shared" si="36"/>
        <v/>
      </c>
      <c r="P287" t="str">
        <f>IF(M287="","",VLOOKUP(B287,'Team Stats'!$B$3:$K$18,5,0))</f>
        <v/>
      </c>
      <c r="Q287" t="str">
        <f t="shared" si="37"/>
        <v/>
      </c>
      <c r="R287" t="str">
        <f>IF(M287="","",VLOOKUP(N287,Sim!$EF$46:$EG$61,2,0))</f>
        <v/>
      </c>
      <c r="S287" t="str">
        <f>IF(M287="","",VLOOKUP(N287,'Team Stats'!$B$3:$K$18,10,0))</f>
        <v/>
      </c>
      <c r="T287" s="84" t="str">
        <f t="shared" si="38"/>
        <v/>
      </c>
      <c r="U287" t="str">
        <f t="shared" si="39"/>
        <v/>
      </c>
    </row>
    <row r="288" spans="1:21">
      <c r="A288" s="73" t="s">
        <v>612</v>
      </c>
      <c r="B288" s="73" t="s">
        <v>357</v>
      </c>
      <c r="C288" s="74">
        <v>81</v>
      </c>
      <c r="D288" s="74"/>
      <c r="E288" s="74">
        <v>13</v>
      </c>
      <c r="F288" s="74"/>
      <c r="G288" s="74">
        <v>13</v>
      </c>
      <c r="H288" s="74"/>
      <c r="I288" s="63">
        <v>26</v>
      </c>
      <c r="J288" t="b">
        <f t="shared" si="32"/>
        <v>0</v>
      </c>
      <c r="K288" t="b">
        <f t="shared" si="33"/>
        <v>0</v>
      </c>
      <c r="M288" t="str">
        <f t="shared" si="34"/>
        <v/>
      </c>
      <c r="N288" t="str">
        <f t="shared" si="35"/>
        <v/>
      </c>
      <c r="O288" t="str">
        <f t="shared" si="36"/>
        <v/>
      </c>
      <c r="P288" t="str">
        <f>IF(M288="","",VLOOKUP(B288,'Team Stats'!$B$3:$K$18,5,0))</f>
        <v/>
      </c>
      <c r="Q288" t="str">
        <f t="shared" si="37"/>
        <v/>
      </c>
      <c r="R288" t="str">
        <f>IF(M288="","",VLOOKUP(N288,Sim!$EF$46:$EG$61,2,0))</f>
        <v/>
      </c>
      <c r="S288" t="str">
        <f>IF(M288="","",VLOOKUP(N288,'Team Stats'!$B$3:$K$18,10,0))</f>
        <v/>
      </c>
      <c r="T288" s="84" t="str">
        <f t="shared" si="38"/>
        <v/>
      </c>
      <c r="U288" t="str">
        <f t="shared" si="39"/>
        <v/>
      </c>
    </row>
    <row r="289" spans="1:21">
      <c r="A289" s="73" t="s">
        <v>613</v>
      </c>
      <c r="B289" s="73" t="s">
        <v>213</v>
      </c>
      <c r="C289" s="74">
        <v>62</v>
      </c>
      <c r="D289" s="74"/>
      <c r="E289" s="74">
        <v>11</v>
      </c>
      <c r="F289" s="74"/>
      <c r="G289" s="74">
        <v>14</v>
      </c>
      <c r="H289" s="74"/>
      <c r="I289" s="63">
        <v>25</v>
      </c>
      <c r="J289" t="b">
        <f t="shared" si="32"/>
        <v>0</v>
      </c>
      <c r="K289" t="b">
        <f t="shared" si="33"/>
        <v>0</v>
      </c>
      <c r="M289" t="str">
        <f t="shared" si="34"/>
        <v/>
      </c>
      <c r="N289" t="str">
        <f t="shared" si="35"/>
        <v/>
      </c>
      <c r="O289" t="str">
        <f t="shared" si="36"/>
        <v/>
      </c>
      <c r="P289" t="str">
        <f>IF(M289="","",VLOOKUP(B289,'Team Stats'!$B$3:$K$18,5,0))</f>
        <v/>
      </c>
      <c r="Q289" t="str">
        <f t="shared" si="37"/>
        <v/>
      </c>
      <c r="R289" t="str">
        <f>IF(M289="","",VLOOKUP(N289,Sim!$EF$46:$EG$61,2,0))</f>
        <v/>
      </c>
      <c r="S289" t="str">
        <f>IF(M289="","",VLOOKUP(N289,'Team Stats'!$B$3:$K$18,10,0))</f>
        <v/>
      </c>
      <c r="T289" s="84" t="str">
        <f t="shared" si="38"/>
        <v/>
      </c>
      <c r="U289" t="str">
        <f t="shared" si="39"/>
        <v/>
      </c>
    </row>
    <row r="290" spans="1:21">
      <c r="A290" s="73" t="s">
        <v>614</v>
      </c>
      <c r="B290" s="73" t="s">
        <v>212</v>
      </c>
      <c r="C290" s="74">
        <v>66</v>
      </c>
      <c r="D290" s="74"/>
      <c r="E290" s="74">
        <v>9</v>
      </c>
      <c r="F290" s="74"/>
      <c r="G290" s="74">
        <v>16</v>
      </c>
      <c r="H290" s="74"/>
      <c r="I290" s="63">
        <v>25</v>
      </c>
      <c r="J290" t="b">
        <f t="shared" si="32"/>
        <v>1</v>
      </c>
      <c r="K290" t="b">
        <f t="shared" si="33"/>
        <v>1</v>
      </c>
      <c r="M290" t="str">
        <f t="shared" si="34"/>
        <v> Jared Spurgeon</v>
      </c>
      <c r="N290" t="str">
        <f t="shared" si="35"/>
        <v>MIN</v>
      </c>
      <c r="O290">
        <f t="shared" si="36"/>
        <v>25</v>
      </c>
      <c r="P290">
        <f>IF(M290="","",VLOOKUP(B290,'Team Stats'!$B$3:$K$18,5,0))</f>
        <v>608</v>
      </c>
      <c r="Q290">
        <f t="shared" si="37"/>
        <v>4.1118421052631582E-2</v>
      </c>
      <c r="R290">
        <f ca="1">IF(M290="","",VLOOKUP(N290,Sim!$EF$46:$EG$61,2,0))</f>
        <v>11.71</v>
      </c>
      <c r="S290">
        <f ca="1">IF(M290="","",VLOOKUP(N290,'Team Stats'!$B$3:$K$18,10,0))</f>
        <v>86.825365853658553</v>
      </c>
      <c r="T290" s="84">
        <f t="shared" ca="1" si="38"/>
        <v>3.5701219512195133</v>
      </c>
      <c r="U290">
        <f t="shared" ca="1" si="39"/>
        <v>112</v>
      </c>
    </row>
    <row r="291" spans="1:21">
      <c r="A291" s="73" t="s">
        <v>615</v>
      </c>
      <c r="B291" s="73" t="s">
        <v>220</v>
      </c>
      <c r="C291" s="74">
        <v>74</v>
      </c>
      <c r="D291" s="74"/>
      <c r="E291" s="74">
        <v>11</v>
      </c>
      <c r="F291" s="74"/>
      <c r="G291" s="74">
        <v>14</v>
      </c>
      <c r="H291" s="74"/>
      <c r="I291" s="63">
        <v>25</v>
      </c>
      <c r="J291" t="b">
        <f t="shared" si="32"/>
        <v>0</v>
      </c>
      <c r="K291" t="b">
        <f t="shared" si="33"/>
        <v>0</v>
      </c>
      <c r="M291" t="str">
        <f t="shared" si="34"/>
        <v/>
      </c>
      <c r="N291" t="str">
        <f t="shared" si="35"/>
        <v/>
      </c>
      <c r="O291" t="str">
        <f t="shared" si="36"/>
        <v/>
      </c>
      <c r="P291" t="str">
        <f>IF(M291="","",VLOOKUP(B291,'Team Stats'!$B$3:$K$18,5,0))</f>
        <v/>
      </c>
      <c r="Q291" t="str">
        <f t="shared" si="37"/>
        <v/>
      </c>
      <c r="R291" t="str">
        <f>IF(M291="","",VLOOKUP(N291,Sim!$EF$46:$EG$61,2,0))</f>
        <v/>
      </c>
      <c r="S291" t="str">
        <f>IF(M291="","",VLOOKUP(N291,'Team Stats'!$B$3:$K$18,10,0))</f>
        <v/>
      </c>
      <c r="T291" s="84" t="str">
        <f t="shared" si="38"/>
        <v/>
      </c>
      <c r="U291" t="str">
        <f t="shared" si="39"/>
        <v/>
      </c>
    </row>
    <row r="292" spans="1:21">
      <c r="A292" s="73" t="s">
        <v>616</v>
      </c>
      <c r="B292" s="73" t="s">
        <v>206</v>
      </c>
      <c r="C292" s="74">
        <v>79</v>
      </c>
      <c r="D292" s="74"/>
      <c r="E292" s="74">
        <v>7</v>
      </c>
      <c r="F292" s="74"/>
      <c r="G292" s="74">
        <v>18</v>
      </c>
      <c r="H292" s="74"/>
      <c r="I292" s="63">
        <v>25</v>
      </c>
      <c r="J292" t="b">
        <f t="shared" si="32"/>
        <v>1</v>
      </c>
      <c r="K292" t="b">
        <f t="shared" si="33"/>
        <v>1</v>
      </c>
      <c r="M292" t="str">
        <f t="shared" si="34"/>
        <v> Derek Dorsett</v>
      </c>
      <c r="N292" t="str">
        <f t="shared" si="35"/>
        <v>VAN</v>
      </c>
      <c r="O292">
        <f t="shared" si="36"/>
        <v>25</v>
      </c>
      <c r="P292">
        <f>IF(M292="","",VLOOKUP(B292,'Team Stats'!$B$3:$K$18,5,0))</f>
        <v>642</v>
      </c>
      <c r="Q292">
        <f t="shared" si="37"/>
        <v>3.8940809968847349E-2</v>
      </c>
      <c r="R292">
        <f ca="1">IF(M292="","",VLOOKUP(N292,Sim!$EF$46:$EG$61,2,0))</f>
        <v>10.35</v>
      </c>
      <c r="S292">
        <f ca="1">IF(M292="","",VLOOKUP(N292,'Team Stats'!$B$3:$K$18,10,0))</f>
        <v>81.032926829268291</v>
      </c>
      <c r="T292" s="84">
        <f t="shared" ca="1" si="38"/>
        <v>3.1554878048780486</v>
      </c>
      <c r="U292">
        <f t="shared" ca="1" si="39"/>
        <v>125</v>
      </c>
    </row>
    <row r="293" spans="1:21">
      <c r="A293" s="73" t="s">
        <v>617</v>
      </c>
      <c r="B293" s="73" t="s">
        <v>206</v>
      </c>
      <c r="C293" s="74">
        <v>68</v>
      </c>
      <c r="D293" s="74"/>
      <c r="E293" s="74">
        <v>13</v>
      </c>
      <c r="F293" s="74"/>
      <c r="G293" s="74">
        <v>12</v>
      </c>
      <c r="H293" s="74"/>
      <c r="I293" s="63">
        <v>25</v>
      </c>
      <c r="J293" t="b">
        <f t="shared" si="32"/>
        <v>1</v>
      </c>
      <c r="K293" t="b">
        <f t="shared" si="33"/>
        <v>1</v>
      </c>
      <c r="M293" t="str">
        <f t="shared" si="34"/>
        <v> Bo Horvat</v>
      </c>
      <c r="N293" t="str">
        <f t="shared" si="35"/>
        <v>VAN</v>
      </c>
      <c r="O293">
        <f t="shared" si="36"/>
        <v>25</v>
      </c>
      <c r="P293">
        <f>IF(M293="","",VLOOKUP(B293,'Team Stats'!$B$3:$K$18,5,0))</f>
        <v>642</v>
      </c>
      <c r="Q293">
        <f t="shared" si="37"/>
        <v>3.8940809968847349E-2</v>
      </c>
      <c r="R293">
        <f ca="1">IF(M293="","",VLOOKUP(N293,Sim!$EF$46:$EG$61,2,0))</f>
        <v>10.35</v>
      </c>
      <c r="S293">
        <f ca="1">IF(M293="","",VLOOKUP(N293,'Team Stats'!$B$3:$K$18,10,0))</f>
        <v>81.032926829268291</v>
      </c>
      <c r="T293" s="84">
        <f t="shared" ca="1" si="38"/>
        <v>3.1554878048780486</v>
      </c>
      <c r="U293">
        <f t="shared" ca="1" si="39"/>
        <v>125</v>
      </c>
    </row>
    <row r="294" spans="1:21">
      <c r="A294" s="73" t="s">
        <v>618</v>
      </c>
      <c r="B294" s="73" t="s">
        <v>204</v>
      </c>
      <c r="C294" s="74">
        <v>67</v>
      </c>
      <c r="D294" s="74"/>
      <c r="E294" s="74">
        <v>8</v>
      </c>
      <c r="F294" s="74"/>
      <c r="G294" s="74">
        <v>17</v>
      </c>
      <c r="H294" s="74"/>
      <c r="I294" s="63">
        <v>25</v>
      </c>
      <c r="J294" t="b">
        <f t="shared" si="32"/>
        <v>0</v>
      </c>
      <c r="K294" t="b">
        <f t="shared" si="33"/>
        <v>0</v>
      </c>
      <c r="M294" t="str">
        <f t="shared" si="34"/>
        <v/>
      </c>
      <c r="N294" t="str">
        <f t="shared" si="35"/>
        <v/>
      </c>
      <c r="O294" t="str">
        <f t="shared" si="36"/>
        <v/>
      </c>
      <c r="P294" t="str">
        <f>IF(M294="","",VLOOKUP(B294,'Team Stats'!$B$3:$K$18,5,0))</f>
        <v/>
      </c>
      <c r="Q294" t="str">
        <f t="shared" si="37"/>
        <v/>
      </c>
      <c r="R294" t="str">
        <f>IF(M294="","",VLOOKUP(N294,Sim!$EF$46:$EG$61,2,0))</f>
        <v/>
      </c>
      <c r="S294" t="str">
        <f>IF(M294="","",VLOOKUP(N294,'Team Stats'!$B$3:$K$18,10,0))</f>
        <v/>
      </c>
      <c r="T294" s="84" t="str">
        <f t="shared" si="38"/>
        <v/>
      </c>
      <c r="U294" t="str">
        <f t="shared" si="39"/>
        <v/>
      </c>
    </row>
    <row r="295" spans="1:21">
      <c r="A295" s="73" t="s">
        <v>619</v>
      </c>
      <c r="B295" s="73" t="s">
        <v>204</v>
      </c>
      <c r="C295" s="74">
        <v>81</v>
      </c>
      <c r="D295" s="74"/>
      <c r="E295" s="74">
        <v>5</v>
      </c>
      <c r="F295" s="74"/>
      <c r="G295" s="74">
        <v>20</v>
      </c>
      <c r="H295" s="74"/>
      <c r="I295" s="63">
        <v>25</v>
      </c>
      <c r="J295" t="b">
        <f t="shared" si="32"/>
        <v>0</v>
      </c>
      <c r="K295" t="b">
        <f t="shared" si="33"/>
        <v>0</v>
      </c>
      <c r="M295" t="str">
        <f t="shared" si="34"/>
        <v/>
      </c>
      <c r="N295" t="str">
        <f t="shared" si="35"/>
        <v/>
      </c>
      <c r="O295" t="str">
        <f t="shared" si="36"/>
        <v/>
      </c>
      <c r="P295" t="str">
        <f>IF(M295="","",VLOOKUP(B295,'Team Stats'!$B$3:$K$18,5,0))</f>
        <v/>
      </c>
      <c r="Q295" t="str">
        <f t="shared" si="37"/>
        <v/>
      </c>
      <c r="R295" t="str">
        <f>IF(M295="","",VLOOKUP(N295,Sim!$EF$46:$EG$61,2,0))</f>
        <v/>
      </c>
      <c r="S295" t="str">
        <f>IF(M295="","",VLOOKUP(N295,'Team Stats'!$B$3:$K$18,10,0))</f>
        <v/>
      </c>
      <c r="T295" s="84" t="str">
        <f t="shared" si="38"/>
        <v/>
      </c>
      <c r="U295" t="str">
        <f t="shared" si="39"/>
        <v/>
      </c>
    </row>
    <row r="296" spans="1:21">
      <c r="A296" s="73" t="s">
        <v>620</v>
      </c>
      <c r="B296" s="73" t="s">
        <v>218</v>
      </c>
      <c r="C296" s="74">
        <v>68</v>
      </c>
      <c r="D296" s="74"/>
      <c r="E296" s="74">
        <v>8</v>
      </c>
      <c r="F296" s="74"/>
      <c r="G296" s="74">
        <v>17</v>
      </c>
      <c r="H296" s="74"/>
      <c r="I296" s="63">
        <v>25</v>
      </c>
      <c r="J296" t="b">
        <f t="shared" si="32"/>
        <v>0</v>
      </c>
      <c r="K296" t="b">
        <f t="shared" si="33"/>
        <v>0</v>
      </c>
      <c r="M296" t="str">
        <f t="shared" si="34"/>
        <v/>
      </c>
      <c r="N296" t="str">
        <f t="shared" si="35"/>
        <v/>
      </c>
      <c r="O296" t="str">
        <f t="shared" si="36"/>
        <v/>
      </c>
      <c r="P296" t="str">
        <f>IF(M296="","",VLOOKUP(B296,'Team Stats'!$B$3:$K$18,5,0))</f>
        <v/>
      </c>
      <c r="Q296" t="str">
        <f t="shared" si="37"/>
        <v/>
      </c>
      <c r="R296" t="str">
        <f>IF(M296="","",VLOOKUP(N296,Sim!$EF$46:$EG$61,2,0))</f>
        <v/>
      </c>
      <c r="S296" t="str">
        <f>IF(M296="","",VLOOKUP(N296,'Team Stats'!$B$3:$K$18,10,0))</f>
        <v/>
      </c>
      <c r="T296" s="84" t="str">
        <f t="shared" si="38"/>
        <v/>
      </c>
      <c r="U296" t="str">
        <f t="shared" si="39"/>
        <v/>
      </c>
    </row>
    <row r="297" spans="1:21">
      <c r="A297" s="73" t="s">
        <v>621</v>
      </c>
      <c r="B297" s="73" t="s">
        <v>209</v>
      </c>
      <c r="C297" s="74">
        <v>52</v>
      </c>
      <c r="D297" s="74"/>
      <c r="E297" s="74">
        <v>9</v>
      </c>
      <c r="F297" s="74"/>
      <c r="G297" s="74">
        <v>16</v>
      </c>
      <c r="H297" s="74"/>
      <c r="I297" s="63">
        <v>25</v>
      </c>
      <c r="J297" t="b">
        <f t="shared" si="32"/>
        <v>1</v>
      </c>
      <c r="K297" t="b">
        <f t="shared" si="33"/>
        <v>1</v>
      </c>
      <c r="M297" t="str">
        <f t="shared" si="34"/>
        <v> Stephen Weiss</v>
      </c>
      <c r="N297" t="str">
        <f t="shared" si="35"/>
        <v>DET</v>
      </c>
      <c r="O297">
        <f t="shared" si="36"/>
        <v>25</v>
      </c>
      <c r="P297">
        <f>IF(M297="","",VLOOKUP(B297,'Team Stats'!$B$3:$K$18,5,0))</f>
        <v>630</v>
      </c>
      <c r="Q297">
        <f t="shared" si="37"/>
        <v>3.968253968253968E-2</v>
      </c>
      <c r="R297">
        <f ca="1">IF(M297="","",VLOOKUP(N297,Sim!$EF$46:$EG$61,2,0))</f>
        <v>10.06</v>
      </c>
      <c r="S297">
        <f ca="1">IF(M297="","",VLOOKUP(N297,'Team Stats'!$B$3:$K$18,10,0))</f>
        <v>77.29024390243903</v>
      </c>
      <c r="T297" s="84">
        <f t="shared" ca="1" si="38"/>
        <v>3.0670731707317076</v>
      </c>
      <c r="U297">
        <f t="shared" ca="1" si="39"/>
        <v>128</v>
      </c>
    </row>
    <row r="298" spans="1:21">
      <c r="A298" s="73" t="s">
        <v>622</v>
      </c>
      <c r="B298" s="73" t="s">
        <v>204</v>
      </c>
      <c r="C298" s="74">
        <v>80</v>
      </c>
      <c r="D298" s="74"/>
      <c r="E298" s="74">
        <v>13</v>
      </c>
      <c r="F298" s="74"/>
      <c r="G298" s="74">
        <v>12</v>
      </c>
      <c r="H298" s="74"/>
      <c r="I298" s="63">
        <v>25</v>
      </c>
      <c r="J298" t="b">
        <f t="shared" si="32"/>
        <v>0</v>
      </c>
      <c r="K298" t="b">
        <f t="shared" si="33"/>
        <v>0</v>
      </c>
      <c r="M298" t="str">
        <f t="shared" si="34"/>
        <v/>
      </c>
      <c r="N298" t="str">
        <f t="shared" si="35"/>
        <v/>
      </c>
      <c r="O298" t="str">
        <f t="shared" si="36"/>
        <v/>
      </c>
      <c r="P298" t="str">
        <f>IF(M298="","",VLOOKUP(B298,'Team Stats'!$B$3:$K$18,5,0))</f>
        <v/>
      </c>
      <c r="Q298" t="str">
        <f t="shared" si="37"/>
        <v/>
      </c>
      <c r="R298" t="str">
        <f>IF(M298="","",VLOOKUP(N298,Sim!$EF$46:$EG$61,2,0))</f>
        <v/>
      </c>
      <c r="S298" t="str">
        <f>IF(M298="","",VLOOKUP(N298,'Team Stats'!$B$3:$K$18,10,0))</f>
        <v/>
      </c>
      <c r="T298" s="84" t="str">
        <f t="shared" si="38"/>
        <v/>
      </c>
      <c r="U298" t="str">
        <f t="shared" si="39"/>
        <v/>
      </c>
    </row>
    <row r="299" spans="1:21">
      <c r="A299" s="73" t="s">
        <v>623</v>
      </c>
      <c r="B299" s="73" t="s">
        <v>365</v>
      </c>
      <c r="C299" s="74">
        <v>62</v>
      </c>
      <c r="D299" s="74"/>
      <c r="E299" s="74">
        <v>7</v>
      </c>
      <c r="F299" s="74"/>
      <c r="G299" s="74">
        <v>18</v>
      </c>
      <c r="H299" s="74"/>
      <c r="I299" s="63">
        <v>25</v>
      </c>
      <c r="J299" t="b">
        <f t="shared" si="32"/>
        <v>0</v>
      </c>
      <c r="K299" t="b">
        <f t="shared" si="33"/>
        <v>0</v>
      </c>
      <c r="M299" t="str">
        <f t="shared" si="34"/>
        <v/>
      </c>
      <c r="N299" t="str">
        <f t="shared" si="35"/>
        <v/>
      </c>
      <c r="O299" t="str">
        <f t="shared" si="36"/>
        <v/>
      </c>
      <c r="P299" t="str">
        <f>IF(M299="","",VLOOKUP(B299,'Team Stats'!$B$3:$K$18,5,0))</f>
        <v/>
      </c>
      <c r="Q299" t="str">
        <f t="shared" si="37"/>
        <v/>
      </c>
      <c r="R299" t="str">
        <f>IF(M299="","",VLOOKUP(N299,Sim!$EF$46:$EG$61,2,0))</f>
        <v/>
      </c>
      <c r="S299" t="str">
        <f>IF(M299="","",VLOOKUP(N299,'Team Stats'!$B$3:$K$18,10,0))</f>
        <v/>
      </c>
      <c r="T299" s="84" t="str">
        <f t="shared" si="38"/>
        <v/>
      </c>
      <c r="U299" t="str">
        <f t="shared" si="39"/>
        <v/>
      </c>
    </row>
    <row r="300" spans="1:21">
      <c r="A300" s="73" t="s">
        <v>624</v>
      </c>
      <c r="B300" s="73" t="s">
        <v>357</v>
      </c>
      <c r="C300" s="74">
        <v>73</v>
      </c>
      <c r="D300" s="74"/>
      <c r="E300" s="74">
        <v>9</v>
      </c>
      <c r="F300" s="74"/>
      <c r="G300" s="74">
        <v>16</v>
      </c>
      <c r="H300" s="74"/>
      <c r="I300" s="63">
        <v>25</v>
      </c>
      <c r="J300" t="b">
        <f t="shared" si="32"/>
        <v>0</v>
      </c>
      <c r="K300" t="b">
        <f t="shared" si="33"/>
        <v>0</v>
      </c>
      <c r="M300" t="str">
        <f t="shared" si="34"/>
        <v/>
      </c>
      <c r="N300" t="str">
        <f t="shared" si="35"/>
        <v/>
      </c>
      <c r="O300" t="str">
        <f t="shared" si="36"/>
        <v/>
      </c>
      <c r="P300" t="str">
        <f>IF(M300="","",VLOOKUP(B300,'Team Stats'!$B$3:$K$18,5,0))</f>
        <v/>
      </c>
      <c r="Q300" t="str">
        <f t="shared" si="37"/>
        <v/>
      </c>
      <c r="R300" t="str">
        <f>IF(M300="","",VLOOKUP(N300,Sim!$EF$46:$EG$61,2,0))</f>
        <v/>
      </c>
      <c r="S300" t="str">
        <f>IF(M300="","",VLOOKUP(N300,'Team Stats'!$B$3:$K$18,10,0))</f>
        <v/>
      </c>
      <c r="T300" s="84" t="str">
        <f t="shared" si="38"/>
        <v/>
      </c>
      <c r="U300" t="str">
        <f t="shared" si="39"/>
        <v/>
      </c>
    </row>
    <row r="301" spans="1:21">
      <c r="A301" s="73" t="s">
        <v>625</v>
      </c>
      <c r="B301" s="73" t="s">
        <v>357</v>
      </c>
      <c r="C301" s="74">
        <v>71</v>
      </c>
      <c r="D301" s="74"/>
      <c r="E301" s="74">
        <v>2</v>
      </c>
      <c r="F301" s="74"/>
      <c r="G301" s="74">
        <v>22</v>
      </c>
      <c r="H301" s="74"/>
      <c r="I301" s="63">
        <v>24</v>
      </c>
      <c r="J301" t="b">
        <f t="shared" si="32"/>
        <v>0</v>
      </c>
      <c r="K301" t="b">
        <f t="shared" si="33"/>
        <v>0</v>
      </c>
      <c r="M301" t="str">
        <f t="shared" si="34"/>
        <v/>
      </c>
      <c r="N301" t="str">
        <f t="shared" si="35"/>
        <v/>
      </c>
      <c r="O301" t="str">
        <f t="shared" si="36"/>
        <v/>
      </c>
      <c r="P301" t="str">
        <f>IF(M301="","",VLOOKUP(B301,'Team Stats'!$B$3:$K$18,5,0))</f>
        <v/>
      </c>
      <c r="Q301" t="str">
        <f t="shared" si="37"/>
        <v/>
      </c>
      <c r="R301" t="str">
        <f>IF(M301="","",VLOOKUP(N301,Sim!$EF$46:$EG$61,2,0))</f>
        <v/>
      </c>
      <c r="S301" t="str">
        <f>IF(M301="","",VLOOKUP(N301,'Team Stats'!$B$3:$K$18,10,0))</f>
        <v/>
      </c>
      <c r="T301" s="84" t="str">
        <f t="shared" si="38"/>
        <v/>
      </c>
      <c r="U301" t="str">
        <f t="shared" si="39"/>
        <v/>
      </c>
    </row>
    <row r="302" spans="1:21">
      <c r="A302" s="73" t="s">
        <v>626</v>
      </c>
      <c r="B302" s="73" t="s">
        <v>218</v>
      </c>
      <c r="C302" s="74">
        <v>46</v>
      </c>
      <c r="D302" s="74"/>
      <c r="E302" s="74">
        <v>6</v>
      </c>
      <c r="F302" s="74"/>
      <c r="G302" s="74">
        <v>18</v>
      </c>
      <c r="H302" s="74"/>
      <c r="I302" s="63">
        <v>24</v>
      </c>
      <c r="J302" t="b">
        <f t="shared" si="32"/>
        <v>0</v>
      </c>
      <c r="K302" t="b">
        <f t="shared" si="33"/>
        <v>0</v>
      </c>
      <c r="M302" t="str">
        <f t="shared" si="34"/>
        <v/>
      </c>
      <c r="N302" t="str">
        <f t="shared" si="35"/>
        <v/>
      </c>
      <c r="O302" t="str">
        <f t="shared" si="36"/>
        <v/>
      </c>
      <c r="P302" t="str">
        <f>IF(M302="","",VLOOKUP(B302,'Team Stats'!$B$3:$K$18,5,0))</f>
        <v/>
      </c>
      <c r="Q302" t="str">
        <f t="shared" si="37"/>
        <v/>
      </c>
      <c r="R302" t="str">
        <f>IF(M302="","",VLOOKUP(N302,Sim!$EF$46:$EG$61,2,0))</f>
        <v/>
      </c>
      <c r="S302" t="str">
        <f>IF(M302="","",VLOOKUP(N302,'Team Stats'!$B$3:$K$18,10,0))</f>
        <v/>
      </c>
      <c r="T302" s="84" t="str">
        <f t="shared" si="38"/>
        <v/>
      </c>
      <c r="U302" t="str">
        <f t="shared" si="39"/>
        <v/>
      </c>
    </row>
    <row r="303" spans="1:21">
      <c r="A303" s="73" t="s">
        <v>627</v>
      </c>
      <c r="B303" s="73" t="s">
        <v>208</v>
      </c>
      <c r="C303" s="74">
        <v>60</v>
      </c>
      <c r="D303" s="74"/>
      <c r="E303" s="74">
        <v>12</v>
      </c>
      <c r="F303" s="74"/>
      <c r="G303" s="74">
        <v>12</v>
      </c>
      <c r="H303" s="74"/>
      <c r="I303" s="63">
        <v>24</v>
      </c>
      <c r="J303" t="b">
        <f t="shared" si="32"/>
        <v>0</v>
      </c>
      <c r="K303" t="b">
        <f t="shared" si="33"/>
        <v>0</v>
      </c>
      <c r="M303" t="str">
        <f t="shared" si="34"/>
        <v/>
      </c>
      <c r="N303" t="str">
        <f t="shared" si="35"/>
        <v/>
      </c>
      <c r="O303" t="str">
        <f t="shared" si="36"/>
        <v/>
      </c>
      <c r="P303" t="str">
        <f>IF(M303="","",VLOOKUP(B303,'Team Stats'!$B$3:$K$18,5,0))</f>
        <v/>
      </c>
      <c r="Q303" t="str">
        <f t="shared" si="37"/>
        <v/>
      </c>
      <c r="R303" t="str">
        <f>IF(M303="","",VLOOKUP(N303,Sim!$EF$46:$EG$61,2,0))</f>
        <v/>
      </c>
      <c r="S303" t="str">
        <f>IF(M303="","",VLOOKUP(N303,'Team Stats'!$B$3:$K$18,10,0))</f>
        <v/>
      </c>
      <c r="T303" s="84" t="str">
        <f t="shared" si="38"/>
        <v/>
      </c>
      <c r="U303" t="str">
        <f t="shared" si="39"/>
        <v/>
      </c>
    </row>
    <row r="304" spans="1:21">
      <c r="A304" s="73" t="s">
        <v>628</v>
      </c>
      <c r="B304" s="73" t="s">
        <v>213</v>
      </c>
      <c r="C304" s="74">
        <v>79</v>
      </c>
      <c r="D304" s="74"/>
      <c r="E304" s="74">
        <v>4</v>
      </c>
      <c r="F304" s="74"/>
      <c r="G304" s="74">
        <v>20</v>
      </c>
      <c r="H304" s="74"/>
      <c r="I304" s="63">
        <v>24</v>
      </c>
      <c r="J304" t="b">
        <f t="shared" si="32"/>
        <v>0</v>
      </c>
      <c r="K304" t="b">
        <f t="shared" si="33"/>
        <v>0</v>
      </c>
      <c r="M304" t="str">
        <f t="shared" si="34"/>
        <v/>
      </c>
      <c r="N304" t="str">
        <f t="shared" si="35"/>
        <v/>
      </c>
      <c r="O304" t="str">
        <f t="shared" si="36"/>
        <v/>
      </c>
      <c r="P304" t="str">
        <f>IF(M304="","",VLOOKUP(B304,'Team Stats'!$B$3:$K$18,5,0))</f>
        <v/>
      </c>
      <c r="Q304" t="str">
        <f t="shared" si="37"/>
        <v/>
      </c>
      <c r="R304" t="str">
        <f>IF(M304="","",VLOOKUP(N304,Sim!$EF$46:$EG$61,2,0))</f>
        <v/>
      </c>
      <c r="S304" t="str">
        <f>IF(M304="","",VLOOKUP(N304,'Team Stats'!$B$3:$K$18,10,0))</f>
        <v/>
      </c>
      <c r="T304" s="84" t="str">
        <f t="shared" si="38"/>
        <v/>
      </c>
      <c r="U304" t="str">
        <f t="shared" si="39"/>
        <v/>
      </c>
    </row>
    <row r="305" spans="1:21">
      <c r="A305" s="73" t="s">
        <v>629</v>
      </c>
      <c r="B305" s="73" t="s">
        <v>219</v>
      </c>
      <c r="C305" s="74">
        <v>49</v>
      </c>
      <c r="D305" s="74"/>
      <c r="E305" s="74">
        <v>22</v>
      </c>
      <c r="F305" s="74"/>
      <c r="G305" s="74">
        <v>2</v>
      </c>
      <c r="H305" s="74"/>
      <c r="I305" s="63">
        <v>24</v>
      </c>
      <c r="J305" t="b">
        <f t="shared" si="32"/>
        <v>0</v>
      </c>
      <c r="K305" t="b">
        <f t="shared" si="33"/>
        <v>0</v>
      </c>
      <c r="M305" t="str">
        <f t="shared" si="34"/>
        <v/>
      </c>
      <c r="N305" t="str">
        <f t="shared" si="35"/>
        <v/>
      </c>
      <c r="O305" t="str">
        <f t="shared" si="36"/>
        <v/>
      </c>
      <c r="P305" t="str">
        <f>IF(M305="","",VLOOKUP(B305,'Team Stats'!$B$3:$K$18,5,0))</f>
        <v/>
      </c>
      <c r="Q305" t="str">
        <f t="shared" si="37"/>
        <v/>
      </c>
      <c r="R305" t="str">
        <f>IF(M305="","",VLOOKUP(N305,Sim!$EF$46:$EG$61,2,0))</f>
        <v/>
      </c>
      <c r="S305" t="str">
        <f>IF(M305="","",VLOOKUP(N305,'Team Stats'!$B$3:$K$18,10,0))</f>
        <v/>
      </c>
      <c r="T305" s="84" t="str">
        <f t="shared" si="38"/>
        <v/>
      </c>
      <c r="U305" t="str">
        <f t="shared" si="39"/>
        <v/>
      </c>
    </row>
    <row r="306" spans="1:21">
      <c r="A306" s="73" t="s">
        <v>630</v>
      </c>
      <c r="B306" s="73" t="s">
        <v>222</v>
      </c>
      <c r="C306" s="74">
        <v>37</v>
      </c>
      <c r="D306" s="74"/>
      <c r="E306" s="74">
        <v>8</v>
      </c>
      <c r="F306" s="74"/>
      <c r="G306" s="74">
        <v>16</v>
      </c>
      <c r="H306" s="74"/>
      <c r="I306" s="63">
        <v>24</v>
      </c>
      <c r="J306" t="b">
        <f t="shared" si="32"/>
        <v>0</v>
      </c>
      <c r="K306" t="b">
        <f t="shared" si="33"/>
        <v>0</v>
      </c>
      <c r="M306" t="str">
        <f t="shared" si="34"/>
        <v/>
      </c>
      <c r="N306" t="str">
        <f t="shared" si="35"/>
        <v/>
      </c>
      <c r="O306" t="str">
        <f t="shared" si="36"/>
        <v/>
      </c>
      <c r="P306" t="str">
        <f>IF(M306="","",VLOOKUP(B306,'Team Stats'!$B$3:$K$18,5,0))</f>
        <v/>
      </c>
      <c r="Q306" t="str">
        <f t="shared" si="37"/>
        <v/>
      </c>
      <c r="R306" t="str">
        <f>IF(M306="","",VLOOKUP(N306,Sim!$EF$46:$EG$61,2,0))</f>
        <v/>
      </c>
      <c r="S306" t="str">
        <f>IF(M306="","",VLOOKUP(N306,'Team Stats'!$B$3:$K$18,10,0))</f>
        <v/>
      </c>
      <c r="T306" s="84" t="str">
        <f t="shared" si="38"/>
        <v/>
      </c>
      <c r="U306" t="str">
        <f t="shared" si="39"/>
        <v/>
      </c>
    </row>
    <row r="307" spans="1:21">
      <c r="A307" s="73" t="s">
        <v>631</v>
      </c>
      <c r="B307" s="73" t="s">
        <v>336</v>
      </c>
      <c r="C307" s="74">
        <v>82</v>
      </c>
      <c r="D307" s="74"/>
      <c r="E307" s="74">
        <v>15</v>
      </c>
      <c r="F307" s="74"/>
      <c r="G307" s="74">
        <v>9</v>
      </c>
      <c r="H307" s="74"/>
      <c r="I307" s="63">
        <v>24</v>
      </c>
      <c r="J307" t="b">
        <f t="shared" si="32"/>
        <v>0</v>
      </c>
      <c r="K307" t="b">
        <f t="shared" si="33"/>
        <v>0</v>
      </c>
      <c r="M307" t="str">
        <f t="shared" si="34"/>
        <v/>
      </c>
      <c r="N307" t="str">
        <f t="shared" si="35"/>
        <v/>
      </c>
      <c r="O307" t="str">
        <f t="shared" si="36"/>
        <v/>
      </c>
      <c r="P307" t="str">
        <f>IF(M307="","",VLOOKUP(B307,'Team Stats'!$B$3:$K$18,5,0))</f>
        <v/>
      </c>
      <c r="Q307" t="str">
        <f t="shared" si="37"/>
        <v/>
      </c>
      <c r="R307" t="str">
        <f>IF(M307="","",VLOOKUP(N307,Sim!$EF$46:$EG$61,2,0))</f>
        <v/>
      </c>
      <c r="S307" t="str">
        <f>IF(M307="","",VLOOKUP(N307,'Team Stats'!$B$3:$K$18,10,0))</f>
        <v/>
      </c>
      <c r="T307" s="84" t="str">
        <f t="shared" si="38"/>
        <v/>
      </c>
      <c r="U307" t="str">
        <f t="shared" si="39"/>
        <v/>
      </c>
    </row>
    <row r="308" spans="1:21">
      <c r="A308" s="73" t="s">
        <v>632</v>
      </c>
      <c r="B308" s="73" t="s">
        <v>340</v>
      </c>
      <c r="C308" s="74">
        <v>53</v>
      </c>
      <c r="D308" s="74"/>
      <c r="E308" s="74">
        <v>13</v>
      </c>
      <c r="F308" s="74"/>
      <c r="G308" s="74">
        <v>11</v>
      </c>
      <c r="H308" s="74"/>
      <c r="I308" s="63">
        <v>24</v>
      </c>
      <c r="J308" t="b">
        <f t="shared" si="32"/>
        <v>0</v>
      </c>
      <c r="K308" t="b">
        <f t="shared" si="33"/>
        <v>0</v>
      </c>
      <c r="M308" t="str">
        <f t="shared" si="34"/>
        <v/>
      </c>
      <c r="N308" t="str">
        <f t="shared" si="35"/>
        <v/>
      </c>
      <c r="O308" t="str">
        <f t="shared" si="36"/>
        <v/>
      </c>
      <c r="P308" t="str">
        <f>IF(M308="","",VLOOKUP(B308,'Team Stats'!$B$3:$K$18,5,0))</f>
        <v/>
      </c>
      <c r="Q308" t="str">
        <f t="shared" si="37"/>
        <v/>
      </c>
      <c r="R308" t="str">
        <f>IF(M308="","",VLOOKUP(N308,Sim!$EF$46:$EG$61,2,0))</f>
        <v/>
      </c>
      <c r="S308" t="str">
        <f>IF(M308="","",VLOOKUP(N308,'Team Stats'!$B$3:$K$18,10,0))</f>
        <v/>
      </c>
      <c r="T308" s="84" t="str">
        <f t="shared" si="38"/>
        <v/>
      </c>
      <c r="U308" t="str">
        <f t="shared" si="39"/>
        <v/>
      </c>
    </row>
    <row r="309" spans="1:21">
      <c r="A309" s="73" t="s">
        <v>633</v>
      </c>
      <c r="B309" s="73" t="s">
        <v>206</v>
      </c>
      <c r="C309" s="74">
        <v>75</v>
      </c>
      <c r="D309" s="74"/>
      <c r="E309" s="74">
        <v>10</v>
      </c>
      <c r="F309" s="74"/>
      <c r="G309" s="74">
        <v>14</v>
      </c>
      <c r="H309" s="74"/>
      <c r="I309" s="63">
        <v>24</v>
      </c>
      <c r="J309" t="b">
        <f t="shared" si="32"/>
        <v>1</v>
      </c>
      <c r="K309" t="b">
        <f t="shared" si="33"/>
        <v>1</v>
      </c>
      <c r="M309" t="str">
        <f t="shared" si="34"/>
        <v> Linden Vey</v>
      </c>
      <c r="N309" t="str">
        <f t="shared" si="35"/>
        <v>VAN</v>
      </c>
      <c r="O309">
        <f t="shared" si="36"/>
        <v>24</v>
      </c>
      <c r="P309">
        <f>IF(M309="","",VLOOKUP(B309,'Team Stats'!$B$3:$K$18,5,0))</f>
        <v>642</v>
      </c>
      <c r="Q309">
        <f t="shared" si="37"/>
        <v>3.7383177570093455E-2</v>
      </c>
      <c r="R309">
        <f ca="1">IF(M309="","",VLOOKUP(N309,Sim!$EF$46:$EG$61,2,0))</f>
        <v>10.35</v>
      </c>
      <c r="S309">
        <f ca="1">IF(M309="","",VLOOKUP(N309,'Team Stats'!$B$3:$K$18,10,0))</f>
        <v>81.032926829268291</v>
      </c>
      <c r="T309" s="84">
        <f t="shared" ca="1" si="38"/>
        <v>3.0292682926829264</v>
      </c>
      <c r="U309">
        <f t="shared" ca="1" si="39"/>
        <v>132</v>
      </c>
    </row>
    <row r="310" spans="1:21">
      <c r="A310" s="73" t="s">
        <v>634</v>
      </c>
      <c r="B310" s="73" t="s">
        <v>220</v>
      </c>
      <c r="C310" s="74">
        <v>64</v>
      </c>
      <c r="D310" s="74"/>
      <c r="E310" s="74">
        <v>3</v>
      </c>
      <c r="F310" s="74"/>
      <c r="G310" s="74">
        <v>21</v>
      </c>
      <c r="H310" s="74"/>
      <c r="I310" s="63">
        <v>24</v>
      </c>
      <c r="J310" t="b">
        <f t="shared" si="32"/>
        <v>0</v>
      </c>
      <c r="K310" t="b">
        <f t="shared" si="33"/>
        <v>0</v>
      </c>
      <c r="M310" t="str">
        <f t="shared" si="34"/>
        <v/>
      </c>
      <c r="N310" t="str">
        <f t="shared" si="35"/>
        <v/>
      </c>
      <c r="O310" t="str">
        <f t="shared" si="36"/>
        <v/>
      </c>
      <c r="P310" t="str">
        <f>IF(M310="","",VLOOKUP(B310,'Team Stats'!$B$3:$K$18,5,0))</f>
        <v/>
      </c>
      <c r="Q310" t="str">
        <f t="shared" si="37"/>
        <v/>
      </c>
      <c r="R310" t="str">
        <f>IF(M310="","",VLOOKUP(N310,Sim!$EF$46:$EG$61,2,0))</f>
        <v/>
      </c>
      <c r="S310" t="str">
        <f>IF(M310="","",VLOOKUP(N310,'Team Stats'!$B$3:$K$18,10,0))</f>
        <v/>
      </c>
      <c r="T310" s="84" t="str">
        <f t="shared" si="38"/>
        <v/>
      </c>
      <c r="U310" t="str">
        <f t="shared" si="39"/>
        <v/>
      </c>
    </row>
    <row r="311" spans="1:21">
      <c r="A311" s="73" t="s">
        <v>635</v>
      </c>
      <c r="B311" s="73" t="s">
        <v>219</v>
      </c>
      <c r="C311" s="74">
        <v>53</v>
      </c>
      <c r="D311" s="74"/>
      <c r="E311" s="74">
        <v>6</v>
      </c>
      <c r="F311" s="74"/>
      <c r="G311" s="74">
        <v>17</v>
      </c>
      <c r="H311" s="74"/>
      <c r="I311" s="63">
        <v>23</v>
      </c>
      <c r="J311" t="b">
        <f t="shared" si="32"/>
        <v>0</v>
      </c>
      <c r="K311" t="b">
        <f t="shared" si="33"/>
        <v>0</v>
      </c>
      <c r="M311" t="str">
        <f t="shared" si="34"/>
        <v/>
      </c>
      <c r="N311" t="str">
        <f t="shared" si="35"/>
        <v/>
      </c>
      <c r="O311" t="str">
        <f t="shared" si="36"/>
        <v/>
      </c>
      <c r="P311" t="str">
        <f>IF(M311="","",VLOOKUP(B311,'Team Stats'!$B$3:$K$18,5,0))</f>
        <v/>
      </c>
      <c r="Q311" t="str">
        <f t="shared" si="37"/>
        <v/>
      </c>
      <c r="R311" t="str">
        <f>IF(M311="","",VLOOKUP(N311,Sim!$EF$46:$EG$61,2,0))</f>
        <v/>
      </c>
      <c r="S311" t="str">
        <f>IF(M311="","",VLOOKUP(N311,'Team Stats'!$B$3:$K$18,10,0))</f>
        <v/>
      </c>
      <c r="T311" s="84" t="str">
        <f t="shared" si="38"/>
        <v/>
      </c>
      <c r="U311" t="str">
        <f t="shared" si="39"/>
        <v/>
      </c>
    </row>
    <row r="312" spans="1:21">
      <c r="A312" s="73" t="s">
        <v>636</v>
      </c>
      <c r="B312" s="73" t="s">
        <v>212</v>
      </c>
      <c r="C312" s="74">
        <v>64</v>
      </c>
      <c r="D312" s="74"/>
      <c r="E312" s="74">
        <v>11</v>
      </c>
      <c r="F312" s="74"/>
      <c r="G312" s="74">
        <v>12</v>
      </c>
      <c r="H312" s="74"/>
      <c r="I312" s="63">
        <v>23</v>
      </c>
      <c r="J312" t="b">
        <f t="shared" si="32"/>
        <v>1</v>
      </c>
      <c r="K312" t="b">
        <f t="shared" si="33"/>
        <v>1</v>
      </c>
      <c r="M312" t="str">
        <f t="shared" si="34"/>
        <v> Marco Scandella</v>
      </c>
      <c r="N312" t="str">
        <f t="shared" si="35"/>
        <v>MIN</v>
      </c>
      <c r="O312">
        <f t="shared" si="36"/>
        <v>23</v>
      </c>
      <c r="P312">
        <f>IF(M312="","",VLOOKUP(B312,'Team Stats'!$B$3:$K$18,5,0))</f>
        <v>608</v>
      </c>
      <c r="Q312">
        <f t="shared" si="37"/>
        <v>3.7828947368421052E-2</v>
      </c>
      <c r="R312">
        <f ca="1">IF(M312="","",VLOOKUP(N312,Sim!$EF$46:$EG$61,2,0))</f>
        <v>11.71</v>
      </c>
      <c r="S312">
        <f ca="1">IF(M312="","",VLOOKUP(N312,'Team Stats'!$B$3:$K$18,10,0))</f>
        <v>86.825365853658553</v>
      </c>
      <c r="T312" s="84">
        <f t="shared" ca="1" si="38"/>
        <v>3.2845121951219518</v>
      </c>
      <c r="U312">
        <f t="shared" ca="1" si="39"/>
        <v>121</v>
      </c>
    </row>
    <row r="313" spans="1:21">
      <c r="A313" s="73" t="s">
        <v>637</v>
      </c>
      <c r="B313" s="73" t="s">
        <v>210</v>
      </c>
      <c r="C313" s="74">
        <v>60</v>
      </c>
      <c r="D313" s="74"/>
      <c r="E313" s="74">
        <v>4</v>
      </c>
      <c r="F313" s="74"/>
      <c r="G313" s="74">
        <v>19</v>
      </c>
      <c r="H313" s="74"/>
      <c r="I313" s="63">
        <v>23</v>
      </c>
      <c r="J313" t="b">
        <f t="shared" si="32"/>
        <v>1</v>
      </c>
      <c r="K313" t="b">
        <f t="shared" si="33"/>
        <v>1</v>
      </c>
      <c r="M313" t="str">
        <f t="shared" si="34"/>
        <v> Toby Enstrom</v>
      </c>
      <c r="N313" t="str">
        <f t="shared" si="35"/>
        <v>WPG</v>
      </c>
      <c r="O313">
        <f t="shared" si="36"/>
        <v>23</v>
      </c>
      <c r="P313">
        <f>IF(M313="","",VLOOKUP(B313,'Team Stats'!$B$3:$K$18,5,0))</f>
        <v>594</v>
      </c>
      <c r="Q313">
        <f t="shared" si="37"/>
        <v>3.8720538720538718E-2</v>
      </c>
      <c r="R313">
        <f ca="1">IF(M313="","",VLOOKUP(N313,Sim!$EF$46:$EG$61,2,0))</f>
        <v>8.94</v>
      </c>
      <c r="S313">
        <f ca="1">IF(M313="","",VLOOKUP(N313,'Team Stats'!$B$3:$K$18,10,0))</f>
        <v>64.760487804878053</v>
      </c>
      <c r="T313" s="84">
        <f t="shared" ca="1" si="38"/>
        <v>2.5075609756097559</v>
      </c>
      <c r="U313">
        <f t="shared" ca="1" si="39"/>
        <v>147</v>
      </c>
    </row>
    <row r="314" spans="1:21">
      <c r="A314" s="73" t="s">
        <v>638</v>
      </c>
      <c r="B314" s="73" t="s">
        <v>206</v>
      </c>
      <c r="C314" s="74">
        <v>59</v>
      </c>
      <c r="D314" s="74"/>
      <c r="E314" s="74">
        <v>1</v>
      </c>
      <c r="F314" s="74"/>
      <c r="G314" s="74">
        <v>22</v>
      </c>
      <c r="H314" s="74"/>
      <c r="I314" s="63">
        <v>23</v>
      </c>
      <c r="J314" t="b">
        <f t="shared" si="32"/>
        <v>1</v>
      </c>
      <c r="K314" t="b">
        <f t="shared" si="33"/>
        <v>1</v>
      </c>
      <c r="M314" t="str">
        <f t="shared" si="34"/>
        <v> Dan Hamhuis</v>
      </c>
      <c r="N314" t="str">
        <f t="shared" si="35"/>
        <v>VAN</v>
      </c>
      <c r="O314">
        <f t="shared" si="36"/>
        <v>23</v>
      </c>
      <c r="P314">
        <f>IF(M314="","",VLOOKUP(B314,'Team Stats'!$B$3:$K$18,5,0))</f>
        <v>642</v>
      </c>
      <c r="Q314">
        <f t="shared" si="37"/>
        <v>3.5825545171339561E-2</v>
      </c>
      <c r="R314">
        <f ca="1">IF(M314="","",VLOOKUP(N314,Sim!$EF$46:$EG$61,2,0))</f>
        <v>10.35</v>
      </c>
      <c r="S314">
        <f ca="1">IF(M314="","",VLOOKUP(N314,'Team Stats'!$B$3:$K$18,10,0))</f>
        <v>81.032926829268291</v>
      </c>
      <c r="T314" s="84">
        <f t="shared" ca="1" si="38"/>
        <v>2.9030487804878047</v>
      </c>
      <c r="U314">
        <f t="shared" ca="1" si="39"/>
        <v>134</v>
      </c>
    </row>
    <row r="315" spans="1:21">
      <c r="A315" s="73" t="s">
        <v>639</v>
      </c>
      <c r="B315" s="73" t="s">
        <v>208</v>
      </c>
      <c r="C315" s="74">
        <v>57</v>
      </c>
      <c r="D315" s="74"/>
      <c r="E315" s="74">
        <v>12</v>
      </c>
      <c r="F315" s="74"/>
      <c r="G315" s="74">
        <v>11</v>
      </c>
      <c r="H315" s="74"/>
      <c r="I315" s="63">
        <v>23</v>
      </c>
      <c r="J315" t="b">
        <f t="shared" si="32"/>
        <v>0</v>
      </c>
      <c r="K315" t="b">
        <f t="shared" si="33"/>
        <v>0</v>
      </c>
      <c r="M315" t="str">
        <f t="shared" si="34"/>
        <v/>
      </c>
      <c r="N315" t="str">
        <f t="shared" si="35"/>
        <v/>
      </c>
      <c r="O315" t="str">
        <f t="shared" si="36"/>
        <v/>
      </c>
      <c r="P315" t="str">
        <f>IF(M315="","",VLOOKUP(B315,'Team Stats'!$B$3:$K$18,5,0))</f>
        <v/>
      </c>
      <c r="Q315" t="str">
        <f t="shared" si="37"/>
        <v/>
      </c>
      <c r="R315" t="str">
        <f>IF(M315="","",VLOOKUP(N315,Sim!$EF$46:$EG$61,2,0))</f>
        <v/>
      </c>
      <c r="S315" t="str">
        <f>IF(M315="","",VLOOKUP(N315,'Team Stats'!$B$3:$K$18,10,0))</f>
        <v/>
      </c>
      <c r="T315" s="84" t="str">
        <f t="shared" si="38"/>
        <v/>
      </c>
      <c r="U315" t="str">
        <f t="shared" si="39"/>
        <v/>
      </c>
    </row>
    <row r="316" spans="1:21">
      <c r="A316" s="73" t="s">
        <v>640</v>
      </c>
      <c r="B316" s="73" t="s">
        <v>357</v>
      </c>
      <c r="C316" s="74">
        <v>73</v>
      </c>
      <c r="D316" s="74"/>
      <c r="E316" s="74">
        <v>3</v>
      </c>
      <c r="F316" s="74"/>
      <c r="G316" s="74">
        <v>20</v>
      </c>
      <c r="H316" s="74"/>
      <c r="I316" s="63">
        <v>23</v>
      </c>
      <c r="J316" t="b">
        <f t="shared" si="32"/>
        <v>0</v>
      </c>
      <c r="K316" t="b">
        <f t="shared" si="33"/>
        <v>0</v>
      </c>
      <c r="M316" t="str">
        <f t="shared" si="34"/>
        <v/>
      </c>
      <c r="N316" t="str">
        <f t="shared" si="35"/>
        <v/>
      </c>
      <c r="O316" t="str">
        <f t="shared" si="36"/>
        <v/>
      </c>
      <c r="P316" t="str">
        <f>IF(M316="","",VLOOKUP(B316,'Team Stats'!$B$3:$K$18,5,0))</f>
        <v/>
      </c>
      <c r="Q316" t="str">
        <f t="shared" si="37"/>
        <v/>
      </c>
      <c r="R316" t="str">
        <f>IF(M316="","",VLOOKUP(N316,Sim!$EF$46:$EG$61,2,0))</f>
        <v/>
      </c>
      <c r="S316" t="str">
        <f>IF(M316="","",VLOOKUP(N316,'Team Stats'!$B$3:$K$18,10,0))</f>
        <v/>
      </c>
      <c r="T316" s="84" t="str">
        <f t="shared" si="38"/>
        <v/>
      </c>
      <c r="U316" t="str">
        <f t="shared" si="39"/>
        <v/>
      </c>
    </row>
    <row r="317" spans="1:21" ht="30">
      <c r="A317" s="73" t="s">
        <v>641</v>
      </c>
      <c r="B317" s="73" t="s">
        <v>205</v>
      </c>
      <c r="C317" s="74">
        <v>64</v>
      </c>
      <c r="D317" s="74"/>
      <c r="E317" s="74">
        <v>11</v>
      </c>
      <c r="F317" s="74"/>
      <c r="G317" s="74">
        <v>12</v>
      </c>
      <c r="H317" s="74"/>
      <c r="I317" s="63">
        <v>23</v>
      </c>
      <c r="J317" t="b">
        <f t="shared" si="32"/>
        <v>1</v>
      </c>
      <c r="K317" t="b">
        <f t="shared" si="33"/>
        <v>1</v>
      </c>
      <c r="M317" t="str">
        <f t="shared" si="34"/>
        <v> Francois Beauchemin</v>
      </c>
      <c r="N317" t="str">
        <f t="shared" si="35"/>
        <v>ANA</v>
      </c>
      <c r="O317">
        <f t="shared" si="36"/>
        <v>23</v>
      </c>
      <c r="P317">
        <f>IF(M317="","",VLOOKUP(B317,'Team Stats'!$B$3:$K$18,5,0))</f>
        <v>613</v>
      </c>
      <c r="Q317">
        <f t="shared" si="37"/>
        <v>3.7520391517128875E-2</v>
      </c>
      <c r="R317">
        <f ca="1">IF(M317="","",VLOOKUP(N317,Sim!$EF$46:$EG$61,2,0))</f>
        <v>14.85</v>
      </c>
      <c r="S317">
        <f ca="1">IF(M317="","",VLOOKUP(N317,'Team Stats'!$B$3:$K$18,10,0))</f>
        <v>111.01280487804878</v>
      </c>
      <c r="T317" s="84">
        <f t="shared" ca="1" si="38"/>
        <v>4.1652439024390242</v>
      </c>
      <c r="U317">
        <f t="shared" ca="1" si="39"/>
        <v>96</v>
      </c>
    </row>
    <row r="318" spans="1:21">
      <c r="A318" s="73" t="s">
        <v>642</v>
      </c>
      <c r="B318" s="73" t="s">
        <v>216</v>
      </c>
      <c r="C318" s="74">
        <v>47</v>
      </c>
      <c r="D318" s="74"/>
      <c r="E318" s="74">
        <v>12</v>
      </c>
      <c r="F318" s="74"/>
      <c r="G318" s="74">
        <v>11</v>
      </c>
      <c r="H318" s="74"/>
      <c r="I318" s="63">
        <v>23</v>
      </c>
      <c r="J318" t="b">
        <f t="shared" si="32"/>
        <v>0</v>
      </c>
      <c r="K318" t="b">
        <f t="shared" si="33"/>
        <v>0</v>
      </c>
      <c r="M318" t="str">
        <f t="shared" si="34"/>
        <v/>
      </c>
      <c r="N318" t="str">
        <f t="shared" si="35"/>
        <v/>
      </c>
      <c r="O318" t="str">
        <f t="shared" si="36"/>
        <v/>
      </c>
      <c r="P318" t="str">
        <f>IF(M318="","",VLOOKUP(B318,'Team Stats'!$B$3:$K$18,5,0))</f>
        <v/>
      </c>
      <c r="Q318" t="str">
        <f t="shared" si="37"/>
        <v/>
      </c>
      <c r="R318" t="str">
        <f>IF(M318="","",VLOOKUP(N318,Sim!$EF$46:$EG$61,2,0))</f>
        <v/>
      </c>
      <c r="S318" t="str">
        <f>IF(M318="","",VLOOKUP(N318,'Team Stats'!$B$3:$K$18,10,0))</f>
        <v/>
      </c>
      <c r="T318" s="84" t="str">
        <f t="shared" si="38"/>
        <v/>
      </c>
      <c r="U318" t="str">
        <f t="shared" si="39"/>
        <v/>
      </c>
    </row>
    <row r="319" spans="1:21">
      <c r="A319" s="73" t="s">
        <v>643</v>
      </c>
      <c r="B319" s="73" t="s">
        <v>203</v>
      </c>
      <c r="C319" s="74">
        <v>58</v>
      </c>
      <c r="D319" s="74"/>
      <c r="E319" s="74">
        <v>10</v>
      </c>
      <c r="F319" s="74"/>
      <c r="G319" s="74">
        <v>13</v>
      </c>
      <c r="H319" s="74"/>
      <c r="I319" s="63">
        <v>23</v>
      </c>
      <c r="J319" t="b">
        <f t="shared" si="32"/>
        <v>1</v>
      </c>
      <c r="K319" t="b">
        <f t="shared" si="33"/>
        <v>1</v>
      </c>
      <c r="M319" t="str">
        <f t="shared" si="34"/>
        <v> J.T. Miller</v>
      </c>
      <c r="N319" t="str">
        <f t="shared" si="35"/>
        <v>NYR</v>
      </c>
      <c r="O319">
        <f t="shared" si="36"/>
        <v>23</v>
      </c>
      <c r="P319">
        <f>IF(M319="","",VLOOKUP(B319,'Team Stats'!$B$3:$K$18,5,0))</f>
        <v>659</v>
      </c>
      <c r="Q319">
        <f t="shared" si="37"/>
        <v>3.490136570561457E-2</v>
      </c>
      <c r="R319">
        <f ca="1">IF(M319="","",VLOOKUP(N319,Sim!$EF$46:$EG$61,2,0))</f>
        <v>8.7200000000000006</v>
      </c>
      <c r="S319">
        <f ca="1">IF(M319="","",VLOOKUP(N319,'Team Stats'!$B$3:$K$18,10,0))</f>
        <v>70.079024390243916</v>
      </c>
      <c r="T319" s="84">
        <f t="shared" ca="1" si="38"/>
        <v>2.4458536585365862</v>
      </c>
      <c r="U319">
        <f t="shared" ca="1" si="39"/>
        <v>150</v>
      </c>
    </row>
    <row r="320" spans="1:21">
      <c r="A320" s="73" t="s">
        <v>644</v>
      </c>
      <c r="B320" s="73" t="s">
        <v>205</v>
      </c>
      <c r="C320" s="74">
        <v>75</v>
      </c>
      <c r="D320" s="74"/>
      <c r="E320" s="74">
        <v>3</v>
      </c>
      <c r="F320" s="74"/>
      <c r="G320" s="74">
        <v>20</v>
      </c>
      <c r="H320" s="74"/>
      <c r="I320" s="63">
        <v>23</v>
      </c>
      <c r="J320" t="b">
        <f t="shared" si="32"/>
        <v>1</v>
      </c>
      <c r="K320" t="b">
        <f t="shared" si="33"/>
        <v>1</v>
      </c>
      <c r="M320" t="str">
        <f t="shared" si="34"/>
        <v> Simon Despres</v>
      </c>
      <c r="N320" t="str">
        <f t="shared" si="35"/>
        <v>ANA</v>
      </c>
      <c r="O320">
        <f t="shared" si="36"/>
        <v>23</v>
      </c>
      <c r="P320">
        <f>IF(M320="","",VLOOKUP(B320,'Team Stats'!$B$3:$K$18,5,0))</f>
        <v>613</v>
      </c>
      <c r="Q320">
        <f t="shared" si="37"/>
        <v>3.7520391517128875E-2</v>
      </c>
      <c r="R320">
        <f ca="1">IF(M320="","",VLOOKUP(N320,Sim!$EF$46:$EG$61,2,0))</f>
        <v>14.85</v>
      </c>
      <c r="S320">
        <f ca="1">IF(M320="","",VLOOKUP(N320,'Team Stats'!$B$3:$K$18,10,0))</f>
        <v>111.01280487804878</v>
      </c>
      <c r="T320" s="84">
        <f t="shared" ca="1" si="38"/>
        <v>4.1652439024390242</v>
      </c>
      <c r="U320">
        <f t="shared" ca="1" si="39"/>
        <v>96</v>
      </c>
    </row>
    <row r="321" spans="1:21">
      <c r="A321" s="73" t="s">
        <v>645</v>
      </c>
      <c r="B321" s="73" t="s">
        <v>340</v>
      </c>
      <c r="C321" s="74">
        <v>70</v>
      </c>
      <c r="D321" s="74"/>
      <c r="E321" s="74">
        <v>1</v>
      </c>
      <c r="F321" s="74"/>
      <c r="G321" s="74">
        <v>22</v>
      </c>
      <c r="H321" s="74"/>
      <c r="I321" s="63">
        <v>23</v>
      </c>
      <c r="J321" t="b">
        <f t="shared" si="32"/>
        <v>0</v>
      </c>
      <c r="K321" t="b">
        <f t="shared" si="33"/>
        <v>0</v>
      </c>
      <c r="M321" t="str">
        <f t="shared" si="34"/>
        <v/>
      </c>
      <c r="N321" t="str">
        <f t="shared" si="35"/>
        <v/>
      </c>
      <c r="O321" t="str">
        <f t="shared" si="36"/>
        <v/>
      </c>
      <c r="P321" t="str">
        <f>IF(M321="","",VLOOKUP(B321,'Team Stats'!$B$3:$K$18,5,0))</f>
        <v/>
      </c>
      <c r="Q321" t="str">
        <f t="shared" si="37"/>
        <v/>
      </c>
      <c r="R321" t="str">
        <f>IF(M321="","",VLOOKUP(N321,Sim!$EF$46:$EG$61,2,0))</f>
        <v/>
      </c>
      <c r="S321" t="str">
        <f>IF(M321="","",VLOOKUP(N321,'Team Stats'!$B$3:$K$18,10,0))</f>
        <v/>
      </c>
      <c r="T321" s="84" t="str">
        <f t="shared" si="38"/>
        <v/>
      </c>
      <c r="U321" t="str">
        <f t="shared" si="39"/>
        <v/>
      </c>
    </row>
    <row r="322" spans="1:21">
      <c r="A322" s="73" t="s">
        <v>646</v>
      </c>
      <c r="B322" s="73" t="s">
        <v>340</v>
      </c>
      <c r="C322" s="74">
        <v>70</v>
      </c>
      <c r="D322" s="74"/>
      <c r="E322" s="74">
        <v>9</v>
      </c>
      <c r="F322" s="74"/>
      <c r="G322" s="74">
        <v>14</v>
      </c>
      <c r="H322" s="74"/>
      <c r="I322" s="63">
        <v>23</v>
      </c>
      <c r="J322" t="b">
        <f t="shared" si="32"/>
        <v>0</v>
      </c>
      <c r="K322" t="b">
        <f t="shared" si="33"/>
        <v>0</v>
      </c>
      <c r="M322" t="str">
        <f t="shared" si="34"/>
        <v/>
      </c>
      <c r="N322" t="str">
        <f t="shared" si="35"/>
        <v/>
      </c>
      <c r="O322" t="str">
        <f t="shared" si="36"/>
        <v/>
      </c>
      <c r="P322" t="str">
        <f>IF(M322="","",VLOOKUP(B322,'Team Stats'!$B$3:$K$18,5,0))</f>
        <v/>
      </c>
      <c r="Q322" t="str">
        <f t="shared" si="37"/>
        <v/>
      </c>
      <c r="R322" t="str">
        <f>IF(M322="","",VLOOKUP(N322,Sim!$EF$46:$EG$61,2,0))</f>
        <v/>
      </c>
      <c r="S322" t="str">
        <f>IF(M322="","",VLOOKUP(N322,'Team Stats'!$B$3:$K$18,10,0))</f>
        <v/>
      </c>
      <c r="T322" s="84" t="str">
        <f t="shared" si="38"/>
        <v/>
      </c>
      <c r="U322" t="str">
        <f t="shared" si="39"/>
        <v/>
      </c>
    </row>
    <row r="323" spans="1:21">
      <c r="A323" s="73" t="s">
        <v>647</v>
      </c>
      <c r="B323" s="73" t="s">
        <v>214</v>
      </c>
      <c r="C323" s="74">
        <v>68</v>
      </c>
      <c r="D323" s="74"/>
      <c r="E323" s="74">
        <v>9</v>
      </c>
      <c r="F323" s="74"/>
      <c r="G323" s="74">
        <v>14</v>
      </c>
      <c r="H323" s="74"/>
      <c r="I323" s="63">
        <v>23</v>
      </c>
      <c r="J323" t="b">
        <f t="shared" si="32"/>
        <v>1</v>
      </c>
      <c r="K323" t="b">
        <f t="shared" si="33"/>
        <v>1</v>
      </c>
      <c r="M323" t="str">
        <f t="shared" si="34"/>
        <v> Erik Condra</v>
      </c>
      <c r="N323" t="str">
        <f t="shared" si="35"/>
        <v>OTT</v>
      </c>
      <c r="O323">
        <f t="shared" si="36"/>
        <v>23</v>
      </c>
      <c r="P323">
        <f>IF(M323="","",VLOOKUP(B323,'Team Stats'!$B$3:$K$18,5,0))</f>
        <v>619</v>
      </c>
      <c r="Q323">
        <f t="shared" si="37"/>
        <v>3.7156704361873988E-2</v>
      </c>
      <c r="R323">
        <f ca="1">IF(M323="","",VLOOKUP(N323,Sim!$EF$46:$EG$61,2,0))</f>
        <v>10.71</v>
      </c>
      <c r="S323">
        <f ca="1">IF(M323="","",VLOOKUP(N323,'Team Stats'!$B$3:$K$18,10,0))</f>
        <v>80.847439024390255</v>
      </c>
      <c r="T323" s="84">
        <f t="shared" ca="1" si="38"/>
        <v>3.0040243902439028</v>
      </c>
      <c r="U323">
        <f t="shared" ca="1" si="39"/>
        <v>133</v>
      </c>
    </row>
    <row r="324" spans="1:21">
      <c r="A324" s="73" t="s">
        <v>648</v>
      </c>
      <c r="B324" s="73" t="s">
        <v>205</v>
      </c>
      <c r="C324" s="74">
        <v>69</v>
      </c>
      <c r="D324" s="74"/>
      <c r="E324" s="74">
        <v>9</v>
      </c>
      <c r="F324" s="74"/>
      <c r="G324" s="74">
        <v>14</v>
      </c>
      <c r="H324" s="74"/>
      <c r="I324" s="63">
        <v>23</v>
      </c>
      <c r="J324" t="b">
        <f t="shared" ref="J324:J387" si="40">OR(B324="MTL",B324="OTT",B324="TBL",B324="DET",B324="WSH",B324="NYI",B324="NYR",B324="PIT",B324="STL",B324="MIN",B324="NSH",B324="CHI",B324="VAN",B324="CAL",B324="ANA",B324="WPG")</f>
        <v>1</v>
      </c>
      <c r="K324" t="b">
        <f t="shared" ref="K324:K387" si="41">J324</f>
        <v>1</v>
      </c>
      <c r="M324" t="str">
        <f t="shared" ref="M324:M387" si="42">IF(K324=FALSE,"",A324)</f>
        <v> Jiri Sekac</v>
      </c>
      <c r="N324" t="str">
        <f t="shared" ref="N324:N387" si="43">IF(M324="","",B324)</f>
        <v>ANA</v>
      </c>
      <c r="O324">
        <f t="shared" ref="O324:O387" si="44">IF(M324="","",I324)</f>
        <v>23</v>
      </c>
      <c r="P324">
        <f>IF(M324="","",VLOOKUP(B324,'Team Stats'!$B$3:$K$18,5,0))</f>
        <v>613</v>
      </c>
      <c r="Q324">
        <f t="shared" ref="Q324:Q387" si="45">IF(N324="","",IF(O324=0,0,O324/P324))</f>
        <v>3.7520391517128875E-2</v>
      </c>
      <c r="R324">
        <f ca="1">IF(M324="","",VLOOKUP(N324,Sim!$EF$46:$EG$61,2,0))</f>
        <v>14.85</v>
      </c>
      <c r="S324">
        <f ca="1">IF(M324="","",VLOOKUP(N324,'Team Stats'!$B$3:$K$18,10,0))</f>
        <v>111.01280487804878</v>
      </c>
      <c r="T324" s="84">
        <f t="shared" ref="T324:T387" ca="1" si="46">IF(M324="","",IF(O324=0,0,Q324*S324))</f>
        <v>4.1652439024390242</v>
      </c>
      <c r="U324">
        <f t="shared" ref="U324:U387" ca="1" si="47">IF(M324="","",RANK(T324,$T$3:$T$884,0))</f>
        <v>96</v>
      </c>
    </row>
    <row r="325" spans="1:21">
      <c r="A325" s="73" t="s">
        <v>649</v>
      </c>
      <c r="B325" s="73" t="s">
        <v>210</v>
      </c>
      <c r="C325" s="74">
        <v>80</v>
      </c>
      <c r="D325" s="74"/>
      <c r="E325" s="74">
        <v>11</v>
      </c>
      <c r="F325" s="74"/>
      <c r="G325" s="74">
        <v>12</v>
      </c>
      <c r="H325" s="74"/>
      <c r="I325" s="63">
        <v>23</v>
      </c>
      <c r="J325" t="b">
        <f t="shared" si="40"/>
        <v>1</v>
      </c>
      <c r="K325" t="b">
        <f t="shared" si="41"/>
        <v>1</v>
      </c>
      <c r="M325" t="str">
        <f t="shared" si="42"/>
        <v> Adam Lowry</v>
      </c>
      <c r="N325" t="str">
        <f t="shared" si="43"/>
        <v>WPG</v>
      </c>
      <c r="O325">
        <f t="shared" si="44"/>
        <v>23</v>
      </c>
      <c r="P325">
        <f>IF(M325="","",VLOOKUP(B325,'Team Stats'!$B$3:$K$18,5,0))</f>
        <v>594</v>
      </c>
      <c r="Q325">
        <f t="shared" si="45"/>
        <v>3.8720538720538718E-2</v>
      </c>
      <c r="R325">
        <f ca="1">IF(M325="","",VLOOKUP(N325,Sim!$EF$46:$EG$61,2,0))</f>
        <v>8.94</v>
      </c>
      <c r="S325">
        <f ca="1">IF(M325="","",VLOOKUP(N325,'Team Stats'!$B$3:$K$18,10,0))</f>
        <v>64.760487804878053</v>
      </c>
      <c r="T325" s="84">
        <f t="shared" ca="1" si="46"/>
        <v>2.5075609756097559</v>
      </c>
      <c r="U325">
        <f t="shared" ca="1" si="47"/>
        <v>147</v>
      </c>
    </row>
    <row r="326" spans="1:21">
      <c r="A326" s="73" t="s">
        <v>650</v>
      </c>
      <c r="B326" s="73" t="s">
        <v>331</v>
      </c>
      <c r="C326" s="74">
        <v>56</v>
      </c>
      <c r="D326" s="74"/>
      <c r="E326" s="74">
        <v>13</v>
      </c>
      <c r="F326" s="74"/>
      <c r="G326" s="74">
        <v>10</v>
      </c>
      <c r="H326" s="74"/>
      <c r="I326" s="63">
        <v>23</v>
      </c>
      <c r="J326" t="b">
        <f t="shared" si="40"/>
        <v>0</v>
      </c>
      <c r="K326" t="b">
        <f t="shared" si="41"/>
        <v>0</v>
      </c>
      <c r="M326" t="str">
        <f t="shared" si="42"/>
        <v/>
      </c>
      <c r="N326" t="str">
        <f t="shared" si="43"/>
        <v/>
      </c>
      <c r="O326" t="str">
        <f t="shared" si="44"/>
        <v/>
      </c>
      <c r="P326" t="str">
        <f>IF(M326="","",VLOOKUP(B326,'Team Stats'!$B$3:$K$18,5,0))</f>
        <v/>
      </c>
      <c r="Q326" t="str">
        <f t="shared" si="45"/>
        <v/>
      </c>
      <c r="R326" t="str">
        <f>IF(M326="","",VLOOKUP(N326,Sim!$EF$46:$EG$61,2,0))</f>
        <v/>
      </c>
      <c r="S326" t="str">
        <f>IF(M326="","",VLOOKUP(N326,'Team Stats'!$B$3:$K$18,10,0))</f>
        <v/>
      </c>
      <c r="T326" s="84" t="str">
        <f t="shared" si="46"/>
        <v/>
      </c>
      <c r="U326" t="str">
        <f t="shared" si="47"/>
        <v/>
      </c>
    </row>
    <row r="327" spans="1:21">
      <c r="A327" s="73" t="s">
        <v>651</v>
      </c>
      <c r="B327" s="73" t="s">
        <v>357</v>
      </c>
      <c r="C327" s="74">
        <v>56</v>
      </c>
      <c r="D327" s="74"/>
      <c r="E327" s="74">
        <v>6</v>
      </c>
      <c r="F327" s="74"/>
      <c r="G327" s="74">
        <v>16</v>
      </c>
      <c r="H327" s="74"/>
      <c r="I327" s="63">
        <v>22</v>
      </c>
      <c r="J327" t="b">
        <f t="shared" si="40"/>
        <v>0</v>
      </c>
      <c r="K327" t="b">
        <f t="shared" si="41"/>
        <v>0</v>
      </c>
      <c r="M327" t="str">
        <f t="shared" si="42"/>
        <v/>
      </c>
      <c r="N327" t="str">
        <f t="shared" si="43"/>
        <v/>
      </c>
      <c r="O327" t="str">
        <f t="shared" si="44"/>
        <v/>
      </c>
      <c r="P327" t="str">
        <f>IF(M327="","",VLOOKUP(B327,'Team Stats'!$B$3:$K$18,5,0))</f>
        <v/>
      </c>
      <c r="Q327" t="str">
        <f t="shared" si="45"/>
        <v/>
      </c>
      <c r="R327" t="str">
        <f>IF(M327="","",VLOOKUP(N327,Sim!$EF$46:$EG$61,2,0))</f>
        <v/>
      </c>
      <c r="S327" t="str">
        <f>IF(M327="","",VLOOKUP(N327,'Team Stats'!$B$3:$K$18,10,0))</f>
        <v/>
      </c>
      <c r="T327" s="84" t="str">
        <f t="shared" si="46"/>
        <v/>
      </c>
      <c r="U327" t="str">
        <f t="shared" si="47"/>
        <v/>
      </c>
    </row>
    <row r="328" spans="1:21">
      <c r="A328" s="73" t="s">
        <v>652</v>
      </c>
      <c r="B328" s="73" t="s">
        <v>218</v>
      </c>
      <c r="C328" s="74">
        <v>57</v>
      </c>
      <c r="D328" s="74"/>
      <c r="E328" s="74">
        <v>2</v>
      </c>
      <c r="F328" s="74"/>
      <c r="G328" s="74">
        <v>20</v>
      </c>
      <c r="H328" s="74"/>
      <c r="I328" s="63">
        <v>22</v>
      </c>
      <c r="J328" t="b">
        <f t="shared" si="40"/>
        <v>0</v>
      </c>
      <c r="K328" t="b">
        <f t="shared" si="41"/>
        <v>0</v>
      </c>
      <c r="M328" t="str">
        <f t="shared" si="42"/>
        <v/>
      </c>
      <c r="N328" t="str">
        <f t="shared" si="43"/>
        <v/>
      </c>
      <c r="O328" t="str">
        <f t="shared" si="44"/>
        <v/>
      </c>
      <c r="P328" t="str">
        <f>IF(M328="","",VLOOKUP(B328,'Team Stats'!$B$3:$K$18,5,0))</f>
        <v/>
      </c>
      <c r="Q328" t="str">
        <f t="shared" si="45"/>
        <v/>
      </c>
      <c r="R328" t="str">
        <f>IF(M328="","",VLOOKUP(N328,Sim!$EF$46:$EG$61,2,0))</f>
        <v/>
      </c>
      <c r="S328" t="str">
        <f>IF(M328="","",VLOOKUP(N328,'Team Stats'!$B$3:$K$18,10,0))</f>
        <v/>
      </c>
      <c r="T328" s="84" t="str">
        <f t="shared" si="46"/>
        <v/>
      </c>
      <c r="U328" t="str">
        <f t="shared" si="47"/>
        <v/>
      </c>
    </row>
    <row r="329" spans="1:21">
      <c r="A329" s="73" t="s">
        <v>653</v>
      </c>
      <c r="B329" s="73" t="s">
        <v>196</v>
      </c>
      <c r="C329" s="74">
        <v>81</v>
      </c>
      <c r="D329" s="74"/>
      <c r="E329" s="74">
        <v>2</v>
      </c>
      <c r="F329" s="74"/>
      <c r="G329" s="74">
        <v>20</v>
      </c>
      <c r="H329" s="74"/>
      <c r="I329" s="63">
        <v>22</v>
      </c>
      <c r="J329" t="b">
        <f t="shared" si="40"/>
        <v>1</v>
      </c>
      <c r="K329" t="b">
        <f t="shared" si="41"/>
        <v>1</v>
      </c>
      <c r="M329" t="str">
        <f t="shared" si="42"/>
        <v> Thomas Hickey</v>
      </c>
      <c r="N329" t="str">
        <f t="shared" si="43"/>
        <v>NYI</v>
      </c>
      <c r="O329">
        <f t="shared" si="44"/>
        <v>22</v>
      </c>
      <c r="P329">
        <f>IF(M329="","",VLOOKUP(B329,'Team Stats'!$B$3:$K$18,5,0))</f>
        <v>656</v>
      </c>
      <c r="Q329">
        <f t="shared" si="45"/>
        <v>3.3536585365853661E-2</v>
      </c>
      <c r="R329">
        <f ca="1">IF(M329="","",VLOOKUP(N329,Sim!$EF$46:$EG$61,2,0))</f>
        <v>13.18</v>
      </c>
      <c r="S329">
        <f ca="1">IF(M329="","",VLOOKUP(N329,'Team Stats'!$B$3:$K$18,10,0))</f>
        <v>105.44</v>
      </c>
      <c r="T329" s="84">
        <f t="shared" ca="1" si="46"/>
        <v>3.5360975609756098</v>
      </c>
      <c r="U329">
        <f t="shared" ca="1" si="47"/>
        <v>113</v>
      </c>
    </row>
    <row r="330" spans="1:21">
      <c r="A330" s="73" t="s">
        <v>654</v>
      </c>
      <c r="B330" s="73" t="s">
        <v>345</v>
      </c>
      <c r="C330" s="74">
        <v>78</v>
      </c>
      <c r="D330" s="74"/>
      <c r="E330" s="74">
        <v>7</v>
      </c>
      <c r="F330" s="74"/>
      <c r="G330" s="74">
        <v>15</v>
      </c>
      <c r="H330" s="74"/>
      <c r="I330" s="63">
        <v>22</v>
      </c>
      <c r="J330" t="b">
        <f t="shared" si="40"/>
        <v>0</v>
      </c>
      <c r="K330" t="b">
        <f t="shared" si="41"/>
        <v>0</v>
      </c>
      <c r="M330" t="str">
        <f t="shared" si="42"/>
        <v/>
      </c>
      <c r="N330" t="str">
        <f t="shared" si="43"/>
        <v/>
      </c>
      <c r="O330" t="str">
        <f t="shared" si="44"/>
        <v/>
      </c>
      <c r="P330" t="str">
        <f>IF(M330="","",VLOOKUP(B330,'Team Stats'!$B$3:$K$18,5,0))</f>
        <v/>
      </c>
      <c r="Q330" t="str">
        <f t="shared" si="45"/>
        <v/>
      </c>
      <c r="R330" t="str">
        <f>IF(M330="","",VLOOKUP(N330,Sim!$EF$46:$EG$61,2,0))</f>
        <v/>
      </c>
      <c r="S330" t="str">
        <f>IF(M330="","",VLOOKUP(N330,'Team Stats'!$B$3:$K$18,10,0))</f>
        <v/>
      </c>
      <c r="T330" s="84" t="str">
        <f t="shared" si="46"/>
        <v/>
      </c>
      <c r="U330" t="str">
        <f t="shared" si="47"/>
        <v/>
      </c>
    </row>
    <row r="331" spans="1:21" ht="30">
      <c r="A331" s="73" t="s">
        <v>655</v>
      </c>
      <c r="B331" s="73" t="s">
        <v>345</v>
      </c>
      <c r="C331" s="74">
        <v>56</v>
      </c>
      <c r="D331" s="74"/>
      <c r="E331" s="74">
        <v>8</v>
      </c>
      <c r="F331" s="74"/>
      <c r="G331" s="74">
        <v>14</v>
      </c>
      <c r="H331" s="74"/>
      <c r="I331" s="63">
        <v>22</v>
      </c>
      <c r="J331" t="b">
        <f t="shared" si="40"/>
        <v>0</v>
      </c>
      <c r="K331" t="b">
        <f t="shared" si="41"/>
        <v>0</v>
      </c>
      <c r="M331" t="str">
        <f t="shared" si="42"/>
        <v/>
      </c>
      <c r="N331" t="str">
        <f t="shared" si="43"/>
        <v/>
      </c>
      <c r="O331" t="str">
        <f t="shared" si="44"/>
        <v/>
      </c>
      <c r="P331" t="str">
        <f>IF(M331="","",VLOOKUP(B331,'Team Stats'!$B$3:$K$18,5,0))</f>
        <v/>
      </c>
      <c r="Q331" t="str">
        <f t="shared" si="45"/>
        <v/>
      </c>
      <c r="R331" t="str">
        <f>IF(M331="","",VLOOKUP(N331,Sim!$EF$46:$EG$61,2,0))</f>
        <v/>
      </c>
      <c r="S331" t="str">
        <f>IF(M331="","",VLOOKUP(N331,'Team Stats'!$B$3:$K$18,10,0))</f>
        <v/>
      </c>
      <c r="T331" s="84" t="str">
        <f t="shared" si="46"/>
        <v/>
      </c>
      <c r="U331" t="str">
        <f t="shared" si="47"/>
        <v/>
      </c>
    </row>
    <row r="332" spans="1:21">
      <c r="A332" s="73" t="s">
        <v>656</v>
      </c>
      <c r="B332" s="73" t="s">
        <v>219</v>
      </c>
      <c r="C332" s="74">
        <v>50</v>
      </c>
      <c r="D332" s="74"/>
      <c r="E332" s="74">
        <v>7</v>
      </c>
      <c r="F332" s="74"/>
      <c r="G332" s="74">
        <v>15</v>
      </c>
      <c r="H332" s="74"/>
      <c r="I332" s="63">
        <v>22</v>
      </c>
      <c r="J332" t="b">
        <f t="shared" si="40"/>
        <v>0</v>
      </c>
      <c r="K332" t="b">
        <f t="shared" si="41"/>
        <v>0</v>
      </c>
      <c r="M332" t="str">
        <f t="shared" si="42"/>
        <v/>
      </c>
      <c r="N332" t="str">
        <f t="shared" si="43"/>
        <v/>
      </c>
      <c r="O332" t="str">
        <f t="shared" si="44"/>
        <v/>
      </c>
      <c r="P332" t="str">
        <f>IF(M332="","",VLOOKUP(B332,'Team Stats'!$B$3:$K$18,5,0))</f>
        <v/>
      </c>
      <c r="Q332" t="str">
        <f t="shared" si="45"/>
        <v/>
      </c>
      <c r="R332" t="str">
        <f>IF(M332="","",VLOOKUP(N332,Sim!$EF$46:$EG$61,2,0))</f>
        <v/>
      </c>
      <c r="S332" t="str">
        <f>IF(M332="","",VLOOKUP(N332,'Team Stats'!$B$3:$K$18,10,0))</f>
        <v/>
      </c>
      <c r="T332" s="84" t="str">
        <f t="shared" si="46"/>
        <v/>
      </c>
      <c r="U332" t="str">
        <f t="shared" si="47"/>
        <v/>
      </c>
    </row>
    <row r="333" spans="1:21">
      <c r="A333" s="73" t="s">
        <v>657</v>
      </c>
      <c r="B333" s="73" t="s">
        <v>210</v>
      </c>
      <c r="C333" s="74">
        <v>65</v>
      </c>
      <c r="D333" s="74"/>
      <c r="E333" s="74">
        <v>7</v>
      </c>
      <c r="F333" s="74"/>
      <c r="G333" s="74">
        <v>15</v>
      </c>
      <c r="H333" s="74"/>
      <c r="I333" s="63">
        <v>22</v>
      </c>
      <c r="J333" t="b">
        <f t="shared" si="40"/>
        <v>1</v>
      </c>
      <c r="K333" t="b">
        <f t="shared" si="41"/>
        <v>1</v>
      </c>
      <c r="M333" t="str">
        <f t="shared" si="42"/>
        <v> Jacob Trouba</v>
      </c>
      <c r="N333" t="str">
        <f t="shared" si="43"/>
        <v>WPG</v>
      </c>
      <c r="O333">
        <f t="shared" si="44"/>
        <v>22</v>
      </c>
      <c r="P333">
        <f>IF(M333="","",VLOOKUP(B333,'Team Stats'!$B$3:$K$18,5,0))</f>
        <v>594</v>
      </c>
      <c r="Q333">
        <f t="shared" si="45"/>
        <v>3.7037037037037035E-2</v>
      </c>
      <c r="R333">
        <f ca="1">IF(M333="","",VLOOKUP(N333,Sim!$EF$46:$EG$61,2,0))</f>
        <v>8.94</v>
      </c>
      <c r="S333">
        <f ca="1">IF(M333="","",VLOOKUP(N333,'Team Stats'!$B$3:$K$18,10,0))</f>
        <v>64.760487804878053</v>
      </c>
      <c r="T333" s="84">
        <f t="shared" ca="1" si="46"/>
        <v>2.3985365853658536</v>
      </c>
      <c r="U333">
        <f t="shared" ca="1" si="47"/>
        <v>152</v>
      </c>
    </row>
    <row r="334" spans="1:21">
      <c r="A334" s="73" t="s">
        <v>658</v>
      </c>
      <c r="B334" s="73" t="s">
        <v>219</v>
      </c>
      <c r="C334" s="74">
        <v>73</v>
      </c>
      <c r="D334" s="74"/>
      <c r="E334" s="74">
        <v>3</v>
      </c>
      <c r="F334" s="74"/>
      <c r="G334" s="74">
        <v>19</v>
      </c>
      <c r="H334" s="74"/>
      <c r="I334" s="63">
        <v>22</v>
      </c>
      <c r="J334" t="b">
        <f t="shared" si="40"/>
        <v>0</v>
      </c>
      <c r="K334" t="b">
        <f t="shared" si="41"/>
        <v>0</v>
      </c>
      <c r="M334" t="str">
        <f t="shared" si="42"/>
        <v/>
      </c>
      <c r="N334" t="str">
        <f t="shared" si="43"/>
        <v/>
      </c>
      <c r="O334" t="str">
        <f t="shared" si="44"/>
        <v/>
      </c>
      <c r="P334" t="str">
        <f>IF(M334="","",VLOOKUP(B334,'Team Stats'!$B$3:$K$18,5,0))</f>
        <v/>
      </c>
      <c r="Q334" t="str">
        <f t="shared" si="45"/>
        <v/>
      </c>
      <c r="R334" t="str">
        <f>IF(M334="","",VLOOKUP(N334,Sim!$EF$46:$EG$61,2,0))</f>
        <v/>
      </c>
      <c r="S334" t="str">
        <f>IF(M334="","",VLOOKUP(N334,'Team Stats'!$B$3:$K$18,10,0))</f>
        <v/>
      </c>
      <c r="T334" s="84" t="str">
        <f t="shared" si="46"/>
        <v/>
      </c>
      <c r="U334" t="str">
        <f t="shared" si="47"/>
        <v/>
      </c>
    </row>
    <row r="335" spans="1:21">
      <c r="A335" s="73" t="s">
        <v>659</v>
      </c>
      <c r="B335" s="73" t="s">
        <v>220</v>
      </c>
      <c r="C335" s="74">
        <v>82</v>
      </c>
      <c r="D335" s="74"/>
      <c r="E335" s="74">
        <v>3</v>
      </c>
      <c r="F335" s="74"/>
      <c r="G335" s="74">
        <v>19</v>
      </c>
      <c r="H335" s="74"/>
      <c r="I335" s="63">
        <v>22</v>
      </c>
      <c r="J335" t="b">
        <f t="shared" si="40"/>
        <v>0</v>
      </c>
      <c r="K335" t="b">
        <f t="shared" si="41"/>
        <v>0</v>
      </c>
      <c r="M335" t="str">
        <f t="shared" si="42"/>
        <v/>
      </c>
      <c r="N335" t="str">
        <f t="shared" si="43"/>
        <v/>
      </c>
      <c r="O335" t="str">
        <f t="shared" si="44"/>
        <v/>
      </c>
      <c r="P335" t="str">
        <f>IF(M335="","",VLOOKUP(B335,'Team Stats'!$B$3:$K$18,5,0))</f>
        <v/>
      </c>
      <c r="Q335" t="str">
        <f t="shared" si="45"/>
        <v/>
      </c>
      <c r="R335" t="str">
        <f>IF(M335="","",VLOOKUP(N335,Sim!$EF$46:$EG$61,2,0))</f>
        <v/>
      </c>
      <c r="S335" t="str">
        <f>IF(M335="","",VLOOKUP(N335,'Team Stats'!$B$3:$K$18,10,0))</f>
        <v/>
      </c>
      <c r="T335" s="84" t="str">
        <f t="shared" si="46"/>
        <v/>
      </c>
      <c r="U335" t="str">
        <f t="shared" si="47"/>
        <v/>
      </c>
    </row>
    <row r="336" spans="1:21">
      <c r="A336" s="73" t="s">
        <v>660</v>
      </c>
      <c r="B336" s="73" t="s">
        <v>325</v>
      </c>
      <c r="C336" s="74">
        <v>53</v>
      </c>
      <c r="D336" s="74"/>
      <c r="E336" s="74">
        <v>9</v>
      </c>
      <c r="F336" s="74"/>
      <c r="G336" s="74">
        <v>13</v>
      </c>
      <c r="H336" s="74"/>
      <c r="I336" s="63">
        <v>22</v>
      </c>
      <c r="J336" t="b">
        <f t="shared" si="40"/>
        <v>0</v>
      </c>
      <c r="K336" t="b">
        <f t="shared" si="41"/>
        <v>0</v>
      </c>
      <c r="M336" t="str">
        <f t="shared" si="42"/>
        <v/>
      </c>
      <c r="N336" t="str">
        <f t="shared" si="43"/>
        <v/>
      </c>
      <c r="O336" t="str">
        <f t="shared" si="44"/>
        <v/>
      </c>
      <c r="P336" t="str">
        <f>IF(M336="","",VLOOKUP(B336,'Team Stats'!$B$3:$K$18,5,0))</f>
        <v/>
      </c>
      <c r="Q336" t="str">
        <f t="shared" si="45"/>
        <v/>
      </c>
      <c r="R336" t="str">
        <f>IF(M336="","",VLOOKUP(N336,Sim!$EF$46:$EG$61,2,0))</f>
        <v/>
      </c>
      <c r="S336" t="str">
        <f>IF(M336="","",VLOOKUP(N336,'Team Stats'!$B$3:$K$18,10,0))</f>
        <v/>
      </c>
      <c r="T336" s="84" t="str">
        <f t="shared" si="46"/>
        <v/>
      </c>
      <c r="U336" t="str">
        <f t="shared" si="47"/>
        <v/>
      </c>
    </row>
    <row r="337" spans="1:21">
      <c r="A337" s="73" t="s">
        <v>661</v>
      </c>
      <c r="B337" s="73" t="s">
        <v>221</v>
      </c>
      <c r="C337" s="74">
        <v>37</v>
      </c>
      <c r="D337" s="74"/>
      <c r="E337" s="74">
        <v>10</v>
      </c>
      <c r="F337" s="74"/>
      <c r="G337" s="74">
        <v>12</v>
      </c>
      <c r="H337" s="74"/>
      <c r="I337" s="63">
        <v>22</v>
      </c>
      <c r="J337" t="b">
        <f t="shared" si="40"/>
        <v>0</v>
      </c>
      <c r="K337" t="b">
        <f t="shared" si="41"/>
        <v>0</v>
      </c>
      <c r="M337" t="str">
        <f t="shared" si="42"/>
        <v/>
      </c>
      <c r="N337" t="str">
        <f t="shared" si="43"/>
        <v/>
      </c>
      <c r="O337" t="str">
        <f t="shared" si="44"/>
        <v/>
      </c>
      <c r="P337" t="str">
        <f>IF(M337="","",VLOOKUP(B337,'Team Stats'!$B$3:$K$18,5,0))</f>
        <v/>
      </c>
      <c r="Q337" t="str">
        <f t="shared" si="45"/>
        <v/>
      </c>
      <c r="R337" t="str">
        <f>IF(M337="","",VLOOKUP(N337,Sim!$EF$46:$EG$61,2,0))</f>
        <v/>
      </c>
      <c r="S337" t="str">
        <f>IF(M337="","",VLOOKUP(N337,'Team Stats'!$B$3:$K$18,10,0))</f>
        <v/>
      </c>
      <c r="T337" s="84" t="str">
        <f t="shared" si="46"/>
        <v/>
      </c>
      <c r="U337" t="str">
        <f t="shared" si="47"/>
        <v/>
      </c>
    </row>
    <row r="338" spans="1:21">
      <c r="A338" s="73" t="s">
        <v>662</v>
      </c>
      <c r="B338" s="73" t="s">
        <v>209</v>
      </c>
      <c r="C338" s="74">
        <v>33</v>
      </c>
      <c r="D338" s="74"/>
      <c r="E338" s="74">
        <v>7</v>
      </c>
      <c r="F338" s="74"/>
      <c r="G338" s="74">
        <v>15</v>
      </c>
      <c r="H338" s="74"/>
      <c r="I338" s="63">
        <v>22</v>
      </c>
      <c r="J338" t="b">
        <f t="shared" si="40"/>
        <v>1</v>
      </c>
      <c r="K338" t="b">
        <f t="shared" si="41"/>
        <v>1</v>
      </c>
      <c r="M338" t="str">
        <f t="shared" si="42"/>
        <v> Johan Franzen</v>
      </c>
      <c r="N338" t="str">
        <f t="shared" si="43"/>
        <v>DET</v>
      </c>
      <c r="O338">
        <f t="shared" si="44"/>
        <v>22</v>
      </c>
      <c r="P338">
        <f>IF(M338="","",VLOOKUP(B338,'Team Stats'!$B$3:$K$18,5,0))</f>
        <v>630</v>
      </c>
      <c r="Q338">
        <f t="shared" si="45"/>
        <v>3.4920634920634921E-2</v>
      </c>
      <c r="R338">
        <f ca="1">IF(M338="","",VLOOKUP(N338,Sim!$EF$46:$EG$61,2,0))</f>
        <v>10.06</v>
      </c>
      <c r="S338">
        <f ca="1">IF(M338="","",VLOOKUP(N338,'Team Stats'!$B$3:$K$18,10,0))</f>
        <v>77.29024390243903</v>
      </c>
      <c r="T338" s="84">
        <f t="shared" ca="1" si="46"/>
        <v>2.6990243902439026</v>
      </c>
      <c r="U338">
        <f t="shared" ca="1" si="47"/>
        <v>142</v>
      </c>
    </row>
    <row r="339" spans="1:21">
      <c r="A339" s="73" t="s">
        <v>663</v>
      </c>
      <c r="B339" s="73" t="s">
        <v>218</v>
      </c>
      <c r="C339" s="74">
        <v>82</v>
      </c>
      <c r="D339" s="74"/>
      <c r="E339" s="74">
        <v>7</v>
      </c>
      <c r="F339" s="74"/>
      <c r="G339" s="74">
        <v>14</v>
      </c>
      <c r="H339" s="74"/>
      <c r="I339" s="63">
        <v>21</v>
      </c>
      <c r="J339" t="b">
        <f t="shared" si="40"/>
        <v>0</v>
      </c>
      <c r="K339" t="b">
        <f t="shared" si="41"/>
        <v>0</v>
      </c>
      <c r="M339" t="str">
        <f t="shared" si="42"/>
        <v/>
      </c>
      <c r="N339" t="str">
        <f t="shared" si="43"/>
        <v/>
      </c>
      <c r="O339" t="str">
        <f t="shared" si="44"/>
        <v/>
      </c>
      <c r="P339" t="str">
        <f>IF(M339="","",VLOOKUP(B339,'Team Stats'!$B$3:$K$18,5,0))</f>
        <v/>
      </c>
      <c r="Q339" t="str">
        <f t="shared" si="45"/>
        <v/>
      </c>
      <c r="R339" t="str">
        <f>IF(M339="","",VLOOKUP(N339,Sim!$EF$46:$EG$61,2,0))</f>
        <v/>
      </c>
      <c r="S339" t="str">
        <f>IF(M339="","",VLOOKUP(N339,'Team Stats'!$B$3:$K$18,10,0))</f>
        <v/>
      </c>
      <c r="T339" s="84" t="str">
        <f t="shared" si="46"/>
        <v/>
      </c>
      <c r="U339" t="str">
        <f t="shared" si="47"/>
        <v/>
      </c>
    </row>
    <row r="340" spans="1:21">
      <c r="A340" s="73" t="s">
        <v>664</v>
      </c>
      <c r="B340" s="73" t="s">
        <v>206</v>
      </c>
      <c r="C340" s="74">
        <v>65</v>
      </c>
      <c r="D340" s="74"/>
      <c r="E340" s="74">
        <v>11</v>
      </c>
      <c r="F340" s="74"/>
      <c r="G340" s="74">
        <v>10</v>
      </c>
      <c r="H340" s="74"/>
      <c r="I340" s="63">
        <v>21</v>
      </c>
      <c r="J340" t="b">
        <f t="shared" si="40"/>
        <v>1</v>
      </c>
      <c r="K340" t="b">
        <f t="shared" si="41"/>
        <v>1</v>
      </c>
      <c r="M340" t="str">
        <f t="shared" si="42"/>
        <v> Yannick Weber</v>
      </c>
      <c r="N340" t="str">
        <f t="shared" si="43"/>
        <v>VAN</v>
      </c>
      <c r="O340">
        <f t="shared" si="44"/>
        <v>21</v>
      </c>
      <c r="P340">
        <f>IF(M340="","",VLOOKUP(B340,'Team Stats'!$B$3:$K$18,5,0))</f>
        <v>642</v>
      </c>
      <c r="Q340">
        <f t="shared" si="45"/>
        <v>3.2710280373831772E-2</v>
      </c>
      <c r="R340">
        <f ca="1">IF(M340="","",VLOOKUP(N340,Sim!$EF$46:$EG$61,2,0))</f>
        <v>10.35</v>
      </c>
      <c r="S340">
        <f ca="1">IF(M340="","",VLOOKUP(N340,'Team Stats'!$B$3:$K$18,10,0))</f>
        <v>81.032926829268291</v>
      </c>
      <c r="T340" s="84">
        <f t="shared" ca="1" si="46"/>
        <v>2.6506097560975608</v>
      </c>
      <c r="U340">
        <f t="shared" ca="1" si="47"/>
        <v>143</v>
      </c>
    </row>
    <row r="341" spans="1:21">
      <c r="A341" s="73" t="s">
        <v>665</v>
      </c>
      <c r="B341" s="73" t="s">
        <v>222</v>
      </c>
      <c r="C341" s="74">
        <v>72</v>
      </c>
      <c r="D341" s="74"/>
      <c r="E341" s="74">
        <v>13</v>
      </c>
      <c r="F341" s="74"/>
      <c r="G341" s="74">
        <v>8</v>
      </c>
      <c r="H341" s="74"/>
      <c r="I341" s="63">
        <v>21</v>
      </c>
      <c r="J341" t="b">
        <f t="shared" si="40"/>
        <v>0</v>
      </c>
      <c r="K341" t="b">
        <f t="shared" si="41"/>
        <v>0</v>
      </c>
      <c r="M341" t="str">
        <f t="shared" si="42"/>
        <v/>
      </c>
      <c r="N341" t="str">
        <f t="shared" si="43"/>
        <v/>
      </c>
      <c r="O341" t="str">
        <f t="shared" si="44"/>
        <v/>
      </c>
      <c r="P341" t="str">
        <f>IF(M341="","",VLOOKUP(B341,'Team Stats'!$B$3:$K$18,5,0))</f>
        <v/>
      </c>
      <c r="Q341" t="str">
        <f t="shared" si="45"/>
        <v/>
      </c>
      <c r="R341" t="str">
        <f>IF(M341="","",VLOOKUP(N341,Sim!$EF$46:$EG$61,2,0))</f>
        <v/>
      </c>
      <c r="S341" t="str">
        <f>IF(M341="","",VLOOKUP(N341,'Team Stats'!$B$3:$K$18,10,0))</f>
        <v/>
      </c>
      <c r="T341" s="84" t="str">
        <f t="shared" si="46"/>
        <v/>
      </c>
      <c r="U341" t="str">
        <f t="shared" si="47"/>
        <v/>
      </c>
    </row>
    <row r="342" spans="1:21">
      <c r="A342" s="73" t="s">
        <v>666</v>
      </c>
      <c r="B342" s="73" t="s">
        <v>214</v>
      </c>
      <c r="C342" s="74">
        <v>81</v>
      </c>
      <c r="D342" s="74"/>
      <c r="E342" s="74">
        <v>5</v>
      </c>
      <c r="F342" s="74"/>
      <c r="G342" s="74">
        <v>16</v>
      </c>
      <c r="H342" s="74"/>
      <c r="I342" s="63">
        <v>21</v>
      </c>
      <c r="J342" t="b">
        <f t="shared" si="40"/>
        <v>1</v>
      </c>
      <c r="K342" t="b">
        <f t="shared" si="41"/>
        <v>1</v>
      </c>
      <c r="M342" t="str">
        <f t="shared" si="42"/>
        <v> Cody Ceci</v>
      </c>
      <c r="N342" t="str">
        <f t="shared" si="43"/>
        <v>OTT</v>
      </c>
      <c r="O342">
        <f t="shared" si="44"/>
        <v>21</v>
      </c>
      <c r="P342">
        <f>IF(M342="","",VLOOKUP(B342,'Team Stats'!$B$3:$K$18,5,0))</f>
        <v>619</v>
      </c>
      <c r="Q342">
        <f t="shared" si="45"/>
        <v>3.3925686591276254E-2</v>
      </c>
      <c r="R342">
        <f ca="1">IF(M342="","",VLOOKUP(N342,Sim!$EF$46:$EG$61,2,0))</f>
        <v>10.71</v>
      </c>
      <c r="S342">
        <f ca="1">IF(M342="","",VLOOKUP(N342,'Team Stats'!$B$3:$K$18,10,0))</f>
        <v>80.847439024390255</v>
      </c>
      <c r="T342" s="84">
        <f t="shared" ca="1" si="46"/>
        <v>2.7428048780487808</v>
      </c>
      <c r="U342">
        <f t="shared" ca="1" si="47"/>
        <v>140</v>
      </c>
    </row>
    <row r="343" spans="1:21">
      <c r="A343" s="73" t="s">
        <v>667</v>
      </c>
      <c r="B343" s="73" t="s">
        <v>340</v>
      </c>
      <c r="C343" s="74">
        <v>43</v>
      </c>
      <c r="D343" s="74"/>
      <c r="E343" s="74">
        <v>6</v>
      </c>
      <c r="F343" s="74"/>
      <c r="G343" s="74">
        <v>15</v>
      </c>
      <c r="H343" s="74"/>
      <c r="I343" s="63">
        <v>21</v>
      </c>
      <c r="J343" t="b">
        <f t="shared" si="40"/>
        <v>0</v>
      </c>
      <c r="K343" t="b">
        <f t="shared" si="41"/>
        <v>0</v>
      </c>
      <c r="M343" t="str">
        <f t="shared" si="42"/>
        <v/>
      </c>
      <c r="N343" t="str">
        <f t="shared" si="43"/>
        <v/>
      </c>
      <c r="O343" t="str">
        <f t="shared" si="44"/>
        <v/>
      </c>
      <c r="P343" t="str">
        <f>IF(M343="","",VLOOKUP(B343,'Team Stats'!$B$3:$K$18,5,0))</f>
        <v/>
      </c>
      <c r="Q343" t="str">
        <f t="shared" si="45"/>
        <v/>
      </c>
      <c r="R343" t="str">
        <f>IF(M343="","",VLOOKUP(N343,Sim!$EF$46:$EG$61,2,0))</f>
        <v/>
      </c>
      <c r="S343" t="str">
        <f>IF(M343="","",VLOOKUP(N343,'Team Stats'!$B$3:$K$18,10,0))</f>
        <v/>
      </c>
      <c r="T343" s="84" t="str">
        <f t="shared" si="46"/>
        <v/>
      </c>
      <c r="U343" t="str">
        <f t="shared" si="47"/>
        <v/>
      </c>
    </row>
    <row r="344" spans="1:21">
      <c r="A344" s="73" t="s">
        <v>668</v>
      </c>
      <c r="B344" s="73" t="s">
        <v>222</v>
      </c>
      <c r="C344" s="74">
        <v>69</v>
      </c>
      <c r="D344" s="74"/>
      <c r="E344" s="74">
        <v>6</v>
      </c>
      <c r="F344" s="74"/>
      <c r="G344" s="74">
        <v>15</v>
      </c>
      <c r="H344" s="74"/>
      <c r="I344" s="63">
        <v>21</v>
      </c>
      <c r="J344" t="b">
        <f t="shared" si="40"/>
        <v>0</v>
      </c>
      <c r="K344" t="b">
        <f t="shared" si="41"/>
        <v>0</v>
      </c>
      <c r="M344" t="str">
        <f t="shared" si="42"/>
        <v/>
      </c>
      <c r="N344" t="str">
        <f t="shared" si="43"/>
        <v/>
      </c>
      <c r="O344" t="str">
        <f t="shared" si="44"/>
        <v/>
      </c>
      <c r="P344" t="str">
        <f>IF(M344="","",VLOOKUP(B344,'Team Stats'!$B$3:$K$18,5,0))</f>
        <v/>
      </c>
      <c r="Q344" t="str">
        <f t="shared" si="45"/>
        <v/>
      </c>
      <c r="R344" t="str">
        <f>IF(M344="","",VLOOKUP(N344,Sim!$EF$46:$EG$61,2,0))</f>
        <v/>
      </c>
      <c r="S344" t="str">
        <f>IF(M344="","",VLOOKUP(N344,'Team Stats'!$B$3:$K$18,10,0))</f>
        <v/>
      </c>
      <c r="T344" s="84" t="str">
        <f t="shared" si="46"/>
        <v/>
      </c>
      <c r="U344" t="str">
        <f t="shared" si="47"/>
        <v/>
      </c>
    </row>
    <row r="345" spans="1:21">
      <c r="A345" s="73" t="s">
        <v>669</v>
      </c>
      <c r="B345" s="73" t="s">
        <v>331</v>
      </c>
      <c r="C345" s="74">
        <v>62</v>
      </c>
      <c r="D345" s="74"/>
      <c r="E345" s="74">
        <v>9</v>
      </c>
      <c r="F345" s="74"/>
      <c r="G345" s="74">
        <v>12</v>
      </c>
      <c r="H345" s="74"/>
      <c r="I345" s="63">
        <v>21</v>
      </c>
      <c r="J345" t="b">
        <f t="shared" si="40"/>
        <v>0</v>
      </c>
      <c r="K345" t="b">
        <f t="shared" si="41"/>
        <v>0</v>
      </c>
      <c r="M345" t="str">
        <f t="shared" si="42"/>
        <v/>
      </c>
      <c r="N345" t="str">
        <f t="shared" si="43"/>
        <v/>
      </c>
      <c r="O345" t="str">
        <f t="shared" si="44"/>
        <v/>
      </c>
      <c r="P345" t="str">
        <f>IF(M345="","",VLOOKUP(B345,'Team Stats'!$B$3:$K$18,5,0))</f>
        <v/>
      </c>
      <c r="Q345" t="str">
        <f t="shared" si="45"/>
        <v/>
      </c>
      <c r="R345" t="str">
        <f>IF(M345="","",VLOOKUP(N345,Sim!$EF$46:$EG$61,2,0))</f>
        <v/>
      </c>
      <c r="S345" t="str">
        <f>IF(M345="","",VLOOKUP(N345,'Team Stats'!$B$3:$K$18,10,0))</f>
        <v/>
      </c>
      <c r="T345" s="84" t="str">
        <f t="shared" si="46"/>
        <v/>
      </c>
      <c r="U345" t="str">
        <f t="shared" si="47"/>
        <v/>
      </c>
    </row>
    <row r="346" spans="1:21">
      <c r="A346" s="73" t="s">
        <v>670</v>
      </c>
      <c r="B346" s="73" t="s">
        <v>206</v>
      </c>
      <c r="C346" s="74">
        <v>45</v>
      </c>
      <c r="D346" s="74"/>
      <c r="E346" s="74">
        <v>8</v>
      </c>
      <c r="F346" s="74"/>
      <c r="G346" s="74">
        <v>13</v>
      </c>
      <c r="H346" s="74"/>
      <c r="I346" s="63">
        <v>21</v>
      </c>
      <c r="J346" t="b">
        <f t="shared" si="40"/>
        <v>1</v>
      </c>
      <c r="K346" t="b">
        <f t="shared" si="41"/>
        <v>1</v>
      </c>
      <c r="M346" t="str">
        <f t="shared" si="42"/>
        <v> Brad Richardson</v>
      </c>
      <c r="N346" t="str">
        <f t="shared" si="43"/>
        <v>VAN</v>
      </c>
      <c r="O346">
        <f t="shared" si="44"/>
        <v>21</v>
      </c>
      <c r="P346">
        <f>IF(M346="","",VLOOKUP(B346,'Team Stats'!$B$3:$K$18,5,0))</f>
        <v>642</v>
      </c>
      <c r="Q346">
        <f t="shared" si="45"/>
        <v>3.2710280373831772E-2</v>
      </c>
      <c r="R346">
        <f ca="1">IF(M346="","",VLOOKUP(N346,Sim!$EF$46:$EG$61,2,0))</f>
        <v>10.35</v>
      </c>
      <c r="S346">
        <f ca="1">IF(M346="","",VLOOKUP(N346,'Team Stats'!$B$3:$K$18,10,0))</f>
        <v>81.032926829268291</v>
      </c>
      <c r="T346" s="84">
        <f t="shared" ca="1" si="46"/>
        <v>2.6506097560975608</v>
      </c>
      <c r="U346">
        <f t="shared" ca="1" si="47"/>
        <v>143</v>
      </c>
    </row>
    <row r="347" spans="1:21">
      <c r="A347" s="73" t="s">
        <v>671</v>
      </c>
      <c r="B347" s="73" t="s">
        <v>325</v>
      </c>
      <c r="C347" s="74">
        <v>82</v>
      </c>
      <c r="D347" s="74"/>
      <c r="E347" s="74">
        <v>5</v>
      </c>
      <c r="F347" s="74"/>
      <c r="G347" s="74">
        <v>16</v>
      </c>
      <c r="H347" s="74"/>
      <c r="I347" s="63">
        <v>21</v>
      </c>
      <c r="J347" t="b">
        <f t="shared" si="40"/>
        <v>0</v>
      </c>
      <c r="K347" t="b">
        <f t="shared" si="41"/>
        <v>0</v>
      </c>
      <c r="M347" t="str">
        <f t="shared" si="42"/>
        <v/>
      </c>
      <c r="N347" t="str">
        <f t="shared" si="43"/>
        <v/>
      </c>
      <c r="O347" t="str">
        <f t="shared" si="44"/>
        <v/>
      </c>
      <c r="P347" t="str">
        <f>IF(M347="","",VLOOKUP(B347,'Team Stats'!$B$3:$K$18,5,0))</f>
        <v/>
      </c>
      <c r="Q347" t="str">
        <f t="shared" si="45"/>
        <v/>
      </c>
      <c r="R347" t="str">
        <f>IF(M347="","",VLOOKUP(N347,Sim!$EF$46:$EG$61,2,0))</f>
        <v/>
      </c>
      <c r="S347" t="str">
        <f>IF(M347="","",VLOOKUP(N347,'Team Stats'!$B$3:$K$18,10,0))</f>
        <v/>
      </c>
      <c r="T347" s="84" t="str">
        <f t="shared" si="46"/>
        <v/>
      </c>
      <c r="U347" t="str">
        <f t="shared" si="47"/>
        <v/>
      </c>
    </row>
    <row r="348" spans="1:21">
      <c r="A348" s="73" t="s">
        <v>672</v>
      </c>
      <c r="B348" s="73" t="s">
        <v>213</v>
      </c>
      <c r="C348" s="74">
        <v>55</v>
      </c>
      <c r="D348" s="74"/>
      <c r="E348" s="74">
        <v>10</v>
      </c>
      <c r="F348" s="74"/>
      <c r="G348" s="74">
        <v>11</v>
      </c>
      <c r="H348" s="74"/>
      <c r="I348" s="63">
        <v>21</v>
      </c>
      <c r="J348" t="b">
        <f t="shared" si="40"/>
        <v>0</v>
      </c>
      <c r="K348" t="b">
        <f t="shared" si="41"/>
        <v>0</v>
      </c>
      <c r="M348" t="str">
        <f t="shared" si="42"/>
        <v/>
      </c>
      <c r="N348" t="str">
        <f t="shared" si="43"/>
        <v/>
      </c>
      <c r="O348" t="str">
        <f t="shared" si="44"/>
        <v/>
      </c>
      <c r="P348" t="str">
        <f>IF(M348="","",VLOOKUP(B348,'Team Stats'!$B$3:$K$18,5,0))</f>
        <v/>
      </c>
      <c r="Q348" t="str">
        <f t="shared" si="45"/>
        <v/>
      </c>
      <c r="R348" t="str">
        <f>IF(M348="","",VLOOKUP(N348,Sim!$EF$46:$EG$61,2,0))</f>
        <v/>
      </c>
      <c r="S348" t="str">
        <f>IF(M348="","",VLOOKUP(N348,'Team Stats'!$B$3:$K$18,10,0))</f>
        <v/>
      </c>
      <c r="T348" s="84" t="str">
        <f t="shared" si="46"/>
        <v/>
      </c>
      <c r="U348" t="str">
        <f t="shared" si="47"/>
        <v/>
      </c>
    </row>
    <row r="349" spans="1:21">
      <c r="A349" s="73" t="s">
        <v>673</v>
      </c>
      <c r="B349" s="73" t="s">
        <v>331</v>
      </c>
      <c r="C349" s="74">
        <v>35</v>
      </c>
      <c r="D349" s="74"/>
      <c r="E349" s="74">
        <v>8</v>
      </c>
      <c r="F349" s="74"/>
      <c r="G349" s="74">
        <v>13</v>
      </c>
      <c r="H349" s="74"/>
      <c r="I349" s="63">
        <v>21</v>
      </c>
      <c r="J349" t="b">
        <f t="shared" si="40"/>
        <v>0</v>
      </c>
      <c r="K349" t="b">
        <f t="shared" si="41"/>
        <v>0</v>
      </c>
      <c r="M349" t="str">
        <f t="shared" si="42"/>
        <v/>
      </c>
      <c r="N349" t="str">
        <f t="shared" si="43"/>
        <v/>
      </c>
      <c r="O349" t="str">
        <f t="shared" si="44"/>
        <v/>
      </c>
      <c r="P349" t="str">
        <f>IF(M349="","",VLOOKUP(B349,'Team Stats'!$B$3:$K$18,5,0))</f>
        <v/>
      </c>
      <c r="Q349" t="str">
        <f t="shared" si="45"/>
        <v/>
      </c>
      <c r="R349" t="str">
        <f>IF(M349="","",VLOOKUP(N349,Sim!$EF$46:$EG$61,2,0))</f>
        <v/>
      </c>
      <c r="S349" t="str">
        <f>IF(M349="","",VLOOKUP(N349,'Team Stats'!$B$3:$K$18,10,0))</f>
        <v/>
      </c>
      <c r="T349" s="84" t="str">
        <f t="shared" si="46"/>
        <v/>
      </c>
      <c r="U349" t="str">
        <f t="shared" si="47"/>
        <v/>
      </c>
    </row>
    <row r="350" spans="1:21">
      <c r="A350" s="73" t="s">
        <v>674</v>
      </c>
      <c r="B350" s="73" t="s">
        <v>215</v>
      </c>
      <c r="C350" s="74">
        <v>60</v>
      </c>
      <c r="D350" s="74"/>
      <c r="E350" s="74">
        <v>2</v>
      </c>
      <c r="F350" s="74"/>
      <c r="G350" s="74">
        <v>18</v>
      </c>
      <c r="H350" s="74"/>
      <c r="I350" s="63">
        <v>20</v>
      </c>
      <c r="J350" t="b">
        <f t="shared" si="40"/>
        <v>0</v>
      </c>
      <c r="K350" t="b">
        <f t="shared" si="41"/>
        <v>0</v>
      </c>
      <c r="M350" t="str">
        <f t="shared" si="42"/>
        <v/>
      </c>
      <c r="N350" t="str">
        <f t="shared" si="43"/>
        <v/>
      </c>
      <c r="O350" t="str">
        <f t="shared" si="44"/>
        <v/>
      </c>
      <c r="P350" t="str">
        <f>IF(M350="","",VLOOKUP(B350,'Team Stats'!$B$3:$K$18,5,0))</f>
        <v/>
      </c>
      <c r="Q350" t="str">
        <f t="shared" si="45"/>
        <v/>
      </c>
      <c r="R350" t="str">
        <f>IF(M350="","",VLOOKUP(N350,Sim!$EF$46:$EG$61,2,0))</f>
        <v/>
      </c>
      <c r="S350" t="str">
        <f>IF(M350="","",VLOOKUP(N350,'Team Stats'!$B$3:$K$18,10,0))</f>
        <v/>
      </c>
      <c r="T350" s="84" t="str">
        <f t="shared" si="46"/>
        <v/>
      </c>
      <c r="U350" t="str">
        <f t="shared" si="47"/>
        <v/>
      </c>
    </row>
    <row r="351" spans="1:21">
      <c r="A351" s="73" t="s">
        <v>675</v>
      </c>
      <c r="B351" s="73" t="s">
        <v>203</v>
      </c>
      <c r="C351" s="74">
        <v>82</v>
      </c>
      <c r="D351" s="74"/>
      <c r="E351" s="74">
        <v>4</v>
      </c>
      <c r="F351" s="74"/>
      <c r="G351" s="74">
        <v>16</v>
      </c>
      <c r="H351" s="74"/>
      <c r="I351" s="63">
        <v>20</v>
      </c>
      <c r="J351" t="b">
        <f t="shared" si="40"/>
        <v>1</v>
      </c>
      <c r="K351" t="b">
        <f t="shared" si="41"/>
        <v>1</v>
      </c>
      <c r="M351" t="str">
        <f t="shared" si="42"/>
        <v> Dan Girardi</v>
      </c>
      <c r="N351" t="str">
        <f t="shared" si="43"/>
        <v>NYR</v>
      </c>
      <c r="O351">
        <f t="shared" si="44"/>
        <v>20</v>
      </c>
      <c r="P351">
        <f>IF(M351="","",VLOOKUP(B351,'Team Stats'!$B$3:$K$18,5,0))</f>
        <v>659</v>
      </c>
      <c r="Q351">
        <f t="shared" si="45"/>
        <v>3.0349013657056147E-2</v>
      </c>
      <c r="R351">
        <f ca="1">IF(M351="","",VLOOKUP(N351,Sim!$EF$46:$EG$61,2,0))</f>
        <v>8.7200000000000006</v>
      </c>
      <c r="S351">
        <f ca="1">IF(M351="","",VLOOKUP(N351,'Team Stats'!$B$3:$K$18,10,0))</f>
        <v>70.079024390243916</v>
      </c>
      <c r="T351" s="84">
        <f t="shared" ca="1" si="46"/>
        <v>2.1268292682926835</v>
      </c>
      <c r="U351">
        <f t="shared" ca="1" si="47"/>
        <v>161</v>
      </c>
    </row>
    <row r="352" spans="1:21">
      <c r="A352" s="73" t="s">
        <v>676</v>
      </c>
      <c r="B352" s="73" t="s">
        <v>325</v>
      </c>
      <c r="C352" s="74">
        <v>62</v>
      </c>
      <c r="D352" s="74"/>
      <c r="E352" s="74">
        <v>10</v>
      </c>
      <c r="F352" s="74"/>
      <c r="G352" s="74">
        <v>10</v>
      </c>
      <c r="H352" s="74"/>
      <c r="I352" s="63">
        <v>20</v>
      </c>
      <c r="J352" t="b">
        <f t="shared" si="40"/>
        <v>0</v>
      </c>
      <c r="K352" t="b">
        <f t="shared" si="41"/>
        <v>0</v>
      </c>
      <c r="M352" t="str">
        <f t="shared" si="42"/>
        <v/>
      </c>
      <c r="N352" t="str">
        <f t="shared" si="43"/>
        <v/>
      </c>
      <c r="O352" t="str">
        <f t="shared" si="44"/>
        <v/>
      </c>
      <c r="P352" t="str">
        <f>IF(M352="","",VLOOKUP(B352,'Team Stats'!$B$3:$K$18,5,0))</f>
        <v/>
      </c>
      <c r="Q352" t="str">
        <f t="shared" si="45"/>
        <v/>
      </c>
      <c r="R352" t="str">
        <f>IF(M352="","",VLOOKUP(N352,Sim!$EF$46:$EG$61,2,0))</f>
        <v/>
      </c>
      <c r="S352" t="str">
        <f>IF(M352="","",VLOOKUP(N352,'Team Stats'!$B$3:$K$18,10,0))</f>
        <v/>
      </c>
      <c r="T352" s="84" t="str">
        <f t="shared" si="46"/>
        <v/>
      </c>
      <c r="U352" t="str">
        <f t="shared" si="47"/>
        <v/>
      </c>
    </row>
    <row r="353" spans="1:21">
      <c r="A353" s="73" t="s">
        <v>677</v>
      </c>
      <c r="B353" s="73" t="s">
        <v>199</v>
      </c>
      <c r="C353" s="74">
        <v>57</v>
      </c>
      <c r="D353" s="74"/>
      <c r="E353" s="74">
        <v>8</v>
      </c>
      <c r="F353" s="74"/>
      <c r="G353" s="74">
        <v>12</v>
      </c>
      <c r="H353" s="74"/>
      <c r="I353" s="63">
        <v>20</v>
      </c>
      <c r="J353" t="b">
        <f t="shared" si="40"/>
        <v>0</v>
      </c>
      <c r="K353" t="b">
        <f t="shared" si="41"/>
        <v>0</v>
      </c>
      <c r="M353" t="str">
        <f t="shared" si="42"/>
        <v/>
      </c>
      <c r="N353" t="str">
        <f t="shared" si="43"/>
        <v/>
      </c>
      <c r="O353" t="str">
        <f t="shared" si="44"/>
        <v/>
      </c>
      <c r="P353" t="str">
        <f>IF(M353="","",VLOOKUP(B353,'Team Stats'!$B$3:$K$18,5,0))</f>
        <v/>
      </c>
      <c r="Q353" t="str">
        <f t="shared" si="45"/>
        <v/>
      </c>
      <c r="R353" t="str">
        <f>IF(M353="","",VLOOKUP(N353,Sim!$EF$46:$EG$61,2,0))</f>
        <v/>
      </c>
      <c r="S353" t="str">
        <f>IF(M353="","",VLOOKUP(N353,'Team Stats'!$B$3:$K$18,10,0))</f>
        <v/>
      </c>
      <c r="T353" s="84" t="str">
        <f t="shared" si="46"/>
        <v/>
      </c>
      <c r="U353" t="str">
        <f t="shared" si="47"/>
        <v/>
      </c>
    </row>
    <row r="354" spans="1:21" ht="30">
      <c r="A354" s="73" t="s">
        <v>678</v>
      </c>
      <c r="B354" s="73" t="s">
        <v>345</v>
      </c>
      <c r="C354" s="74">
        <v>74</v>
      </c>
      <c r="D354" s="74"/>
      <c r="E354" s="74">
        <v>6</v>
      </c>
      <c r="F354" s="74"/>
      <c r="G354" s="74">
        <v>14</v>
      </c>
      <c r="H354" s="74"/>
      <c r="I354" s="63">
        <v>20</v>
      </c>
      <c r="J354" t="b">
        <f t="shared" si="40"/>
        <v>0</v>
      </c>
      <c r="K354" t="b">
        <f t="shared" si="41"/>
        <v>0</v>
      </c>
      <c r="M354" t="str">
        <f t="shared" si="42"/>
        <v/>
      </c>
      <c r="N354" t="str">
        <f t="shared" si="43"/>
        <v/>
      </c>
      <c r="O354" t="str">
        <f t="shared" si="44"/>
        <v/>
      </c>
      <c r="P354" t="str">
        <f>IF(M354="","",VLOOKUP(B354,'Team Stats'!$B$3:$K$18,5,0))</f>
        <v/>
      </c>
      <c r="Q354" t="str">
        <f t="shared" si="45"/>
        <v/>
      </c>
      <c r="R354" t="str">
        <f>IF(M354="","",VLOOKUP(N354,Sim!$EF$46:$EG$61,2,0))</f>
        <v/>
      </c>
      <c r="S354" t="str">
        <f>IF(M354="","",VLOOKUP(N354,'Team Stats'!$B$3:$K$18,10,0))</f>
        <v/>
      </c>
      <c r="T354" s="84" t="str">
        <f t="shared" si="46"/>
        <v/>
      </c>
      <c r="U354" t="str">
        <f t="shared" si="47"/>
        <v/>
      </c>
    </row>
    <row r="355" spans="1:21">
      <c r="A355" s="73" t="s">
        <v>679</v>
      </c>
      <c r="B355" s="73" t="s">
        <v>203</v>
      </c>
      <c r="C355" s="74">
        <v>80</v>
      </c>
      <c r="D355" s="74"/>
      <c r="E355" s="74">
        <v>5</v>
      </c>
      <c r="F355" s="74"/>
      <c r="G355" s="74">
        <v>15</v>
      </c>
      <c r="H355" s="74"/>
      <c r="I355" s="63">
        <v>20</v>
      </c>
      <c r="J355" t="b">
        <f t="shared" si="40"/>
        <v>1</v>
      </c>
      <c r="K355" t="b">
        <f t="shared" si="41"/>
        <v>1</v>
      </c>
      <c r="M355" t="str">
        <f t="shared" si="42"/>
        <v> Marc Staal</v>
      </c>
      <c r="N355" t="str">
        <f t="shared" si="43"/>
        <v>NYR</v>
      </c>
      <c r="O355">
        <f t="shared" si="44"/>
        <v>20</v>
      </c>
      <c r="P355">
        <f>IF(M355="","",VLOOKUP(B355,'Team Stats'!$B$3:$K$18,5,0))</f>
        <v>659</v>
      </c>
      <c r="Q355">
        <f t="shared" si="45"/>
        <v>3.0349013657056147E-2</v>
      </c>
      <c r="R355">
        <f ca="1">IF(M355="","",VLOOKUP(N355,Sim!$EF$46:$EG$61,2,0))</f>
        <v>8.7200000000000006</v>
      </c>
      <c r="S355">
        <f ca="1">IF(M355="","",VLOOKUP(N355,'Team Stats'!$B$3:$K$18,10,0))</f>
        <v>70.079024390243916</v>
      </c>
      <c r="T355" s="84">
        <f t="shared" ca="1" si="46"/>
        <v>2.1268292682926835</v>
      </c>
      <c r="U355">
        <f t="shared" ca="1" si="47"/>
        <v>161</v>
      </c>
    </row>
    <row r="356" spans="1:21">
      <c r="A356" s="73" t="s">
        <v>680</v>
      </c>
      <c r="B356" s="73" t="s">
        <v>325</v>
      </c>
      <c r="C356" s="74">
        <v>66</v>
      </c>
      <c r="D356" s="74"/>
      <c r="E356" s="74">
        <v>7</v>
      </c>
      <c r="F356" s="74"/>
      <c r="G356" s="74">
        <v>13</v>
      </c>
      <c r="H356" s="74"/>
      <c r="I356" s="63">
        <v>20</v>
      </c>
      <c r="J356" t="b">
        <f t="shared" si="40"/>
        <v>0</v>
      </c>
      <c r="K356" t="b">
        <f t="shared" si="41"/>
        <v>0</v>
      </c>
      <c r="M356" t="str">
        <f t="shared" si="42"/>
        <v/>
      </c>
      <c r="N356" t="str">
        <f t="shared" si="43"/>
        <v/>
      </c>
      <c r="O356" t="str">
        <f t="shared" si="44"/>
        <v/>
      </c>
      <c r="P356" t="str">
        <f>IF(M356="","",VLOOKUP(B356,'Team Stats'!$B$3:$K$18,5,0))</f>
        <v/>
      </c>
      <c r="Q356" t="str">
        <f t="shared" si="45"/>
        <v/>
      </c>
      <c r="R356" t="str">
        <f>IF(M356="","",VLOOKUP(N356,Sim!$EF$46:$EG$61,2,0))</f>
        <v/>
      </c>
      <c r="S356" t="str">
        <f>IF(M356="","",VLOOKUP(N356,'Team Stats'!$B$3:$K$18,10,0))</f>
        <v/>
      </c>
      <c r="T356" s="84" t="str">
        <f t="shared" si="46"/>
        <v/>
      </c>
      <c r="U356" t="str">
        <f t="shared" si="47"/>
        <v/>
      </c>
    </row>
    <row r="357" spans="1:21" ht="30">
      <c r="A357" s="73" t="s">
        <v>681</v>
      </c>
      <c r="B357" s="73" t="s">
        <v>331</v>
      </c>
      <c r="C357" s="74">
        <v>68</v>
      </c>
      <c r="D357" s="74"/>
      <c r="E357" s="74">
        <v>4</v>
      </c>
      <c r="F357" s="74"/>
      <c r="G357" s="74">
        <v>16</v>
      </c>
      <c r="H357" s="74"/>
      <c r="I357" s="63">
        <v>20</v>
      </c>
      <c r="J357" t="b">
        <f t="shared" si="40"/>
        <v>0</v>
      </c>
      <c r="K357" t="b">
        <f t="shared" si="41"/>
        <v>0</v>
      </c>
      <c r="M357" t="str">
        <f t="shared" si="42"/>
        <v/>
      </c>
      <c r="N357" t="str">
        <f t="shared" si="43"/>
        <v/>
      </c>
      <c r="O357" t="str">
        <f t="shared" si="44"/>
        <v/>
      </c>
      <c r="P357" t="str">
        <f>IF(M357="","",VLOOKUP(B357,'Team Stats'!$B$3:$K$18,5,0))</f>
        <v/>
      </c>
      <c r="Q357" t="str">
        <f t="shared" si="45"/>
        <v/>
      </c>
      <c r="R357" t="str">
        <f>IF(M357="","",VLOOKUP(N357,Sim!$EF$46:$EG$61,2,0))</f>
        <v/>
      </c>
      <c r="S357" t="str">
        <f>IF(M357="","",VLOOKUP(N357,'Team Stats'!$B$3:$K$18,10,0))</f>
        <v/>
      </c>
      <c r="T357" s="84" t="str">
        <f t="shared" si="46"/>
        <v/>
      </c>
      <c r="U357" t="str">
        <f t="shared" si="47"/>
        <v/>
      </c>
    </row>
    <row r="358" spans="1:21">
      <c r="A358" s="73" t="s">
        <v>682</v>
      </c>
      <c r="B358" s="73" t="s">
        <v>206</v>
      </c>
      <c r="C358" s="74">
        <v>70</v>
      </c>
      <c r="D358" s="74"/>
      <c r="E358" s="74">
        <v>2</v>
      </c>
      <c r="F358" s="74"/>
      <c r="G358" s="74">
        <v>18</v>
      </c>
      <c r="H358" s="74"/>
      <c r="I358" s="63">
        <v>20</v>
      </c>
      <c r="J358" t="b">
        <f t="shared" si="40"/>
        <v>1</v>
      </c>
      <c r="K358" t="b">
        <f t="shared" si="41"/>
        <v>1</v>
      </c>
      <c r="M358" t="str">
        <f t="shared" si="42"/>
        <v> Christopher Tanev</v>
      </c>
      <c r="N358" t="str">
        <f t="shared" si="43"/>
        <v>VAN</v>
      </c>
      <c r="O358">
        <f t="shared" si="44"/>
        <v>20</v>
      </c>
      <c r="P358">
        <f>IF(M358="","",VLOOKUP(B358,'Team Stats'!$B$3:$K$18,5,0))</f>
        <v>642</v>
      </c>
      <c r="Q358">
        <f t="shared" si="45"/>
        <v>3.1152647975077882E-2</v>
      </c>
      <c r="R358">
        <f ca="1">IF(M358="","",VLOOKUP(N358,Sim!$EF$46:$EG$61,2,0))</f>
        <v>10.35</v>
      </c>
      <c r="S358">
        <f ca="1">IF(M358="","",VLOOKUP(N358,'Team Stats'!$B$3:$K$18,10,0))</f>
        <v>81.032926829268291</v>
      </c>
      <c r="T358" s="84">
        <f t="shared" ca="1" si="46"/>
        <v>2.524390243902439</v>
      </c>
      <c r="U358">
        <f t="shared" ca="1" si="47"/>
        <v>146</v>
      </c>
    </row>
    <row r="359" spans="1:21">
      <c r="A359" s="73" t="s">
        <v>683</v>
      </c>
      <c r="B359" s="73" t="s">
        <v>215</v>
      </c>
      <c r="C359" s="74">
        <v>38</v>
      </c>
      <c r="D359" s="74"/>
      <c r="E359" s="74">
        <v>6</v>
      </c>
      <c r="F359" s="74"/>
      <c r="G359" s="74">
        <v>14</v>
      </c>
      <c r="H359" s="74"/>
      <c r="I359" s="63">
        <v>20</v>
      </c>
      <c r="J359" t="b">
        <f t="shared" si="40"/>
        <v>0</v>
      </c>
      <c r="K359" t="b">
        <f t="shared" si="41"/>
        <v>0</v>
      </c>
      <c r="M359" t="str">
        <f t="shared" si="42"/>
        <v/>
      </c>
      <c r="N359" t="str">
        <f t="shared" si="43"/>
        <v/>
      </c>
      <c r="O359" t="str">
        <f t="shared" si="44"/>
        <v/>
      </c>
      <c r="P359" t="str">
        <f>IF(M359="","",VLOOKUP(B359,'Team Stats'!$B$3:$K$18,5,0))</f>
        <v/>
      </c>
      <c r="Q359" t="str">
        <f t="shared" si="45"/>
        <v/>
      </c>
      <c r="R359" t="str">
        <f>IF(M359="","",VLOOKUP(N359,Sim!$EF$46:$EG$61,2,0))</f>
        <v/>
      </c>
      <c r="S359" t="str">
        <f>IF(M359="","",VLOOKUP(N359,'Team Stats'!$B$3:$K$18,10,0))</f>
        <v/>
      </c>
      <c r="T359" s="84" t="str">
        <f t="shared" si="46"/>
        <v/>
      </c>
      <c r="U359" t="str">
        <f t="shared" si="47"/>
        <v/>
      </c>
    </row>
    <row r="360" spans="1:21">
      <c r="A360" s="73" t="s">
        <v>684</v>
      </c>
      <c r="B360" s="73" t="s">
        <v>218</v>
      </c>
      <c r="C360" s="74">
        <v>57</v>
      </c>
      <c r="D360" s="74"/>
      <c r="E360" s="74">
        <v>11</v>
      </c>
      <c r="F360" s="74"/>
      <c r="G360" s="74">
        <v>9</v>
      </c>
      <c r="H360" s="74"/>
      <c r="I360" s="63">
        <v>20</v>
      </c>
      <c r="J360" t="b">
        <f t="shared" si="40"/>
        <v>0</v>
      </c>
      <c r="K360" t="b">
        <f t="shared" si="41"/>
        <v>0</v>
      </c>
      <c r="M360" t="str">
        <f t="shared" si="42"/>
        <v/>
      </c>
      <c r="N360" t="str">
        <f t="shared" si="43"/>
        <v/>
      </c>
      <c r="O360" t="str">
        <f t="shared" si="44"/>
        <v/>
      </c>
      <c r="P360" t="str">
        <f>IF(M360="","",VLOOKUP(B360,'Team Stats'!$B$3:$K$18,5,0))</f>
        <v/>
      </c>
      <c r="Q360" t="str">
        <f t="shared" si="45"/>
        <v/>
      </c>
      <c r="R360" t="str">
        <f>IF(M360="","",VLOOKUP(N360,Sim!$EF$46:$EG$61,2,0))</f>
        <v/>
      </c>
      <c r="S360" t="str">
        <f>IF(M360="","",VLOOKUP(N360,'Team Stats'!$B$3:$K$18,10,0))</f>
        <v/>
      </c>
      <c r="T360" s="84" t="str">
        <f t="shared" si="46"/>
        <v/>
      </c>
      <c r="U360" t="str">
        <f t="shared" si="47"/>
        <v/>
      </c>
    </row>
    <row r="361" spans="1:21">
      <c r="A361" s="73" t="s">
        <v>685</v>
      </c>
      <c r="B361" s="73" t="s">
        <v>221</v>
      </c>
      <c r="C361" s="74">
        <v>78</v>
      </c>
      <c r="D361" s="74"/>
      <c r="E361" s="74">
        <v>8</v>
      </c>
      <c r="F361" s="74"/>
      <c r="G361" s="74">
        <v>12</v>
      </c>
      <c r="H361" s="74"/>
      <c r="I361" s="63">
        <v>20</v>
      </c>
      <c r="J361" t="b">
        <f t="shared" si="40"/>
        <v>0</v>
      </c>
      <c r="K361" t="b">
        <f t="shared" si="41"/>
        <v>0</v>
      </c>
      <c r="M361" t="str">
        <f t="shared" si="42"/>
        <v/>
      </c>
      <c r="N361" t="str">
        <f t="shared" si="43"/>
        <v/>
      </c>
      <c r="O361" t="str">
        <f t="shared" si="44"/>
        <v/>
      </c>
      <c r="P361" t="str">
        <f>IF(M361="","",VLOOKUP(B361,'Team Stats'!$B$3:$K$18,5,0))</f>
        <v/>
      </c>
      <c r="Q361" t="str">
        <f t="shared" si="45"/>
        <v/>
      </c>
      <c r="R361" t="str">
        <f>IF(M361="","",VLOOKUP(N361,Sim!$EF$46:$EG$61,2,0))</f>
        <v/>
      </c>
      <c r="S361" t="str">
        <f>IF(M361="","",VLOOKUP(N361,'Team Stats'!$B$3:$K$18,10,0))</f>
        <v/>
      </c>
      <c r="T361" s="84" t="str">
        <f t="shared" si="46"/>
        <v/>
      </c>
      <c r="U361" t="str">
        <f t="shared" si="47"/>
        <v/>
      </c>
    </row>
    <row r="362" spans="1:21">
      <c r="A362" s="73" t="s">
        <v>686</v>
      </c>
      <c r="B362" s="73" t="s">
        <v>221</v>
      </c>
      <c r="C362" s="74">
        <v>62</v>
      </c>
      <c r="D362" s="74"/>
      <c r="E362" s="74">
        <v>3</v>
      </c>
      <c r="F362" s="74"/>
      <c r="G362" s="74">
        <v>17</v>
      </c>
      <c r="H362" s="74"/>
      <c r="I362" s="63">
        <v>20</v>
      </c>
      <c r="J362" t="b">
        <f t="shared" si="40"/>
        <v>0</v>
      </c>
      <c r="K362" t="b">
        <f t="shared" si="41"/>
        <v>0</v>
      </c>
      <c r="M362" t="str">
        <f t="shared" si="42"/>
        <v/>
      </c>
      <c r="N362" t="str">
        <f t="shared" si="43"/>
        <v/>
      </c>
      <c r="O362" t="str">
        <f t="shared" si="44"/>
        <v/>
      </c>
      <c r="P362" t="str">
        <f>IF(M362="","",VLOOKUP(B362,'Team Stats'!$B$3:$K$18,5,0))</f>
        <v/>
      </c>
      <c r="Q362" t="str">
        <f t="shared" si="45"/>
        <v/>
      </c>
      <c r="R362" t="str">
        <f>IF(M362="","",VLOOKUP(N362,Sim!$EF$46:$EG$61,2,0))</f>
        <v/>
      </c>
      <c r="S362" t="str">
        <f>IF(M362="","",VLOOKUP(N362,'Team Stats'!$B$3:$K$18,10,0))</f>
        <v/>
      </c>
      <c r="T362" s="84" t="str">
        <f t="shared" si="46"/>
        <v/>
      </c>
      <c r="U362" t="str">
        <f t="shared" si="47"/>
        <v/>
      </c>
    </row>
    <row r="363" spans="1:21">
      <c r="A363" s="73" t="s">
        <v>687</v>
      </c>
      <c r="B363" s="73" t="s">
        <v>218</v>
      </c>
      <c r="C363" s="74">
        <v>54</v>
      </c>
      <c r="D363" s="74"/>
      <c r="E363" s="74">
        <v>7</v>
      </c>
      <c r="F363" s="74"/>
      <c r="G363" s="74">
        <v>13</v>
      </c>
      <c r="H363" s="74"/>
      <c r="I363" s="63">
        <v>20</v>
      </c>
      <c r="J363" t="b">
        <f t="shared" si="40"/>
        <v>0</v>
      </c>
      <c r="K363" t="b">
        <f t="shared" si="41"/>
        <v>0</v>
      </c>
      <c r="M363" t="str">
        <f t="shared" si="42"/>
        <v/>
      </c>
      <c r="N363" t="str">
        <f t="shared" si="43"/>
        <v/>
      </c>
      <c r="O363" t="str">
        <f t="shared" si="44"/>
        <v/>
      </c>
      <c r="P363" t="str">
        <f>IF(M363="","",VLOOKUP(B363,'Team Stats'!$B$3:$K$18,5,0))</f>
        <v/>
      </c>
      <c r="Q363" t="str">
        <f t="shared" si="45"/>
        <v/>
      </c>
      <c r="R363" t="str">
        <f>IF(M363="","",VLOOKUP(N363,Sim!$EF$46:$EG$61,2,0))</f>
        <v/>
      </c>
      <c r="S363" t="str">
        <f>IF(M363="","",VLOOKUP(N363,'Team Stats'!$B$3:$K$18,10,0))</f>
        <v/>
      </c>
      <c r="T363" s="84" t="str">
        <f t="shared" si="46"/>
        <v/>
      </c>
      <c r="U363" t="str">
        <f t="shared" si="47"/>
        <v/>
      </c>
    </row>
    <row r="364" spans="1:21">
      <c r="A364" s="73" t="s">
        <v>688</v>
      </c>
      <c r="B364" s="73" t="s">
        <v>196</v>
      </c>
      <c r="C364" s="74">
        <v>53</v>
      </c>
      <c r="D364" s="74"/>
      <c r="E364" s="74">
        <v>5</v>
      </c>
      <c r="F364" s="74"/>
      <c r="G364" s="74">
        <v>15</v>
      </c>
      <c r="H364" s="74"/>
      <c r="I364" s="63">
        <v>20</v>
      </c>
      <c r="J364" t="b">
        <f t="shared" si="40"/>
        <v>1</v>
      </c>
      <c r="K364" t="b">
        <f t="shared" si="41"/>
        <v>1</v>
      </c>
      <c r="M364" t="str">
        <f t="shared" si="42"/>
        <v> Lubomir Visnovsky</v>
      </c>
      <c r="N364" t="str">
        <f t="shared" si="43"/>
        <v>NYI</v>
      </c>
      <c r="O364">
        <f t="shared" si="44"/>
        <v>20</v>
      </c>
      <c r="P364">
        <f>IF(M364="","",VLOOKUP(B364,'Team Stats'!$B$3:$K$18,5,0))</f>
        <v>656</v>
      </c>
      <c r="Q364">
        <f t="shared" si="45"/>
        <v>3.048780487804878E-2</v>
      </c>
      <c r="R364">
        <f ca="1">IF(M364="","",VLOOKUP(N364,Sim!$EF$46:$EG$61,2,0))</f>
        <v>13.18</v>
      </c>
      <c r="S364">
        <f ca="1">IF(M364="","",VLOOKUP(N364,'Team Stats'!$B$3:$K$18,10,0))</f>
        <v>105.44</v>
      </c>
      <c r="T364" s="84">
        <f t="shared" ca="1" si="46"/>
        <v>3.2146341463414632</v>
      </c>
      <c r="U364">
        <f t="shared" ca="1" si="47"/>
        <v>123</v>
      </c>
    </row>
    <row r="365" spans="1:21">
      <c r="A365" s="73" t="s">
        <v>689</v>
      </c>
      <c r="B365" s="73" t="s">
        <v>212</v>
      </c>
      <c r="C365" s="74">
        <v>73</v>
      </c>
      <c r="D365" s="74"/>
      <c r="E365" s="74">
        <v>9</v>
      </c>
      <c r="F365" s="74"/>
      <c r="G365" s="74">
        <v>11</v>
      </c>
      <c r="H365" s="74"/>
      <c r="I365" s="63">
        <v>20</v>
      </c>
      <c r="J365" t="b">
        <f t="shared" si="40"/>
        <v>1</v>
      </c>
      <c r="K365" t="b">
        <f t="shared" si="41"/>
        <v>1</v>
      </c>
      <c r="M365" t="str">
        <f t="shared" si="42"/>
        <v> Kyle Brodziak</v>
      </c>
      <c r="N365" t="str">
        <f t="shared" si="43"/>
        <v>MIN</v>
      </c>
      <c r="O365">
        <f t="shared" si="44"/>
        <v>20</v>
      </c>
      <c r="P365">
        <f>IF(M365="","",VLOOKUP(B365,'Team Stats'!$B$3:$K$18,5,0))</f>
        <v>608</v>
      </c>
      <c r="Q365">
        <f t="shared" si="45"/>
        <v>3.2894736842105261E-2</v>
      </c>
      <c r="R365">
        <f ca="1">IF(M365="","",VLOOKUP(N365,Sim!$EF$46:$EG$61,2,0))</f>
        <v>11.71</v>
      </c>
      <c r="S365">
        <f ca="1">IF(M365="","",VLOOKUP(N365,'Team Stats'!$B$3:$K$18,10,0))</f>
        <v>86.825365853658553</v>
      </c>
      <c r="T365" s="84">
        <f t="shared" ca="1" si="46"/>
        <v>2.8560975609756101</v>
      </c>
      <c r="U365">
        <f t="shared" ca="1" si="47"/>
        <v>138</v>
      </c>
    </row>
    <row r="366" spans="1:21">
      <c r="A366" s="73" t="s">
        <v>690</v>
      </c>
      <c r="B366" s="73" t="s">
        <v>198</v>
      </c>
      <c r="C366" s="74">
        <v>74</v>
      </c>
      <c r="D366" s="74"/>
      <c r="E366" s="74">
        <v>3</v>
      </c>
      <c r="F366" s="74"/>
      <c r="G366" s="74">
        <v>17</v>
      </c>
      <c r="H366" s="74"/>
      <c r="I366" s="63">
        <v>20</v>
      </c>
      <c r="J366" t="b">
        <f t="shared" si="40"/>
        <v>1</v>
      </c>
      <c r="K366" t="b">
        <f t="shared" si="41"/>
        <v>1</v>
      </c>
      <c r="M366" t="str">
        <f t="shared" si="42"/>
        <v> Paul Martin</v>
      </c>
      <c r="N366" t="str">
        <f t="shared" si="43"/>
        <v>PIT</v>
      </c>
      <c r="O366">
        <f t="shared" si="44"/>
        <v>20</v>
      </c>
      <c r="P366">
        <f>IF(M366="","",VLOOKUP(B366,'Team Stats'!$B$3:$K$18,5,0))</f>
        <v>600</v>
      </c>
      <c r="Q366">
        <f t="shared" si="45"/>
        <v>3.3333333333333333E-2</v>
      </c>
      <c r="R366">
        <f ca="1">IF(M366="","",VLOOKUP(N366,Sim!$EF$46:$EG$61,2,0))</f>
        <v>9.74</v>
      </c>
      <c r="S366">
        <f ca="1">IF(M366="","",VLOOKUP(N366,'Team Stats'!$B$3:$K$18,10,0))</f>
        <v>71.268292682926827</v>
      </c>
      <c r="T366" s="84">
        <f t="shared" ca="1" si="46"/>
        <v>2.3756097560975609</v>
      </c>
      <c r="U366">
        <f t="shared" ca="1" si="47"/>
        <v>154</v>
      </c>
    </row>
    <row r="367" spans="1:21">
      <c r="A367" s="73" t="s">
        <v>691</v>
      </c>
      <c r="B367" s="73" t="s">
        <v>203</v>
      </c>
      <c r="C367" s="74">
        <v>65</v>
      </c>
      <c r="D367" s="74"/>
      <c r="E367" s="74">
        <v>9</v>
      </c>
      <c r="F367" s="74"/>
      <c r="G367" s="74">
        <v>11</v>
      </c>
      <c r="H367" s="74"/>
      <c r="I367" s="63">
        <v>20</v>
      </c>
      <c r="J367" t="b">
        <f t="shared" si="40"/>
        <v>1</v>
      </c>
      <c r="K367" t="b">
        <f t="shared" si="41"/>
        <v>1</v>
      </c>
      <c r="M367" t="str">
        <f t="shared" si="42"/>
        <v> Dan Boyle</v>
      </c>
      <c r="N367" t="str">
        <f t="shared" si="43"/>
        <v>NYR</v>
      </c>
      <c r="O367">
        <f t="shared" si="44"/>
        <v>20</v>
      </c>
      <c r="P367">
        <f>IF(M367="","",VLOOKUP(B367,'Team Stats'!$B$3:$K$18,5,0))</f>
        <v>659</v>
      </c>
      <c r="Q367">
        <f t="shared" si="45"/>
        <v>3.0349013657056147E-2</v>
      </c>
      <c r="R367">
        <f ca="1">IF(M367="","",VLOOKUP(N367,Sim!$EF$46:$EG$61,2,0))</f>
        <v>8.7200000000000006</v>
      </c>
      <c r="S367">
        <f ca="1">IF(M367="","",VLOOKUP(N367,'Team Stats'!$B$3:$K$18,10,0))</f>
        <v>70.079024390243916</v>
      </c>
      <c r="T367" s="84">
        <f t="shared" ca="1" si="46"/>
        <v>2.1268292682926835</v>
      </c>
      <c r="U367">
        <f t="shared" ca="1" si="47"/>
        <v>161</v>
      </c>
    </row>
    <row r="368" spans="1:21">
      <c r="A368" s="73" t="s">
        <v>692</v>
      </c>
      <c r="B368" s="73" t="s">
        <v>221</v>
      </c>
      <c r="C368" s="74">
        <v>57</v>
      </c>
      <c r="D368" s="74"/>
      <c r="E368" s="74">
        <v>8</v>
      </c>
      <c r="F368" s="74"/>
      <c r="G368" s="74">
        <v>12</v>
      </c>
      <c r="H368" s="74"/>
      <c r="I368" s="63">
        <v>20</v>
      </c>
      <c r="J368" t="b">
        <f t="shared" si="40"/>
        <v>0</v>
      </c>
      <c r="K368" t="b">
        <f t="shared" si="41"/>
        <v>0</v>
      </c>
      <c r="M368" t="str">
        <f t="shared" si="42"/>
        <v/>
      </c>
      <c r="N368" t="str">
        <f t="shared" si="43"/>
        <v/>
      </c>
      <c r="O368" t="str">
        <f t="shared" si="44"/>
        <v/>
      </c>
      <c r="P368" t="str">
        <f>IF(M368="","",VLOOKUP(B368,'Team Stats'!$B$3:$K$18,5,0))</f>
        <v/>
      </c>
      <c r="Q368" t="str">
        <f t="shared" si="45"/>
        <v/>
      </c>
      <c r="R368" t="str">
        <f>IF(M368="","",VLOOKUP(N368,Sim!$EF$46:$EG$61,2,0))</f>
        <v/>
      </c>
      <c r="S368" t="str">
        <f>IF(M368="","",VLOOKUP(N368,'Team Stats'!$B$3:$K$18,10,0))</f>
        <v/>
      </c>
      <c r="T368" s="84" t="str">
        <f t="shared" si="46"/>
        <v/>
      </c>
      <c r="U368" t="str">
        <f t="shared" si="47"/>
        <v/>
      </c>
    </row>
    <row r="369" spans="1:21">
      <c r="A369" s="73" t="s">
        <v>693</v>
      </c>
      <c r="B369" s="73" t="s">
        <v>216</v>
      </c>
      <c r="C369" s="74">
        <v>59</v>
      </c>
      <c r="D369" s="74"/>
      <c r="E369" s="74">
        <v>5</v>
      </c>
      <c r="F369" s="74"/>
      <c r="G369" s="74">
        <v>15</v>
      </c>
      <c r="H369" s="74"/>
      <c r="I369" s="63">
        <v>20</v>
      </c>
      <c r="J369" t="b">
        <f t="shared" si="40"/>
        <v>0</v>
      </c>
      <c r="K369" t="b">
        <f t="shared" si="41"/>
        <v>0</v>
      </c>
      <c r="M369" t="str">
        <f t="shared" si="42"/>
        <v/>
      </c>
      <c r="N369" t="str">
        <f t="shared" si="43"/>
        <v/>
      </c>
      <c r="O369" t="str">
        <f t="shared" si="44"/>
        <v/>
      </c>
      <c r="P369" t="str">
        <f>IF(M369="","",VLOOKUP(B369,'Team Stats'!$B$3:$K$18,5,0))</f>
        <v/>
      </c>
      <c r="Q369" t="str">
        <f t="shared" si="45"/>
        <v/>
      </c>
      <c r="R369" t="str">
        <f>IF(M369="","",VLOOKUP(N369,Sim!$EF$46:$EG$61,2,0))</f>
        <v/>
      </c>
      <c r="S369" t="str">
        <f>IF(M369="","",VLOOKUP(N369,'Team Stats'!$B$3:$K$18,10,0))</f>
        <v/>
      </c>
      <c r="T369" s="84" t="str">
        <f t="shared" si="46"/>
        <v/>
      </c>
      <c r="U369" t="str">
        <f t="shared" si="47"/>
        <v/>
      </c>
    </row>
    <row r="370" spans="1:21">
      <c r="A370" s="73" t="s">
        <v>694</v>
      </c>
      <c r="B370" s="73" t="s">
        <v>217</v>
      </c>
      <c r="C370" s="74">
        <v>63</v>
      </c>
      <c r="D370" s="74"/>
      <c r="E370" s="74">
        <v>8</v>
      </c>
      <c r="F370" s="74"/>
      <c r="G370" s="74">
        <v>12</v>
      </c>
      <c r="H370" s="74"/>
      <c r="I370" s="63">
        <v>20</v>
      </c>
      <c r="J370" t="b">
        <f t="shared" si="40"/>
        <v>0</v>
      </c>
      <c r="K370" t="b">
        <f t="shared" si="41"/>
        <v>0</v>
      </c>
      <c r="M370" t="str">
        <f t="shared" si="42"/>
        <v/>
      </c>
      <c r="N370" t="str">
        <f t="shared" si="43"/>
        <v/>
      </c>
      <c r="O370" t="str">
        <f t="shared" si="44"/>
        <v/>
      </c>
      <c r="P370" t="str">
        <f>IF(M370="","",VLOOKUP(B370,'Team Stats'!$B$3:$K$18,5,0))</f>
        <v/>
      </c>
      <c r="Q370" t="str">
        <f t="shared" si="45"/>
        <v/>
      </c>
      <c r="R370" t="str">
        <f>IF(M370="","",VLOOKUP(N370,Sim!$EF$46:$EG$61,2,0))</f>
        <v/>
      </c>
      <c r="S370" t="str">
        <f>IF(M370="","",VLOOKUP(N370,'Team Stats'!$B$3:$K$18,10,0))</f>
        <v/>
      </c>
      <c r="T370" s="84" t="str">
        <f t="shared" si="46"/>
        <v/>
      </c>
      <c r="U370" t="str">
        <f t="shared" si="47"/>
        <v/>
      </c>
    </row>
    <row r="371" spans="1:21">
      <c r="A371" s="73" t="s">
        <v>695</v>
      </c>
      <c r="B371" s="73" t="s">
        <v>208</v>
      </c>
      <c r="C371" s="74">
        <v>57</v>
      </c>
      <c r="D371" s="74"/>
      <c r="E371" s="74">
        <v>6</v>
      </c>
      <c r="F371" s="74"/>
      <c r="G371" s="74">
        <v>13</v>
      </c>
      <c r="H371" s="74"/>
      <c r="I371" s="63">
        <v>19</v>
      </c>
      <c r="J371" t="b">
        <f t="shared" si="40"/>
        <v>0</v>
      </c>
      <c r="K371" t="b">
        <f t="shared" si="41"/>
        <v>0</v>
      </c>
      <c r="M371" t="str">
        <f t="shared" si="42"/>
        <v/>
      </c>
      <c r="N371" t="str">
        <f t="shared" si="43"/>
        <v/>
      </c>
      <c r="O371" t="str">
        <f t="shared" si="44"/>
        <v/>
      </c>
      <c r="P371" t="str">
        <f>IF(M371="","",VLOOKUP(B371,'Team Stats'!$B$3:$K$18,5,0))</f>
        <v/>
      </c>
      <c r="Q371" t="str">
        <f t="shared" si="45"/>
        <v/>
      </c>
      <c r="R371" t="str">
        <f>IF(M371="","",VLOOKUP(N371,Sim!$EF$46:$EG$61,2,0))</f>
        <v/>
      </c>
      <c r="S371" t="str">
        <f>IF(M371="","",VLOOKUP(N371,'Team Stats'!$B$3:$K$18,10,0))</f>
        <v/>
      </c>
      <c r="T371" s="84" t="str">
        <f t="shared" si="46"/>
        <v/>
      </c>
      <c r="U371" t="str">
        <f t="shared" si="47"/>
        <v/>
      </c>
    </row>
    <row r="372" spans="1:21">
      <c r="A372" s="73" t="s">
        <v>696</v>
      </c>
      <c r="B372" s="73" t="s">
        <v>220</v>
      </c>
      <c r="C372" s="74">
        <v>61</v>
      </c>
      <c r="D372" s="74"/>
      <c r="E372" s="74">
        <v>6</v>
      </c>
      <c r="F372" s="74"/>
      <c r="G372" s="74">
        <v>13</v>
      </c>
      <c r="H372" s="74"/>
      <c r="I372" s="63">
        <v>19</v>
      </c>
      <c r="J372" t="b">
        <f t="shared" si="40"/>
        <v>0</v>
      </c>
      <c r="K372" t="b">
        <f t="shared" si="41"/>
        <v>0</v>
      </c>
      <c r="M372" t="str">
        <f t="shared" si="42"/>
        <v/>
      </c>
      <c r="N372" t="str">
        <f t="shared" si="43"/>
        <v/>
      </c>
      <c r="O372" t="str">
        <f t="shared" si="44"/>
        <v/>
      </c>
      <c r="P372" t="str">
        <f>IF(M372="","",VLOOKUP(B372,'Team Stats'!$B$3:$K$18,5,0))</f>
        <v/>
      </c>
      <c r="Q372" t="str">
        <f t="shared" si="45"/>
        <v/>
      </c>
      <c r="R372" t="str">
        <f>IF(M372="","",VLOOKUP(N372,Sim!$EF$46:$EG$61,2,0))</f>
        <v/>
      </c>
      <c r="S372" t="str">
        <f>IF(M372="","",VLOOKUP(N372,'Team Stats'!$B$3:$K$18,10,0))</f>
        <v/>
      </c>
      <c r="T372" s="84" t="str">
        <f t="shared" si="46"/>
        <v/>
      </c>
      <c r="U372" t="str">
        <f t="shared" si="47"/>
        <v/>
      </c>
    </row>
    <row r="373" spans="1:21">
      <c r="A373" s="73" t="s">
        <v>697</v>
      </c>
      <c r="B373" s="73" t="s">
        <v>220</v>
      </c>
      <c r="C373" s="74">
        <v>47</v>
      </c>
      <c r="D373" s="74"/>
      <c r="E373" s="74">
        <v>6</v>
      </c>
      <c r="F373" s="74"/>
      <c r="G373" s="74">
        <v>13</v>
      </c>
      <c r="H373" s="74"/>
      <c r="I373" s="63">
        <v>19</v>
      </c>
      <c r="J373" t="b">
        <f t="shared" si="40"/>
        <v>0</v>
      </c>
      <c r="K373" t="b">
        <f t="shared" si="41"/>
        <v>0</v>
      </c>
      <c r="M373" t="str">
        <f t="shared" si="42"/>
        <v/>
      </c>
      <c r="N373" t="str">
        <f t="shared" si="43"/>
        <v/>
      </c>
      <c r="O373" t="str">
        <f t="shared" si="44"/>
        <v/>
      </c>
      <c r="P373" t="str">
        <f>IF(M373="","",VLOOKUP(B373,'Team Stats'!$B$3:$K$18,5,0))</f>
        <v/>
      </c>
      <c r="Q373" t="str">
        <f t="shared" si="45"/>
        <v/>
      </c>
      <c r="R373" t="str">
        <f>IF(M373="","",VLOOKUP(N373,Sim!$EF$46:$EG$61,2,0))</f>
        <v/>
      </c>
      <c r="S373" t="str">
        <f>IF(M373="","",VLOOKUP(N373,'Team Stats'!$B$3:$K$18,10,0))</f>
        <v/>
      </c>
      <c r="T373" s="84" t="str">
        <f t="shared" si="46"/>
        <v/>
      </c>
      <c r="U373" t="str">
        <f t="shared" si="47"/>
        <v/>
      </c>
    </row>
    <row r="374" spans="1:21">
      <c r="A374" s="73" t="s">
        <v>698</v>
      </c>
      <c r="B374" s="73" t="s">
        <v>336</v>
      </c>
      <c r="C374" s="74">
        <v>64</v>
      </c>
      <c r="D374" s="74"/>
      <c r="E374" s="74">
        <v>12</v>
      </c>
      <c r="F374" s="74"/>
      <c r="G374" s="74">
        <v>7</v>
      </c>
      <c r="H374" s="74"/>
      <c r="I374" s="63">
        <v>19</v>
      </c>
      <c r="J374" t="b">
        <f t="shared" si="40"/>
        <v>0</v>
      </c>
      <c r="K374" t="b">
        <f t="shared" si="41"/>
        <v>0</v>
      </c>
      <c r="M374" t="str">
        <f t="shared" si="42"/>
        <v/>
      </c>
      <c r="N374" t="str">
        <f t="shared" si="43"/>
        <v/>
      </c>
      <c r="O374" t="str">
        <f t="shared" si="44"/>
        <v/>
      </c>
      <c r="P374" t="str">
        <f>IF(M374="","",VLOOKUP(B374,'Team Stats'!$B$3:$K$18,5,0))</f>
        <v/>
      </c>
      <c r="Q374" t="str">
        <f t="shared" si="45"/>
        <v/>
      </c>
      <c r="R374" t="str">
        <f>IF(M374="","",VLOOKUP(N374,Sim!$EF$46:$EG$61,2,0))</f>
        <v/>
      </c>
      <c r="S374" t="str">
        <f>IF(M374="","",VLOOKUP(N374,'Team Stats'!$B$3:$K$18,10,0))</f>
        <v/>
      </c>
      <c r="T374" s="84" t="str">
        <f t="shared" si="46"/>
        <v/>
      </c>
      <c r="U374" t="str">
        <f t="shared" si="47"/>
        <v/>
      </c>
    </row>
    <row r="375" spans="1:21">
      <c r="A375" s="73" t="s">
        <v>699</v>
      </c>
      <c r="B375" s="73" t="s">
        <v>196</v>
      </c>
      <c r="C375" s="74">
        <v>51</v>
      </c>
      <c r="D375" s="74"/>
      <c r="E375" s="74">
        <v>9</v>
      </c>
      <c r="F375" s="74"/>
      <c r="G375" s="74">
        <v>10</v>
      </c>
      <c r="H375" s="74"/>
      <c r="I375" s="63">
        <v>19</v>
      </c>
      <c r="J375" t="b">
        <f t="shared" si="40"/>
        <v>1</v>
      </c>
      <c r="K375" t="b">
        <f t="shared" si="41"/>
        <v>1</v>
      </c>
      <c r="M375" t="str">
        <f t="shared" si="42"/>
        <v> Mikhail Grabovski</v>
      </c>
      <c r="N375" t="str">
        <f t="shared" si="43"/>
        <v>NYI</v>
      </c>
      <c r="O375">
        <f t="shared" si="44"/>
        <v>19</v>
      </c>
      <c r="P375">
        <f>IF(M375="","",VLOOKUP(B375,'Team Stats'!$B$3:$K$18,5,0))</f>
        <v>656</v>
      </c>
      <c r="Q375">
        <f t="shared" si="45"/>
        <v>2.8963414634146343E-2</v>
      </c>
      <c r="R375">
        <f ca="1">IF(M375="","",VLOOKUP(N375,Sim!$EF$46:$EG$61,2,0))</f>
        <v>13.18</v>
      </c>
      <c r="S375">
        <f ca="1">IF(M375="","",VLOOKUP(N375,'Team Stats'!$B$3:$K$18,10,0))</f>
        <v>105.44</v>
      </c>
      <c r="T375" s="84">
        <f t="shared" ca="1" si="46"/>
        <v>3.0539024390243905</v>
      </c>
      <c r="U375">
        <f t="shared" ca="1" si="47"/>
        <v>129</v>
      </c>
    </row>
    <row r="376" spans="1:21">
      <c r="A376" s="73" t="s">
        <v>700</v>
      </c>
      <c r="B376" s="73" t="s">
        <v>212</v>
      </c>
      <c r="C376" s="74">
        <v>56</v>
      </c>
      <c r="D376" s="74"/>
      <c r="E376" s="74">
        <v>9</v>
      </c>
      <c r="F376" s="74"/>
      <c r="G376" s="74">
        <v>10</v>
      </c>
      <c r="H376" s="74"/>
      <c r="I376" s="63">
        <v>19</v>
      </c>
      <c r="J376" t="b">
        <f t="shared" si="40"/>
        <v>1</v>
      </c>
      <c r="K376" t="b">
        <f t="shared" si="41"/>
        <v>1</v>
      </c>
      <c r="M376" t="str">
        <f t="shared" si="42"/>
        <v> Sean Bergenheim</v>
      </c>
      <c r="N376" t="str">
        <f t="shared" si="43"/>
        <v>MIN</v>
      </c>
      <c r="O376">
        <f t="shared" si="44"/>
        <v>19</v>
      </c>
      <c r="P376">
        <f>IF(M376="","",VLOOKUP(B376,'Team Stats'!$B$3:$K$18,5,0))</f>
        <v>608</v>
      </c>
      <c r="Q376">
        <f t="shared" si="45"/>
        <v>3.125E-2</v>
      </c>
      <c r="R376">
        <f ca="1">IF(M376="","",VLOOKUP(N376,Sim!$EF$46:$EG$61,2,0))</f>
        <v>11.71</v>
      </c>
      <c r="S376">
        <f ca="1">IF(M376="","",VLOOKUP(N376,'Team Stats'!$B$3:$K$18,10,0))</f>
        <v>86.825365853658553</v>
      </c>
      <c r="T376" s="84">
        <f t="shared" ca="1" si="46"/>
        <v>2.7132926829268298</v>
      </c>
      <c r="U376">
        <f t="shared" ca="1" si="47"/>
        <v>141</v>
      </c>
    </row>
    <row r="377" spans="1:21" ht="30">
      <c r="A377" s="73" t="s">
        <v>701</v>
      </c>
      <c r="B377" s="73" t="s">
        <v>214</v>
      </c>
      <c r="C377" s="74">
        <v>50</v>
      </c>
      <c r="D377" s="74"/>
      <c r="E377" s="74">
        <v>10</v>
      </c>
      <c r="F377" s="74"/>
      <c r="G377" s="74">
        <v>9</v>
      </c>
      <c r="H377" s="74"/>
      <c r="I377" s="63">
        <v>19</v>
      </c>
      <c r="J377" t="b">
        <f t="shared" si="40"/>
        <v>1</v>
      </c>
      <c r="K377" t="b">
        <f t="shared" si="41"/>
        <v>1</v>
      </c>
      <c r="M377" t="str">
        <f t="shared" si="42"/>
        <v> Jean-Gabriel Pageau</v>
      </c>
      <c r="N377" t="str">
        <f t="shared" si="43"/>
        <v>OTT</v>
      </c>
      <c r="O377">
        <f t="shared" si="44"/>
        <v>19</v>
      </c>
      <c r="P377">
        <f>IF(M377="","",VLOOKUP(B377,'Team Stats'!$B$3:$K$18,5,0))</f>
        <v>619</v>
      </c>
      <c r="Q377">
        <f t="shared" si="45"/>
        <v>3.0694668820678513E-2</v>
      </c>
      <c r="R377">
        <f ca="1">IF(M377="","",VLOOKUP(N377,Sim!$EF$46:$EG$61,2,0))</f>
        <v>10.71</v>
      </c>
      <c r="S377">
        <f ca="1">IF(M377="","",VLOOKUP(N377,'Team Stats'!$B$3:$K$18,10,0))</f>
        <v>80.847439024390255</v>
      </c>
      <c r="T377" s="84">
        <f t="shared" ca="1" si="46"/>
        <v>2.4815853658536589</v>
      </c>
      <c r="U377">
        <f t="shared" ca="1" si="47"/>
        <v>149</v>
      </c>
    </row>
    <row r="378" spans="1:21">
      <c r="A378" s="73" t="s">
        <v>702</v>
      </c>
      <c r="B378" s="73" t="s">
        <v>325</v>
      </c>
      <c r="C378" s="74">
        <v>77</v>
      </c>
      <c r="D378" s="74"/>
      <c r="E378" s="74">
        <v>7</v>
      </c>
      <c r="F378" s="74"/>
      <c r="G378" s="74">
        <v>12</v>
      </c>
      <c r="H378" s="74"/>
      <c r="I378" s="63">
        <v>19</v>
      </c>
      <c r="J378" t="b">
        <f t="shared" si="40"/>
        <v>0</v>
      </c>
      <c r="K378" t="b">
        <f t="shared" si="41"/>
        <v>0</v>
      </c>
      <c r="M378" t="str">
        <f t="shared" si="42"/>
        <v/>
      </c>
      <c r="N378" t="str">
        <f t="shared" si="43"/>
        <v/>
      </c>
      <c r="O378" t="str">
        <f t="shared" si="44"/>
        <v/>
      </c>
      <c r="P378" t="str">
        <f>IF(M378="","",VLOOKUP(B378,'Team Stats'!$B$3:$K$18,5,0))</f>
        <v/>
      </c>
      <c r="Q378" t="str">
        <f t="shared" si="45"/>
        <v/>
      </c>
      <c r="R378" t="str">
        <f>IF(M378="","",VLOOKUP(N378,Sim!$EF$46:$EG$61,2,0))</f>
        <v/>
      </c>
      <c r="S378" t="str">
        <f>IF(M378="","",VLOOKUP(N378,'Team Stats'!$B$3:$K$18,10,0))</f>
        <v/>
      </c>
      <c r="T378" s="84" t="str">
        <f t="shared" si="46"/>
        <v/>
      </c>
      <c r="U378" t="str">
        <f t="shared" si="47"/>
        <v/>
      </c>
    </row>
    <row r="379" spans="1:21">
      <c r="A379" s="73" t="s">
        <v>703</v>
      </c>
      <c r="B379" s="73" t="s">
        <v>202</v>
      </c>
      <c r="C379" s="74">
        <v>82</v>
      </c>
      <c r="D379" s="74"/>
      <c r="E379" s="74">
        <v>3</v>
      </c>
      <c r="F379" s="74"/>
      <c r="G379" s="74">
        <v>16</v>
      </c>
      <c r="H379" s="74"/>
      <c r="I379" s="63">
        <v>19</v>
      </c>
      <c r="J379" t="b">
        <f t="shared" si="40"/>
        <v>1</v>
      </c>
      <c r="K379" t="b">
        <f t="shared" si="41"/>
        <v>1</v>
      </c>
      <c r="M379" t="str">
        <f t="shared" si="42"/>
        <v> Niklas Hjalmarsson</v>
      </c>
      <c r="N379" t="str">
        <f t="shared" si="43"/>
        <v>CHI</v>
      </c>
      <c r="O379">
        <f t="shared" si="44"/>
        <v>19</v>
      </c>
      <c r="P379">
        <f>IF(M379="","",VLOOKUP(B379,'Team Stats'!$B$3:$K$18,5,0))</f>
        <v>601</v>
      </c>
      <c r="Q379">
        <f t="shared" si="45"/>
        <v>3.1613976705490848E-2</v>
      </c>
      <c r="R379">
        <f ca="1">IF(M379="","",VLOOKUP(N379,Sim!$EF$46:$EG$61,2,0))</f>
        <v>9.14</v>
      </c>
      <c r="S379">
        <f ca="1">IF(M379="","",VLOOKUP(N379,'Team Stats'!$B$3:$K$18,10,0))</f>
        <v>66.989512195121961</v>
      </c>
      <c r="T379" s="84">
        <f t="shared" ca="1" si="46"/>
        <v>2.1178048780487808</v>
      </c>
      <c r="U379">
        <f t="shared" ca="1" si="47"/>
        <v>164</v>
      </c>
    </row>
    <row r="380" spans="1:21">
      <c r="A380" s="73" t="s">
        <v>704</v>
      </c>
      <c r="B380" s="73" t="s">
        <v>218</v>
      </c>
      <c r="C380" s="74">
        <v>57</v>
      </c>
      <c r="D380" s="74"/>
      <c r="E380" s="74">
        <v>6</v>
      </c>
      <c r="F380" s="74"/>
      <c r="G380" s="74">
        <v>13</v>
      </c>
      <c r="H380" s="74"/>
      <c r="I380" s="63">
        <v>19</v>
      </c>
      <c r="J380" t="b">
        <f t="shared" si="40"/>
        <v>0</v>
      </c>
      <c r="K380" t="b">
        <f t="shared" si="41"/>
        <v>0</v>
      </c>
      <c r="M380" t="str">
        <f t="shared" si="42"/>
        <v/>
      </c>
      <c r="N380" t="str">
        <f t="shared" si="43"/>
        <v/>
      </c>
      <c r="O380" t="str">
        <f t="shared" si="44"/>
        <v/>
      </c>
      <c r="P380" t="str">
        <f>IF(M380="","",VLOOKUP(B380,'Team Stats'!$B$3:$K$18,5,0))</f>
        <v/>
      </c>
      <c r="Q380" t="str">
        <f t="shared" si="45"/>
        <v/>
      </c>
      <c r="R380" t="str">
        <f>IF(M380="","",VLOOKUP(N380,Sim!$EF$46:$EG$61,2,0))</f>
        <v/>
      </c>
      <c r="S380" t="str">
        <f>IF(M380="","",VLOOKUP(N380,'Team Stats'!$B$3:$K$18,10,0))</f>
        <v/>
      </c>
      <c r="T380" s="84" t="str">
        <f t="shared" si="46"/>
        <v/>
      </c>
      <c r="U380" t="str">
        <f t="shared" si="47"/>
        <v/>
      </c>
    </row>
    <row r="381" spans="1:21">
      <c r="A381" s="73" t="s">
        <v>705</v>
      </c>
      <c r="B381" s="73" t="s">
        <v>325</v>
      </c>
      <c r="C381" s="74">
        <v>78</v>
      </c>
      <c r="D381" s="74"/>
      <c r="E381" s="74">
        <v>0</v>
      </c>
      <c r="F381" s="74"/>
      <c r="G381" s="74">
        <v>19</v>
      </c>
      <c r="H381" s="74"/>
      <c r="I381" s="63">
        <v>19</v>
      </c>
      <c r="J381" t="b">
        <f t="shared" si="40"/>
        <v>0</v>
      </c>
      <c r="K381" t="b">
        <f t="shared" si="41"/>
        <v>0</v>
      </c>
      <c r="M381" t="str">
        <f t="shared" si="42"/>
        <v/>
      </c>
      <c r="N381" t="str">
        <f t="shared" si="43"/>
        <v/>
      </c>
      <c r="O381" t="str">
        <f t="shared" si="44"/>
        <v/>
      </c>
      <c r="P381" t="str">
        <f>IF(M381="","",VLOOKUP(B381,'Team Stats'!$B$3:$K$18,5,0))</f>
        <v/>
      </c>
      <c r="Q381" t="str">
        <f t="shared" si="45"/>
        <v/>
      </c>
      <c r="R381" t="str">
        <f>IF(M381="","",VLOOKUP(N381,Sim!$EF$46:$EG$61,2,0))</f>
        <v/>
      </c>
      <c r="S381" t="str">
        <f>IF(M381="","",VLOOKUP(N381,'Team Stats'!$B$3:$K$18,10,0))</f>
        <v/>
      </c>
      <c r="T381" s="84" t="str">
        <f t="shared" si="46"/>
        <v/>
      </c>
      <c r="U381" t="str">
        <f t="shared" si="47"/>
        <v/>
      </c>
    </row>
    <row r="382" spans="1:21">
      <c r="A382" s="73" t="s">
        <v>706</v>
      </c>
      <c r="B382" s="73" t="s">
        <v>340</v>
      </c>
      <c r="C382" s="74">
        <v>53</v>
      </c>
      <c r="D382" s="74"/>
      <c r="E382" s="74">
        <v>8</v>
      </c>
      <c r="F382" s="74"/>
      <c r="G382" s="74">
        <v>11</v>
      </c>
      <c r="H382" s="74"/>
      <c r="I382" s="63">
        <v>19</v>
      </c>
      <c r="J382" t="b">
        <f t="shared" si="40"/>
        <v>0</v>
      </c>
      <c r="K382" t="b">
        <f t="shared" si="41"/>
        <v>0</v>
      </c>
      <c r="M382" t="str">
        <f t="shared" si="42"/>
        <v/>
      </c>
      <c r="N382" t="str">
        <f t="shared" si="43"/>
        <v/>
      </c>
      <c r="O382" t="str">
        <f t="shared" si="44"/>
        <v/>
      </c>
      <c r="P382" t="str">
        <f>IF(M382="","",VLOOKUP(B382,'Team Stats'!$B$3:$K$18,5,0))</f>
        <v/>
      </c>
      <c r="Q382" t="str">
        <f t="shared" si="45"/>
        <v/>
      </c>
      <c r="R382" t="str">
        <f>IF(M382="","",VLOOKUP(N382,Sim!$EF$46:$EG$61,2,0))</f>
        <v/>
      </c>
      <c r="S382" t="str">
        <f>IF(M382="","",VLOOKUP(N382,'Team Stats'!$B$3:$K$18,10,0))</f>
        <v/>
      </c>
      <c r="T382" s="84" t="str">
        <f t="shared" si="46"/>
        <v/>
      </c>
      <c r="U382" t="str">
        <f t="shared" si="47"/>
        <v/>
      </c>
    </row>
    <row r="383" spans="1:21">
      <c r="A383" s="73" t="s">
        <v>707</v>
      </c>
      <c r="B383" s="73" t="s">
        <v>203</v>
      </c>
      <c r="C383" s="74">
        <v>71</v>
      </c>
      <c r="D383" s="74"/>
      <c r="E383" s="74">
        <v>7</v>
      </c>
      <c r="F383" s="74"/>
      <c r="G383" s="74">
        <v>11</v>
      </c>
      <c r="H383" s="74"/>
      <c r="I383" s="63">
        <v>18</v>
      </c>
      <c r="J383" t="b">
        <f t="shared" si="40"/>
        <v>1</v>
      </c>
      <c r="K383" t="b">
        <f t="shared" si="41"/>
        <v>1</v>
      </c>
      <c r="M383" t="str">
        <f t="shared" si="42"/>
        <v> James Sheppard</v>
      </c>
      <c r="N383" t="str">
        <f t="shared" si="43"/>
        <v>NYR</v>
      </c>
      <c r="O383">
        <f t="shared" si="44"/>
        <v>18</v>
      </c>
      <c r="P383">
        <f>IF(M383="","",VLOOKUP(B383,'Team Stats'!$B$3:$K$18,5,0))</f>
        <v>659</v>
      </c>
      <c r="Q383">
        <f t="shared" si="45"/>
        <v>2.7314112291350532E-2</v>
      </c>
      <c r="R383">
        <f ca="1">IF(M383="","",VLOOKUP(N383,Sim!$EF$46:$EG$61,2,0))</f>
        <v>8.7200000000000006</v>
      </c>
      <c r="S383">
        <f ca="1">IF(M383="","",VLOOKUP(N383,'Team Stats'!$B$3:$K$18,10,0))</f>
        <v>70.079024390243916</v>
      </c>
      <c r="T383" s="84">
        <f t="shared" ca="1" si="46"/>
        <v>1.914146341463415</v>
      </c>
      <c r="U383">
        <f t="shared" ca="1" si="47"/>
        <v>172</v>
      </c>
    </row>
    <row r="384" spans="1:21">
      <c r="A384" s="73" t="s">
        <v>708</v>
      </c>
      <c r="B384" s="73" t="s">
        <v>208</v>
      </c>
      <c r="C384" s="74">
        <v>48</v>
      </c>
      <c r="D384" s="74"/>
      <c r="E384" s="74">
        <v>8</v>
      </c>
      <c r="F384" s="74"/>
      <c r="G384" s="74">
        <v>10</v>
      </c>
      <c r="H384" s="74"/>
      <c r="I384" s="63">
        <v>18</v>
      </c>
      <c r="J384" t="b">
        <f t="shared" si="40"/>
        <v>0</v>
      </c>
      <c r="K384" t="b">
        <f t="shared" si="41"/>
        <v>0</v>
      </c>
      <c r="M384" t="str">
        <f t="shared" si="42"/>
        <v/>
      </c>
      <c r="N384" t="str">
        <f t="shared" si="43"/>
        <v/>
      </c>
      <c r="O384" t="str">
        <f t="shared" si="44"/>
        <v/>
      </c>
      <c r="P384" t="str">
        <f>IF(M384="","",VLOOKUP(B384,'Team Stats'!$B$3:$K$18,5,0))</f>
        <v/>
      </c>
      <c r="Q384" t="str">
        <f t="shared" si="45"/>
        <v/>
      </c>
      <c r="R384" t="str">
        <f>IF(M384="","",VLOOKUP(N384,Sim!$EF$46:$EG$61,2,0))</f>
        <v/>
      </c>
      <c r="S384" t="str">
        <f>IF(M384="","",VLOOKUP(N384,'Team Stats'!$B$3:$K$18,10,0))</f>
        <v/>
      </c>
      <c r="T384" s="84" t="str">
        <f t="shared" si="46"/>
        <v/>
      </c>
      <c r="U384" t="str">
        <f t="shared" si="47"/>
        <v/>
      </c>
    </row>
    <row r="385" spans="1:21">
      <c r="A385" s="73" t="s">
        <v>709</v>
      </c>
      <c r="B385" s="73" t="s">
        <v>365</v>
      </c>
      <c r="C385" s="74">
        <v>74</v>
      </c>
      <c r="D385" s="74"/>
      <c r="E385" s="74">
        <v>7</v>
      </c>
      <c r="F385" s="74"/>
      <c r="G385" s="74">
        <v>11</v>
      </c>
      <c r="H385" s="74"/>
      <c r="I385" s="63">
        <v>18</v>
      </c>
      <c r="J385" t="b">
        <f t="shared" si="40"/>
        <v>0</v>
      </c>
      <c r="K385" t="b">
        <f t="shared" si="41"/>
        <v>0</v>
      </c>
      <c r="M385" t="str">
        <f t="shared" si="42"/>
        <v/>
      </c>
      <c r="N385" t="str">
        <f t="shared" si="43"/>
        <v/>
      </c>
      <c r="O385" t="str">
        <f t="shared" si="44"/>
        <v/>
      </c>
      <c r="P385" t="str">
        <f>IF(M385="","",VLOOKUP(B385,'Team Stats'!$B$3:$K$18,5,0))</f>
        <v/>
      </c>
      <c r="Q385" t="str">
        <f t="shared" si="45"/>
        <v/>
      </c>
      <c r="R385" t="str">
        <f>IF(M385="","",VLOOKUP(N385,Sim!$EF$46:$EG$61,2,0))</f>
        <v/>
      </c>
      <c r="S385" t="str">
        <f>IF(M385="","",VLOOKUP(N385,'Team Stats'!$B$3:$K$18,10,0))</f>
        <v/>
      </c>
      <c r="T385" s="84" t="str">
        <f t="shared" si="46"/>
        <v/>
      </c>
      <c r="U385" t="str">
        <f t="shared" si="47"/>
        <v/>
      </c>
    </row>
    <row r="386" spans="1:21">
      <c r="A386" s="73" t="s">
        <v>710</v>
      </c>
      <c r="B386" s="73" t="s">
        <v>205</v>
      </c>
      <c r="C386" s="74">
        <v>80</v>
      </c>
      <c r="D386" s="74"/>
      <c r="E386" s="74">
        <v>5</v>
      </c>
      <c r="F386" s="74"/>
      <c r="G386" s="74">
        <v>13</v>
      </c>
      <c r="H386" s="74"/>
      <c r="I386" s="63">
        <v>18</v>
      </c>
      <c r="J386" t="b">
        <f t="shared" si="40"/>
        <v>1</v>
      </c>
      <c r="K386" t="b">
        <f t="shared" si="41"/>
        <v>1</v>
      </c>
      <c r="M386" t="str">
        <f t="shared" si="42"/>
        <v> Nate Thompson</v>
      </c>
      <c r="N386" t="str">
        <f t="shared" si="43"/>
        <v>ANA</v>
      </c>
      <c r="O386">
        <f t="shared" si="44"/>
        <v>18</v>
      </c>
      <c r="P386">
        <f>IF(M386="","",VLOOKUP(B386,'Team Stats'!$B$3:$K$18,5,0))</f>
        <v>613</v>
      </c>
      <c r="Q386">
        <f t="shared" si="45"/>
        <v>2.936378466557912E-2</v>
      </c>
      <c r="R386">
        <f ca="1">IF(M386="","",VLOOKUP(N386,Sim!$EF$46:$EG$61,2,0))</f>
        <v>14.85</v>
      </c>
      <c r="S386">
        <f ca="1">IF(M386="","",VLOOKUP(N386,'Team Stats'!$B$3:$K$18,10,0))</f>
        <v>111.01280487804878</v>
      </c>
      <c r="T386" s="84">
        <f t="shared" ca="1" si="46"/>
        <v>3.2597560975609756</v>
      </c>
      <c r="U386">
        <f t="shared" ca="1" si="47"/>
        <v>122</v>
      </c>
    </row>
    <row r="387" spans="1:21">
      <c r="A387" s="73" t="s">
        <v>711</v>
      </c>
      <c r="B387" s="73" t="s">
        <v>217</v>
      </c>
      <c r="C387" s="74">
        <v>81</v>
      </c>
      <c r="D387" s="74"/>
      <c r="E387" s="74">
        <v>5</v>
      </c>
      <c r="F387" s="74"/>
      <c r="G387" s="74">
        <v>13</v>
      </c>
      <c r="H387" s="74"/>
      <c r="I387" s="63">
        <v>18</v>
      </c>
      <c r="J387" t="b">
        <f t="shared" si="40"/>
        <v>0</v>
      </c>
      <c r="K387" t="b">
        <f t="shared" si="41"/>
        <v>0</v>
      </c>
      <c r="M387" t="str">
        <f t="shared" si="42"/>
        <v/>
      </c>
      <c r="N387" t="str">
        <f t="shared" si="43"/>
        <v/>
      </c>
      <c r="O387" t="str">
        <f t="shared" si="44"/>
        <v/>
      </c>
      <c r="P387" t="str">
        <f>IF(M387="","",VLOOKUP(B387,'Team Stats'!$B$3:$K$18,5,0))</f>
        <v/>
      </c>
      <c r="Q387" t="str">
        <f t="shared" si="45"/>
        <v/>
      </c>
      <c r="R387" t="str">
        <f>IF(M387="","",VLOOKUP(N387,Sim!$EF$46:$EG$61,2,0))</f>
        <v/>
      </c>
      <c r="S387" t="str">
        <f>IF(M387="","",VLOOKUP(N387,'Team Stats'!$B$3:$K$18,10,0))</f>
        <v/>
      </c>
      <c r="T387" s="84" t="str">
        <f t="shared" si="46"/>
        <v/>
      </c>
      <c r="U387" t="str">
        <f t="shared" si="47"/>
        <v/>
      </c>
    </row>
    <row r="388" spans="1:21">
      <c r="A388" s="73" t="s">
        <v>712</v>
      </c>
      <c r="B388" s="73" t="s">
        <v>222</v>
      </c>
      <c r="C388" s="74">
        <v>81</v>
      </c>
      <c r="D388" s="74"/>
      <c r="E388" s="74">
        <v>3</v>
      </c>
      <c r="F388" s="74"/>
      <c r="G388" s="74">
        <v>15</v>
      </c>
      <c r="H388" s="74"/>
      <c r="I388" s="63">
        <v>18</v>
      </c>
      <c r="J388" t="b">
        <f t="shared" ref="J388:J451" si="48">OR(B388="MTL",B388="OTT",B388="TBL",B388="DET",B388="WSH",B388="NYI",B388="NYR",B388="PIT",B388="STL",B388="MIN",B388="NSH",B388="CHI",B388="VAN",B388="CAL",B388="ANA",B388="WPG")</f>
        <v>0</v>
      </c>
      <c r="K388" t="b">
        <f t="shared" ref="K388:K451" si="49">J388</f>
        <v>0</v>
      </c>
      <c r="M388" t="str">
        <f t="shared" ref="M388:M451" si="50">IF(K388=FALSE,"",A388)</f>
        <v/>
      </c>
      <c r="N388" t="str">
        <f t="shared" ref="N388:N451" si="51">IF(M388="","",B388)</f>
        <v/>
      </c>
      <c r="O388" t="str">
        <f t="shared" ref="O388:O451" si="52">IF(M388="","",I388)</f>
        <v/>
      </c>
      <c r="P388" t="str">
        <f>IF(M388="","",VLOOKUP(B388,'Team Stats'!$B$3:$K$18,5,0))</f>
        <v/>
      </c>
      <c r="Q388" t="str">
        <f t="shared" ref="Q388:Q451" si="53">IF(N388="","",IF(O388=0,0,O388/P388))</f>
        <v/>
      </c>
      <c r="R388" t="str">
        <f>IF(M388="","",VLOOKUP(N388,Sim!$EF$46:$EG$61,2,0))</f>
        <v/>
      </c>
      <c r="S388" t="str">
        <f>IF(M388="","",VLOOKUP(N388,'Team Stats'!$B$3:$K$18,10,0))</f>
        <v/>
      </c>
      <c r="T388" s="84" t="str">
        <f t="shared" ref="T388:T451" si="54">IF(M388="","",IF(O388=0,0,Q388*S388))</f>
        <v/>
      </c>
      <c r="U388" t="str">
        <f t="shared" ref="U388:U451" si="55">IF(M388="","",RANK(T388,$T$3:$T$884,0))</f>
        <v/>
      </c>
    </row>
    <row r="389" spans="1:21">
      <c r="A389" s="73" t="s">
        <v>713</v>
      </c>
      <c r="B389" s="73" t="s">
        <v>217</v>
      </c>
      <c r="C389" s="74">
        <v>29</v>
      </c>
      <c r="D389" s="74"/>
      <c r="E389" s="74">
        <v>8</v>
      </c>
      <c r="F389" s="74"/>
      <c r="G389" s="74">
        <v>10</v>
      </c>
      <c r="H389" s="74"/>
      <c r="I389" s="63">
        <v>18</v>
      </c>
      <c r="J389" t="b">
        <f t="shared" si="48"/>
        <v>0</v>
      </c>
      <c r="K389" t="b">
        <f t="shared" si="49"/>
        <v>0</v>
      </c>
      <c r="M389" t="str">
        <f t="shared" si="50"/>
        <v/>
      </c>
      <c r="N389" t="str">
        <f t="shared" si="51"/>
        <v/>
      </c>
      <c r="O389" t="str">
        <f t="shared" si="52"/>
        <v/>
      </c>
      <c r="P389" t="str">
        <f>IF(M389="","",VLOOKUP(B389,'Team Stats'!$B$3:$K$18,5,0))</f>
        <v/>
      </c>
      <c r="Q389" t="str">
        <f t="shared" si="53"/>
        <v/>
      </c>
      <c r="R389" t="str">
        <f>IF(M389="","",VLOOKUP(N389,Sim!$EF$46:$EG$61,2,0))</f>
        <v/>
      </c>
      <c r="S389" t="str">
        <f>IF(M389="","",VLOOKUP(N389,'Team Stats'!$B$3:$K$18,10,0))</f>
        <v/>
      </c>
      <c r="T389" s="84" t="str">
        <f t="shared" si="54"/>
        <v/>
      </c>
      <c r="U389" t="str">
        <f t="shared" si="55"/>
        <v/>
      </c>
    </row>
    <row r="390" spans="1:21">
      <c r="A390" s="73" t="s">
        <v>714</v>
      </c>
      <c r="B390" s="73" t="s">
        <v>209</v>
      </c>
      <c r="C390" s="74">
        <v>82</v>
      </c>
      <c r="D390" s="74"/>
      <c r="E390" s="74">
        <v>12</v>
      </c>
      <c r="F390" s="74"/>
      <c r="G390" s="74">
        <v>6</v>
      </c>
      <c r="H390" s="74"/>
      <c r="I390" s="63">
        <v>18</v>
      </c>
      <c r="J390" t="b">
        <f t="shared" si="48"/>
        <v>1</v>
      </c>
      <c r="K390" t="b">
        <f t="shared" si="49"/>
        <v>1</v>
      </c>
      <c r="M390" t="str">
        <f t="shared" si="50"/>
        <v> Luke Glendening</v>
      </c>
      <c r="N390" t="str">
        <f t="shared" si="51"/>
        <v>DET</v>
      </c>
      <c r="O390">
        <f t="shared" si="52"/>
        <v>18</v>
      </c>
      <c r="P390">
        <f>IF(M390="","",VLOOKUP(B390,'Team Stats'!$B$3:$K$18,5,0))</f>
        <v>630</v>
      </c>
      <c r="Q390">
        <f t="shared" si="53"/>
        <v>2.8571428571428571E-2</v>
      </c>
      <c r="R390">
        <f ca="1">IF(M390="","",VLOOKUP(N390,Sim!$EF$46:$EG$61,2,0))</f>
        <v>10.06</v>
      </c>
      <c r="S390">
        <f ca="1">IF(M390="","",VLOOKUP(N390,'Team Stats'!$B$3:$K$18,10,0))</f>
        <v>77.29024390243903</v>
      </c>
      <c r="T390" s="84">
        <f t="shared" ca="1" si="54"/>
        <v>2.2082926829268295</v>
      </c>
      <c r="U390">
        <f t="shared" ca="1" si="55"/>
        <v>158</v>
      </c>
    </row>
    <row r="391" spans="1:21">
      <c r="A391" s="73" t="s">
        <v>715</v>
      </c>
      <c r="B391" s="73" t="s">
        <v>196</v>
      </c>
      <c r="C391" s="74">
        <v>70</v>
      </c>
      <c r="D391" s="74"/>
      <c r="E391" s="74">
        <v>9</v>
      </c>
      <c r="F391" s="74"/>
      <c r="G391" s="74">
        <v>9</v>
      </c>
      <c r="H391" s="74"/>
      <c r="I391" s="63">
        <v>18</v>
      </c>
      <c r="J391" t="b">
        <f t="shared" si="48"/>
        <v>1</v>
      </c>
      <c r="K391" t="b">
        <f t="shared" si="49"/>
        <v>1</v>
      </c>
      <c r="M391" t="str">
        <f t="shared" si="50"/>
        <v> Casey Cizikas</v>
      </c>
      <c r="N391" t="str">
        <f t="shared" si="51"/>
        <v>NYI</v>
      </c>
      <c r="O391">
        <f t="shared" si="52"/>
        <v>18</v>
      </c>
      <c r="P391">
        <f>IF(M391="","",VLOOKUP(B391,'Team Stats'!$B$3:$K$18,5,0))</f>
        <v>656</v>
      </c>
      <c r="Q391">
        <f t="shared" si="53"/>
        <v>2.7439024390243903E-2</v>
      </c>
      <c r="R391">
        <f ca="1">IF(M391="","",VLOOKUP(N391,Sim!$EF$46:$EG$61,2,0))</f>
        <v>13.18</v>
      </c>
      <c r="S391">
        <f ca="1">IF(M391="","",VLOOKUP(N391,'Team Stats'!$B$3:$K$18,10,0))</f>
        <v>105.44</v>
      </c>
      <c r="T391" s="84">
        <f t="shared" ca="1" si="54"/>
        <v>2.893170731707317</v>
      </c>
      <c r="U391">
        <f t="shared" ca="1" si="55"/>
        <v>136</v>
      </c>
    </row>
    <row r="392" spans="1:21">
      <c r="A392" s="73" t="s">
        <v>716</v>
      </c>
      <c r="B392" s="73" t="s">
        <v>336</v>
      </c>
      <c r="C392" s="74">
        <v>59</v>
      </c>
      <c r="D392" s="74"/>
      <c r="E392" s="74">
        <v>4</v>
      </c>
      <c r="F392" s="74"/>
      <c r="G392" s="74">
        <v>14</v>
      </c>
      <c r="H392" s="74"/>
      <c r="I392" s="63">
        <v>18</v>
      </c>
      <c r="J392" t="b">
        <f t="shared" si="48"/>
        <v>0</v>
      </c>
      <c r="K392" t="b">
        <f t="shared" si="49"/>
        <v>0</v>
      </c>
      <c r="M392" t="str">
        <f t="shared" si="50"/>
        <v/>
      </c>
      <c r="N392" t="str">
        <f t="shared" si="51"/>
        <v/>
      </c>
      <c r="O392" t="str">
        <f t="shared" si="52"/>
        <v/>
      </c>
      <c r="P392" t="str">
        <f>IF(M392="","",VLOOKUP(B392,'Team Stats'!$B$3:$K$18,5,0))</f>
        <v/>
      </c>
      <c r="Q392" t="str">
        <f t="shared" si="53"/>
        <v/>
      </c>
      <c r="R392" t="str">
        <f>IF(M392="","",VLOOKUP(N392,Sim!$EF$46:$EG$61,2,0))</f>
        <v/>
      </c>
      <c r="S392" t="str">
        <f>IF(M392="","",VLOOKUP(N392,'Team Stats'!$B$3:$K$18,10,0))</f>
        <v/>
      </c>
      <c r="T392" s="84" t="str">
        <f t="shared" si="54"/>
        <v/>
      </c>
      <c r="U392" t="str">
        <f t="shared" si="55"/>
        <v/>
      </c>
    </row>
    <row r="393" spans="1:21">
      <c r="A393" s="73" t="s">
        <v>717</v>
      </c>
      <c r="B393" s="73" t="s">
        <v>209</v>
      </c>
      <c r="C393" s="74">
        <v>63</v>
      </c>
      <c r="D393" s="74"/>
      <c r="E393" s="74">
        <v>3</v>
      </c>
      <c r="F393" s="74"/>
      <c r="G393" s="74">
        <v>15</v>
      </c>
      <c r="H393" s="74"/>
      <c r="I393" s="63">
        <v>18</v>
      </c>
      <c r="J393" t="b">
        <f t="shared" si="48"/>
        <v>1</v>
      </c>
      <c r="K393" t="b">
        <f t="shared" si="49"/>
        <v>1</v>
      </c>
      <c r="M393" t="str">
        <f t="shared" si="50"/>
        <v> Tomas Jurco</v>
      </c>
      <c r="N393" t="str">
        <f t="shared" si="51"/>
        <v>DET</v>
      </c>
      <c r="O393">
        <f t="shared" si="52"/>
        <v>18</v>
      </c>
      <c r="P393">
        <f>IF(M393="","",VLOOKUP(B393,'Team Stats'!$B$3:$K$18,5,0))</f>
        <v>630</v>
      </c>
      <c r="Q393">
        <f t="shared" si="53"/>
        <v>2.8571428571428571E-2</v>
      </c>
      <c r="R393">
        <f ca="1">IF(M393="","",VLOOKUP(N393,Sim!$EF$46:$EG$61,2,0))</f>
        <v>10.06</v>
      </c>
      <c r="S393">
        <f ca="1">IF(M393="","",VLOOKUP(N393,'Team Stats'!$B$3:$K$18,10,0))</f>
        <v>77.29024390243903</v>
      </c>
      <c r="T393" s="84">
        <f t="shared" ca="1" si="54"/>
        <v>2.2082926829268295</v>
      </c>
      <c r="U393">
        <f t="shared" ca="1" si="55"/>
        <v>158</v>
      </c>
    </row>
    <row r="394" spans="1:21">
      <c r="A394" s="73" t="s">
        <v>718</v>
      </c>
      <c r="B394" s="73" t="s">
        <v>209</v>
      </c>
      <c r="C394" s="74">
        <v>73</v>
      </c>
      <c r="D394" s="74"/>
      <c r="E394" s="74">
        <v>3</v>
      </c>
      <c r="F394" s="74"/>
      <c r="G394" s="74">
        <v>15</v>
      </c>
      <c r="H394" s="74"/>
      <c r="I394" s="63">
        <v>18</v>
      </c>
      <c r="J394" t="b">
        <f t="shared" si="48"/>
        <v>1</v>
      </c>
      <c r="K394" t="b">
        <f t="shared" si="49"/>
        <v>1</v>
      </c>
      <c r="M394" t="str">
        <f t="shared" si="50"/>
        <v> Kyle Quincey</v>
      </c>
      <c r="N394" t="str">
        <f t="shared" si="51"/>
        <v>DET</v>
      </c>
      <c r="O394">
        <f t="shared" si="52"/>
        <v>18</v>
      </c>
      <c r="P394">
        <f>IF(M394="","",VLOOKUP(B394,'Team Stats'!$B$3:$K$18,5,0))</f>
        <v>630</v>
      </c>
      <c r="Q394">
        <f t="shared" si="53"/>
        <v>2.8571428571428571E-2</v>
      </c>
      <c r="R394">
        <f ca="1">IF(M394="","",VLOOKUP(N394,Sim!$EF$46:$EG$61,2,0))</f>
        <v>10.06</v>
      </c>
      <c r="S394">
        <f ca="1">IF(M394="","",VLOOKUP(N394,'Team Stats'!$B$3:$K$18,10,0))</f>
        <v>77.29024390243903</v>
      </c>
      <c r="T394" s="84">
        <f t="shared" ca="1" si="54"/>
        <v>2.2082926829268295</v>
      </c>
      <c r="U394">
        <f t="shared" ca="1" si="55"/>
        <v>158</v>
      </c>
    </row>
    <row r="395" spans="1:21">
      <c r="A395" s="73" t="s">
        <v>719</v>
      </c>
      <c r="B395" s="73" t="s">
        <v>365</v>
      </c>
      <c r="C395" s="74">
        <v>80</v>
      </c>
      <c r="D395" s="74"/>
      <c r="E395" s="74">
        <v>7</v>
      </c>
      <c r="F395" s="74"/>
      <c r="G395" s="74">
        <v>11</v>
      </c>
      <c r="H395" s="74"/>
      <c r="I395" s="63">
        <v>18</v>
      </c>
      <c r="J395" t="b">
        <f t="shared" si="48"/>
        <v>0</v>
      </c>
      <c r="K395" t="b">
        <f t="shared" si="49"/>
        <v>0</v>
      </c>
      <c r="M395" t="str">
        <f t="shared" si="50"/>
        <v/>
      </c>
      <c r="N395" t="str">
        <f t="shared" si="51"/>
        <v/>
      </c>
      <c r="O395" t="str">
        <f t="shared" si="52"/>
        <v/>
      </c>
      <c r="P395" t="str">
        <f>IF(M395="","",VLOOKUP(B395,'Team Stats'!$B$3:$K$18,5,0))</f>
        <v/>
      </c>
      <c r="Q395" t="str">
        <f t="shared" si="53"/>
        <v/>
      </c>
      <c r="R395" t="str">
        <f>IF(M395="","",VLOOKUP(N395,Sim!$EF$46:$EG$61,2,0))</f>
        <v/>
      </c>
      <c r="S395" t="str">
        <f>IF(M395="","",VLOOKUP(N395,'Team Stats'!$B$3:$K$18,10,0))</f>
        <v/>
      </c>
      <c r="T395" s="84" t="str">
        <f t="shared" si="54"/>
        <v/>
      </c>
      <c r="U395" t="str">
        <f t="shared" si="55"/>
        <v/>
      </c>
    </row>
    <row r="396" spans="1:21">
      <c r="A396" s="73" t="s">
        <v>720</v>
      </c>
      <c r="B396" s="73" t="s">
        <v>200</v>
      </c>
      <c r="C396" s="74">
        <v>54</v>
      </c>
      <c r="D396" s="74"/>
      <c r="E396" s="74">
        <v>13</v>
      </c>
      <c r="F396" s="74"/>
      <c r="G396" s="74">
        <v>5</v>
      </c>
      <c r="H396" s="74"/>
      <c r="I396" s="63">
        <v>18</v>
      </c>
      <c r="J396" t="b">
        <f t="shared" si="48"/>
        <v>1</v>
      </c>
      <c r="K396" t="b">
        <f t="shared" si="49"/>
        <v>1</v>
      </c>
      <c r="M396" t="str">
        <f t="shared" si="50"/>
        <v> Dmitrij Jaskin</v>
      </c>
      <c r="N396" t="str">
        <f t="shared" si="51"/>
        <v>STL</v>
      </c>
      <c r="O396">
        <f t="shared" si="52"/>
        <v>18</v>
      </c>
      <c r="P396">
        <f>IF(M396="","",VLOOKUP(B396,'Team Stats'!$B$3:$K$18,5,0))</f>
        <v>660</v>
      </c>
      <c r="Q396">
        <f t="shared" si="53"/>
        <v>2.7272727272727271E-2</v>
      </c>
      <c r="R396">
        <f ca="1">IF(M396="","",VLOOKUP(N396,Sim!$EF$46:$EG$61,2,0))</f>
        <v>10.87</v>
      </c>
      <c r="S396">
        <f ca="1">IF(M396="","",VLOOKUP(N396,'Team Stats'!$B$3:$K$18,10,0))</f>
        <v>87.490243902439019</v>
      </c>
      <c r="T396" s="84">
        <f t="shared" ca="1" si="54"/>
        <v>2.3860975609756094</v>
      </c>
      <c r="U396">
        <f t="shared" ca="1" si="55"/>
        <v>153</v>
      </c>
    </row>
    <row r="397" spans="1:21">
      <c r="A397" s="73" t="s">
        <v>721</v>
      </c>
      <c r="B397" s="73" t="s">
        <v>345</v>
      </c>
      <c r="C397" s="74">
        <v>82</v>
      </c>
      <c r="D397" s="74"/>
      <c r="E397" s="74">
        <v>4</v>
      </c>
      <c r="F397" s="74"/>
      <c r="G397" s="74">
        <v>14</v>
      </c>
      <c r="H397" s="74"/>
      <c r="I397" s="63">
        <v>18</v>
      </c>
      <c r="J397" t="b">
        <f t="shared" si="48"/>
        <v>0</v>
      </c>
      <c r="K397" t="b">
        <f t="shared" si="49"/>
        <v>0</v>
      </c>
      <c r="M397" t="str">
        <f t="shared" si="50"/>
        <v/>
      </c>
      <c r="N397" t="str">
        <f t="shared" si="51"/>
        <v/>
      </c>
      <c r="O397" t="str">
        <f t="shared" si="52"/>
        <v/>
      </c>
      <c r="P397" t="str">
        <f>IF(M397="","",VLOOKUP(B397,'Team Stats'!$B$3:$K$18,5,0))</f>
        <v/>
      </c>
      <c r="Q397" t="str">
        <f t="shared" si="53"/>
        <v/>
      </c>
      <c r="R397" t="str">
        <f>IF(M397="","",VLOOKUP(N397,Sim!$EF$46:$EG$61,2,0))</f>
        <v/>
      </c>
      <c r="S397" t="str">
        <f>IF(M397="","",VLOOKUP(N397,'Team Stats'!$B$3:$K$18,10,0))</f>
        <v/>
      </c>
      <c r="T397" s="84" t="str">
        <f t="shared" si="54"/>
        <v/>
      </c>
      <c r="U397" t="str">
        <f t="shared" si="55"/>
        <v/>
      </c>
    </row>
    <row r="398" spans="1:21">
      <c r="A398" s="73" t="s">
        <v>722</v>
      </c>
      <c r="B398" s="73" t="s">
        <v>357</v>
      </c>
      <c r="C398" s="74">
        <v>73</v>
      </c>
      <c r="D398" s="74"/>
      <c r="E398" s="74">
        <v>6</v>
      </c>
      <c r="F398" s="74"/>
      <c r="G398" s="74">
        <v>11</v>
      </c>
      <c r="H398" s="74"/>
      <c r="I398" s="63">
        <v>17</v>
      </c>
      <c r="J398" t="b">
        <f t="shared" si="48"/>
        <v>0</v>
      </c>
      <c r="K398" t="b">
        <f t="shared" si="49"/>
        <v>0</v>
      </c>
      <c r="M398" t="str">
        <f t="shared" si="50"/>
        <v/>
      </c>
      <c r="N398" t="str">
        <f t="shared" si="51"/>
        <v/>
      </c>
      <c r="O398" t="str">
        <f t="shared" si="52"/>
        <v/>
      </c>
      <c r="P398" t="str">
        <f>IF(M398="","",VLOOKUP(B398,'Team Stats'!$B$3:$K$18,5,0))</f>
        <v/>
      </c>
      <c r="Q398" t="str">
        <f t="shared" si="53"/>
        <v/>
      </c>
      <c r="R398" t="str">
        <f>IF(M398="","",VLOOKUP(N398,Sim!$EF$46:$EG$61,2,0))</f>
        <v/>
      </c>
      <c r="S398" t="str">
        <f>IF(M398="","",VLOOKUP(N398,'Team Stats'!$B$3:$K$18,10,0))</f>
        <v/>
      </c>
      <c r="T398" s="84" t="str">
        <f t="shared" si="54"/>
        <v/>
      </c>
      <c r="U398" t="str">
        <f t="shared" si="55"/>
        <v/>
      </c>
    </row>
    <row r="399" spans="1:21">
      <c r="A399" s="73" t="s">
        <v>723</v>
      </c>
      <c r="B399" s="73" t="s">
        <v>198</v>
      </c>
      <c r="C399" s="74">
        <v>74</v>
      </c>
      <c r="D399" s="74"/>
      <c r="E399" s="74">
        <v>5</v>
      </c>
      <c r="F399" s="74"/>
      <c r="G399" s="74">
        <v>12</v>
      </c>
      <c r="H399" s="74"/>
      <c r="I399" s="63">
        <v>17</v>
      </c>
      <c r="J399" t="b">
        <f t="shared" si="48"/>
        <v>1</v>
      </c>
      <c r="K399" t="b">
        <f t="shared" si="49"/>
        <v>1</v>
      </c>
      <c r="M399" t="str">
        <f t="shared" si="50"/>
        <v> Ian Cole</v>
      </c>
      <c r="N399" t="str">
        <f t="shared" si="51"/>
        <v>PIT</v>
      </c>
      <c r="O399">
        <f t="shared" si="52"/>
        <v>17</v>
      </c>
      <c r="P399">
        <f>IF(M399="","",VLOOKUP(B399,'Team Stats'!$B$3:$K$18,5,0))</f>
        <v>600</v>
      </c>
      <c r="Q399">
        <f t="shared" si="53"/>
        <v>2.8333333333333332E-2</v>
      </c>
      <c r="R399">
        <f ca="1">IF(M399="","",VLOOKUP(N399,Sim!$EF$46:$EG$61,2,0))</f>
        <v>9.74</v>
      </c>
      <c r="S399">
        <f ca="1">IF(M399="","",VLOOKUP(N399,'Team Stats'!$B$3:$K$18,10,0))</f>
        <v>71.268292682926827</v>
      </c>
      <c r="T399" s="84">
        <f t="shared" ca="1" si="54"/>
        <v>2.0192682926829266</v>
      </c>
      <c r="U399">
        <f t="shared" ca="1" si="55"/>
        <v>167</v>
      </c>
    </row>
    <row r="400" spans="1:21">
      <c r="A400" s="73" t="s">
        <v>724</v>
      </c>
      <c r="B400" s="73" t="s">
        <v>220</v>
      </c>
      <c r="C400" s="74">
        <v>51</v>
      </c>
      <c r="D400" s="74"/>
      <c r="E400" s="74">
        <v>5</v>
      </c>
      <c r="F400" s="74"/>
      <c r="G400" s="74">
        <v>12</v>
      </c>
      <c r="H400" s="74"/>
      <c r="I400" s="63">
        <v>17</v>
      </c>
      <c r="J400" t="b">
        <f t="shared" si="48"/>
        <v>0</v>
      </c>
      <c r="K400" t="b">
        <f t="shared" si="49"/>
        <v>0</v>
      </c>
      <c r="M400" t="str">
        <f t="shared" si="50"/>
        <v/>
      </c>
      <c r="N400" t="str">
        <f t="shared" si="51"/>
        <v/>
      </c>
      <c r="O400" t="str">
        <f t="shared" si="52"/>
        <v/>
      </c>
      <c r="P400" t="str">
        <f>IF(M400="","",VLOOKUP(B400,'Team Stats'!$B$3:$K$18,5,0))</f>
        <v/>
      </c>
      <c r="Q400" t="str">
        <f t="shared" si="53"/>
        <v/>
      </c>
      <c r="R400" t="str">
        <f>IF(M400="","",VLOOKUP(N400,Sim!$EF$46:$EG$61,2,0))</f>
        <v/>
      </c>
      <c r="S400" t="str">
        <f>IF(M400="","",VLOOKUP(N400,'Team Stats'!$B$3:$K$18,10,0))</f>
        <v/>
      </c>
      <c r="T400" s="84" t="str">
        <f t="shared" si="54"/>
        <v/>
      </c>
      <c r="U400" t="str">
        <f t="shared" si="55"/>
        <v/>
      </c>
    </row>
    <row r="401" spans="1:21">
      <c r="A401" s="73" t="s">
        <v>725</v>
      </c>
      <c r="B401" s="73" t="s">
        <v>217</v>
      </c>
      <c r="C401" s="74">
        <v>55</v>
      </c>
      <c r="D401" s="74"/>
      <c r="E401" s="74">
        <v>12</v>
      </c>
      <c r="F401" s="74"/>
      <c r="G401" s="74">
        <v>5</v>
      </c>
      <c r="H401" s="74"/>
      <c r="I401" s="63">
        <v>17</v>
      </c>
      <c r="J401" t="b">
        <f t="shared" si="48"/>
        <v>0</v>
      </c>
      <c r="K401" t="b">
        <f t="shared" si="49"/>
        <v>0</v>
      </c>
      <c r="M401" t="str">
        <f t="shared" si="50"/>
        <v/>
      </c>
      <c r="N401" t="str">
        <f t="shared" si="51"/>
        <v/>
      </c>
      <c r="O401" t="str">
        <f t="shared" si="52"/>
        <v/>
      </c>
      <c r="P401" t="str">
        <f>IF(M401="","",VLOOKUP(B401,'Team Stats'!$B$3:$K$18,5,0))</f>
        <v/>
      </c>
      <c r="Q401" t="str">
        <f t="shared" si="53"/>
        <v/>
      </c>
      <c r="R401" t="str">
        <f>IF(M401="","",VLOOKUP(N401,Sim!$EF$46:$EG$61,2,0))</f>
        <v/>
      </c>
      <c r="S401" t="str">
        <f>IF(M401="","",VLOOKUP(N401,'Team Stats'!$B$3:$K$18,10,0))</f>
        <v/>
      </c>
      <c r="T401" s="84" t="str">
        <f t="shared" si="54"/>
        <v/>
      </c>
      <c r="U401" t="str">
        <f t="shared" si="55"/>
        <v/>
      </c>
    </row>
    <row r="402" spans="1:21">
      <c r="A402" s="73" t="s">
        <v>726</v>
      </c>
      <c r="B402" s="73" t="s">
        <v>345</v>
      </c>
      <c r="C402" s="74">
        <v>63</v>
      </c>
      <c r="D402" s="74"/>
      <c r="E402" s="74">
        <v>5</v>
      </c>
      <c r="F402" s="74"/>
      <c r="G402" s="74">
        <v>12</v>
      </c>
      <c r="H402" s="74"/>
      <c r="I402" s="63">
        <v>17</v>
      </c>
      <c r="J402" t="b">
        <f t="shared" si="48"/>
        <v>0</v>
      </c>
      <c r="K402" t="b">
        <f t="shared" si="49"/>
        <v>0</v>
      </c>
      <c r="M402" t="str">
        <f t="shared" si="50"/>
        <v/>
      </c>
      <c r="N402" t="str">
        <f t="shared" si="51"/>
        <v/>
      </c>
      <c r="O402" t="str">
        <f t="shared" si="52"/>
        <v/>
      </c>
      <c r="P402" t="str">
        <f>IF(M402="","",VLOOKUP(B402,'Team Stats'!$B$3:$K$18,5,0))</f>
        <v/>
      </c>
      <c r="Q402" t="str">
        <f t="shared" si="53"/>
        <v/>
      </c>
      <c r="R402" t="str">
        <f>IF(M402="","",VLOOKUP(N402,Sim!$EF$46:$EG$61,2,0))</f>
        <v/>
      </c>
      <c r="S402" t="str">
        <f>IF(M402="","",VLOOKUP(N402,'Team Stats'!$B$3:$K$18,10,0))</f>
        <v/>
      </c>
      <c r="T402" s="84" t="str">
        <f t="shared" si="54"/>
        <v/>
      </c>
      <c r="U402" t="str">
        <f t="shared" si="55"/>
        <v/>
      </c>
    </row>
    <row r="403" spans="1:21">
      <c r="A403" s="73" t="s">
        <v>727</v>
      </c>
      <c r="B403" s="73" t="s">
        <v>325</v>
      </c>
      <c r="C403" s="74">
        <v>67</v>
      </c>
      <c r="D403" s="74"/>
      <c r="E403" s="74">
        <v>4</v>
      </c>
      <c r="F403" s="74"/>
      <c r="G403" s="74">
        <v>13</v>
      </c>
      <c r="H403" s="74"/>
      <c r="I403" s="63">
        <v>17</v>
      </c>
      <c r="J403" t="b">
        <f t="shared" si="48"/>
        <v>0</v>
      </c>
      <c r="K403" t="b">
        <f t="shared" si="49"/>
        <v>0</v>
      </c>
      <c r="M403" t="str">
        <f t="shared" si="50"/>
        <v/>
      </c>
      <c r="N403" t="str">
        <f t="shared" si="51"/>
        <v/>
      </c>
      <c r="O403" t="str">
        <f t="shared" si="52"/>
        <v/>
      </c>
      <c r="P403" t="str">
        <f>IF(M403="","",VLOOKUP(B403,'Team Stats'!$B$3:$K$18,5,0))</f>
        <v/>
      </c>
      <c r="Q403" t="str">
        <f t="shared" si="53"/>
        <v/>
      </c>
      <c r="R403" t="str">
        <f>IF(M403="","",VLOOKUP(N403,Sim!$EF$46:$EG$61,2,0))</f>
        <v/>
      </c>
      <c r="S403" t="str">
        <f>IF(M403="","",VLOOKUP(N403,'Team Stats'!$B$3:$K$18,10,0))</f>
        <v/>
      </c>
      <c r="T403" s="84" t="str">
        <f t="shared" si="54"/>
        <v/>
      </c>
      <c r="U403" t="str">
        <f t="shared" si="55"/>
        <v/>
      </c>
    </row>
    <row r="404" spans="1:21">
      <c r="A404" s="73" t="s">
        <v>728</v>
      </c>
      <c r="B404" s="73" t="s">
        <v>213</v>
      </c>
      <c r="C404" s="74">
        <v>76</v>
      </c>
      <c r="D404" s="74"/>
      <c r="E404" s="74">
        <v>11</v>
      </c>
      <c r="F404" s="74"/>
      <c r="G404" s="74">
        <v>6</v>
      </c>
      <c r="H404" s="74"/>
      <c r="I404" s="63">
        <v>17</v>
      </c>
      <c r="J404" t="b">
        <f t="shared" si="48"/>
        <v>0</v>
      </c>
      <c r="K404" t="b">
        <f t="shared" si="49"/>
        <v>0</v>
      </c>
      <c r="M404" t="str">
        <f t="shared" si="50"/>
        <v/>
      </c>
      <c r="N404" t="str">
        <f t="shared" si="51"/>
        <v/>
      </c>
      <c r="O404" t="str">
        <f t="shared" si="52"/>
        <v/>
      </c>
      <c r="P404" t="str">
        <f>IF(M404="","",VLOOKUP(B404,'Team Stats'!$B$3:$K$18,5,0))</f>
        <v/>
      </c>
      <c r="Q404" t="str">
        <f t="shared" si="53"/>
        <v/>
      </c>
      <c r="R404" t="str">
        <f>IF(M404="","",VLOOKUP(N404,Sim!$EF$46:$EG$61,2,0))</f>
        <v/>
      </c>
      <c r="S404" t="str">
        <f>IF(M404="","",VLOOKUP(N404,'Team Stats'!$B$3:$K$18,10,0))</f>
        <v/>
      </c>
      <c r="T404" s="84" t="str">
        <f t="shared" si="54"/>
        <v/>
      </c>
      <c r="U404" t="str">
        <f t="shared" si="55"/>
        <v/>
      </c>
    </row>
    <row r="405" spans="1:21">
      <c r="A405" s="73" t="s">
        <v>729</v>
      </c>
      <c r="B405" s="73" t="s">
        <v>208</v>
      </c>
      <c r="C405" s="74">
        <v>59</v>
      </c>
      <c r="D405" s="74"/>
      <c r="E405" s="74">
        <v>7</v>
      </c>
      <c r="F405" s="74"/>
      <c r="G405" s="74">
        <v>10</v>
      </c>
      <c r="H405" s="74"/>
      <c r="I405" s="63">
        <v>17</v>
      </c>
      <c r="J405" t="b">
        <f t="shared" si="48"/>
        <v>0</v>
      </c>
      <c r="K405" t="b">
        <f t="shared" si="49"/>
        <v>0</v>
      </c>
      <c r="M405" t="str">
        <f t="shared" si="50"/>
        <v/>
      </c>
      <c r="N405" t="str">
        <f t="shared" si="51"/>
        <v/>
      </c>
      <c r="O405" t="str">
        <f t="shared" si="52"/>
        <v/>
      </c>
      <c r="P405" t="str">
        <f>IF(M405="","",VLOOKUP(B405,'Team Stats'!$B$3:$K$18,5,0))</f>
        <v/>
      </c>
      <c r="Q405" t="str">
        <f t="shared" si="53"/>
        <v/>
      </c>
      <c r="R405" t="str">
        <f>IF(M405="","",VLOOKUP(N405,Sim!$EF$46:$EG$61,2,0))</f>
        <v/>
      </c>
      <c r="S405" t="str">
        <f>IF(M405="","",VLOOKUP(N405,'Team Stats'!$B$3:$K$18,10,0))</f>
        <v/>
      </c>
      <c r="T405" s="84" t="str">
        <f t="shared" si="54"/>
        <v/>
      </c>
      <c r="U405" t="str">
        <f t="shared" si="55"/>
        <v/>
      </c>
    </row>
    <row r="406" spans="1:21">
      <c r="A406" s="73" t="s">
        <v>730</v>
      </c>
      <c r="B406" s="73" t="s">
        <v>331</v>
      </c>
      <c r="C406" s="74">
        <v>31</v>
      </c>
      <c r="D406" s="74"/>
      <c r="E406" s="74">
        <v>9</v>
      </c>
      <c r="F406" s="74"/>
      <c r="G406" s="74">
        <v>8</v>
      </c>
      <c r="H406" s="74"/>
      <c r="I406" s="63">
        <v>17</v>
      </c>
      <c r="J406" t="b">
        <f t="shared" si="48"/>
        <v>0</v>
      </c>
      <c r="K406" t="b">
        <f t="shared" si="49"/>
        <v>0</v>
      </c>
      <c r="M406" t="str">
        <f t="shared" si="50"/>
        <v/>
      </c>
      <c r="N406" t="str">
        <f t="shared" si="51"/>
        <v/>
      </c>
      <c r="O406" t="str">
        <f t="shared" si="52"/>
        <v/>
      </c>
      <c r="P406" t="str">
        <f>IF(M406="","",VLOOKUP(B406,'Team Stats'!$B$3:$K$18,5,0))</f>
        <v/>
      </c>
      <c r="Q406" t="str">
        <f t="shared" si="53"/>
        <v/>
      </c>
      <c r="R406" t="str">
        <f>IF(M406="","",VLOOKUP(N406,Sim!$EF$46:$EG$61,2,0))</f>
        <v/>
      </c>
      <c r="S406" t="str">
        <f>IF(M406="","",VLOOKUP(N406,'Team Stats'!$B$3:$K$18,10,0))</f>
        <v/>
      </c>
      <c r="T406" s="84" t="str">
        <f t="shared" si="54"/>
        <v/>
      </c>
      <c r="U406" t="str">
        <f t="shared" si="55"/>
        <v/>
      </c>
    </row>
    <row r="407" spans="1:21">
      <c r="A407" s="73" t="s">
        <v>731</v>
      </c>
      <c r="B407" s="73" t="s">
        <v>202</v>
      </c>
      <c r="C407" s="74">
        <v>81</v>
      </c>
      <c r="D407" s="74"/>
      <c r="E407" s="74">
        <v>7</v>
      </c>
      <c r="F407" s="74"/>
      <c r="G407" s="74">
        <v>10</v>
      </c>
      <c r="H407" s="74"/>
      <c r="I407" s="63">
        <v>17</v>
      </c>
      <c r="J407" t="b">
        <f t="shared" si="48"/>
        <v>1</v>
      </c>
      <c r="K407" t="b">
        <f t="shared" si="49"/>
        <v>1</v>
      </c>
      <c r="M407" t="str">
        <f t="shared" si="50"/>
        <v> Marcus Kruger</v>
      </c>
      <c r="N407" t="str">
        <f t="shared" si="51"/>
        <v>CHI</v>
      </c>
      <c r="O407">
        <f t="shared" si="52"/>
        <v>17</v>
      </c>
      <c r="P407">
        <f>IF(M407="","",VLOOKUP(B407,'Team Stats'!$B$3:$K$18,5,0))</f>
        <v>601</v>
      </c>
      <c r="Q407">
        <f t="shared" si="53"/>
        <v>2.8286189683860232E-2</v>
      </c>
      <c r="R407">
        <f ca="1">IF(M407="","",VLOOKUP(N407,Sim!$EF$46:$EG$61,2,0))</f>
        <v>9.14</v>
      </c>
      <c r="S407">
        <f ca="1">IF(M407="","",VLOOKUP(N407,'Team Stats'!$B$3:$K$18,10,0))</f>
        <v>66.989512195121961</v>
      </c>
      <c r="T407" s="84">
        <f t="shared" ca="1" si="54"/>
        <v>1.8948780487804879</v>
      </c>
      <c r="U407">
        <f t="shared" ca="1" si="55"/>
        <v>173</v>
      </c>
    </row>
    <row r="408" spans="1:21">
      <c r="A408" s="73" t="s">
        <v>732</v>
      </c>
      <c r="B408" s="73" t="s">
        <v>212</v>
      </c>
      <c r="C408" s="74">
        <v>71</v>
      </c>
      <c r="D408" s="74"/>
      <c r="E408" s="74">
        <v>3</v>
      </c>
      <c r="F408" s="74"/>
      <c r="G408" s="74">
        <v>14</v>
      </c>
      <c r="H408" s="74"/>
      <c r="I408" s="63">
        <v>17</v>
      </c>
      <c r="J408" t="b">
        <f t="shared" si="48"/>
        <v>1</v>
      </c>
      <c r="K408" t="b">
        <f t="shared" si="49"/>
        <v>1</v>
      </c>
      <c r="M408" t="str">
        <f t="shared" si="50"/>
        <v> Jonas Brodin</v>
      </c>
      <c r="N408" t="str">
        <f t="shared" si="51"/>
        <v>MIN</v>
      </c>
      <c r="O408">
        <f t="shared" si="52"/>
        <v>17</v>
      </c>
      <c r="P408">
        <f>IF(M408="","",VLOOKUP(B408,'Team Stats'!$B$3:$K$18,5,0))</f>
        <v>608</v>
      </c>
      <c r="Q408">
        <f t="shared" si="53"/>
        <v>2.7960526315789474E-2</v>
      </c>
      <c r="R408">
        <f ca="1">IF(M408="","",VLOOKUP(N408,Sim!$EF$46:$EG$61,2,0))</f>
        <v>11.71</v>
      </c>
      <c r="S408">
        <f ca="1">IF(M408="","",VLOOKUP(N408,'Team Stats'!$B$3:$K$18,10,0))</f>
        <v>86.825365853658553</v>
      </c>
      <c r="T408" s="84">
        <f t="shared" ca="1" si="54"/>
        <v>2.4276829268292688</v>
      </c>
      <c r="U408">
        <f t="shared" ca="1" si="55"/>
        <v>151</v>
      </c>
    </row>
    <row r="409" spans="1:21">
      <c r="A409" s="73" t="s">
        <v>733</v>
      </c>
      <c r="B409" s="73" t="s">
        <v>196</v>
      </c>
      <c r="C409" s="74">
        <v>76</v>
      </c>
      <c r="D409" s="74"/>
      <c r="E409" s="74">
        <v>7</v>
      </c>
      <c r="F409" s="74"/>
      <c r="G409" s="74">
        <v>9</v>
      </c>
      <c r="H409" s="74"/>
      <c r="I409" s="63">
        <v>16</v>
      </c>
      <c r="J409" t="b">
        <f t="shared" si="48"/>
        <v>1</v>
      </c>
      <c r="K409" t="b">
        <f t="shared" si="49"/>
        <v>1</v>
      </c>
      <c r="M409" t="str">
        <f t="shared" si="50"/>
        <v> Cal Clutterbuck</v>
      </c>
      <c r="N409" t="str">
        <f t="shared" si="51"/>
        <v>NYI</v>
      </c>
      <c r="O409">
        <f t="shared" si="52"/>
        <v>16</v>
      </c>
      <c r="P409">
        <f>IF(M409="","",VLOOKUP(B409,'Team Stats'!$B$3:$K$18,5,0))</f>
        <v>656</v>
      </c>
      <c r="Q409">
        <f t="shared" si="53"/>
        <v>2.4390243902439025E-2</v>
      </c>
      <c r="R409">
        <f ca="1">IF(M409="","",VLOOKUP(N409,Sim!$EF$46:$EG$61,2,0))</f>
        <v>13.18</v>
      </c>
      <c r="S409">
        <f ca="1">IF(M409="","",VLOOKUP(N409,'Team Stats'!$B$3:$K$18,10,0))</f>
        <v>105.44</v>
      </c>
      <c r="T409" s="84">
        <f t="shared" ca="1" si="54"/>
        <v>2.5717073170731708</v>
      </c>
      <c r="U409">
        <f t="shared" ca="1" si="55"/>
        <v>145</v>
      </c>
    </row>
    <row r="410" spans="1:21">
      <c r="A410" s="73" t="s">
        <v>734</v>
      </c>
      <c r="B410" s="73" t="s">
        <v>215</v>
      </c>
      <c r="C410" s="74">
        <v>71</v>
      </c>
      <c r="D410" s="74"/>
      <c r="E410" s="74">
        <v>8</v>
      </c>
      <c r="F410" s="74"/>
      <c r="G410" s="74">
        <v>8</v>
      </c>
      <c r="H410" s="74"/>
      <c r="I410" s="63">
        <v>16</v>
      </c>
      <c r="J410" t="b">
        <f t="shared" si="48"/>
        <v>0</v>
      </c>
      <c r="K410" t="b">
        <f t="shared" si="49"/>
        <v>0</v>
      </c>
      <c r="M410" t="str">
        <f t="shared" si="50"/>
        <v/>
      </c>
      <c r="N410" t="str">
        <f t="shared" si="51"/>
        <v/>
      </c>
      <c r="O410" t="str">
        <f t="shared" si="52"/>
        <v/>
      </c>
      <c r="P410" t="str">
        <f>IF(M410="","",VLOOKUP(B410,'Team Stats'!$B$3:$K$18,5,0))</f>
        <v/>
      </c>
      <c r="Q410" t="str">
        <f t="shared" si="53"/>
        <v/>
      </c>
      <c r="R410" t="str">
        <f>IF(M410="","",VLOOKUP(N410,Sim!$EF$46:$EG$61,2,0))</f>
        <v/>
      </c>
      <c r="S410" t="str">
        <f>IF(M410="","",VLOOKUP(N410,'Team Stats'!$B$3:$K$18,10,0))</f>
        <v/>
      </c>
      <c r="T410" s="84" t="str">
        <f t="shared" si="54"/>
        <v/>
      </c>
      <c r="U410" t="str">
        <f t="shared" si="55"/>
        <v/>
      </c>
    </row>
    <row r="411" spans="1:21">
      <c r="A411" s="73" t="s">
        <v>735</v>
      </c>
      <c r="B411" s="73" t="s">
        <v>365</v>
      </c>
      <c r="C411" s="74">
        <v>62</v>
      </c>
      <c r="D411" s="74"/>
      <c r="E411" s="74">
        <v>8</v>
      </c>
      <c r="F411" s="74"/>
      <c r="G411" s="74">
        <v>8</v>
      </c>
      <c r="H411" s="74"/>
      <c r="I411" s="63">
        <v>16</v>
      </c>
      <c r="J411" t="b">
        <f t="shared" si="48"/>
        <v>0</v>
      </c>
      <c r="K411" t="b">
        <f t="shared" si="49"/>
        <v>0</v>
      </c>
      <c r="M411" t="str">
        <f t="shared" si="50"/>
        <v/>
      </c>
      <c r="N411" t="str">
        <f t="shared" si="51"/>
        <v/>
      </c>
      <c r="O411" t="str">
        <f t="shared" si="52"/>
        <v/>
      </c>
      <c r="P411" t="str">
        <f>IF(M411="","",VLOOKUP(B411,'Team Stats'!$B$3:$K$18,5,0))</f>
        <v/>
      </c>
      <c r="Q411" t="str">
        <f t="shared" si="53"/>
        <v/>
      </c>
      <c r="R411" t="str">
        <f>IF(M411="","",VLOOKUP(N411,Sim!$EF$46:$EG$61,2,0))</f>
        <v/>
      </c>
      <c r="S411" t="str">
        <f>IF(M411="","",VLOOKUP(N411,'Team Stats'!$B$3:$K$18,10,0))</f>
        <v/>
      </c>
      <c r="T411" s="84" t="str">
        <f t="shared" si="54"/>
        <v/>
      </c>
      <c r="U411" t="str">
        <f t="shared" si="55"/>
        <v/>
      </c>
    </row>
    <row r="412" spans="1:21">
      <c r="A412" s="73" t="s">
        <v>736</v>
      </c>
      <c r="B412" s="73" t="s">
        <v>357</v>
      </c>
      <c r="C412" s="74">
        <v>53</v>
      </c>
      <c r="D412" s="74"/>
      <c r="E412" s="74">
        <v>5</v>
      </c>
      <c r="F412" s="74"/>
      <c r="G412" s="74">
        <v>11</v>
      </c>
      <c r="H412" s="74"/>
      <c r="I412" s="63">
        <v>16</v>
      </c>
      <c r="J412" t="b">
        <f t="shared" si="48"/>
        <v>0</v>
      </c>
      <c r="K412" t="b">
        <f t="shared" si="49"/>
        <v>0</v>
      </c>
      <c r="M412" t="str">
        <f t="shared" si="50"/>
        <v/>
      </c>
      <c r="N412" t="str">
        <f t="shared" si="51"/>
        <v/>
      </c>
      <c r="O412" t="str">
        <f t="shared" si="52"/>
        <v/>
      </c>
      <c r="P412" t="str">
        <f>IF(M412="","",VLOOKUP(B412,'Team Stats'!$B$3:$K$18,5,0))</f>
        <v/>
      </c>
      <c r="Q412" t="str">
        <f t="shared" si="53"/>
        <v/>
      </c>
      <c r="R412" t="str">
        <f>IF(M412="","",VLOOKUP(N412,Sim!$EF$46:$EG$61,2,0))</f>
        <v/>
      </c>
      <c r="S412" t="str">
        <f>IF(M412="","",VLOOKUP(N412,'Team Stats'!$B$3:$K$18,10,0))</f>
        <v/>
      </c>
      <c r="T412" s="84" t="str">
        <f t="shared" si="54"/>
        <v/>
      </c>
      <c r="U412" t="str">
        <f t="shared" si="55"/>
        <v/>
      </c>
    </row>
    <row r="413" spans="1:21">
      <c r="A413" s="73" t="s">
        <v>737</v>
      </c>
      <c r="B413" s="73" t="s">
        <v>204</v>
      </c>
      <c r="C413" s="74">
        <v>73</v>
      </c>
      <c r="D413" s="74"/>
      <c r="E413" s="74">
        <v>2</v>
      </c>
      <c r="F413" s="74"/>
      <c r="G413" s="74">
        <v>14</v>
      </c>
      <c r="H413" s="74"/>
      <c r="I413" s="63">
        <v>16</v>
      </c>
      <c r="J413" t="b">
        <f t="shared" si="48"/>
        <v>0</v>
      </c>
      <c r="K413" t="b">
        <f t="shared" si="49"/>
        <v>0</v>
      </c>
      <c r="M413" t="str">
        <f t="shared" si="50"/>
        <v/>
      </c>
      <c r="N413" t="str">
        <f t="shared" si="51"/>
        <v/>
      </c>
      <c r="O413" t="str">
        <f t="shared" si="52"/>
        <v/>
      </c>
      <c r="P413" t="str">
        <f>IF(M413="","",VLOOKUP(B413,'Team Stats'!$B$3:$K$18,5,0))</f>
        <v/>
      </c>
      <c r="Q413" t="str">
        <f t="shared" si="53"/>
        <v/>
      </c>
      <c r="R413" t="str">
        <f>IF(M413="","",VLOOKUP(N413,Sim!$EF$46:$EG$61,2,0))</f>
        <v/>
      </c>
      <c r="S413" t="str">
        <f>IF(M413="","",VLOOKUP(N413,'Team Stats'!$B$3:$K$18,10,0))</f>
        <v/>
      </c>
      <c r="T413" s="84" t="str">
        <f t="shared" si="54"/>
        <v/>
      </c>
      <c r="U413" t="str">
        <f t="shared" si="55"/>
        <v/>
      </c>
    </row>
    <row r="414" spans="1:21">
      <c r="A414" s="73" t="s">
        <v>738</v>
      </c>
      <c r="B414" s="73" t="s">
        <v>206</v>
      </c>
      <c r="C414" s="74">
        <v>42</v>
      </c>
      <c r="D414" s="74"/>
      <c r="E414" s="74">
        <v>10</v>
      </c>
      <c r="F414" s="74"/>
      <c r="G414" s="74">
        <v>6</v>
      </c>
      <c r="H414" s="74"/>
      <c r="I414" s="63">
        <v>16</v>
      </c>
      <c r="J414" t="b">
        <f t="shared" si="48"/>
        <v>1</v>
      </c>
      <c r="K414" t="b">
        <f t="shared" si="49"/>
        <v>1</v>
      </c>
      <c r="M414" t="str">
        <f t="shared" si="50"/>
        <v> Zack Kassian</v>
      </c>
      <c r="N414" t="str">
        <f t="shared" si="51"/>
        <v>VAN</v>
      </c>
      <c r="O414">
        <f t="shared" si="52"/>
        <v>16</v>
      </c>
      <c r="P414">
        <f>IF(M414="","",VLOOKUP(B414,'Team Stats'!$B$3:$K$18,5,0))</f>
        <v>642</v>
      </c>
      <c r="Q414">
        <f t="shared" si="53"/>
        <v>2.4922118380062305E-2</v>
      </c>
      <c r="R414">
        <f ca="1">IF(M414="","",VLOOKUP(N414,Sim!$EF$46:$EG$61,2,0))</f>
        <v>10.35</v>
      </c>
      <c r="S414">
        <f ca="1">IF(M414="","",VLOOKUP(N414,'Team Stats'!$B$3:$K$18,10,0))</f>
        <v>81.032926829268291</v>
      </c>
      <c r="T414" s="84">
        <f t="shared" ca="1" si="54"/>
        <v>2.0195121951219512</v>
      </c>
      <c r="U414">
        <f t="shared" ca="1" si="55"/>
        <v>166</v>
      </c>
    </row>
    <row r="415" spans="1:21" ht="30">
      <c r="A415" s="73" t="s">
        <v>739</v>
      </c>
      <c r="B415" s="73" t="s">
        <v>336</v>
      </c>
      <c r="C415" s="74">
        <v>43</v>
      </c>
      <c r="D415" s="74"/>
      <c r="E415" s="74">
        <v>9</v>
      </c>
      <c r="F415" s="74"/>
      <c r="G415" s="74">
        <v>7</v>
      </c>
      <c r="H415" s="74"/>
      <c r="I415" s="63">
        <v>16</v>
      </c>
      <c r="J415" t="b">
        <f t="shared" si="48"/>
        <v>0</v>
      </c>
      <c r="K415" t="b">
        <f t="shared" si="49"/>
        <v>0</v>
      </c>
      <c r="M415" t="str">
        <f t="shared" si="50"/>
        <v/>
      </c>
      <c r="N415" t="str">
        <f t="shared" si="51"/>
        <v/>
      </c>
      <c r="O415" t="str">
        <f t="shared" si="52"/>
        <v/>
      </c>
      <c r="P415" t="str">
        <f>IF(M415="","",VLOOKUP(B415,'Team Stats'!$B$3:$K$18,5,0))</f>
        <v/>
      </c>
      <c r="Q415" t="str">
        <f t="shared" si="53"/>
        <v/>
      </c>
      <c r="R415" t="str">
        <f>IF(M415="","",VLOOKUP(N415,Sim!$EF$46:$EG$61,2,0))</f>
        <v/>
      </c>
      <c r="S415" t="str">
        <f>IF(M415="","",VLOOKUP(N415,'Team Stats'!$B$3:$K$18,10,0))</f>
        <v/>
      </c>
      <c r="T415" s="84" t="str">
        <f t="shared" si="54"/>
        <v/>
      </c>
      <c r="U415" t="str">
        <f t="shared" si="55"/>
        <v/>
      </c>
    </row>
    <row r="416" spans="1:21">
      <c r="A416" s="73" t="s">
        <v>740</v>
      </c>
      <c r="B416" s="73" t="s">
        <v>221</v>
      </c>
      <c r="C416" s="74">
        <v>39</v>
      </c>
      <c r="D416" s="74"/>
      <c r="E416" s="74">
        <v>6</v>
      </c>
      <c r="F416" s="74"/>
      <c r="G416" s="74">
        <v>10</v>
      </c>
      <c r="H416" s="74"/>
      <c r="I416" s="63">
        <v>16</v>
      </c>
      <c r="J416" t="b">
        <f t="shared" si="48"/>
        <v>0</v>
      </c>
      <c r="K416" t="b">
        <f t="shared" si="49"/>
        <v>0</v>
      </c>
      <c r="M416" t="str">
        <f t="shared" si="50"/>
        <v/>
      </c>
      <c r="N416" t="str">
        <f t="shared" si="51"/>
        <v/>
      </c>
      <c r="O416" t="str">
        <f t="shared" si="52"/>
        <v/>
      </c>
      <c r="P416" t="str">
        <f>IF(M416="","",VLOOKUP(B416,'Team Stats'!$B$3:$K$18,5,0))</f>
        <v/>
      </c>
      <c r="Q416" t="str">
        <f t="shared" si="53"/>
        <v/>
      </c>
      <c r="R416" t="str">
        <f>IF(M416="","",VLOOKUP(N416,Sim!$EF$46:$EG$61,2,0))</f>
        <v/>
      </c>
      <c r="S416" t="str">
        <f>IF(M416="","",VLOOKUP(N416,'Team Stats'!$B$3:$K$18,10,0))</f>
        <v/>
      </c>
      <c r="T416" s="84" t="str">
        <f t="shared" si="54"/>
        <v/>
      </c>
      <c r="U416" t="str">
        <f t="shared" si="55"/>
        <v/>
      </c>
    </row>
    <row r="417" spans="1:21">
      <c r="A417" s="73" t="s">
        <v>741</v>
      </c>
      <c r="B417" s="73" t="s">
        <v>357</v>
      </c>
      <c r="C417" s="74">
        <v>42</v>
      </c>
      <c r="D417" s="74"/>
      <c r="E417" s="74">
        <v>12</v>
      </c>
      <c r="F417" s="74"/>
      <c r="G417" s="74">
        <v>4</v>
      </c>
      <c r="H417" s="74"/>
      <c r="I417" s="63">
        <v>16</v>
      </c>
      <c r="J417" t="b">
        <f t="shared" si="48"/>
        <v>0</v>
      </c>
      <c r="K417" t="b">
        <f t="shared" si="49"/>
        <v>0</v>
      </c>
      <c r="M417" t="str">
        <f t="shared" si="50"/>
        <v/>
      </c>
      <c r="N417" t="str">
        <f t="shared" si="51"/>
        <v/>
      </c>
      <c r="O417" t="str">
        <f t="shared" si="52"/>
        <v/>
      </c>
      <c r="P417" t="str">
        <f>IF(M417="","",VLOOKUP(B417,'Team Stats'!$B$3:$K$18,5,0))</f>
        <v/>
      </c>
      <c r="Q417" t="str">
        <f t="shared" si="53"/>
        <v/>
      </c>
      <c r="R417" t="str">
        <f>IF(M417="","",VLOOKUP(N417,Sim!$EF$46:$EG$61,2,0))</f>
        <v/>
      </c>
      <c r="S417" t="str">
        <f>IF(M417="","",VLOOKUP(N417,'Team Stats'!$B$3:$K$18,10,0))</f>
        <v/>
      </c>
      <c r="T417" s="84" t="str">
        <f t="shared" si="54"/>
        <v/>
      </c>
      <c r="U417" t="str">
        <f t="shared" si="55"/>
        <v/>
      </c>
    </row>
    <row r="418" spans="1:21">
      <c r="A418" s="73" t="s">
        <v>742</v>
      </c>
      <c r="B418" s="73" t="s">
        <v>212</v>
      </c>
      <c r="C418" s="74">
        <v>58</v>
      </c>
      <c r="D418" s="74"/>
      <c r="E418" s="74">
        <v>8</v>
      </c>
      <c r="F418" s="74"/>
      <c r="G418" s="74">
        <v>8</v>
      </c>
      <c r="H418" s="74"/>
      <c r="I418" s="63">
        <v>16</v>
      </c>
      <c r="J418" t="b">
        <f t="shared" si="48"/>
        <v>1</v>
      </c>
      <c r="K418" t="b">
        <f t="shared" si="49"/>
        <v>1</v>
      </c>
      <c r="M418" t="str">
        <f t="shared" si="50"/>
        <v> Matt Dumba</v>
      </c>
      <c r="N418" t="str">
        <f t="shared" si="51"/>
        <v>MIN</v>
      </c>
      <c r="O418">
        <f t="shared" si="52"/>
        <v>16</v>
      </c>
      <c r="P418">
        <f>IF(M418="","",VLOOKUP(B418,'Team Stats'!$B$3:$K$18,5,0))</f>
        <v>608</v>
      </c>
      <c r="Q418">
        <f t="shared" si="53"/>
        <v>2.6315789473684209E-2</v>
      </c>
      <c r="R418">
        <f ca="1">IF(M418="","",VLOOKUP(N418,Sim!$EF$46:$EG$61,2,0))</f>
        <v>11.71</v>
      </c>
      <c r="S418">
        <f ca="1">IF(M418="","",VLOOKUP(N418,'Team Stats'!$B$3:$K$18,10,0))</f>
        <v>86.825365853658553</v>
      </c>
      <c r="T418" s="84">
        <f t="shared" ca="1" si="54"/>
        <v>2.2848780487804881</v>
      </c>
      <c r="U418">
        <f t="shared" ca="1" si="55"/>
        <v>155</v>
      </c>
    </row>
    <row r="419" spans="1:21">
      <c r="A419" s="73" t="s">
        <v>743</v>
      </c>
      <c r="B419" s="73" t="s">
        <v>331</v>
      </c>
      <c r="C419" s="74">
        <v>61</v>
      </c>
      <c r="D419" s="74"/>
      <c r="E419" s="74">
        <v>10</v>
      </c>
      <c r="F419" s="74"/>
      <c r="G419" s="74">
        <v>5</v>
      </c>
      <c r="H419" s="74"/>
      <c r="I419" s="63">
        <v>15</v>
      </c>
      <c r="J419" t="b">
        <f t="shared" si="48"/>
        <v>0</v>
      </c>
      <c r="K419" t="b">
        <f t="shared" si="49"/>
        <v>0</v>
      </c>
      <c r="M419" t="str">
        <f t="shared" si="50"/>
        <v/>
      </c>
      <c r="N419" t="str">
        <f t="shared" si="51"/>
        <v/>
      </c>
      <c r="O419" t="str">
        <f t="shared" si="52"/>
        <v/>
      </c>
      <c r="P419" t="str">
        <f>IF(M419="","",VLOOKUP(B419,'Team Stats'!$B$3:$K$18,5,0))</f>
        <v/>
      </c>
      <c r="Q419" t="str">
        <f t="shared" si="53"/>
        <v/>
      </c>
      <c r="R419" t="str">
        <f>IF(M419="","",VLOOKUP(N419,Sim!$EF$46:$EG$61,2,0))</f>
        <v/>
      </c>
      <c r="S419" t="str">
        <f>IF(M419="","",VLOOKUP(N419,'Team Stats'!$B$3:$K$18,10,0))</f>
        <v/>
      </c>
      <c r="T419" s="84" t="str">
        <f t="shared" si="54"/>
        <v/>
      </c>
      <c r="U419" t="str">
        <f t="shared" si="55"/>
        <v/>
      </c>
    </row>
    <row r="420" spans="1:21">
      <c r="A420" s="73" t="s">
        <v>744</v>
      </c>
      <c r="B420" s="73" t="s">
        <v>220</v>
      </c>
      <c r="C420" s="74">
        <v>68</v>
      </c>
      <c r="D420" s="74"/>
      <c r="E420" s="74">
        <v>10</v>
      </c>
      <c r="F420" s="74"/>
      <c r="G420" s="74">
        <v>5</v>
      </c>
      <c r="H420" s="74"/>
      <c r="I420" s="63">
        <v>15</v>
      </c>
      <c r="J420" t="b">
        <f t="shared" si="48"/>
        <v>0</v>
      </c>
      <c r="K420" t="b">
        <f t="shared" si="49"/>
        <v>0</v>
      </c>
      <c r="M420" t="str">
        <f t="shared" si="50"/>
        <v/>
      </c>
      <c r="N420" t="str">
        <f t="shared" si="51"/>
        <v/>
      </c>
      <c r="O420" t="str">
        <f t="shared" si="52"/>
        <v/>
      </c>
      <c r="P420" t="str">
        <f>IF(M420="","",VLOOKUP(B420,'Team Stats'!$B$3:$K$18,5,0))</f>
        <v/>
      </c>
      <c r="Q420" t="str">
        <f t="shared" si="53"/>
        <v/>
      </c>
      <c r="R420" t="str">
        <f>IF(M420="","",VLOOKUP(N420,Sim!$EF$46:$EG$61,2,0))</f>
        <v/>
      </c>
      <c r="S420" t="str">
        <f>IF(M420="","",VLOOKUP(N420,'Team Stats'!$B$3:$K$18,10,0))</f>
        <v/>
      </c>
      <c r="T420" s="84" t="str">
        <f t="shared" si="54"/>
        <v/>
      </c>
      <c r="U420" t="str">
        <f t="shared" si="55"/>
        <v/>
      </c>
    </row>
    <row r="421" spans="1:21">
      <c r="A421" s="73" t="s">
        <v>745</v>
      </c>
      <c r="B421" s="73" t="s">
        <v>199</v>
      </c>
      <c r="C421" s="74">
        <v>67</v>
      </c>
      <c r="D421" s="74"/>
      <c r="E421" s="74">
        <v>9</v>
      </c>
      <c r="F421" s="74"/>
      <c r="G421" s="74">
        <v>6</v>
      </c>
      <c r="H421" s="74"/>
      <c r="I421" s="63">
        <v>15</v>
      </c>
      <c r="J421" t="b">
        <f t="shared" si="48"/>
        <v>0</v>
      </c>
      <c r="K421" t="b">
        <f t="shared" si="49"/>
        <v>0</v>
      </c>
      <c r="M421" t="str">
        <f t="shared" si="50"/>
        <v/>
      </c>
      <c r="N421" t="str">
        <f t="shared" si="51"/>
        <v/>
      </c>
      <c r="O421" t="str">
        <f t="shared" si="52"/>
        <v/>
      </c>
      <c r="P421" t="str">
        <f>IF(M421="","",VLOOKUP(B421,'Team Stats'!$B$3:$K$18,5,0))</f>
        <v/>
      </c>
      <c r="Q421" t="str">
        <f t="shared" si="53"/>
        <v/>
      </c>
      <c r="R421" t="str">
        <f>IF(M421="","",VLOOKUP(N421,Sim!$EF$46:$EG$61,2,0))</f>
        <v/>
      </c>
      <c r="S421" t="str">
        <f>IF(M421="","",VLOOKUP(N421,'Team Stats'!$B$3:$K$18,10,0))</f>
        <v/>
      </c>
      <c r="T421" s="84" t="str">
        <f t="shared" si="54"/>
        <v/>
      </c>
      <c r="U421" t="str">
        <f t="shared" si="55"/>
        <v/>
      </c>
    </row>
    <row r="422" spans="1:21">
      <c r="A422" s="73" t="s">
        <v>746</v>
      </c>
      <c r="B422" s="73" t="s">
        <v>199</v>
      </c>
      <c r="C422" s="74">
        <v>72</v>
      </c>
      <c r="D422" s="74"/>
      <c r="E422" s="74">
        <v>9</v>
      </c>
      <c r="F422" s="74"/>
      <c r="G422" s="74">
        <v>6</v>
      </c>
      <c r="H422" s="74"/>
      <c r="I422" s="63">
        <v>15</v>
      </c>
      <c r="J422" t="b">
        <f t="shared" si="48"/>
        <v>0</v>
      </c>
      <c r="K422" t="b">
        <f t="shared" si="49"/>
        <v>0</v>
      </c>
      <c r="M422" t="str">
        <f t="shared" si="50"/>
        <v/>
      </c>
      <c r="N422" t="str">
        <f t="shared" si="51"/>
        <v/>
      </c>
      <c r="O422" t="str">
        <f t="shared" si="52"/>
        <v/>
      </c>
      <c r="P422" t="str">
        <f>IF(M422="","",VLOOKUP(B422,'Team Stats'!$B$3:$K$18,5,0))</f>
        <v/>
      </c>
      <c r="Q422" t="str">
        <f t="shared" si="53"/>
        <v/>
      </c>
      <c r="R422" t="str">
        <f>IF(M422="","",VLOOKUP(N422,Sim!$EF$46:$EG$61,2,0))</f>
        <v/>
      </c>
      <c r="S422" t="str">
        <f>IF(M422="","",VLOOKUP(N422,'Team Stats'!$B$3:$K$18,10,0))</f>
        <v/>
      </c>
      <c r="T422" s="84" t="str">
        <f t="shared" si="54"/>
        <v/>
      </c>
      <c r="U422" t="str">
        <f t="shared" si="55"/>
        <v/>
      </c>
    </row>
    <row r="423" spans="1:21">
      <c r="A423" s="73" t="s">
        <v>747</v>
      </c>
      <c r="B423" s="73" t="s">
        <v>357</v>
      </c>
      <c r="C423" s="74">
        <v>80</v>
      </c>
      <c r="D423" s="74"/>
      <c r="E423" s="74">
        <v>6</v>
      </c>
      <c r="F423" s="74"/>
      <c r="G423" s="74">
        <v>9</v>
      </c>
      <c r="H423" s="74"/>
      <c r="I423" s="63">
        <v>15</v>
      </c>
      <c r="J423" t="b">
        <f t="shared" si="48"/>
        <v>0</v>
      </c>
      <c r="K423" t="b">
        <f t="shared" si="49"/>
        <v>0</v>
      </c>
      <c r="M423" t="str">
        <f t="shared" si="50"/>
        <v/>
      </c>
      <c r="N423" t="str">
        <f t="shared" si="51"/>
        <v/>
      </c>
      <c r="O423" t="str">
        <f t="shared" si="52"/>
        <v/>
      </c>
      <c r="P423" t="str">
        <f>IF(M423="","",VLOOKUP(B423,'Team Stats'!$B$3:$K$18,5,0))</f>
        <v/>
      </c>
      <c r="Q423" t="str">
        <f t="shared" si="53"/>
        <v/>
      </c>
      <c r="R423" t="str">
        <f>IF(M423="","",VLOOKUP(N423,Sim!$EF$46:$EG$61,2,0))</f>
        <v/>
      </c>
      <c r="S423" t="str">
        <f>IF(M423="","",VLOOKUP(N423,'Team Stats'!$B$3:$K$18,10,0))</f>
        <v/>
      </c>
      <c r="T423" s="84" t="str">
        <f t="shared" si="54"/>
        <v/>
      </c>
      <c r="U423" t="str">
        <f t="shared" si="55"/>
        <v/>
      </c>
    </row>
    <row r="424" spans="1:21">
      <c r="A424" s="73" t="s">
        <v>748</v>
      </c>
      <c r="B424" s="73" t="s">
        <v>219</v>
      </c>
      <c r="C424" s="74">
        <v>63</v>
      </c>
      <c r="D424" s="74"/>
      <c r="E424" s="74">
        <v>8</v>
      </c>
      <c r="F424" s="74"/>
      <c r="G424" s="74">
        <v>7</v>
      </c>
      <c r="H424" s="74"/>
      <c r="I424" s="63">
        <v>15</v>
      </c>
      <c r="J424" t="b">
        <f t="shared" si="48"/>
        <v>0</v>
      </c>
      <c r="K424" t="b">
        <f t="shared" si="49"/>
        <v>0</v>
      </c>
      <c r="M424" t="str">
        <f t="shared" si="50"/>
        <v/>
      </c>
      <c r="N424" t="str">
        <f t="shared" si="51"/>
        <v/>
      </c>
      <c r="O424" t="str">
        <f t="shared" si="52"/>
        <v/>
      </c>
      <c r="P424" t="str">
        <f>IF(M424="","",VLOOKUP(B424,'Team Stats'!$B$3:$K$18,5,0))</f>
        <v/>
      </c>
      <c r="Q424" t="str">
        <f t="shared" si="53"/>
        <v/>
      </c>
      <c r="R424" t="str">
        <f>IF(M424="","",VLOOKUP(N424,Sim!$EF$46:$EG$61,2,0))</f>
        <v/>
      </c>
      <c r="S424" t="str">
        <f>IF(M424="","",VLOOKUP(N424,'Team Stats'!$B$3:$K$18,10,0))</f>
        <v/>
      </c>
      <c r="T424" s="84" t="str">
        <f t="shared" si="54"/>
        <v/>
      </c>
      <c r="U424" t="str">
        <f t="shared" si="55"/>
        <v/>
      </c>
    </row>
    <row r="425" spans="1:21">
      <c r="A425" s="73" t="s">
        <v>749</v>
      </c>
      <c r="B425" s="73" t="s">
        <v>331</v>
      </c>
      <c r="C425" s="74">
        <v>67</v>
      </c>
      <c r="D425" s="74"/>
      <c r="E425" s="74">
        <v>3</v>
      </c>
      <c r="F425" s="74"/>
      <c r="G425" s="74">
        <v>12</v>
      </c>
      <c r="H425" s="74"/>
      <c r="I425" s="63">
        <v>15</v>
      </c>
      <c r="J425" t="b">
        <f t="shared" si="48"/>
        <v>0</v>
      </c>
      <c r="K425" t="b">
        <f t="shared" si="49"/>
        <v>0</v>
      </c>
      <c r="M425" t="str">
        <f t="shared" si="50"/>
        <v/>
      </c>
      <c r="N425" t="str">
        <f t="shared" si="51"/>
        <v/>
      </c>
      <c r="O425" t="str">
        <f t="shared" si="52"/>
        <v/>
      </c>
      <c r="P425" t="str">
        <f>IF(M425="","",VLOOKUP(B425,'Team Stats'!$B$3:$K$18,5,0))</f>
        <v/>
      </c>
      <c r="Q425" t="str">
        <f t="shared" si="53"/>
        <v/>
      </c>
      <c r="R425" t="str">
        <f>IF(M425="","",VLOOKUP(N425,Sim!$EF$46:$EG$61,2,0))</f>
        <v/>
      </c>
      <c r="S425" t="str">
        <f>IF(M425="","",VLOOKUP(N425,'Team Stats'!$B$3:$K$18,10,0))</f>
        <v/>
      </c>
      <c r="T425" s="84" t="str">
        <f t="shared" si="54"/>
        <v/>
      </c>
      <c r="U425" t="str">
        <f t="shared" si="55"/>
        <v/>
      </c>
    </row>
    <row r="426" spans="1:21">
      <c r="A426" s="73" t="s">
        <v>750</v>
      </c>
      <c r="B426" s="73" t="s">
        <v>221</v>
      </c>
      <c r="C426" s="74">
        <v>82</v>
      </c>
      <c r="D426" s="74"/>
      <c r="E426" s="74">
        <v>5</v>
      </c>
      <c r="F426" s="74"/>
      <c r="G426" s="74">
        <v>10</v>
      </c>
      <c r="H426" s="74"/>
      <c r="I426" s="63">
        <v>15</v>
      </c>
      <c r="J426" t="b">
        <f t="shared" si="48"/>
        <v>0</v>
      </c>
      <c r="K426" t="b">
        <f t="shared" si="49"/>
        <v>0</v>
      </c>
      <c r="M426" t="str">
        <f t="shared" si="50"/>
        <v/>
      </c>
      <c r="N426" t="str">
        <f t="shared" si="51"/>
        <v/>
      </c>
      <c r="O426" t="str">
        <f t="shared" si="52"/>
        <v/>
      </c>
      <c r="P426" t="str">
        <f>IF(M426="","",VLOOKUP(B426,'Team Stats'!$B$3:$K$18,5,0))</f>
        <v/>
      </c>
      <c r="Q426" t="str">
        <f t="shared" si="53"/>
        <v/>
      </c>
      <c r="R426" t="str">
        <f>IF(M426="","",VLOOKUP(N426,Sim!$EF$46:$EG$61,2,0))</f>
        <v/>
      </c>
      <c r="S426" t="str">
        <f>IF(M426="","",VLOOKUP(N426,'Team Stats'!$B$3:$K$18,10,0))</f>
        <v/>
      </c>
      <c r="T426" s="84" t="str">
        <f t="shared" si="54"/>
        <v/>
      </c>
      <c r="U426" t="str">
        <f t="shared" si="55"/>
        <v/>
      </c>
    </row>
    <row r="427" spans="1:21">
      <c r="A427" s="73" t="s">
        <v>751</v>
      </c>
      <c r="B427" s="73" t="s">
        <v>221</v>
      </c>
      <c r="C427" s="74">
        <v>60</v>
      </c>
      <c r="D427" s="74"/>
      <c r="E427" s="74">
        <v>3</v>
      </c>
      <c r="F427" s="74"/>
      <c r="G427" s="74">
        <v>12</v>
      </c>
      <c r="H427" s="74"/>
      <c r="I427" s="63">
        <v>15</v>
      </c>
      <c r="J427" t="b">
        <f t="shared" si="48"/>
        <v>0</v>
      </c>
      <c r="K427" t="b">
        <f t="shared" si="49"/>
        <v>0</v>
      </c>
      <c r="M427" t="str">
        <f t="shared" si="50"/>
        <v/>
      </c>
      <c r="N427" t="str">
        <f t="shared" si="51"/>
        <v/>
      </c>
      <c r="O427" t="str">
        <f t="shared" si="52"/>
        <v/>
      </c>
      <c r="P427" t="str">
        <f>IF(M427="","",VLOOKUP(B427,'Team Stats'!$B$3:$K$18,5,0))</f>
        <v/>
      </c>
      <c r="Q427" t="str">
        <f t="shared" si="53"/>
        <v/>
      </c>
      <c r="R427" t="str">
        <f>IF(M427="","",VLOOKUP(N427,Sim!$EF$46:$EG$61,2,0))</f>
        <v/>
      </c>
      <c r="S427" t="str">
        <f>IF(M427="","",VLOOKUP(N427,'Team Stats'!$B$3:$K$18,10,0))</f>
        <v/>
      </c>
      <c r="T427" s="84" t="str">
        <f t="shared" si="54"/>
        <v/>
      </c>
      <c r="U427" t="str">
        <f t="shared" si="55"/>
        <v/>
      </c>
    </row>
    <row r="428" spans="1:21">
      <c r="A428" s="73" t="s">
        <v>752</v>
      </c>
      <c r="B428" s="73" t="s">
        <v>218</v>
      </c>
      <c r="C428" s="74">
        <v>65</v>
      </c>
      <c r="D428" s="74"/>
      <c r="E428" s="74">
        <v>7</v>
      </c>
      <c r="F428" s="74"/>
      <c r="G428" s="74">
        <v>8</v>
      </c>
      <c r="H428" s="74"/>
      <c r="I428" s="63">
        <v>15</v>
      </c>
      <c r="J428" t="b">
        <f t="shared" si="48"/>
        <v>0</v>
      </c>
      <c r="K428" t="b">
        <f t="shared" si="49"/>
        <v>0</v>
      </c>
      <c r="M428" t="str">
        <f t="shared" si="50"/>
        <v/>
      </c>
      <c r="N428" t="str">
        <f t="shared" si="51"/>
        <v/>
      </c>
      <c r="O428" t="str">
        <f t="shared" si="52"/>
        <v/>
      </c>
      <c r="P428" t="str">
        <f>IF(M428="","",VLOOKUP(B428,'Team Stats'!$B$3:$K$18,5,0))</f>
        <v/>
      </c>
      <c r="Q428" t="str">
        <f t="shared" si="53"/>
        <v/>
      </c>
      <c r="R428" t="str">
        <f>IF(M428="","",VLOOKUP(N428,Sim!$EF$46:$EG$61,2,0))</f>
        <v/>
      </c>
      <c r="S428" t="str">
        <f>IF(M428="","",VLOOKUP(N428,'Team Stats'!$B$3:$K$18,10,0))</f>
        <v/>
      </c>
      <c r="T428" s="84" t="str">
        <f t="shared" si="54"/>
        <v/>
      </c>
      <c r="U428" t="str">
        <f t="shared" si="55"/>
        <v/>
      </c>
    </row>
    <row r="429" spans="1:21">
      <c r="A429" s="73" t="s">
        <v>753</v>
      </c>
      <c r="B429" s="73" t="s">
        <v>200</v>
      </c>
      <c r="C429" s="74">
        <v>80</v>
      </c>
      <c r="D429" s="74"/>
      <c r="E429" s="74">
        <v>2</v>
      </c>
      <c r="F429" s="74"/>
      <c r="G429" s="74">
        <v>13</v>
      </c>
      <c r="H429" s="74"/>
      <c r="I429" s="63">
        <v>15</v>
      </c>
      <c r="J429" t="b">
        <f t="shared" si="48"/>
        <v>1</v>
      </c>
      <c r="K429" t="b">
        <f t="shared" si="49"/>
        <v>1</v>
      </c>
      <c r="M429" t="str">
        <f t="shared" si="50"/>
        <v> Barret Jackman</v>
      </c>
      <c r="N429" t="str">
        <f t="shared" si="51"/>
        <v>STL</v>
      </c>
      <c r="O429">
        <f t="shared" si="52"/>
        <v>15</v>
      </c>
      <c r="P429">
        <f>IF(M429="","",VLOOKUP(B429,'Team Stats'!$B$3:$K$18,5,0))</f>
        <v>660</v>
      </c>
      <c r="Q429">
        <f t="shared" si="53"/>
        <v>2.2727272727272728E-2</v>
      </c>
      <c r="R429">
        <f ca="1">IF(M429="","",VLOOKUP(N429,Sim!$EF$46:$EG$61,2,0))</f>
        <v>10.87</v>
      </c>
      <c r="S429">
        <f ca="1">IF(M429="","",VLOOKUP(N429,'Team Stats'!$B$3:$K$18,10,0))</f>
        <v>87.490243902439019</v>
      </c>
      <c r="T429" s="84">
        <f t="shared" ca="1" si="54"/>
        <v>1.9884146341463413</v>
      </c>
      <c r="U429">
        <f t="shared" ca="1" si="55"/>
        <v>169</v>
      </c>
    </row>
    <row r="430" spans="1:21">
      <c r="A430" s="73" t="s">
        <v>754</v>
      </c>
      <c r="B430" s="73" t="s">
        <v>209</v>
      </c>
      <c r="C430" s="74">
        <v>82</v>
      </c>
      <c r="D430" s="74"/>
      <c r="E430" s="74">
        <v>3</v>
      </c>
      <c r="F430" s="74"/>
      <c r="G430" s="74">
        <v>12</v>
      </c>
      <c r="H430" s="74"/>
      <c r="I430" s="63">
        <v>15</v>
      </c>
      <c r="J430" t="b">
        <f t="shared" si="48"/>
        <v>1</v>
      </c>
      <c r="K430" t="b">
        <f t="shared" si="49"/>
        <v>1</v>
      </c>
      <c r="M430" t="str">
        <f t="shared" si="50"/>
        <v> Jonathan Ericsson</v>
      </c>
      <c r="N430" t="str">
        <f t="shared" si="51"/>
        <v>DET</v>
      </c>
      <c r="O430">
        <f t="shared" si="52"/>
        <v>15</v>
      </c>
      <c r="P430">
        <f>IF(M430="","",VLOOKUP(B430,'Team Stats'!$B$3:$K$18,5,0))</f>
        <v>630</v>
      </c>
      <c r="Q430">
        <f t="shared" si="53"/>
        <v>2.3809523809523808E-2</v>
      </c>
      <c r="R430">
        <f ca="1">IF(M430="","",VLOOKUP(N430,Sim!$EF$46:$EG$61,2,0))</f>
        <v>10.06</v>
      </c>
      <c r="S430">
        <f ca="1">IF(M430="","",VLOOKUP(N430,'Team Stats'!$B$3:$K$18,10,0))</f>
        <v>77.29024390243903</v>
      </c>
      <c r="T430" s="84">
        <f t="shared" ca="1" si="54"/>
        <v>1.8402439024390245</v>
      </c>
      <c r="U430">
        <f t="shared" ca="1" si="55"/>
        <v>175</v>
      </c>
    </row>
    <row r="431" spans="1:21">
      <c r="A431" s="73" t="s">
        <v>755</v>
      </c>
      <c r="B431" s="73" t="s">
        <v>214</v>
      </c>
      <c r="C431" s="74">
        <v>67</v>
      </c>
      <c r="D431" s="74"/>
      <c r="E431" s="74">
        <v>6</v>
      </c>
      <c r="F431" s="74"/>
      <c r="G431" s="74">
        <v>9</v>
      </c>
      <c r="H431" s="74"/>
      <c r="I431" s="63">
        <v>15</v>
      </c>
      <c r="J431" t="b">
        <f t="shared" si="48"/>
        <v>1</v>
      </c>
      <c r="K431" t="b">
        <f t="shared" si="49"/>
        <v>1</v>
      </c>
      <c r="M431" t="str">
        <f t="shared" si="50"/>
        <v> Curtis Lazar</v>
      </c>
      <c r="N431" t="str">
        <f t="shared" si="51"/>
        <v>OTT</v>
      </c>
      <c r="O431">
        <f t="shared" si="52"/>
        <v>15</v>
      </c>
      <c r="P431">
        <f>IF(M431="","",VLOOKUP(B431,'Team Stats'!$B$3:$K$18,5,0))</f>
        <v>619</v>
      </c>
      <c r="Q431">
        <f t="shared" si="53"/>
        <v>2.4232633279483037E-2</v>
      </c>
      <c r="R431">
        <f ca="1">IF(M431="","",VLOOKUP(N431,Sim!$EF$46:$EG$61,2,0))</f>
        <v>10.71</v>
      </c>
      <c r="S431">
        <f ca="1">IF(M431="","",VLOOKUP(N431,'Team Stats'!$B$3:$K$18,10,0))</f>
        <v>80.847439024390255</v>
      </c>
      <c r="T431" s="84">
        <f t="shared" ca="1" si="54"/>
        <v>1.9591463414634149</v>
      </c>
      <c r="U431">
        <f t="shared" ca="1" si="55"/>
        <v>170</v>
      </c>
    </row>
    <row r="432" spans="1:21">
      <c r="A432" s="73" t="s">
        <v>756</v>
      </c>
      <c r="B432" s="73" t="s">
        <v>199</v>
      </c>
      <c r="C432" s="74">
        <v>80</v>
      </c>
      <c r="D432" s="74"/>
      <c r="E432" s="74">
        <v>2</v>
      </c>
      <c r="F432" s="74"/>
      <c r="G432" s="74">
        <v>13</v>
      </c>
      <c r="H432" s="74"/>
      <c r="I432" s="63">
        <v>15</v>
      </c>
      <c r="J432" t="b">
        <f t="shared" si="48"/>
        <v>0</v>
      </c>
      <c r="K432" t="b">
        <f t="shared" si="49"/>
        <v>0</v>
      </c>
      <c r="M432" t="str">
        <f t="shared" si="50"/>
        <v/>
      </c>
      <c r="N432" t="str">
        <f t="shared" si="51"/>
        <v/>
      </c>
      <c r="O432" t="str">
        <f t="shared" si="52"/>
        <v/>
      </c>
      <c r="P432" t="str">
        <f>IF(M432="","",VLOOKUP(B432,'Team Stats'!$B$3:$K$18,5,0))</f>
        <v/>
      </c>
      <c r="Q432" t="str">
        <f t="shared" si="53"/>
        <v/>
      </c>
      <c r="R432" t="str">
        <f>IF(M432="","",VLOOKUP(N432,Sim!$EF$46:$EG$61,2,0))</f>
        <v/>
      </c>
      <c r="S432" t="str">
        <f>IF(M432="","",VLOOKUP(N432,'Team Stats'!$B$3:$K$18,10,0))</f>
        <v/>
      </c>
      <c r="T432" s="84" t="str">
        <f t="shared" si="54"/>
        <v/>
      </c>
      <c r="U432" t="str">
        <f t="shared" si="55"/>
        <v/>
      </c>
    </row>
    <row r="433" spans="1:21">
      <c r="A433" s="73" t="s">
        <v>757</v>
      </c>
      <c r="B433" s="73" t="s">
        <v>216</v>
      </c>
      <c r="C433" s="74">
        <v>76</v>
      </c>
      <c r="D433" s="74"/>
      <c r="E433" s="74">
        <v>2</v>
      </c>
      <c r="F433" s="74"/>
      <c r="G433" s="74">
        <v>13</v>
      </c>
      <c r="H433" s="74"/>
      <c r="I433" s="63">
        <v>15</v>
      </c>
      <c r="J433" t="b">
        <f t="shared" si="48"/>
        <v>0</v>
      </c>
      <c r="K433" t="b">
        <f t="shared" si="49"/>
        <v>0</v>
      </c>
      <c r="M433" t="str">
        <f t="shared" si="50"/>
        <v/>
      </c>
      <c r="N433" t="str">
        <f t="shared" si="51"/>
        <v/>
      </c>
      <c r="O433" t="str">
        <f t="shared" si="52"/>
        <v/>
      </c>
      <c r="P433" t="str">
        <f>IF(M433="","",VLOOKUP(B433,'Team Stats'!$B$3:$K$18,5,0))</f>
        <v/>
      </c>
      <c r="Q433" t="str">
        <f t="shared" si="53"/>
        <v/>
      </c>
      <c r="R433" t="str">
        <f>IF(M433="","",VLOOKUP(N433,Sim!$EF$46:$EG$61,2,0))</f>
        <v/>
      </c>
      <c r="S433" t="str">
        <f>IF(M433="","",VLOOKUP(N433,'Team Stats'!$B$3:$K$18,10,0))</f>
        <v/>
      </c>
      <c r="T433" s="84" t="str">
        <f t="shared" si="54"/>
        <v/>
      </c>
      <c r="U433" t="str">
        <f t="shared" si="55"/>
        <v/>
      </c>
    </row>
    <row r="434" spans="1:21">
      <c r="A434" s="73" t="s">
        <v>758</v>
      </c>
      <c r="B434" s="73" t="s">
        <v>212</v>
      </c>
      <c r="C434" s="74">
        <v>72</v>
      </c>
      <c r="D434" s="74"/>
      <c r="E434" s="74">
        <v>7</v>
      </c>
      <c r="F434" s="74"/>
      <c r="G434" s="74">
        <v>7</v>
      </c>
      <c r="H434" s="74"/>
      <c r="I434" s="63">
        <v>14</v>
      </c>
      <c r="J434" t="b">
        <f t="shared" si="48"/>
        <v>1</v>
      </c>
      <c r="K434" t="b">
        <f t="shared" si="49"/>
        <v>1</v>
      </c>
      <c r="M434" t="str">
        <f t="shared" si="50"/>
        <v> Erik Haula</v>
      </c>
      <c r="N434" t="str">
        <f t="shared" si="51"/>
        <v>MIN</v>
      </c>
      <c r="O434">
        <f t="shared" si="52"/>
        <v>14</v>
      </c>
      <c r="P434">
        <f>IF(M434="","",VLOOKUP(B434,'Team Stats'!$B$3:$K$18,5,0))</f>
        <v>608</v>
      </c>
      <c r="Q434">
        <f t="shared" si="53"/>
        <v>2.3026315789473683E-2</v>
      </c>
      <c r="R434">
        <f ca="1">IF(M434="","",VLOOKUP(N434,Sim!$EF$46:$EG$61,2,0))</f>
        <v>11.71</v>
      </c>
      <c r="S434">
        <f ca="1">IF(M434="","",VLOOKUP(N434,'Team Stats'!$B$3:$K$18,10,0))</f>
        <v>86.825365853658553</v>
      </c>
      <c r="T434" s="84">
        <f t="shared" ca="1" si="54"/>
        <v>1.9992682926829271</v>
      </c>
      <c r="U434">
        <f t="shared" ca="1" si="55"/>
        <v>168</v>
      </c>
    </row>
    <row r="435" spans="1:21">
      <c r="A435" s="73" t="s">
        <v>759</v>
      </c>
      <c r="B435" s="73" t="s">
        <v>216</v>
      </c>
      <c r="C435" s="74">
        <v>78</v>
      </c>
      <c r="D435" s="74"/>
      <c r="E435" s="74">
        <v>5</v>
      </c>
      <c r="F435" s="74"/>
      <c r="G435" s="74">
        <v>9</v>
      </c>
      <c r="H435" s="74"/>
      <c r="I435" s="63">
        <v>14</v>
      </c>
      <c r="J435" t="b">
        <f t="shared" si="48"/>
        <v>0</v>
      </c>
      <c r="K435" t="b">
        <f t="shared" si="49"/>
        <v>0</v>
      </c>
      <c r="M435" t="str">
        <f t="shared" si="50"/>
        <v/>
      </c>
      <c r="N435" t="str">
        <f t="shared" si="51"/>
        <v/>
      </c>
      <c r="O435" t="str">
        <f t="shared" si="52"/>
        <v/>
      </c>
      <c r="P435" t="str">
        <f>IF(M435="","",VLOOKUP(B435,'Team Stats'!$B$3:$K$18,5,0))</f>
        <v/>
      </c>
      <c r="Q435" t="str">
        <f t="shared" si="53"/>
        <v/>
      </c>
      <c r="R435" t="str">
        <f>IF(M435="","",VLOOKUP(N435,Sim!$EF$46:$EG$61,2,0))</f>
        <v/>
      </c>
      <c r="S435" t="str">
        <f>IF(M435="","",VLOOKUP(N435,'Team Stats'!$B$3:$K$18,10,0))</f>
        <v/>
      </c>
      <c r="T435" s="84" t="str">
        <f t="shared" si="54"/>
        <v/>
      </c>
      <c r="U435" t="str">
        <f t="shared" si="55"/>
        <v/>
      </c>
    </row>
    <row r="436" spans="1:21">
      <c r="A436" s="73" t="s">
        <v>760</v>
      </c>
      <c r="B436" s="73" t="s">
        <v>340</v>
      </c>
      <c r="C436" s="74">
        <v>80</v>
      </c>
      <c r="D436" s="74"/>
      <c r="E436" s="74">
        <v>7</v>
      </c>
      <c r="F436" s="74"/>
      <c r="G436" s="74">
        <v>7</v>
      </c>
      <c r="H436" s="74"/>
      <c r="I436" s="63">
        <v>14</v>
      </c>
      <c r="J436" t="b">
        <f t="shared" si="48"/>
        <v>0</v>
      </c>
      <c r="K436" t="b">
        <f t="shared" si="49"/>
        <v>0</v>
      </c>
      <c r="M436" t="str">
        <f t="shared" si="50"/>
        <v/>
      </c>
      <c r="N436" t="str">
        <f t="shared" si="51"/>
        <v/>
      </c>
      <c r="O436" t="str">
        <f t="shared" si="52"/>
        <v/>
      </c>
      <c r="P436" t="str">
        <f>IF(M436="","",VLOOKUP(B436,'Team Stats'!$B$3:$K$18,5,0))</f>
        <v/>
      </c>
      <c r="Q436" t="str">
        <f t="shared" si="53"/>
        <v/>
      </c>
      <c r="R436" t="str">
        <f>IF(M436="","",VLOOKUP(N436,Sim!$EF$46:$EG$61,2,0))</f>
        <v/>
      </c>
      <c r="S436" t="str">
        <f>IF(M436="","",VLOOKUP(N436,'Team Stats'!$B$3:$K$18,10,0))</f>
        <v/>
      </c>
      <c r="T436" s="84" t="str">
        <f t="shared" si="54"/>
        <v/>
      </c>
      <c r="U436" t="str">
        <f t="shared" si="55"/>
        <v/>
      </c>
    </row>
    <row r="437" spans="1:21">
      <c r="A437" s="73" t="s">
        <v>761</v>
      </c>
      <c r="B437" s="73" t="s">
        <v>202</v>
      </c>
      <c r="C437" s="74">
        <v>49</v>
      </c>
      <c r="D437" s="74"/>
      <c r="E437" s="74">
        <v>3</v>
      </c>
      <c r="F437" s="74"/>
      <c r="G437" s="74">
        <v>11</v>
      </c>
      <c r="H437" s="74"/>
      <c r="I437" s="63">
        <v>14</v>
      </c>
      <c r="J437" t="b">
        <f t="shared" si="48"/>
        <v>1</v>
      </c>
      <c r="K437" t="b">
        <f t="shared" si="49"/>
        <v>1</v>
      </c>
      <c r="M437" t="str">
        <f t="shared" si="50"/>
        <v> David Rundblad</v>
      </c>
      <c r="N437" t="str">
        <f t="shared" si="51"/>
        <v>CHI</v>
      </c>
      <c r="O437">
        <f t="shared" si="52"/>
        <v>14</v>
      </c>
      <c r="P437">
        <f>IF(M437="","",VLOOKUP(B437,'Team Stats'!$B$3:$K$18,5,0))</f>
        <v>601</v>
      </c>
      <c r="Q437">
        <f t="shared" si="53"/>
        <v>2.329450915141431E-2</v>
      </c>
      <c r="R437">
        <f ca="1">IF(M437="","",VLOOKUP(N437,Sim!$EF$46:$EG$61,2,0))</f>
        <v>9.14</v>
      </c>
      <c r="S437">
        <f ca="1">IF(M437="","",VLOOKUP(N437,'Team Stats'!$B$3:$K$18,10,0))</f>
        <v>66.989512195121961</v>
      </c>
      <c r="T437" s="84">
        <f t="shared" ca="1" si="54"/>
        <v>1.5604878048780491</v>
      </c>
      <c r="U437">
        <f t="shared" ca="1" si="55"/>
        <v>190</v>
      </c>
    </row>
    <row r="438" spans="1:21">
      <c r="A438" s="73" t="s">
        <v>762</v>
      </c>
      <c r="B438" s="73" t="s">
        <v>365</v>
      </c>
      <c r="C438" s="74">
        <v>73</v>
      </c>
      <c r="D438" s="74"/>
      <c r="E438" s="74">
        <v>4</v>
      </c>
      <c r="F438" s="74"/>
      <c r="G438" s="74">
        <v>10</v>
      </c>
      <c r="H438" s="74"/>
      <c r="I438" s="63">
        <v>14</v>
      </c>
      <c r="J438" t="b">
        <f t="shared" si="48"/>
        <v>0</v>
      </c>
      <c r="K438" t="b">
        <f t="shared" si="49"/>
        <v>0</v>
      </c>
      <c r="M438" t="str">
        <f t="shared" si="50"/>
        <v/>
      </c>
      <c r="N438" t="str">
        <f t="shared" si="51"/>
        <v/>
      </c>
      <c r="O438" t="str">
        <f t="shared" si="52"/>
        <v/>
      </c>
      <c r="P438" t="str">
        <f>IF(M438="","",VLOOKUP(B438,'Team Stats'!$B$3:$K$18,5,0))</f>
        <v/>
      </c>
      <c r="Q438" t="str">
        <f t="shared" si="53"/>
        <v/>
      </c>
      <c r="R438" t="str">
        <f>IF(M438="","",VLOOKUP(N438,Sim!$EF$46:$EG$61,2,0))</f>
        <v/>
      </c>
      <c r="S438" t="str">
        <f>IF(M438="","",VLOOKUP(N438,'Team Stats'!$B$3:$K$18,10,0))</f>
        <v/>
      </c>
      <c r="T438" s="84" t="str">
        <f t="shared" si="54"/>
        <v/>
      </c>
      <c r="U438" t="str">
        <f t="shared" si="55"/>
        <v/>
      </c>
    </row>
    <row r="439" spans="1:21">
      <c r="A439" s="73" t="s">
        <v>763</v>
      </c>
      <c r="B439" s="73" t="s">
        <v>210</v>
      </c>
      <c r="C439" s="74">
        <v>81</v>
      </c>
      <c r="D439" s="74"/>
      <c r="E439" s="74">
        <v>7</v>
      </c>
      <c r="F439" s="74"/>
      <c r="G439" s="74">
        <v>7</v>
      </c>
      <c r="H439" s="74"/>
      <c r="I439" s="63">
        <v>14</v>
      </c>
      <c r="J439" t="b">
        <f t="shared" si="48"/>
        <v>1</v>
      </c>
      <c r="K439" t="b">
        <f t="shared" si="49"/>
        <v>1</v>
      </c>
      <c r="M439" t="str">
        <f t="shared" si="50"/>
        <v> Chris Thorburn</v>
      </c>
      <c r="N439" t="str">
        <f t="shared" si="51"/>
        <v>WPG</v>
      </c>
      <c r="O439">
        <f t="shared" si="52"/>
        <v>14</v>
      </c>
      <c r="P439">
        <f>IF(M439="","",VLOOKUP(B439,'Team Stats'!$B$3:$K$18,5,0))</f>
        <v>594</v>
      </c>
      <c r="Q439">
        <f t="shared" si="53"/>
        <v>2.3569023569023569E-2</v>
      </c>
      <c r="R439">
        <f ca="1">IF(M439="","",VLOOKUP(N439,Sim!$EF$46:$EG$61,2,0))</f>
        <v>8.94</v>
      </c>
      <c r="S439">
        <f ca="1">IF(M439="","",VLOOKUP(N439,'Team Stats'!$B$3:$K$18,10,0))</f>
        <v>64.760487804878053</v>
      </c>
      <c r="T439" s="84">
        <f t="shared" ca="1" si="54"/>
        <v>1.5263414634146342</v>
      </c>
      <c r="U439">
        <f t="shared" ca="1" si="55"/>
        <v>191</v>
      </c>
    </row>
    <row r="440" spans="1:21">
      <c r="A440" s="73" t="s">
        <v>764</v>
      </c>
      <c r="B440" s="73" t="s">
        <v>222</v>
      </c>
      <c r="C440" s="74">
        <v>70</v>
      </c>
      <c r="D440" s="74"/>
      <c r="E440" s="74">
        <v>4</v>
      </c>
      <c r="F440" s="74"/>
      <c r="G440" s="74">
        <v>10</v>
      </c>
      <c r="H440" s="74"/>
      <c r="I440" s="63">
        <v>14</v>
      </c>
      <c r="J440" t="b">
        <f t="shared" si="48"/>
        <v>0</v>
      </c>
      <c r="K440" t="b">
        <f t="shared" si="49"/>
        <v>0</v>
      </c>
      <c r="M440" t="str">
        <f t="shared" si="50"/>
        <v/>
      </c>
      <c r="N440" t="str">
        <f t="shared" si="51"/>
        <v/>
      </c>
      <c r="O440" t="str">
        <f t="shared" si="52"/>
        <v/>
      </c>
      <c r="P440" t="str">
        <f>IF(M440="","",VLOOKUP(B440,'Team Stats'!$B$3:$K$18,5,0))</f>
        <v/>
      </c>
      <c r="Q440" t="str">
        <f t="shared" si="53"/>
        <v/>
      </c>
      <c r="R440" t="str">
        <f>IF(M440="","",VLOOKUP(N440,Sim!$EF$46:$EG$61,2,0))</f>
        <v/>
      </c>
      <c r="S440" t="str">
        <f>IF(M440="","",VLOOKUP(N440,'Team Stats'!$B$3:$K$18,10,0))</f>
        <v/>
      </c>
      <c r="T440" s="84" t="str">
        <f t="shared" si="54"/>
        <v/>
      </c>
      <c r="U440" t="str">
        <f t="shared" si="55"/>
        <v/>
      </c>
    </row>
    <row r="441" spans="1:21">
      <c r="A441" s="73" t="s">
        <v>765</v>
      </c>
      <c r="B441" s="73" t="s">
        <v>345</v>
      </c>
      <c r="C441" s="74">
        <v>68</v>
      </c>
      <c r="D441" s="74"/>
      <c r="E441" s="74">
        <v>3</v>
      </c>
      <c r="F441" s="74"/>
      <c r="G441" s="74">
        <v>11</v>
      </c>
      <c r="H441" s="74"/>
      <c r="I441" s="63">
        <v>14</v>
      </c>
      <c r="J441" t="b">
        <f t="shared" si="48"/>
        <v>0</v>
      </c>
      <c r="K441" t="b">
        <f t="shared" si="49"/>
        <v>0</v>
      </c>
      <c r="M441" t="str">
        <f t="shared" si="50"/>
        <v/>
      </c>
      <c r="N441" t="str">
        <f t="shared" si="51"/>
        <v/>
      </c>
      <c r="O441" t="str">
        <f t="shared" si="52"/>
        <v/>
      </c>
      <c r="P441" t="str">
        <f>IF(M441="","",VLOOKUP(B441,'Team Stats'!$B$3:$K$18,5,0))</f>
        <v/>
      </c>
      <c r="Q441" t="str">
        <f t="shared" si="53"/>
        <v/>
      </c>
      <c r="R441" t="str">
        <f>IF(M441="","",VLOOKUP(N441,Sim!$EF$46:$EG$61,2,0))</f>
        <v/>
      </c>
      <c r="S441" t="str">
        <f>IF(M441="","",VLOOKUP(N441,'Team Stats'!$B$3:$K$18,10,0))</f>
        <v/>
      </c>
      <c r="T441" s="84" t="str">
        <f t="shared" si="54"/>
        <v/>
      </c>
      <c r="U441" t="str">
        <f t="shared" si="55"/>
        <v/>
      </c>
    </row>
    <row r="442" spans="1:21">
      <c r="A442" s="73" t="s">
        <v>766</v>
      </c>
      <c r="B442" s="73" t="s">
        <v>221</v>
      </c>
      <c r="C442" s="74">
        <v>60</v>
      </c>
      <c r="D442" s="74"/>
      <c r="E442" s="74">
        <v>7</v>
      </c>
      <c r="F442" s="74"/>
      <c r="G442" s="74">
        <v>7</v>
      </c>
      <c r="H442" s="74"/>
      <c r="I442" s="63">
        <v>14</v>
      </c>
      <c r="J442" t="b">
        <f t="shared" si="48"/>
        <v>0</v>
      </c>
      <c r="K442" t="b">
        <f t="shared" si="49"/>
        <v>0</v>
      </c>
      <c r="M442" t="str">
        <f t="shared" si="50"/>
        <v/>
      </c>
      <c r="N442" t="str">
        <f t="shared" si="51"/>
        <v/>
      </c>
      <c r="O442" t="str">
        <f t="shared" si="52"/>
        <v/>
      </c>
      <c r="P442" t="str">
        <f>IF(M442="","",VLOOKUP(B442,'Team Stats'!$B$3:$K$18,5,0))</f>
        <v/>
      </c>
      <c r="Q442" t="str">
        <f t="shared" si="53"/>
        <v/>
      </c>
      <c r="R442" t="str">
        <f>IF(M442="","",VLOOKUP(N442,Sim!$EF$46:$EG$61,2,0))</f>
        <v/>
      </c>
      <c r="S442" t="str">
        <f>IF(M442="","",VLOOKUP(N442,'Team Stats'!$B$3:$K$18,10,0))</f>
        <v/>
      </c>
      <c r="T442" s="84" t="str">
        <f t="shared" si="54"/>
        <v/>
      </c>
      <c r="U442" t="str">
        <f t="shared" si="55"/>
        <v/>
      </c>
    </row>
    <row r="443" spans="1:21">
      <c r="A443" s="73" t="s">
        <v>767</v>
      </c>
      <c r="B443" s="73" t="s">
        <v>196</v>
      </c>
      <c r="C443" s="74">
        <v>78</v>
      </c>
      <c r="D443" s="74"/>
      <c r="E443" s="74">
        <v>8</v>
      </c>
      <c r="F443" s="74"/>
      <c r="G443" s="74">
        <v>6</v>
      </c>
      <c r="H443" s="74"/>
      <c r="I443" s="63">
        <v>14</v>
      </c>
      <c r="J443" t="b">
        <f t="shared" si="48"/>
        <v>1</v>
      </c>
      <c r="K443" t="b">
        <f t="shared" si="49"/>
        <v>1</v>
      </c>
      <c r="M443" t="str">
        <f t="shared" si="50"/>
        <v> Matt Martin</v>
      </c>
      <c r="N443" t="str">
        <f t="shared" si="51"/>
        <v>NYI</v>
      </c>
      <c r="O443">
        <f t="shared" si="52"/>
        <v>14</v>
      </c>
      <c r="P443">
        <f>IF(M443="","",VLOOKUP(B443,'Team Stats'!$B$3:$K$18,5,0))</f>
        <v>656</v>
      </c>
      <c r="Q443">
        <f t="shared" si="53"/>
        <v>2.1341463414634148E-2</v>
      </c>
      <c r="R443">
        <f ca="1">IF(M443="","",VLOOKUP(N443,Sim!$EF$46:$EG$61,2,0))</f>
        <v>13.18</v>
      </c>
      <c r="S443">
        <f ca="1">IF(M443="","",VLOOKUP(N443,'Team Stats'!$B$3:$K$18,10,0))</f>
        <v>105.44</v>
      </c>
      <c r="T443" s="84">
        <f t="shared" ca="1" si="54"/>
        <v>2.2502439024390246</v>
      </c>
      <c r="U443">
        <f t="shared" ca="1" si="55"/>
        <v>156</v>
      </c>
    </row>
    <row r="444" spans="1:21">
      <c r="A444" s="73" t="s">
        <v>768</v>
      </c>
      <c r="B444" s="73" t="s">
        <v>206</v>
      </c>
      <c r="C444" s="74">
        <v>60</v>
      </c>
      <c r="D444" s="74"/>
      <c r="E444" s="74">
        <v>4</v>
      </c>
      <c r="F444" s="74"/>
      <c r="G444" s="74">
        <v>10</v>
      </c>
      <c r="H444" s="74"/>
      <c r="I444" s="63">
        <v>14</v>
      </c>
      <c r="J444" t="b">
        <f t="shared" si="48"/>
        <v>1</v>
      </c>
      <c r="K444" t="b">
        <f t="shared" si="49"/>
        <v>1</v>
      </c>
      <c r="M444" t="str">
        <f t="shared" si="50"/>
        <v> Kevin Bieksa</v>
      </c>
      <c r="N444" t="str">
        <f t="shared" si="51"/>
        <v>VAN</v>
      </c>
      <c r="O444">
        <f t="shared" si="52"/>
        <v>14</v>
      </c>
      <c r="P444">
        <f>IF(M444="","",VLOOKUP(B444,'Team Stats'!$B$3:$K$18,5,0))</f>
        <v>642</v>
      </c>
      <c r="Q444">
        <f t="shared" si="53"/>
        <v>2.1806853582554516E-2</v>
      </c>
      <c r="R444">
        <f ca="1">IF(M444="","",VLOOKUP(N444,Sim!$EF$46:$EG$61,2,0))</f>
        <v>10.35</v>
      </c>
      <c r="S444">
        <f ca="1">IF(M444="","",VLOOKUP(N444,'Team Stats'!$B$3:$K$18,10,0))</f>
        <v>81.032926829268291</v>
      </c>
      <c r="T444" s="84">
        <f t="shared" ca="1" si="54"/>
        <v>1.7670731707317071</v>
      </c>
      <c r="U444">
        <f t="shared" ca="1" si="55"/>
        <v>177</v>
      </c>
    </row>
    <row r="445" spans="1:21">
      <c r="A445" s="73" t="s">
        <v>769</v>
      </c>
      <c r="B445" s="73" t="s">
        <v>217</v>
      </c>
      <c r="C445" s="74">
        <v>82</v>
      </c>
      <c r="D445" s="74"/>
      <c r="E445" s="74">
        <v>3</v>
      </c>
      <c r="F445" s="74"/>
      <c r="G445" s="74">
        <v>11</v>
      </c>
      <c r="H445" s="74"/>
      <c r="I445" s="63">
        <v>14</v>
      </c>
      <c r="J445" t="b">
        <f t="shared" si="48"/>
        <v>0</v>
      </c>
      <c r="K445" t="b">
        <f t="shared" si="49"/>
        <v>0</v>
      </c>
      <c r="M445" t="str">
        <f t="shared" si="50"/>
        <v/>
      </c>
      <c r="N445" t="str">
        <f t="shared" si="51"/>
        <v/>
      </c>
      <c r="O445" t="str">
        <f t="shared" si="52"/>
        <v/>
      </c>
      <c r="P445" t="str">
        <f>IF(M445="","",VLOOKUP(B445,'Team Stats'!$B$3:$K$18,5,0))</f>
        <v/>
      </c>
      <c r="Q445" t="str">
        <f t="shared" si="53"/>
        <v/>
      </c>
      <c r="R445" t="str">
        <f>IF(M445="","",VLOOKUP(N445,Sim!$EF$46:$EG$61,2,0))</f>
        <v/>
      </c>
      <c r="S445" t="str">
        <f>IF(M445="","",VLOOKUP(N445,'Team Stats'!$B$3:$K$18,10,0))</f>
        <v/>
      </c>
      <c r="T445" s="84" t="str">
        <f t="shared" si="54"/>
        <v/>
      </c>
      <c r="U445" t="str">
        <f t="shared" si="55"/>
        <v/>
      </c>
    </row>
    <row r="446" spans="1:21">
      <c r="A446" s="73" t="s">
        <v>770</v>
      </c>
      <c r="B446" s="73" t="s">
        <v>210</v>
      </c>
      <c r="C446" s="74">
        <v>70</v>
      </c>
      <c r="D446" s="74"/>
      <c r="E446" s="74">
        <v>2</v>
      </c>
      <c r="F446" s="74"/>
      <c r="G446" s="74">
        <v>12</v>
      </c>
      <c r="H446" s="74"/>
      <c r="I446" s="63">
        <v>14</v>
      </c>
      <c r="J446" t="b">
        <f t="shared" si="48"/>
        <v>1</v>
      </c>
      <c r="K446" t="b">
        <f t="shared" si="49"/>
        <v>1</v>
      </c>
      <c r="M446" t="str">
        <f t="shared" si="50"/>
        <v> Mark Stuart</v>
      </c>
      <c r="N446" t="str">
        <f t="shared" si="51"/>
        <v>WPG</v>
      </c>
      <c r="O446">
        <f t="shared" si="52"/>
        <v>14</v>
      </c>
      <c r="P446">
        <f>IF(M446="","",VLOOKUP(B446,'Team Stats'!$B$3:$K$18,5,0))</f>
        <v>594</v>
      </c>
      <c r="Q446">
        <f t="shared" si="53"/>
        <v>2.3569023569023569E-2</v>
      </c>
      <c r="R446">
        <f ca="1">IF(M446="","",VLOOKUP(N446,Sim!$EF$46:$EG$61,2,0))</f>
        <v>8.94</v>
      </c>
      <c r="S446">
        <f ca="1">IF(M446="","",VLOOKUP(N446,'Team Stats'!$B$3:$K$18,10,0))</f>
        <v>64.760487804878053</v>
      </c>
      <c r="T446" s="84">
        <f t="shared" ca="1" si="54"/>
        <v>1.5263414634146342</v>
      </c>
      <c r="U446">
        <f t="shared" ca="1" si="55"/>
        <v>191</v>
      </c>
    </row>
    <row r="447" spans="1:21">
      <c r="A447" s="73" t="s">
        <v>771</v>
      </c>
      <c r="B447" s="73" t="s">
        <v>331</v>
      </c>
      <c r="C447" s="74">
        <v>51</v>
      </c>
      <c r="D447" s="74"/>
      <c r="E447" s="74">
        <v>6</v>
      </c>
      <c r="F447" s="74"/>
      <c r="G447" s="74">
        <v>8</v>
      </c>
      <c r="H447" s="74"/>
      <c r="I447" s="63">
        <v>14</v>
      </c>
      <c r="J447" t="b">
        <f t="shared" si="48"/>
        <v>0</v>
      </c>
      <c r="K447" t="b">
        <f t="shared" si="49"/>
        <v>0</v>
      </c>
      <c r="M447" t="str">
        <f t="shared" si="50"/>
        <v/>
      </c>
      <c r="N447" t="str">
        <f t="shared" si="51"/>
        <v/>
      </c>
      <c r="O447" t="str">
        <f t="shared" si="52"/>
        <v/>
      </c>
      <c r="P447" t="str">
        <f>IF(M447="","",VLOOKUP(B447,'Team Stats'!$B$3:$K$18,5,0))</f>
        <v/>
      </c>
      <c r="Q447" t="str">
        <f t="shared" si="53"/>
        <v/>
      </c>
      <c r="R447" t="str">
        <f>IF(M447="","",VLOOKUP(N447,Sim!$EF$46:$EG$61,2,0))</f>
        <v/>
      </c>
      <c r="S447" t="str">
        <f>IF(M447="","",VLOOKUP(N447,'Team Stats'!$B$3:$K$18,10,0))</f>
        <v/>
      </c>
      <c r="T447" s="84" t="str">
        <f t="shared" si="54"/>
        <v/>
      </c>
      <c r="U447" t="str">
        <f t="shared" si="55"/>
        <v/>
      </c>
    </row>
    <row r="448" spans="1:21">
      <c r="A448" s="73" t="s">
        <v>772</v>
      </c>
      <c r="B448" s="73" t="s">
        <v>199</v>
      </c>
      <c r="C448" s="74">
        <v>68</v>
      </c>
      <c r="D448" s="74"/>
      <c r="E448" s="74">
        <v>5</v>
      </c>
      <c r="F448" s="74"/>
      <c r="G448" s="74">
        <v>9</v>
      </c>
      <c r="H448" s="74"/>
      <c r="I448" s="63">
        <v>14</v>
      </c>
      <c r="J448" t="b">
        <f t="shared" si="48"/>
        <v>0</v>
      </c>
      <c r="K448" t="b">
        <f t="shared" si="49"/>
        <v>0</v>
      </c>
      <c r="M448" t="str">
        <f t="shared" si="50"/>
        <v/>
      </c>
      <c r="N448" t="str">
        <f t="shared" si="51"/>
        <v/>
      </c>
      <c r="O448" t="str">
        <f t="shared" si="52"/>
        <v/>
      </c>
      <c r="P448" t="str">
        <f>IF(M448="","",VLOOKUP(B448,'Team Stats'!$B$3:$K$18,5,0))</f>
        <v/>
      </c>
      <c r="Q448" t="str">
        <f t="shared" si="53"/>
        <v/>
      </c>
      <c r="R448" t="str">
        <f>IF(M448="","",VLOOKUP(N448,Sim!$EF$46:$EG$61,2,0))</f>
        <v/>
      </c>
      <c r="S448" t="str">
        <f>IF(M448="","",VLOOKUP(N448,'Team Stats'!$B$3:$K$18,10,0))</f>
        <v/>
      </c>
      <c r="T448" s="84" t="str">
        <f t="shared" si="54"/>
        <v/>
      </c>
      <c r="U448" t="str">
        <f t="shared" si="55"/>
        <v/>
      </c>
    </row>
    <row r="449" spans="1:21">
      <c r="A449" s="73" t="s">
        <v>773</v>
      </c>
      <c r="B449" s="73" t="s">
        <v>215</v>
      </c>
      <c r="C449" s="74">
        <v>70</v>
      </c>
      <c r="D449" s="74"/>
      <c r="E449" s="74">
        <v>3</v>
      </c>
      <c r="F449" s="74"/>
      <c r="G449" s="74">
        <v>11</v>
      </c>
      <c r="H449" s="74"/>
      <c r="I449" s="63">
        <v>14</v>
      </c>
      <c r="J449" t="b">
        <f t="shared" si="48"/>
        <v>0</v>
      </c>
      <c r="K449" t="b">
        <f t="shared" si="49"/>
        <v>0</v>
      </c>
      <c r="M449" t="str">
        <f t="shared" si="50"/>
        <v/>
      </c>
      <c r="N449" t="str">
        <f t="shared" si="51"/>
        <v/>
      </c>
      <c r="O449" t="str">
        <f t="shared" si="52"/>
        <v/>
      </c>
      <c r="P449" t="str">
        <f>IF(M449="","",VLOOKUP(B449,'Team Stats'!$B$3:$K$18,5,0))</f>
        <v/>
      </c>
      <c r="Q449" t="str">
        <f t="shared" si="53"/>
        <v/>
      </c>
      <c r="R449" t="str">
        <f>IF(M449="","",VLOOKUP(N449,Sim!$EF$46:$EG$61,2,0))</f>
        <v/>
      </c>
      <c r="S449" t="str">
        <f>IF(M449="","",VLOOKUP(N449,'Team Stats'!$B$3:$K$18,10,0))</f>
        <v/>
      </c>
      <c r="T449" s="84" t="str">
        <f t="shared" si="54"/>
        <v/>
      </c>
      <c r="U449" t="str">
        <f t="shared" si="55"/>
        <v/>
      </c>
    </row>
    <row r="450" spans="1:21">
      <c r="A450" s="73" t="s">
        <v>774</v>
      </c>
      <c r="B450" s="73" t="s">
        <v>199</v>
      </c>
      <c r="C450" s="74">
        <v>58</v>
      </c>
      <c r="D450" s="74"/>
      <c r="E450" s="74">
        <v>3</v>
      </c>
      <c r="F450" s="74"/>
      <c r="G450" s="74">
        <v>11</v>
      </c>
      <c r="H450" s="74"/>
      <c r="I450" s="63">
        <v>14</v>
      </c>
      <c r="J450" t="b">
        <f t="shared" si="48"/>
        <v>0</v>
      </c>
      <c r="K450" t="b">
        <f t="shared" si="49"/>
        <v>0</v>
      </c>
      <c r="M450" t="str">
        <f t="shared" si="50"/>
        <v/>
      </c>
      <c r="N450" t="str">
        <f t="shared" si="51"/>
        <v/>
      </c>
      <c r="O450" t="str">
        <f t="shared" si="52"/>
        <v/>
      </c>
      <c r="P450" t="str">
        <f>IF(M450="","",VLOOKUP(B450,'Team Stats'!$B$3:$K$18,5,0))</f>
        <v/>
      </c>
      <c r="Q450" t="str">
        <f t="shared" si="53"/>
        <v/>
      </c>
      <c r="R450" t="str">
        <f>IF(M450="","",VLOOKUP(N450,Sim!$EF$46:$EG$61,2,0))</f>
        <v/>
      </c>
      <c r="S450" t="str">
        <f>IF(M450="","",VLOOKUP(N450,'Team Stats'!$B$3:$K$18,10,0))</f>
        <v/>
      </c>
      <c r="T450" s="84" t="str">
        <f t="shared" si="54"/>
        <v/>
      </c>
      <c r="U450" t="str">
        <f t="shared" si="55"/>
        <v/>
      </c>
    </row>
    <row r="451" spans="1:21">
      <c r="A451" s="73" t="s">
        <v>775</v>
      </c>
      <c r="B451" s="73" t="s">
        <v>345</v>
      </c>
      <c r="C451" s="74">
        <v>65</v>
      </c>
      <c r="D451" s="74"/>
      <c r="E451" s="74">
        <v>6</v>
      </c>
      <c r="F451" s="74"/>
      <c r="G451" s="74">
        <v>8</v>
      </c>
      <c r="H451" s="74"/>
      <c r="I451" s="63">
        <v>14</v>
      </c>
      <c r="J451" t="b">
        <f t="shared" si="48"/>
        <v>0</v>
      </c>
      <c r="K451" t="b">
        <f t="shared" si="49"/>
        <v>0</v>
      </c>
      <c r="M451" t="str">
        <f t="shared" si="50"/>
        <v/>
      </c>
      <c r="N451" t="str">
        <f t="shared" si="51"/>
        <v/>
      </c>
      <c r="O451" t="str">
        <f t="shared" si="52"/>
        <v/>
      </c>
      <c r="P451" t="str">
        <f>IF(M451="","",VLOOKUP(B451,'Team Stats'!$B$3:$K$18,5,0))</f>
        <v/>
      </c>
      <c r="Q451" t="str">
        <f t="shared" si="53"/>
        <v/>
      </c>
      <c r="R451" t="str">
        <f>IF(M451="","",VLOOKUP(N451,Sim!$EF$46:$EG$61,2,0))</f>
        <v/>
      </c>
      <c r="S451" t="str">
        <f>IF(M451="","",VLOOKUP(N451,'Team Stats'!$B$3:$K$18,10,0))</f>
        <v/>
      </c>
      <c r="T451" s="84" t="str">
        <f t="shared" si="54"/>
        <v/>
      </c>
      <c r="U451" t="str">
        <f t="shared" si="55"/>
        <v/>
      </c>
    </row>
    <row r="452" spans="1:21">
      <c r="A452" s="73" t="s">
        <v>776</v>
      </c>
      <c r="B452" s="73" t="s">
        <v>203</v>
      </c>
      <c r="C452" s="74">
        <v>58</v>
      </c>
      <c r="D452" s="74"/>
      <c r="E452" s="74">
        <v>6</v>
      </c>
      <c r="F452" s="74"/>
      <c r="G452" s="74">
        <v>8</v>
      </c>
      <c r="H452" s="74"/>
      <c r="I452" s="63">
        <v>14</v>
      </c>
      <c r="J452" t="b">
        <f t="shared" ref="J452:J515" si="56">OR(B452="MTL",B452="OTT",B452="TBL",B452="DET",B452="WSH",B452="NYI",B452="NYR",B452="PIT",B452="STL",B452="MIN",B452="NSH",B452="CHI",B452="VAN",B452="CAL",B452="ANA",B452="WPG")</f>
        <v>1</v>
      </c>
      <c r="K452" t="b">
        <f t="shared" ref="K452:K515" si="57">J452</f>
        <v>1</v>
      </c>
      <c r="M452" t="str">
        <f t="shared" ref="M452:M515" si="58">IF(K452=FALSE,"",A452)</f>
        <v> Jesper Fast</v>
      </c>
      <c r="N452" t="str">
        <f t="shared" ref="N452:N515" si="59">IF(M452="","",B452)</f>
        <v>NYR</v>
      </c>
      <c r="O452">
        <f t="shared" ref="O452:O515" si="60">IF(M452="","",I452)</f>
        <v>14</v>
      </c>
      <c r="P452">
        <f>IF(M452="","",VLOOKUP(B452,'Team Stats'!$B$3:$K$18,5,0))</f>
        <v>659</v>
      </c>
      <c r="Q452">
        <f t="shared" ref="Q452:Q515" si="61">IF(N452="","",IF(O452=0,0,O452/P452))</f>
        <v>2.1244309559939303E-2</v>
      </c>
      <c r="R452">
        <f ca="1">IF(M452="","",VLOOKUP(N452,Sim!$EF$46:$EG$61,2,0))</f>
        <v>8.7200000000000006</v>
      </c>
      <c r="S452">
        <f ca="1">IF(M452="","",VLOOKUP(N452,'Team Stats'!$B$3:$K$18,10,0))</f>
        <v>70.079024390243916</v>
      </c>
      <c r="T452" s="84">
        <f t="shared" ref="T452:T515" ca="1" si="62">IF(M452="","",IF(O452=0,0,Q452*S452))</f>
        <v>1.4887804878048785</v>
      </c>
      <c r="U452">
        <f t="shared" ref="U452:U515" ca="1" si="63">IF(M452="","",RANK(T452,$T$3:$T$884,0))</f>
        <v>194</v>
      </c>
    </row>
    <row r="453" spans="1:21">
      <c r="A453" s="73" t="s">
        <v>777</v>
      </c>
      <c r="B453" s="73" t="s">
        <v>198</v>
      </c>
      <c r="C453" s="74">
        <v>49</v>
      </c>
      <c r="D453" s="74"/>
      <c r="E453" s="74">
        <v>3</v>
      </c>
      <c r="F453" s="74"/>
      <c r="G453" s="74">
        <v>11</v>
      </c>
      <c r="H453" s="74"/>
      <c r="I453" s="63">
        <v>14</v>
      </c>
      <c r="J453" t="b">
        <f t="shared" si="56"/>
        <v>1</v>
      </c>
      <c r="K453" t="b">
        <f t="shared" si="57"/>
        <v>1</v>
      </c>
      <c r="M453" t="str">
        <f t="shared" si="58"/>
        <v> Christian Ehrhoff</v>
      </c>
      <c r="N453" t="str">
        <f t="shared" si="59"/>
        <v>PIT</v>
      </c>
      <c r="O453">
        <f t="shared" si="60"/>
        <v>14</v>
      </c>
      <c r="P453">
        <f>IF(M453="","",VLOOKUP(B453,'Team Stats'!$B$3:$K$18,5,0))</f>
        <v>600</v>
      </c>
      <c r="Q453">
        <f t="shared" si="61"/>
        <v>2.3333333333333334E-2</v>
      </c>
      <c r="R453">
        <f ca="1">IF(M453="","",VLOOKUP(N453,Sim!$EF$46:$EG$61,2,0))</f>
        <v>9.74</v>
      </c>
      <c r="S453">
        <f ca="1">IF(M453="","",VLOOKUP(N453,'Team Stats'!$B$3:$K$18,10,0))</f>
        <v>71.268292682926827</v>
      </c>
      <c r="T453" s="84">
        <f t="shared" ca="1" si="62"/>
        <v>1.6629268292682926</v>
      </c>
      <c r="U453">
        <f t="shared" ca="1" si="63"/>
        <v>180</v>
      </c>
    </row>
    <row r="454" spans="1:21">
      <c r="A454" s="73" t="s">
        <v>778</v>
      </c>
      <c r="B454" s="73" t="s">
        <v>220</v>
      </c>
      <c r="C454" s="74">
        <v>66</v>
      </c>
      <c r="D454" s="74"/>
      <c r="E454" s="74">
        <v>2</v>
      </c>
      <c r="F454" s="74"/>
      <c r="G454" s="74">
        <v>12</v>
      </c>
      <c r="H454" s="74"/>
      <c r="I454" s="63">
        <v>14</v>
      </c>
      <c r="J454" t="b">
        <f t="shared" si="56"/>
        <v>0</v>
      </c>
      <c r="K454" t="b">
        <f t="shared" si="57"/>
        <v>0</v>
      </c>
      <c r="M454" t="str">
        <f t="shared" si="58"/>
        <v/>
      </c>
      <c r="N454" t="str">
        <f t="shared" si="59"/>
        <v/>
      </c>
      <c r="O454" t="str">
        <f t="shared" si="60"/>
        <v/>
      </c>
      <c r="P454" t="str">
        <f>IF(M454="","",VLOOKUP(B454,'Team Stats'!$B$3:$K$18,5,0))</f>
        <v/>
      </c>
      <c r="Q454" t="str">
        <f t="shared" si="61"/>
        <v/>
      </c>
      <c r="R454" t="str">
        <f>IF(M454="","",VLOOKUP(N454,Sim!$EF$46:$EG$61,2,0))</f>
        <v/>
      </c>
      <c r="S454" t="str">
        <f>IF(M454="","",VLOOKUP(N454,'Team Stats'!$B$3:$K$18,10,0))</f>
        <v/>
      </c>
      <c r="T454" s="84" t="str">
        <f t="shared" si="62"/>
        <v/>
      </c>
      <c r="U454" t="str">
        <f t="shared" si="63"/>
        <v/>
      </c>
    </row>
    <row r="455" spans="1:21">
      <c r="A455" s="73" t="s">
        <v>779</v>
      </c>
      <c r="B455" s="73" t="s">
        <v>345</v>
      </c>
      <c r="C455" s="74">
        <v>48</v>
      </c>
      <c r="D455" s="74"/>
      <c r="E455" s="74">
        <v>1</v>
      </c>
      <c r="F455" s="74"/>
      <c r="G455" s="74">
        <v>13</v>
      </c>
      <c r="H455" s="74"/>
      <c r="I455" s="63">
        <v>14</v>
      </c>
      <c r="J455" t="b">
        <f t="shared" si="56"/>
        <v>0</v>
      </c>
      <c r="K455" t="b">
        <f t="shared" si="57"/>
        <v>0</v>
      </c>
      <c r="M455" t="str">
        <f t="shared" si="58"/>
        <v/>
      </c>
      <c r="N455" t="str">
        <f t="shared" si="59"/>
        <v/>
      </c>
      <c r="O455" t="str">
        <f t="shared" si="60"/>
        <v/>
      </c>
      <c r="P455" t="str">
        <f>IF(M455="","",VLOOKUP(B455,'Team Stats'!$B$3:$K$18,5,0))</f>
        <v/>
      </c>
      <c r="Q455" t="str">
        <f t="shared" si="61"/>
        <v/>
      </c>
      <c r="R455" t="str">
        <f>IF(M455="","",VLOOKUP(N455,Sim!$EF$46:$EG$61,2,0))</f>
        <v/>
      </c>
      <c r="S455" t="str">
        <f>IF(M455="","",VLOOKUP(N455,'Team Stats'!$B$3:$K$18,10,0))</f>
        <v/>
      </c>
      <c r="T455" s="84" t="str">
        <f t="shared" si="62"/>
        <v/>
      </c>
      <c r="U455" t="str">
        <f t="shared" si="63"/>
        <v/>
      </c>
    </row>
    <row r="456" spans="1:21">
      <c r="A456" s="73" t="s">
        <v>780</v>
      </c>
      <c r="B456" s="73" t="s">
        <v>196</v>
      </c>
      <c r="C456" s="74">
        <v>38</v>
      </c>
      <c r="D456" s="74"/>
      <c r="E456" s="74">
        <v>6</v>
      </c>
      <c r="F456" s="74"/>
      <c r="G456" s="74">
        <v>8</v>
      </c>
      <c r="H456" s="74"/>
      <c r="I456" s="63">
        <v>14</v>
      </c>
      <c r="J456" t="b">
        <f t="shared" si="56"/>
        <v>1</v>
      </c>
      <c r="K456" t="b">
        <f t="shared" si="57"/>
        <v>1</v>
      </c>
      <c r="M456" t="str">
        <f t="shared" si="58"/>
        <v> Tyler Kennedy</v>
      </c>
      <c r="N456" t="str">
        <f t="shared" si="59"/>
        <v>NYI</v>
      </c>
      <c r="O456">
        <f t="shared" si="60"/>
        <v>14</v>
      </c>
      <c r="P456">
        <f>IF(M456="","",VLOOKUP(B456,'Team Stats'!$B$3:$K$18,5,0))</f>
        <v>656</v>
      </c>
      <c r="Q456">
        <f t="shared" si="61"/>
        <v>2.1341463414634148E-2</v>
      </c>
      <c r="R456">
        <f ca="1">IF(M456="","",VLOOKUP(N456,Sim!$EF$46:$EG$61,2,0))</f>
        <v>13.18</v>
      </c>
      <c r="S456">
        <f ca="1">IF(M456="","",VLOOKUP(N456,'Team Stats'!$B$3:$K$18,10,0))</f>
        <v>105.44</v>
      </c>
      <c r="T456" s="84">
        <f t="shared" ca="1" si="62"/>
        <v>2.2502439024390246</v>
      </c>
      <c r="U456">
        <f t="shared" ca="1" si="63"/>
        <v>156</v>
      </c>
    </row>
    <row r="457" spans="1:21">
      <c r="A457" s="73" t="s">
        <v>781</v>
      </c>
      <c r="B457" s="73" t="s">
        <v>220</v>
      </c>
      <c r="C457" s="74">
        <v>40</v>
      </c>
      <c r="D457" s="74"/>
      <c r="E457" s="74">
        <v>5</v>
      </c>
      <c r="F457" s="74"/>
      <c r="G457" s="74">
        <v>9</v>
      </c>
      <c r="H457" s="74"/>
      <c r="I457" s="63">
        <v>14</v>
      </c>
      <c r="J457" t="b">
        <f t="shared" si="56"/>
        <v>0</v>
      </c>
      <c r="K457" t="b">
        <f t="shared" si="57"/>
        <v>0</v>
      </c>
      <c r="M457" t="str">
        <f t="shared" si="58"/>
        <v/>
      </c>
      <c r="N457" t="str">
        <f t="shared" si="59"/>
        <v/>
      </c>
      <c r="O457" t="str">
        <f t="shared" si="60"/>
        <v/>
      </c>
      <c r="P457" t="str">
        <f>IF(M457="","",VLOOKUP(B457,'Team Stats'!$B$3:$K$18,5,0))</f>
        <v/>
      </c>
      <c r="Q457" t="str">
        <f t="shared" si="61"/>
        <v/>
      </c>
      <c r="R457" t="str">
        <f>IF(M457="","",VLOOKUP(N457,Sim!$EF$46:$EG$61,2,0))</f>
        <v/>
      </c>
      <c r="S457" t="str">
        <f>IF(M457="","",VLOOKUP(N457,'Team Stats'!$B$3:$K$18,10,0))</f>
        <v/>
      </c>
      <c r="T457" s="84" t="str">
        <f t="shared" si="62"/>
        <v/>
      </c>
      <c r="U457" t="str">
        <f t="shared" si="63"/>
        <v/>
      </c>
    </row>
    <row r="458" spans="1:21">
      <c r="A458" s="73" t="s">
        <v>782</v>
      </c>
      <c r="B458" s="73" t="s">
        <v>198</v>
      </c>
      <c r="C458" s="74">
        <v>60</v>
      </c>
      <c r="D458" s="74"/>
      <c r="E458" s="74">
        <v>2</v>
      </c>
      <c r="F458" s="74"/>
      <c r="G458" s="74">
        <v>12</v>
      </c>
      <c r="H458" s="74"/>
      <c r="I458" s="63">
        <v>14</v>
      </c>
      <c r="J458" t="b">
        <f t="shared" si="56"/>
        <v>1</v>
      </c>
      <c r="K458" t="b">
        <f t="shared" si="57"/>
        <v>1</v>
      </c>
      <c r="M458" t="str">
        <f t="shared" si="58"/>
        <v> Ben Lovejoy</v>
      </c>
      <c r="N458" t="str">
        <f t="shared" si="59"/>
        <v>PIT</v>
      </c>
      <c r="O458">
        <f t="shared" si="60"/>
        <v>14</v>
      </c>
      <c r="P458">
        <f>IF(M458="","",VLOOKUP(B458,'Team Stats'!$B$3:$K$18,5,0))</f>
        <v>600</v>
      </c>
      <c r="Q458">
        <f t="shared" si="61"/>
        <v>2.3333333333333334E-2</v>
      </c>
      <c r="R458">
        <f ca="1">IF(M458="","",VLOOKUP(N458,Sim!$EF$46:$EG$61,2,0))</f>
        <v>9.74</v>
      </c>
      <c r="S458">
        <f ca="1">IF(M458="","",VLOOKUP(N458,'Team Stats'!$B$3:$K$18,10,0))</f>
        <v>71.268292682926827</v>
      </c>
      <c r="T458" s="84">
        <f t="shared" ca="1" si="62"/>
        <v>1.6629268292682926</v>
      </c>
      <c r="U458">
        <f t="shared" ca="1" si="63"/>
        <v>180</v>
      </c>
    </row>
    <row r="459" spans="1:21">
      <c r="A459" s="73" t="s">
        <v>783</v>
      </c>
      <c r="B459" s="73" t="s">
        <v>214</v>
      </c>
      <c r="C459" s="74">
        <v>56</v>
      </c>
      <c r="D459" s="74"/>
      <c r="E459" s="74">
        <v>3</v>
      </c>
      <c r="F459" s="74"/>
      <c r="G459" s="74">
        <v>10</v>
      </c>
      <c r="H459" s="74"/>
      <c r="I459" s="63">
        <v>13</v>
      </c>
      <c r="J459" t="b">
        <f t="shared" si="56"/>
        <v>1</v>
      </c>
      <c r="K459" t="b">
        <f t="shared" si="57"/>
        <v>1</v>
      </c>
      <c r="M459" t="str">
        <f t="shared" si="58"/>
        <v> Patrick Wiercioch</v>
      </c>
      <c r="N459" t="str">
        <f t="shared" si="59"/>
        <v>OTT</v>
      </c>
      <c r="O459">
        <f t="shared" si="60"/>
        <v>13</v>
      </c>
      <c r="P459">
        <f>IF(M459="","",VLOOKUP(B459,'Team Stats'!$B$3:$K$18,5,0))</f>
        <v>619</v>
      </c>
      <c r="Q459">
        <f t="shared" si="61"/>
        <v>2.10016155088853E-2</v>
      </c>
      <c r="R459">
        <f ca="1">IF(M459="","",VLOOKUP(N459,Sim!$EF$46:$EG$61,2,0))</f>
        <v>10.71</v>
      </c>
      <c r="S459">
        <f ca="1">IF(M459="","",VLOOKUP(N459,'Team Stats'!$B$3:$K$18,10,0))</f>
        <v>80.847439024390255</v>
      </c>
      <c r="T459" s="84">
        <f t="shared" ca="1" si="62"/>
        <v>1.697926829268293</v>
      </c>
      <c r="U459">
        <f t="shared" ca="1" si="63"/>
        <v>179</v>
      </c>
    </row>
    <row r="460" spans="1:21">
      <c r="A460" s="73" t="s">
        <v>784</v>
      </c>
      <c r="B460" s="73" t="s">
        <v>336</v>
      </c>
      <c r="C460" s="74">
        <v>72</v>
      </c>
      <c r="D460" s="74"/>
      <c r="E460" s="74">
        <v>0</v>
      </c>
      <c r="F460" s="74"/>
      <c r="G460" s="74">
        <v>13</v>
      </c>
      <c r="H460" s="74"/>
      <c r="I460" s="63">
        <v>13</v>
      </c>
      <c r="J460" t="b">
        <f t="shared" si="56"/>
        <v>0</v>
      </c>
      <c r="K460" t="b">
        <f t="shared" si="57"/>
        <v>0</v>
      </c>
      <c r="M460" t="str">
        <f t="shared" si="58"/>
        <v/>
      </c>
      <c r="N460" t="str">
        <f t="shared" si="59"/>
        <v/>
      </c>
      <c r="O460" t="str">
        <f t="shared" si="60"/>
        <v/>
      </c>
      <c r="P460" t="str">
        <f>IF(M460="","",VLOOKUP(B460,'Team Stats'!$B$3:$K$18,5,0))</f>
        <v/>
      </c>
      <c r="Q460" t="str">
        <f t="shared" si="61"/>
        <v/>
      </c>
      <c r="R460" t="str">
        <f>IF(M460="","",VLOOKUP(N460,Sim!$EF$46:$EG$61,2,0))</f>
        <v/>
      </c>
      <c r="S460" t="str">
        <f>IF(M460="","",VLOOKUP(N460,'Team Stats'!$B$3:$K$18,10,0))</f>
        <v/>
      </c>
      <c r="T460" s="84" t="str">
        <f t="shared" si="62"/>
        <v/>
      </c>
      <c r="U460" t="str">
        <f t="shared" si="63"/>
        <v/>
      </c>
    </row>
    <row r="461" spans="1:21">
      <c r="A461" s="73" t="s">
        <v>785</v>
      </c>
      <c r="B461" s="73" t="s">
        <v>365</v>
      </c>
      <c r="C461" s="74">
        <v>69</v>
      </c>
      <c r="D461" s="74"/>
      <c r="E461" s="74">
        <v>3</v>
      </c>
      <c r="F461" s="74"/>
      <c r="G461" s="74">
        <v>10</v>
      </c>
      <c r="H461" s="74"/>
      <c r="I461" s="63">
        <v>13</v>
      </c>
      <c r="J461" t="b">
        <f t="shared" si="56"/>
        <v>0</v>
      </c>
      <c r="K461" t="b">
        <f t="shared" si="57"/>
        <v>0</v>
      </c>
      <c r="M461" t="str">
        <f t="shared" si="58"/>
        <v/>
      </c>
      <c r="N461" t="str">
        <f t="shared" si="59"/>
        <v/>
      </c>
      <c r="O461" t="str">
        <f t="shared" si="60"/>
        <v/>
      </c>
      <c r="P461" t="str">
        <f>IF(M461="","",VLOOKUP(B461,'Team Stats'!$B$3:$K$18,5,0))</f>
        <v/>
      </c>
      <c r="Q461" t="str">
        <f t="shared" si="61"/>
        <v/>
      </c>
      <c r="R461" t="str">
        <f>IF(M461="","",VLOOKUP(N461,Sim!$EF$46:$EG$61,2,0))</f>
        <v/>
      </c>
      <c r="S461" t="str">
        <f>IF(M461="","",VLOOKUP(N461,'Team Stats'!$B$3:$K$18,10,0))</f>
        <v/>
      </c>
      <c r="T461" s="84" t="str">
        <f t="shared" si="62"/>
        <v/>
      </c>
      <c r="U461" t="str">
        <f t="shared" si="63"/>
        <v/>
      </c>
    </row>
    <row r="462" spans="1:21">
      <c r="A462" s="73" t="s">
        <v>786</v>
      </c>
      <c r="B462" s="73" t="s">
        <v>220</v>
      </c>
      <c r="C462" s="74">
        <v>77</v>
      </c>
      <c r="D462" s="74"/>
      <c r="E462" s="74">
        <v>7</v>
      </c>
      <c r="F462" s="74"/>
      <c r="G462" s="74">
        <v>6</v>
      </c>
      <c r="H462" s="74"/>
      <c r="I462" s="63">
        <v>13</v>
      </c>
      <c r="J462" t="b">
        <f t="shared" si="56"/>
        <v>0</v>
      </c>
      <c r="K462" t="b">
        <f t="shared" si="57"/>
        <v>0</v>
      </c>
      <c r="M462" t="str">
        <f t="shared" si="58"/>
        <v/>
      </c>
      <c r="N462" t="str">
        <f t="shared" si="59"/>
        <v/>
      </c>
      <c r="O462" t="str">
        <f t="shared" si="60"/>
        <v/>
      </c>
      <c r="P462" t="str">
        <f>IF(M462="","",VLOOKUP(B462,'Team Stats'!$B$3:$K$18,5,0))</f>
        <v/>
      </c>
      <c r="Q462" t="str">
        <f t="shared" si="61"/>
        <v/>
      </c>
      <c r="R462" t="str">
        <f>IF(M462="","",VLOOKUP(N462,Sim!$EF$46:$EG$61,2,0))</f>
        <v/>
      </c>
      <c r="S462" t="str">
        <f>IF(M462="","",VLOOKUP(N462,'Team Stats'!$B$3:$K$18,10,0))</f>
        <v/>
      </c>
      <c r="T462" s="84" t="str">
        <f t="shared" si="62"/>
        <v/>
      </c>
      <c r="U462" t="str">
        <f t="shared" si="63"/>
        <v/>
      </c>
    </row>
    <row r="463" spans="1:21">
      <c r="A463" s="73" t="s">
        <v>787</v>
      </c>
      <c r="B463" s="73" t="s">
        <v>216</v>
      </c>
      <c r="C463" s="74">
        <v>81</v>
      </c>
      <c r="D463" s="74"/>
      <c r="E463" s="74">
        <v>1</v>
      </c>
      <c r="F463" s="74"/>
      <c r="G463" s="74">
        <v>12</v>
      </c>
      <c r="H463" s="74"/>
      <c r="I463" s="63">
        <v>13</v>
      </c>
      <c r="J463" t="b">
        <f t="shared" si="56"/>
        <v>0</v>
      </c>
      <c r="K463" t="b">
        <f t="shared" si="57"/>
        <v>0</v>
      </c>
      <c r="M463" t="str">
        <f t="shared" si="58"/>
        <v/>
      </c>
      <c r="N463" t="str">
        <f t="shared" si="59"/>
        <v/>
      </c>
      <c r="O463" t="str">
        <f t="shared" si="60"/>
        <v/>
      </c>
      <c r="P463" t="str">
        <f>IF(M463="","",VLOOKUP(B463,'Team Stats'!$B$3:$K$18,5,0))</f>
        <v/>
      </c>
      <c r="Q463" t="str">
        <f t="shared" si="61"/>
        <v/>
      </c>
      <c r="R463" t="str">
        <f>IF(M463="","",VLOOKUP(N463,Sim!$EF$46:$EG$61,2,0))</f>
        <v/>
      </c>
      <c r="S463" t="str">
        <f>IF(M463="","",VLOOKUP(N463,'Team Stats'!$B$3:$K$18,10,0))</f>
        <v/>
      </c>
      <c r="T463" s="84" t="str">
        <f t="shared" si="62"/>
        <v/>
      </c>
      <c r="U463" t="str">
        <f t="shared" si="63"/>
        <v/>
      </c>
    </row>
    <row r="464" spans="1:21">
      <c r="A464" s="73" t="s">
        <v>788</v>
      </c>
      <c r="B464" s="73" t="s">
        <v>220</v>
      </c>
      <c r="C464" s="74">
        <v>61</v>
      </c>
      <c r="D464" s="74"/>
      <c r="E464" s="74">
        <v>5</v>
      </c>
      <c r="F464" s="74"/>
      <c r="G464" s="74">
        <v>8</v>
      </c>
      <c r="H464" s="74"/>
      <c r="I464" s="63">
        <v>13</v>
      </c>
      <c r="J464" t="b">
        <f t="shared" si="56"/>
        <v>0</v>
      </c>
      <c r="K464" t="b">
        <f t="shared" si="57"/>
        <v>0</v>
      </c>
      <c r="M464" t="str">
        <f t="shared" si="58"/>
        <v/>
      </c>
      <c r="N464" t="str">
        <f t="shared" si="59"/>
        <v/>
      </c>
      <c r="O464" t="str">
        <f t="shared" si="60"/>
        <v/>
      </c>
      <c r="P464" t="str">
        <f>IF(M464="","",VLOOKUP(B464,'Team Stats'!$B$3:$K$18,5,0))</f>
        <v/>
      </c>
      <c r="Q464" t="str">
        <f t="shared" si="61"/>
        <v/>
      </c>
      <c r="R464" t="str">
        <f>IF(M464="","",VLOOKUP(N464,Sim!$EF$46:$EG$61,2,0))</f>
        <v/>
      </c>
      <c r="S464" t="str">
        <f>IF(M464="","",VLOOKUP(N464,'Team Stats'!$B$3:$K$18,10,0))</f>
        <v/>
      </c>
      <c r="T464" s="84" t="str">
        <f t="shared" si="62"/>
        <v/>
      </c>
      <c r="U464" t="str">
        <f t="shared" si="63"/>
        <v/>
      </c>
    </row>
    <row r="465" spans="1:21">
      <c r="A465" s="73" t="s">
        <v>789</v>
      </c>
      <c r="B465" s="73" t="s">
        <v>331</v>
      </c>
      <c r="C465" s="74">
        <v>54</v>
      </c>
      <c r="D465" s="74"/>
      <c r="E465" s="74">
        <v>7</v>
      </c>
      <c r="F465" s="74"/>
      <c r="G465" s="74">
        <v>6</v>
      </c>
      <c r="H465" s="74"/>
      <c r="I465" s="63">
        <v>13</v>
      </c>
      <c r="J465" t="b">
        <f t="shared" si="56"/>
        <v>0</v>
      </c>
      <c r="K465" t="b">
        <f t="shared" si="57"/>
        <v>0</v>
      </c>
      <c r="M465" t="str">
        <f t="shared" si="58"/>
        <v/>
      </c>
      <c r="N465" t="str">
        <f t="shared" si="59"/>
        <v/>
      </c>
      <c r="O465" t="str">
        <f t="shared" si="60"/>
        <v/>
      </c>
      <c r="P465" t="str">
        <f>IF(M465="","",VLOOKUP(B465,'Team Stats'!$B$3:$K$18,5,0))</f>
        <v/>
      </c>
      <c r="Q465" t="str">
        <f t="shared" si="61"/>
        <v/>
      </c>
      <c r="R465" t="str">
        <f>IF(M465="","",VLOOKUP(N465,Sim!$EF$46:$EG$61,2,0))</f>
        <v/>
      </c>
      <c r="S465" t="str">
        <f>IF(M465="","",VLOOKUP(N465,'Team Stats'!$B$3:$K$18,10,0))</f>
        <v/>
      </c>
      <c r="T465" s="84" t="str">
        <f t="shared" si="62"/>
        <v/>
      </c>
      <c r="U465" t="str">
        <f t="shared" si="63"/>
        <v/>
      </c>
    </row>
    <row r="466" spans="1:21">
      <c r="A466" s="73" t="s">
        <v>790</v>
      </c>
      <c r="B466" s="73" t="s">
        <v>219</v>
      </c>
      <c r="C466" s="74">
        <v>76</v>
      </c>
      <c r="D466" s="74"/>
      <c r="E466" s="74">
        <v>4</v>
      </c>
      <c r="F466" s="74"/>
      <c r="G466" s="74">
        <v>9</v>
      </c>
      <c r="H466" s="74"/>
      <c r="I466" s="63">
        <v>13</v>
      </c>
      <c r="J466" t="b">
        <f t="shared" si="56"/>
        <v>0</v>
      </c>
      <c r="K466" t="b">
        <f t="shared" si="57"/>
        <v>0</v>
      </c>
      <c r="M466" t="str">
        <f t="shared" si="58"/>
        <v/>
      </c>
      <c r="N466" t="str">
        <f t="shared" si="59"/>
        <v/>
      </c>
      <c r="O466" t="str">
        <f t="shared" si="60"/>
        <v/>
      </c>
      <c r="P466" t="str">
        <f>IF(M466="","",VLOOKUP(B466,'Team Stats'!$B$3:$K$18,5,0))</f>
        <v/>
      </c>
      <c r="Q466" t="str">
        <f t="shared" si="61"/>
        <v/>
      </c>
      <c r="R466" t="str">
        <f>IF(M466="","",VLOOKUP(N466,Sim!$EF$46:$EG$61,2,0))</f>
        <v/>
      </c>
      <c r="S466" t="str">
        <f>IF(M466="","",VLOOKUP(N466,'Team Stats'!$B$3:$K$18,10,0))</f>
        <v/>
      </c>
      <c r="T466" s="84" t="str">
        <f t="shared" si="62"/>
        <v/>
      </c>
      <c r="U466" t="str">
        <f t="shared" si="63"/>
        <v/>
      </c>
    </row>
    <row r="467" spans="1:21">
      <c r="A467" s="73" t="s">
        <v>791</v>
      </c>
      <c r="B467" s="73" t="s">
        <v>209</v>
      </c>
      <c r="C467" s="74">
        <v>35</v>
      </c>
      <c r="D467" s="74"/>
      <c r="E467" s="74">
        <v>5</v>
      </c>
      <c r="F467" s="74"/>
      <c r="G467" s="74">
        <v>8</v>
      </c>
      <c r="H467" s="74"/>
      <c r="I467" s="63">
        <v>13</v>
      </c>
      <c r="J467" t="b">
        <f t="shared" si="56"/>
        <v>1</v>
      </c>
      <c r="K467" t="b">
        <f t="shared" si="57"/>
        <v>1</v>
      </c>
      <c r="M467" t="str">
        <f t="shared" si="58"/>
        <v> Jakub Kindl</v>
      </c>
      <c r="N467" t="str">
        <f t="shared" si="59"/>
        <v>DET</v>
      </c>
      <c r="O467">
        <f t="shared" si="60"/>
        <v>13</v>
      </c>
      <c r="P467">
        <f>IF(M467="","",VLOOKUP(B467,'Team Stats'!$B$3:$K$18,5,0))</f>
        <v>630</v>
      </c>
      <c r="Q467">
        <f t="shared" si="61"/>
        <v>2.0634920634920634E-2</v>
      </c>
      <c r="R467">
        <f ca="1">IF(M467="","",VLOOKUP(N467,Sim!$EF$46:$EG$61,2,0))</f>
        <v>10.06</v>
      </c>
      <c r="S467">
        <f ca="1">IF(M467="","",VLOOKUP(N467,'Team Stats'!$B$3:$K$18,10,0))</f>
        <v>77.29024390243903</v>
      </c>
      <c r="T467" s="84">
        <f t="shared" ca="1" si="62"/>
        <v>1.5948780487804879</v>
      </c>
      <c r="U467">
        <f t="shared" ca="1" si="63"/>
        <v>182</v>
      </c>
    </row>
    <row r="468" spans="1:21">
      <c r="A468" s="73" t="s">
        <v>792</v>
      </c>
      <c r="B468" s="73" t="s">
        <v>357</v>
      </c>
      <c r="C468" s="74">
        <v>67</v>
      </c>
      <c r="D468" s="74"/>
      <c r="E468" s="74">
        <v>3</v>
      </c>
      <c r="F468" s="74"/>
      <c r="G468" s="74">
        <v>10</v>
      </c>
      <c r="H468" s="74"/>
      <c r="I468" s="63">
        <v>13</v>
      </c>
      <c r="J468" t="b">
        <f t="shared" si="56"/>
        <v>0</v>
      </c>
      <c r="K468" t="b">
        <f t="shared" si="57"/>
        <v>0</v>
      </c>
      <c r="M468" t="str">
        <f t="shared" si="58"/>
        <v/>
      </c>
      <c r="N468" t="str">
        <f t="shared" si="59"/>
        <v/>
      </c>
      <c r="O468" t="str">
        <f t="shared" si="60"/>
        <v/>
      </c>
      <c r="P468" t="str">
        <f>IF(M468="","",VLOOKUP(B468,'Team Stats'!$B$3:$K$18,5,0))</f>
        <v/>
      </c>
      <c r="Q468" t="str">
        <f t="shared" si="61"/>
        <v/>
      </c>
      <c r="R468" t="str">
        <f>IF(M468="","",VLOOKUP(N468,Sim!$EF$46:$EG$61,2,0))</f>
        <v/>
      </c>
      <c r="S468" t="str">
        <f>IF(M468="","",VLOOKUP(N468,'Team Stats'!$B$3:$K$18,10,0))</f>
        <v/>
      </c>
      <c r="T468" s="84" t="str">
        <f t="shared" si="62"/>
        <v/>
      </c>
      <c r="U468" t="str">
        <f t="shared" si="63"/>
        <v/>
      </c>
    </row>
    <row r="469" spans="1:21">
      <c r="A469" s="73" t="s">
        <v>793</v>
      </c>
      <c r="B469" s="73" t="s">
        <v>213</v>
      </c>
      <c r="C469" s="74">
        <v>59</v>
      </c>
      <c r="D469" s="74"/>
      <c r="E469" s="74">
        <v>7</v>
      </c>
      <c r="F469" s="74"/>
      <c r="G469" s="74">
        <v>6</v>
      </c>
      <c r="H469" s="74"/>
      <c r="I469" s="63">
        <v>13</v>
      </c>
      <c r="J469" t="b">
        <f t="shared" si="56"/>
        <v>0</v>
      </c>
      <c r="K469" t="b">
        <f t="shared" si="57"/>
        <v>0</v>
      </c>
      <c r="M469" t="str">
        <f t="shared" si="58"/>
        <v/>
      </c>
      <c r="N469" t="str">
        <f t="shared" si="59"/>
        <v/>
      </c>
      <c r="O469" t="str">
        <f t="shared" si="60"/>
        <v/>
      </c>
      <c r="P469" t="str">
        <f>IF(M469="","",VLOOKUP(B469,'Team Stats'!$B$3:$K$18,5,0))</f>
        <v/>
      </c>
      <c r="Q469" t="str">
        <f t="shared" si="61"/>
        <v/>
      </c>
      <c r="R469" t="str">
        <f>IF(M469="","",VLOOKUP(N469,Sim!$EF$46:$EG$61,2,0))</f>
        <v/>
      </c>
      <c r="S469" t="str">
        <f>IF(M469="","",VLOOKUP(N469,'Team Stats'!$B$3:$K$18,10,0))</f>
        <v/>
      </c>
      <c r="T469" s="84" t="str">
        <f t="shared" si="62"/>
        <v/>
      </c>
      <c r="U469" t="str">
        <f t="shared" si="63"/>
        <v/>
      </c>
    </row>
    <row r="470" spans="1:21">
      <c r="A470" s="73" t="s">
        <v>794</v>
      </c>
      <c r="B470" s="73" t="s">
        <v>209</v>
      </c>
      <c r="C470" s="74">
        <v>82</v>
      </c>
      <c r="D470" s="74"/>
      <c r="E470" s="74">
        <v>5</v>
      </c>
      <c r="F470" s="74"/>
      <c r="G470" s="74">
        <v>8</v>
      </c>
      <c r="H470" s="74"/>
      <c r="I470" s="63">
        <v>13</v>
      </c>
      <c r="J470" t="b">
        <f t="shared" si="56"/>
        <v>1</v>
      </c>
      <c r="K470" t="b">
        <f t="shared" si="57"/>
        <v>1</v>
      </c>
      <c r="M470" t="str">
        <f t="shared" si="58"/>
        <v> Drew Miller</v>
      </c>
      <c r="N470" t="str">
        <f t="shared" si="59"/>
        <v>DET</v>
      </c>
      <c r="O470">
        <f t="shared" si="60"/>
        <v>13</v>
      </c>
      <c r="P470">
        <f>IF(M470="","",VLOOKUP(B470,'Team Stats'!$B$3:$K$18,5,0))</f>
        <v>630</v>
      </c>
      <c r="Q470">
        <f t="shared" si="61"/>
        <v>2.0634920634920634E-2</v>
      </c>
      <c r="R470">
        <f ca="1">IF(M470="","",VLOOKUP(N470,Sim!$EF$46:$EG$61,2,0))</f>
        <v>10.06</v>
      </c>
      <c r="S470">
        <f ca="1">IF(M470="","",VLOOKUP(N470,'Team Stats'!$B$3:$K$18,10,0))</f>
        <v>77.29024390243903</v>
      </c>
      <c r="T470" s="84">
        <f t="shared" ca="1" si="62"/>
        <v>1.5948780487804879</v>
      </c>
      <c r="U470">
        <f t="shared" ca="1" si="63"/>
        <v>182</v>
      </c>
    </row>
    <row r="471" spans="1:21">
      <c r="A471" s="73" t="s">
        <v>795</v>
      </c>
      <c r="B471" s="73" t="s">
        <v>221</v>
      </c>
      <c r="C471" s="74">
        <v>78</v>
      </c>
      <c r="D471" s="74"/>
      <c r="E471" s="74">
        <v>6</v>
      </c>
      <c r="F471" s="74"/>
      <c r="G471" s="74">
        <v>7</v>
      </c>
      <c r="H471" s="74"/>
      <c r="I471" s="63">
        <v>13</v>
      </c>
      <c r="J471" t="b">
        <f t="shared" si="56"/>
        <v>0</v>
      </c>
      <c r="K471" t="b">
        <f t="shared" si="57"/>
        <v>0</v>
      </c>
      <c r="M471" t="str">
        <f t="shared" si="58"/>
        <v/>
      </c>
      <c r="N471" t="str">
        <f t="shared" si="59"/>
        <v/>
      </c>
      <c r="O471" t="str">
        <f t="shared" si="60"/>
        <v/>
      </c>
      <c r="P471" t="str">
        <f>IF(M471="","",VLOOKUP(B471,'Team Stats'!$B$3:$K$18,5,0))</f>
        <v/>
      </c>
      <c r="Q471" t="str">
        <f t="shared" si="61"/>
        <v/>
      </c>
      <c r="R471" t="str">
        <f>IF(M471="","",VLOOKUP(N471,Sim!$EF$46:$EG$61,2,0))</f>
        <v/>
      </c>
      <c r="S471" t="str">
        <f>IF(M471="","",VLOOKUP(N471,'Team Stats'!$B$3:$K$18,10,0))</f>
        <v/>
      </c>
      <c r="T471" s="84" t="str">
        <f t="shared" si="62"/>
        <v/>
      </c>
      <c r="U471" t="str">
        <f t="shared" si="63"/>
        <v/>
      </c>
    </row>
    <row r="472" spans="1:21">
      <c r="A472" s="73" t="s">
        <v>796</v>
      </c>
      <c r="B472" s="73" t="s">
        <v>215</v>
      </c>
      <c r="C472" s="74">
        <v>68</v>
      </c>
      <c r="D472" s="74"/>
      <c r="E472" s="74">
        <v>6</v>
      </c>
      <c r="F472" s="74"/>
      <c r="G472" s="74">
        <v>7</v>
      </c>
      <c r="H472" s="74"/>
      <c r="I472" s="63">
        <v>13</v>
      </c>
      <c r="J472" t="b">
        <f t="shared" si="56"/>
        <v>0</v>
      </c>
      <c r="K472" t="b">
        <f t="shared" si="57"/>
        <v>0</v>
      </c>
      <c r="M472" t="str">
        <f t="shared" si="58"/>
        <v/>
      </c>
      <c r="N472" t="str">
        <f t="shared" si="59"/>
        <v/>
      </c>
      <c r="O472" t="str">
        <f t="shared" si="60"/>
        <v/>
      </c>
      <c r="P472" t="str">
        <f>IF(M472="","",VLOOKUP(B472,'Team Stats'!$B$3:$K$18,5,0))</f>
        <v/>
      </c>
      <c r="Q472" t="str">
        <f t="shared" si="61"/>
        <v/>
      </c>
      <c r="R472" t="str">
        <f>IF(M472="","",VLOOKUP(N472,Sim!$EF$46:$EG$61,2,0))</f>
        <v/>
      </c>
      <c r="S472" t="str">
        <f>IF(M472="","",VLOOKUP(N472,'Team Stats'!$B$3:$K$18,10,0))</f>
        <v/>
      </c>
      <c r="T472" s="84" t="str">
        <f t="shared" si="62"/>
        <v/>
      </c>
      <c r="U472" t="str">
        <f t="shared" si="63"/>
        <v/>
      </c>
    </row>
    <row r="473" spans="1:21">
      <c r="A473" s="73" t="s">
        <v>797</v>
      </c>
      <c r="B473" s="73" t="s">
        <v>218</v>
      </c>
      <c r="C473" s="74">
        <v>37</v>
      </c>
      <c r="D473" s="74"/>
      <c r="E473" s="74">
        <v>4</v>
      </c>
      <c r="F473" s="74"/>
      <c r="G473" s="74">
        <v>9</v>
      </c>
      <c r="H473" s="74"/>
      <c r="I473" s="63">
        <v>13</v>
      </c>
      <c r="J473" t="b">
        <f t="shared" si="56"/>
        <v>0</v>
      </c>
      <c r="K473" t="b">
        <f t="shared" si="57"/>
        <v>0</v>
      </c>
      <c r="M473" t="str">
        <f t="shared" si="58"/>
        <v/>
      </c>
      <c r="N473" t="str">
        <f t="shared" si="59"/>
        <v/>
      </c>
      <c r="O473" t="str">
        <f t="shared" si="60"/>
        <v/>
      </c>
      <c r="P473" t="str">
        <f>IF(M473="","",VLOOKUP(B473,'Team Stats'!$B$3:$K$18,5,0))</f>
        <v/>
      </c>
      <c r="Q473" t="str">
        <f t="shared" si="61"/>
        <v/>
      </c>
      <c r="R473" t="str">
        <f>IF(M473="","",VLOOKUP(N473,Sim!$EF$46:$EG$61,2,0))</f>
        <v/>
      </c>
      <c r="S473" t="str">
        <f>IF(M473="","",VLOOKUP(N473,'Team Stats'!$B$3:$K$18,10,0))</f>
        <v/>
      </c>
      <c r="T473" s="84" t="str">
        <f t="shared" si="62"/>
        <v/>
      </c>
      <c r="U473" t="str">
        <f t="shared" si="63"/>
        <v/>
      </c>
    </row>
    <row r="474" spans="1:21">
      <c r="A474" s="73" t="s">
        <v>798</v>
      </c>
      <c r="B474" s="73" t="s">
        <v>202</v>
      </c>
      <c r="C474" s="74">
        <v>65</v>
      </c>
      <c r="D474" s="74"/>
      <c r="E474" s="74">
        <v>1</v>
      </c>
      <c r="F474" s="74"/>
      <c r="G474" s="74">
        <v>12</v>
      </c>
      <c r="H474" s="74"/>
      <c r="I474" s="63">
        <v>13</v>
      </c>
      <c r="J474" t="b">
        <f t="shared" si="56"/>
        <v>1</v>
      </c>
      <c r="K474" t="b">
        <f t="shared" si="57"/>
        <v>1</v>
      </c>
      <c r="M474" t="str">
        <f t="shared" si="58"/>
        <v> Michal Rozsival</v>
      </c>
      <c r="N474" t="str">
        <f t="shared" si="59"/>
        <v>CHI</v>
      </c>
      <c r="O474">
        <f t="shared" si="60"/>
        <v>13</v>
      </c>
      <c r="P474">
        <f>IF(M474="","",VLOOKUP(B474,'Team Stats'!$B$3:$K$18,5,0))</f>
        <v>601</v>
      </c>
      <c r="Q474">
        <f t="shared" si="61"/>
        <v>2.1630615640599003E-2</v>
      </c>
      <c r="R474">
        <f ca="1">IF(M474="","",VLOOKUP(N474,Sim!$EF$46:$EG$61,2,0))</f>
        <v>9.14</v>
      </c>
      <c r="S474">
        <f ca="1">IF(M474="","",VLOOKUP(N474,'Team Stats'!$B$3:$K$18,10,0))</f>
        <v>66.989512195121961</v>
      </c>
      <c r="T474" s="84">
        <f t="shared" ca="1" si="62"/>
        <v>1.4490243902439028</v>
      </c>
      <c r="U474">
        <f t="shared" ca="1" si="63"/>
        <v>195</v>
      </c>
    </row>
    <row r="475" spans="1:21">
      <c r="A475" s="73" t="s">
        <v>799</v>
      </c>
      <c r="B475" s="73" t="s">
        <v>212</v>
      </c>
      <c r="C475" s="74">
        <v>53</v>
      </c>
      <c r="D475" s="74"/>
      <c r="E475" s="74">
        <v>3</v>
      </c>
      <c r="F475" s="74"/>
      <c r="G475" s="74">
        <v>10</v>
      </c>
      <c r="H475" s="74"/>
      <c r="I475" s="63">
        <v>13</v>
      </c>
      <c r="J475" t="b">
        <f t="shared" si="56"/>
        <v>1</v>
      </c>
      <c r="K475" t="b">
        <f t="shared" si="57"/>
        <v>1</v>
      </c>
      <c r="M475" t="str">
        <f t="shared" si="58"/>
        <v> Ryan Carter</v>
      </c>
      <c r="N475" t="str">
        <f t="shared" si="59"/>
        <v>MIN</v>
      </c>
      <c r="O475">
        <f t="shared" si="60"/>
        <v>13</v>
      </c>
      <c r="P475">
        <f>IF(M475="","",VLOOKUP(B475,'Team Stats'!$B$3:$K$18,5,0))</f>
        <v>608</v>
      </c>
      <c r="Q475">
        <f t="shared" si="61"/>
        <v>2.1381578947368422E-2</v>
      </c>
      <c r="R475">
        <f ca="1">IF(M475="","",VLOOKUP(N475,Sim!$EF$46:$EG$61,2,0))</f>
        <v>11.71</v>
      </c>
      <c r="S475">
        <f ca="1">IF(M475="","",VLOOKUP(N475,'Team Stats'!$B$3:$K$18,10,0))</f>
        <v>86.825365853658553</v>
      </c>
      <c r="T475" s="84">
        <f t="shared" ca="1" si="62"/>
        <v>1.8564634146341468</v>
      </c>
      <c r="U475">
        <f t="shared" ca="1" si="63"/>
        <v>174</v>
      </c>
    </row>
    <row r="476" spans="1:21">
      <c r="A476" s="73" t="s">
        <v>800</v>
      </c>
      <c r="B476" s="73" t="s">
        <v>196</v>
      </c>
      <c r="C476" s="74">
        <v>34</v>
      </c>
      <c r="D476" s="74"/>
      <c r="E476" s="74">
        <v>8</v>
      </c>
      <c r="F476" s="74"/>
      <c r="G476" s="74">
        <v>5</v>
      </c>
      <c r="H476" s="74"/>
      <c r="I476" s="63">
        <v>13</v>
      </c>
      <c r="J476" t="b">
        <f t="shared" si="56"/>
        <v>1</v>
      </c>
      <c r="K476" t="b">
        <f t="shared" si="57"/>
        <v>1</v>
      </c>
      <c r="M476" t="str">
        <f t="shared" si="58"/>
        <v> Michael Grabner</v>
      </c>
      <c r="N476" t="str">
        <f t="shared" si="59"/>
        <v>NYI</v>
      </c>
      <c r="O476">
        <f t="shared" si="60"/>
        <v>13</v>
      </c>
      <c r="P476">
        <f>IF(M476="","",VLOOKUP(B476,'Team Stats'!$B$3:$K$18,5,0))</f>
        <v>656</v>
      </c>
      <c r="Q476">
        <f t="shared" si="61"/>
        <v>1.9817073170731708E-2</v>
      </c>
      <c r="R476">
        <f ca="1">IF(M476="","",VLOOKUP(N476,Sim!$EF$46:$EG$61,2,0))</f>
        <v>13.18</v>
      </c>
      <c r="S476">
        <f ca="1">IF(M476="","",VLOOKUP(N476,'Team Stats'!$B$3:$K$18,10,0))</f>
        <v>105.44</v>
      </c>
      <c r="T476" s="84">
        <f t="shared" ca="1" si="62"/>
        <v>2.0895121951219511</v>
      </c>
      <c r="U476">
        <f t="shared" ca="1" si="63"/>
        <v>165</v>
      </c>
    </row>
    <row r="477" spans="1:21">
      <c r="A477" s="73" t="s">
        <v>801</v>
      </c>
      <c r="B477" s="73" t="s">
        <v>210</v>
      </c>
      <c r="C477" s="74">
        <v>82</v>
      </c>
      <c r="D477" s="74"/>
      <c r="E477" s="74">
        <v>5</v>
      </c>
      <c r="F477" s="74"/>
      <c r="G477" s="74">
        <v>8</v>
      </c>
      <c r="H477" s="74"/>
      <c r="I477" s="63">
        <v>13</v>
      </c>
      <c r="J477" t="b">
        <f t="shared" si="56"/>
        <v>1</v>
      </c>
      <c r="K477" t="b">
        <f t="shared" si="57"/>
        <v>1</v>
      </c>
      <c r="M477" t="str">
        <f t="shared" si="58"/>
        <v> Jim Slater</v>
      </c>
      <c r="N477" t="str">
        <f t="shared" si="59"/>
        <v>WPG</v>
      </c>
      <c r="O477">
        <f t="shared" si="60"/>
        <v>13</v>
      </c>
      <c r="P477">
        <f>IF(M477="","",VLOOKUP(B477,'Team Stats'!$B$3:$K$18,5,0))</f>
        <v>594</v>
      </c>
      <c r="Q477">
        <f t="shared" si="61"/>
        <v>2.1885521885521887E-2</v>
      </c>
      <c r="R477">
        <f ca="1">IF(M477="","",VLOOKUP(N477,Sim!$EF$46:$EG$61,2,0))</f>
        <v>8.94</v>
      </c>
      <c r="S477">
        <f ca="1">IF(M477="","",VLOOKUP(N477,'Team Stats'!$B$3:$K$18,10,0))</f>
        <v>64.760487804878053</v>
      </c>
      <c r="T477" s="84">
        <f t="shared" ca="1" si="62"/>
        <v>1.4173170731707319</v>
      </c>
      <c r="U477">
        <f t="shared" ca="1" si="63"/>
        <v>202</v>
      </c>
    </row>
    <row r="478" spans="1:21">
      <c r="A478" s="73" t="s">
        <v>802</v>
      </c>
      <c r="B478" s="73" t="s">
        <v>216</v>
      </c>
      <c r="C478" s="74">
        <v>65</v>
      </c>
      <c r="D478" s="74"/>
      <c r="E478" s="74">
        <v>3</v>
      </c>
      <c r="F478" s="74"/>
      <c r="G478" s="74">
        <v>10</v>
      </c>
      <c r="H478" s="74"/>
      <c r="I478" s="63">
        <v>13</v>
      </c>
      <c r="J478" t="b">
        <f t="shared" si="56"/>
        <v>0</v>
      </c>
      <c r="K478" t="b">
        <f t="shared" si="57"/>
        <v>0</v>
      </c>
      <c r="M478" t="str">
        <f t="shared" si="58"/>
        <v/>
      </c>
      <c r="N478" t="str">
        <f t="shared" si="59"/>
        <v/>
      </c>
      <c r="O478" t="str">
        <f t="shared" si="60"/>
        <v/>
      </c>
      <c r="P478" t="str">
        <f>IF(M478="","",VLOOKUP(B478,'Team Stats'!$B$3:$K$18,5,0))</f>
        <v/>
      </c>
      <c r="Q478" t="str">
        <f t="shared" si="61"/>
        <v/>
      </c>
      <c r="R478" t="str">
        <f>IF(M478="","",VLOOKUP(N478,Sim!$EF$46:$EG$61,2,0))</f>
        <v/>
      </c>
      <c r="S478" t="str">
        <f>IF(M478="","",VLOOKUP(N478,'Team Stats'!$B$3:$K$18,10,0))</f>
        <v/>
      </c>
      <c r="T478" s="84" t="str">
        <f t="shared" si="62"/>
        <v/>
      </c>
      <c r="U478" t="str">
        <f t="shared" si="63"/>
        <v/>
      </c>
    </row>
    <row r="479" spans="1:21">
      <c r="A479" s="73" t="s">
        <v>803</v>
      </c>
      <c r="B479" s="73" t="s">
        <v>217</v>
      </c>
      <c r="C479" s="74">
        <v>71</v>
      </c>
      <c r="D479" s="74"/>
      <c r="E479" s="74">
        <v>6</v>
      </c>
      <c r="F479" s="74"/>
      <c r="G479" s="74">
        <v>7</v>
      </c>
      <c r="H479" s="74"/>
      <c r="I479" s="63">
        <v>13</v>
      </c>
      <c r="J479" t="b">
        <f t="shared" si="56"/>
        <v>0</v>
      </c>
      <c r="K479" t="b">
        <f t="shared" si="57"/>
        <v>0</v>
      </c>
      <c r="M479" t="str">
        <f t="shared" si="58"/>
        <v/>
      </c>
      <c r="N479" t="str">
        <f t="shared" si="59"/>
        <v/>
      </c>
      <c r="O479" t="str">
        <f t="shared" si="60"/>
        <v/>
      </c>
      <c r="P479" t="str">
        <f>IF(M479="","",VLOOKUP(B479,'Team Stats'!$B$3:$K$18,5,0))</f>
        <v/>
      </c>
      <c r="Q479" t="str">
        <f t="shared" si="61"/>
        <v/>
      </c>
      <c r="R479" t="str">
        <f>IF(M479="","",VLOOKUP(N479,Sim!$EF$46:$EG$61,2,0))</f>
        <v/>
      </c>
      <c r="S479" t="str">
        <f>IF(M479="","",VLOOKUP(N479,'Team Stats'!$B$3:$K$18,10,0))</f>
        <v/>
      </c>
      <c r="T479" s="84" t="str">
        <f t="shared" si="62"/>
        <v/>
      </c>
      <c r="U479" t="str">
        <f t="shared" si="63"/>
        <v/>
      </c>
    </row>
    <row r="480" spans="1:21">
      <c r="A480" s="73" t="s">
        <v>804</v>
      </c>
      <c r="B480" s="73" t="s">
        <v>200</v>
      </c>
      <c r="C480" s="74">
        <v>72</v>
      </c>
      <c r="D480" s="74"/>
      <c r="E480" s="74">
        <v>2</v>
      </c>
      <c r="F480" s="74"/>
      <c r="G480" s="74">
        <v>11</v>
      </c>
      <c r="H480" s="74"/>
      <c r="I480" s="63">
        <v>13</v>
      </c>
      <c r="J480" t="b">
        <f t="shared" si="56"/>
        <v>1</v>
      </c>
      <c r="K480" t="b">
        <f t="shared" si="57"/>
        <v>1</v>
      </c>
      <c r="M480" t="str">
        <f t="shared" si="58"/>
        <v> Jay Bouwmeester</v>
      </c>
      <c r="N480" t="str">
        <f t="shared" si="59"/>
        <v>STL</v>
      </c>
      <c r="O480">
        <f t="shared" si="60"/>
        <v>13</v>
      </c>
      <c r="P480">
        <f>IF(M480="","",VLOOKUP(B480,'Team Stats'!$B$3:$K$18,5,0))</f>
        <v>660</v>
      </c>
      <c r="Q480">
        <f t="shared" si="61"/>
        <v>1.9696969696969695E-2</v>
      </c>
      <c r="R480">
        <f ca="1">IF(M480="","",VLOOKUP(N480,Sim!$EF$46:$EG$61,2,0))</f>
        <v>10.87</v>
      </c>
      <c r="S480">
        <f ca="1">IF(M480="","",VLOOKUP(N480,'Team Stats'!$B$3:$K$18,10,0))</f>
        <v>87.490243902439019</v>
      </c>
      <c r="T480" s="84">
        <f t="shared" ca="1" si="62"/>
        <v>1.7232926829268291</v>
      </c>
      <c r="U480">
        <f t="shared" ca="1" si="63"/>
        <v>178</v>
      </c>
    </row>
    <row r="481" spans="1:21">
      <c r="A481" s="73" t="s">
        <v>805</v>
      </c>
      <c r="B481" s="73" t="s">
        <v>209</v>
      </c>
      <c r="C481" s="74">
        <v>76</v>
      </c>
      <c r="D481" s="74"/>
      <c r="E481" s="74">
        <v>4</v>
      </c>
      <c r="F481" s="74"/>
      <c r="G481" s="74">
        <v>9</v>
      </c>
      <c r="H481" s="74"/>
      <c r="I481" s="63">
        <v>13</v>
      </c>
      <c r="J481" t="b">
        <f t="shared" si="56"/>
        <v>1</v>
      </c>
      <c r="K481" t="b">
        <f t="shared" si="57"/>
        <v>1</v>
      </c>
      <c r="M481" t="str">
        <f t="shared" si="58"/>
        <v> Brendan Smith</v>
      </c>
      <c r="N481" t="str">
        <f t="shared" si="59"/>
        <v>DET</v>
      </c>
      <c r="O481">
        <f t="shared" si="60"/>
        <v>13</v>
      </c>
      <c r="P481">
        <f>IF(M481="","",VLOOKUP(B481,'Team Stats'!$B$3:$K$18,5,0))</f>
        <v>630</v>
      </c>
      <c r="Q481">
        <f t="shared" si="61"/>
        <v>2.0634920634920634E-2</v>
      </c>
      <c r="R481">
        <f ca="1">IF(M481="","",VLOOKUP(N481,Sim!$EF$46:$EG$61,2,0))</f>
        <v>10.06</v>
      </c>
      <c r="S481">
        <f ca="1">IF(M481="","",VLOOKUP(N481,'Team Stats'!$B$3:$K$18,10,0))</f>
        <v>77.29024390243903</v>
      </c>
      <c r="T481" s="84">
        <f t="shared" ca="1" si="62"/>
        <v>1.5948780487804879</v>
      </c>
      <c r="U481">
        <f t="shared" ca="1" si="63"/>
        <v>182</v>
      </c>
    </row>
    <row r="482" spans="1:21" ht="30">
      <c r="A482" s="73" t="s">
        <v>806</v>
      </c>
      <c r="B482" s="73" t="s">
        <v>199</v>
      </c>
      <c r="C482" s="74">
        <v>81</v>
      </c>
      <c r="D482" s="74"/>
      <c r="E482" s="74">
        <v>6</v>
      </c>
      <c r="F482" s="74"/>
      <c r="G482" s="74">
        <v>6</v>
      </c>
      <c r="H482" s="74"/>
      <c r="I482" s="63">
        <v>12</v>
      </c>
      <c r="J482" t="b">
        <f t="shared" si="56"/>
        <v>0</v>
      </c>
      <c r="K482" t="b">
        <f t="shared" si="57"/>
        <v>0</v>
      </c>
      <c r="M482" t="str">
        <f t="shared" si="58"/>
        <v/>
      </c>
      <c r="N482" t="str">
        <f t="shared" si="59"/>
        <v/>
      </c>
      <c r="O482" t="str">
        <f t="shared" si="60"/>
        <v/>
      </c>
      <c r="P482" t="str">
        <f>IF(M482="","",VLOOKUP(B482,'Team Stats'!$B$3:$K$18,5,0))</f>
        <v/>
      </c>
      <c r="Q482" t="str">
        <f t="shared" si="61"/>
        <v/>
      </c>
      <c r="R482" t="str">
        <f>IF(M482="","",VLOOKUP(N482,Sim!$EF$46:$EG$61,2,0))</f>
        <v/>
      </c>
      <c r="S482" t="str">
        <f>IF(M482="","",VLOOKUP(N482,'Team Stats'!$B$3:$K$18,10,0))</f>
        <v/>
      </c>
      <c r="T482" s="84" t="str">
        <f t="shared" si="62"/>
        <v/>
      </c>
      <c r="U482" t="str">
        <f t="shared" si="63"/>
        <v/>
      </c>
    </row>
    <row r="483" spans="1:21">
      <c r="A483" s="73" t="s">
        <v>807</v>
      </c>
      <c r="B483" s="73" t="s">
        <v>214</v>
      </c>
      <c r="C483" s="74">
        <v>75</v>
      </c>
      <c r="D483" s="74"/>
      <c r="E483" s="74">
        <v>0</v>
      </c>
      <c r="F483" s="74"/>
      <c r="G483" s="74">
        <v>12</v>
      </c>
      <c r="H483" s="74"/>
      <c r="I483" s="63">
        <v>12</v>
      </c>
      <c r="J483" t="b">
        <f t="shared" si="56"/>
        <v>1</v>
      </c>
      <c r="K483" t="b">
        <f t="shared" si="57"/>
        <v>1</v>
      </c>
      <c r="M483" t="str">
        <f t="shared" si="58"/>
        <v> Eric Gryba</v>
      </c>
      <c r="N483" t="str">
        <f t="shared" si="59"/>
        <v>OTT</v>
      </c>
      <c r="O483">
        <f t="shared" si="60"/>
        <v>12</v>
      </c>
      <c r="P483">
        <f>IF(M483="","",VLOOKUP(B483,'Team Stats'!$B$3:$K$18,5,0))</f>
        <v>619</v>
      </c>
      <c r="Q483">
        <f t="shared" si="61"/>
        <v>1.9386106623586429E-2</v>
      </c>
      <c r="R483">
        <f ca="1">IF(M483="","",VLOOKUP(N483,Sim!$EF$46:$EG$61,2,0))</f>
        <v>10.71</v>
      </c>
      <c r="S483">
        <f ca="1">IF(M483="","",VLOOKUP(N483,'Team Stats'!$B$3:$K$18,10,0))</f>
        <v>80.847439024390255</v>
      </c>
      <c r="T483" s="84">
        <f t="shared" ca="1" si="62"/>
        <v>1.5673170731707318</v>
      </c>
      <c r="U483">
        <f t="shared" ca="1" si="63"/>
        <v>189</v>
      </c>
    </row>
    <row r="484" spans="1:21">
      <c r="A484" s="73" t="s">
        <v>808</v>
      </c>
      <c r="B484" s="73" t="s">
        <v>216</v>
      </c>
      <c r="C484" s="74">
        <v>82</v>
      </c>
      <c r="D484" s="74"/>
      <c r="E484" s="74">
        <v>7</v>
      </c>
      <c r="F484" s="74"/>
      <c r="G484" s="74">
        <v>5</v>
      </c>
      <c r="H484" s="74"/>
      <c r="I484" s="63">
        <v>12</v>
      </c>
      <c r="J484" t="b">
        <f t="shared" si="56"/>
        <v>0</v>
      </c>
      <c r="K484" t="b">
        <f t="shared" si="57"/>
        <v>0</v>
      </c>
      <c r="M484" t="str">
        <f t="shared" si="58"/>
        <v/>
      </c>
      <c r="N484" t="str">
        <f t="shared" si="59"/>
        <v/>
      </c>
      <c r="O484" t="str">
        <f t="shared" si="60"/>
        <v/>
      </c>
      <c r="P484" t="str">
        <f>IF(M484="","",VLOOKUP(B484,'Team Stats'!$B$3:$K$18,5,0))</f>
        <v/>
      </c>
      <c r="Q484" t="str">
        <f t="shared" si="61"/>
        <v/>
      </c>
      <c r="R484" t="str">
        <f>IF(M484="","",VLOOKUP(N484,Sim!$EF$46:$EG$61,2,0))</f>
        <v/>
      </c>
      <c r="S484" t="str">
        <f>IF(M484="","",VLOOKUP(N484,'Team Stats'!$B$3:$K$18,10,0))</f>
        <v/>
      </c>
      <c r="T484" s="84" t="str">
        <f t="shared" si="62"/>
        <v/>
      </c>
      <c r="U484" t="str">
        <f t="shared" si="63"/>
        <v/>
      </c>
    </row>
    <row r="485" spans="1:21">
      <c r="A485" s="73" t="s">
        <v>809</v>
      </c>
      <c r="B485" s="73" t="s">
        <v>216</v>
      </c>
      <c r="C485" s="74">
        <v>55</v>
      </c>
      <c r="D485" s="74"/>
      <c r="E485" s="74">
        <v>3</v>
      </c>
      <c r="F485" s="74"/>
      <c r="G485" s="74">
        <v>9</v>
      </c>
      <c r="H485" s="74"/>
      <c r="I485" s="63">
        <v>12</v>
      </c>
      <c r="J485" t="b">
        <f t="shared" si="56"/>
        <v>0</v>
      </c>
      <c r="K485" t="b">
        <f t="shared" si="57"/>
        <v>0</v>
      </c>
      <c r="M485" t="str">
        <f t="shared" si="58"/>
        <v/>
      </c>
      <c r="N485" t="str">
        <f t="shared" si="59"/>
        <v/>
      </c>
      <c r="O485" t="str">
        <f t="shared" si="60"/>
        <v/>
      </c>
      <c r="P485" t="str">
        <f>IF(M485="","",VLOOKUP(B485,'Team Stats'!$B$3:$K$18,5,0))</f>
        <v/>
      </c>
      <c r="Q485" t="str">
        <f t="shared" si="61"/>
        <v/>
      </c>
      <c r="R485" t="str">
        <f>IF(M485="","",VLOOKUP(N485,Sim!$EF$46:$EG$61,2,0))</f>
        <v/>
      </c>
      <c r="S485" t="str">
        <f>IF(M485="","",VLOOKUP(N485,'Team Stats'!$B$3:$K$18,10,0))</f>
        <v/>
      </c>
      <c r="T485" s="84" t="str">
        <f t="shared" si="62"/>
        <v/>
      </c>
      <c r="U485" t="str">
        <f t="shared" si="63"/>
        <v/>
      </c>
    </row>
    <row r="486" spans="1:21">
      <c r="A486" s="73" t="s">
        <v>810</v>
      </c>
      <c r="B486" s="73" t="s">
        <v>218</v>
      </c>
      <c r="C486" s="74">
        <v>71</v>
      </c>
      <c r="D486" s="74"/>
      <c r="E486" s="74">
        <v>5</v>
      </c>
      <c r="F486" s="74"/>
      <c r="G486" s="74">
        <v>7</v>
      </c>
      <c r="H486" s="74"/>
      <c r="I486" s="63">
        <v>12</v>
      </c>
      <c r="J486" t="b">
        <f t="shared" si="56"/>
        <v>0</v>
      </c>
      <c r="K486" t="b">
        <f t="shared" si="57"/>
        <v>0</v>
      </c>
      <c r="M486" t="str">
        <f t="shared" si="58"/>
        <v/>
      </c>
      <c r="N486" t="str">
        <f t="shared" si="59"/>
        <v/>
      </c>
      <c r="O486" t="str">
        <f t="shared" si="60"/>
        <v/>
      </c>
      <c r="P486" t="str">
        <f>IF(M486="","",VLOOKUP(B486,'Team Stats'!$B$3:$K$18,5,0))</f>
        <v/>
      </c>
      <c r="Q486" t="str">
        <f t="shared" si="61"/>
        <v/>
      </c>
      <c r="R486" t="str">
        <f>IF(M486="","",VLOOKUP(N486,Sim!$EF$46:$EG$61,2,0))</f>
        <v/>
      </c>
      <c r="S486" t="str">
        <f>IF(M486="","",VLOOKUP(N486,'Team Stats'!$B$3:$K$18,10,0))</f>
        <v/>
      </c>
      <c r="T486" s="84" t="str">
        <f t="shared" si="62"/>
        <v/>
      </c>
      <c r="U486" t="str">
        <f t="shared" si="63"/>
        <v/>
      </c>
    </row>
    <row r="487" spans="1:21">
      <c r="A487" s="73" t="s">
        <v>811</v>
      </c>
      <c r="B487" s="73" t="s">
        <v>206</v>
      </c>
      <c r="C487" s="74">
        <v>30</v>
      </c>
      <c r="D487" s="74"/>
      <c r="E487" s="74">
        <v>4</v>
      </c>
      <c r="F487" s="74"/>
      <c r="G487" s="74">
        <v>8</v>
      </c>
      <c r="H487" s="74"/>
      <c r="I487" s="63">
        <v>12</v>
      </c>
      <c r="J487" t="b">
        <f t="shared" si="56"/>
        <v>1</v>
      </c>
      <c r="K487" t="b">
        <f t="shared" si="57"/>
        <v>1</v>
      </c>
      <c r="M487" t="str">
        <f t="shared" si="58"/>
        <v> Ronalds Kenins</v>
      </c>
      <c r="N487" t="str">
        <f t="shared" si="59"/>
        <v>VAN</v>
      </c>
      <c r="O487">
        <f t="shared" si="60"/>
        <v>12</v>
      </c>
      <c r="P487">
        <f>IF(M487="","",VLOOKUP(B487,'Team Stats'!$B$3:$K$18,5,0))</f>
        <v>642</v>
      </c>
      <c r="Q487">
        <f t="shared" si="61"/>
        <v>1.8691588785046728E-2</v>
      </c>
      <c r="R487">
        <f ca="1">IF(M487="","",VLOOKUP(N487,Sim!$EF$46:$EG$61,2,0))</f>
        <v>10.35</v>
      </c>
      <c r="S487">
        <f ca="1">IF(M487="","",VLOOKUP(N487,'Team Stats'!$B$3:$K$18,10,0))</f>
        <v>81.032926829268291</v>
      </c>
      <c r="T487" s="84">
        <f t="shared" ca="1" si="62"/>
        <v>1.5146341463414632</v>
      </c>
      <c r="U487">
        <f t="shared" ca="1" si="63"/>
        <v>193</v>
      </c>
    </row>
    <row r="488" spans="1:21">
      <c r="A488" s="73" t="s">
        <v>812</v>
      </c>
      <c r="B488" s="73" t="s">
        <v>215</v>
      </c>
      <c r="C488" s="74">
        <v>60</v>
      </c>
      <c r="D488" s="74"/>
      <c r="E488" s="74">
        <v>8</v>
      </c>
      <c r="F488" s="74"/>
      <c r="G488" s="74">
        <v>4</v>
      </c>
      <c r="H488" s="74"/>
      <c r="I488" s="63">
        <v>12</v>
      </c>
      <c r="J488" t="b">
        <f t="shared" si="56"/>
        <v>0</v>
      </c>
      <c r="K488" t="b">
        <f t="shared" si="57"/>
        <v>0</v>
      </c>
      <c r="M488" t="str">
        <f t="shared" si="58"/>
        <v/>
      </c>
      <c r="N488" t="str">
        <f t="shared" si="59"/>
        <v/>
      </c>
      <c r="O488" t="str">
        <f t="shared" si="60"/>
        <v/>
      </c>
      <c r="P488" t="str">
        <f>IF(M488="","",VLOOKUP(B488,'Team Stats'!$B$3:$K$18,5,0))</f>
        <v/>
      </c>
      <c r="Q488" t="str">
        <f t="shared" si="61"/>
        <v/>
      </c>
      <c r="R488" t="str">
        <f>IF(M488="","",VLOOKUP(N488,Sim!$EF$46:$EG$61,2,0))</f>
        <v/>
      </c>
      <c r="S488" t="str">
        <f>IF(M488="","",VLOOKUP(N488,'Team Stats'!$B$3:$K$18,10,0))</f>
        <v/>
      </c>
      <c r="T488" s="84" t="str">
        <f t="shared" si="62"/>
        <v/>
      </c>
      <c r="U488" t="str">
        <f t="shared" si="63"/>
        <v/>
      </c>
    </row>
    <row r="489" spans="1:21">
      <c r="A489" s="73" t="s">
        <v>813</v>
      </c>
      <c r="B489" s="73" t="s">
        <v>222</v>
      </c>
      <c r="C489" s="74">
        <v>60</v>
      </c>
      <c r="D489" s="74"/>
      <c r="E489" s="74">
        <v>4</v>
      </c>
      <c r="F489" s="74"/>
      <c r="G489" s="74">
        <v>8</v>
      </c>
      <c r="H489" s="74"/>
      <c r="I489" s="63">
        <v>12</v>
      </c>
      <c r="J489" t="b">
        <f t="shared" si="56"/>
        <v>0</v>
      </c>
      <c r="K489" t="b">
        <f t="shared" si="57"/>
        <v>0</v>
      </c>
      <c r="M489" t="str">
        <f t="shared" si="58"/>
        <v/>
      </c>
      <c r="N489" t="str">
        <f t="shared" si="59"/>
        <v/>
      </c>
      <c r="O489" t="str">
        <f t="shared" si="60"/>
        <v/>
      </c>
      <c r="P489" t="str">
        <f>IF(M489="","",VLOOKUP(B489,'Team Stats'!$B$3:$K$18,5,0))</f>
        <v/>
      </c>
      <c r="Q489" t="str">
        <f t="shared" si="61"/>
        <v/>
      </c>
      <c r="R489" t="str">
        <f>IF(M489="","",VLOOKUP(N489,Sim!$EF$46:$EG$61,2,0))</f>
        <v/>
      </c>
      <c r="S489" t="str">
        <f>IF(M489="","",VLOOKUP(N489,'Team Stats'!$B$3:$K$18,10,0))</f>
        <v/>
      </c>
      <c r="T489" s="84" t="str">
        <f t="shared" si="62"/>
        <v/>
      </c>
      <c r="U489" t="str">
        <f t="shared" si="63"/>
        <v/>
      </c>
    </row>
    <row r="490" spans="1:21">
      <c r="A490" s="73" t="s">
        <v>814</v>
      </c>
      <c r="B490" s="73" t="s">
        <v>200</v>
      </c>
      <c r="C490" s="74">
        <v>68</v>
      </c>
      <c r="D490" s="74"/>
      <c r="E490" s="74">
        <v>4</v>
      </c>
      <c r="F490" s="74"/>
      <c r="G490" s="74">
        <v>8</v>
      </c>
      <c r="H490" s="74"/>
      <c r="I490" s="63">
        <v>12</v>
      </c>
      <c r="J490" t="b">
        <f t="shared" si="56"/>
        <v>1</v>
      </c>
      <c r="K490" t="b">
        <f t="shared" si="57"/>
        <v>1</v>
      </c>
      <c r="M490" t="str">
        <f t="shared" si="58"/>
        <v> Zbynek Michalek</v>
      </c>
      <c r="N490" t="str">
        <f t="shared" si="59"/>
        <v>STL</v>
      </c>
      <c r="O490">
        <f t="shared" si="60"/>
        <v>12</v>
      </c>
      <c r="P490">
        <f>IF(M490="","",VLOOKUP(B490,'Team Stats'!$B$3:$K$18,5,0))</f>
        <v>660</v>
      </c>
      <c r="Q490">
        <f t="shared" si="61"/>
        <v>1.8181818181818181E-2</v>
      </c>
      <c r="R490">
        <f ca="1">IF(M490="","",VLOOKUP(N490,Sim!$EF$46:$EG$61,2,0))</f>
        <v>10.87</v>
      </c>
      <c r="S490">
        <f ca="1">IF(M490="","",VLOOKUP(N490,'Team Stats'!$B$3:$K$18,10,0))</f>
        <v>87.490243902439019</v>
      </c>
      <c r="T490" s="84">
        <f t="shared" ca="1" si="62"/>
        <v>1.590731707317073</v>
      </c>
      <c r="U490">
        <f t="shared" ca="1" si="63"/>
        <v>185</v>
      </c>
    </row>
    <row r="491" spans="1:21">
      <c r="A491" s="73" t="s">
        <v>815</v>
      </c>
      <c r="B491" s="73" t="s">
        <v>345</v>
      </c>
      <c r="C491" s="74">
        <v>72</v>
      </c>
      <c r="D491" s="74"/>
      <c r="E491" s="74">
        <v>4</v>
      </c>
      <c r="F491" s="74"/>
      <c r="G491" s="74">
        <v>8</v>
      </c>
      <c r="H491" s="74"/>
      <c r="I491" s="63">
        <v>12</v>
      </c>
      <c r="J491" t="b">
        <f t="shared" si="56"/>
        <v>0</v>
      </c>
      <c r="K491" t="b">
        <f t="shared" si="57"/>
        <v>0</v>
      </c>
      <c r="M491" t="str">
        <f t="shared" si="58"/>
        <v/>
      </c>
      <c r="N491" t="str">
        <f t="shared" si="59"/>
        <v/>
      </c>
      <c r="O491" t="str">
        <f t="shared" si="60"/>
        <v/>
      </c>
      <c r="P491" t="str">
        <f>IF(M491="","",VLOOKUP(B491,'Team Stats'!$B$3:$K$18,5,0))</f>
        <v/>
      </c>
      <c r="Q491" t="str">
        <f t="shared" si="61"/>
        <v/>
      </c>
      <c r="R491" t="str">
        <f>IF(M491="","",VLOOKUP(N491,Sim!$EF$46:$EG$61,2,0))</f>
        <v/>
      </c>
      <c r="S491" t="str">
        <f>IF(M491="","",VLOOKUP(N491,'Team Stats'!$B$3:$K$18,10,0))</f>
        <v/>
      </c>
      <c r="T491" s="84" t="str">
        <f t="shared" si="62"/>
        <v/>
      </c>
      <c r="U491" t="str">
        <f t="shared" si="63"/>
        <v/>
      </c>
    </row>
    <row r="492" spans="1:21">
      <c r="A492" s="73" t="s">
        <v>816</v>
      </c>
      <c r="B492" s="73" t="s">
        <v>217</v>
      </c>
      <c r="C492" s="74">
        <v>70</v>
      </c>
      <c r="D492" s="74"/>
      <c r="E492" s="74">
        <v>6</v>
      </c>
      <c r="F492" s="74"/>
      <c r="G492" s="74">
        <v>6</v>
      </c>
      <c r="H492" s="74"/>
      <c r="I492" s="63">
        <v>12</v>
      </c>
      <c r="J492" t="b">
        <f t="shared" si="56"/>
        <v>0</v>
      </c>
      <c r="K492" t="b">
        <f t="shared" si="57"/>
        <v>0</v>
      </c>
      <c r="M492" t="str">
        <f t="shared" si="58"/>
        <v/>
      </c>
      <c r="N492" t="str">
        <f t="shared" si="59"/>
        <v/>
      </c>
      <c r="O492" t="str">
        <f t="shared" si="60"/>
        <v/>
      </c>
      <c r="P492" t="str">
        <f>IF(M492="","",VLOOKUP(B492,'Team Stats'!$B$3:$K$18,5,0))</f>
        <v/>
      </c>
      <c r="Q492" t="str">
        <f t="shared" si="61"/>
        <v/>
      </c>
      <c r="R492" t="str">
        <f>IF(M492="","",VLOOKUP(N492,Sim!$EF$46:$EG$61,2,0))</f>
        <v/>
      </c>
      <c r="S492" t="str">
        <f>IF(M492="","",VLOOKUP(N492,'Team Stats'!$B$3:$K$18,10,0))</f>
        <v/>
      </c>
      <c r="T492" s="84" t="str">
        <f t="shared" si="62"/>
        <v/>
      </c>
      <c r="U492" t="str">
        <f t="shared" si="63"/>
        <v/>
      </c>
    </row>
    <row r="493" spans="1:21">
      <c r="A493" s="73" t="s">
        <v>817</v>
      </c>
      <c r="B493" s="73" t="s">
        <v>198</v>
      </c>
      <c r="C493" s="74">
        <v>49</v>
      </c>
      <c r="D493" s="74"/>
      <c r="E493" s="74">
        <v>4</v>
      </c>
      <c r="F493" s="74"/>
      <c r="G493" s="74">
        <v>8</v>
      </c>
      <c r="H493" s="74"/>
      <c r="I493" s="63">
        <v>12</v>
      </c>
      <c r="J493" t="b">
        <f t="shared" si="56"/>
        <v>1</v>
      </c>
      <c r="K493" t="b">
        <f t="shared" si="57"/>
        <v>1</v>
      </c>
      <c r="M493" t="str">
        <f t="shared" si="58"/>
        <v> Beau Bennett</v>
      </c>
      <c r="N493" t="str">
        <f t="shared" si="59"/>
        <v>PIT</v>
      </c>
      <c r="O493">
        <f t="shared" si="60"/>
        <v>12</v>
      </c>
      <c r="P493">
        <f>IF(M493="","",VLOOKUP(B493,'Team Stats'!$B$3:$K$18,5,0))</f>
        <v>600</v>
      </c>
      <c r="Q493">
        <f t="shared" si="61"/>
        <v>0.02</v>
      </c>
      <c r="R493">
        <f ca="1">IF(M493="","",VLOOKUP(N493,Sim!$EF$46:$EG$61,2,0))</f>
        <v>9.74</v>
      </c>
      <c r="S493">
        <f ca="1">IF(M493="","",VLOOKUP(N493,'Team Stats'!$B$3:$K$18,10,0))</f>
        <v>71.268292682926827</v>
      </c>
      <c r="T493" s="84">
        <f t="shared" ca="1" si="62"/>
        <v>1.4253658536585365</v>
      </c>
      <c r="U493">
        <f t="shared" ca="1" si="63"/>
        <v>201</v>
      </c>
    </row>
    <row r="494" spans="1:21">
      <c r="A494" s="73" t="s">
        <v>818</v>
      </c>
      <c r="B494" s="73" t="s">
        <v>216</v>
      </c>
      <c r="C494" s="74">
        <v>57</v>
      </c>
      <c r="D494" s="74"/>
      <c r="E494" s="74">
        <v>8</v>
      </c>
      <c r="F494" s="74"/>
      <c r="G494" s="74">
        <v>4</v>
      </c>
      <c r="H494" s="74"/>
      <c r="I494" s="63">
        <v>12</v>
      </c>
      <c r="J494" t="b">
        <f t="shared" si="56"/>
        <v>0</v>
      </c>
      <c r="K494" t="b">
        <f t="shared" si="57"/>
        <v>0</v>
      </c>
      <c r="M494" t="str">
        <f t="shared" si="58"/>
        <v/>
      </c>
      <c r="N494" t="str">
        <f t="shared" si="59"/>
        <v/>
      </c>
      <c r="O494" t="str">
        <f t="shared" si="60"/>
        <v/>
      </c>
      <c r="P494" t="str">
        <f>IF(M494="","",VLOOKUP(B494,'Team Stats'!$B$3:$K$18,5,0))</f>
        <v/>
      </c>
      <c r="Q494" t="str">
        <f t="shared" si="61"/>
        <v/>
      </c>
      <c r="R494" t="str">
        <f>IF(M494="","",VLOOKUP(N494,Sim!$EF$46:$EG$61,2,0))</f>
        <v/>
      </c>
      <c r="S494" t="str">
        <f>IF(M494="","",VLOOKUP(N494,'Team Stats'!$B$3:$K$18,10,0))</f>
        <v/>
      </c>
      <c r="T494" s="84" t="str">
        <f t="shared" si="62"/>
        <v/>
      </c>
      <c r="U494" t="str">
        <f t="shared" si="63"/>
        <v/>
      </c>
    </row>
    <row r="495" spans="1:21">
      <c r="A495" s="73" t="s">
        <v>819</v>
      </c>
      <c r="B495" s="73" t="s">
        <v>365</v>
      </c>
      <c r="C495" s="74">
        <v>60</v>
      </c>
      <c r="D495" s="74"/>
      <c r="E495" s="74">
        <v>7</v>
      </c>
      <c r="F495" s="74"/>
      <c r="G495" s="74">
        <v>5</v>
      </c>
      <c r="H495" s="74"/>
      <c r="I495" s="63">
        <v>12</v>
      </c>
      <c r="J495" t="b">
        <f t="shared" si="56"/>
        <v>0</v>
      </c>
      <c r="K495" t="b">
        <f t="shared" si="57"/>
        <v>0</v>
      </c>
      <c r="M495" t="str">
        <f t="shared" si="58"/>
        <v/>
      </c>
      <c r="N495" t="str">
        <f t="shared" si="59"/>
        <v/>
      </c>
      <c r="O495" t="str">
        <f t="shared" si="60"/>
        <v/>
      </c>
      <c r="P495" t="str">
        <f>IF(M495="","",VLOOKUP(B495,'Team Stats'!$B$3:$K$18,5,0))</f>
        <v/>
      </c>
      <c r="Q495" t="str">
        <f t="shared" si="61"/>
        <v/>
      </c>
      <c r="R495" t="str">
        <f>IF(M495="","",VLOOKUP(N495,Sim!$EF$46:$EG$61,2,0))</f>
        <v/>
      </c>
      <c r="S495" t="str">
        <f>IF(M495="","",VLOOKUP(N495,'Team Stats'!$B$3:$K$18,10,0))</f>
        <v/>
      </c>
      <c r="T495" s="84" t="str">
        <f t="shared" si="62"/>
        <v/>
      </c>
      <c r="U495" t="str">
        <f t="shared" si="63"/>
        <v/>
      </c>
    </row>
    <row r="496" spans="1:21">
      <c r="A496" s="73" t="s">
        <v>820</v>
      </c>
      <c r="B496" s="73" t="s">
        <v>199</v>
      </c>
      <c r="C496" s="74">
        <v>34</v>
      </c>
      <c r="D496" s="74"/>
      <c r="E496" s="74">
        <v>6</v>
      </c>
      <c r="F496" s="74"/>
      <c r="G496" s="74">
        <v>6</v>
      </c>
      <c r="H496" s="74"/>
      <c r="I496" s="63">
        <v>12</v>
      </c>
      <c r="J496" t="b">
        <f t="shared" si="56"/>
        <v>0</v>
      </c>
      <c r="K496" t="b">
        <f t="shared" si="57"/>
        <v>0</v>
      </c>
      <c r="M496" t="str">
        <f t="shared" si="58"/>
        <v/>
      </c>
      <c r="N496" t="str">
        <f t="shared" si="59"/>
        <v/>
      </c>
      <c r="O496" t="str">
        <f t="shared" si="60"/>
        <v/>
      </c>
      <c r="P496" t="str">
        <f>IF(M496="","",VLOOKUP(B496,'Team Stats'!$B$3:$K$18,5,0))</f>
        <v/>
      </c>
      <c r="Q496" t="str">
        <f t="shared" si="61"/>
        <v/>
      </c>
      <c r="R496" t="str">
        <f>IF(M496="","",VLOOKUP(N496,Sim!$EF$46:$EG$61,2,0))</f>
        <v/>
      </c>
      <c r="S496" t="str">
        <f>IF(M496="","",VLOOKUP(N496,'Team Stats'!$B$3:$K$18,10,0))</f>
        <v/>
      </c>
      <c r="T496" s="84" t="str">
        <f t="shared" si="62"/>
        <v/>
      </c>
      <c r="U496" t="str">
        <f t="shared" si="63"/>
        <v/>
      </c>
    </row>
    <row r="497" spans="1:21">
      <c r="A497" s="73" t="s">
        <v>821</v>
      </c>
      <c r="B497" s="73" t="s">
        <v>340</v>
      </c>
      <c r="C497" s="74">
        <v>60</v>
      </c>
      <c r="D497" s="74"/>
      <c r="E497" s="74">
        <v>4</v>
      </c>
      <c r="F497" s="74"/>
      <c r="G497" s="74">
        <v>8</v>
      </c>
      <c r="H497" s="74"/>
      <c r="I497" s="63">
        <v>12</v>
      </c>
      <c r="J497" t="b">
        <f t="shared" si="56"/>
        <v>0</v>
      </c>
      <c r="K497" t="b">
        <f t="shared" si="57"/>
        <v>0</v>
      </c>
      <c r="M497" t="str">
        <f t="shared" si="58"/>
        <v/>
      </c>
      <c r="N497" t="str">
        <f t="shared" si="59"/>
        <v/>
      </c>
      <c r="O497" t="str">
        <f t="shared" si="60"/>
        <v/>
      </c>
      <c r="P497" t="str">
        <f>IF(M497="","",VLOOKUP(B497,'Team Stats'!$B$3:$K$18,5,0))</f>
        <v/>
      </c>
      <c r="Q497" t="str">
        <f t="shared" si="61"/>
        <v/>
      </c>
      <c r="R497" t="str">
        <f>IF(M497="","",VLOOKUP(N497,Sim!$EF$46:$EG$61,2,0))</f>
        <v/>
      </c>
      <c r="S497" t="str">
        <f>IF(M497="","",VLOOKUP(N497,'Team Stats'!$B$3:$K$18,10,0))</f>
        <v/>
      </c>
      <c r="T497" s="84" t="str">
        <f t="shared" si="62"/>
        <v/>
      </c>
      <c r="U497" t="str">
        <f t="shared" si="63"/>
        <v/>
      </c>
    </row>
    <row r="498" spans="1:21">
      <c r="A498" s="73" t="s">
        <v>822</v>
      </c>
      <c r="B498" s="73" t="s">
        <v>196</v>
      </c>
      <c r="C498" s="74">
        <v>65</v>
      </c>
      <c r="D498" s="74"/>
      <c r="E498" s="74">
        <v>1</v>
      </c>
      <c r="F498" s="74"/>
      <c r="G498" s="74">
        <v>11</v>
      </c>
      <c r="H498" s="74"/>
      <c r="I498" s="63">
        <v>12</v>
      </c>
      <c r="J498" t="b">
        <f t="shared" si="56"/>
        <v>1</v>
      </c>
      <c r="K498" t="b">
        <f t="shared" si="57"/>
        <v>1</v>
      </c>
      <c r="M498" t="str">
        <f t="shared" si="58"/>
        <v> Calvin de Haan</v>
      </c>
      <c r="N498" t="str">
        <f t="shared" si="59"/>
        <v>NYI</v>
      </c>
      <c r="O498">
        <f t="shared" si="60"/>
        <v>12</v>
      </c>
      <c r="P498">
        <f>IF(M498="","",VLOOKUP(B498,'Team Stats'!$B$3:$K$18,5,0))</f>
        <v>656</v>
      </c>
      <c r="Q498">
        <f t="shared" si="61"/>
        <v>1.8292682926829267E-2</v>
      </c>
      <c r="R498">
        <f ca="1">IF(M498="","",VLOOKUP(N498,Sim!$EF$46:$EG$61,2,0))</f>
        <v>13.18</v>
      </c>
      <c r="S498">
        <f ca="1">IF(M498="","",VLOOKUP(N498,'Team Stats'!$B$3:$K$18,10,0))</f>
        <v>105.44</v>
      </c>
      <c r="T498" s="84">
        <f t="shared" ca="1" si="62"/>
        <v>1.928780487804878</v>
      </c>
      <c r="U498">
        <f t="shared" ca="1" si="63"/>
        <v>171</v>
      </c>
    </row>
    <row r="499" spans="1:21">
      <c r="A499" s="73" t="s">
        <v>823</v>
      </c>
      <c r="B499" s="73" t="s">
        <v>200</v>
      </c>
      <c r="C499" s="74">
        <v>81</v>
      </c>
      <c r="D499" s="74"/>
      <c r="E499" s="74">
        <v>6</v>
      </c>
      <c r="F499" s="74"/>
      <c r="G499" s="74">
        <v>6</v>
      </c>
      <c r="H499" s="74"/>
      <c r="I499" s="63">
        <v>12</v>
      </c>
      <c r="J499" t="b">
        <f t="shared" si="56"/>
        <v>1</v>
      </c>
      <c r="K499" t="b">
        <f t="shared" si="57"/>
        <v>1</v>
      </c>
      <c r="M499" t="str">
        <f t="shared" si="58"/>
        <v> Ryan Reaves</v>
      </c>
      <c r="N499" t="str">
        <f t="shared" si="59"/>
        <v>STL</v>
      </c>
      <c r="O499">
        <f t="shared" si="60"/>
        <v>12</v>
      </c>
      <c r="P499">
        <f>IF(M499="","",VLOOKUP(B499,'Team Stats'!$B$3:$K$18,5,0))</f>
        <v>660</v>
      </c>
      <c r="Q499">
        <f t="shared" si="61"/>
        <v>1.8181818181818181E-2</v>
      </c>
      <c r="R499">
        <f ca="1">IF(M499="","",VLOOKUP(N499,Sim!$EF$46:$EG$61,2,0))</f>
        <v>10.87</v>
      </c>
      <c r="S499">
        <f ca="1">IF(M499="","",VLOOKUP(N499,'Team Stats'!$B$3:$K$18,10,0))</f>
        <v>87.490243902439019</v>
      </c>
      <c r="T499" s="84">
        <f t="shared" ca="1" si="62"/>
        <v>1.590731707317073</v>
      </c>
      <c r="U499">
        <f t="shared" ca="1" si="63"/>
        <v>185</v>
      </c>
    </row>
    <row r="500" spans="1:21">
      <c r="A500" s="73" t="s">
        <v>824</v>
      </c>
      <c r="B500" s="73" t="s">
        <v>199</v>
      </c>
      <c r="C500" s="74">
        <v>58</v>
      </c>
      <c r="D500" s="74"/>
      <c r="E500" s="74">
        <v>2</v>
      </c>
      <c r="F500" s="74"/>
      <c r="G500" s="74">
        <v>10</v>
      </c>
      <c r="H500" s="74"/>
      <c r="I500" s="63">
        <v>12</v>
      </c>
      <c r="J500" t="b">
        <f t="shared" si="56"/>
        <v>0</v>
      </c>
      <c r="K500" t="b">
        <f t="shared" si="57"/>
        <v>0</v>
      </c>
      <c r="M500" t="str">
        <f t="shared" si="58"/>
        <v/>
      </c>
      <c r="N500" t="str">
        <f t="shared" si="59"/>
        <v/>
      </c>
      <c r="O500" t="str">
        <f t="shared" si="60"/>
        <v/>
      </c>
      <c r="P500" t="str">
        <f>IF(M500="","",VLOOKUP(B500,'Team Stats'!$B$3:$K$18,5,0))</f>
        <v/>
      </c>
      <c r="Q500" t="str">
        <f t="shared" si="61"/>
        <v/>
      </c>
      <c r="R500" t="str">
        <f>IF(M500="","",VLOOKUP(N500,Sim!$EF$46:$EG$61,2,0))</f>
        <v/>
      </c>
      <c r="S500" t="str">
        <f>IF(M500="","",VLOOKUP(N500,'Team Stats'!$B$3:$K$18,10,0))</f>
        <v/>
      </c>
      <c r="T500" s="84" t="str">
        <f t="shared" si="62"/>
        <v/>
      </c>
      <c r="U500" t="str">
        <f t="shared" si="63"/>
        <v/>
      </c>
    </row>
    <row r="501" spans="1:21">
      <c r="A501" s="73" t="s">
        <v>825</v>
      </c>
      <c r="B501" s="73" t="s">
        <v>200</v>
      </c>
      <c r="C501" s="74">
        <v>78</v>
      </c>
      <c r="D501" s="74"/>
      <c r="E501" s="74">
        <v>3</v>
      </c>
      <c r="F501" s="74"/>
      <c r="G501" s="74">
        <v>9</v>
      </c>
      <c r="H501" s="74"/>
      <c r="I501" s="63">
        <v>12</v>
      </c>
      <c r="J501" t="b">
        <f t="shared" si="56"/>
        <v>1</v>
      </c>
      <c r="K501" t="b">
        <f t="shared" si="57"/>
        <v>1</v>
      </c>
      <c r="M501" t="str">
        <f t="shared" si="58"/>
        <v> Steve Ott</v>
      </c>
      <c r="N501" t="str">
        <f t="shared" si="59"/>
        <v>STL</v>
      </c>
      <c r="O501">
        <f t="shared" si="60"/>
        <v>12</v>
      </c>
      <c r="P501">
        <f>IF(M501="","",VLOOKUP(B501,'Team Stats'!$B$3:$K$18,5,0))</f>
        <v>660</v>
      </c>
      <c r="Q501">
        <f t="shared" si="61"/>
        <v>1.8181818181818181E-2</v>
      </c>
      <c r="R501">
        <f ca="1">IF(M501="","",VLOOKUP(N501,Sim!$EF$46:$EG$61,2,0))</f>
        <v>10.87</v>
      </c>
      <c r="S501">
        <f ca="1">IF(M501="","",VLOOKUP(N501,'Team Stats'!$B$3:$K$18,10,0))</f>
        <v>87.490243902439019</v>
      </c>
      <c r="T501" s="84">
        <f t="shared" ca="1" si="62"/>
        <v>1.590731707317073</v>
      </c>
      <c r="U501">
        <f t="shared" ca="1" si="63"/>
        <v>185</v>
      </c>
    </row>
    <row r="502" spans="1:21">
      <c r="A502" s="73" t="s">
        <v>826</v>
      </c>
      <c r="B502" s="73" t="s">
        <v>200</v>
      </c>
      <c r="C502" s="74">
        <v>61</v>
      </c>
      <c r="D502" s="74"/>
      <c r="E502" s="74">
        <v>2</v>
      </c>
      <c r="F502" s="74"/>
      <c r="G502" s="74">
        <v>10</v>
      </c>
      <c r="H502" s="74"/>
      <c r="I502" s="63">
        <v>12</v>
      </c>
      <c r="J502" t="b">
        <f t="shared" si="56"/>
        <v>1</v>
      </c>
      <c r="K502" t="b">
        <f t="shared" si="57"/>
        <v>1</v>
      </c>
      <c r="M502" t="str">
        <f t="shared" si="58"/>
        <v> Carl Gunnarsson</v>
      </c>
      <c r="N502" t="str">
        <f t="shared" si="59"/>
        <v>STL</v>
      </c>
      <c r="O502">
        <f t="shared" si="60"/>
        <v>12</v>
      </c>
      <c r="P502">
        <f>IF(M502="","",VLOOKUP(B502,'Team Stats'!$B$3:$K$18,5,0))</f>
        <v>660</v>
      </c>
      <c r="Q502">
        <f t="shared" si="61"/>
        <v>1.8181818181818181E-2</v>
      </c>
      <c r="R502">
        <f ca="1">IF(M502="","",VLOOKUP(N502,Sim!$EF$46:$EG$61,2,0))</f>
        <v>10.87</v>
      </c>
      <c r="S502">
        <f ca="1">IF(M502="","",VLOOKUP(N502,'Team Stats'!$B$3:$K$18,10,0))</f>
        <v>87.490243902439019</v>
      </c>
      <c r="T502" s="84">
        <f t="shared" ca="1" si="62"/>
        <v>1.590731707317073</v>
      </c>
      <c r="U502">
        <f t="shared" ca="1" si="63"/>
        <v>185</v>
      </c>
    </row>
    <row r="503" spans="1:21">
      <c r="A503" s="73" t="s">
        <v>827</v>
      </c>
      <c r="B503" s="73" t="s">
        <v>214</v>
      </c>
      <c r="C503" s="74">
        <v>63</v>
      </c>
      <c r="D503" s="74"/>
      <c r="E503" s="74">
        <v>1</v>
      </c>
      <c r="F503" s="74"/>
      <c r="G503" s="74">
        <v>10</v>
      </c>
      <c r="H503" s="74"/>
      <c r="I503" s="63">
        <v>11</v>
      </c>
      <c r="J503" t="b">
        <f t="shared" si="56"/>
        <v>1</v>
      </c>
      <c r="K503" t="b">
        <f t="shared" si="57"/>
        <v>1</v>
      </c>
      <c r="M503" t="str">
        <f t="shared" si="58"/>
        <v> Mark Borowiecki</v>
      </c>
      <c r="N503" t="str">
        <f t="shared" si="59"/>
        <v>OTT</v>
      </c>
      <c r="O503">
        <f t="shared" si="60"/>
        <v>11</v>
      </c>
      <c r="P503">
        <f>IF(M503="","",VLOOKUP(B503,'Team Stats'!$B$3:$K$18,5,0))</f>
        <v>619</v>
      </c>
      <c r="Q503">
        <f t="shared" si="61"/>
        <v>1.7770597738287562E-2</v>
      </c>
      <c r="R503">
        <f ca="1">IF(M503="","",VLOOKUP(N503,Sim!$EF$46:$EG$61,2,0))</f>
        <v>10.71</v>
      </c>
      <c r="S503">
        <f ca="1">IF(M503="","",VLOOKUP(N503,'Team Stats'!$B$3:$K$18,10,0))</f>
        <v>80.847439024390255</v>
      </c>
      <c r="T503" s="84">
        <f t="shared" ca="1" si="62"/>
        <v>1.436707317073171</v>
      </c>
      <c r="U503">
        <f t="shared" ca="1" si="63"/>
        <v>197</v>
      </c>
    </row>
    <row r="504" spans="1:21">
      <c r="A504" s="73" t="s">
        <v>828</v>
      </c>
      <c r="B504" s="73" t="s">
        <v>213</v>
      </c>
      <c r="C504" s="74">
        <v>44</v>
      </c>
      <c r="D504" s="74"/>
      <c r="E504" s="74">
        <v>3</v>
      </c>
      <c r="F504" s="74"/>
      <c r="G504" s="74">
        <v>8</v>
      </c>
      <c r="H504" s="74"/>
      <c r="I504" s="63">
        <v>11</v>
      </c>
      <c r="J504" t="b">
        <f t="shared" si="56"/>
        <v>0</v>
      </c>
      <c r="K504" t="b">
        <f t="shared" si="57"/>
        <v>0</v>
      </c>
      <c r="M504" t="str">
        <f t="shared" si="58"/>
        <v/>
      </c>
      <c r="N504" t="str">
        <f t="shared" si="59"/>
        <v/>
      </c>
      <c r="O504" t="str">
        <f t="shared" si="60"/>
        <v/>
      </c>
      <c r="P504" t="str">
        <f>IF(M504="","",VLOOKUP(B504,'Team Stats'!$B$3:$K$18,5,0))</f>
        <v/>
      </c>
      <c r="Q504" t="str">
        <f t="shared" si="61"/>
        <v/>
      </c>
      <c r="R504" t="str">
        <f>IF(M504="","",VLOOKUP(N504,Sim!$EF$46:$EG$61,2,0))</f>
        <v/>
      </c>
      <c r="S504" t="str">
        <f>IF(M504="","",VLOOKUP(N504,'Team Stats'!$B$3:$K$18,10,0))</f>
        <v/>
      </c>
      <c r="T504" s="84" t="str">
        <f t="shared" si="62"/>
        <v/>
      </c>
      <c r="U504" t="str">
        <f t="shared" si="63"/>
        <v/>
      </c>
    </row>
    <row r="505" spans="1:21">
      <c r="A505" s="73" t="s">
        <v>829</v>
      </c>
      <c r="B505" s="73" t="s">
        <v>203</v>
      </c>
      <c r="C505" s="74">
        <v>55</v>
      </c>
      <c r="D505" s="74"/>
      <c r="E505" s="74">
        <v>2</v>
      </c>
      <c r="F505" s="74"/>
      <c r="G505" s="74">
        <v>9</v>
      </c>
      <c r="H505" s="74"/>
      <c r="I505" s="63">
        <v>11</v>
      </c>
      <c r="J505" t="b">
        <f t="shared" si="56"/>
        <v>1</v>
      </c>
      <c r="K505" t="b">
        <f t="shared" si="57"/>
        <v>1</v>
      </c>
      <c r="M505" t="str">
        <f t="shared" si="58"/>
        <v> Matt Hunwick</v>
      </c>
      <c r="N505" t="str">
        <f t="shared" si="59"/>
        <v>NYR</v>
      </c>
      <c r="O505">
        <f t="shared" si="60"/>
        <v>11</v>
      </c>
      <c r="P505">
        <f>IF(M505="","",VLOOKUP(B505,'Team Stats'!$B$3:$K$18,5,0))</f>
        <v>659</v>
      </c>
      <c r="Q505">
        <f t="shared" si="61"/>
        <v>1.6691957511380879E-2</v>
      </c>
      <c r="R505">
        <f ca="1">IF(M505="","",VLOOKUP(N505,Sim!$EF$46:$EG$61,2,0))</f>
        <v>8.7200000000000006</v>
      </c>
      <c r="S505">
        <f ca="1">IF(M505="","",VLOOKUP(N505,'Team Stats'!$B$3:$K$18,10,0))</f>
        <v>70.079024390243916</v>
      </c>
      <c r="T505" s="84">
        <f t="shared" ca="1" si="62"/>
        <v>1.1697560975609758</v>
      </c>
      <c r="U505">
        <f t="shared" ca="1" si="63"/>
        <v>214</v>
      </c>
    </row>
    <row r="506" spans="1:21">
      <c r="A506" s="73" t="s">
        <v>830</v>
      </c>
      <c r="B506" s="73" t="s">
        <v>198</v>
      </c>
      <c r="C506" s="74">
        <v>80</v>
      </c>
      <c r="D506" s="74"/>
      <c r="E506" s="74">
        <v>2</v>
      </c>
      <c r="F506" s="74"/>
      <c r="G506" s="74">
        <v>9</v>
      </c>
      <c r="H506" s="74"/>
      <c r="I506" s="63">
        <v>11</v>
      </c>
      <c r="J506" t="b">
        <f t="shared" si="56"/>
        <v>1</v>
      </c>
      <c r="K506" t="b">
        <f t="shared" si="57"/>
        <v>1</v>
      </c>
      <c r="M506" t="str">
        <f t="shared" si="58"/>
        <v> Maxim Lapierre</v>
      </c>
      <c r="N506" t="str">
        <f t="shared" si="59"/>
        <v>PIT</v>
      </c>
      <c r="O506">
        <f t="shared" si="60"/>
        <v>11</v>
      </c>
      <c r="P506">
        <f>IF(M506="","",VLOOKUP(B506,'Team Stats'!$B$3:$K$18,5,0))</f>
        <v>600</v>
      </c>
      <c r="Q506">
        <f t="shared" si="61"/>
        <v>1.8333333333333333E-2</v>
      </c>
      <c r="R506">
        <f ca="1">IF(M506="","",VLOOKUP(N506,Sim!$EF$46:$EG$61,2,0))</f>
        <v>9.74</v>
      </c>
      <c r="S506">
        <f ca="1">IF(M506="","",VLOOKUP(N506,'Team Stats'!$B$3:$K$18,10,0))</f>
        <v>71.268292682926827</v>
      </c>
      <c r="T506" s="84">
        <f t="shared" ca="1" si="62"/>
        <v>1.3065853658536586</v>
      </c>
      <c r="U506">
        <f t="shared" ca="1" si="63"/>
        <v>206</v>
      </c>
    </row>
    <row r="507" spans="1:21">
      <c r="A507" s="73" t="s">
        <v>831</v>
      </c>
      <c r="B507" s="73" t="s">
        <v>208</v>
      </c>
      <c r="C507" s="74">
        <v>76</v>
      </c>
      <c r="D507" s="74"/>
      <c r="E507" s="74">
        <v>2</v>
      </c>
      <c r="F507" s="74"/>
      <c r="G507" s="74">
        <v>9</v>
      </c>
      <c r="H507" s="74"/>
      <c r="I507" s="63">
        <v>11</v>
      </c>
      <c r="J507" t="b">
        <f t="shared" si="56"/>
        <v>0</v>
      </c>
      <c r="K507" t="b">
        <f t="shared" si="57"/>
        <v>0</v>
      </c>
      <c r="M507" t="str">
        <f t="shared" si="58"/>
        <v/>
      </c>
      <c r="N507" t="str">
        <f t="shared" si="59"/>
        <v/>
      </c>
      <c r="O507" t="str">
        <f t="shared" si="60"/>
        <v/>
      </c>
      <c r="P507" t="str">
        <f>IF(M507="","",VLOOKUP(B507,'Team Stats'!$B$3:$K$18,5,0))</f>
        <v/>
      </c>
      <c r="Q507" t="str">
        <f t="shared" si="61"/>
        <v/>
      </c>
      <c r="R507" t="str">
        <f>IF(M507="","",VLOOKUP(N507,Sim!$EF$46:$EG$61,2,0))</f>
        <v/>
      </c>
      <c r="S507" t="str">
        <f>IF(M507="","",VLOOKUP(N507,'Team Stats'!$B$3:$K$18,10,0))</f>
        <v/>
      </c>
      <c r="T507" s="84" t="str">
        <f t="shared" si="62"/>
        <v/>
      </c>
      <c r="U507" t="str">
        <f t="shared" si="63"/>
        <v/>
      </c>
    </row>
    <row r="508" spans="1:21">
      <c r="A508" s="73" t="s">
        <v>832</v>
      </c>
      <c r="B508" s="73" t="s">
        <v>222</v>
      </c>
      <c r="C508" s="74">
        <v>57</v>
      </c>
      <c r="D508" s="74"/>
      <c r="E508" s="74">
        <v>2</v>
      </c>
      <c r="F508" s="74"/>
      <c r="G508" s="74">
        <v>9</v>
      </c>
      <c r="H508" s="74"/>
      <c r="I508" s="63">
        <v>11</v>
      </c>
      <c r="J508" t="b">
        <f t="shared" si="56"/>
        <v>0</v>
      </c>
      <c r="K508" t="b">
        <f t="shared" si="57"/>
        <v>0</v>
      </c>
      <c r="M508" t="str">
        <f t="shared" si="58"/>
        <v/>
      </c>
      <c r="N508" t="str">
        <f t="shared" si="59"/>
        <v/>
      </c>
      <c r="O508" t="str">
        <f t="shared" si="60"/>
        <v/>
      </c>
      <c r="P508" t="str">
        <f>IF(M508="","",VLOOKUP(B508,'Team Stats'!$B$3:$K$18,5,0))</f>
        <v/>
      </c>
      <c r="Q508" t="str">
        <f t="shared" si="61"/>
        <v/>
      </c>
      <c r="R508" t="str">
        <f>IF(M508="","",VLOOKUP(N508,Sim!$EF$46:$EG$61,2,0))</f>
        <v/>
      </c>
      <c r="S508" t="str">
        <f>IF(M508="","",VLOOKUP(N508,'Team Stats'!$B$3:$K$18,10,0))</f>
        <v/>
      </c>
      <c r="T508" s="84" t="str">
        <f t="shared" si="62"/>
        <v/>
      </c>
      <c r="U508" t="str">
        <f t="shared" si="63"/>
        <v/>
      </c>
    </row>
    <row r="509" spans="1:21">
      <c r="A509" s="73" t="s">
        <v>833</v>
      </c>
      <c r="B509" s="73" t="s">
        <v>220</v>
      </c>
      <c r="C509" s="74">
        <v>62</v>
      </c>
      <c r="D509" s="74"/>
      <c r="E509" s="74">
        <v>6</v>
      </c>
      <c r="F509" s="74"/>
      <c r="G509" s="74">
        <v>5</v>
      </c>
      <c r="H509" s="74"/>
      <c r="I509" s="63">
        <v>11</v>
      </c>
      <c r="J509" t="b">
        <f t="shared" si="56"/>
        <v>0</v>
      </c>
      <c r="K509" t="b">
        <f t="shared" si="57"/>
        <v>0</v>
      </c>
      <c r="M509" t="str">
        <f t="shared" si="58"/>
        <v/>
      </c>
      <c r="N509" t="str">
        <f t="shared" si="59"/>
        <v/>
      </c>
      <c r="O509" t="str">
        <f t="shared" si="60"/>
        <v/>
      </c>
      <c r="P509" t="str">
        <f>IF(M509="","",VLOOKUP(B509,'Team Stats'!$B$3:$K$18,5,0))</f>
        <v/>
      </c>
      <c r="Q509" t="str">
        <f t="shared" si="61"/>
        <v/>
      </c>
      <c r="R509" t="str">
        <f>IF(M509="","",VLOOKUP(N509,Sim!$EF$46:$EG$61,2,0))</f>
        <v/>
      </c>
      <c r="S509" t="str">
        <f>IF(M509="","",VLOOKUP(N509,'Team Stats'!$B$3:$K$18,10,0))</f>
        <v/>
      </c>
      <c r="T509" s="84" t="str">
        <f t="shared" si="62"/>
        <v/>
      </c>
      <c r="U509" t="str">
        <f t="shared" si="63"/>
        <v/>
      </c>
    </row>
    <row r="510" spans="1:21">
      <c r="A510" s="73" t="s">
        <v>834</v>
      </c>
      <c r="B510" s="73" t="s">
        <v>336</v>
      </c>
      <c r="C510" s="74">
        <v>43</v>
      </c>
      <c r="D510" s="74"/>
      <c r="E510" s="74">
        <v>1</v>
      </c>
      <c r="F510" s="74"/>
      <c r="G510" s="74">
        <v>10</v>
      </c>
      <c r="H510" s="74"/>
      <c r="I510" s="63">
        <v>11</v>
      </c>
      <c r="J510" t="b">
        <f t="shared" si="56"/>
        <v>0</v>
      </c>
      <c r="K510" t="b">
        <f t="shared" si="57"/>
        <v>0</v>
      </c>
      <c r="M510" t="str">
        <f t="shared" si="58"/>
        <v/>
      </c>
      <c r="N510" t="str">
        <f t="shared" si="59"/>
        <v/>
      </c>
      <c r="O510" t="str">
        <f t="shared" si="60"/>
        <v/>
      </c>
      <c r="P510" t="str">
        <f>IF(M510="","",VLOOKUP(B510,'Team Stats'!$B$3:$K$18,5,0))</f>
        <v/>
      </c>
      <c r="Q510" t="str">
        <f t="shared" si="61"/>
        <v/>
      </c>
      <c r="R510" t="str">
        <f>IF(M510="","",VLOOKUP(N510,Sim!$EF$46:$EG$61,2,0))</f>
        <v/>
      </c>
      <c r="S510" t="str">
        <f>IF(M510="","",VLOOKUP(N510,'Team Stats'!$B$3:$K$18,10,0))</f>
        <v/>
      </c>
      <c r="T510" s="84" t="str">
        <f t="shared" si="62"/>
        <v/>
      </c>
      <c r="U510" t="str">
        <f t="shared" si="63"/>
        <v/>
      </c>
    </row>
    <row r="511" spans="1:21">
      <c r="A511" s="73" t="s">
        <v>835</v>
      </c>
      <c r="B511" s="73" t="s">
        <v>206</v>
      </c>
      <c r="C511" s="74">
        <v>76</v>
      </c>
      <c r="D511" s="74"/>
      <c r="E511" s="74">
        <v>3</v>
      </c>
      <c r="F511" s="74"/>
      <c r="G511" s="74">
        <v>8</v>
      </c>
      <c r="H511" s="74"/>
      <c r="I511" s="63">
        <v>11</v>
      </c>
      <c r="J511" t="b">
        <f t="shared" si="56"/>
        <v>1</v>
      </c>
      <c r="K511" t="b">
        <f t="shared" si="57"/>
        <v>1</v>
      </c>
      <c r="M511" t="str">
        <f t="shared" si="58"/>
        <v> Luca Sbisa</v>
      </c>
      <c r="N511" t="str">
        <f t="shared" si="59"/>
        <v>VAN</v>
      </c>
      <c r="O511">
        <f t="shared" si="60"/>
        <v>11</v>
      </c>
      <c r="P511">
        <f>IF(M511="","",VLOOKUP(B511,'Team Stats'!$B$3:$K$18,5,0))</f>
        <v>642</v>
      </c>
      <c r="Q511">
        <f t="shared" si="61"/>
        <v>1.7133956386292833E-2</v>
      </c>
      <c r="R511">
        <f ca="1">IF(M511="","",VLOOKUP(N511,Sim!$EF$46:$EG$61,2,0))</f>
        <v>10.35</v>
      </c>
      <c r="S511">
        <f ca="1">IF(M511="","",VLOOKUP(N511,'Team Stats'!$B$3:$K$18,10,0))</f>
        <v>81.032926829268291</v>
      </c>
      <c r="T511" s="84">
        <f t="shared" ca="1" si="62"/>
        <v>1.3884146341463413</v>
      </c>
      <c r="U511">
        <f t="shared" ca="1" si="63"/>
        <v>203</v>
      </c>
    </row>
    <row r="512" spans="1:21">
      <c r="A512" s="73" t="s">
        <v>836</v>
      </c>
      <c r="B512" s="73" t="s">
        <v>198</v>
      </c>
      <c r="C512" s="74">
        <v>16</v>
      </c>
      <c r="D512" s="74"/>
      <c r="E512" s="74">
        <v>6</v>
      </c>
      <c r="F512" s="74"/>
      <c r="G512" s="74">
        <v>5</v>
      </c>
      <c r="H512" s="74"/>
      <c r="I512" s="63">
        <v>11</v>
      </c>
      <c r="J512" t="b">
        <f t="shared" si="56"/>
        <v>1</v>
      </c>
      <c r="K512" t="b">
        <f t="shared" si="57"/>
        <v>1</v>
      </c>
      <c r="M512" t="str">
        <f t="shared" si="58"/>
        <v> Pascal Dupuis</v>
      </c>
      <c r="N512" t="str">
        <f t="shared" si="59"/>
        <v>PIT</v>
      </c>
      <c r="O512">
        <f t="shared" si="60"/>
        <v>11</v>
      </c>
      <c r="P512">
        <f>IF(M512="","",VLOOKUP(B512,'Team Stats'!$B$3:$K$18,5,0))</f>
        <v>600</v>
      </c>
      <c r="Q512">
        <f t="shared" si="61"/>
        <v>1.8333333333333333E-2</v>
      </c>
      <c r="R512">
        <f ca="1">IF(M512="","",VLOOKUP(N512,Sim!$EF$46:$EG$61,2,0))</f>
        <v>9.74</v>
      </c>
      <c r="S512">
        <f ca="1">IF(M512="","",VLOOKUP(N512,'Team Stats'!$B$3:$K$18,10,0))</f>
        <v>71.268292682926827</v>
      </c>
      <c r="T512" s="84">
        <f t="shared" ca="1" si="62"/>
        <v>1.3065853658536586</v>
      </c>
      <c r="U512">
        <f t="shared" ca="1" si="63"/>
        <v>206</v>
      </c>
    </row>
    <row r="513" spans="1:21">
      <c r="A513" s="73" t="s">
        <v>837</v>
      </c>
      <c r="B513" s="73" t="s">
        <v>214</v>
      </c>
      <c r="C513" s="74">
        <v>45</v>
      </c>
      <c r="D513" s="74"/>
      <c r="E513" s="74">
        <v>1</v>
      </c>
      <c r="F513" s="74"/>
      <c r="G513" s="74">
        <v>10</v>
      </c>
      <c r="H513" s="74"/>
      <c r="I513" s="63">
        <v>11</v>
      </c>
      <c r="J513" t="b">
        <f t="shared" si="56"/>
        <v>1</v>
      </c>
      <c r="K513" t="b">
        <f t="shared" si="57"/>
        <v>1</v>
      </c>
      <c r="M513" t="str">
        <f t="shared" si="58"/>
        <v> Marc Methot</v>
      </c>
      <c r="N513" t="str">
        <f t="shared" si="59"/>
        <v>OTT</v>
      </c>
      <c r="O513">
        <f t="shared" si="60"/>
        <v>11</v>
      </c>
      <c r="P513">
        <f>IF(M513="","",VLOOKUP(B513,'Team Stats'!$B$3:$K$18,5,0))</f>
        <v>619</v>
      </c>
      <c r="Q513">
        <f t="shared" si="61"/>
        <v>1.7770597738287562E-2</v>
      </c>
      <c r="R513">
        <f ca="1">IF(M513="","",VLOOKUP(N513,Sim!$EF$46:$EG$61,2,0))</f>
        <v>10.71</v>
      </c>
      <c r="S513">
        <f ca="1">IF(M513="","",VLOOKUP(N513,'Team Stats'!$B$3:$K$18,10,0))</f>
        <v>80.847439024390255</v>
      </c>
      <c r="T513" s="84">
        <f t="shared" ca="1" si="62"/>
        <v>1.436707317073171</v>
      </c>
      <c r="U513">
        <f t="shared" ca="1" si="63"/>
        <v>197</v>
      </c>
    </row>
    <row r="514" spans="1:21">
      <c r="A514" s="73" t="s">
        <v>838</v>
      </c>
      <c r="B514" s="73" t="s">
        <v>219</v>
      </c>
      <c r="C514" s="74">
        <v>82</v>
      </c>
      <c r="D514" s="74"/>
      <c r="E514" s="74">
        <v>5</v>
      </c>
      <c r="F514" s="74"/>
      <c r="G514" s="74">
        <v>6</v>
      </c>
      <c r="H514" s="74"/>
      <c r="I514" s="63">
        <v>11</v>
      </c>
      <c r="J514" t="b">
        <f t="shared" si="56"/>
        <v>0</v>
      </c>
      <c r="K514" t="b">
        <f t="shared" si="57"/>
        <v>0</v>
      </c>
      <c r="M514" t="str">
        <f t="shared" si="58"/>
        <v/>
      </c>
      <c r="N514" t="str">
        <f t="shared" si="59"/>
        <v/>
      </c>
      <c r="O514" t="str">
        <f t="shared" si="60"/>
        <v/>
      </c>
      <c r="P514" t="str">
        <f>IF(M514="","",VLOOKUP(B514,'Team Stats'!$B$3:$K$18,5,0))</f>
        <v/>
      </c>
      <c r="Q514" t="str">
        <f t="shared" si="61"/>
        <v/>
      </c>
      <c r="R514" t="str">
        <f>IF(M514="","",VLOOKUP(N514,Sim!$EF$46:$EG$61,2,0))</f>
        <v/>
      </c>
      <c r="S514" t="str">
        <f>IF(M514="","",VLOOKUP(N514,'Team Stats'!$B$3:$K$18,10,0))</f>
        <v/>
      </c>
      <c r="T514" s="84" t="str">
        <f t="shared" si="62"/>
        <v/>
      </c>
      <c r="U514" t="str">
        <f t="shared" si="63"/>
        <v/>
      </c>
    </row>
    <row r="515" spans="1:21">
      <c r="A515" s="73" t="s">
        <v>839</v>
      </c>
      <c r="B515" s="73" t="s">
        <v>206</v>
      </c>
      <c r="C515" s="74">
        <v>54</v>
      </c>
      <c r="D515" s="74"/>
      <c r="E515" s="74">
        <v>3</v>
      </c>
      <c r="F515" s="74"/>
      <c r="G515" s="74">
        <v>8</v>
      </c>
      <c r="H515" s="74"/>
      <c r="I515" s="63">
        <v>11</v>
      </c>
      <c r="J515" t="b">
        <f t="shared" si="56"/>
        <v>1</v>
      </c>
      <c r="K515" t="b">
        <f t="shared" si="57"/>
        <v>1</v>
      </c>
      <c r="M515" t="str">
        <f t="shared" si="58"/>
        <v> Ryan Stanton</v>
      </c>
      <c r="N515" t="str">
        <f t="shared" si="59"/>
        <v>VAN</v>
      </c>
      <c r="O515">
        <f t="shared" si="60"/>
        <v>11</v>
      </c>
      <c r="P515">
        <f>IF(M515="","",VLOOKUP(B515,'Team Stats'!$B$3:$K$18,5,0))</f>
        <v>642</v>
      </c>
      <c r="Q515">
        <f t="shared" si="61"/>
        <v>1.7133956386292833E-2</v>
      </c>
      <c r="R515">
        <f ca="1">IF(M515="","",VLOOKUP(N515,Sim!$EF$46:$EG$61,2,0))</f>
        <v>10.35</v>
      </c>
      <c r="S515">
        <f ca="1">IF(M515="","",VLOOKUP(N515,'Team Stats'!$B$3:$K$18,10,0))</f>
        <v>81.032926829268291</v>
      </c>
      <c r="T515" s="84">
        <f t="shared" ca="1" si="62"/>
        <v>1.3884146341463413</v>
      </c>
      <c r="U515">
        <f t="shared" ca="1" si="63"/>
        <v>203</v>
      </c>
    </row>
    <row r="516" spans="1:21">
      <c r="A516" s="73" t="s">
        <v>840</v>
      </c>
      <c r="B516" s="73" t="s">
        <v>204</v>
      </c>
      <c r="C516" s="74">
        <v>51</v>
      </c>
      <c r="D516" s="74"/>
      <c r="E516" s="74">
        <v>0</v>
      </c>
      <c r="F516" s="74"/>
      <c r="G516" s="74">
        <v>10</v>
      </c>
      <c r="H516" s="74"/>
      <c r="I516" s="63">
        <v>10</v>
      </c>
      <c r="J516" t="b">
        <f t="shared" ref="J516:J579" si="64">OR(B516="MTL",B516="OTT",B516="TBL",B516="DET",B516="WSH",B516="NYI",B516="NYR",B516="PIT",B516="STL",B516="MIN",B516="NSH",B516="CHI",B516="VAN",B516="CAL",B516="ANA",B516="WPG")</f>
        <v>0</v>
      </c>
      <c r="K516" t="b">
        <f t="shared" ref="K516:K579" si="65">J516</f>
        <v>0</v>
      </c>
      <c r="M516" t="str">
        <f t="shared" ref="M516:M579" si="66">IF(K516=FALSE,"",A516)</f>
        <v/>
      </c>
      <c r="N516" t="str">
        <f t="shared" ref="N516:N579" si="67">IF(M516="","",B516)</f>
        <v/>
      </c>
      <c r="O516" t="str">
        <f t="shared" ref="O516:O579" si="68">IF(M516="","",I516)</f>
        <v/>
      </c>
      <c r="P516" t="str">
        <f>IF(M516="","",VLOOKUP(B516,'Team Stats'!$B$3:$K$18,5,0))</f>
        <v/>
      </c>
      <c r="Q516" t="str">
        <f t="shared" ref="Q516:Q579" si="69">IF(N516="","",IF(O516=0,0,O516/P516))</f>
        <v/>
      </c>
      <c r="R516" t="str">
        <f>IF(M516="","",VLOOKUP(N516,Sim!$EF$46:$EG$61,2,0))</f>
        <v/>
      </c>
      <c r="S516" t="str">
        <f>IF(M516="","",VLOOKUP(N516,'Team Stats'!$B$3:$K$18,10,0))</f>
        <v/>
      </c>
      <c r="T516" s="84" t="str">
        <f t="shared" ref="T516:T579" si="70">IF(M516="","",IF(O516=0,0,Q516*S516))</f>
        <v/>
      </c>
      <c r="U516" t="str">
        <f t="shared" ref="U516:U579" si="71">IF(M516="","",RANK(T516,$T$3:$T$884,0))</f>
        <v/>
      </c>
    </row>
    <row r="517" spans="1:21">
      <c r="A517" s="73" t="s">
        <v>841</v>
      </c>
      <c r="B517" s="73" t="s">
        <v>220</v>
      </c>
      <c r="C517" s="74">
        <v>74</v>
      </c>
      <c r="D517" s="74"/>
      <c r="E517" s="74">
        <v>4</v>
      </c>
      <c r="F517" s="74"/>
      <c r="G517" s="74">
        <v>6</v>
      </c>
      <c r="H517" s="74"/>
      <c r="I517" s="63">
        <v>10</v>
      </c>
      <c r="J517" t="b">
        <f t="shared" si="64"/>
        <v>0</v>
      </c>
      <c r="K517" t="b">
        <f t="shared" si="65"/>
        <v>0</v>
      </c>
      <c r="M517" t="str">
        <f t="shared" si="66"/>
        <v/>
      </c>
      <c r="N517" t="str">
        <f t="shared" si="67"/>
        <v/>
      </c>
      <c r="O517" t="str">
        <f t="shared" si="68"/>
        <v/>
      </c>
      <c r="P517" t="str">
        <f>IF(M517="","",VLOOKUP(B517,'Team Stats'!$B$3:$K$18,5,0))</f>
        <v/>
      </c>
      <c r="Q517" t="str">
        <f t="shared" si="69"/>
        <v/>
      </c>
      <c r="R517" t="str">
        <f>IF(M517="","",VLOOKUP(N517,Sim!$EF$46:$EG$61,2,0))</f>
        <v/>
      </c>
      <c r="S517" t="str">
        <f>IF(M517="","",VLOOKUP(N517,'Team Stats'!$B$3:$K$18,10,0))</f>
        <v/>
      </c>
      <c r="T517" s="84" t="str">
        <f t="shared" si="70"/>
        <v/>
      </c>
      <c r="U517" t="str">
        <f t="shared" si="71"/>
        <v/>
      </c>
    </row>
    <row r="518" spans="1:21">
      <c r="A518" s="73" t="s">
        <v>842</v>
      </c>
      <c r="B518" s="73" t="s">
        <v>365</v>
      </c>
      <c r="C518" s="74">
        <v>37</v>
      </c>
      <c r="D518" s="74"/>
      <c r="E518" s="74">
        <v>0</v>
      </c>
      <c r="F518" s="74"/>
      <c r="G518" s="74">
        <v>10</v>
      </c>
      <c r="H518" s="74"/>
      <c r="I518" s="63">
        <v>10</v>
      </c>
      <c r="J518" t="b">
        <f t="shared" si="64"/>
        <v>0</v>
      </c>
      <c r="K518" t="b">
        <f t="shared" si="65"/>
        <v>0</v>
      </c>
      <c r="M518" t="str">
        <f t="shared" si="66"/>
        <v/>
      </c>
      <c r="N518" t="str">
        <f t="shared" si="67"/>
        <v/>
      </c>
      <c r="O518" t="str">
        <f t="shared" si="68"/>
        <v/>
      </c>
      <c r="P518" t="str">
        <f>IF(M518="","",VLOOKUP(B518,'Team Stats'!$B$3:$K$18,5,0))</f>
        <v/>
      </c>
      <c r="Q518" t="str">
        <f t="shared" si="69"/>
        <v/>
      </c>
      <c r="R518" t="str">
        <f>IF(M518="","",VLOOKUP(N518,Sim!$EF$46:$EG$61,2,0))</f>
        <v/>
      </c>
      <c r="S518" t="str">
        <f>IF(M518="","",VLOOKUP(N518,'Team Stats'!$B$3:$K$18,10,0))</f>
        <v/>
      </c>
      <c r="T518" s="84" t="str">
        <f t="shared" si="70"/>
        <v/>
      </c>
      <c r="U518" t="str">
        <f t="shared" si="71"/>
        <v/>
      </c>
    </row>
    <row r="519" spans="1:21">
      <c r="A519" s="73" t="s">
        <v>843</v>
      </c>
      <c r="B519" s="73" t="s">
        <v>200</v>
      </c>
      <c r="C519" s="74">
        <v>62</v>
      </c>
      <c r="D519" s="74"/>
      <c r="E519" s="74">
        <v>4</v>
      </c>
      <c r="F519" s="74"/>
      <c r="G519" s="74">
        <v>6</v>
      </c>
      <c r="H519" s="74"/>
      <c r="I519" s="63">
        <v>10</v>
      </c>
      <c r="J519" t="b">
        <f t="shared" si="64"/>
        <v>1</v>
      </c>
      <c r="K519" t="b">
        <f t="shared" si="65"/>
        <v>1</v>
      </c>
      <c r="M519" t="str">
        <f t="shared" si="66"/>
        <v> Olli Jokinen</v>
      </c>
      <c r="N519" t="str">
        <f t="shared" si="67"/>
        <v>STL</v>
      </c>
      <c r="O519">
        <f t="shared" si="68"/>
        <v>10</v>
      </c>
      <c r="P519">
        <f>IF(M519="","",VLOOKUP(B519,'Team Stats'!$B$3:$K$18,5,0))</f>
        <v>660</v>
      </c>
      <c r="Q519">
        <f t="shared" si="69"/>
        <v>1.5151515151515152E-2</v>
      </c>
      <c r="R519">
        <f ca="1">IF(M519="","",VLOOKUP(N519,Sim!$EF$46:$EG$61,2,0))</f>
        <v>10.87</v>
      </c>
      <c r="S519">
        <f ca="1">IF(M519="","",VLOOKUP(N519,'Team Stats'!$B$3:$K$18,10,0))</f>
        <v>87.490243902439019</v>
      </c>
      <c r="T519" s="84">
        <f t="shared" ca="1" si="70"/>
        <v>1.3256097560975608</v>
      </c>
      <c r="U519">
        <f t="shared" ca="1" si="71"/>
        <v>205</v>
      </c>
    </row>
    <row r="520" spans="1:21">
      <c r="A520" s="73" t="s">
        <v>844</v>
      </c>
      <c r="B520" s="73" t="s">
        <v>217</v>
      </c>
      <c r="C520" s="74">
        <v>30</v>
      </c>
      <c r="D520" s="74"/>
      <c r="E520" s="74">
        <v>6</v>
      </c>
      <c r="F520" s="74"/>
      <c r="G520" s="74">
        <v>4</v>
      </c>
      <c r="H520" s="74"/>
      <c r="I520" s="63">
        <v>10</v>
      </c>
      <c r="J520" t="b">
        <f t="shared" si="64"/>
        <v>0</v>
      </c>
      <c r="K520" t="b">
        <f t="shared" si="65"/>
        <v>0</v>
      </c>
      <c r="M520" t="str">
        <f t="shared" si="66"/>
        <v/>
      </c>
      <c r="N520" t="str">
        <f t="shared" si="67"/>
        <v/>
      </c>
      <c r="O520" t="str">
        <f t="shared" si="68"/>
        <v/>
      </c>
      <c r="P520" t="str">
        <f>IF(M520="","",VLOOKUP(B520,'Team Stats'!$B$3:$K$18,5,0))</f>
        <v/>
      </c>
      <c r="Q520" t="str">
        <f t="shared" si="69"/>
        <v/>
      </c>
      <c r="R520" t="str">
        <f>IF(M520="","",VLOOKUP(N520,Sim!$EF$46:$EG$61,2,0))</f>
        <v/>
      </c>
      <c r="S520" t="str">
        <f>IF(M520="","",VLOOKUP(N520,'Team Stats'!$B$3:$K$18,10,0))</f>
        <v/>
      </c>
      <c r="T520" s="84" t="str">
        <f t="shared" si="70"/>
        <v/>
      </c>
      <c r="U520" t="str">
        <f t="shared" si="71"/>
        <v/>
      </c>
    </row>
    <row r="521" spans="1:21">
      <c r="A521" s="73" t="s">
        <v>845</v>
      </c>
      <c r="B521" s="73" t="s">
        <v>218</v>
      </c>
      <c r="C521" s="74">
        <v>49</v>
      </c>
      <c r="D521" s="74"/>
      <c r="E521" s="74">
        <v>2</v>
      </c>
      <c r="F521" s="74"/>
      <c r="G521" s="74">
        <v>8</v>
      </c>
      <c r="H521" s="74"/>
      <c r="I521" s="63">
        <v>10</v>
      </c>
      <c r="J521" t="b">
        <f t="shared" si="64"/>
        <v>0</v>
      </c>
      <c r="K521" t="b">
        <f t="shared" si="65"/>
        <v>0</v>
      </c>
      <c r="M521" t="str">
        <f t="shared" si="66"/>
        <v/>
      </c>
      <c r="N521" t="str">
        <f t="shared" si="67"/>
        <v/>
      </c>
      <c r="O521" t="str">
        <f t="shared" si="68"/>
        <v/>
      </c>
      <c r="P521" t="str">
        <f>IF(M521="","",VLOOKUP(B521,'Team Stats'!$B$3:$K$18,5,0))</f>
        <v/>
      </c>
      <c r="Q521" t="str">
        <f t="shared" si="69"/>
        <v/>
      </c>
      <c r="R521" t="str">
        <f>IF(M521="","",VLOOKUP(N521,Sim!$EF$46:$EG$61,2,0))</f>
        <v/>
      </c>
      <c r="S521" t="str">
        <f>IF(M521="","",VLOOKUP(N521,'Team Stats'!$B$3:$K$18,10,0))</f>
        <v/>
      </c>
      <c r="T521" s="84" t="str">
        <f t="shared" si="70"/>
        <v/>
      </c>
      <c r="U521" t="str">
        <f t="shared" si="71"/>
        <v/>
      </c>
    </row>
    <row r="522" spans="1:21">
      <c r="A522" s="73" t="s">
        <v>846</v>
      </c>
      <c r="B522" s="73" t="s">
        <v>212</v>
      </c>
      <c r="C522" s="74">
        <v>29</v>
      </c>
      <c r="D522" s="74"/>
      <c r="E522" s="74">
        <v>4</v>
      </c>
      <c r="F522" s="74"/>
      <c r="G522" s="74">
        <v>6</v>
      </c>
      <c r="H522" s="74"/>
      <c r="I522" s="63">
        <v>10</v>
      </c>
      <c r="J522" t="b">
        <f t="shared" si="64"/>
        <v>1</v>
      </c>
      <c r="K522" t="b">
        <f t="shared" si="65"/>
        <v>1</v>
      </c>
      <c r="M522" t="str">
        <f t="shared" si="66"/>
        <v> Matt Cooke</v>
      </c>
      <c r="N522" t="str">
        <f t="shared" si="67"/>
        <v>MIN</v>
      </c>
      <c r="O522">
        <f t="shared" si="68"/>
        <v>10</v>
      </c>
      <c r="P522">
        <f>IF(M522="","",VLOOKUP(B522,'Team Stats'!$B$3:$K$18,5,0))</f>
        <v>608</v>
      </c>
      <c r="Q522">
        <f t="shared" si="69"/>
        <v>1.6447368421052631E-2</v>
      </c>
      <c r="R522">
        <f ca="1">IF(M522="","",VLOOKUP(N522,Sim!$EF$46:$EG$61,2,0))</f>
        <v>11.71</v>
      </c>
      <c r="S522">
        <f ca="1">IF(M522="","",VLOOKUP(N522,'Team Stats'!$B$3:$K$18,10,0))</f>
        <v>86.825365853658553</v>
      </c>
      <c r="T522" s="84">
        <f t="shared" ca="1" si="70"/>
        <v>1.428048780487805</v>
      </c>
      <c r="U522">
        <f t="shared" ca="1" si="71"/>
        <v>199</v>
      </c>
    </row>
    <row r="523" spans="1:21">
      <c r="A523" s="73" t="s">
        <v>847</v>
      </c>
      <c r="B523" s="73" t="s">
        <v>202</v>
      </c>
      <c r="C523" s="74">
        <v>76</v>
      </c>
      <c r="D523" s="74"/>
      <c r="E523" s="74">
        <v>2</v>
      </c>
      <c r="F523" s="74"/>
      <c r="G523" s="74">
        <v>8</v>
      </c>
      <c r="H523" s="74"/>
      <c r="I523" s="63">
        <v>10</v>
      </c>
      <c r="J523" t="b">
        <f t="shared" si="64"/>
        <v>1</v>
      </c>
      <c r="K523" t="b">
        <f t="shared" si="65"/>
        <v>1</v>
      </c>
      <c r="M523" t="str">
        <f t="shared" si="66"/>
        <v> Johnny Oduya</v>
      </c>
      <c r="N523" t="str">
        <f t="shared" si="67"/>
        <v>CHI</v>
      </c>
      <c r="O523">
        <f t="shared" si="68"/>
        <v>10</v>
      </c>
      <c r="P523">
        <f>IF(M523="","",VLOOKUP(B523,'Team Stats'!$B$3:$K$18,5,0))</f>
        <v>601</v>
      </c>
      <c r="Q523">
        <f t="shared" si="69"/>
        <v>1.6638935108153077E-2</v>
      </c>
      <c r="R523">
        <f ca="1">IF(M523="","",VLOOKUP(N523,Sim!$EF$46:$EG$61,2,0))</f>
        <v>9.14</v>
      </c>
      <c r="S523">
        <f ca="1">IF(M523="","",VLOOKUP(N523,'Team Stats'!$B$3:$K$18,10,0))</f>
        <v>66.989512195121961</v>
      </c>
      <c r="T523" s="84">
        <f t="shared" ca="1" si="70"/>
        <v>1.1146341463414635</v>
      </c>
      <c r="U523">
        <f t="shared" ca="1" si="71"/>
        <v>217</v>
      </c>
    </row>
    <row r="524" spans="1:21">
      <c r="A524" s="73" t="s">
        <v>848</v>
      </c>
      <c r="B524" s="73" t="s">
        <v>218</v>
      </c>
      <c r="C524" s="74">
        <v>81</v>
      </c>
      <c r="D524" s="74"/>
      <c r="E524" s="74">
        <v>2</v>
      </c>
      <c r="F524" s="74"/>
      <c r="G524" s="74">
        <v>8</v>
      </c>
      <c r="H524" s="74"/>
      <c r="I524" s="63">
        <v>10</v>
      </c>
      <c r="J524" t="b">
        <f t="shared" si="64"/>
        <v>0</v>
      </c>
      <c r="K524" t="b">
        <f t="shared" si="65"/>
        <v>0</v>
      </c>
      <c r="M524" t="str">
        <f t="shared" si="66"/>
        <v/>
      </c>
      <c r="N524" t="str">
        <f t="shared" si="67"/>
        <v/>
      </c>
      <c r="O524" t="str">
        <f t="shared" si="68"/>
        <v/>
      </c>
      <c r="P524" t="str">
        <f>IF(M524="","",VLOOKUP(B524,'Team Stats'!$B$3:$K$18,5,0))</f>
        <v/>
      </c>
      <c r="Q524" t="str">
        <f t="shared" si="69"/>
        <v/>
      </c>
      <c r="R524" t="str">
        <f>IF(M524="","",VLOOKUP(N524,Sim!$EF$46:$EG$61,2,0))</f>
        <v/>
      </c>
      <c r="S524" t="str">
        <f>IF(M524="","",VLOOKUP(N524,'Team Stats'!$B$3:$K$18,10,0))</f>
        <v/>
      </c>
      <c r="T524" s="84" t="str">
        <f t="shared" si="70"/>
        <v/>
      </c>
      <c r="U524" t="str">
        <f t="shared" si="71"/>
        <v/>
      </c>
    </row>
    <row r="525" spans="1:21">
      <c r="A525" s="73" t="s">
        <v>849</v>
      </c>
      <c r="B525" s="73" t="s">
        <v>198</v>
      </c>
      <c r="C525" s="74">
        <v>82</v>
      </c>
      <c r="D525" s="74"/>
      <c r="E525" s="74">
        <v>1</v>
      </c>
      <c r="F525" s="74"/>
      <c r="G525" s="74">
        <v>9</v>
      </c>
      <c r="H525" s="74"/>
      <c r="I525" s="63">
        <v>10</v>
      </c>
      <c r="J525" t="b">
        <f t="shared" si="64"/>
        <v>1</v>
      </c>
      <c r="K525" t="b">
        <f t="shared" si="65"/>
        <v>1</v>
      </c>
      <c r="M525" t="str">
        <f t="shared" si="66"/>
        <v> Rob Scuderi</v>
      </c>
      <c r="N525" t="str">
        <f t="shared" si="67"/>
        <v>PIT</v>
      </c>
      <c r="O525">
        <f t="shared" si="68"/>
        <v>10</v>
      </c>
      <c r="P525">
        <f>IF(M525="","",VLOOKUP(B525,'Team Stats'!$B$3:$K$18,5,0))</f>
        <v>600</v>
      </c>
      <c r="Q525">
        <f t="shared" si="69"/>
        <v>1.6666666666666666E-2</v>
      </c>
      <c r="R525">
        <f ca="1">IF(M525="","",VLOOKUP(N525,Sim!$EF$46:$EG$61,2,0))</f>
        <v>9.74</v>
      </c>
      <c r="S525">
        <f ca="1">IF(M525="","",VLOOKUP(N525,'Team Stats'!$B$3:$K$18,10,0))</f>
        <v>71.268292682926827</v>
      </c>
      <c r="T525" s="84">
        <f t="shared" ca="1" si="70"/>
        <v>1.1878048780487804</v>
      </c>
      <c r="U525">
        <f t="shared" ca="1" si="71"/>
        <v>212</v>
      </c>
    </row>
    <row r="526" spans="1:21">
      <c r="A526" s="73" t="s">
        <v>850</v>
      </c>
      <c r="B526" s="73" t="s">
        <v>340</v>
      </c>
      <c r="C526" s="74">
        <v>80</v>
      </c>
      <c r="D526" s="74"/>
      <c r="E526" s="74">
        <v>2</v>
      </c>
      <c r="F526" s="74"/>
      <c r="G526" s="74">
        <v>8</v>
      </c>
      <c r="H526" s="74"/>
      <c r="I526" s="63">
        <v>10</v>
      </c>
      <c r="J526" t="b">
        <f t="shared" si="64"/>
        <v>0</v>
      </c>
      <c r="K526" t="b">
        <f t="shared" si="65"/>
        <v>0</v>
      </c>
      <c r="M526" t="str">
        <f t="shared" si="66"/>
        <v/>
      </c>
      <c r="N526" t="str">
        <f t="shared" si="67"/>
        <v/>
      </c>
      <c r="O526" t="str">
        <f t="shared" si="68"/>
        <v/>
      </c>
      <c r="P526" t="str">
        <f>IF(M526="","",VLOOKUP(B526,'Team Stats'!$B$3:$K$18,5,0))</f>
        <v/>
      </c>
      <c r="Q526" t="str">
        <f t="shared" si="69"/>
        <v/>
      </c>
      <c r="R526" t="str">
        <f>IF(M526="","",VLOOKUP(N526,Sim!$EF$46:$EG$61,2,0))</f>
        <v/>
      </c>
      <c r="S526" t="str">
        <f>IF(M526="","",VLOOKUP(N526,'Team Stats'!$B$3:$K$18,10,0))</f>
        <v/>
      </c>
      <c r="T526" s="84" t="str">
        <f t="shared" si="70"/>
        <v/>
      </c>
      <c r="U526" t="str">
        <f t="shared" si="71"/>
        <v/>
      </c>
    </row>
    <row r="527" spans="1:21">
      <c r="A527" s="73" t="s">
        <v>851</v>
      </c>
      <c r="B527" s="73" t="s">
        <v>205</v>
      </c>
      <c r="C527" s="74">
        <v>45</v>
      </c>
      <c r="D527" s="74"/>
      <c r="E527" s="74">
        <v>5</v>
      </c>
      <c r="F527" s="74"/>
      <c r="G527" s="74">
        <v>5</v>
      </c>
      <c r="H527" s="74"/>
      <c r="I527" s="63">
        <v>10</v>
      </c>
      <c r="J527" t="b">
        <f t="shared" si="64"/>
        <v>1</v>
      </c>
      <c r="K527" t="b">
        <f t="shared" si="65"/>
        <v>1</v>
      </c>
      <c r="M527" t="str">
        <f t="shared" si="66"/>
        <v> Emerson Etem</v>
      </c>
      <c r="N527" t="str">
        <f t="shared" si="67"/>
        <v>ANA</v>
      </c>
      <c r="O527">
        <f t="shared" si="68"/>
        <v>10</v>
      </c>
      <c r="P527">
        <f>IF(M527="","",VLOOKUP(B527,'Team Stats'!$B$3:$K$18,5,0))</f>
        <v>613</v>
      </c>
      <c r="Q527">
        <f t="shared" si="69"/>
        <v>1.6313213703099509E-2</v>
      </c>
      <c r="R527">
        <f ca="1">IF(M527="","",VLOOKUP(N527,Sim!$EF$46:$EG$61,2,0))</f>
        <v>14.85</v>
      </c>
      <c r="S527">
        <f ca="1">IF(M527="","",VLOOKUP(N527,'Team Stats'!$B$3:$K$18,10,0))</f>
        <v>111.01280487804878</v>
      </c>
      <c r="T527" s="84">
        <f t="shared" ca="1" si="70"/>
        <v>1.8109756097560974</v>
      </c>
      <c r="U527">
        <f t="shared" ca="1" si="71"/>
        <v>176</v>
      </c>
    </row>
    <row r="528" spans="1:21">
      <c r="A528" s="73" t="s">
        <v>852</v>
      </c>
      <c r="B528" s="73" t="s">
        <v>215</v>
      </c>
      <c r="C528" s="74">
        <v>42</v>
      </c>
      <c r="D528" s="74"/>
      <c r="E528" s="74">
        <v>4</v>
      </c>
      <c r="F528" s="74"/>
      <c r="G528" s="74">
        <v>6</v>
      </c>
      <c r="H528" s="74"/>
      <c r="I528" s="63">
        <v>10</v>
      </c>
      <c r="J528" t="b">
        <f t="shared" si="64"/>
        <v>0</v>
      </c>
      <c r="K528" t="b">
        <f t="shared" si="65"/>
        <v>0</v>
      </c>
      <c r="M528" t="str">
        <f t="shared" si="66"/>
        <v/>
      </c>
      <c r="N528" t="str">
        <f t="shared" si="67"/>
        <v/>
      </c>
      <c r="O528" t="str">
        <f t="shared" si="68"/>
        <v/>
      </c>
      <c r="P528" t="str">
        <f>IF(M528="","",VLOOKUP(B528,'Team Stats'!$B$3:$K$18,5,0))</f>
        <v/>
      </c>
      <c r="Q528" t="str">
        <f t="shared" si="69"/>
        <v/>
      </c>
      <c r="R528" t="str">
        <f>IF(M528="","",VLOOKUP(N528,Sim!$EF$46:$EG$61,2,0))</f>
        <v/>
      </c>
      <c r="S528" t="str">
        <f>IF(M528="","",VLOOKUP(N528,'Team Stats'!$B$3:$K$18,10,0))</f>
        <v/>
      </c>
      <c r="T528" s="84" t="str">
        <f t="shared" si="70"/>
        <v/>
      </c>
      <c r="U528" t="str">
        <f t="shared" si="71"/>
        <v/>
      </c>
    </row>
    <row r="529" spans="1:21">
      <c r="A529" s="73" t="s">
        <v>853</v>
      </c>
      <c r="B529" s="73" t="s">
        <v>212</v>
      </c>
      <c r="C529" s="74">
        <v>40</v>
      </c>
      <c r="D529" s="74"/>
      <c r="E529" s="74">
        <v>2</v>
      </c>
      <c r="F529" s="74"/>
      <c r="G529" s="74">
        <v>8</v>
      </c>
      <c r="H529" s="74"/>
      <c r="I529" s="63">
        <v>10</v>
      </c>
      <c r="J529" t="b">
        <f t="shared" si="64"/>
        <v>1</v>
      </c>
      <c r="K529" t="b">
        <f t="shared" si="65"/>
        <v>1</v>
      </c>
      <c r="M529" t="str">
        <f t="shared" si="66"/>
        <v> Christian Folin</v>
      </c>
      <c r="N529" t="str">
        <f t="shared" si="67"/>
        <v>MIN</v>
      </c>
      <c r="O529">
        <f t="shared" si="68"/>
        <v>10</v>
      </c>
      <c r="P529">
        <f>IF(M529="","",VLOOKUP(B529,'Team Stats'!$B$3:$K$18,5,0))</f>
        <v>608</v>
      </c>
      <c r="Q529">
        <f t="shared" si="69"/>
        <v>1.6447368421052631E-2</v>
      </c>
      <c r="R529">
        <f ca="1">IF(M529="","",VLOOKUP(N529,Sim!$EF$46:$EG$61,2,0))</f>
        <v>11.71</v>
      </c>
      <c r="S529">
        <f ca="1">IF(M529="","",VLOOKUP(N529,'Team Stats'!$B$3:$K$18,10,0))</f>
        <v>86.825365853658553</v>
      </c>
      <c r="T529" s="84">
        <f t="shared" ca="1" si="70"/>
        <v>1.428048780487805</v>
      </c>
      <c r="U529">
        <f t="shared" ca="1" si="71"/>
        <v>199</v>
      </c>
    </row>
    <row r="530" spans="1:21">
      <c r="A530" s="73" t="s">
        <v>854</v>
      </c>
      <c r="B530" s="73" t="s">
        <v>365</v>
      </c>
      <c r="C530" s="74">
        <v>25</v>
      </c>
      <c r="D530" s="74"/>
      <c r="E530" s="74">
        <v>2</v>
      </c>
      <c r="F530" s="74"/>
      <c r="G530" s="74">
        <v>8</v>
      </c>
      <c r="H530" s="74"/>
      <c r="I530" s="63">
        <v>10</v>
      </c>
      <c r="J530" t="b">
        <f t="shared" si="64"/>
        <v>0</v>
      </c>
      <c r="K530" t="b">
        <f t="shared" si="65"/>
        <v>0</v>
      </c>
      <c r="M530" t="str">
        <f t="shared" si="66"/>
        <v/>
      </c>
      <c r="N530" t="str">
        <f t="shared" si="67"/>
        <v/>
      </c>
      <c r="O530" t="str">
        <f t="shared" si="68"/>
        <v/>
      </c>
      <c r="P530" t="str">
        <f>IF(M530="","",VLOOKUP(B530,'Team Stats'!$B$3:$K$18,5,0))</f>
        <v/>
      </c>
      <c r="Q530" t="str">
        <f t="shared" si="69"/>
        <v/>
      </c>
      <c r="R530" t="str">
        <f>IF(M530="","",VLOOKUP(N530,Sim!$EF$46:$EG$61,2,0))</f>
        <v/>
      </c>
      <c r="S530" t="str">
        <f>IF(M530="","",VLOOKUP(N530,'Team Stats'!$B$3:$K$18,10,0))</f>
        <v/>
      </c>
      <c r="T530" s="84" t="str">
        <f t="shared" si="70"/>
        <v/>
      </c>
      <c r="U530" t="str">
        <f t="shared" si="71"/>
        <v/>
      </c>
    </row>
    <row r="531" spans="1:21">
      <c r="A531" s="73" t="s">
        <v>855</v>
      </c>
      <c r="B531" s="73" t="s">
        <v>213</v>
      </c>
      <c r="C531" s="74">
        <v>53</v>
      </c>
      <c r="D531" s="74"/>
      <c r="E531" s="74">
        <v>4</v>
      </c>
      <c r="F531" s="74"/>
      <c r="G531" s="74">
        <v>6</v>
      </c>
      <c r="H531" s="74"/>
      <c r="I531" s="63">
        <v>10</v>
      </c>
      <c r="J531" t="b">
        <f t="shared" si="64"/>
        <v>0</v>
      </c>
      <c r="K531" t="b">
        <f t="shared" si="65"/>
        <v>0</v>
      </c>
      <c r="M531" t="str">
        <f t="shared" si="66"/>
        <v/>
      </c>
      <c r="N531" t="str">
        <f t="shared" si="67"/>
        <v/>
      </c>
      <c r="O531" t="str">
        <f t="shared" si="68"/>
        <v/>
      </c>
      <c r="P531" t="str">
        <f>IF(M531="","",VLOOKUP(B531,'Team Stats'!$B$3:$K$18,5,0))</f>
        <v/>
      </c>
      <c r="Q531" t="str">
        <f t="shared" si="69"/>
        <v/>
      </c>
      <c r="R531" t="str">
        <f>IF(M531="","",VLOOKUP(N531,Sim!$EF$46:$EG$61,2,0))</f>
        <v/>
      </c>
      <c r="S531" t="str">
        <f>IF(M531="","",VLOOKUP(N531,'Team Stats'!$B$3:$K$18,10,0))</f>
        <v/>
      </c>
      <c r="T531" s="84" t="str">
        <f t="shared" si="70"/>
        <v/>
      </c>
      <c r="U531" t="str">
        <f t="shared" si="71"/>
        <v/>
      </c>
    </row>
    <row r="532" spans="1:21">
      <c r="A532" s="73" t="s">
        <v>856</v>
      </c>
      <c r="B532" s="73" t="s">
        <v>202</v>
      </c>
      <c r="C532" s="74">
        <v>69</v>
      </c>
      <c r="D532" s="74"/>
      <c r="E532" s="74">
        <v>5</v>
      </c>
      <c r="F532" s="74"/>
      <c r="G532" s="74">
        <v>5</v>
      </c>
      <c r="H532" s="74"/>
      <c r="I532" s="63">
        <v>10</v>
      </c>
      <c r="J532" t="b">
        <f t="shared" si="64"/>
        <v>1</v>
      </c>
      <c r="K532" t="b">
        <f t="shared" si="65"/>
        <v>1</v>
      </c>
      <c r="M532" t="str">
        <f t="shared" si="66"/>
        <v> Andrew Desjardins</v>
      </c>
      <c r="N532" t="str">
        <f t="shared" si="67"/>
        <v>CHI</v>
      </c>
      <c r="O532">
        <f t="shared" si="68"/>
        <v>10</v>
      </c>
      <c r="P532">
        <f>IF(M532="","",VLOOKUP(B532,'Team Stats'!$B$3:$K$18,5,0))</f>
        <v>601</v>
      </c>
      <c r="Q532">
        <f t="shared" si="69"/>
        <v>1.6638935108153077E-2</v>
      </c>
      <c r="R532">
        <f ca="1">IF(M532="","",VLOOKUP(N532,Sim!$EF$46:$EG$61,2,0))</f>
        <v>9.14</v>
      </c>
      <c r="S532">
        <f ca="1">IF(M532="","",VLOOKUP(N532,'Team Stats'!$B$3:$K$18,10,0))</f>
        <v>66.989512195121961</v>
      </c>
      <c r="T532" s="84">
        <f t="shared" ca="1" si="70"/>
        <v>1.1146341463414635</v>
      </c>
      <c r="U532">
        <f t="shared" ca="1" si="71"/>
        <v>217</v>
      </c>
    </row>
    <row r="533" spans="1:21">
      <c r="A533" s="73" t="s">
        <v>857</v>
      </c>
      <c r="B533" s="73" t="s">
        <v>200</v>
      </c>
      <c r="C533" s="74">
        <v>74</v>
      </c>
      <c r="D533" s="74"/>
      <c r="E533" s="74">
        <v>3</v>
      </c>
      <c r="F533" s="74"/>
      <c r="G533" s="74">
        <v>6</v>
      </c>
      <c r="H533" s="74"/>
      <c r="I533" s="63">
        <v>9</v>
      </c>
      <c r="J533" t="b">
        <f t="shared" si="64"/>
        <v>1</v>
      </c>
      <c r="K533" t="b">
        <f t="shared" si="65"/>
        <v>1</v>
      </c>
      <c r="M533" t="str">
        <f t="shared" si="66"/>
        <v> Marcel Goc</v>
      </c>
      <c r="N533" t="str">
        <f t="shared" si="67"/>
        <v>STL</v>
      </c>
      <c r="O533">
        <f t="shared" si="68"/>
        <v>9</v>
      </c>
      <c r="P533">
        <f>IF(M533="","",VLOOKUP(B533,'Team Stats'!$B$3:$K$18,5,0))</f>
        <v>660</v>
      </c>
      <c r="Q533">
        <f t="shared" si="69"/>
        <v>1.3636363636363636E-2</v>
      </c>
      <c r="R533">
        <f ca="1">IF(M533="","",VLOOKUP(N533,Sim!$EF$46:$EG$61,2,0))</f>
        <v>10.87</v>
      </c>
      <c r="S533">
        <f ca="1">IF(M533="","",VLOOKUP(N533,'Team Stats'!$B$3:$K$18,10,0))</f>
        <v>87.490243902439019</v>
      </c>
      <c r="T533" s="84">
        <f t="shared" ca="1" si="70"/>
        <v>1.1930487804878047</v>
      </c>
      <c r="U533">
        <f t="shared" ca="1" si="71"/>
        <v>210</v>
      </c>
    </row>
    <row r="534" spans="1:21">
      <c r="A534" s="73" t="s">
        <v>858</v>
      </c>
      <c r="B534" s="73" t="s">
        <v>357</v>
      </c>
      <c r="C534" s="74">
        <v>82</v>
      </c>
      <c r="D534" s="74"/>
      <c r="E534" s="74">
        <v>3</v>
      </c>
      <c r="F534" s="74"/>
      <c r="G534" s="74">
        <v>6</v>
      </c>
      <c r="H534" s="74"/>
      <c r="I534" s="63">
        <v>9</v>
      </c>
      <c r="J534" t="b">
        <f t="shared" si="64"/>
        <v>0</v>
      </c>
      <c r="K534" t="b">
        <f t="shared" si="65"/>
        <v>0</v>
      </c>
      <c r="M534" t="str">
        <f t="shared" si="66"/>
        <v/>
      </c>
      <c r="N534" t="str">
        <f t="shared" si="67"/>
        <v/>
      </c>
      <c r="O534" t="str">
        <f t="shared" si="68"/>
        <v/>
      </c>
      <c r="P534" t="str">
        <f>IF(M534="","",VLOOKUP(B534,'Team Stats'!$B$3:$K$18,5,0))</f>
        <v/>
      </c>
      <c r="Q534" t="str">
        <f t="shared" si="69"/>
        <v/>
      </c>
      <c r="R534" t="str">
        <f>IF(M534="","",VLOOKUP(N534,Sim!$EF$46:$EG$61,2,0))</f>
        <v/>
      </c>
      <c r="S534" t="str">
        <f>IF(M534="","",VLOOKUP(N534,'Team Stats'!$B$3:$K$18,10,0))</f>
        <v/>
      </c>
      <c r="T534" s="84" t="str">
        <f t="shared" si="70"/>
        <v/>
      </c>
      <c r="U534" t="str">
        <f t="shared" si="71"/>
        <v/>
      </c>
    </row>
    <row r="535" spans="1:21">
      <c r="A535" s="73" t="s">
        <v>859</v>
      </c>
      <c r="B535" s="73" t="s">
        <v>357</v>
      </c>
      <c r="C535" s="74">
        <v>60</v>
      </c>
      <c r="D535" s="74"/>
      <c r="E535" s="74">
        <v>6</v>
      </c>
      <c r="F535" s="74"/>
      <c r="G535" s="74">
        <v>3</v>
      </c>
      <c r="H535" s="74"/>
      <c r="I535" s="63">
        <v>9</v>
      </c>
      <c r="J535" t="b">
        <f t="shared" si="64"/>
        <v>0</v>
      </c>
      <c r="K535" t="b">
        <f t="shared" si="65"/>
        <v>0</v>
      </c>
      <c r="M535" t="str">
        <f t="shared" si="66"/>
        <v/>
      </c>
      <c r="N535" t="str">
        <f t="shared" si="67"/>
        <v/>
      </c>
      <c r="O535" t="str">
        <f t="shared" si="68"/>
        <v/>
      </c>
      <c r="P535" t="str">
        <f>IF(M535="","",VLOOKUP(B535,'Team Stats'!$B$3:$K$18,5,0))</f>
        <v/>
      </c>
      <c r="Q535" t="str">
        <f t="shared" si="69"/>
        <v/>
      </c>
      <c r="R535" t="str">
        <f>IF(M535="","",VLOOKUP(N535,Sim!$EF$46:$EG$61,2,0))</f>
        <v/>
      </c>
      <c r="S535" t="str">
        <f>IF(M535="","",VLOOKUP(N535,'Team Stats'!$B$3:$K$18,10,0))</f>
        <v/>
      </c>
      <c r="T535" s="84" t="str">
        <f t="shared" si="70"/>
        <v/>
      </c>
      <c r="U535" t="str">
        <f t="shared" si="71"/>
        <v/>
      </c>
    </row>
    <row r="536" spans="1:21">
      <c r="A536" s="73" t="s">
        <v>860</v>
      </c>
      <c r="B536" s="73" t="s">
        <v>215</v>
      </c>
      <c r="C536" s="74">
        <v>37</v>
      </c>
      <c r="D536" s="74"/>
      <c r="E536" s="74">
        <v>2</v>
      </c>
      <c r="F536" s="74"/>
      <c r="G536" s="74">
        <v>7</v>
      </c>
      <c r="H536" s="74"/>
      <c r="I536" s="63">
        <v>9</v>
      </c>
      <c r="J536" t="b">
        <f t="shared" si="64"/>
        <v>0</v>
      </c>
      <c r="K536" t="b">
        <f t="shared" si="65"/>
        <v>0</v>
      </c>
      <c r="M536" t="str">
        <f t="shared" si="66"/>
        <v/>
      </c>
      <c r="N536" t="str">
        <f t="shared" si="67"/>
        <v/>
      </c>
      <c r="O536" t="str">
        <f t="shared" si="68"/>
        <v/>
      </c>
      <c r="P536" t="str">
        <f>IF(M536="","",VLOOKUP(B536,'Team Stats'!$B$3:$K$18,5,0))</f>
        <v/>
      </c>
      <c r="Q536" t="str">
        <f t="shared" si="69"/>
        <v/>
      </c>
      <c r="R536" t="str">
        <f>IF(M536="","",VLOOKUP(N536,Sim!$EF$46:$EG$61,2,0))</f>
        <v/>
      </c>
      <c r="S536" t="str">
        <f>IF(M536="","",VLOOKUP(N536,'Team Stats'!$B$3:$K$18,10,0))</f>
        <v/>
      </c>
      <c r="T536" s="84" t="str">
        <f t="shared" si="70"/>
        <v/>
      </c>
      <c r="U536" t="str">
        <f t="shared" si="71"/>
        <v/>
      </c>
    </row>
    <row r="537" spans="1:21">
      <c r="A537" s="73" t="s">
        <v>861</v>
      </c>
      <c r="B537" s="73" t="s">
        <v>336</v>
      </c>
      <c r="C537" s="74">
        <v>52</v>
      </c>
      <c r="D537" s="74"/>
      <c r="E537" s="74">
        <v>3</v>
      </c>
      <c r="F537" s="74"/>
      <c r="G537" s="74">
        <v>6</v>
      </c>
      <c r="H537" s="74"/>
      <c r="I537" s="63">
        <v>9</v>
      </c>
      <c r="J537" t="b">
        <f t="shared" si="64"/>
        <v>0</v>
      </c>
      <c r="K537" t="b">
        <f t="shared" si="65"/>
        <v>0</v>
      </c>
      <c r="M537" t="str">
        <f t="shared" si="66"/>
        <v/>
      </c>
      <c r="N537" t="str">
        <f t="shared" si="67"/>
        <v/>
      </c>
      <c r="O537" t="str">
        <f t="shared" si="68"/>
        <v/>
      </c>
      <c r="P537" t="str">
        <f>IF(M537="","",VLOOKUP(B537,'Team Stats'!$B$3:$K$18,5,0))</f>
        <v/>
      </c>
      <c r="Q537" t="str">
        <f t="shared" si="69"/>
        <v/>
      </c>
      <c r="R537" t="str">
        <f>IF(M537="","",VLOOKUP(N537,Sim!$EF$46:$EG$61,2,0))</f>
        <v/>
      </c>
      <c r="S537" t="str">
        <f>IF(M537="","",VLOOKUP(N537,'Team Stats'!$B$3:$K$18,10,0))</f>
        <v/>
      </c>
      <c r="T537" s="84" t="str">
        <f t="shared" si="70"/>
        <v/>
      </c>
      <c r="U537" t="str">
        <f t="shared" si="71"/>
        <v/>
      </c>
    </row>
    <row r="538" spans="1:21">
      <c r="A538" s="73" t="s">
        <v>862</v>
      </c>
      <c r="B538" s="73" t="s">
        <v>325</v>
      </c>
      <c r="C538" s="74">
        <v>72</v>
      </c>
      <c r="D538" s="74"/>
      <c r="E538" s="74">
        <v>1</v>
      </c>
      <c r="F538" s="74"/>
      <c r="G538" s="74">
        <v>8</v>
      </c>
      <c r="H538" s="74"/>
      <c r="I538" s="63">
        <v>9</v>
      </c>
      <c r="J538" t="b">
        <f t="shared" si="64"/>
        <v>0</v>
      </c>
      <c r="K538" t="b">
        <f t="shared" si="65"/>
        <v>0</v>
      </c>
      <c r="M538" t="str">
        <f t="shared" si="66"/>
        <v/>
      </c>
      <c r="N538" t="str">
        <f t="shared" si="67"/>
        <v/>
      </c>
      <c r="O538" t="str">
        <f t="shared" si="68"/>
        <v/>
      </c>
      <c r="P538" t="str">
        <f>IF(M538="","",VLOOKUP(B538,'Team Stats'!$B$3:$K$18,5,0))</f>
        <v/>
      </c>
      <c r="Q538" t="str">
        <f t="shared" si="69"/>
        <v/>
      </c>
      <c r="R538" t="str">
        <f>IF(M538="","",VLOOKUP(N538,Sim!$EF$46:$EG$61,2,0))</f>
        <v/>
      </c>
      <c r="S538" t="str">
        <f>IF(M538="","",VLOOKUP(N538,'Team Stats'!$B$3:$K$18,10,0))</f>
        <v/>
      </c>
      <c r="T538" s="84" t="str">
        <f t="shared" si="70"/>
        <v/>
      </c>
      <c r="U538" t="str">
        <f t="shared" si="71"/>
        <v/>
      </c>
    </row>
    <row r="539" spans="1:21">
      <c r="A539" s="73" t="s">
        <v>863</v>
      </c>
      <c r="B539" s="73" t="s">
        <v>345</v>
      </c>
      <c r="C539" s="74">
        <v>64</v>
      </c>
      <c r="D539" s="74"/>
      <c r="E539" s="74">
        <v>1</v>
      </c>
      <c r="F539" s="74"/>
      <c r="G539" s="74">
        <v>8</v>
      </c>
      <c r="H539" s="74"/>
      <c r="I539" s="63">
        <v>9</v>
      </c>
      <c r="J539" t="b">
        <f t="shared" si="64"/>
        <v>0</v>
      </c>
      <c r="K539" t="b">
        <f t="shared" si="65"/>
        <v>0</v>
      </c>
      <c r="M539" t="str">
        <f t="shared" si="66"/>
        <v/>
      </c>
      <c r="N539" t="str">
        <f t="shared" si="67"/>
        <v/>
      </c>
      <c r="O539" t="str">
        <f t="shared" si="68"/>
        <v/>
      </c>
      <c r="P539" t="str">
        <f>IF(M539="","",VLOOKUP(B539,'Team Stats'!$B$3:$K$18,5,0))</f>
        <v/>
      </c>
      <c r="Q539" t="str">
        <f t="shared" si="69"/>
        <v/>
      </c>
      <c r="R539" t="str">
        <f>IF(M539="","",VLOOKUP(N539,Sim!$EF$46:$EG$61,2,0))</f>
        <v/>
      </c>
      <c r="S539" t="str">
        <f>IF(M539="","",VLOOKUP(N539,'Team Stats'!$B$3:$K$18,10,0))</f>
        <v/>
      </c>
      <c r="T539" s="84" t="str">
        <f t="shared" si="70"/>
        <v/>
      </c>
      <c r="U539" t="str">
        <f t="shared" si="71"/>
        <v/>
      </c>
    </row>
    <row r="540" spans="1:21">
      <c r="A540" s="73" t="s">
        <v>864</v>
      </c>
      <c r="B540" s="73" t="s">
        <v>202</v>
      </c>
      <c r="C540" s="74">
        <v>34</v>
      </c>
      <c r="D540" s="74"/>
      <c r="E540" s="74">
        <v>4</v>
      </c>
      <c r="F540" s="74"/>
      <c r="G540" s="74">
        <v>5</v>
      </c>
      <c r="H540" s="74"/>
      <c r="I540" s="63">
        <v>9</v>
      </c>
      <c r="J540" t="b">
        <f t="shared" si="64"/>
        <v>1</v>
      </c>
      <c r="K540" t="b">
        <f t="shared" si="65"/>
        <v>1</v>
      </c>
      <c r="M540" t="str">
        <f t="shared" si="66"/>
        <v> Teuvo Teravainen</v>
      </c>
      <c r="N540" t="str">
        <f t="shared" si="67"/>
        <v>CHI</v>
      </c>
      <c r="O540">
        <f t="shared" si="68"/>
        <v>9</v>
      </c>
      <c r="P540">
        <f>IF(M540="","",VLOOKUP(B540,'Team Stats'!$B$3:$K$18,5,0))</f>
        <v>601</v>
      </c>
      <c r="Q540">
        <f t="shared" si="69"/>
        <v>1.4975041597337771E-2</v>
      </c>
      <c r="R540">
        <f ca="1">IF(M540="","",VLOOKUP(N540,Sim!$EF$46:$EG$61,2,0))</f>
        <v>9.14</v>
      </c>
      <c r="S540">
        <f ca="1">IF(M540="","",VLOOKUP(N540,'Team Stats'!$B$3:$K$18,10,0))</f>
        <v>66.989512195121961</v>
      </c>
      <c r="T540" s="84">
        <f t="shared" ca="1" si="70"/>
        <v>1.0031707317073173</v>
      </c>
      <c r="U540">
        <f t="shared" ca="1" si="71"/>
        <v>222</v>
      </c>
    </row>
    <row r="541" spans="1:21">
      <c r="A541" s="73" t="s">
        <v>865</v>
      </c>
      <c r="B541" s="73" t="s">
        <v>210</v>
      </c>
      <c r="C541" s="74">
        <v>55</v>
      </c>
      <c r="D541" s="74"/>
      <c r="E541" s="74">
        <v>0</v>
      </c>
      <c r="F541" s="74"/>
      <c r="G541" s="74">
        <v>9</v>
      </c>
      <c r="H541" s="74"/>
      <c r="I541" s="63">
        <v>9</v>
      </c>
      <c r="J541" t="b">
        <f t="shared" si="64"/>
        <v>1</v>
      </c>
      <c r="K541" t="b">
        <f t="shared" si="65"/>
        <v>1</v>
      </c>
      <c r="M541" t="str">
        <f t="shared" si="66"/>
        <v> Adam Pardy</v>
      </c>
      <c r="N541" t="str">
        <f t="shared" si="67"/>
        <v>WPG</v>
      </c>
      <c r="O541">
        <f t="shared" si="68"/>
        <v>9</v>
      </c>
      <c r="P541">
        <f>IF(M541="","",VLOOKUP(B541,'Team Stats'!$B$3:$K$18,5,0))</f>
        <v>594</v>
      </c>
      <c r="Q541">
        <f t="shared" si="69"/>
        <v>1.5151515151515152E-2</v>
      </c>
      <c r="R541">
        <f ca="1">IF(M541="","",VLOOKUP(N541,Sim!$EF$46:$EG$61,2,0))</f>
        <v>8.94</v>
      </c>
      <c r="S541">
        <f ca="1">IF(M541="","",VLOOKUP(N541,'Team Stats'!$B$3:$K$18,10,0))</f>
        <v>64.760487804878053</v>
      </c>
      <c r="T541" s="84">
        <f t="shared" ca="1" si="70"/>
        <v>0.98121951219512205</v>
      </c>
      <c r="U541">
        <f t="shared" ca="1" si="71"/>
        <v>226</v>
      </c>
    </row>
    <row r="542" spans="1:21">
      <c r="A542" s="73" t="s">
        <v>866</v>
      </c>
      <c r="B542" s="73" t="s">
        <v>200</v>
      </c>
      <c r="C542" s="74">
        <v>33</v>
      </c>
      <c r="D542" s="74"/>
      <c r="E542" s="74">
        <v>3</v>
      </c>
      <c r="F542" s="74"/>
      <c r="G542" s="74">
        <v>6</v>
      </c>
      <c r="H542" s="74"/>
      <c r="I542" s="63">
        <v>9</v>
      </c>
      <c r="J542" t="b">
        <f t="shared" si="64"/>
        <v>1</v>
      </c>
      <c r="K542" t="b">
        <f t="shared" si="65"/>
        <v>1</v>
      </c>
      <c r="M542" t="str">
        <f t="shared" si="66"/>
        <v> Chris Butler</v>
      </c>
      <c r="N542" t="str">
        <f t="shared" si="67"/>
        <v>STL</v>
      </c>
      <c r="O542">
        <f t="shared" si="68"/>
        <v>9</v>
      </c>
      <c r="P542">
        <f>IF(M542="","",VLOOKUP(B542,'Team Stats'!$B$3:$K$18,5,0))</f>
        <v>660</v>
      </c>
      <c r="Q542">
        <f t="shared" si="69"/>
        <v>1.3636363636363636E-2</v>
      </c>
      <c r="R542">
        <f ca="1">IF(M542="","",VLOOKUP(N542,Sim!$EF$46:$EG$61,2,0))</f>
        <v>10.87</v>
      </c>
      <c r="S542">
        <f ca="1">IF(M542="","",VLOOKUP(N542,'Team Stats'!$B$3:$K$18,10,0))</f>
        <v>87.490243902439019</v>
      </c>
      <c r="T542" s="84">
        <f t="shared" ca="1" si="70"/>
        <v>1.1930487804878047</v>
      </c>
      <c r="U542">
        <f t="shared" ca="1" si="71"/>
        <v>210</v>
      </c>
    </row>
    <row r="543" spans="1:21">
      <c r="A543" s="73" t="s">
        <v>867</v>
      </c>
      <c r="B543" s="73" t="s">
        <v>198</v>
      </c>
      <c r="C543" s="74">
        <v>20</v>
      </c>
      <c r="D543" s="74"/>
      <c r="E543" s="74">
        <v>1</v>
      </c>
      <c r="F543" s="74"/>
      <c r="G543" s="74">
        <v>8</v>
      </c>
      <c r="H543" s="74"/>
      <c r="I543" s="63">
        <v>9</v>
      </c>
      <c r="J543" t="b">
        <f t="shared" si="64"/>
        <v>1</v>
      </c>
      <c r="K543" t="b">
        <f t="shared" si="65"/>
        <v>1</v>
      </c>
      <c r="M543" t="str">
        <f t="shared" si="66"/>
        <v> Olli Maatta</v>
      </c>
      <c r="N543" t="str">
        <f t="shared" si="67"/>
        <v>PIT</v>
      </c>
      <c r="O543">
        <f t="shared" si="68"/>
        <v>9</v>
      </c>
      <c r="P543">
        <f>IF(M543="","",VLOOKUP(B543,'Team Stats'!$B$3:$K$18,5,0))</f>
        <v>600</v>
      </c>
      <c r="Q543">
        <f t="shared" si="69"/>
        <v>1.4999999999999999E-2</v>
      </c>
      <c r="R543">
        <f ca="1">IF(M543="","",VLOOKUP(N543,Sim!$EF$46:$EG$61,2,0))</f>
        <v>9.74</v>
      </c>
      <c r="S543">
        <f ca="1">IF(M543="","",VLOOKUP(N543,'Team Stats'!$B$3:$K$18,10,0))</f>
        <v>71.268292682926827</v>
      </c>
      <c r="T543" s="84">
        <f t="shared" ca="1" si="70"/>
        <v>1.0690243902439023</v>
      </c>
      <c r="U543">
        <f t="shared" ca="1" si="71"/>
        <v>220</v>
      </c>
    </row>
    <row r="544" spans="1:21">
      <c r="A544" s="73" t="s">
        <v>868</v>
      </c>
      <c r="B544" s="73" t="s">
        <v>357</v>
      </c>
      <c r="C544" s="74">
        <v>26</v>
      </c>
      <c r="D544" s="74"/>
      <c r="E544" s="74">
        <v>3</v>
      </c>
      <c r="F544" s="74"/>
      <c r="G544" s="74">
        <v>6</v>
      </c>
      <c r="H544" s="74"/>
      <c r="I544" s="63">
        <v>9</v>
      </c>
      <c r="J544" t="b">
        <f t="shared" si="64"/>
        <v>0</v>
      </c>
      <c r="K544" t="b">
        <f t="shared" si="65"/>
        <v>0</v>
      </c>
      <c r="M544" t="str">
        <f t="shared" si="66"/>
        <v/>
      </c>
      <c r="N544" t="str">
        <f t="shared" si="67"/>
        <v/>
      </c>
      <c r="O544" t="str">
        <f t="shared" si="68"/>
        <v/>
      </c>
      <c r="P544" t="str">
        <f>IF(M544="","",VLOOKUP(B544,'Team Stats'!$B$3:$K$18,5,0))</f>
        <v/>
      </c>
      <c r="Q544" t="str">
        <f t="shared" si="69"/>
        <v/>
      </c>
      <c r="R544" t="str">
        <f>IF(M544="","",VLOOKUP(N544,Sim!$EF$46:$EG$61,2,0))</f>
        <v/>
      </c>
      <c r="S544" t="str">
        <f>IF(M544="","",VLOOKUP(N544,'Team Stats'!$B$3:$K$18,10,0))</f>
        <v/>
      </c>
      <c r="T544" s="84" t="str">
        <f t="shared" si="70"/>
        <v/>
      </c>
      <c r="U544" t="str">
        <f t="shared" si="71"/>
        <v/>
      </c>
    </row>
    <row r="545" spans="1:21">
      <c r="A545" s="73" t="s">
        <v>869</v>
      </c>
      <c r="B545" s="73" t="s">
        <v>204</v>
      </c>
      <c r="C545" s="74">
        <v>44</v>
      </c>
      <c r="D545" s="74"/>
      <c r="E545" s="74">
        <v>3</v>
      </c>
      <c r="F545" s="74"/>
      <c r="G545" s="74">
        <v>6</v>
      </c>
      <c r="H545" s="74"/>
      <c r="I545" s="63">
        <v>9</v>
      </c>
      <c r="J545" t="b">
        <f t="shared" si="64"/>
        <v>0</v>
      </c>
      <c r="K545" t="b">
        <f t="shared" si="65"/>
        <v>0</v>
      </c>
      <c r="M545" t="str">
        <f t="shared" si="66"/>
        <v/>
      </c>
      <c r="N545" t="str">
        <f t="shared" si="67"/>
        <v/>
      </c>
      <c r="O545" t="str">
        <f t="shared" si="68"/>
        <v/>
      </c>
      <c r="P545" t="str">
        <f>IF(M545="","",VLOOKUP(B545,'Team Stats'!$B$3:$K$18,5,0))</f>
        <v/>
      </c>
      <c r="Q545" t="str">
        <f t="shared" si="69"/>
        <v/>
      </c>
      <c r="R545" t="str">
        <f>IF(M545="","",VLOOKUP(N545,Sim!$EF$46:$EG$61,2,0))</f>
        <v/>
      </c>
      <c r="S545" t="str">
        <f>IF(M545="","",VLOOKUP(N545,'Team Stats'!$B$3:$K$18,10,0))</f>
        <v/>
      </c>
      <c r="T545" s="84" t="str">
        <f t="shared" si="70"/>
        <v/>
      </c>
      <c r="U545" t="str">
        <f t="shared" si="71"/>
        <v/>
      </c>
    </row>
    <row r="546" spans="1:21">
      <c r="A546" s="73" t="s">
        <v>870</v>
      </c>
      <c r="B546" s="73" t="s">
        <v>331</v>
      </c>
      <c r="C546" s="74">
        <v>36</v>
      </c>
      <c r="D546" s="74"/>
      <c r="E546" s="74">
        <v>0</v>
      </c>
      <c r="F546" s="74"/>
      <c r="G546" s="74">
        <v>9</v>
      </c>
      <c r="H546" s="74"/>
      <c r="I546" s="63">
        <v>9</v>
      </c>
      <c r="J546" t="b">
        <f t="shared" si="64"/>
        <v>0</v>
      </c>
      <c r="K546" t="b">
        <f t="shared" si="65"/>
        <v>0</v>
      </c>
      <c r="M546" t="str">
        <f t="shared" si="66"/>
        <v/>
      </c>
      <c r="N546" t="str">
        <f t="shared" si="67"/>
        <v/>
      </c>
      <c r="O546" t="str">
        <f t="shared" si="68"/>
        <v/>
      </c>
      <c r="P546" t="str">
        <f>IF(M546="","",VLOOKUP(B546,'Team Stats'!$B$3:$K$18,5,0))</f>
        <v/>
      </c>
      <c r="Q546" t="str">
        <f t="shared" si="69"/>
        <v/>
      </c>
      <c r="R546" t="str">
        <f>IF(M546="","",VLOOKUP(N546,Sim!$EF$46:$EG$61,2,0))</f>
        <v/>
      </c>
      <c r="S546" t="str">
        <f>IF(M546="","",VLOOKUP(N546,'Team Stats'!$B$3:$K$18,10,0))</f>
        <v/>
      </c>
      <c r="T546" s="84" t="str">
        <f t="shared" si="70"/>
        <v/>
      </c>
      <c r="U546" t="str">
        <f t="shared" si="71"/>
        <v/>
      </c>
    </row>
    <row r="547" spans="1:21">
      <c r="A547" s="73" t="s">
        <v>871</v>
      </c>
      <c r="B547" s="73" t="s">
        <v>204</v>
      </c>
      <c r="C547" s="74">
        <v>31</v>
      </c>
      <c r="D547" s="74"/>
      <c r="E547" s="74">
        <v>6</v>
      </c>
      <c r="F547" s="74"/>
      <c r="G547" s="74">
        <v>3</v>
      </c>
      <c r="H547" s="74"/>
      <c r="I547" s="63">
        <v>9</v>
      </c>
      <c r="J547" t="b">
        <f t="shared" si="64"/>
        <v>0</v>
      </c>
      <c r="K547" t="b">
        <f t="shared" si="65"/>
        <v>0</v>
      </c>
      <c r="M547" t="str">
        <f t="shared" si="66"/>
        <v/>
      </c>
      <c r="N547" t="str">
        <f t="shared" si="67"/>
        <v/>
      </c>
      <c r="O547" t="str">
        <f t="shared" si="68"/>
        <v/>
      </c>
      <c r="P547" t="str">
        <f>IF(M547="","",VLOOKUP(B547,'Team Stats'!$B$3:$K$18,5,0))</f>
        <v/>
      </c>
      <c r="Q547" t="str">
        <f t="shared" si="69"/>
        <v/>
      </c>
      <c r="R547" t="str">
        <f>IF(M547="","",VLOOKUP(N547,Sim!$EF$46:$EG$61,2,0))</f>
        <v/>
      </c>
      <c r="S547" t="str">
        <f>IF(M547="","",VLOOKUP(N547,'Team Stats'!$B$3:$K$18,10,0))</f>
        <v/>
      </c>
      <c r="T547" s="84" t="str">
        <f t="shared" si="70"/>
        <v/>
      </c>
      <c r="U547" t="str">
        <f t="shared" si="71"/>
        <v/>
      </c>
    </row>
    <row r="548" spans="1:21">
      <c r="A548" s="73" t="s">
        <v>872</v>
      </c>
      <c r="B548" s="73" t="s">
        <v>221</v>
      </c>
      <c r="C548" s="74">
        <v>59</v>
      </c>
      <c r="D548" s="74"/>
      <c r="E548" s="74">
        <v>1</v>
      </c>
      <c r="F548" s="74"/>
      <c r="G548" s="74">
        <v>8</v>
      </c>
      <c r="H548" s="74"/>
      <c r="I548" s="63">
        <v>9</v>
      </c>
      <c r="J548" t="b">
        <f t="shared" si="64"/>
        <v>0</v>
      </c>
      <c r="K548" t="b">
        <f t="shared" si="65"/>
        <v>0</v>
      </c>
      <c r="M548" t="str">
        <f t="shared" si="66"/>
        <v/>
      </c>
      <c r="N548" t="str">
        <f t="shared" si="67"/>
        <v/>
      </c>
      <c r="O548" t="str">
        <f t="shared" si="68"/>
        <v/>
      </c>
      <c r="P548" t="str">
        <f>IF(M548="","",VLOOKUP(B548,'Team Stats'!$B$3:$K$18,5,0))</f>
        <v/>
      </c>
      <c r="Q548" t="str">
        <f t="shared" si="69"/>
        <v/>
      </c>
      <c r="R548" t="str">
        <f>IF(M548="","",VLOOKUP(N548,Sim!$EF$46:$EG$61,2,0))</f>
        <v/>
      </c>
      <c r="S548" t="str">
        <f>IF(M548="","",VLOOKUP(N548,'Team Stats'!$B$3:$K$18,10,0))</f>
        <v/>
      </c>
      <c r="T548" s="84" t="str">
        <f t="shared" si="70"/>
        <v/>
      </c>
      <c r="U548" t="str">
        <f t="shared" si="71"/>
        <v/>
      </c>
    </row>
    <row r="549" spans="1:21">
      <c r="A549" s="73" t="s">
        <v>873</v>
      </c>
      <c r="B549" s="73" t="s">
        <v>210</v>
      </c>
      <c r="C549" s="74">
        <v>55</v>
      </c>
      <c r="D549" s="74"/>
      <c r="E549" s="74">
        <v>3</v>
      </c>
      <c r="F549" s="74"/>
      <c r="G549" s="74">
        <v>6</v>
      </c>
      <c r="H549" s="74"/>
      <c r="I549" s="63">
        <v>9</v>
      </c>
      <c r="J549" t="b">
        <f t="shared" si="64"/>
        <v>1</v>
      </c>
      <c r="K549" t="b">
        <f t="shared" si="65"/>
        <v>1</v>
      </c>
      <c r="M549" t="str">
        <f t="shared" si="66"/>
        <v> Jay Harrison</v>
      </c>
      <c r="N549" t="str">
        <f t="shared" si="67"/>
        <v>WPG</v>
      </c>
      <c r="O549">
        <f t="shared" si="68"/>
        <v>9</v>
      </c>
      <c r="P549">
        <f>IF(M549="","",VLOOKUP(B549,'Team Stats'!$B$3:$K$18,5,0))</f>
        <v>594</v>
      </c>
      <c r="Q549">
        <f t="shared" si="69"/>
        <v>1.5151515151515152E-2</v>
      </c>
      <c r="R549">
        <f ca="1">IF(M549="","",VLOOKUP(N549,Sim!$EF$46:$EG$61,2,0))</f>
        <v>8.94</v>
      </c>
      <c r="S549">
        <f ca="1">IF(M549="","",VLOOKUP(N549,'Team Stats'!$B$3:$K$18,10,0))</f>
        <v>64.760487804878053</v>
      </c>
      <c r="T549" s="84">
        <f t="shared" ca="1" si="70"/>
        <v>0.98121951219512205</v>
      </c>
      <c r="U549">
        <f t="shared" ca="1" si="71"/>
        <v>226</v>
      </c>
    </row>
    <row r="550" spans="1:21">
      <c r="A550" s="73" t="s">
        <v>874</v>
      </c>
      <c r="B550" s="73" t="s">
        <v>222</v>
      </c>
      <c r="C550" s="74">
        <v>70</v>
      </c>
      <c r="D550" s="74"/>
      <c r="E550" s="74">
        <v>3</v>
      </c>
      <c r="F550" s="74"/>
      <c r="G550" s="74">
        <v>6</v>
      </c>
      <c r="H550" s="74"/>
      <c r="I550" s="63">
        <v>9</v>
      </c>
      <c r="J550" t="b">
        <f t="shared" si="64"/>
        <v>0</v>
      </c>
      <c r="K550" t="b">
        <f t="shared" si="65"/>
        <v>0</v>
      </c>
      <c r="M550" t="str">
        <f t="shared" si="66"/>
        <v/>
      </c>
      <c r="N550" t="str">
        <f t="shared" si="67"/>
        <v/>
      </c>
      <c r="O550" t="str">
        <f t="shared" si="68"/>
        <v/>
      </c>
      <c r="P550" t="str">
        <f>IF(M550="","",VLOOKUP(B550,'Team Stats'!$B$3:$K$18,5,0))</f>
        <v/>
      </c>
      <c r="Q550" t="str">
        <f t="shared" si="69"/>
        <v/>
      </c>
      <c r="R550" t="str">
        <f>IF(M550="","",VLOOKUP(N550,Sim!$EF$46:$EG$61,2,0))</f>
        <v/>
      </c>
      <c r="S550" t="str">
        <f>IF(M550="","",VLOOKUP(N550,'Team Stats'!$B$3:$K$18,10,0))</f>
        <v/>
      </c>
      <c r="T550" s="84" t="str">
        <f t="shared" si="70"/>
        <v/>
      </c>
      <c r="U550" t="str">
        <f t="shared" si="71"/>
        <v/>
      </c>
    </row>
    <row r="551" spans="1:21">
      <c r="A551" s="73" t="s">
        <v>875</v>
      </c>
      <c r="B551" s="73" t="s">
        <v>213</v>
      </c>
      <c r="C551" s="74">
        <v>56</v>
      </c>
      <c r="D551" s="74"/>
      <c r="E551" s="74">
        <v>5</v>
      </c>
      <c r="F551" s="74"/>
      <c r="G551" s="74">
        <v>4</v>
      </c>
      <c r="H551" s="74"/>
      <c r="I551" s="63">
        <v>9</v>
      </c>
      <c r="J551" t="b">
        <f t="shared" si="64"/>
        <v>0</v>
      </c>
      <c r="K551" t="b">
        <f t="shared" si="65"/>
        <v>0</v>
      </c>
      <c r="M551" t="str">
        <f t="shared" si="66"/>
        <v/>
      </c>
      <c r="N551" t="str">
        <f t="shared" si="67"/>
        <v/>
      </c>
      <c r="O551" t="str">
        <f t="shared" si="68"/>
        <v/>
      </c>
      <c r="P551" t="str">
        <f>IF(M551="","",VLOOKUP(B551,'Team Stats'!$B$3:$K$18,5,0))</f>
        <v/>
      </c>
      <c r="Q551" t="str">
        <f t="shared" si="69"/>
        <v/>
      </c>
      <c r="R551" t="str">
        <f>IF(M551="","",VLOOKUP(N551,Sim!$EF$46:$EG$61,2,0))</f>
        <v/>
      </c>
      <c r="S551" t="str">
        <f>IF(M551="","",VLOOKUP(N551,'Team Stats'!$B$3:$K$18,10,0))</f>
        <v/>
      </c>
      <c r="T551" s="84" t="str">
        <f t="shared" si="70"/>
        <v/>
      </c>
      <c r="U551" t="str">
        <f t="shared" si="71"/>
        <v/>
      </c>
    </row>
    <row r="552" spans="1:21">
      <c r="A552" s="73" t="s">
        <v>876</v>
      </c>
      <c r="B552" s="73" t="s">
        <v>215</v>
      </c>
      <c r="C552" s="74">
        <v>69</v>
      </c>
      <c r="D552" s="74"/>
      <c r="E552" s="74">
        <v>5</v>
      </c>
      <c r="F552" s="74"/>
      <c r="G552" s="74">
        <v>4</v>
      </c>
      <c r="H552" s="74"/>
      <c r="I552" s="63">
        <v>9</v>
      </c>
      <c r="J552" t="b">
        <f t="shared" si="64"/>
        <v>0</v>
      </c>
      <c r="K552" t="b">
        <f t="shared" si="65"/>
        <v>0</v>
      </c>
      <c r="M552" t="str">
        <f t="shared" si="66"/>
        <v/>
      </c>
      <c r="N552" t="str">
        <f t="shared" si="67"/>
        <v/>
      </c>
      <c r="O552" t="str">
        <f t="shared" si="68"/>
        <v/>
      </c>
      <c r="P552" t="str">
        <f>IF(M552="","",VLOOKUP(B552,'Team Stats'!$B$3:$K$18,5,0))</f>
        <v/>
      </c>
      <c r="Q552" t="str">
        <f t="shared" si="69"/>
        <v/>
      </c>
      <c r="R552" t="str">
        <f>IF(M552="","",VLOOKUP(N552,Sim!$EF$46:$EG$61,2,0))</f>
        <v/>
      </c>
      <c r="S552" t="str">
        <f>IF(M552="","",VLOOKUP(N552,'Team Stats'!$B$3:$K$18,10,0))</f>
        <v/>
      </c>
      <c r="T552" s="84" t="str">
        <f t="shared" si="70"/>
        <v/>
      </c>
      <c r="U552" t="str">
        <f t="shared" si="71"/>
        <v/>
      </c>
    </row>
    <row r="553" spans="1:21">
      <c r="A553" s="73" t="s">
        <v>877</v>
      </c>
      <c r="B553" s="73" t="s">
        <v>214</v>
      </c>
      <c r="C553" s="74">
        <v>54</v>
      </c>
      <c r="D553" s="74"/>
      <c r="E553" s="74">
        <v>3</v>
      </c>
      <c r="F553" s="74"/>
      <c r="G553" s="74">
        <v>6</v>
      </c>
      <c r="H553" s="74"/>
      <c r="I553" s="63">
        <v>9</v>
      </c>
      <c r="J553" t="b">
        <f t="shared" si="64"/>
        <v>1</v>
      </c>
      <c r="K553" t="b">
        <f t="shared" si="65"/>
        <v>1</v>
      </c>
      <c r="M553" t="str">
        <f t="shared" si="66"/>
        <v> Jared Cowen</v>
      </c>
      <c r="N553" t="str">
        <f t="shared" si="67"/>
        <v>OTT</v>
      </c>
      <c r="O553">
        <f t="shared" si="68"/>
        <v>9</v>
      </c>
      <c r="P553">
        <f>IF(M553="","",VLOOKUP(B553,'Team Stats'!$B$3:$K$18,5,0))</f>
        <v>619</v>
      </c>
      <c r="Q553">
        <f t="shared" si="69"/>
        <v>1.4539579967689823E-2</v>
      </c>
      <c r="R553">
        <f ca="1">IF(M553="","",VLOOKUP(N553,Sim!$EF$46:$EG$61,2,0))</f>
        <v>10.71</v>
      </c>
      <c r="S553">
        <f ca="1">IF(M553="","",VLOOKUP(N553,'Team Stats'!$B$3:$K$18,10,0))</f>
        <v>80.847439024390255</v>
      </c>
      <c r="T553" s="84">
        <f t="shared" ca="1" si="70"/>
        <v>1.175487804878049</v>
      </c>
      <c r="U553">
        <f t="shared" ca="1" si="71"/>
        <v>213</v>
      </c>
    </row>
    <row r="554" spans="1:21">
      <c r="A554" s="73" t="s">
        <v>878</v>
      </c>
      <c r="B554" s="73" t="s">
        <v>205</v>
      </c>
      <c r="C554" s="74">
        <v>69</v>
      </c>
      <c r="D554" s="74"/>
      <c r="E554" s="74">
        <v>1</v>
      </c>
      <c r="F554" s="74"/>
      <c r="G554" s="74">
        <v>7</v>
      </c>
      <c r="H554" s="74"/>
      <c r="I554" s="63">
        <v>8</v>
      </c>
      <c r="J554" t="b">
        <f t="shared" si="64"/>
        <v>1</v>
      </c>
      <c r="K554" t="b">
        <f t="shared" si="65"/>
        <v>1</v>
      </c>
      <c r="M554" t="str">
        <f t="shared" si="66"/>
        <v> Clayton Stoner</v>
      </c>
      <c r="N554" t="str">
        <f t="shared" si="67"/>
        <v>ANA</v>
      </c>
      <c r="O554">
        <f t="shared" si="68"/>
        <v>8</v>
      </c>
      <c r="P554">
        <f>IF(M554="","",VLOOKUP(B554,'Team Stats'!$B$3:$K$18,5,0))</f>
        <v>613</v>
      </c>
      <c r="Q554">
        <f t="shared" si="69"/>
        <v>1.3050570962479609E-2</v>
      </c>
      <c r="R554">
        <f ca="1">IF(M554="","",VLOOKUP(N554,Sim!$EF$46:$EG$61,2,0))</f>
        <v>14.85</v>
      </c>
      <c r="S554">
        <f ca="1">IF(M554="","",VLOOKUP(N554,'Team Stats'!$B$3:$K$18,10,0))</f>
        <v>111.01280487804878</v>
      </c>
      <c r="T554" s="84">
        <f t="shared" ca="1" si="70"/>
        <v>1.4487804878048782</v>
      </c>
      <c r="U554">
        <f t="shared" ca="1" si="71"/>
        <v>196</v>
      </c>
    </row>
    <row r="555" spans="1:21">
      <c r="A555" s="73" t="s">
        <v>879</v>
      </c>
      <c r="B555" s="73" t="s">
        <v>199</v>
      </c>
      <c r="C555" s="74">
        <v>33</v>
      </c>
      <c r="D555" s="74"/>
      <c r="E555" s="74">
        <v>2</v>
      </c>
      <c r="F555" s="74"/>
      <c r="G555" s="74">
        <v>6</v>
      </c>
      <c r="H555" s="74"/>
      <c r="I555" s="63">
        <v>8</v>
      </c>
      <c r="J555" t="b">
        <f t="shared" si="64"/>
        <v>0</v>
      </c>
      <c r="K555" t="b">
        <f t="shared" si="65"/>
        <v>0</v>
      </c>
      <c r="M555" t="str">
        <f t="shared" si="66"/>
        <v/>
      </c>
      <c r="N555" t="str">
        <f t="shared" si="67"/>
        <v/>
      </c>
      <c r="O555" t="str">
        <f t="shared" si="68"/>
        <v/>
      </c>
      <c r="P555" t="str">
        <f>IF(M555="","",VLOOKUP(B555,'Team Stats'!$B$3:$K$18,5,0))</f>
        <v/>
      </c>
      <c r="Q555" t="str">
        <f t="shared" si="69"/>
        <v/>
      </c>
      <c r="R555" t="str">
        <f>IF(M555="","",VLOOKUP(N555,Sim!$EF$46:$EG$61,2,0))</f>
        <v/>
      </c>
      <c r="S555" t="str">
        <f>IF(M555="","",VLOOKUP(N555,'Team Stats'!$B$3:$K$18,10,0))</f>
        <v/>
      </c>
      <c r="T555" s="84" t="str">
        <f t="shared" si="70"/>
        <v/>
      </c>
      <c r="U555" t="str">
        <f t="shared" si="71"/>
        <v/>
      </c>
    </row>
    <row r="556" spans="1:21">
      <c r="A556" s="73" t="s">
        <v>880</v>
      </c>
      <c r="B556" s="73" t="s">
        <v>204</v>
      </c>
      <c r="C556" s="74">
        <v>36</v>
      </c>
      <c r="D556" s="74"/>
      <c r="E556" s="74">
        <v>1</v>
      </c>
      <c r="F556" s="74"/>
      <c r="G556" s="74">
        <v>7</v>
      </c>
      <c r="H556" s="74"/>
      <c r="I556" s="63">
        <v>8</v>
      </c>
      <c r="J556" t="b">
        <f t="shared" si="64"/>
        <v>0</v>
      </c>
      <c r="K556" t="b">
        <f t="shared" si="65"/>
        <v>0</v>
      </c>
      <c r="M556" t="str">
        <f t="shared" si="66"/>
        <v/>
      </c>
      <c r="N556" t="str">
        <f t="shared" si="67"/>
        <v/>
      </c>
      <c r="O556" t="str">
        <f t="shared" si="68"/>
        <v/>
      </c>
      <c r="P556" t="str">
        <f>IF(M556="","",VLOOKUP(B556,'Team Stats'!$B$3:$K$18,5,0))</f>
        <v/>
      </c>
      <c r="Q556" t="str">
        <f t="shared" si="69"/>
        <v/>
      </c>
      <c r="R556" t="str">
        <f>IF(M556="","",VLOOKUP(N556,Sim!$EF$46:$EG$61,2,0))</f>
        <v/>
      </c>
      <c r="S556" t="str">
        <f>IF(M556="","",VLOOKUP(N556,'Team Stats'!$B$3:$K$18,10,0))</f>
        <v/>
      </c>
      <c r="T556" s="84" t="str">
        <f t="shared" si="70"/>
        <v/>
      </c>
      <c r="U556" t="str">
        <f t="shared" si="71"/>
        <v/>
      </c>
    </row>
    <row r="557" spans="1:21">
      <c r="A557" s="73" t="s">
        <v>881</v>
      </c>
      <c r="B557" s="73" t="s">
        <v>331</v>
      </c>
      <c r="C557" s="74">
        <v>61</v>
      </c>
      <c r="D557" s="74"/>
      <c r="E557" s="74">
        <v>1</v>
      </c>
      <c r="F557" s="74"/>
      <c r="G557" s="74">
        <v>7</v>
      </c>
      <c r="H557" s="74"/>
      <c r="I557" s="63">
        <v>8</v>
      </c>
      <c r="J557" t="b">
        <f t="shared" si="64"/>
        <v>0</v>
      </c>
      <c r="K557" t="b">
        <f t="shared" si="65"/>
        <v>0</v>
      </c>
      <c r="M557" t="str">
        <f t="shared" si="66"/>
        <v/>
      </c>
      <c r="N557" t="str">
        <f t="shared" si="67"/>
        <v/>
      </c>
      <c r="O557" t="str">
        <f t="shared" si="68"/>
        <v/>
      </c>
      <c r="P557" t="str">
        <f>IF(M557="","",VLOOKUP(B557,'Team Stats'!$B$3:$K$18,5,0))</f>
        <v/>
      </c>
      <c r="Q557" t="str">
        <f t="shared" si="69"/>
        <v/>
      </c>
      <c r="R557" t="str">
        <f>IF(M557="","",VLOOKUP(N557,Sim!$EF$46:$EG$61,2,0))</f>
        <v/>
      </c>
      <c r="S557" t="str">
        <f>IF(M557="","",VLOOKUP(N557,'Team Stats'!$B$3:$K$18,10,0))</f>
        <v/>
      </c>
      <c r="T557" s="84" t="str">
        <f t="shared" si="70"/>
        <v/>
      </c>
      <c r="U557" t="str">
        <f t="shared" si="71"/>
        <v/>
      </c>
    </row>
    <row r="558" spans="1:21">
      <c r="A558" s="73" t="s">
        <v>882</v>
      </c>
      <c r="B558" s="73" t="s">
        <v>331</v>
      </c>
      <c r="C558" s="74">
        <v>45</v>
      </c>
      <c r="D558" s="74"/>
      <c r="E558" s="74">
        <v>6</v>
      </c>
      <c r="F558" s="74"/>
      <c r="G558" s="74">
        <v>2</v>
      </c>
      <c r="H558" s="74"/>
      <c r="I558" s="63">
        <v>8</v>
      </c>
      <c r="J558" t="b">
        <f t="shared" si="64"/>
        <v>0</v>
      </c>
      <c r="K558" t="b">
        <f t="shared" si="65"/>
        <v>0</v>
      </c>
      <c r="M558" t="str">
        <f t="shared" si="66"/>
        <v/>
      </c>
      <c r="N558" t="str">
        <f t="shared" si="67"/>
        <v/>
      </c>
      <c r="O558" t="str">
        <f t="shared" si="68"/>
        <v/>
      </c>
      <c r="P558" t="str">
        <f>IF(M558="","",VLOOKUP(B558,'Team Stats'!$B$3:$K$18,5,0))</f>
        <v/>
      </c>
      <c r="Q558" t="str">
        <f t="shared" si="69"/>
        <v/>
      </c>
      <c r="R558" t="str">
        <f>IF(M558="","",VLOOKUP(N558,Sim!$EF$46:$EG$61,2,0))</f>
        <v/>
      </c>
      <c r="S558" t="str">
        <f>IF(M558="","",VLOOKUP(N558,'Team Stats'!$B$3:$K$18,10,0))</f>
        <v/>
      </c>
      <c r="T558" s="84" t="str">
        <f t="shared" si="70"/>
        <v/>
      </c>
      <c r="U558" t="str">
        <f t="shared" si="71"/>
        <v/>
      </c>
    </row>
    <row r="559" spans="1:21">
      <c r="A559" s="73" t="s">
        <v>883</v>
      </c>
      <c r="B559" s="73" t="s">
        <v>210</v>
      </c>
      <c r="C559" s="74">
        <v>40</v>
      </c>
      <c r="D559" s="74"/>
      <c r="E559" s="74">
        <v>2</v>
      </c>
      <c r="F559" s="74"/>
      <c r="G559" s="74">
        <v>6</v>
      </c>
      <c r="H559" s="74"/>
      <c r="I559" s="63">
        <v>8</v>
      </c>
      <c r="J559" t="b">
        <f t="shared" si="64"/>
        <v>1</v>
      </c>
      <c r="K559" t="b">
        <f t="shared" si="65"/>
        <v>1</v>
      </c>
      <c r="M559" t="str">
        <f t="shared" si="66"/>
        <v> Ben Chiarot</v>
      </c>
      <c r="N559" t="str">
        <f t="shared" si="67"/>
        <v>WPG</v>
      </c>
      <c r="O559">
        <f t="shared" si="68"/>
        <v>8</v>
      </c>
      <c r="P559">
        <f>IF(M559="","",VLOOKUP(B559,'Team Stats'!$B$3:$K$18,5,0))</f>
        <v>594</v>
      </c>
      <c r="Q559">
        <f t="shared" si="69"/>
        <v>1.3468013468013467E-2</v>
      </c>
      <c r="R559">
        <f ca="1">IF(M559="","",VLOOKUP(N559,Sim!$EF$46:$EG$61,2,0))</f>
        <v>8.94</v>
      </c>
      <c r="S559">
        <f ca="1">IF(M559="","",VLOOKUP(N559,'Team Stats'!$B$3:$K$18,10,0))</f>
        <v>64.760487804878053</v>
      </c>
      <c r="T559" s="84">
        <f t="shared" ca="1" si="70"/>
        <v>0.87219512195121951</v>
      </c>
      <c r="U559">
        <f t="shared" ca="1" si="71"/>
        <v>230</v>
      </c>
    </row>
    <row r="560" spans="1:21">
      <c r="A560" s="73" t="s">
        <v>884</v>
      </c>
      <c r="B560" s="73" t="s">
        <v>200</v>
      </c>
      <c r="C560" s="74">
        <v>51</v>
      </c>
      <c r="D560" s="74"/>
      <c r="E560" s="74">
        <v>3</v>
      </c>
      <c r="F560" s="74"/>
      <c r="G560" s="74">
        <v>5</v>
      </c>
      <c r="H560" s="74"/>
      <c r="I560" s="63">
        <v>8</v>
      </c>
      <c r="J560" t="b">
        <f t="shared" si="64"/>
        <v>1</v>
      </c>
      <c r="K560" t="b">
        <f t="shared" si="65"/>
        <v>1</v>
      </c>
      <c r="M560" t="str">
        <f t="shared" si="66"/>
        <v> Robert Bortuzzo</v>
      </c>
      <c r="N560" t="str">
        <f t="shared" si="67"/>
        <v>STL</v>
      </c>
      <c r="O560">
        <f t="shared" si="68"/>
        <v>8</v>
      </c>
      <c r="P560">
        <f>IF(M560="","",VLOOKUP(B560,'Team Stats'!$B$3:$K$18,5,0))</f>
        <v>660</v>
      </c>
      <c r="Q560">
        <f t="shared" si="69"/>
        <v>1.2121212121212121E-2</v>
      </c>
      <c r="R560">
        <f ca="1">IF(M560="","",VLOOKUP(N560,Sim!$EF$46:$EG$61,2,0))</f>
        <v>10.87</v>
      </c>
      <c r="S560">
        <f ca="1">IF(M560="","",VLOOKUP(N560,'Team Stats'!$B$3:$K$18,10,0))</f>
        <v>87.490243902439019</v>
      </c>
      <c r="T560" s="84">
        <f t="shared" ca="1" si="70"/>
        <v>1.0604878048780486</v>
      </c>
      <c r="U560">
        <f t="shared" ca="1" si="71"/>
        <v>221</v>
      </c>
    </row>
    <row r="561" spans="1:21">
      <c r="A561" s="73" t="s">
        <v>885</v>
      </c>
      <c r="B561" s="73" t="s">
        <v>331</v>
      </c>
      <c r="C561" s="74">
        <v>63</v>
      </c>
      <c r="D561" s="74"/>
      <c r="E561" s="74">
        <v>0</v>
      </c>
      <c r="F561" s="74"/>
      <c r="G561" s="74">
        <v>8</v>
      </c>
      <c r="H561" s="74"/>
      <c r="I561" s="63">
        <v>8</v>
      </c>
      <c r="J561" t="b">
        <f t="shared" si="64"/>
        <v>0</v>
      </c>
      <c r="K561" t="b">
        <f t="shared" si="65"/>
        <v>0</v>
      </c>
      <c r="M561" t="str">
        <f t="shared" si="66"/>
        <v/>
      </c>
      <c r="N561" t="str">
        <f t="shared" si="67"/>
        <v/>
      </c>
      <c r="O561" t="str">
        <f t="shared" si="68"/>
        <v/>
      </c>
      <c r="P561" t="str">
        <f>IF(M561="","",VLOOKUP(B561,'Team Stats'!$B$3:$K$18,5,0))</f>
        <v/>
      </c>
      <c r="Q561" t="str">
        <f t="shared" si="69"/>
        <v/>
      </c>
      <c r="R561" t="str">
        <f>IF(M561="","",VLOOKUP(N561,Sim!$EF$46:$EG$61,2,0))</f>
        <v/>
      </c>
      <c r="S561" t="str">
        <f>IF(M561="","",VLOOKUP(N561,'Team Stats'!$B$3:$K$18,10,0))</f>
        <v/>
      </c>
      <c r="T561" s="84" t="str">
        <f t="shared" si="70"/>
        <v/>
      </c>
      <c r="U561" t="str">
        <f t="shared" si="71"/>
        <v/>
      </c>
    </row>
    <row r="562" spans="1:21">
      <c r="A562" s="73" t="s">
        <v>886</v>
      </c>
      <c r="B562" s="73" t="s">
        <v>210</v>
      </c>
      <c r="C562" s="74">
        <v>47</v>
      </c>
      <c r="D562" s="74"/>
      <c r="E562" s="74">
        <v>3</v>
      </c>
      <c r="F562" s="74"/>
      <c r="G562" s="74">
        <v>5</v>
      </c>
      <c r="H562" s="74"/>
      <c r="I562" s="63">
        <v>8</v>
      </c>
      <c r="J562" t="b">
        <f t="shared" si="64"/>
        <v>1</v>
      </c>
      <c r="K562" t="b">
        <f t="shared" si="65"/>
        <v>1</v>
      </c>
      <c r="M562" t="str">
        <f t="shared" si="66"/>
        <v> Matt Halischuk</v>
      </c>
      <c r="N562" t="str">
        <f t="shared" si="67"/>
        <v>WPG</v>
      </c>
      <c r="O562">
        <f t="shared" si="68"/>
        <v>8</v>
      </c>
      <c r="P562">
        <f>IF(M562="","",VLOOKUP(B562,'Team Stats'!$B$3:$K$18,5,0))</f>
        <v>594</v>
      </c>
      <c r="Q562">
        <f t="shared" si="69"/>
        <v>1.3468013468013467E-2</v>
      </c>
      <c r="R562">
        <f ca="1">IF(M562="","",VLOOKUP(N562,Sim!$EF$46:$EG$61,2,0))</f>
        <v>8.94</v>
      </c>
      <c r="S562">
        <f ca="1">IF(M562="","",VLOOKUP(N562,'Team Stats'!$B$3:$K$18,10,0))</f>
        <v>64.760487804878053</v>
      </c>
      <c r="T562" s="84">
        <f t="shared" ca="1" si="70"/>
        <v>0.87219512195121951</v>
      </c>
      <c r="U562">
        <f t="shared" ca="1" si="71"/>
        <v>230</v>
      </c>
    </row>
    <row r="563" spans="1:21">
      <c r="A563" s="73" t="s">
        <v>887</v>
      </c>
      <c r="B563" s="73" t="s">
        <v>212</v>
      </c>
      <c r="C563" s="74">
        <v>25</v>
      </c>
      <c r="D563" s="74"/>
      <c r="E563" s="74">
        <v>3</v>
      </c>
      <c r="F563" s="74"/>
      <c r="G563" s="74">
        <v>5</v>
      </c>
      <c r="H563" s="74"/>
      <c r="I563" s="63">
        <v>8</v>
      </c>
      <c r="J563" t="b">
        <f t="shared" si="64"/>
        <v>1</v>
      </c>
      <c r="K563" t="b">
        <f t="shared" si="65"/>
        <v>1</v>
      </c>
      <c r="M563" t="str">
        <f t="shared" si="66"/>
        <v> Jordan Schroeder</v>
      </c>
      <c r="N563" t="str">
        <f t="shared" si="67"/>
        <v>MIN</v>
      </c>
      <c r="O563">
        <f t="shared" si="68"/>
        <v>8</v>
      </c>
      <c r="P563">
        <f>IF(M563="","",VLOOKUP(B563,'Team Stats'!$B$3:$K$18,5,0))</f>
        <v>608</v>
      </c>
      <c r="Q563">
        <f t="shared" si="69"/>
        <v>1.3157894736842105E-2</v>
      </c>
      <c r="R563">
        <f ca="1">IF(M563="","",VLOOKUP(N563,Sim!$EF$46:$EG$61,2,0))</f>
        <v>11.71</v>
      </c>
      <c r="S563">
        <f ca="1">IF(M563="","",VLOOKUP(N563,'Team Stats'!$B$3:$K$18,10,0))</f>
        <v>86.825365853658553</v>
      </c>
      <c r="T563" s="84">
        <f t="shared" ca="1" si="70"/>
        <v>1.142439024390244</v>
      </c>
      <c r="U563">
        <f t="shared" ca="1" si="71"/>
        <v>215</v>
      </c>
    </row>
    <row r="564" spans="1:21">
      <c r="A564" s="73" t="s">
        <v>888</v>
      </c>
      <c r="B564" s="73" t="s">
        <v>219</v>
      </c>
      <c r="C564" s="74">
        <v>66</v>
      </c>
      <c r="D564" s="74"/>
      <c r="E564" s="74">
        <v>3</v>
      </c>
      <c r="F564" s="74"/>
      <c r="G564" s="74">
        <v>5</v>
      </c>
      <c r="H564" s="74"/>
      <c r="I564" s="63">
        <v>8</v>
      </c>
      <c r="J564" t="b">
        <f t="shared" si="64"/>
        <v>0</v>
      </c>
      <c r="K564" t="b">
        <f t="shared" si="65"/>
        <v>0</v>
      </c>
      <c r="M564" t="str">
        <f t="shared" si="66"/>
        <v/>
      </c>
      <c r="N564" t="str">
        <f t="shared" si="67"/>
        <v/>
      </c>
      <c r="O564" t="str">
        <f t="shared" si="68"/>
        <v/>
      </c>
      <c r="P564" t="str">
        <f>IF(M564="","",VLOOKUP(B564,'Team Stats'!$B$3:$K$18,5,0))</f>
        <v/>
      </c>
      <c r="Q564" t="str">
        <f t="shared" si="69"/>
        <v/>
      </c>
      <c r="R564" t="str">
        <f>IF(M564="","",VLOOKUP(N564,Sim!$EF$46:$EG$61,2,0))</f>
        <v/>
      </c>
      <c r="S564" t="str">
        <f>IF(M564="","",VLOOKUP(N564,'Team Stats'!$B$3:$K$18,10,0))</f>
        <v/>
      </c>
      <c r="T564" s="84" t="str">
        <f t="shared" si="70"/>
        <v/>
      </c>
      <c r="U564" t="str">
        <f t="shared" si="71"/>
        <v/>
      </c>
    </row>
    <row r="565" spans="1:21">
      <c r="A565" s="73" t="s">
        <v>889</v>
      </c>
      <c r="B565" s="73" t="s">
        <v>215</v>
      </c>
      <c r="C565" s="74">
        <v>74</v>
      </c>
      <c r="D565" s="74"/>
      <c r="E565" s="74">
        <v>2</v>
      </c>
      <c r="F565" s="74"/>
      <c r="G565" s="74">
        <v>6</v>
      </c>
      <c r="H565" s="74"/>
      <c r="I565" s="63">
        <v>8</v>
      </c>
      <c r="J565" t="b">
        <f t="shared" si="64"/>
        <v>0</v>
      </c>
      <c r="K565" t="b">
        <f t="shared" si="65"/>
        <v>0</v>
      </c>
      <c r="M565" t="str">
        <f t="shared" si="66"/>
        <v/>
      </c>
      <c r="N565" t="str">
        <f t="shared" si="67"/>
        <v/>
      </c>
      <c r="O565" t="str">
        <f t="shared" si="68"/>
        <v/>
      </c>
      <c r="P565" t="str">
        <f>IF(M565="","",VLOOKUP(B565,'Team Stats'!$B$3:$K$18,5,0))</f>
        <v/>
      </c>
      <c r="Q565" t="str">
        <f t="shared" si="69"/>
        <v/>
      </c>
      <c r="R565" t="str">
        <f>IF(M565="","",VLOOKUP(N565,Sim!$EF$46:$EG$61,2,0))</f>
        <v/>
      </c>
      <c r="S565" t="str">
        <f>IF(M565="","",VLOOKUP(N565,'Team Stats'!$B$3:$K$18,10,0))</f>
        <v/>
      </c>
      <c r="T565" s="84" t="str">
        <f t="shared" si="70"/>
        <v/>
      </c>
      <c r="U565" t="str">
        <f t="shared" si="71"/>
        <v/>
      </c>
    </row>
    <row r="566" spans="1:21">
      <c r="A566" s="73" t="s">
        <v>890</v>
      </c>
      <c r="B566" s="73" t="s">
        <v>336</v>
      </c>
      <c r="C566" s="74">
        <v>70</v>
      </c>
      <c r="D566" s="74"/>
      <c r="E566" s="74">
        <v>3</v>
      </c>
      <c r="F566" s="74"/>
      <c r="G566" s="74">
        <v>5</v>
      </c>
      <c r="H566" s="74"/>
      <c r="I566" s="63">
        <v>8</v>
      </c>
      <c r="J566" t="b">
        <f t="shared" si="64"/>
        <v>0</v>
      </c>
      <c r="K566" t="b">
        <f t="shared" si="65"/>
        <v>0</v>
      </c>
      <c r="M566" t="str">
        <f t="shared" si="66"/>
        <v/>
      </c>
      <c r="N566" t="str">
        <f t="shared" si="67"/>
        <v/>
      </c>
      <c r="O566" t="str">
        <f t="shared" si="68"/>
        <v/>
      </c>
      <c r="P566" t="str">
        <f>IF(M566="","",VLOOKUP(B566,'Team Stats'!$B$3:$K$18,5,0))</f>
        <v/>
      </c>
      <c r="Q566" t="str">
        <f t="shared" si="69"/>
        <v/>
      </c>
      <c r="R566" t="str">
        <f>IF(M566="","",VLOOKUP(N566,Sim!$EF$46:$EG$61,2,0))</f>
        <v/>
      </c>
      <c r="S566" t="str">
        <f>IF(M566="","",VLOOKUP(N566,'Team Stats'!$B$3:$K$18,10,0))</f>
        <v/>
      </c>
      <c r="T566" s="84" t="str">
        <f t="shared" si="70"/>
        <v/>
      </c>
      <c r="U566" t="str">
        <f t="shared" si="71"/>
        <v/>
      </c>
    </row>
    <row r="567" spans="1:21">
      <c r="A567" s="73" t="s">
        <v>891</v>
      </c>
      <c r="B567" s="73" t="s">
        <v>209</v>
      </c>
      <c r="C567" s="74">
        <v>31</v>
      </c>
      <c r="D567" s="74"/>
      <c r="E567" s="74">
        <v>5</v>
      </c>
      <c r="F567" s="74"/>
      <c r="G567" s="74">
        <v>3</v>
      </c>
      <c r="H567" s="74"/>
      <c r="I567" s="63">
        <v>8</v>
      </c>
      <c r="J567" t="b">
        <f t="shared" si="64"/>
        <v>1</v>
      </c>
      <c r="K567" t="b">
        <f t="shared" si="65"/>
        <v>1</v>
      </c>
      <c r="M567" t="str">
        <f t="shared" si="66"/>
        <v> Teemu Pulkkinen</v>
      </c>
      <c r="N567" t="str">
        <f t="shared" si="67"/>
        <v>DET</v>
      </c>
      <c r="O567">
        <f t="shared" si="68"/>
        <v>8</v>
      </c>
      <c r="P567">
        <f>IF(M567="","",VLOOKUP(B567,'Team Stats'!$B$3:$K$18,5,0))</f>
        <v>630</v>
      </c>
      <c r="Q567">
        <f t="shared" si="69"/>
        <v>1.2698412698412698E-2</v>
      </c>
      <c r="R567">
        <f ca="1">IF(M567="","",VLOOKUP(N567,Sim!$EF$46:$EG$61,2,0))</f>
        <v>10.06</v>
      </c>
      <c r="S567">
        <f ca="1">IF(M567="","",VLOOKUP(N567,'Team Stats'!$B$3:$K$18,10,0))</f>
        <v>77.29024390243903</v>
      </c>
      <c r="T567" s="84">
        <f t="shared" ca="1" si="70"/>
        <v>0.98146341463414644</v>
      </c>
      <c r="U567">
        <f t="shared" ca="1" si="71"/>
        <v>224</v>
      </c>
    </row>
    <row r="568" spans="1:21">
      <c r="A568" s="73" t="s">
        <v>892</v>
      </c>
      <c r="B568" s="73" t="s">
        <v>196</v>
      </c>
      <c r="C568" s="74">
        <v>18</v>
      </c>
      <c r="D568" s="74"/>
      <c r="E568" s="74">
        <v>2</v>
      </c>
      <c r="F568" s="74"/>
      <c r="G568" s="74">
        <v>6</v>
      </c>
      <c r="H568" s="74"/>
      <c r="I568" s="63">
        <v>8</v>
      </c>
      <c r="J568" t="b">
        <f t="shared" si="64"/>
        <v>1</v>
      </c>
      <c r="K568" t="b">
        <f t="shared" si="65"/>
        <v>1</v>
      </c>
      <c r="M568" t="str">
        <f t="shared" si="66"/>
        <v> Colin McDonald</v>
      </c>
      <c r="N568" t="str">
        <f t="shared" si="67"/>
        <v>NYI</v>
      </c>
      <c r="O568">
        <f t="shared" si="68"/>
        <v>8</v>
      </c>
      <c r="P568">
        <f>IF(M568="","",VLOOKUP(B568,'Team Stats'!$B$3:$K$18,5,0))</f>
        <v>656</v>
      </c>
      <c r="Q568">
        <f t="shared" si="69"/>
        <v>1.2195121951219513E-2</v>
      </c>
      <c r="R568">
        <f ca="1">IF(M568="","",VLOOKUP(N568,Sim!$EF$46:$EG$61,2,0))</f>
        <v>13.18</v>
      </c>
      <c r="S568">
        <f ca="1">IF(M568="","",VLOOKUP(N568,'Team Stats'!$B$3:$K$18,10,0))</f>
        <v>105.44</v>
      </c>
      <c r="T568" s="84">
        <f t="shared" ca="1" si="70"/>
        <v>1.2858536585365854</v>
      </c>
      <c r="U568">
        <f t="shared" ca="1" si="71"/>
        <v>208</v>
      </c>
    </row>
    <row r="569" spans="1:21">
      <c r="A569" s="73" t="s">
        <v>893</v>
      </c>
      <c r="B569" s="73" t="s">
        <v>219</v>
      </c>
      <c r="C569" s="74">
        <v>64</v>
      </c>
      <c r="D569" s="74"/>
      <c r="E569" s="74">
        <v>2</v>
      </c>
      <c r="F569" s="74"/>
      <c r="G569" s="74">
        <v>6</v>
      </c>
      <c r="H569" s="74"/>
      <c r="I569" s="63">
        <v>8</v>
      </c>
      <c r="J569" t="b">
        <f t="shared" si="64"/>
        <v>0</v>
      </c>
      <c r="K569" t="b">
        <f t="shared" si="65"/>
        <v>0</v>
      </c>
      <c r="M569" t="str">
        <f t="shared" si="66"/>
        <v/>
      </c>
      <c r="N569" t="str">
        <f t="shared" si="67"/>
        <v/>
      </c>
      <c r="O569" t="str">
        <f t="shared" si="68"/>
        <v/>
      </c>
      <c r="P569" t="str">
        <f>IF(M569="","",VLOOKUP(B569,'Team Stats'!$B$3:$K$18,5,0))</f>
        <v/>
      </c>
      <c r="Q569" t="str">
        <f t="shared" si="69"/>
        <v/>
      </c>
      <c r="R569" t="str">
        <f>IF(M569="","",VLOOKUP(N569,Sim!$EF$46:$EG$61,2,0))</f>
        <v/>
      </c>
      <c r="S569" t="str">
        <f>IF(M569="","",VLOOKUP(N569,'Team Stats'!$B$3:$K$18,10,0))</f>
        <v/>
      </c>
      <c r="T569" s="84" t="str">
        <f t="shared" si="70"/>
        <v/>
      </c>
      <c r="U569" t="str">
        <f t="shared" si="71"/>
        <v/>
      </c>
    </row>
    <row r="570" spans="1:21">
      <c r="A570" s="73" t="s">
        <v>894</v>
      </c>
      <c r="B570" s="73" t="s">
        <v>209</v>
      </c>
      <c r="C570" s="74">
        <v>68</v>
      </c>
      <c r="D570" s="74"/>
      <c r="E570" s="74">
        <v>3</v>
      </c>
      <c r="F570" s="74"/>
      <c r="G570" s="74">
        <v>5</v>
      </c>
      <c r="H570" s="74"/>
      <c r="I570" s="63">
        <v>8</v>
      </c>
      <c r="J570" t="b">
        <f t="shared" si="64"/>
        <v>1</v>
      </c>
      <c r="K570" t="b">
        <f t="shared" si="65"/>
        <v>1</v>
      </c>
      <c r="M570" t="str">
        <f t="shared" si="66"/>
        <v> Joakim Andersson</v>
      </c>
      <c r="N570" t="str">
        <f t="shared" si="67"/>
        <v>DET</v>
      </c>
      <c r="O570">
        <f t="shared" si="68"/>
        <v>8</v>
      </c>
      <c r="P570">
        <f>IF(M570="","",VLOOKUP(B570,'Team Stats'!$B$3:$K$18,5,0))</f>
        <v>630</v>
      </c>
      <c r="Q570">
        <f t="shared" si="69"/>
        <v>1.2698412698412698E-2</v>
      </c>
      <c r="R570">
        <f ca="1">IF(M570="","",VLOOKUP(N570,Sim!$EF$46:$EG$61,2,0))</f>
        <v>10.06</v>
      </c>
      <c r="S570">
        <f ca="1">IF(M570="","",VLOOKUP(N570,'Team Stats'!$B$3:$K$18,10,0))</f>
        <v>77.29024390243903</v>
      </c>
      <c r="T570" s="84">
        <f t="shared" ca="1" si="70"/>
        <v>0.98146341463414644</v>
      </c>
      <c r="U570">
        <f t="shared" ca="1" si="71"/>
        <v>224</v>
      </c>
    </row>
    <row r="571" spans="1:21">
      <c r="A571" s="73" t="s">
        <v>895</v>
      </c>
      <c r="B571" s="73" t="s">
        <v>340</v>
      </c>
      <c r="C571" s="74">
        <v>27</v>
      </c>
      <c r="D571" s="74"/>
      <c r="E571" s="74">
        <v>2</v>
      </c>
      <c r="F571" s="74"/>
      <c r="G571" s="74">
        <v>6</v>
      </c>
      <c r="H571" s="74"/>
      <c r="I571" s="63">
        <v>8</v>
      </c>
      <c r="J571" t="b">
        <f t="shared" si="64"/>
        <v>0</v>
      </c>
      <c r="K571" t="b">
        <f t="shared" si="65"/>
        <v>0</v>
      </c>
      <c r="M571" t="str">
        <f t="shared" si="66"/>
        <v/>
      </c>
      <c r="N571" t="str">
        <f t="shared" si="67"/>
        <v/>
      </c>
      <c r="O571" t="str">
        <f t="shared" si="68"/>
        <v/>
      </c>
      <c r="P571" t="str">
        <f>IF(M571="","",VLOOKUP(B571,'Team Stats'!$B$3:$K$18,5,0))</f>
        <v/>
      </c>
      <c r="Q571" t="str">
        <f t="shared" si="69"/>
        <v/>
      </c>
      <c r="R571" t="str">
        <f>IF(M571="","",VLOOKUP(N571,Sim!$EF$46:$EG$61,2,0))</f>
        <v/>
      </c>
      <c r="S571" t="str">
        <f>IF(M571="","",VLOOKUP(N571,'Team Stats'!$B$3:$K$18,10,0))</f>
        <v/>
      </c>
      <c r="T571" s="84" t="str">
        <f t="shared" si="70"/>
        <v/>
      </c>
      <c r="U571" t="str">
        <f t="shared" si="71"/>
        <v/>
      </c>
    </row>
    <row r="572" spans="1:21">
      <c r="A572" s="73" t="s">
        <v>896</v>
      </c>
      <c r="B572" s="73" t="s">
        <v>202</v>
      </c>
      <c r="C572" s="74">
        <v>39</v>
      </c>
      <c r="D572" s="74"/>
      <c r="E572" s="74">
        <v>4</v>
      </c>
      <c r="F572" s="74"/>
      <c r="G572" s="74">
        <v>4</v>
      </c>
      <c r="H572" s="74"/>
      <c r="I572" s="63">
        <v>8</v>
      </c>
      <c r="J572" t="b">
        <f t="shared" si="64"/>
        <v>1</v>
      </c>
      <c r="K572" t="b">
        <f t="shared" si="65"/>
        <v>1</v>
      </c>
      <c r="M572" t="str">
        <f t="shared" si="66"/>
        <v> Daniel Carcillo</v>
      </c>
      <c r="N572" t="str">
        <f t="shared" si="67"/>
        <v>CHI</v>
      </c>
      <c r="O572">
        <f t="shared" si="68"/>
        <v>8</v>
      </c>
      <c r="P572">
        <f>IF(M572="","",VLOOKUP(B572,'Team Stats'!$B$3:$K$18,5,0))</f>
        <v>601</v>
      </c>
      <c r="Q572">
        <f t="shared" si="69"/>
        <v>1.3311148086522463E-2</v>
      </c>
      <c r="R572">
        <f ca="1">IF(M572="","",VLOOKUP(N572,Sim!$EF$46:$EG$61,2,0))</f>
        <v>9.14</v>
      </c>
      <c r="S572">
        <f ca="1">IF(M572="","",VLOOKUP(N572,'Team Stats'!$B$3:$K$18,10,0))</f>
        <v>66.989512195121961</v>
      </c>
      <c r="T572" s="84">
        <f t="shared" ca="1" si="70"/>
        <v>0.89170731707317086</v>
      </c>
      <c r="U572">
        <f t="shared" ca="1" si="71"/>
        <v>229</v>
      </c>
    </row>
    <row r="573" spans="1:21">
      <c r="A573" s="73" t="s">
        <v>897</v>
      </c>
      <c r="B573" s="73" t="s">
        <v>219</v>
      </c>
      <c r="C573" s="74">
        <v>44</v>
      </c>
      <c r="D573" s="74"/>
      <c r="E573" s="74">
        <v>2</v>
      </c>
      <c r="F573" s="74"/>
      <c r="G573" s="74">
        <v>6</v>
      </c>
      <c r="H573" s="74"/>
      <c r="I573" s="63">
        <v>8</v>
      </c>
      <c r="J573" t="b">
        <f t="shared" si="64"/>
        <v>0</v>
      </c>
      <c r="K573" t="b">
        <f t="shared" si="65"/>
        <v>0</v>
      </c>
      <c r="M573" t="str">
        <f t="shared" si="66"/>
        <v/>
      </c>
      <c r="N573" t="str">
        <f t="shared" si="67"/>
        <v/>
      </c>
      <c r="O573" t="str">
        <f t="shared" si="68"/>
        <v/>
      </c>
      <c r="P573" t="str">
        <f>IF(M573="","",VLOOKUP(B573,'Team Stats'!$B$3:$K$18,5,0))</f>
        <v/>
      </c>
      <c r="Q573" t="str">
        <f t="shared" si="69"/>
        <v/>
      </c>
      <c r="R573" t="str">
        <f>IF(M573="","",VLOOKUP(N573,Sim!$EF$46:$EG$61,2,0))</f>
        <v/>
      </c>
      <c r="S573" t="str">
        <f>IF(M573="","",VLOOKUP(N573,'Team Stats'!$B$3:$K$18,10,0))</f>
        <v/>
      </c>
      <c r="T573" s="84" t="str">
        <f t="shared" si="70"/>
        <v/>
      </c>
      <c r="U573" t="str">
        <f t="shared" si="71"/>
        <v/>
      </c>
    </row>
    <row r="574" spans="1:21">
      <c r="A574" s="73" t="s">
        <v>898</v>
      </c>
      <c r="B574" s="73" t="s">
        <v>222</v>
      </c>
      <c r="C574" s="74">
        <v>51</v>
      </c>
      <c r="D574" s="74"/>
      <c r="E574" s="74">
        <v>3</v>
      </c>
      <c r="F574" s="74"/>
      <c r="G574" s="74">
        <v>4</v>
      </c>
      <c r="H574" s="74"/>
      <c r="I574" s="63">
        <v>7</v>
      </c>
      <c r="J574" t="b">
        <f t="shared" si="64"/>
        <v>0</v>
      </c>
      <c r="K574" t="b">
        <f t="shared" si="65"/>
        <v>0</v>
      </c>
      <c r="M574" t="str">
        <f t="shared" si="66"/>
        <v/>
      </c>
      <c r="N574" t="str">
        <f t="shared" si="67"/>
        <v/>
      </c>
      <c r="O574" t="str">
        <f t="shared" si="68"/>
        <v/>
      </c>
      <c r="P574" t="str">
        <f>IF(M574="","",VLOOKUP(B574,'Team Stats'!$B$3:$K$18,5,0))</f>
        <v/>
      </c>
      <c r="Q574" t="str">
        <f t="shared" si="69"/>
        <v/>
      </c>
      <c r="R574" t="str">
        <f>IF(M574="","",VLOOKUP(N574,Sim!$EF$46:$EG$61,2,0))</f>
        <v/>
      </c>
      <c r="S574" t="str">
        <f>IF(M574="","",VLOOKUP(N574,'Team Stats'!$B$3:$K$18,10,0))</f>
        <v/>
      </c>
      <c r="T574" s="84" t="str">
        <f t="shared" si="70"/>
        <v/>
      </c>
      <c r="U574" t="str">
        <f t="shared" si="71"/>
        <v/>
      </c>
    </row>
    <row r="575" spans="1:21">
      <c r="A575" s="73" t="s">
        <v>899</v>
      </c>
      <c r="B575" s="73" t="s">
        <v>222</v>
      </c>
      <c r="C575" s="74">
        <v>51</v>
      </c>
      <c r="D575" s="74"/>
      <c r="E575" s="74">
        <v>2</v>
      </c>
      <c r="F575" s="74"/>
      <c r="G575" s="74">
        <v>5</v>
      </c>
      <c r="H575" s="74"/>
      <c r="I575" s="63">
        <v>7</v>
      </c>
      <c r="J575" t="b">
        <f t="shared" si="64"/>
        <v>0</v>
      </c>
      <c r="K575" t="b">
        <f t="shared" si="65"/>
        <v>0</v>
      </c>
      <c r="M575" t="str">
        <f t="shared" si="66"/>
        <v/>
      </c>
      <c r="N575" t="str">
        <f t="shared" si="67"/>
        <v/>
      </c>
      <c r="O575" t="str">
        <f t="shared" si="68"/>
        <v/>
      </c>
      <c r="P575" t="str">
        <f>IF(M575="","",VLOOKUP(B575,'Team Stats'!$B$3:$K$18,5,0))</f>
        <v/>
      </c>
      <c r="Q575" t="str">
        <f t="shared" si="69"/>
        <v/>
      </c>
      <c r="R575" t="str">
        <f>IF(M575="","",VLOOKUP(N575,Sim!$EF$46:$EG$61,2,0))</f>
        <v/>
      </c>
      <c r="S575" t="str">
        <f>IF(M575="","",VLOOKUP(N575,'Team Stats'!$B$3:$K$18,10,0))</f>
        <v/>
      </c>
      <c r="T575" s="84" t="str">
        <f t="shared" si="70"/>
        <v/>
      </c>
      <c r="U575" t="str">
        <f t="shared" si="71"/>
        <v/>
      </c>
    </row>
    <row r="576" spans="1:21">
      <c r="A576" s="73" t="s">
        <v>900</v>
      </c>
      <c r="B576" s="73" t="s">
        <v>205</v>
      </c>
      <c r="C576" s="74">
        <v>55</v>
      </c>
      <c r="D576" s="74"/>
      <c r="E576" s="74">
        <v>5</v>
      </c>
      <c r="F576" s="74"/>
      <c r="G576" s="74">
        <v>2</v>
      </c>
      <c r="H576" s="74"/>
      <c r="I576" s="63">
        <v>7</v>
      </c>
      <c r="J576" t="b">
        <f t="shared" si="64"/>
        <v>1</v>
      </c>
      <c r="K576" t="b">
        <f t="shared" si="65"/>
        <v>1</v>
      </c>
      <c r="M576" t="str">
        <f t="shared" si="66"/>
        <v> Tim Jackman</v>
      </c>
      <c r="N576" t="str">
        <f t="shared" si="67"/>
        <v>ANA</v>
      </c>
      <c r="O576">
        <f t="shared" si="68"/>
        <v>7</v>
      </c>
      <c r="P576">
        <f>IF(M576="","",VLOOKUP(B576,'Team Stats'!$B$3:$K$18,5,0))</f>
        <v>613</v>
      </c>
      <c r="Q576">
        <f t="shared" si="69"/>
        <v>1.1419249592169658E-2</v>
      </c>
      <c r="R576">
        <f ca="1">IF(M576="","",VLOOKUP(N576,Sim!$EF$46:$EG$61,2,0))</f>
        <v>14.85</v>
      </c>
      <c r="S576">
        <f ca="1">IF(M576="","",VLOOKUP(N576,'Team Stats'!$B$3:$K$18,10,0))</f>
        <v>111.01280487804878</v>
      </c>
      <c r="T576" s="84">
        <f t="shared" ca="1" si="70"/>
        <v>1.2676829268292684</v>
      </c>
      <c r="U576">
        <f t="shared" ca="1" si="71"/>
        <v>209</v>
      </c>
    </row>
    <row r="577" spans="1:21">
      <c r="A577" s="73" t="s">
        <v>901</v>
      </c>
      <c r="B577" s="73" t="s">
        <v>198</v>
      </c>
      <c r="C577" s="74">
        <v>34</v>
      </c>
      <c r="D577" s="74"/>
      <c r="E577" s="74">
        <v>2</v>
      </c>
      <c r="F577" s="74"/>
      <c r="G577" s="74">
        <v>5</v>
      </c>
      <c r="H577" s="74"/>
      <c r="I577" s="63">
        <v>7</v>
      </c>
      <c r="J577" t="b">
        <f t="shared" si="64"/>
        <v>1</v>
      </c>
      <c r="K577" t="b">
        <f t="shared" si="65"/>
        <v>1</v>
      </c>
      <c r="M577" t="str">
        <f t="shared" si="66"/>
        <v> Derrick Pouliot</v>
      </c>
      <c r="N577" t="str">
        <f t="shared" si="67"/>
        <v>PIT</v>
      </c>
      <c r="O577">
        <f t="shared" si="68"/>
        <v>7</v>
      </c>
      <c r="P577">
        <f>IF(M577="","",VLOOKUP(B577,'Team Stats'!$B$3:$K$18,5,0))</f>
        <v>600</v>
      </c>
      <c r="Q577">
        <f t="shared" si="69"/>
        <v>1.1666666666666667E-2</v>
      </c>
      <c r="R577">
        <f ca="1">IF(M577="","",VLOOKUP(N577,Sim!$EF$46:$EG$61,2,0))</f>
        <v>9.74</v>
      </c>
      <c r="S577">
        <f ca="1">IF(M577="","",VLOOKUP(N577,'Team Stats'!$B$3:$K$18,10,0))</f>
        <v>71.268292682926827</v>
      </c>
      <c r="T577" s="84">
        <f t="shared" ca="1" si="70"/>
        <v>0.8314634146341463</v>
      </c>
      <c r="U577">
        <f t="shared" ca="1" si="71"/>
        <v>232</v>
      </c>
    </row>
    <row r="578" spans="1:21">
      <c r="A578" s="73" t="s">
        <v>902</v>
      </c>
      <c r="B578" s="73" t="s">
        <v>214</v>
      </c>
      <c r="C578" s="74">
        <v>38</v>
      </c>
      <c r="D578" s="74"/>
      <c r="E578" s="74">
        <v>4</v>
      </c>
      <c r="F578" s="74"/>
      <c r="G578" s="74">
        <v>3</v>
      </c>
      <c r="H578" s="74"/>
      <c r="I578" s="63">
        <v>7</v>
      </c>
      <c r="J578" t="b">
        <f t="shared" si="64"/>
        <v>1</v>
      </c>
      <c r="K578" t="b">
        <f t="shared" si="65"/>
        <v>1</v>
      </c>
      <c r="M578" t="str">
        <f t="shared" si="66"/>
        <v> Chris Neil</v>
      </c>
      <c r="N578" t="str">
        <f t="shared" si="67"/>
        <v>OTT</v>
      </c>
      <c r="O578">
        <f t="shared" si="68"/>
        <v>7</v>
      </c>
      <c r="P578">
        <f>IF(M578="","",VLOOKUP(B578,'Team Stats'!$B$3:$K$18,5,0))</f>
        <v>619</v>
      </c>
      <c r="Q578">
        <f t="shared" si="69"/>
        <v>1.1308562197092083E-2</v>
      </c>
      <c r="R578">
        <f ca="1">IF(M578="","",VLOOKUP(N578,Sim!$EF$46:$EG$61,2,0))</f>
        <v>10.71</v>
      </c>
      <c r="S578">
        <f ca="1">IF(M578="","",VLOOKUP(N578,'Team Stats'!$B$3:$K$18,10,0))</f>
        <v>80.847439024390255</v>
      </c>
      <c r="T578" s="84">
        <f t="shared" ca="1" si="70"/>
        <v>0.91426829268292686</v>
      </c>
      <c r="U578">
        <f t="shared" ca="1" si="71"/>
        <v>228</v>
      </c>
    </row>
    <row r="579" spans="1:21">
      <c r="A579" s="73" t="s">
        <v>903</v>
      </c>
      <c r="B579" s="73" t="s">
        <v>357</v>
      </c>
      <c r="C579" s="74">
        <v>34</v>
      </c>
      <c r="D579" s="74"/>
      <c r="E579" s="74">
        <v>1</v>
      </c>
      <c r="F579" s="74"/>
      <c r="G579" s="74">
        <v>6</v>
      </c>
      <c r="H579" s="74"/>
      <c r="I579" s="63">
        <v>7</v>
      </c>
      <c r="J579" t="b">
        <f t="shared" si="64"/>
        <v>0</v>
      </c>
      <c r="K579" t="b">
        <f t="shared" si="65"/>
        <v>0</v>
      </c>
      <c r="M579" t="str">
        <f t="shared" si="66"/>
        <v/>
      </c>
      <c r="N579" t="str">
        <f t="shared" si="67"/>
        <v/>
      </c>
      <c r="O579" t="str">
        <f t="shared" si="68"/>
        <v/>
      </c>
      <c r="P579" t="str">
        <f>IF(M579="","",VLOOKUP(B579,'Team Stats'!$B$3:$K$18,5,0))</f>
        <v/>
      </c>
      <c r="Q579" t="str">
        <f t="shared" si="69"/>
        <v/>
      </c>
      <c r="R579" t="str">
        <f>IF(M579="","",VLOOKUP(N579,Sim!$EF$46:$EG$61,2,0))</f>
        <v/>
      </c>
      <c r="S579" t="str">
        <f>IF(M579="","",VLOOKUP(N579,'Team Stats'!$B$3:$K$18,10,0))</f>
        <v/>
      </c>
      <c r="T579" s="84" t="str">
        <f t="shared" si="70"/>
        <v/>
      </c>
      <c r="U579" t="str">
        <f t="shared" si="71"/>
        <v/>
      </c>
    </row>
    <row r="580" spans="1:21">
      <c r="A580" s="73" t="s">
        <v>904</v>
      </c>
      <c r="B580" s="73" t="s">
        <v>336</v>
      </c>
      <c r="C580" s="74">
        <v>27</v>
      </c>
      <c r="D580" s="74"/>
      <c r="E580" s="74">
        <v>3</v>
      </c>
      <c r="F580" s="74"/>
      <c r="G580" s="74">
        <v>4</v>
      </c>
      <c r="H580" s="74"/>
      <c r="I580" s="63">
        <v>7</v>
      </c>
      <c r="J580" t="b">
        <f t="shared" ref="J580:J643" si="72">OR(B580="MTL",B580="OTT",B580="TBL",B580="DET",B580="WSH",B580="NYI",B580="NYR",B580="PIT",B580="STL",B580="MIN",B580="NSH",B580="CHI",B580="VAN",B580="CAL",B580="ANA",B580="WPG")</f>
        <v>0</v>
      </c>
      <c r="K580" t="b">
        <f t="shared" ref="K580:K643" si="73">J580</f>
        <v>0</v>
      </c>
      <c r="M580" t="str">
        <f t="shared" ref="M580:M643" si="74">IF(K580=FALSE,"",A580)</f>
        <v/>
      </c>
      <c r="N580" t="str">
        <f t="shared" ref="N580:N643" si="75">IF(M580="","",B580)</f>
        <v/>
      </c>
      <c r="O580" t="str">
        <f t="shared" ref="O580:O643" si="76">IF(M580="","",I580)</f>
        <v/>
      </c>
      <c r="P580" t="str">
        <f>IF(M580="","",VLOOKUP(B580,'Team Stats'!$B$3:$K$18,5,0))</f>
        <v/>
      </c>
      <c r="Q580" t="str">
        <f t="shared" ref="Q580:Q643" si="77">IF(N580="","",IF(O580=0,0,O580/P580))</f>
        <v/>
      </c>
      <c r="R580" t="str">
        <f>IF(M580="","",VLOOKUP(N580,Sim!$EF$46:$EG$61,2,0))</f>
        <v/>
      </c>
      <c r="S580" t="str">
        <f>IF(M580="","",VLOOKUP(N580,'Team Stats'!$B$3:$K$18,10,0))</f>
        <v/>
      </c>
      <c r="T580" s="84" t="str">
        <f t="shared" ref="T580:T643" si="78">IF(M580="","",IF(O580=0,0,Q580*S580))</f>
        <v/>
      </c>
      <c r="U580" t="str">
        <f t="shared" ref="U580:U643" si="79">IF(M580="","",RANK(T580,$T$3:$T$884,0))</f>
        <v/>
      </c>
    </row>
    <row r="581" spans="1:21">
      <c r="A581" s="73" t="s">
        <v>905</v>
      </c>
      <c r="B581" s="73" t="s">
        <v>198</v>
      </c>
      <c r="C581" s="74">
        <v>70</v>
      </c>
      <c r="D581" s="74"/>
      <c r="E581" s="74">
        <v>1</v>
      </c>
      <c r="F581" s="74"/>
      <c r="G581" s="74">
        <v>6</v>
      </c>
      <c r="H581" s="74"/>
      <c r="I581" s="63">
        <v>7</v>
      </c>
      <c r="J581" t="b">
        <f t="shared" si="72"/>
        <v>1</v>
      </c>
      <c r="K581" t="b">
        <f t="shared" si="73"/>
        <v>1</v>
      </c>
      <c r="M581" t="str">
        <f t="shared" si="74"/>
        <v> Craig Adams</v>
      </c>
      <c r="N581" t="str">
        <f t="shared" si="75"/>
        <v>PIT</v>
      </c>
      <c r="O581">
        <f t="shared" si="76"/>
        <v>7</v>
      </c>
      <c r="P581">
        <f>IF(M581="","",VLOOKUP(B581,'Team Stats'!$B$3:$K$18,5,0))</f>
        <v>600</v>
      </c>
      <c r="Q581">
        <f t="shared" si="77"/>
        <v>1.1666666666666667E-2</v>
      </c>
      <c r="R581">
        <f ca="1">IF(M581="","",VLOOKUP(N581,Sim!$EF$46:$EG$61,2,0))</f>
        <v>9.74</v>
      </c>
      <c r="S581">
        <f ca="1">IF(M581="","",VLOOKUP(N581,'Team Stats'!$B$3:$K$18,10,0))</f>
        <v>71.268292682926827</v>
      </c>
      <c r="T581" s="84">
        <f t="shared" ca="1" si="78"/>
        <v>0.8314634146341463</v>
      </c>
      <c r="U581">
        <f t="shared" ca="1" si="79"/>
        <v>232</v>
      </c>
    </row>
    <row r="582" spans="1:21">
      <c r="A582" s="73" t="s">
        <v>906</v>
      </c>
      <c r="B582" s="73" t="s">
        <v>336</v>
      </c>
      <c r="C582" s="74">
        <v>52</v>
      </c>
      <c r="D582" s="74"/>
      <c r="E582" s="74">
        <v>1</v>
      </c>
      <c r="F582" s="74"/>
      <c r="G582" s="74">
        <v>6</v>
      </c>
      <c r="H582" s="74"/>
      <c r="I582" s="63">
        <v>7</v>
      </c>
      <c r="J582" t="b">
        <f t="shared" si="72"/>
        <v>0</v>
      </c>
      <c r="K582" t="b">
        <f t="shared" si="73"/>
        <v>0</v>
      </c>
      <c r="M582" t="str">
        <f t="shared" si="74"/>
        <v/>
      </c>
      <c r="N582" t="str">
        <f t="shared" si="75"/>
        <v/>
      </c>
      <c r="O582" t="str">
        <f t="shared" si="76"/>
        <v/>
      </c>
      <c r="P582" t="str">
        <f>IF(M582="","",VLOOKUP(B582,'Team Stats'!$B$3:$K$18,5,0))</f>
        <v/>
      </c>
      <c r="Q582" t="str">
        <f t="shared" si="77"/>
        <v/>
      </c>
      <c r="R582" t="str">
        <f>IF(M582="","",VLOOKUP(N582,Sim!$EF$46:$EG$61,2,0))</f>
        <v/>
      </c>
      <c r="S582" t="str">
        <f>IF(M582="","",VLOOKUP(N582,'Team Stats'!$B$3:$K$18,10,0))</f>
        <v/>
      </c>
      <c r="T582" s="84" t="str">
        <f t="shared" si="78"/>
        <v/>
      </c>
      <c r="U582" t="str">
        <f t="shared" si="79"/>
        <v/>
      </c>
    </row>
    <row r="583" spans="1:21">
      <c r="A583" s="73" t="s">
        <v>907</v>
      </c>
      <c r="B583" s="73" t="s">
        <v>213</v>
      </c>
      <c r="C583" s="74">
        <v>42</v>
      </c>
      <c r="D583" s="74"/>
      <c r="E583" s="74">
        <v>2</v>
      </c>
      <c r="F583" s="74"/>
      <c r="G583" s="74">
        <v>5</v>
      </c>
      <c r="H583" s="74"/>
      <c r="I583" s="63">
        <v>7</v>
      </c>
      <c r="J583" t="b">
        <f t="shared" si="72"/>
        <v>0</v>
      </c>
      <c r="K583" t="b">
        <f t="shared" si="73"/>
        <v>0</v>
      </c>
      <c r="M583" t="str">
        <f t="shared" si="74"/>
        <v/>
      </c>
      <c r="N583" t="str">
        <f t="shared" si="75"/>
        <v/>
      </c>
      <c r="O583" t="str">
        <f t="shared" si="76"/>
        <v/>
      </c>
      <c r="P583" t="str">
        <f>IF(M583="","",VLOOKUP(B583,'Team Stats'!$B$3:$K$18,5,0))</f>
        <v/>
      </c>
      <c r="Q583" t="str">
        <f t="shared" si="77"/>
        <v/>
      </c>
      <c r="R583" t="str">
        <f>IF(M583="","",VLOOKUP(N583,Sim!$EF$46:$EG$61,2,0))</f>
        <v/>
      </c>
      <c r="S583" t="str">
        <f>IF(M583="","",VLOOKUP(N583,'Team Stats'!$B$3:$K$18,10,0))</f>
        <v/>
      </c>
      <c r="T583" s="84" t="str">
        <f t="shared" si="78"/>
        <v/>
      </c>
      <c r="U583" t="str">
        <f t="shared" si="79"/>
        <v/>
      </c>
    </row>
    <row r="584" spans="1:21">
      <c r="A584" s="73" t="s">
        <v>908</v>
      </c>
      <c r="B584" s="73" t="s">
        <v>212</v>
      </c>
      <c r="C584" s="74">
        <v>63</v>
      </c>
      <c r="D584" s="74"/>
      <c r="E584" s="74">
        <v>2</v>
      </c>
      <c r="F584" s="74"/>
      <c r="G584" s="74">
        <v>5</v>
      </c>
      <c r="H584" s="74"/>
      <c r="I584" s="63">
        <v>7</v>
      </c>
      <c r="J584" t="b">
        <f t="shared" si="72"/>
        <v>1</v>
      </c>
      <c r="K584" t="b">
        <f t="shared" si="73"/>
        <v>1</v>
      </c>
      <c r="M584" t="str">
        <f t="shared" si="74"/>
        <v> Nate Prosser</v>
      </c>
      <c r="N584" t="str">
        <f t="shared" si="75"/>
        <v>MIN</v>
      </c>
      <c r="O584">
        <f t="shared" si="76"/>
        <v>7</v>
      </c>
      <c r="P584">
        <f>IF(M584="","",VLOOKUP(B584,'Team Stats'!$B$3:$K$18,5,0))</f>
        <v>608</v>
      </c>
      <c r="Q584">
        <f t="shared" si="77"/>
        <v>1.1513157894736841E-2</v>
      </c>
      <c r="R584">
        <f ca="1">IF(M584="","",VLOOKUP(N584,Sim!$EF$46:$EG$61,2,0))</f>
        <v>11.71</v>
      </c>
      <c r="S584">
        <f ca="1">IF(M584="","",VLOOKUP(N584,'Team Stats'!$B$3:$K$18,10,0))</f>
        <v>86.825365853658553</v>
      </c>
      <c r="T584" s="84">
        <f t="shared" ca="1" si="78"/>
        <v>0.99963414634146353</v>
      </c>
      <c r="U584">
        <f t="shared" ca="1" si="79"/>
        <v>223</v>
      </c>
    </row>
    <row r="585" spans="1:21">
      <c r="A585" s="73" t="s">
        <v>909</v>
      </c>
      <c r="B585" s="73" t="s">
        <v>340</v>
      </c>
      <c r="C585" s="74">
        <v>58</v>
      </c>
      <c r="D585" s="74"/>
      <c r="E585" s="74">
        <v>2</v>
      </c>
      <c r="F585" s="74"/>
      <c r="G585" s="74">
        <v>5</v>
      </c>
      <c r="H585" s="74"/>
      <c r="I585" s="63">
        <v>7</v>
      </c>
      <c r="J585" t="b">
        <f t="shared" si="72"/>
        <v>0</v>
      </c>
      <c r="K585" t="b">
        <f t="shared" si="73"/>
        <v>0</v>
      </c>
      <c r="M585" t="str">
        <f t="shared" si="74"/>
        <v/>
      </c>
      <c r="N585" t="str">
        <f t="shared" si="75"/>
        <v/>
      </c>
      <c r="O585" t="str">
        <f t="shared" si="76"/>
        <v/>
      </c>
      <c r="P585" t="str">
        <f>IF(M585="","",VLOOKUP(B585,'Team Stats'!$B$3:$K$18,5,0))</f>
        <v/>
      </c>
      <c r="Q585" t="str">
        <f t="shared" si="77"/>
        <v/>
      </c>
      <c r="R585" t="str">
        <f>IF(M585="","",VLOOKUP(N585,Sim!$EF$46:$EG$61,2,0))</f>
        <v/>
      </c>
      <c r="S585" t="str">
        <f>IF(M585="","",VLOOKUP(N585,'Team Stats'!$B$3:$K$18,10,0))</f>
        <v/>
      </c>
      <c r="T585" s="84" t="str">
        <f t="shared" si="78"/>
        <v/>
      </c>
      <c r="U585" t="str">
        <f t="shared" si="79"/>
        <v/>
      </c>
    </row>
    <row r="586" spans="1:21">
      <c r="A586" s="73" t="s">
        <v>910</v>
      </c>
      <c r="B586" s="73" t="s">
        <v>196</v>
      </c>
      <c r="C586" s="74">
        <v>52</v>
      </c>
      <c r="D586" s="74"/>
      <c r="E586" s="74">
        <v>2</v>
      </c>
      <c r="F586" s="74"/>
      <c r="G586" s="74">
        <v>5</v>
      </c>
      <c r="H586" s="74"/>
      <c r="I586" s="63">
        <v>7</v>
      </c>
      <c r="J586" t="b">
        <f t="shared" si="72"/>
        <v>1</v>
      </c>
      <c r="K586" t="b">
        <f t="shared" si="73"/>
        <v>1</v>
      </c>
      <c r="M586" t="str">
        <f t="shared" si="74"/>
        <v> Brian Strait</v>
      </c>
      <c r="N586" t="str">
        <f t="shared" si="75"/>
        <v>NYI</v>
      </c>
      <c r="O586">
        <f t="shared" si="76"/>
        <v>7</v>
      </c>
      <c r="P586">
        <f>IF(M586="","",VLOOKUP(B586,'Team Stats'!$B$3:$K$18,5,0))</f>
        <v>656</v>
      </c>
      <c r="Q586">
        <f t="shared" si="77"/>
        <v>1.0670731707317074E-2</v>
      </c>
      <c r="R586">
        <f ca="1">IF(M586="","",VLOOKUP(N586,Sim!$EF$46:$EG$61,2,0))</f>
        <v>13.18</v>
      </c>
      <c r="S586">
        <f ca="1">IF(M586="","",VLOOKUP(N586,'Team Stats'!$B$3:$K$18,10,0))</f>
        <v>105.44</v>
      </c>
      <c r="T586" s="84">
        <f t="shared" ca="1" si="78"/>
        <v>1.1251219512195123</v>
      </c>
      <c r="U586">
        <f t="shared" ca="1" si="79"/>
        <v>216</v>
      </c>
    </row>
    <row r="587" spans="1:21">
      <c r="A587" s="73" t="s">
        <v>911</v>
      </c>
      <c r="B587" s="73" t="s">
        <v>222</v>
      </c>
      <c r="C587" s="74">
        <v>73</v>
      </c>
      <c r="D587" s="74"/>
      <c r="E587" s="74">
        <v>4</v>
      </c>
      <c r="F587" s="74"/>
      <c r="G587" s="74">
        <v>3</v>
      </c>
      <c r="H587" s="74"/>
      <c r="I587" s="63">
        <v>7</v>
      </c>
      <c r="J587" t="b">
        <f t="shared" si="72"/>
        <v>0</v>
      </c>
      <c r="K587" t="b">
        <f t="shared" si="73"/>
        <v>0</v>
      </c>
      <c r="M587" t="str">
        <f t="shared" si="74"/>
        <v/>
      </c>
      <c r="N587" t="str">
        <f t="shared" si="75"/>
        <v/>
      </c>
      <c r="O587" t="str">
        <f t="shared" si="76"/>
        <v/>
      </c>
      <c r="P587" t="str">
        <f>IF(M587="","",VLOOKUP(B587,'Team Stats'!$B$3:$K$18,5,0))</f>
        <v/>
      </c>
      <c r="Q587" t="str">
        <f t="shared" si="77"/>
        <v/>
      </c>
      <c r="R587" t="str">
        <f>IF(M587="","",VLOOKUP(N587,Sim!$EF$46:$EG$61,2,0))</f>
        <v/>
      </c>
      <c r="S587" t="str">
        <f>IF(M587="","",VLOOKUP(N587,'Team Stats'!$B$3:$K$18,10,0))</f>
        <v/>
      </c>
      <c r="T587" s="84" t="str">
        <f t="shared" si="78"/>
        <v/>
      </c>
      <c r="U587" t="str">
        <f t="shared" si="79"/>
        <v/>
      </c>
    </row>
    <row r="588" spans="1:21">
      <c r="A588" s="73" t="s">
        <v>912</v>
      </c>
      <c r="B588" s="73" t="s">
        <v>217</v>
      </c>
      <c r="C588" s="74">
        <v>63</v>
      </c>
      <c r="D588" s="74"/>
      <c r="E588" s="74">
        <v>1</v>
      </c>
      <c r="F588" s="74"/>
      <c r="G588" s="74">
        <v>6</v>
      </c>
      <c r="H588" s="74"/>
      <c r="I588" s="63">
        <v>7</v>
      </c>
      <c r="J588" t="b">
        <f t="shared" si="72"/>
        <v>0</v>
      </c>
      <c r="K588" t="b">
        <f t="shared" si="73"/>
        <v>0</v>
      </c>
      <c r="M588" t="str">
        <f t="shared" si="74"/>
        <v/>
      </c>
      <c r="N588" t="str">
        <f t="shared" si="75"/>
        <v/>
      </c>
      <c r="O588" t="str">
        <f t="shared" si="76"/>
        <v/>
      </c>
      <c r="P588" t="str">
        <f>IF(M588="","",VLOOKUP(B588,'Team Stats'!$B$3:$K$18,5,0))</f>
        <v/>
      </c>
      <c r="Q588" t="str">
        <f t="shared" si="77"/>
        <v/>
      </c>
      <c r="R588" t="str">
        <f>IF(M588="","",VLOOKUP(N588,Sim!$EF$46:$EG$61,2,0))</f>
        <v/>
      </c>
      <c r="S588" t="str">
        <f>IF(M588="","",VLOOKUP(N588,'Team Stats'!$B$3:$K$18,10,0))</f>
        <v/>
      </c>
      <c r="T588" s="84" t="str">
        <f t="shared" si="78"/>
        <v/>
      </c>
      <c r="U588" t="str">
        <f t="shared" si="79"/>
        <v/>
      </c>
    </row>
    <row r="589" spans="1:21">
      <c r="A589" s="73" t="s">
        <v>913</v>
      </c>
      <c r="B589" s="73" t="s">
        <v>217</v>
      </c>
      <c r="C589" s="74">
        <v>41</v>
      </c>
      <c r="D589" s="74"/>
      <c r="E589" s="74">
        <v>2</v>
      </c>
      <c r="F589" s="74"/>
      <c r="G589" s="74">
        <v>5</v>
      </c>
      <c r="H589" s="74"/>
      <c r="I589" s="63">
        <v>7</v>
      </c>
      <c r="J589" t="b">
        <f t="shared" si="72"/>
        <v>0</v>
      </c>
      <c r="K589" t="b">
        <f t="shared" si="73"/>
        <v>0</v>
      </c>
      <c r="M589" t="str">
        <f t="shared" si="74"/>
        <v/>
      </c>
      <c r="N589" t="str">
        <f t="shared" si="75"/>
        <v/>
      </c>
      <c r="O589" t="str">
        <f t="shared" si="76"/>
        <v/>
      </c>
      <c r="P589" t="str">
        <f>IF(M589="","",VLOOKUP(B589,'Team Stats'!$B$3:$K$18,5,0))</f>
        <v/>
      </c>
      <c r="Q589" t="str">
        <f t="shared" si="77"/>
        <v/>
      </c>
      <c r="R589" t="str">
        <f>IF(M589="","",VLOOKUP(N589,Sim!$EF$46:$EG$61,2,0))</f>
        <v/>
      </c>
      <c r="S589" t="str">
        <f>IF(M589="","",VLOOKUP(N589,'Team Stats'!$B$3:$K$18,10,0))</f>
        <v/>
      </c>
      <c r="T589" s="84" t="str">
        <f t="shared" si="78"/>
        <v/>
      </c>
      <c r="U589" t="str">
        <f t="shared" si="79"/>
        <v/>
      </c>
    </row>
    <row r="590" spans="1:21">
      <c r="A590" s="73" t="s">
        <v>914</v>
      </c>
      <c r="B590" s="73" t="s">
        <v>216</v>
      </c>
      <c r="C590" s="74">
        <v>74</v>
      </c>
      <c r="D590" s="74"/>
      <c r="E590" s="74">
        <v>2</v>
      </c>
      <c r="F590" s="74"/>
      <c r="G590" s="74">
        <v>5</v>
      </c>
      <c r="H590" s="74"/>
      <c r="I590" s="63">
        <v>7</v>
      </c>
      <c r="J590" t="b">
        <f t="shared" si="72"/>
        <v>0</v>
      </c>
      <c r="K590" t="b">
        <f t="shared" si="73"/>
        <v>0</v>
      </c>
      <c r="M590" t="str">
        <f t="shared" si="74"/>
        <v/>
      </c>
      <c r="N590" t="str">
        <f t="shared" si="75"/>
        <v/>
      </c>
      <c r="O590" t="str">
        <f t="shared" si="76"/>
        <v/>
      </c>
      <c r="P590" t="str">
        <f>IF(M590="","",VLOOKUP(B590,'Team Stats'!$B$3:$K$18,5,0))</f>
        <v/>
      </c>
      <c r="Q590" t="str">
        <f t="shared" si="77"/>
        <v/>
      </c>
      <c r="R590" t="str">
        <f>IF(M590="","",VLOOKUP(N590,Sim!$EF$46:$EG$61,2,0))</f>
        <v/>
      </c>
      <c r="S590" t="str">
        <f>IF(M590="","",VLOOKUP(N590,'Team Stats'!$B$3:$K$18,10,0))</f>
        <v/>
      </c>
      <c r="T590" s="84" t="str">
        <f t="shared" si="78"/>
        <v/>
      </c>
      <c r="U590" t="str">
        <f t="shared" si="79"/>
        <v/>
      </c>
    </row>
    <row r="591" spans="1:21">
      <c r="A591" s="73" t="s">
        <v>915</v>
      </c>
      <c r="B591" s="73" t="s">
        <v>221</v>
      </c>
      <c r="C591" s="74">
        <v>64</v>
      </c>
      <c r="D591" s="74"/>
      <c r="E591" s="74">
        <v>1</v>
      </c>
      <c r="F591" s="74"/>
      <c r="G591" s="74">
        <v>6</v>
      </c>
      <c r="H591" s="74"/>
      <c r="I591" s="63">
        <v>7</v>
      </c>
      <c r="J591" t="b">
        <f t="shared" si="72"/>
        <v>0</v>
      </c>
      <c r="K591" t="b">
        <f t="shared" si="73"/>
        <v>0</v>
      </c>
      <c r="M591" t="str">
        <f t="shared" si="74"/>
        <v/>
      </c>
      <c r="N591" t="str">
        <f t="shared" si="75"/>
        <v/>
      </c>
      <c r="O591" t="str">
        <f t="shared" si="76"/>
        <v/>
      </c>
      <c r="P591" t="str">
        <f>IF(M591="","",VLOOKUP(B591,'Team Stats'!$B$3:$K$18,5,0))</f>
        <v/>
      </c>
      <c r="Q591" t="str">
        <f t="shared" si="77"/>
        <v/>
      </c>
      <c r="R591" t="str">
        <f>IF(M591="","",VLOOKUP(N591,Sim!$EF$46:$EG$61,2,0))</f>
        <v/>
      </c>
      <c r="S591" t="str">
        <f>IF(M591="","",VLOOKUP(N591,'Team Stats'!$B$3:$K$18,10,0))</f>
        <v/>
      </c>
      <c r="T591" s="84" t="str">
        <f t="shared" si="78"/>
        <v/>
      </c>
      <c r="U591" t="str">
        <f t="shared" si="79"/>
        <v/>
      </c>
    </row>
    <row r="592" spans="1:21">
      <c r="A592" s="73" t="s">
        <v>916</v>
      </c>
      <c r="B592" s="73" t="s">
        <v>222</v>
      </c>
      <c r="C592" s="74">
        <v>18</v>
      </c>
      <c r="D592" s="74"/>
      <c r="E592" s="74">
        <v>1</v>
      </c>
      <c r="F592" s="74"/>
      <c r="G592" s="74">
        <v>6</v>
      </c>
      <c r="H592" s="74"/>
      <c r="I592" s="63">
        <v>7</v>
      </c>
      <c r="J592" t="b">
        <f t="shared" si="72"/>
        <v>0</v>
      </c>
      <c r="K592" t="b">
        <f t="shared" si="73"/>
        <v>0</v>
      </c>
      <c r="M592" t="str">
        <f t="shared" si="74"/>
        <v/>
      </c>
      <c r="N592" t="str">
        <f t="shared" si="75"/>
        <v/>
      </c>
      <c r="O592" t="str">
        <f t="shared" si="76"/>
        <v/>
      </c>
      <c r="P592" t="str">
        <f>IF(M592="","",VLOOKUP(B592,'Team Stats'!$B$3:$K$18,5,0))</f>
        <v/>
      </c>
      <c r="Q592" t="str">
        <f t="shared" si="77"/>
        <v/>
      </c>
      <c r="R592" t="str">
        <f>IF(M592="","",VLOOKUP(N592,Sim!$EF$46:$EG$61,2,0))</f>
        <v/>
      </c>
      <c r="S592" t="str">
        <f>IF(M592="","",VLOOKUP(N592,'Team Stats'!$B$3:$K$18,10,0))</f>
        <v/>
      </c>
      <c r="T592" s="84" t="str">
        <f t="shared" si="78"/>
        <v/>
      </c>
      <c r="U592" t="str">
        <f t="shared" si="79"/>
        <v/>
      </c>
    </row>
    <row r="593" spans="1:21">
      <c r="A593" s="73" t="s">
        <v>917</v>
      </c>
      <c r="B593" s="73" t="s">
        <v>220</v>
      </c>
      <c r="C593" s="74">
        <v>17</v>
      </c>
      <c r="D593" s="74"/>
      <c r="E593" s="74">
        <v>2</v>
      </c>
      <c r="F593" s="74"/>
      <c r="G593" s="74">
        <v>5</v>
      </c>
      <c r="H593" s="74"/>
      <c r="I593" s="63">
        <v>7</v>
      </c>
      <c r="J593" t="b">
        <f t="shared" si="72"/>
        <v>0</v>
      </c>
      <c r="K593" t="b">
        <f t="shared" si="73"/>
        <v>0</v>
      </c>
      <c r="M593" t="str">
        <f t="shared" si="74"/>
        <v/>
      </c>
      <c r="N593" t="str">
        <f t="shared" si="75"/>
        <v/>
      </c>
      <c r="O593" t="str">
        <f t="shared" si="76"/>
        <v/>
      </c>
      <c r="P593" t="str">
        <f>IF(M593="","",VLOOKUP(B593,'Team Stats'!$B$3:$K$18,5,0))</f>
        <v/>
      </c>
      <c r="Q593" t="str">
        <f t="shared" si="77"/>
        <v/>
      </c>
      <c r="R593" t="str">
        <f>IF(M593="","",VLOOKUP(N593,Sim!$EF$46:$EG$61,2,0))</f>
        <v/>
      </c>
      <c r="S593" t="str">
        <f>IF(M593="","",VLOOKUP(N593,'Team Stats'!$B$3:$K$18,10,0))</f>
        <v/>
      </c>
      <c r="T593" s="84" t="str">
        <f t="shared" si="78"/>
        <v/>
      </c>
      <c r="U593" t="str">
        <f t="shared" si="79"/>
        <v/>
      </c>
    </row>
    <row r="594" spans="1:21">
      <c r="A594" s="73" t="s">
        <v>918</v>
      </c>
      <c r="B594" s="73" t="s">
        <v>213</v>
      </c>
      <c r="C594" s="74">
        <v>52</v>
      </c>
      <c r="D594" s="74"/>
      <c r="E594" s="74">
        <v>1</v>
      </c>
      <c r="F594" s="74"/>
      <c r="G594" s="74">
        <v>6</v>
      </c>
      <c r="H594" s="74"/>
      <c r="I594" s="63">
        <v>7</v>
      </c>
      <c r="J594" t="b">
        <f t="shared" si="72"/>
        <v>0</v>
      </c>
      <c r="K594" t="b">
        <f t="shared" si="73"/>
        <v>0</v>
      </c>
      <c r="M594" t="str">
        <f t="shared" si="74"/>
        <v/>
      </c>
      <c r="N594" t="str">
        <f t="shared" si="75"/>
        <v/>
      </c>
      <c r="O594" t="str">
        <f t="shared" si="76"/>
        <v/>
      </c>
      <c r="P594" t="str">
        <f>IF(M594="","",VLOOKUP(B594,'Team Stats'!$B$3:$K$18,5,0))</f>
        <v/>
      </c>
      <c r="Q594" t="str">
        <f t="shared" si="77"/>
        <v/>
      </c>
      <c r="R594" t="str">
        <f>IF(M594="","",VLOOKUP(N594,Sim!$EF$46:$EG$61,2,0))</f>
        <v/>
      </c>
      <c r="S594" t="str">
        <f>IF(M594="","",VLOOKUP(N594,'Team Stats'!$B$3:$K$18,10,0))</f>
        <v/>
      </c>
      <c r="T594" s="84" t="str">
        <f t="shared" si="78"/>
        <v/>
      </c>
      <c r="U594" t="str">
        <f t="shared" si="79"/>
        <v/>
      </c>
    </row>
    <row r="595" spans="1:21">
      <c r="A595" s="73" t="s">
        <v>919</v>
      </c>
      <c r="B595" s="73" t="s">
        <v>365</v>
      </c>
      <c r="C595" s="74">
        <v>46</v>
      </c>
      <c r="D595" s="74"/>
      <c r="E595" s="74">
        <v>0</v>
      </c>
      <c r="F595" s="74"/>
      <c r="G595" s="74">
        <v>7</v>
      </c>
      <c r="H595" s="74"/>
      <c r="I595" s="63">
        <v>7</v>
      </c>
      <c r="J595" t="b">
        <f t="shared" si="72"/>
        <v>0</v>
      </c>
      <c r="K595" t="b">
        <f t="shared" si="73"/>
        <v>0</v>
      </c>
      <c r="M595" t="str">
        <f t="shared" si="74"/>
        <v/>
      </c>
      <c r="N595" t="str">
        <f t="shared" si="75"/>
        <v/>
      </c>
      <c r="O595" t="str">
        <f t="shared" si="76"/>
        <v/>
      </c>
      <c r="P595" t="str">
        <f>IF(M595="","",VLOOKUP(B595,'Team Stats'!$B$3:$K$18,5,0))</f>
        <v/>
      </c>
      <c r="Q595" t="str">
        <f t="shared" si="77"/>
        <v/>
      </c>
      <c r="R595" t="str">
        <f>IF(M595="","",VLOOKUP(N595,Sim!$EF$46:$EG$61,2,0))</f>
        <v/>
      </c>
      <c r="S595" t="str">
        <f>IF(M595="","",VLOOKUP(N595,'Team Stats'!$B$3:$K$18,10,0))</f>
        <v/>
      </c>
      <c r="T595" s="84" t="str">
        <f t="shared" si="78"/>
        <v/>
      </c>
      <c r="U595" t="str">
        <f t="shared" si="79"/>
        <v/>
      </c>
    </row>
    <row r="596" spans="1:21">
      <c r="A596" s="73" t="s">
        <v>920</v>
      </c>
      <c r="B596" s="73" t="s">
        <v>206</v>
      </c>
      <c r="C596" s="74">
        <v>18</v>
      </c>
      <c r="D596" s="74"/>
      <c r="E596" s="74">
        <v>2</v>
      </c>
      <c r="F596" s="74"/>
      <c r="G596" s="74">
        <v>4</v>
      </c>
      <c r="H596" s="74"/>
      <c r="I596" s="63">
        <v>6</v>
      </c>
      <c r="J596" t="b">
        <f t="shared" si="72"/>
        <v>1</v>
      </c>
      <c r="K596" t="b">
        <f t="shared" si="73"/>
        <v>1</v>
      </c>
      <c r="M596" t="str">
        <f t="shared" si="74"/>
        <v> Sven Baertschi</v>
      </c>
      <c r="N596" t="str">
        <f t="shared" si="75"/>
        <v>VAN</v>
      </c>
      <c r="O596">
        <f t="shared" si="76"/>
        <v>6</v>
      </c>
      <c r="P596">
        <f>IF(M596="","",VLOOKUP(B596,'Team Stats'!$B$3:$K$18,5,0))</f>
        <v>642</v>
      </c>
      <c r="Q596">
        <f t="shared" si="77"/>
        <v>9.3457943925233638E-3</v>
      </c>
      <c r="R596">
        <f ca="1">IF(M596="","",VLOOKUP(N596,Sim!$EF$46:$EG$61,2,0))</f>
        <v>10.35</v>
      </c>
      <c r="S596">
        <f ca="1">IF(M596="","",VLOOKUP(N596,'Team Stats'!$B$3:$K$18,10,0))</f>
        <v>81.032926829268291</v>
      </c>
      <c r="T596" s="84">
        <f t="shared" ca="1" si="78"/>
        <v>0.7573170731707316</v>
      </c>
      <c r="U596">
        <f t="shared" ca="1" si="79"/>
        <v>234</v>
      </c>
    </row>
    <row r="597" spans="1:21">
      <c r="A597" s="73" t="s">
        <v>921</v>
      </c>
      <c r="B597" s="73" t="s">
        <v>215</v>
      </c>
      <c r="C597" s="74">
        <v>9</v>
      </c>
      <c r="D597" s="74"/>
      <c r="E597" s="74">
        <v>1</v>
      </c>
      <c r="F597" s="74"/>
      <c r="G597" s="74">
        <v>5</v>
      </c>
      <c r="H597" s="74"/>
      <c r="I597" s="63">
        <v>6</v>
      </c>
      <c r="J597" t="b">
        <f t="shared" si="72"/>
        <v>0</v>
      </c>
      <c r="K597" t="b">
        <f t="shared" si="73"/>
        <v>0</v>
      </c>
      <c r="M597" t="str">
        <f t="shared" si="74"/>
        <v/>
      </c>
      <c r="N597" t="str">
        <f t="shared" si="75"/>
        <v/>
      </c>
      <c r="O597" t="str">
        <f t="shared" si="76"/>
        <v/>
      </c>
      <c r="P597" t="str">
        <f>IF(M597="","",VLOOKUP(B597,'Team Stats'!$B$3:$K$18,5,0))</f>
        <v/>
      </c>
      <c r="Q597" t="str">
        <f t="shared" si="77"/>
        <v/>
      </c>
      <c r="R597" t="str">
        <f>IF(M597="","",VLOOKUP(N597,Sim!$EF$46:$EG$61,2,0))</f>
        <v/>
      </c>
      <c r="S597" t="str">
        <f>IF(M597="","",VLOOKUP(N597,'Team Stats'!$B$3:$K$18,10,0))</f>
        <v/>
      </c>
      <c r="T597" s="84" t="str">
        <f t="shared" si="78"/>
        <v/>
      </c>
      <c r="U597" t="str">
        <f t="shared" si="79"/>
        <v/>
      </c>
    </row>
    <row r="598" spans="1:21">
      <c r="A598" s="73" t="s">
        <v>922</v>
      </c>
      <c r="B598" s="73" t="s">
        <v>345</v>
      </c>
      <c r="C598" s="74">
        <v>33</v>
      </c>
      <c r="D598" s="74"/>
      <c r="E598" s="74">
        <v>4</v>
      </c>
      <c r="F598" s="74"/>
      <c r="G598" s="74">
        <v>2</v>
      </c>
      <c r="H598" s="74"/>
      <c r="I598" s="63">
        <v>6</v>
      </c>
      <c r="J598" t="b">
        <f t="shared" si="72"/>
        <v>0</v>
      </c>
      <c r="K598" t="b">
        <f t="shared" si="73"/>
        <v>0</v>
      </c>
      <c r="M598" t="str">
        <f t="shared" si="74"/>
        <v/>
      </c>
      <c r="N598" t="str">
        <f t="shared" si="75"/>
        <v/>
      </c>
      <c r="O598" t="str">
        <f t="shared" si="76"/>
        <v/>
      </c>
      <c r="P598" t="str">
        <f>IF(M598="","",VLOOKUP(B598,'Team Stats'!$B$3:$K$18,5,0))</f>
        <v/>
      </c>
      <c r="Q598" t="str">
        <f t="shared" si="77"/>
        <v/>
      </c>
      <c r="R598" t="str">
        <f>IF(M598="","",VLOOKUP(N598,Sim!$EF$46:$EG$61,2,0))</f>
        <v/>
      </c>
      <c r="S598" t="str">
        <f>IF(M598="","",VLOOKUP(N598,'Team Stats'!$B$3:$K$18,10,0))</f>
        <v/>
      </c>
      <c r="T598" s="84" t="str">
        <f t="shared" si="78"/>
        <v/>
      </c>
      <c r="U598" t="str">
        <f t="shared" si="79"/>
        <v/>
      </c>
    </row>
    <row r="599" spans="1:21">
      <c r="A599" s="73" t="s">
        <v>923</v>
      </c>
      <c r="B599" s="73" t="s">
        <v>221</v>
      </c>
      <c r="C599" s="74">
        <v>25</v>
      </c>
      <c r="D599" s="74"/>
      <c r="E599" s="74">
        <v>3</v>
      </c>
      <c r="F599" s="74"/>
      <c r="G599" s="74">
        <v>3</v>
      </c>
      <c r="H599" s="74"/>
      <c r="I599" s="63">
        <v>6</v>
      </c>
      <c r="J599" t="b">
        <f t="shared" si="72"/>
        <v>0</v>
      </c>
      <c r="K599" t="b">
        <f t="shared" si="73"/>
        <v>0</v>
      </c>
      <c r="M599" t="str">
        <f t="shared" si="74"/>
        <v/>
      </c>
      <c r="N599" t="str">
        <f t="shared" si="75"/>
        <v/>
      </c>
      <c r="O599" t="str">
        <f t="shared" si="76"/>
        <v/>
      </c>
      <c r="P599" t="str">
        <f>IF(M599="","",VLOOKUP(B599,'Team Stats'!$B$3:$K$18,5,0))</f>
        <v/>
      </c>
      <c r="Q599" t="str">
        <f t="shared" si="77"/>
        <v/>
      </c>
      <c r="R599" t="str">
        <f>IF(M599="","",VLOOKUP(N599,Sim!$EF$46:$EG$61,2,0))</f>
        <v/>
      </c>
      <c r="S599" t="str">
        <f>IF(M599="","",VLOOKUP(N599,'Team Stats'!$B$3:$K$18,10,0))</f>
        <v/>
      </c>
      <c r="T599" s="84" t="str">
        <f t="shared" si="78"/>
        <v/>
      </c>
      <c r="U599" t="str">
        <f t="shared" si="79"/>
        <v/>
      </c>
    </row>
    <row r="600" spans="1:21">
      <c r="A600" s="73" t="s">
        <v>924</v>
      </c>
      <c r="B600" s="73" t="s">
        <v>199</v>
      </c>
      <c r="C600" s="74">
        <v>31</v>
      </c>
      <c r="D600" s="74"/>
      <c r="E600" s="74">
        <v>2</v>
      </c>
      <c r="F600" s="74"/>
      <c r="G600" s="74">
        <v>4</v>
      </c>
      <c r="H600" s="74"/>
      <c r="I600" s="63">
        <v>6</v>
      </c>
      <c r="J600" t="b">
        <f t="shared" si="72"/>
        <v>0</v>
      </c>
      <c r="K600" t="b">
        <f t="shared" si="73"/>
        <v>0</v>
      </c>
      <c r="M600" t="str">
        <f t="shared" si="74"/>
        <v/>
      </c>
      <c r="N600" t="str">
        <f t="shared" si="75"/>
        <v/>
      </c>
      <c r="O600" t="str">
        <f t="shared" si="76"/>
        <v/>
      </c>
      <c r="P600" t="str">
        <f>IF(M600="","",VLOOKUP(B600,'Team Stats'!$B$3:$K$18,5,0))</f>
        <v/>
      </c>
      <c r="Q600" t="str">
        <f t="shared" si="77"/>
        <v/>
      </c>
      <c r="R600" t="str">
        <f>IF(M600="","",VLOOKUP(N600,Sim!$EF$46:$EG$61,2,0))</f>
        <v/>
      </c>
      <c r="S600" t="str">
        <f>IF(M600="","",VLOOKUP(N600,'Team Stats'!$B$3:$K$18,10,0))</f>
        <v/>
      </c>
      <c r="T600" s="84" t="str">
        <f t="shared" si="78"/>
        <v/>
      </c>
      <c r="U600" t="str">
        <f t="shared" si="79"/>
        <v/>
      </c>
    </row>
    <row r="601" spans="1:21">
      <c r="A601" s="73" t="s">
        <v>925</v>
      </c>
      <c r="B601" s="73" t="s">
        <v>210</v>
      </c>
      <c r="C601" s="74">
        <v>42</v>
      </c>
      <c r="D601" s="74"/>
      <c r="E601" s="74">
        <v>2</v>
      </c>
      <c r="F601" s="74"/>
      <c r="G601" s="74">
        <v>4</v>
      </c>
      <c r="H601" s="74"/>
      <c r="I601" s="63">
        <v>6</v>
      </c>
      <c r="J601" t="b">
        <f t="shared" si="72"/>
        <v>1</v>
      </c>
      <c r="K601" t="b">
        <f t="shared" si="73"/>
        <v>1</v>
      </c>
      <c r="M601" t="str">
        <f t="shared" si="74"/>
        <v> Paul Postma</v>
      </c>
      <c r="N601" t="str">
        <f t="shared" si="75"/>
        <v>WPG</v>
      </c>
      <c r="O601">
        <f t="shared" si="76"/>
        <v>6</v>
      </c>
      <c r="P601">
        <f>IF(M601="","",VLOOKUP(B601,'Team Stats'!$B$3:$K$18,5,0))</f>
        <v>594</v>
      </c>
      <c r="Q601">
        <f t="shared" si="77"/>
        <v>1.0101010101010102E-2</v>
      </c>
      <c r="R601">
        <f ca="1">IF(M601="","",VLOOKUP(N601,Sim!$EF$46:$EG$61,2,0))</f>
        <v>8.94</v>
      </c>
      <c r="S601">
        <f ca="1">IF(M601="","",VLOOKUP(N601,'Team Stats'!$B$3:$K$18,10,0))</f>
        <v>64.760487804878053</v>
      </c>
      <c r="T601" s="84">
        <f t="shared" ca="1" si="78"/>
        <v>0.65414634146341477</v>
      </c>
      <c r="U601">
        <f t="shared" ca="1" si="79"/>
        <v>236</v>
      </c>
    </row>
    <row r="602" spans="1:21">
      <c r="A602" s="73" t="s">
        <v>926</v>
      </c>
      <c r="B602" s="73" t="s">
        <v>198</v>
      </c>
      <c r="C602" s="74">
        <v>24</v>
      </c>
      <c r="D602" s="74"/>
      <c r="E602" s="74">
        <v>1</v>
      </c>
      <c r="F602" s="74"/>
      <c r="G602" s="74">
        <v>5</v>
      </c>
      <c r="H602" s="74"/>
      <c r="I602" s="63">
        <v>6</v>
      </c>
      <c r="J602" t="b">
        <f t="shared" si="72"/>
        <v>1</v>
      </c>
      <c r="K602" t="b">
        <f t="shared" si="73"/>
        <v>1</v>
      </c>
      <c r="M602" t="str">
        <f t="shared" si="74"/>
        <v> Andrew Ebbett</v>
      </c>
      <c r="N602" t="str">
        <f t="shared" si="75"/>
        <v>PIT</v>
      </c>
      <c r="O602">
        <f t="shared" si="76"/>
        <v>6</v>
      </c>
      <c r="P602">
        <f>IF(M602="","",VLOOKUP(B602,'Team Stats'!$B$3:$K$18,5,0))</f>
        <v>600</v>
      </c>
      <c r="Q602">
        <f t="shared" si="77"/>
        <v>0.01</v>
      </c>
      <c r="R602">
        <f ca="1">IF(M602="","",VLOOKUP(N602,Sim!$EF$46:$EG$61,2,0))</f>
        <v>9.74</v>
      </c>
      <c r="S602">
        <f ca="1">IF(M602="","",VLOOKUP(N602,'Team Stats'!$B$3:$K$18,10,0))</f>
        <v>71.268292682926827</v>
      </c>
      <c r="T602" s="84">
        <f t="shared" ca="1" si="78"/>
        <v>0.71268292682926826</v>
      </c>
      <c r="U602">
        <f t="shared" ca="1" si="79"/>
        <v>235</v>
      </c>
    </row>
    <row r="603" spans="1:21">
      <c r="A603" s="73" t="s">
        <v>927</v>
      </c>
      <c r="B603" s="73" t="s">
        <v>203</v>
      </c>
      <c r="C603" s="74">
        <v>66</v>
      </c>
      <c r="D603" s="74"/>
      <c r="E603" s="74">
        <v>1</v>
      </c>
      <c r="F603" s="74"/>
      <c r="G603" s="74">
        <v>5</v>
      </c>
      <c r="H603" s="74"/>
      <c r="I603" s="63">
        <v>6</v>
      </c>
      <c r="J603" t="b">
        <f t="shared" si="72"/>
        <v>1</v>
      </c>
      <c r="K603" t="b">
        <f t="shared" si="73"/>
        <v>1</v>
      </c>
      <c r="M603" t="str">
        <f t="shared" si="74"/>
        <v> Tanner Glass</v>
      </c>
      <c r="N603" t="str">
        <f t="shared" si="75"/>
        <v>NYR</v>
      </c>
      <c r="O603">
        <f t="shared" si="76"/>
        <v>6</v>
      </c>
      <c r="P603">
        <f>IF(M603="","",VLOOKUP(B603,'Team Stats'!$B$3:$K$18,5,0))</f>
        <v>659</v>
      </c>
      <c r="Q603">
        <f t="shared" si="77"/>
        <v>9.104704097116844E-3</v>
      </c>
      <c r="R603">
        <f ca="1">IF(M603="","",VLOOKUP(N603,Sim!$EF$46:$EG$61,2,0))</f>
        <v>8.7200000000000006</v>
      </c>
      <c r="S603">
        <f ca="1">IF(M603="","",VLOOKUP(N603,'Team Stats'!$B$3:$K$18,10,0))</f>
        <v>70.079024390243916</v>
      </c>
      <c r="T603" s="84">
        <f t="shared" ca="1" si="78"/>
        <v>0.638048780487805</v>
      </c>
      <c r="U603">
        <f t="shared" ca="1" si="79"/>
        <v>237</v>
      </c>
    </row>
    <row r="604" spans="1:21">
      <c r="A604" s="73" t="s">
        <v>928</v>
      </c>
      <c r="B604" s="73" t="s">
        <v>222</v>
      </c>
      <c r="C604" s="74">
        <v>58</v>
      </c>
      <c r="D604" s="74"/>
      <c r="E604" s="74">
        <v>3</v>
      </c>
      <c r="F604" s="74"/>
      <c r="G604" s="74">
        <v>3</v>
      </c>
      <c r="H604" s="74"/>
      <c r="I604" s="63">
        <v>6</v>
      </c>
      <c r="J604" t="b">
        <f t="shared" si="72"/>
        <v>0</v>
      </c>
      <c r="K604" t="b">
        <f t="shared" si="73"/>
        <v>0</v>
      </c>
      <c r="M604" t="str">
        <f t="shared" si="74"/>
        <v/>
      </c>
      <c r="N604" t="str">
        <f t="shared" si="75"/>
        <v/>
      </c>
      <c r="O604" t="str">
        <f t="shared" si="76"/>
        <v/>
      </c>
      <c r="P604" t="str">
        <f>IF(M604="","",VLOOKUP(B604,'Team Stats'!$B$3:$K$18,5,0))</f>
        <v/>
      </c>
      <c r="Q604" t="str">
        <f t="shared" si="77"/>
        <v/>
      </c>
      <c r="R604" t="str">
        <f>IF(M604="","",VLOOKUP(N604,Sim!$EF$46:$EG$61,2,0))</f>
        <v/>
      </c>
      <c r="S604" t="str">
        <f>IF(M604="","",VLOOKUP(N604,'Team Stats'!$B$3:$K$18,10,0))</f>
        <v/>
      </c>
      <c r="T604" s="84" t="str">
        <f t="shared" si="78"/>
        <v/>
      </c>
      <c r="U604" t="str">
        <f t="shared" si="79"/>
        <v/>
      </c>
    </row>
    <row r="605" spans="1:21">
      <c r="A605" s="73" t="s">
        <v>929</v>
      </c>
      <c r="B605" s="73" t="s">
        <v>221</v>
      </c>
      <c r="C605" s="74">
        <v>46</v>
      </c>
      <c r="D605" s="74"/>
      <c r="E605" s="74">
        <v>0</v>
      </c>
      <c r="F605" s="74"/>
      <c r="G605" s="74">
        <v>6</v>
      </c>
      <c r="H605" s="74"/>
      <c r="I605" s="63">
        <v>6</v>
      </c>
      <c r="J605" t="b">
        <f t="shared" si="72"/>
        <v>0</v>
      </c>
      <c r="K605" t="b">
        <f t="shared" si="73"/>
        <v>0</v>
      </c>
      <c r="M605" t="str">
        <f t="shared" si="74"/>
        <v/>
      </c>
      <c r="N605" t="str">
        <f t="shared" si="75"/>
        <v/>
      </c>
      <c r="O605" t="str">
        <f t="shared" si="76"/>
        <v/>
      </c>
      <c r="P605" t="str">
        <f>IF(M605="","",VLOOKUP(B605,'Team Stats'!$B$3:$K$18,5,0))</f>
        <v/>
      </c>
      <c r="Q605" t="str">
        <f t="shared" si="77"/>
        <v/>
      </c>
      <c r="R605" t="str">
        <f>IF(M605="","",VLOOKUP(N605,Sim!$EF$46:$EG$61,2,0))</f>
        <v/>
      </c>
      <c r="S605" t="str">
        <f>IF(M605="","",VLOOKUP(N605,'Team Stats'!$B$3:$K$18,10,0))</f>
        <v/>
      </c>
      <c r="T605" s="84" t="str">
        <f t="shared" si="78"/>
        <v/>
      </c>
      <c r="U605" t="str">
        <f t="shared" si="79"/>
        <v/>
      </c>
    </row>
    <row r="606" spans="1:21">
      <c r="A606" s="73" t="s">
        <v>930</v>
      </c>
      <c r="B606" s="73" t="s">
        <v>218</v>
      </c>
      <c r="C606" s="74">
        <v>31</v>
      </c>
      <c r="D606" s="74"/>
      <c r="E606" s="74">
        <v>3</v>
      </c>
      <c r="F606" s="74"/>
      <c r="G606" s="74">
        <v>3</v>
      </c>
      <c r="H606" s="74"/>
      <c r="I606" s="63">
        <v>6</v>
      </c>
      <c r="J606" t="b">
        <f t="shared" si="72"/>
        <v>0</v>
      </c>
      <c r="K606" t="b">
        <f t="shared" si="73"/>
        <v>0</v>
      </c>
      <c r="M606" t="str">
        <f t="shared" si="74"/>
        <v/>
      </c>
      <c r="N606" t="str">
        <f t="shared" si="75"/>
        <v/>
      </c>
      <c r="O606" t="str">
        <f t="shared" si="76"/>
        <v/>
      </c>
      <c r="P606" t="str">
        <f>IF(M606="","",VLOOKUP(B606,'Team Stats'!$B$3:$K$18,5,0))</f>
        <v/>
      </c>
      <c r="Q606" t="str">
        <f t="shared" si="77"/>
        <v/>
      </c>
      <c r="R606" t="str">
        <f>IF(M606="","",VLOOKUP(N606,Sim!$EF$46:$EG$61,2,0))</f>
        <v/>
      </c>
      <c r="S606" t="str">
        <f>IF(M606="","",VLOOKUP(N606,'Team Stats'!$B$3:$K$18,10,0))</f>
        <v/>
      </c>
      <c r="T606" s="84" t="str">
        <f t="shared" si="78"/>
        <v/>
      </c>
      <c r="U606" t="str">
        <f t="shared" si="79"/>
        <v/>
      </c>
    </row>
    <row r="607" spans="1:21">
      <c r="A607" s="73" t="s">
        <v>931</v>
      </c>
      <c r="B607" s="73" t="s">
        <v>216</v>
      </c>
      <c r="C607" s="74">
        <v>19</v>
      </c>
      <c r="D607" s="74"/>
      <c r="E607" s="74">
        <v>4</v>
      </c>
      <c r="F607" s="74"/>
      <c r="G607" s="74">
        <v>2</v>
      </c>
      <c r="H607" s="74"/>
      <c r="I607" s="63">
        <v>6</v>
      </c>
      <c r="J607" t="b">
        <f t="shared" si="72"/>
        <v>0</v>
      </c>
      <c r="K607" t="b">
        <f t="shared" si="73"/>
        <v>0</v>
      </c>
      <c r="M607" t="str">
        <f t="shared" si="74"/>
        <v/>
      </c>
      <c r="N607" t="str">
        <f t="shared" si="75"/>
        <v/>
      </c>
      <c r="O607" t="str">
        <f t="shared" si="76"/>
        <v/>
      </c>
      <c r="P607" t="str">
        <f>IF(M607="","",VLOOKUP(B607,'Team Stats'!$B$3:$K$18,5,0))</f>
        <v/>
      </c>
      <c r="Q607" t="str">
        <f t="shared" si="77"/>
        <v/>
      </c>
      <c r="R607" t="str">
        <f>IF(M607="","",VLOOKUP(N607,Sim!$EF$46:$EG$61,2,0))</f>
        <v/>
      </c>
      <c r="S607" t="str">
        <f>IF(M607="","",VLOOKUP(N607,'Team Stats'!$B$3:$K$18,10,0))</f>
        <v/>
      </c>
      <c r="T607" s="84" t="str">
        <f t="shared" si="78"/>
        <v/>
      </c>
      <c r="U607" t="str">
        <f t="shared" si="79"/>
        <v/>
      </c>
    </row>
    <row r="608" spans="1:21">
      <c r="A608" s="73" t="s">
        <v>932</v>
      </c>
      <c r="B608" s="73" t="s">
        <v>199</v>
      </c>
      <c r="C608" s="74">
        <v>58</v>
      </c>
      <c r="D608" s="74"/>
      <c r="E608" s="74">
        <v>1</v>
      </c>
      <c r="F608" s="74"/>
      <c r="G608" s="74">
        <v>5</v>
      </c>
      <c r="H608" s="74"/>
      <c r="I608" s="63">
        <v>6</v>
      </c>
      <c r="J608" t="b">
        <f t="shared" si="72"/>
        <v>0</v>
      </c>
      <c r="K608" t="b">
        <f t="shared" si="73"/>
        <v>0</v>
      </c>
      <c r="M608" t="str">
        <f t="shared" si="74"/>
        <v/>
      </c>
      <c r="N608" t="str">
        <f t="shared" si="75"/>
        <v/>
      </c>
      <c r="O608" t="str">
        <f t="shared" si="76"/>
        <v/>
      </c>
      <c r="P608" t="str">
        <f>IF(M608="","",VLOOKUP(B608,'Team Stats'!$B$3:$K$18,5,0))</f>
        <v/>
      </c>
      <c r="Q608" t="str">
        <f t="shared" si="77"/>
        <v/>
      </c>
      <c r="R608" t="str">
        <f>IF(M608="","",VLOOKUP(N608,Sim!$EF$46:$EG$61,2,0))</f>
        <v/>
      </c>
      <c r="S608" t="str">
        <f>IF(M608="","",VLOOKUP(N608,'Team Stats'!$B$3:$K$18,10,0))</f>
        <v/>
      </c>
      <c r="T608" s="84" t="str">
        <f t="shared" si="78"/>
        <v/>
      </c>
      <c r="U608" t="str">
        <f t="shared" si="79"/>
        <v/>
      </c>
    </row>
    <row r="609" spans="1:21">
      <c r="A609" s="73" t="s">
        <v>933</v>
      </c>
      <c r="B609" s="73" t="s">
        <v>218</v>
      </c>
      <c r="C609" s="74">
        <v>38</v>
      </c>
      <c r="D609" s="74"/>
      <c r="E609" s="74">
        <v>2</v>
      </c>
      <c r="F609" s="74"/>
      <c r="G609" s="74">
        <v>4</v>
      </c>
      <c r="H609" s="74"/>
      <c r="I609" s="63">
        <v>6</v>
      </c>
      <c r="J609" t="b">
        <f t="shared" si="72"/>
        <v>0</v>
      </c>
      <c r="K609" t="b">
        <f t="shared" si="73"/>
        <v>0</v>
      </c>
      <c r="M609" t="str">
        <f t="shared" si="74"/>
        <v/>
      </c>
      <c r="N609" t="str">
        <f t="shared" si="75"/>
        <v/>
      </c>
      <c r="O609" t="str">
        <f t="shared" si="76"/>
        <v/>
      </c>
      <c r="P609" t="str">
        <f>IF(M609="","",VLOOKUP(B609,'Team Stats'!$B$3:$K$18,5,0))</f>
        <v/>
      </c>
      <c r="Q609" t="str">
        <f t="shared" si="77"/>
        <v/>
      </c>
      <c r="R609" t="str">
        <f>IF(M609="","",VLOOKUP(N609,Sim!$EF$46:$EG$61,2,0))</f>
        <v/>
      </c>
      <c r="S609" t="str">
        <f>IF(M609="","",VLOOKUP(N609,'Team Stats'!$B$3:$K$18,10,0))</f>
        <v/>
      </c>
      <c r="T609" s="84" t="str">
        <f t="shared" si="78"/>
        <v/>
      </c>
      <c r="U609" t="str">
        <f t="shared" si="79"/>
        <v/>
      </c>
    </row>
    <row r="610" spans="1:21">
      <c r="A610" s="73" t="s">
        <v>934</v>
      </c>
      <c r="B610" s="73" t="s">
        <v>205</v>
      </c>
      <c r="C610" s="74">
        <v>34</v>
      </c>
      <c r="D610" s="74"/>
      <c r="E610" s="74">
        <v>0</v>
      </c>
      <c r="F610" s="74"/>
      <c r="G610" s="74">
        <v>6</v>
      </c>
      <c r="H610" s="74"/>
      <c r="I610" s="63">
        <v>6</v>
      </c>
      <c r="J610" t="b">
        <f t="shared" si="72"/>
        <v>1</v>
      </c>
      <c r="K610" t="b">
        <f t="shared" si="73"/>
        <v>1</v>
      </c>
      <c r="M610" t="str">
        <f t="shared" si="74"/>
        <v> Korbinian Holzer</v>
      </c>
      <c r="N610" t="str">
        <f t="shared" si="75"/>
        <v>ANA</v>
      </c>
      <c r="O610">
        <f t="shared" si="76"/>
        <v>6</v>
      </c>
      <c r="P610">
        <f>IF(M610="","",VLOOKUP(B610,'Team Stats'!$B$3:$K$18,5,0))</f>
        <v>613</v>
      </c>
      <c r="Q610">
        <f t="shared" si="77"/>
        <v>9.7879282218597055E-3</v>
      </c>
      <c r="R610">
        <f ca="1">IF(M610="","",VLOOKUP(N610,Sim!$EF$46:$EG$61,2,0))</f>
        <v>14.85</v>
      </c>
      <c r="S610">
        <f ca="1">IF(M610="","",VLOOKUP(N610,'Team Stats'!$B$3:$K$18,10,0))</f>
        <v>111.01280487804878</v>
      </c>
      <c r="T610" s="84">
        <f t="shared" ca="1" si="78"/>
        <v>1.0865853658536584</v>
      </c>
      <c r="U610">
        <f t="shared" ca="1" si="79"/>
        <v>219</v>
      </c>
    </row>
    <row r="611" spans="1:21">
      <c r="A611" s="73" t="s">
        <v>935</v>
      </c>
      <c r="B611" s="73" t="s">
        <v>325</v>
      </c>
      <c r="C611" s="74">
        <v>53</v>
      </c>
      <c r="D611" s="74"/>
      <c r="E611" s="74">
        <v>0</v>
      </c>
      <c r="F611" s="74"/>
      <c r="G611" s="74">
        <v>6</v>
      </c>
      <c r="H611" s="74"/>
      <c r="I611" s="63">
        <v>6</v>
      </c>
      <c r="J611" t="b">
        <f t="shared" si="72"/>
        <v>0</v>
      </c>
      <c r="K611" t="b">
        <f t="shared" si="73"/>
        <v>0</v>
      </c>
      <c r="M611" t="str">
        <f t="shared" si="74"/>
        <v/>
      </c>
      <c r="N611" t="str">
        <f t="shared" si="75"/>
        <v/>
      </c>
      <c r="O611" t="str">
        <f t="shared" si="76"/>
        <v/>
      </c>
      <c r="P611" t="str">
        <f>IF(M611="","",VLOOKUP(B611,'Team Stats'!$B$3:$K$18,5,0))</f>
        <v/>
      </c>
      <c r="Q611" t="str">
        <f t="shared" si="77"/>
        <v/>
      </c>
      <c r="R611" t="str">
        <f>IF(M611="","",VLOOKUP(N611,Sim!$EF$46:$EG$61,2,0))</f>
        <v/>
      </c>
      <c r="S611" t="str">
        <f>IF(M611="","",VLOOKUP(N611,'Team Stats'!$B$3:$K$18,10,0))</f>
        <v/>
      </c>
      <c r="T611" s="84" t="str">
        <f t="shared" si="78"/>
        <v/>
      </c>
      <c r="U611" t="str">
        <f t="shared" si="79"/>
        <v/>
      </c>
    </row>
    <row r="612" spans="1:21">
      <c r="A612" s="73" t="s">
        <v>936</v>
      </c>
      <c r="B612" s="73" t="s">
        <v>331</v>
      </c>
      <c r="C612" s="74">
        <v>43</v>
      </c>
      <c r="D612" s="74"/>
      <c r="E612" s="74">
        <v>2</v>
      </c>
      <c r="F612" s="74"/>
      <c r="G612" s="74">
        <v>4</v>
      </c>
      <c r="H612" s="74"/>
      <c r="I612" s="63">
        <v>6</v>
      </c>
      <c r="J612" t="b">
        <f t="shared" si="72"/>
        <v>0</v>
      </c>
      <c r="K612" t="b">
        <f t="shared" si="73"/>
        <v>0</v>
      </c>
      <c r="M612" t="str">
        <f t="shared" si="74"/>
        <v/>
      </c>
      <c r="N612" t="str">
        <f t="shared" si="75"/>
        <v/>
      </c>
      <c r="O612" t="str">
        <f t="shared" si="76"/>
        <v/>
      </c>
      <c r="P612" t="str">
        <f>IF(M612="","",VLOOKUP(B612,'Team Stats'!$B$3:$K$18,5,0))</f>
        <v/>
      </c>
      <c r="Q612" t="str">
        <f t="shared" si="77"/>
        <v/>
      </c>
      <c r="R612" t="str">
        <f>IF(M612="","",VLOOKUP(N612,Sim!$EF$46:$EG$61,2,0))</f>
        <v/>
      </c>
      <c r="S612" t="str">
        <f>IF(M612="","",VLOOKUP(N612,'Team Stats'!$B$3:$K$18,10,0))</f>
        <v/>
      </c>
      <c r="T612" s="84" t="str">
        <f t="shared" si="78"/>
        <v/>
      </c>
      <c r="U612" t="str">
        <f t="shared" si="79"/>
        <v/>
      </c>
    </row>
    <row r="613" spans="1:21">
      <c r="A613" s="73" t="s">
        <v>937</v>
      </c>
      <c r="B613" s="73" t="s">
        <v>221</v>
      </c>
      <c r="C613" s="74">
        <v>28</v>
      </c>
      <c r="D613" s="74"/>
      <c r="E613" s="74">
        <v>3</v>
      </c>
      <c r="F613" s="74"/>
      <c r="G613" s="74">
        <v>2</v>
      </c>
      <c r="H613" s="74"/>
      <c r="I613" s="63">
        <v>5</v>
      </c>
      <c r="J613" t="b">
        <f t="shared" si="72"/>
        <v>0</v>
      </c>
      <c r="K613" t="b">
        <f t="shared" si="73"/>
        <v>0</v>
      </c>
      <c r="M613" t="str">
        <f t="shared" si="74"/>
        <v/>
      </c>
      <c r="N613" t="str">
        <f t="shared" si="75"/>
        <v/>
      </c>
      <c r="O613" t="str">
        <f t="shared" si="76"/>
        <v/>
      </c>
      <c r="P613" t="str">
        <f>IF(M613="","",VLOOKUP(B613,'Team Stats'!$B$3:$K$18,5,0))</f>
        <v/>
      </c>
      <c r="Q613" t="str">
        <f t="shared" si="77"/>
        <v/>
      </c>
      <c r="R613" t="str">
        <f>IF(M613="","",VLOOKUP(N613,Sim!$EF$46:$EG$61,2,0))</f>
        <v/>
      </c>
      <c r="S613" t="str">
        <f>IF(M613="","",VLOOKUP(N613,'Team Stats'!$B$3:$K$18,10,0))</f>
        <v/>
      </c>
      <c r="T613" s="84" t="str">
        <f t="shared" si="78"/>
        <v/>
      </c>
      <c r="U613" t="str">
        <f t="shared" si="79"/>
        <v/>
      </c>
    </row>
    <row r="614" spans="1:21">
      <c r="A614" s="73" t="s">
        <v>938</v>
      </c>
      <c r="B614" s="73" t="s">
        <v>213</v>
      </c>
      <c r="C614" s="74">
        <v>54</v>
      </c>
      <c r="D614" s="74"/>
      <c r="E614" s="74">
        <v>2</v>
      </c>
      <c r="F614" s="74"/>
      <c r="G614" s="74">
        <v>3</v>
      </c>
      <c r="H614" s="74"/>
      <c r="I614" s="63">
        <v>5</v>
      </c>
      <c r="J614" t="b">
        <f t="shared" si="72"/>
        <v>0</v>
      </c>
      <c r="K614" t="b">
        <f t="shared" si="73"/>
        <v>0</v>
      </c>
      <c r="M614" t="str">
        <f t="shared" si="74"/>
        <v/>
      </c>
      <c r="N614" t="str">
        <f t="shared" si="75"/>
        <v/>
      </c>
      <c r="O614" t="str">
        <f t="shared" si="76"/>
        <v/>
      </c>
      <c r="P614" t="str">
        <f>IF(M614="","",VLOOKUP(B614,'Team Stats'!$B$3:$K$18,5,0))</f>
        <v/>
      </c>
      <c r="Q614" t="str">
        <f t="shared" si="77"/>
        <v/>
      </c>
      <c r="R614" t="str">
        <f>IF(M614="","",VLOOKUP(N614,Sim!$EF$46:$EG$61,2,0))</f>
        <v/>
      </c>
      <c r="S614" t="str">
        <f>IF(M614="","",VLOOKUP(N614,'Team Stats'!$B$3:$K$18,10,0))</f>
        <v/>
      </c>
      <c r="T614" s="84" t="str">
        <f t="shared" si="78"/>
        <v/>
      </c>
      <c r="U614" t="str">
        <f t="shared" si="79"/>
        <v/>
      </c>
    </row>
    <row r="615" spans="1:21">
      <c r="A615" s="73" t="s">
        <v>939</v>
      </c>
      <c r="B615" s="73" t="s">
        <v>215</v>
      </c>
      <c r="C615" s="74">
        <v>41</v>
      </c>
      <c r="D615" s="74"/>
      <c r="E615" s="74">
        <v>1</v>
      </c>
      <c r="F615" s="74"/>
      <c r="G615" s="74">
        <v>4</v>
      </c>
      <c r="H615" s="74"/>
      <c r="I615" s="63">
        <v>5</v>
      </c>
      <c r="J615" t="b">
        <f t="shared" si="72"/>
        <v>0</v>
      </c>
      <c r="K615" t="b">
        <f t="shared" si="73"/>
        <v>0</v>
      </c>
      <c r="M615" t="str">
        <f t="shared" si="74"/>
        <v/>
      </c>
      <c r="N615" t="str">
        <f t="shared" si="75"/>
        <v/>
      </c>
      <c r="O615" t="str">
        <f t="shared" si="76"/>
        <v/>
      </c>
      <c r="P615" t="str">
        <f>IF(M615="","",VLOOKUP(B615,'Team Stats'!$B$3:$K$18,5,0))</f>
        <v/>
      </c>
      <c r="Q615" t="str">
        <f t="shared" si="77"/>
        <v/>
      </c>
      <c r="R615" t="str">
        <f>IF(M615="","",VLOOKUP(N615,Sim!$EF$46:$EG$61,2,0))</f>
        <v/>
      </c>
      <c r="S615" t="str">
        <f>IF(M615="","",VLOOKUP(N615,'Team Stats'!$B$3:$K$18,10,0))</f>
        <v/>
      </c>
      <c r="T615" s="84" t="str">
        <f t="shared" si="78"/>
        <v/>
      </c>
      <c r="U615" t="str">
        <f t="shared" si="79"/>
        <v/>
      </c>
    </row>
    <row r="616" spans="1:21">
      <c r="A616" s="73" t="s">
        <v>940</v>
      </c>
      <c r="B616" s="73" t="s">
        <v>222</v>
      </c>
      <c r="C616" s="74">
        <v>26</v>
      </c>
      <c r="D616" s="74"/>
      <c r="E616" s="74">
        <v>2</v>
      </c>
      <c r="F616" s="74"/>
      <c r="G616" s="74">
        <v>3</v>
      </c>
      <c r="H616" s="74"/>
      <c r="I616" s="63">
        <v>5</v>
      </c>
      <c r="J616" t="b">
        <f t="shared" si="72"/>
        <v>0</v>
      </c>
      <c r="K616" t="b">
        <f t="shared" si="73"/>
        <v>0</v>
      </c>
      <c r="M616" t="str">
        <f t="shared" si="74"/>
        <v/>
      </c>
      <c r="N616" t="str">
        <f t="shared" si="75"/>
        <v/>
      </c>
      <c r="O616" t="str">
        <f t="shared" si="76"/>
        <v/>
      </c>
      <c r="P616" t="str">
        <f>IF(M616="","",VLOOKUP(B616,'Team Stats'!$B$3:$K$18,5,0))</f>
        <v/>
      </c>
      <c r="Q616" t="str">
        <f t="shared" si="77"/>
        <v/>
      </c>
      <c r="R616" t="str">
        <f>IF(M616="","",VLOOKUP(N616,Sim!$EF$46:$EG$61,2,0))</f>
        <v/>
      </c>
      <c r="S616" t="str">
        <f>IF(M616="","",VLOOKUP(N616,'Team Stats'!$B$3:$K$18,10,0))</f>
        <v/>
      </c>
      <c r="T616" s="84" t="str">
        <f t="shared" si="78"/>
        <v/>
      </c>
      <c r="U616" t="str">
        <f t="shared" si="79"/>
        <v/>
      </c>
    </row>
    <row r="617" spans="1:21">
      <c r="A617" s="73" t="s">
        <v>941</v>
      </c>
      <c r="B617" s="73" t="s">
        <v>331</v>
      </c>
      <c r="C617" s="74">
        <v>25</v>
      </c>
      <c r="D617" s="74"/>
      <c r="E617" s="74">
        <v>0</v>
      </c>
      <c r="F617" s="74"/>
      <c r="G617" s="74">
        <v>5</v>
      </c>
      <c r="H617" s="74"/>
      <c r="I617" s="63">
        <v>5</v>
      </c>
      <c r="J617" t="b">
        <f t="shared" si="72"/>
        <v>0</v>
      </c>
      <c r="K617" t="b">
        <f t="shared" si="73"/>
        <v>0</v>
      </c>
      <c r="M617" t="str">
        <f t="shared" si="74"/>
        <v/>
      </c>
      <c r="N617" t="str">
        <f t="shared" si="75"/>
        <v/>
      </c>
      <c r="O617" t="str">
        <f t="shared" si="76"/>
        <v/>
      </c>
      <c r="P617" t="str">
        <f>IF(M617="","",VLOOKUP(B617,'Team Stats'!$B$3:$K$18,5,0))</f>
        <v/>
      </c>
      <c r="Q617" t="str">
        <f t="shared" si="77"/>
        <v/>
      </c>
      <c r="R617" t="str">
        <f>IF(M617="","",VLOOKUP(N617,Sim!$EF$46:$EG$61,2,0))</f>
        <v/>
      </c>
      <c r="S617" t="str">
        <f>IF(M617="","",VLOOKUP(N617,'Team Stats'!$B$3:$K$18,10,0))</f>
        <v/>
      </c>
      <c r="T617" s="84" t="str">
        <f t="shared" si="78"/>
        <v/>
      </c>
      <c r="U617" t="str">
        <f t="shared" si="79"/>
        <v/>
      </c>
    </row>
    <row r="618" spans="1:21">
      <c r="A618" s="73" t="s">
        <v>942</v>
      </c>
      <c r="B618" s="73" t="s">
        <v>208</v>
      </c>
      <c r="C618" s="74">
        <v>62</v>
      </c>
      <c r="D618" s="74"/>
      <c r="E618" s="74">
        <v>1</v>
      </c>
      <c r="F618" s="74"/>
      <c r="G618" s="74">
        <v>4</v>
      </c>
      <c r="H618" s="74"/>
      <c r="I618" s="63">
        <v>5</v>
      </c>
      <c r="J618" t="b">
        <f t="shared" si="72"/>
        <v>0</v>
      </c>
      <c r="K618" t="b">
        <f t="shared" si="73"/>
        <v>0</v>
      </c>
      <c r="M618" t="str">
        <f t="shared" si="74"/>
        <v/>
      </c>
      <c r="N618" t="str">
        <f t="shared" si="75"/>
        <v/>
      </c>
      <c r="O618" t="str">
        <f t="shared" si="76"/>
        <v/>
      </c>
      <c r="P618" t="str">
        <f>IF(M618="","",VLOOKUP(B618,'Team Stats'!$B$3:$K$18,5,0))</f>
        <v/>
      </c>
      <c r="Q618" t="str">
        <f t="shared" si="77"/>
        <v/>
      </c>
      <c r="R618" t="str">
        <f>IF(M618="","",VLOOKUP(N618,Sim!$EF$46:$EG$61,2,0))</f>
        <v/>
      </c>
      <c r="S618" t="str">
        <f>IF(M618="","",VLOOKUP(N618,'Team Stats'!$B$3:$K$18,10,0))</f>
        <v/>
      </c>
      <c r="T618" s="84" t="str">
        <f t="shared" si="78"/>
        <v/>
      </c>
      <c r="U618" t="str">
        <f t="shared" si="79"/>
        <v/>
      </c>
    </row>
    <row r="619" spans="1:21">
      <c r="A619" s="73" t="s">
        <v>943</v>
      </c>
      <c r="B619" s="73" t="s">
        <v>221</v>
      </c>
      <c r="C619" s="74">
        <v>46</v>
      </c>
      <c r="D619" s="74"/>
      <c r="E619" s="74">
        <v>0</v>
      </c>
      <c r="F619" s="74"/>
      <c r="G619" s="74">
        <v>5</v>
      </c>
      <c r="H619" s="74"/>
      <c r="I619" s="63">
        <v>5</v>
      </c>
      <c r="J619" t="b">
        <f t="shared" si="72"/>
        <v>0</v>
      </c>
      <c r="K619" t="b">
        <f t="shared" si="73"/>
        <v>0</v>
      </c>
      <c r="M619" t="str">
        <f t="shared" si="74"/>
        <v/>
      </c>
      <c r="N619" t="str">
        <f t="shared" si="75"/>
        <v/>
      </c>
      <c r="O619" t="str">
        <f t="shared" si="76"/>
        <v/>
      </c>
      <c r="P619" t="str">
        <f>IF(M619="","",VLOOKUP(B619,'Team Stats'!$B$3:$K$18,5,0))</f>
        <v/>
      </c>
      <c r="Q619" t="str">
        <f t="shared" si="77"/>
        <v/>
      </c>
      <c r="R619" t="str">
        <f>IF(M619="","",VLOOKUP(N619,Sim!$EF$46:$EG$61,2,0))</f>
        <v/>
      </c>
      <c r="S619" t="str">
        <f>IF(M619="","",VLOOKUP(N619,'Team Stats'!$B$3:$K$18,10,0))</f>
        <v/>
      </c>
      <c r="T619" s="84" t="str">
        <f t="shared" si="78"/>
        <v/>
      </c>
      <c r="U619" t="str">
        <f t="shared" si="79"/>
        <v/>
      </c>
    </row>
    <row r="620" spans="1:21">
      <c r="A620" s="73" t="s">
        <v>944</v>
      </c>
      <c r="B620" s="73" t="s">
        <v>331</v>
      </c>
      <c r="C620" s="74">
        <v>21</v>
      </c>
      <c r="D620" s="74"/>
      <c r="E620" s="74">
        <v>3</v>
      </c>
      <c r="F620" s="74"/>
      <c r="G620" s="74">
        <v>2</v>
      </c>
      <c r="H620" s="74"/>
      <c r="I620" s="63">
        <v>5</v>
      </c>
      <c r="J620" t="b">
        <f t="shared" si="72"/>
        <v>0</v>
      </c>
      <c r="K620" t="b">
        <f t="shared" si="73"/>
        <v>0</v>
      </c>
      <c r="M620" t="str">
        <f t="shared" si="74"/>
        <v/>
      </c>
      <c r="N620" t="str">
        <f t="shared" si="75"/>
        <v/>
      </c>
      <c r="O620" t="str">
        <f t="shared" si="76"/>
        <v/>
      </c>
      <c r="P620" t="str">
        <f>IF(M620="","",VLOOKUP(B620,'Team Stats'!$B$3:$K$18,5,0))</f>
        <v/>
      </c>
      <c r="Q620" t="str">
        <f t="shared" si="77"/>
        <v/>
      </c>
      <c r="R620" t="str">
        <f>IF(M620="","",VLOOKUP(N620,Sim!$EF$46:$EG$61,2,0))</f>
        <v/>
      </c>
      <c r="S620" t="str">
        <f>IF(M620="","",VLOOKUP(N620,'Team Stats'!$B$3:$K$18,10,0))</f>
        <v/>
      </c>
      <c r="T620" s="84" t="str">
        <f t="shared" si="78"/>
        <v/>
      </c>
      <c r="U620" t="str">
        <f t="shared" si="79"/>
        <v/>
      </c>
    </row>
    <row r="621" spans="1:21">
      <c r="A621" s="73" t="s">
        <v>945</v>
      </c>
      <c r="B621" s="73" t="s">
        <v>218</v>
      </c>
      <c r="C621" s="74">
        <v>38</v>
      </c>
      <c r="D621" s="74"/>
      <c r="E621" s="74">
        <v>0</v>
      </c>
      <c r="F621" s="74"/>
      <c r="G621" s="74">
        <v>5</v>
      </c>
      <c r="H621" s="74"/>
      <c r="I621" s="63">
        <v>5</v>
      </c>
      <c r="J621" t="b">
        <f t="shared" si="72"/>
        <v>0</v>
      </c>
      <c r="K621" t="b">
        <f t="shared" si="73"/>
        <v>0</v>
      </c>
      <c r="M621" t="str">
        <f t="shared" si="74"/>
        <v/>
      </c>
      <c r="N621" t="str">
        <f t="shared" si="75"/>
        <v/>
      </c>
      <c r="O621" t="str">
        <f t="shared" si="76"/>
        <v/>
      </c>
      <c r="P621" t="str">
        <f>IF(M621="","",VLOOKUP(B621,'Team Stats'!$B$3:$K$18,5,0))</f>
        <v/>
      </c>
      <c r="Q621" t="str">
        <f t="shared" si="77"/>
        <v/>
      </c>
      <c r="R621" t="str">
        <f>IF(M621="","",VLOOKUP(N621,Sim!$EF$46:$EG$61,2,0))</f>
        <v/>
      </c>
      <c r="S621" t="str">
        <f>IF(M621="","",VLOOKUP(N621,'Team Stats'!$B$3:$K$18,10,0))</f>
        <v/>
      </c>
      <c r="T621" s="84" t="str">
        <f t="shared" si="78"/>
        <v/>
      </c>
      <c r="U621" t="str">
        <f t="shared" si="79"/>
        <v/>
      </c>
    </row>
    <row r="622" spans="1:21">
      <c r="A622" s="73" t="s">
        <v>946</v>
      </c>
      <c r="B622" s="73" t="s">
        <v>331</v>
      </c>
      <c r="C622" s="74">
        <v>72</v>
      </c>
      <c r="D622" s="74"/>
      <c r="E622" s="74">
        <v>1</v>
      </c>
      <c r="F622" s="74"/>
      <c r="G622" s="74">
        <v>4</v>
      </c>
      <c r="H622" s="74"/>
      <c r="I622" s="63">
        <v>5</v>
      </c>
      <c r="J622" t="b">
        <f t="shared" si="72"/>
        <v>0</v>
      </c>
      <c r="K622" t="b">
        <f t="shared" si="73"/>
        <v>0</v>
      </c>
      <c r="M622" t="str">
        <f t="shared" si="74"/>
        <v/>
      </c>
      <c r="N622" t="str">
        <f t="shared" si="75"/>
        <v/>
      </c>
      <c r="O622" t="str">
        <f t="shared" si="76"/>
        <v/>
      </c>
      <c r="P622" t="str">
        <f>IF(M622="","",VLOOKUP(B622,'Team Stats'!$B$3:$K$18,5,0))</f>
        <v/>
      </c>
      <c r="Q622" t="str">
        <f t="shared" si="77"/>
        <v/>
      </c>
      <c r="R622" t="str">
        <f>IF(M622="","",VLOOKUP(N622,Sim!$EF$46:$EG$61,2,0))</f>
        <v/>
      </c>
      <c r="S622" t="str">
        <f>IF(M622="","",VLOOKUP(N622,'Team Stats'!$B$3:$K$18,10,0))</f>
        <v/>
      </c>
      <c r="T622" s="84" t="str">
        <f t="shared" si="78"/>
        <v/>
      </c>
      <c r="U622" t="str">
        <f t="shared" si="79"/>
        <v/>
      </c>
    </row>
    <row r="623" spans="1:21">
      <c r="A623" s="73" t="s">
        <v>947</v>
      </c>
      <c r="B623" s="73" t="s">
        <v>217</v>
      </c>
      <c r="C623" s="74">
        <v>27</v>
      </c>
      <c r="D623" s="74"/>
      <c r="E623" s="74">
        <v>1</v>
      </c>
      <c r="F623" s="74"/>
      <c r="G623" s="74">
        <v>4</v>
      </c>
      <c r="H623" s="74"/>
      <c r="I623" s="63">
        <v>5</v>
      </c>
      <c r="J623" t="b">
        <f t="shared" si="72"/>
        <v>0</v>
      </c>
      <c r="K623" t="b">
        <f t="shared" si="73"/>
        <v>0</v>
      </c>
      <c r="M623" t="str">
        <f t="shared" si="74"/>
        <v/>
      </c>
      <c r="N623" t="str">
        <f t="shared" si="75"/>
        <v/>
      </c>
      <c r="O623" t="str">
        <f t="shared" si="76"/>
        <v/>
      </c>
      <c r="P623" t="str">
        <f>IF(M623="","",VLOOKUP(B623,'Team Stats'!$B$3:$K$18,5,0))</f>
        <v/>
      </c>
      <c r="Q623" t="str">
        <f t="shared" si="77"/>
        <v/>
      </c>
      <c r="R623" t="str">
        <f>IF(M623="","",VLOOKUP(N623,Sim!$EF$46:$EG$61,2,0))</f>
        <v/>
      </c>
      <c r="S623" t="str">
        <f>IF(M623="","",VLOOKUP(N623,'Team Stats'!$B$3:$K$18,10,0))</f>
        <v/>
      </c>
      <c r="T623" s="84" t="str">
        <f t="shared" si="78"/>
        <v/>
      </c>
      <c r="U623" t="str">
        <f t="shared" si="79"/>
        <v/>
      </c>
    </row>
    <row r="624" spans="1:21">
      <c r="A624" s="73" t="s">
        <v>948</v>
      </c>
      <c r="B624" s="73" t="s">
        <v>204</v>
      </c>
      <c r="C624" s="74">
        <v>36</v>
      </c>
      <c r="D624" s="74"/>
      <c r="E624" s="74">
        <v>4</v>
      </c>
      <c r="F624" s="74"/>
      <c r="G624" s="74">
        <v>1</v>
      </c>
      <c r="H624" s="74"/>
      <c r="I624" s="63">
        <v>5</v>
      </c>
      <c r="J624" t="b">
        <f t="shared" si="72"/>
        <v>0</v>
      </c>
      <c r="K624" t="b">
        <f t="shared" si="73"/>
        <v>0</v>
      </c>
      <c r="M624" t="str">
        <f t="shared" si="74"/>
        <v/>
      </c>
      <c r="N624" t="str">
        <f t="shared" si="75"/>
        <v/>
      </c>
      <c r="O624" t="str">
        <f t="shared" si="76"/>
        <v/>
      </c>
      <c r="P624" t="str">
        <f>IF(M624="","",VLOOKUP(B624,'Team Stats'!$B$3:$K$18,5,0))</f>
        <v/>
      </c>
      <c r="Q624" t="str">
        <f t="shared" si="77"/>
        <v/>
      </c>
      <c r="R624" t="str">
        <f>IF(M624="","",VLOOKUP(N624,Sim!$EF$46:$EG$61,2,0))</f>
        <v/>
      </c>
      <c r="S624" t="str">
        <f>IF(M624="","",VLOOKUP(N624,'Team Stats'!$B$3:$K$18,10,0))</f>
        <v/>
      </c>
      <c r="T624" s="84" t="str">
        <f t="shared" si="78"/>
        <v/>
      </c>
      <c r="U624" t="str">
        <f t="shared" si="79"/>
        <v/>
      </c>
    </row>
    <row r="625" spans="1:21">
      <c r="A625" s="73" t="s">
        <v>949</v>
      </c>
      <c r="B625" s="73" t="s">
        <v>208</v>
      </c>
      <c r="C625" s="74">
        <v>26</v>
      </c>
      <c r="D625" s="74"/>
      <c r="E625" s="74">
        <v>2</v>
      </c>
      <c r="F625" s="74"/>
      <c r="G625" s="74">
        <v>3</v>
      </c>
      <c r="H625" s="74"/>
      <c r="I625" s="63">
        <v>5</v>
      </c>
      <c r="J625" t="b">
        <f t="shared" si="72"/>
        <v>0</v>
      </c>
      <c r="K625" t="b">
        <f t="shared" si="73"/>
        <v>0</v>
      </c>
      <c r="M625" t="str">
        <f t="shared" si="74"/>
        <v/>
      </c>
      <c r="N625" t="str">
        <f t="shared" si="75"/>
        <v/>
      </c>
      <c r="O625" t="str">
        <f t="shared" si="76"/>
        <v/>
      </c>
      <c r="P625" t="str">
        <f>IF(M625="","",VLOOKUP(B625,'Team Stats'!$B$3:$K$18,5,0))</f>
        <v/>
      </c>
      <c r="Q625" t="str">
        <f t="shared" si="77"/>
        <v/>
      </c>
      <c r="R625" t="str">
        <f>IF(M625="","",VLOOKUP(N625,Sim!$EF$46:$EG$61,2,0))</f>
        <v/>
      </c>
      <c r="S625" t="str">
        <f>IF(M625="","",VLOOKUP(N625,'Team Stats'!$B$3:$K$18,10,0))</f>
        <v/>
      </c>
      <c r="T625" s="84" t="str">
        <f t="shared" si="78"/>
        <v/>
      </c>
      <c r="U625" t="str">
        <f t="shared" si="79"/>
        <v/>
      </c>
    </row>
    <row r="626" spans="1:21">
      <c r="A626" s="73" t="s">
        <v>950</v>
      </c>
      <c r="B626" s="73" t="s">
        <v>219</v>
      </c>
      <c r="C626" s="74">
        <v>46</v>
      </c>
      <c r="D626" s="74"/>
      <c r="E626" s="74">
        <v>1</v>
      </c>
      <c r="F626" s="74"/>
      <c r="G626" s="74">
        <v>4</v>
      </c>
      <c r="H626" s="74"/>
      <c r="I626" s="63">
        <v>5</v>
      </c>
      <c r="J626" t="b">
        <f t="shared" si="72"/>
        <v>0</v>
      </c>
      <c r="K626" t="b">
        <f t="shared" si="73"/>
        <v>0</v>
      </c>
      <c r="M626" t="str">
        <f t="shared" si="74"/>
        <v/>
      </c>
      <c r="N626" t="str">
        <f t="shared" si="75"/>
        <v/>
      </c>
      <c r="O626" t="str">
        <f t="shared" si="76"/>
        <v/>
      </c>
      <c r="P626" t="str">
        <f>IF(M626="","",VLOOKUP(B626,'Team Stats'!$B$3:$K$18,5,0))</f>
        <v/>
      </c>
      <c r="Q626" t="str">
        <f t="shared" si="77"/>
        <v/>
      </c>
      <c r="R626" t="str">
        <f>IF(M626="","",VLOOKUP(N626,Sim!$EF$46:$EG$61,2,0))</f>
        <v/>
      </c>
      <c r="S626" t="str">
        <f>IF(M626="","",VLOOKUP(N626,'Team Stats'!$B$3:$K$18,10,0))</f>
        <v/>
      </c>
      <c r="T626" s="84" t="str">
        <f t="shared" si="78"/>
        <v/>
      </c>
      <c r="U626" t="str">
        <f t="shared" si="79"/>
        <v/>
      </c>
    </row>
    <row r="627" spans="1:21">
      <c r="A627" s="73" t="s">
        <v>951</v>
      </c>
      <c r="B627" s="73" t="s">
        <v>345</v>
      </c>
      <c r="C627" s="74">
        <v>29</v>
      </c>
      <c r="D627" s="74"/>
      <c r="E627" s="74">
        <v>3</v>
      </c>
      <c r="F627" s="74"/>
      <c r="G627" s="74">
        <v>2</v>
      </c>
      <c r="H627" s="74"/>
      <c r="I627" s="63">
        <v>5</v>
      </c>
      <c r="J627" t="b">
        <f t="shared" si="72"/>
        <v>0</v>
      </c>
      <c r="K627" t="b">
        <f t="shared" si="73"/>
        <v>0</v>
      </c>
      <c r="M627" t="str">
        <f t="shared" si="74"/>
        <v/>
      </c>
      <c r="N627" t="str">
        <f t="shared" si="75"/>
        <v/>
      </c>
      <c r="O627" t="str">
        <f t="shared" si="76"/>
        <v/>
      </c>
      <c r="P627" t="str">
        <f>IF(M627="","",VLOOKUP(B627,'Team Stats'!$B$3:$K$18,5,0))</f>
        <v/>
      </c>
      <c r="Q627" t="str">
        <f t="shared" si="77"/>
        <v/>
      </c>
      <c r="R627" t="str">
        <f>IF(M627="","",VLOOKUP(N627,Sim!$EF$46:$EG$61,2,0))</f>
        <v/>
      </c>
      <c r="S627" t="str">
        <f>IF(M627="","",VLOOKUP(N627,'Team Stats'!$B$3:$K$18,10,0))</f>
        <v/>
      </c>
      <c r="T627" s="84" t="str">
        <f t="shared" si="78"/>
        <v/>
      </c>
      <c r="U627" t="str">
        <f t="shared" si="79"/>
        <v/>
      </c>
    </row>
    <row r="628" spans="1:21">
      <c r="A628" s="73" t="s">
        <v>952</v>
      </c>
      <c r="B628" s="73" t="s">
        <v>331</v>
      </c>
      <c r="C628" s="74">
        <v>33</v>
      </c>
      <c r="D628" s="74"/>
      <c r="E628" s="74">
        <v>1</v>
      </c>
      <c r="F628" s="74"/>
      <c r="G628" s="74">
        <v>4</v>
      </c>
      <c r="H628" s="74"/>
      <c r="I628" s="63">
        <v>5</v>
      </c>
      <c r="J628" t="b">
        <f t="shared" si="72"/>
        <v>0</v>
      </c>
      <c r="K628" t="b">
        <f t="shared" si="73"/>
        <v>0</v>
      </c>
      <c r="M628" t="str">
        <f t="shared" si="74"/>
        <v/>
      </c>
      <c r="N628" t="str">
        <f t="shared" si="75"/>
        <v/>
      </c>
      <c r="O628" t="str">
        <f t="shared" si="76"/>
        <v/>
      </c>
      <c r="P628" t="str">
        <f>IF(M628="","",VLOOKUP(B628,'Team Stats'!$B$3:$K$18,5,0))</f>
        <v/>
      </c>
      <c r="Q628" t="str">
        <f t="shared" si="77"/>
        <v/>
      </c>
      <c r="R628" t="str">
        <f>IF(M628="","",VLOOKUP(N628,Sim!$EF$46:$EG$61,2,0))</f>
        <v/>
      </c>
      <c r="S628" t="str">
        <f>IF(M628="","",VLOOKUP(N628,'Team Stats'!$B$3:$K$18,10,0))</f>
        <v/>
      </c>
      <c r="T628" s="84" t="str">
        <f t="shared" si="78"/>
        <v/>
      </c>
      <c r="U628" t="str">
        <f t="shared" si="79"/>
        <v/>
      </c>
    </row>
    <row r="629" spans="1:21">
      <c r="A629" s="73" t="s">
        <v>953</v>
      </c>
      <c r="B629" s="73" t="s">
        <v>199</v>
      </c>
      <c r="C629" s="74">
        <v>31</v>
      </c>
      <c r="D629" s="74"/>
      <c r="E629" s="74">
        <v>2</v>
      </c>
      <c r="F629" s="74"/>
      <c r="G629" s="74">
        <v>3</v>
      </c>
      <c r="H629" s="74"/>
      <c r="I629" s="63">
        <v>5</v>
      </c>
      <c r="J629" t="b">
        <f t="shared" si="72"/>
        <v>0</v>
      </c>
      <c r="K629" t="b">
        <f t="shared" si="73"/>
        <v>0</v>
      </c>
      <c r="M629" t="str">
        <f t="shared" si="74"/>
        <v/>
      </c>
      <c r="N629" t="str">
        <f t="shared" si="75"/>
        <v/>
      </c>
      <c r="O629" t="str">
        <f t="shared" si="76"/>
        <v/>
      </c>
      <c r="P629" t="str">
        <f>IF(M629="","",VLOOKUP(B629,'Team Stats'!$B$3:$K$18,5,0))</f>
        <v/>
      </c>
      <c r="Q629" t="str">
        <f t="shared" si="77"/>
        <v/>
      </c>
      <c r="R629" t="str">
        <f>IF(M629="","",VLOOKUP(N629,Sim!$EF$46:$EG$61,2,0))</f>
        <v/>
      </c>
      <c r="S629" t="str">
        <f>IF(M629="","",VLOOKUP(N629,'Team Stats'!$B$3:$K$18,10,0))</f>
        <v/>
      </c>
      <c r="T629" s="84" t="str">
        <f t="shared" si="78"/>
        <v/>
      </c>
      <c r="U629" t="str">
        <f t="shared" si="79"/>
        <v/>
      </c>
    </row>
    <row r="630" spans="1:21">
      <c r="A630" s="73" t="s">
        <v>954</v>
      </c>
      <c r="B630" s="73" t="s">
        <v>220</v>
      </c>
      <c r="C630" s="74">
        <v>43</v>
      </c>
      <c r="D630" s="74"/>
      <c r="E630" s="74">
        <v>3</v>
      </c>
      <c r="F630" s="74"/>
      <c r="G630" s="74">
        <v>2</v>
      </c>
      <c r="H630" s="74"/>
      <c r="I630" s="63">
        <v>5</v>
      </c>
      <c r="J630" t="b">
        <f t="shared" si="72"/>
        <v>0</v>
      </c>
      <c r="K630" t="b">
        <f t="shared" si="73"/>
        <v>0</v>
      </c>
      <c r="M630" t="str">
        <f t="shared" si="74"/>
        <v/>
      </c>
      <c r="N630" t="str">
        <f t="shared" si="75"/>
        <v/>
      </c>
      <c r="O630" t="str">
        <f t="shared" si="76"/>
        <v/>
      </c>
      <c r="P630" t="str">
        <f>IF(M630="","",VLOOKUP(B630,'Team Stats'!$B$3:$K$18,5,0))</f>
        <v/>
      </c>
      <c r="Q630" t="str">
        <f t="shared" si="77"/>
        <v/>
      </c>
      <c r="R630" t="str">
        <f>IF(M630="","",VLOOKUP(N630,Sim!$EF$46:$EG$61,2,0))</f>
        <v/>
      </c>
      <c r="S630" t="str">
        <f>IF(M630="","",VLOOKUP(N630,'Team Stats'!$B$3:$K$18,10,0))</f>
        <v/>
      </c>
      <c r="T630" s="84" t="str">
        <f t="shared" si="78"/>
        <v/>
      </c>
      <c r="U630" t="str">
        <f t="shared" si="79"/>
        <v/>
      </c>
    </row>
    <row r="631" spans="1:21">
      <c r="A631" s="73" t="s">
        <v>955</v>
      </c>
      <c r="B631" s="73" t="s">
        <v>215</v>
      </c>
      <c r="C631" s="74">
        <v>18</v>
      </c>
      <c r="D631" s="74"/>
      <c r="E631" s="74">
        <v>2</v>
      </c>
      <c r="F631" s="74"/>
      <c r="G631" s="74">
        <v>2</v>
      </c>
      <c r="H631" s="74"/>
      <c r="I631" s="63">
        <v>4</v>
      </c>
      <c r="J631" t="b">
        <f t="shared" si="72"/>
        <v>0</v>
      </c>
      <c r="K631" t="b">
        <f t="shared" si="73"/>
        <v>0</v>
      </c>
      <c r="M631" t="str">
        <f t="shared" si="74"/>
        <v/>
      </c>
      <c r="N631" t="str">
        <f t="shared" si="75"/>
        <v/>
      </c>
      <c r="O631" t="str">
        <f t="shared" si="76"/>
        <v/>
      </c>
      <c r="P631" t="str">
        <f>IF(M631="","",VLOOKUP(B631,'Team Stats'!$B$3:$K$18,5,0))</f>
        <v/>
      </c>
      <c r="Q631" t="str">
        <f t="shared" si="77"/>
        <v/>
      </c>
      <c r="R631" t="str">
        <f>IF(M631="","",VLOOKUP(N631,Sim!$EF$46:$EG$61,2,0))</f>
        <v/>
      </c>
      <c r="S631" t="str">
        <f>IF(M631="","",VLOOKUP(N631,'Team Stats'!$B$3:$K$18,10,0))</f>
        <v/>
      </c>
      <c r="T631" s="84" t="str">
        <f t="shared" si="78"/>
        <v/>
      </c>
      <c r="U631" t="str">
        <f t="shared" si="79"/>
        <v/>
      </c>
    </row>
    <row r="632" spans="1:21">
      <c r="A632" s="73" t="s">
        <v>956</v>
      </c>
      <c r="B632" s="73" t="s">
        <v>213</v>
      </c>
      <c r="C632" s="74">
        <v>20</v>
      </c>
      <c r="D632" s="74"/>
      <c r="E632" s="74">
        <v>2</v>
      </c>
      <c r="F632" s="74"/>
      <c r="G632" s="74">
        <v>2</v>
      </c>
      <c r="H632" s="74"/>
      <c r="I632" s="63">
        <v>4</v>
      </c>
      <c r="J632" t="b">
        <f t="shared" si="72"/>
        <v>0</v>
      </c>
      <c r="K632" t="b">
        <f t="shared" si="73"/>
        <v>0</v>
      </c>
      <c r="M632" t="str">
        <f t="shared" si="74"/>
        <v/>
      </c>
      <c r="N632" t="str">
        <f t="shared" si="75"/>
        <v/>
      </c>
      <c r="O632" t="str">
        <f t="shared" si="76"/>
        <v/>
      </c>
      <c r="P632" t="str">
        <f>IF(M632="","",VLOOKUP(B632,'Team Stats'!$B$3:$K$18,5,0))</f>
        <v/>
      </c>
      <c r="Q632" t="str">
        <f t="shared" si="77"/>
        <v/>
      </c>
      <c r="R632" t="str">
        <f>IF(M632="","",VLOOKUP(N632,Sim!$EF$46:$EG$61,2,0))</f>
        <v/>
      </c>
      <c r="S632" t="str">
        <f>IF(M632="","",VLOOKUP(N632,'Team Stats'!$B$3:$K$18,10,0))</f>
        <v/>
      </c>
      <c r="T632" s="84" t="str">
        <f t="shared" si="78"/>
        <v/>
      </c>
      <c r="U632" t="str">
        <f t="shared" si="79"/>
        <v/>
      </c>
    </row>
    <row r="633" spans="1:21">
      <c r="A633" s="73" t="s">
        <v>957</v>
      </c>
      <c r="B633" s="73" t="s">
        <v>219</v>
      </c>
      <c r="C633" s="74">
        <v>25</v>
      </c>
      <c r="D633" s="74"/>
      <c r="E633" s="74">
        <v>2</v>
      </c>
      <c r="F633" s="74"/>
      <c r="G633" s="74">
        <v>2</v>
      </c>
      <c r="H633" s="74"/>
      <c r="I633" s="63">
        <v>4</v>
      </c>
      <c r="J633" t="b">
        <f t="shared" si="72"/>
        <v>0</v>
      </c>
      <c r="K633" t="b">
        <f t="shared" si="73"/>
        <v>0</v>
      </c>
      <c r="M633" t="str">
        <f t="shared" si="74"/>
        <v/>
      </c>
      <c r="N633" t="str">
        <f t="shared" si="75"/>
        <v/>
      </c>
      <c r="O633" t="str">
        <f t="shared" si="76"/>
        <v/>
      </c>
      <c r="P633" t="str">
        <f>IF(M633="","",VLOOKUP(B633,'Team Stats'!$B$3:$K$18,5,0))</f>
        <v/>
      </c>
      <c r="Q633" t="str">
        <f t="shared" si="77"/>
        <v/>
      </c>
      <c r="R633" t="str">
        <f>IF(M633="","",VLOOKUP(N633,Sim!$EF$46:$EG$61,2,0))</f>
        <v/>
      </c>
      <c r="S633" t="str">
        <f>IF(M633="","",VLOOKUP(N633,'Team Stats'!$B$3:$K$18,10,0))</f>
        <v/>
      </c>
      <c r="T633" s="84" t="str">
        <f t="shared" si="78"/>
        <v/>
      </c>
      <c r="U633" t="str">
        <f t="shared" si="79"/>
        <v/>
      </c>
    </row>
    <row r="634" spans="1:21">
      <c r="A634" s="73" t="s">
        <v>958</v>
      </c>
      <c r="B634" s="73" t="s">
        <v>212</v>
      </c>
      <c r="C634" s="74">
        <v>43</v>
      </c>
      <c r="D634" s="74"/>
      <c r="E634" s="74">
        <v>1</v>
      </c>
      <c r="F634" s="74"/>
      <c r="G634" s="74">
        <v>3</v>
      </c>
      <c r="H634" s="74"/>
      <c r="I634" s="63">
        <v>4</v>
      </c>
      <c r="J634" t="b">
        <f t="shared" si="72"/>
        <v>1</v>
      </c>
      <c r="K634" t="b">
        <f t="shared" si="73"/>
        <v>1</v>
      </c>
      <c r="M634" t="str">
        <f t="shared" si="74"/>
        <v> Jordan Leopold</v>
      </c>
      <c r="N634" t="str">
        <f t="shared" si="75"/>
        <v>MIN</v>
      </c>
      <c r="O634">
        <f t="shared" si="76"/>
        <v>4</v>
      </c>
      <c r="P634">
        <f>IF(M634="","",VLOOKUP(B634,'Team Stats'!$B$3:$K$18,5,0))</f>
        <v>608</v>
      </c>
      <c r="Q634">
        <f t="shared" si="77"/>
        <v>6.5789473684210523E-3</v>
      </c>
      <c r="R634">
        <f ca="1">IF(M634="","",VLOOKUP(N634,Sim!$EF$46:$EG$61,2,0))</f>
        <v>11.71</v>
      </c>
      <c r="S634">
        <f ca="1">IF(M634="","",VLOOKUP(N634,'Team Stats'!$B$3:$K$18,10,0))</f>
        <v>86.825365853658553</v>
      </c>
      <c r="T634" s="84">
        <f t="shared" ca="1" si="78"/>
        <v>0.57121951219512201</v>
      </c>
      <c r="U634">
        <f t="shared" ca="1" si="79"/>
        <v>238</v>
      </c>
    </row>
    <row r="635" spans="1:21">
      <c r="A635" s="73" t="s">
        <v>959</v>
      </c>
      <c r="B635" s="73" t="s">
        <v>220</v>
      </c>
      <c r="C635" s="74">
        <v>34</v>
      </c>
      <c r="D635" s="74"/>
      <c r="E635" s="74">
        <v>0</v>
      </c>
      <c r="F635" s="74"/>
      <c r="G635" s="74">
        <v>4</v>
      </c>
      <c r="H635" s="74"/>
      <c r="I635" s="63">
        <v>4</v>
      </c>
      <c r="J635" t="b">
        <f t="shared" si="72"/>
        <v>0</v>
      </c>
      <c r="K635" t="b">
        <f t="shared" si="73"/>
        <v>0</v>
      </c>
      <c r="M635" t="str">
        <f t="shared" si="74"/>
        <v/>
      </c>
      <c r="N635" t="str">
        <f t="shared" si="75"/>
        <v/>
      </c>
      <c r="O635" t="str">
        <f t="shared" si="76"/>
        <v/>
      </c>
      <c r="P635" t="str">
        <f>IF(M635="","",VLOOKUP(B635,'Team Stats'!$B$3:$K$18,5,0))</f>
        <v/>
      </c>
      <c r="Q635" t="str">
        <f t="shared" si="77"/>
        <v/>
      </c>
      <c r="R635" t="str">
        <f>IF(M635="","",VLOOKUP(N635,Sim!$EF$46:$EG$61,2,0))</f>
        <v/>
      </c>
      <c r="S635" t="str">
        <f>IF(M635="","",VLOOKUP(N635,'Team Stats'!$B$3:$K$18,10,0))</f>
        <v/>
      </c>
      <c r="T635" s="84" t="str">
        <f t="shared" si="78"/>
        <v/>
      </c>
      <c r="U635" t="str">
        <f t="shared" si="79"/>
        <v/>
      </c>
    </row>
    <row r="636" spans="1:21">
      <c r="A636" s="73" t="s">
        <v>960</v>
      </c>
      <c r="B636" s="73" t="s">
        <v>217</v>
      </c>
      <c r="C636" s="74">
        <v>47</v>
      </c>
      <c r="D636" s="74"/>
      <c r="E636" s="74">
        <v>0</v>
      </c>
      <c r="F636" s="74"/>
      <c r="G636" s="74">
        <v>4</v>
      </c>
      <c r="H636" s="74"/>
      <c r="I636" s="63">
        <v>4</v>
      </c>
      <c r="J636" t="b">
        <f t="shared" si="72"/>
        <v>0</v>
      </c>
      <c r="K636" t="b">
        <f t="shared" si="73"/>
        <v>0</v>
      </c>
      <c r="M636" t="str">
        <f t="shared" si="74"/>
        <v/>
      </c>
      <c r="N636" t="str">
        <f t="shared" si="75"/>
        <v/>
      </c>
      <c r="O636" t="str">
        <f t="shared" si="76"/>
        <v/>
      </c>
      <c r="P636" t="str">
        <f>IF(M636="","",VLOOKUP(B636,'Team Stats'!$B$3:$K$18,5,0))</f>
        <v/>
      </c>
      <c r="Q636" t="str">
        <f t="shared" si="77"/>
        <v/>
      </c>
      <c r="R636" t="str">
        <f>IF(M636="","",VLOOKUP(N636,Sim!$EF$46:$EG$61,2,0))</f>
        <v/>
      </c>
      <c r="S636" t="str">
        <f>IF(M636="","",VLOOKUP(N636,'Team Stats'!$B$3:$K$18,10,0))</f>
        <v/>
      </c>
      <c r="T636" s="84" t="str">
        <f t="shared" si="78"/>
        <v/>
      </c>
      <c r="U636" t="str">
        <f t="shared" si="79"/>
        <v/>
      </c>
    </row>
    <row r="637" spans="1:21">
      <c r="A637" s="73" t="s">
        <v>961</v>
      </c>
      <c r="B637" s="73" t="s">
        <v>208</v>
      </c>
      <c r="C637" s="74">
        <v>56</v>
      </c>
      <c r="D637" s="74"/>
      <c r="E637" s="74">
        <v>2</v>
      </c>
      <c r="F637" s="74"/>
      <c r="G637" s="74">
        <v>2</v>
      </c>
      <c r="H637" s="74"/>
      <c r="I637" s="63">
        <v>4</v>
      </c>
      <c r="J637" t="b">
        <f t="shared" si="72"/>
        <v>0</v>
      </c>
      <c r="K637" t="b">
        <f t="shared" si="73"/>
        <v>0</v>
      </c>
      <c r="M637" t="str">
        <f t="shared" si="74"/>
        <v/>
      </c>
      <c r="N637" t="str">
        <f t="shared" si="75"/>
        <v/>
      </c>
      <c r="O637" t="str">
        <f t="shared" si="76"/>
        <v/>
      </c>
      <c r="P637" t="str">
        <f>IF(M637="","",VLOOKUP(B637,'Team Stats'!$B$3:$K$18,5,0))</f>
        <v/>
      </c>
      <c r="Q637" t="str">
        <f t="shared" si="77"/>
        <v/>
      </c>
      <c r="R637" t="str">
        <f>IF(M637="","",VLOOKUP(N637,Sim!$EF$46:$EG$61,2,0))</f>
        <v/>
      </c>
      <c r="S637" t="str">
        <f>IF(M637="","",VLOOKUP(N637,'Team Stats'!$B$3:$K$18,10,0))</f>
        <v/>
      </c>
      <c r="T637" s="84" t="str">
        <f t="shared" si="78"/>
        <v/>
      </c>
      <c r="U637" t="str">
        <f t="shared" si="79"/>
        <v/>
      </c>
    </row>
    <row r="638" spans="1:21">
      <c r="A638" s="73" t="s">
        <v>962</v>
      </c>
      <c r="B638" s="73" t="s">
        <v>345</v>
      </c>
      <c r="C638" s="74">
        <v>58</v>
      </c>
      <c r="D638" s="74"/>
      <c r="E638" s="74">
        <v>1</v>
      </c>
      <c r="F638" s="74"/>
      <c r="G638" s="74">
        <v>3</v>
      </c>
      <c r="H638" s="74"/>
      <c r="I638" s="63">
        <v>4</v>
      </c>
      <c r="J638" t="b">
        <f t="shared" si="72"/>
        <v>0</v>
      </c>
      <c r="K638" t="b">
        <f t="shared" si="73"/>
        <v>0</v>
      </c>
      <c r="M638" t="str">
        <f t="shared" si="74"/>
        <v/>
      </c>
      <c r="N638" t="str">
        <f t="shared" si="75"/>
        <v/>
      </c>
      <c r="O638" t="str">
        <f t="shared" si="76"/>
        <v/>
      </c>
      <c r="P638" t="str">
        <f>IF(M638="","",VLOOKUP(B638,'Team Stats'!$B$3:$K$18,5,0))</f>
        <v/>
      </c>
      <c r="Q638" t="str">
        <f t="shared" si="77"/>
        <v/>
      </c>
      <c r="R638" t="str">
        <f>IF(M638="","",VLOOKUP(N638,Sim!$EF$46:$EG$61,2,0))</f>
        <v/>
      </c>
      <c r="S638" t="str">
        <f>IF(M638="","",VLOOKUP(N638,'Team Stats'!$B$3:$K$18,10,0))</f>
        <v/>
      </c>
      <c r="T638" s="84" t="str">
        <f t="shared" si="78"/>
        <v/>
      </c>
      <c r="U638" t="str">
        <f t="shared" si="79"/>
        <v/>
      </c>
    </row>
    <row r="639" spans="1:21">
      <c r="A639" s="73" t="s">
        <v>963</v>
      </c>
      <c r="B639" s="73" t="s">
        <v>206</v>
      </c>
      <c r="C639" s="74">
        <v>58</v>
      </c>
      <c r="D639" s="74"/>
      <c r="E639" s="74">
        <v>1</v>
      </c>
      <c r="F639" s="74"/>
      <c r="G639" s="74">
        <v>3</v>
      </c>
      <c r="H639" s="74"/>
      <c r="I639" s="63">
        <v>4</v>
      </c>
      <c r="J639" t="b">
        <f t="shared" si="72"/>
        <v>1</v>
      </c>
      <c r="K639" t="b">
        <f t="shared" si="73"/>
        <v>1</v>
      </c>
      <c r="M639" t="str">
        <f t="shared" si="74"/>
        <v> Brandon McMillan</v>
      </c>
      <c r="N639" t="str">
        <f t="shared" si="75"/>
        <v>VAN</v>
      </c>
      <c r="O639">
        <f t="shared" si="76"/>
        <v>4</v>
      </c>
      <c r="P639">
        <f>IF(M639="","",VLOOKUP(B639,'Team Stats'!$B$3:$K$18,5,0))</f>
        <v>642</v>
      </c>
      <c r="Q639">
        <f t="shared" si="77"/>
        <v>6.2305295950155761E-3</v>
      </c>
      <c r="R639">
        <f ca="1">IF(M639="","",VLOOKUP(N639,Sim!$EF$46:$EG$61,2,0))</f>
        <v>10.35</v>
      </c>
      <c r="S639">
        <f ca="1">IF(M639="","",VLOOKUP(N639,'Team Stats'!$B$3:$K$18,10,0))</f>
        <v>81.032926829268291</v>
      </c>
      <c r="T639" s="84">
        <f t="shared" ca="1" si="78"/>
        <v>0.50487804878048781</v>
      </c>
      <c r="U639">
        <f t="shared" ca="1" si="79"/>
        <v>240</v>
      </c>
    </row>
    <row r="640" spans="1:21">
      <c r="A640" s="73" t="s">
        <v>964</v>
      </c>
      <c r="B640" s="73" t="s">
        <v>217</v>
      </c>
      <c r="C640" s="74">
        <v>23</v>
      </c>
      <c r="D640" s="74"/>
      <c r="E640" s="74">
        <v>3</v>
      </c>
      <c r="F640" s="74"/>
      <c r="G640" s="74">
        <v>1</v>
      </c>
      <c r="H640" s="74"/>
      <c r="I640" s="63">
        <v>4</v>
      </c>
      <c r="J640" t="b">
        <f t="shared" si="72"/>
        <v>0</v>
      </c>
      <c r="K640" t="b">
        <f t="shared" si="73"/>
        <v>0</v>
      </c>
      <c r="M640" t="str">
        <f t="shared" si="74"/>
        <v/>
      </c>
      <c r="N640" t="str">
        <f t="shared" si="75"/>
        <v/>
      </c>
      <c r="O640" t="str">
        <f t="shared" si="76"/>
        <v/>
      </c>
      <c r="P640" t="str">
        <f>IF(M640="","",VLOOKUP(B640,'Team Stats'!$B$3:$K$18,5,0))</f>
        <v/>
      </c>
      <c r="Q640" t="str">
        <f t="shared" si="77"/>
        <v/>
      </c>
      <c r="R640" t="str">
        <f>IF(M640="","",VLOOKUP(N640,Sim!$EF$46:$EG$61,2,0))</f>
        <v/>
      </c>
      <c r="S640" t="str">
        <f>IF(M640="","",VLOOKUP(N640,'Team Stats'!$B$3:$K$18,10,0))</f>
        <v/>
      </c>
      <c r="T640" s="84" t="str">
        <f t="shared" si="78"/>
        <v/>
      </c>
      <c r="U640" t="str">
        <f t="shared" si="79"/>
        <v/>
      </c>
    </row>
    <row r="641" spans="1:21">
      <c r="A641" s="73" t="s">
        <v>965</v>
      </c>
      <c r="B641" s="73" t="s">
        <v>345</v>
      </c>
      <c r="C641" s="74">
        <v>31</v>
      </c>
      <c r="D641" s="74"/>
      <c r="E641" s="74">
        <v>0</v>
      </c>
      <c r="F641" s="74"/>
      <c r="G641" s="74">
        <v>4</v>
      </c>
      <c r="H641" s="74"/>
      <c r="I641" s="63">
        <v>4</v>
      </c>
      <c r="J641" t="b">
        <f t="shared" si="72"/>
        <v>0</v>
      </c>
      <c r="K641" t="b">
        <f t="shared" si="73"/>
        <v>0</v>
      </c>
      <c r="M641" t="str">
        <f t="shared" si="74"/>
        <v/>
      </c>
      <c r="N641" t="str">
        <f t="shared" si="75"/>
        <v/>
      </c>
      <c r="O641" t="str">
        <f t="shared" si="76"/>
        <v/>
      </c>
      <c r="P641" t="str">
        <f>IF(M641="","",VLOOKUP(B641,'Team Stats'!$B$3:$K$18,5,0))</f>
        <v/>
      </c>
      <c r="Q641" t="str">
        <f t="shared" si="77"/>
        <v/>
      </c>
      <c r="R641" t="str">
        <f>IF(M641="","",VLOOKUP(N641,Sim!$EF$46:$EG$61,2,0))</f>
        <v/>
      </c>
      <c r="S641" t="str">
        <f>IF(M641="","",VLOOKUP(N641,'Team Stats'!$B$3:$K$18,10,0))</f>
        <v/>
      </c>
      <c r="T641" s="84" t="str">
        <f t="shared" si="78"/>
        <v/>
      </c>
      <c r="U641" t="str">
        <f t="shared" si="79"/>
        <v/>
      </c>
    </row>
    <row r="642" spans="1:21">
      <c r="A642" s="73" t="s">
        <v>966</v>
      </c>
      <c r="B642" s="73" t="s">
        <v>222</v>
      </c>
      <c r="C642" s="74">
        <v>23</v>
      </c>
      <c r="D642" s="74"/>
      <c r="E642" s="74">
        <v>1</v>
      </c>
      <c r="F642" s="74"/>
      <c r="G642" s="74">
        <v>3</v>
      </c>
      <c r="H642" s="74"/>
      <c r="I642" s="63">
        <v>4</v>
      </c>
      <c r="J642" t="b">
        <f t="shared" si="72"/>
        <v>0</v>
      </c>
      <c r="K642" t="b">
        <f t="shared" si="73"/>
        <v>0</v>
      </c>
      <c r="M642" t="str">
        <f t="shared" si="74"/>
        <v/>
      </c>
      <c r="N642" t="str">
        <f t="shared" si="75"/>
        <v/>
      </c>
      <c r="O642" t="str">
        <f t="shared" si="76"/>
        <v/>
      </c>
      <c r="P642" t="str">
        <f>IF(M642="","",VLOOKUP(B642,'Team Stats'!$B$3:$K$18,5,0))</f>
        <v/>
      </c>
      <c r="Q642" t="str">
        <f t="shared" si="77"/>
        <v/>
      </c>
      <c r="R642" t="str">
        <f>IF(M642="","",VLOOKUP(N642,Sim!$EF$46:$EG$61,2,0))</f>
        <v/>
      </c>
      <c r="S642" t="str">
        <f>IF(M642="","",VLOOKUP(N642,'Team Stats'!$B$3:$K$18,10,0))</f>
        <v/>
      </c>
      <c r="T642" s="84" t="str">
        <f t="shared" si="78"/>
        <v/>
      </c>
      <c r="U642" t="str">
        <f t="shared" si="79"/>
        <v/>
      </c>
    </row>
    <row r="643" spans="1:21">
      <c r="A643" s="73" t="s">
        <v>967</v>
      </c>
      <c r="B643" s="73" t="s">
        <v>220</v>
      </c>
      <c r="C643" s="74">
        <v>13</v>
      </c>
      <c r="D643" s="74"/>
      <c r="E643" s="74">
        <v>1</v>
      </c>
      <c r="F643" s="74"/>
      <c r="G643" s="74">
        <v>3</v>
      </c>
      <c r="H643" s="74"/>
      <c r="I643" s="63">
        <v>4</v>
      </c>
      <c r="J643" t="b">
        <f t="shared" si="72"/>
        <v>0</v>
      </c>
      <c r="K643" t="b">
        <f t="shared" si="73"/>
        <v>0</v>
      </c>
      <c r="M643" t="str">
        <f t="shared" si="74"/>
        <v/>
      </c>
      <c r="N643" t="str">
        <f t="shared" si="75"/>
        <v/>
      </c>
      <c r="O643" t="str">
        <f t="shared" si="76"/>
        <v/>
      </c>
      <c r="P643" t="str">
        <f>IF(M643="","",VLOOKUP(B643,'Team Stats'!$B$3:$K$18,5,0))</f>
        <v/>
      </c>
      <c r="Q643" t="str">
        <f t="shared" si="77"/>
        <v/>
      </c>
      <c r="R643" t="str">
        <f>IF(M643="","",VLOOKUP(N643,Sim!$EF$46:$EG$61,2,0))</f>
        <v/>
      </c>
      <c r="S643" t="str">
        <f>IF(M643="","",VLOOKUP(N643,'Team Stats'!$B$3:$K$18,10,0))</f>
        <v/>
      </c>
      <c r="T643" s="84" t="str">
        <f t="shared" si="78"/>
        <v/>
      </c>
      <c r="U643" t="str">
        <f t="shared" si="79"/>
        <v/>
      </c>
    </row>
    <row r="644" spans="1:21">
      <c r="A644" s="73" t="s">
        <v>968</v>
      </c>
      <c r="B644" s="73" t="s">
        <v>215</v>
      </c>
      <c r="C644" s="74">
        <v>20</v>
      </c>
      <c r="D644" s="74"/>
      <c r="E644" s="74">
        <v>2</v>
      </c>
      <c r="F644" s="74"/>
      <c r="G644" s="74">
        <v>2</v>
      </c>
      <c r="H644" s="74"/>
      <c r="I644" s="63">
        <v>4</v>
      </c>
      <c r="J644" t="b">
        <f t="shared" ref="J644:J707" si="80">OR(B644="MTL",B644="OTT",B644="TBL",B644="DET",B644="WSH",B644="NYI",B644="NYR",B644="PIT",B644="STL",B644="MIN",B644="NSH",B644="CHI",B644="VAN",B644="CAL",B644="ANA",B644="WPG")</f>
        <v>0</v>
      </c>
      <c r="K644" t="b">
        <f t="shared" ref="K644:K707" si="81">J644</f>
        <v>0</v>
      </c>
      <c r="M644" t="str">
        <f t="shared" ref="M644:M707" si="82">IF(K644=FALSE,"",A644)</f>
        <v/>
      </c>
      <c r="N644" t="str">
        <f t="shared" ref="N644:N707" si="83">IF(M644="","",B644)</f>
        <v/>
      </c>
      <c r="O644" t="str">
        <f t="shared" ref="O644:O707" si="84">IF(M644="","",I644)</f>
        <v/>
      </c>
      <c r="P644" t="str">
        <f>IF(M644="","",VLOOKUP(B644,'Team Stats'!$B$3:$K$18,5,0))</f>
        <v/>
      </c>
      <c r="Q644" t="str">
        <f t="shared" ref="Q644:Q707" si="85">IF(N644="","",IF(O644=0,0,O644/P644))</f>
        <v/>
      </c>
      <c r="R644" t="str">
        <f>IF(M644="","",VLOOKUP(N644,Sim!$EF$46:$EG$61,2,0))</f>
        <v/>
      </c>
      <c r="S644" t="str">
        <f>IF(M644="","",VLOOKUP(N644,'Team Stats'!$B$3:$K$18,10,0))</f>
        <v/>
      </c>
      <c r="T644" s="84" t="str">
        <f t="shared" ref="T644:T707" si="86">IF(M644="","",IF(O644=0,0,Q644*S644))</f>
        <v/>
      </c>
      <c r="U644" t="str">
        <f t="shared" ref="U644:U707" si="87">IF(M644="","",RANK(T644,$T$3:$T$884,0))</f>
        <v/>
      </c>
    </row>
    <row r="645" spans="1:21">
      <c r="A645" s="73" t="s">
        <v>969</v>
      </c>
      <c r="B645" s="73" t="s">
        <v>325</v>
      </c>
      <c r="C645" s="74">
        <v>39</v>
      </c>
      <c r="D645" s="74"/>
      <c r="E645" s="74">
        <v>1</v>
      </c>
      <c r="F645" s="74"/>
      <c r="G645" s="74">
        <v>3</v>
      </c>
      <c r="H645" s="74"/>
      <c r="I645" s="63">
        <v>4</v>
      </c>
      <c r="J645" t="b">
        <f t="shared" si="80"/>
        <v>0</v>
      </c>
      <c r="K645" t="b">
        <f t="shared" si="81"/>
        <v>0</v>
      </c>
      <c r="M645" t="str">
        <f t="shared" si="82"/>
        <v/>
      </c>
      <c r="N645" t="str">
        <f t="shared" si="83"/>
        <v/>
      </c>
      <c r="O645" t="str">
        <f t="shared" si="84"/>
        <v/>
      </c>
      <c r="P645" t="str">
        <f>IF(M645="","",VLOOKUP(B645,'Team Stats'!$B$3:$K$18,5,0))</f>
        <v/>
      </c>
      <c r="Q645" t="str">
        <f t="shared" si="85"/>
        <v/>
      </c>
      <c r="R645" t="str">
        <f>IF(M645="","",VLOOKUP(N645,Sim!$EF$46:$EG$61,2,0))</f>
        <v/>
      </c>
      <c r="S645" t="str">
        <f>IF(M645="","",VLOOKUP(N645,'Team Stats'!$B$3:$K$18,10,0))</f>
        <v/>
      </c>
      <c r="T645" s="84" t="str">
        <f t="shared" si="86"/>
        <v/>
      </c>
      <c r="U645" t="str">
        <f t="shared" si="87"/>
        <v/>
      </c>
    </row>
    <row r="646" spans="1:21">
      <c r="A646" s="73" t="s">
        <v>970</v>
      </c>
      <c r="B646" s="73" t="s">
        <v>221</v>
      </c>
      <c r="C646" s="74">
        <v>33</v>
      </c>
      <c r="D646" s="74"/>
      <c r="E646" s="74">
        <v>1</v>
      </c>
      <c r="F646" s="74"/>
      <c r="G646" s="74">
        <v>3</v>
      </c>
      <c r="H646" s="74"/>
      <c r="I646" s="63">
        <v>4</v>
      </c>
      <c r="J646" t="b">
        <f t="shared" si="80"/>
        <v>0</v>
      </c>
      <c r="K646" t="b">
        <f t="shared" si="81"/>
        <v>0</v>
      </c>
      <c r="M646" t="str">
        <f t="shared" si="82"/>
        <v/>
      </c>
      <c r="N646" t="str">
        <f t="shared" si="83"/>
        <v/>
      </c>
      <c r="O646" t="str">
        <f t="shared" si="84"/>
        <v/>
      </c>
      <c r="P646" t="str">
        <f>IF(M646="","",VLOOKUP(B646,'Team Stats'!$B$3:$K$18,5,0))</f>
        <v/>
      </c>
      <c r="Q646" t="str">
        <f t="shared" si="85"/>
        <v/>
      </c>
      <c r="R646" t="str">
        <f>IF(M646="","",VLOOKUP(N646,Sim!$EF$46:$EG$61,2,0))</f>
        <v/>
      </c>
      <c r="S646" t="str">
        <f>IF(M646="","",VLOOKUP(N646,'Team Stats'!$B$3:$K$18,10,0))</f>
        <v/>
      </c>
      <c r="T646" s="84" t="str">
        <f t="shared" si="86"/>
        <v/>
      </c>
      <c r="U646" t="str">
        <f t="shared" si="87"/>
        <v/>
      </c>
    </row>
    <row r="647" spans="1:21">
      <c r="A647" s="73" t="s">
        <v>971</v>
      </c>
      <c r="B647" s="73" t="s">
        <v>340</v>
      </c>
      <c r="C647" s="74">
        <v>38</v>
      </c>
      <c r="D647" s="74"/>
      <c r="E647" s="74">
        <v>3</v>
      </c>
      <c r="F647" s="74"/>
      <c r="G647" s="74">
        <v>1</v>
      </c>
      <c r="H647" s="74"/>
      <c r="I647" s="63">
        <v>4</v>
      </c>
      <c r="J647" t="b">
        <f t="shared" si="80"/>
        <v>0</v>
      </c>
      <c r="K647" t="b">
        <f t="shared" si="81"/>
        <v>0</v>
      </c>
      <c r="M647" t="str">
        <f t="shared" si="82"/>
        <v/>
      </c>
      <c r="N647" t="str">
        <f t="shared" si="83"/>
        <v/>
      </c>
      <c r="O647" t="str">
        <f t="shared" si="84"/>
        <v/>
      </c>
      <c r="P647" t="str">
        <f>IF(M647="","",VLOOKUP(B647,'Team Stats'!$B$3:$K$18,5,0))</f>
        <v/>
      </c>
      <c r="Q647" t="str">
        <f t="shared" si="85"/>
        <v/>
      </c>
      <c r="R647" t="str">
        <f>IF(M647="","",VLOOKUP(N647,Sim!$EF$46:$EG$61,2,0))</f>
        <v/>
      </c>
      <c r="S647" t="str">
        <f>IF(M647="","",VLOOKUP(N647,'Team Stats'!$B$3:$K$18,10,0))</f>
        <v/>
      </c>
      <c r="T647" s="84" t="str">
        <f t="shared" si="86"/>
        <v/>
      </c>
      <c r="U647" t="str">
        <f t="shared" si="87"/>
        <v/>
      </c>
    </row>
    <row r="648" spans="1:21">
      <c r="A648" s="73" t="s">
        <v>972</v>
      </c>
      <c r="B648" s="73" t="s">
        <v>208</v>
      </c>
      <c r="C648" s="74">
        <v>44</v>
      </c>
      <c r="D648" s="74"/>
      <c r="E648" s="74">
        <v>1</v>
      </c>
      <c r="F648" s="74"/>
      <c r="G648" s="74">
        <v>3</v>
      </c>
      <c r="H648" s="74"/>
      <c r="I648" s="63">
        <v>4</v>
      </c>
      <c r="J648" t="b">
        <f t="shared" si="80"/>
        <v>0</v>
      </c>
      <c r="K648" t="b">
        <f t="shared" si="81"/>
        <v>0</v>
      </c>
      <c r="M648" t="str">
        <f t="shared" si="82"/>
        <v/>
      </c>
      <c r="N648" t="str">
        <f t="shared" si="83"/>
        <v/>
      </c>
      <c r="O648" t="str">
        <f t="shared" si="84"/>
        <v/>
      </c>
      <c r="P648" t="str">
        <f>IF(M648="","",VLOOKUP(B648,'Team Stats'!$B$3:$K$18,5,0))</f>
        <v/>
      </c>
      <c r="Q648" t="str">
        <f t="shared" si="85"/>
        <v/>
      </c>
      <c r="R648" t="str">
        <f>IF(M648="","",VLOOKUP(N648,Sim!$EF$46:$EG$61,2,0))</f>
        <v/>
      </c>
      <c r="S648" t="str">
        <f>IF(M648="","",VLOOKUP(N648,'Team Stats'!$B$3:$K$18,10,0))</f>
        <v/>
      </c>
      <c r="T648" s="84" t="str">
        <f t="shared" si="86"/>
        <v/>
      </c>
      <c r="U648" t="str">
        <f t="shared" si="87"/>
        <v/>
      </c>
    </row>
    <row r="649" spans="1:21">
      <c r="A649" s="73" t="s">
        <v>973</v>
      </c>
      <c r="B649" s="73" t="s">
        <v>206</v>
      </c>
      <c r="C649" s="74">
        <v>21</v>
      </c>
      <c r="D649" s="74"/>
      <c r="E649" s="74">
        <v>1</v>
      </c>
      <c r="F649" s="74"/>
      <c r="G649" s="74">
        <v>3</v>
      </c>
      <c r="H649" s="74"/>
      <c r="I649" s="63">
        <v>4</v>
      </c>
      <c r="J649" t="b">
        <f t="shared" si="80"/>
        <v>1</v>
      </c>
      <c r="K649" t="b">
        <f t="shared" si="81"/>
        <v>1</v>
      </c>
      <c r="M649" t="str">
        <f t="shared" si="82"/>
        <v> Adam Clendening</v>
      </c>
      <c r="N649" t="str">
        <f t="shared" si="83"/>
        <v>VAN</v>
      </c>
      <c r="O649">
        <f t="shared" si="84"/>
        <v>4</v>
      </c>
      <c r="P649">
        <f>IF(M649="","",VLOOKUP(B649,'Team Stats'!$B$3:$K$18,5,0))</f>
        <v>642</v>
      </c>
      <c r="Q649">
        <f t="shared" si="85"/>
        <v>6.2305295950155761E-3</v>
      </c>
      <c r="R649">
        <f ca="1">IF(M649="","",VLOOKUP(N649,Sim!$EF$46:$EG$61,2,0))</f>
        <v>10.35</v>
      </c>
      <c r="S649">
        <f ca="1">IF(M649="","",VLOOKUP(N649,'Team Stats'!$B$3:$K$18,10,0))</f>
        <v>81.032926829268291</v>
      </c>
      <c r="T649" s="84">
        <f t="shared" ca="1" si="86"/>
        <v>0.50487804878048781</v>
      </c>
      <c r="U649">
        <f t="shared" ca="1" si="87"/>
        <v>240</v>
      </c>
    </row>
    <row r="650" spans="1:21">
      <c r="A650" s="73" t="s">
        <v>974</v>
      </c>
      <c r="B650" s="73" t="s">
        <v>340</v>
      </c>
      <c r="C650" s="74">
        <v>39</v>
      </c>
      <c r="D650" s="74"/>
      <c r="E650" s="74">
        <v>1</v>
      </c>
      <c r="F650" s="74"/>
      <c r="G650" s="74">
        <v>3</v>
      </c>
      <c r="H650" s="74"/>
      <c r="I650" s="63">
        <v>4</v>
      </c>
      <c r="J650" t="b">
        <f t="shared" si="80"/>
        <v>0</v>
      </c>
      <c r="K650" t="b">
        <f t="shared" si="81"/>
        <v>0</v>
      </c>
      <c r="M650" t="str">
        <f t="shared" si="82"/>
        <v/>
      </c>
      <c r="N650" t="str">
        <f t="shared" si="83"/>
        <v/>
      </c>
      <c r="O650" t="str">
        <f t="shared" si="84"/>
        <v/>
      </c>
      <c r="P650" t="str">
        <f>IF(M650="","",VLOOKUP(B650,'Team Stats'!$B$3:$K$18,5,0))</f>
        <v/>
      </c>
      <c r="Q650" t="str">
        <f t="shared" si="85"/>
        <v/>
      </c>
      <c r="R650" t="str">
        <f>IF(M650="","",VLOOKUP(N650,Sim!$EF$46:$EG$61,2,0))</f>
        <v/>
      </c>
      <c r="S650" t="str">
        <f>IF(M650="","",VLOOKUP(N650,'Team Stats'!$B$3:$K$18,10,0))</f>
        <v/>
      </c>
      <c r="T650" s="84" t="str">
        <f t="shared" si="86"/>
        <v/>
      </c>
      <c r="U650" t="str">
        <f t="shared" si="87"/>
        <v/>
      </c>
    </row>
    <row r="651" spans="1:21">
      <c r="A651" s="73" t="s">
        <v>975</v>
      </c>
      <c r="B651" s="73" t="s">
        <v>213</v>
      </c>
      <c r="C651" s="74">
        <v>63</v>
      </c>
      <c r="D651" s="74"/>
      <c r="E651" s="74">
        <v>1</v>
      </c>
      <c r="F651" s="74"/>
      <c r="G651" s="74">
        <v>3</v>
      </c>
      <c r="H651" s="74"/>
      <c r="I651" s="63">
        <v>4</v>
      </c>
      <c r="J651" t="b">
        <f t="shared" si="80"/>
        <v>0</v>
      </c>
      <c r="K651" t="b">
        <f t="shared" si="81"/>
        <v>0</v>
      </c>
      <c r="M651" t="str">
        <f t="shared" si="82"/>
        <v/>
      </c>
      <c r="N651" t="str">
        <f t="shared" si="83"/>
        <v/>
      </c>
      <c r="O651" t="str">
        <f t="shared" si="84"/>
        <v/>
      </c>
      <c r="P651" t="str">
        <f>IF(M651="","",VLOOKUP(B651,'Team Stats'!$B$3:$K$18,5,0))</f>
        <v/>
      </c>
      <c r="Q651" t="str">
        <f t="shared" si="85"/>
        <v/>
      </c>
      <c r="R651" t="str">
        <f>IF(M651="","",VLOOKUP(N651,Sim!$EF$46:$EG$61,2,0))</f>
        <v/>
      </c>
      <c r="S651" t="str">
        <f>IF(M651="","",VLOOKUP(N651,'Team Stats'!$B$3:$K$18,10,0))</f>
        <v/>
      </c>
      <c r="T651" s="84" t="str">
        <f t="shared" si="86"/>
        <v/>
      </c>
      <c r="U651" t="str">
        <f t="shared" si="87"/>
        <v/>
      </c>
    </row>
    <row r="652" spans="1:21">
      <c r="A652" s="73" t="s">
        <v>976</v>
      </c>
      <c r="B652" s="73" t="s">
        <v>210</v>
      </c>
      <c r="C652" s="74">
        <v>24</v>
      </c>
      <c r="D652" s="74"/>
      <c r="E652" s="74">
        <v>0</v>
      </c>
      <c r="F652" s="74"/>
      <c r="G652" s="74">
        <v>4</v>
      </c>
      <c r="H652" s="74"/>
      <c r="I652" s="63">
        <v>4</v>
      </c>
      <c r="J652" t="b">
        <f t="shared" si="80"/>
        <v>1</v>
      </c>
      <c r="K652" t="b">
        <f t="shared" si="81"/>
        <v>1</v>
      </c>
      <c r="M652" t="str">
        <f t="shared" si="82"/>
        <v> Grant Clitsome</v>
      </c>
      <c r="N652" t="str">
        <f t="shared" si="83"/>
        <v>WPG</v>
      </c>
      <c r="O652">
        <f t="shared" si="84"/>
        <v>4</v>
      </c>
      <c r="P652">
        <f>IF(M652="","",VLOOKUP(B652,'Team Stats'!$B$3:$K$18,5,0))</f>
        <v>594</v>
      </c>
      <c r="Q652">
        <f t="shared" si="85"/>
        <v>6.7340067340067337E-3</v>
      </c>
      <c r="R652">
        <f ca="1">IF(M652="","",VLOOKUP(N652,Sim!$EF$46:$EG$61,2,0))</f>
        <v>8.94</v>
      </c>
      <c r="S652">
        <f ca="1">IF(M652="","",VLOOKUP(N652,'Team Stats'!$B$3:$K$18,10,0))</f>
        <v>64.760487804878053</v>
      </c>
      <c r="T652" s="84">
        <f t="shared" ca="1" si="86"/>
        <v>0.43609756097560975</v>
      </c>
      <c r="U652">
        <f t="shared" ca="1" si="87"/>
        <v>243</v>
      </c>
    </row>
    <row r="653" spans="1:21">
      <c r="A653" s="73" t="s">
        <v>977</v>
      </c>
      <c r="B653" s="73" t="s">
        <v>340</v>
      </c>
      <c r="C653" s="74">
        <v>7</v>
      </c>
      <c r="D653" s="74"/>
      <c r="E653" s="74">
        <v>0</v>
      </c>
      <c r="F653" s="74"/>
      <c r="G653" s="74">
        <v>4</v>
      </c>
      <c r="H653" s="74"/>
      <c r="I653" s="63">
        <v>4</v>
      </c>
      <c r="J653" t="b">
        <f t="shared" si="80"/>
        <v>0</v>
      </c>
      <c r="K653" t="b">
        <f t="shared" si="81"/>
        <v>0</v>
      </c>
      <c r="M653" t="str">
        <f t="shared" si="82"/>
        <v/>
      </c>
      <c r="N653" t="str">
        <f t="shared" si="83"/>
        <v/>
      </c>
      <c r="O653" t="str">
        <f t="shared" si="84"/>
        <v/>
      </c>
      <c r="P653" t="str">
        <f>IF(M653="","",VLOOKUP(B653,'Team Stats'!$B$3:$K$18,5,0))</f>
        <v/>
      </c>
      <c r="Q653" t="str">
        <f t="shared" si="85"/>
        <v/>
      </c>
      <c r="R653" t="str">
        <f>IF(M653="","",VLOOKUP(N653,Sim!$EF$46:$EG$61,2,0))</f>
        <v/>
      </c>
      <c r="S653" t="str">
        <f>IF(M653="","",VLOOKUP(N653,'Team Stats'!$B$3:$K$18,10,0))</f>
        <v/>
      </c>
      <c r="T653" s="84" t="str">
        <f t="shared" si="86"/>
        <v/>
      </c>
      <c r="U653" t="str">
        <f t="shared" si="87"/>
        <v/>
      </c>
    </row>
    <row r="654" spans="1:21">
      <c r="A654" s="73" t="s">
        <v>978</v>
      </c>
      <c r="B654" s="73" t="s">
        <v>222</v>
      </c>
      <c r="C654" s="74">
        <v>27</v>
      </c>
      <c r="D654" s="74"/>
      <c r="E654" s="74">
        <v>2</v>
      </c>
      <c r="F654" s="74"/>
      <c r="G654" s="74">
        <v>2</v>
      </c>
      <c r="H654" s="74"/>
      <c r="I654" s="63">
        <v>4</v>
      </c>
      <c r="J654" t="b">
        <f t="shared" si="80"/>
        <v>0</v>
      </c>
      <c r="K654" t="b">
        <f t="shared" si="81"/>
        <v>0</v>
      </c>
      <c r="M654" t="str">
        <f t="shared" si="82"/>
        <v/>
      </c>
      <c r="N654" t="str">
        <f t="shared" si="83"/>
        <v/>
      </c>
      <c r="O654" t="str">
        <f t="shared" si="84"/>
        <v/>
      </c>
      <c r="P654" t="str">
        <f>IF(M654="","",VLOOKUP(B654,'Team Stats'!$B$3:$K$18,5,0))</f>
        <v/>
      </c>
      <c r="Q654" t="str">
        <f t="shared" si="85"/>
        <v/>
      </c>
      <c r="R654" t="str">
        <f>IF(M654="","",VLOOKUP(N654,Sim!$EF$46:$EG$61,2,0))</f>
        <v/>
      </c>
      <c r="S654" t="str">
        <f>IF(M654="","",VLOOKUP(N654,'Team Stats'!$B$3:$K$18,10,0))</f>
        <v/>
      </c>
      <c r="T654" s="84" t="str">
        <f t="shared" si="86"/>
        <v/>
      </c>
      <c r="U654" t="str">
        <f t="shared" si="87"/>
        <v/>
      </c>
    </row>
    <row r="655" spans="1:21">
      <c r="A655" s="73" t="s">
        <v>979</v>
      </c>
      <c r="B655" s="73" t="s">
        <v>212</v>
      </c>
      <c r="C655" s="74">
        <v>6</v>
      </c>
      <c r="D655" s="74"/>
      <c r="E655" s="74">
        <v>0</v>
      </c>
      <c r="F655" s="74"/>
      <c r="G655" s="74">
        <v>3</v>
      </c>
      <c r="H655" s="74"/>
      <c r="I655" s="63">
        <v>3</v>
      </c>
      <c r="J655" t="b">
        <f t="shared" si="80"/>
        <v>1</v>
      </c>
      <c r="K655" t="b">
        <f t="shared" si="81"/>
        <v>1</v>
      </c>
      <c r="M655" t="str">
        <f t="shared" si="82"/>
        <v> Brett Sutter</v>
      </c>
      <c r="N655" t="str">
        <f t="shared" si="83"/>
        <v>MIN</v>
      </c>
      <c r="O655">
        <f t="shared" si="84"/>
        <v>3</v>
      </c>
      <c r="P655">
        <f>IF(M655="","",VLOOKUP(B655,'Team Stats'!$B$3:$K$18,5,0))</f>
        <v>608</v>
      </c>
      <c r="Q655">
        <f t="shared" si="85"/>
        <v>4.9342105263157892E-3</v>
      </c>
      <c r="R655">
        <f ca="1">IF(M655="","",VLOOKUP(N655,Sim!$EF$46:$EG$61,2,0))</f>
        <v>11.71</v>
      </c>
      <c r="S655">
        <f ca="1">IF(M655="","",VLOOKUP(N655,'Team Stats'!$B$3:$K$18,10,0))</f>
        <v>86.825365853658553</v>
      </c>
      <c r="T655" s="84">
        <f t="shared" ca="1" si="86"/>
        <v>0.42841463414634151</v>
      </c>
      <c r="U655">
        <f t="shared" ca="1" si="87"/>
        <v>244</v>
      </c>
    </row>
    <row r="656" spans="1:21">
      <c r="A656" s="73" t="s">
        <v>980</v>
      </c>
      <c r="B656" s="73" t="s">
        <v>214</v>
      </c>
      <c r="C656" s="74">
        <v>13</v>
      </c>
      <c r="D656" s="74"/>
      <c r="E656" s="74">
        <v>2</v>
      </c>
      <c r="F656" s="74"/>
      <c r="G656" s="74">
        <v>1</v>
      </c>
      <c r="H656" s="74"/>
      <c r="I656" s="63">
        <v>3</v>
      </c>
      <c r="J656" t="b">
        <f t="shared" si="80"/>
        <v>1</v>
      </c>
      <c r="K656" t="b">
        <f t="shared" si="81"/>
        <v>1</v>
      </c>
      <c r="M656" t="str">
        <f t="shared" si="82"/>
        <v> Matt Puempel</v>
      </c>
      <c r="N656" t="str">
        <f t="shared" si="83"/>
        <v>OTT</v>
      </c>
      <c r="O656">
        <f t="shared" si="84"/>
        <v>3</v>
      </c>
      <c r="P656">
        <f>IF(M656="","",VLOOKUP(B656,'Team Stats'!$B$3:$K$18,5,0))</f>
        <v>619</v>
      </c>
      <c r="Q656">
        <f t="shared" si="85"/>
        <v>4.8465266558966073E-3</v>
      </c>
      <c r="R656">
        <f ca="1">IF(M656="","",VLOOKUP(N656,Sim!$EF$46:$EG$61,2,0))</f>
        <v>10.71</v>
      </c>
      <c r="S656">
        <f ca="1">IF(M656="","",VLOOKUP(N656,'Team Stats'!$B$3:$K$18,10,0))</f>
        <v>80.847439024390255</v>
      </c>
      <c r="T656" s="84">
        <f t="shared" ca="1" si="86"/>
        <v>0.39182926829268294</v>
      </c>
      <c r="U656">
        <f t="shared" ca="1" si="87"/>
        <v>246</v>
      </c>
    </row>
    <row r="657" spans="1:21">
      <c r="A657" s="73" t="s">
        <v>981</v>
      </c>
      <c r="B657" s="73" t="s">
        <v>213</v>
      </c>
      <c r="C657" s="74">
        <v>9</v>
      </c>
      <c r="D657" s="74"/>
      <c r="E657" s="74">
        <v>0</v>
      </c>
      <c r="F657" s="74"/>
      <c r="G657" s="74">
        <v>3</v>
      </c>
      <c r="H657" s="74"/>
      <c r="I657" s="63">
        <v>3</v>
      </c>
      <c r="J657" t="b">
        <f t="shared" si="80"/>
        <v>0</v>
      </c>
      <c r="K657" t="b">
        <f t="shared" si="81"/>
        <v>0</v>
      </c>
      <c r="M657" t="str">
        <f t="shared" si="82"/>
        <v/>
      </c>
      <c r="N657" t="str">
        <f t="shared" si="83"/>
        <v/>
      </c>
      <c r="O657" t="str">
        <f t="shared" si="84"/>
        <v/>
      </c>
      <c r="P657" t="str">
        <f>IF(M657="","",VLOOKUP(B657,'Team Stats'!$B$3:$K$18,5,0))</f>
        <v/>
      </c>
      <c r="Q657" t="str">
        <f t="shared" si="85"/>
        <v/>
      </c>
      <c r="R657" t="str">
        <f>IF(M657="","",VLOOKUP(N657,Sim!$EF$46:$EG$61,2,0))</f>
        <v/>
      </c>
      <c r="S657" t="str">
        <f>IF(M657="","",VLOOKUP(N657,'Team Stats'!$B$3:$K$18,10,0))</f>
        <v/>
      </c>
      <c r="T657" s="84" t="str">
        <f t="shared" si="86"/>
        <v/>
      </c>
      <c r="U657" t="str">
        <f t="shared" si="87"/>
        <v/>
      </c>
    </row>
    <row r="658" spans="1:21">
      <c r="A658" s="73" t="s">
        <v>982</v>
      </c>
      <c r="B658" s="73" t="s">
        <v>331</v>
      </c>
      <c r="C658" s="74">
        <v>12</v>
      </c>
      <c r="D658" s="74"/>
      <c r="E658" s="74">
        <v>1</v>
      </c>
      <c r="F658" s="74"/>
      <c r="G658" s="74">
        <v>2</v>
      </c>
      <c r="H658" s="74"/>
      <c r="I658" s="63">
        <v>3</v>
      </c>
      <c r="J658" t="b">
        <f t="shared" si="80"/>
        <v>0</v>
      </c>
      <c r="K658" t="b">
        <f t="shared" si="81"/>
        <v>0</v>
      </c>
      <c r="M658" t="str">
        <f t="shared" si="82"/>
        <v/>
      </c>
      <c r="N658" t="str">
        <f t="shared" si="83"/>
        <v/>
      </c>
      <c r="O658" t="str">
        <f t="shared" si="84"/>
        <v/>
      </c>
      <c r="P658" t="str">
        <f>IF(M658="","",VLOOKUP(B658,'Team Stats'!$B$3:$K$18,5,0))</f>
        <v/>
      </c>
      <c r="Q658" t="str">
        <f t="shared" si="85"/>
        <v/>
      </c>
      <c r="R658" t="str">
        <f>IF(M658="","",VLOOKUP(N658,Sim!$EF$46:$EG$61,2,0))</f>
        <v/>
      </c>
      <c r="S658" t="str">
        <f>IF(M658="","",VLOOKUP(N658,'Team Stats'!$B$3:$K$18,10,0))</f>
        <v/>
      </c>
      <c r="T658" s="84" t="str">
        <f t="shared" si="86"/>
        <v/>
      </c>
      <c r="U658" t="str">
        <f t="shared" si="87"/>
        <v/>
      </c>
    </row>
    <row r="659" spans="1:21">
      <c r="A659" s="73" t="s">
        <v>983</v>
      </c>
      <c r="B659" s="73" t="s">
        <v>203</v>
      </c>
      <c r="C659" s="74">
        <v>20</v>
      </c>
      <c r="D659" s="74"/>
      <c r="E659" s="74">
        <v>0</v>
      </c>
      <c r="F659" s="74"/>
      <c r="G659" s="74">
        <v>3</v>
      </c>
      <c r="H659" s="74"/>
      <c r="I659" s="63">
        <v>3</v>
      </c>
      <c r="J659" t="b">
        <f t="shared" si="80"/>
        <v>1</v>
      </c>
      <c r="K659" t="b">
        <f t="shared" si="81"/>
        <v>1</v>
      </c>
      <c r="M659" t="str">
        <f t="shared" si="82"/>
        <v> Chris Summers</v>
      </c>
      <c r="N659" t="str">
        <f t="shared" si="83"/>
        <v>NYR</v>
      </c>
      <c r="O659">
        <f t="shared" si="84"/>
        <v>3</v>
      </c>
      <c r="P659">
        <f>IF(M659="","",VLOOKUP(B659,'Team Stats'!$B$3:$K$18,5,0))</f>
        <v>659</v>
      </c>
      <c r="Q659">
        <f t="shared" si="85"/>
        <v>4.552352048558422E-3</v>
      </c>
      <c r="R659">
        <f ca="1">IF(M659="","",VLOOKUP(N659,Sim!$EF$46:$EG$61,2,0))</f>
        <v>8.7200000000000006</v>
      </c>
      <c r="S659">
        <f ca="1">IF(M659="","",VLOOKUP(N659,'Team Stats'!$B$3:$K$18,10,0))</f>
        <v>70.079024390243916</v>
      </c>
      <c r="T659" s="84">
        <f t="shared" ca="1" si="86"/>
        <v>0.3190243902439025</v>
      </c>
      <c r="U659">
        <f t="shared" ca="1" si="87"/>
        <v>254</v>
      </c>
    </row>
    <row r="660" spans="1:21">
      <c r="A660" s="73" t="s">
        <v>984</v>
      </c>
      <c r="B660" s="73" t="s">
        <v>219</v>
      </c>
      <c r="C660" s="74">
        <v>33</v>
      </c>
      <c r="D660" s="74"/>
      <c r="E660" s="74">
        <v>0</v>
      </c>
      <c r="F660" s="74"/>
      <c r="G660" s="74">
        <v>3</v>
      </c>
      <c r="H660" s="74"/>
      <c r="I660" s="63">
        <v>3</v>
      </c>
      <c r="J660" t="b">
        <f t="shared" si="80"/>
        <v>0</v>
      </c>
      <c r="K660" t="b">
        <f t="shared" si="81"/>
        <v>0</v>
      </c>
      <c r="M660" t="str">
        <f t="shared" si="82"/>
        <v/>
      </c>
      <c r="N660" t="str">
        <f t="shared" si="83"/>
        <v/>
      </c>
      <c r="O660" t="str">
        <f t="shared" si="84"/>
        <v/>
      </c>
      <c r="P660" t="str">
        <f>IF(M660="","",VLOOKUP(B660,'Team Stats'!$B$3:$K$18,5,0))</f>
        <v/>
      </c>
      <c r="Q660" t="str">
        <f t="shared" si="85"/>
        <v/>
      </c>
      <c r="R660" t="str">
        <f>IF(M660="","",VLOOKUP(N660,Sim!$EF$46:$EG$61,2,0))</f>
        <v/>
      </c>
      <c r="S660" t="str">
        <f>IF(M660="","",VLOOKUP(N660,'Team Stats'!$B$3:$K$18,10,0))</f>
        <v/>
      </c>
      <c r="T660" s="84" t="str">
        <f t="shared" si="86"/>
        <v/>
      </c>
      <c r="U660" t="str">
        <f t="shared" si="87"/>
        <v/>
      </c>
    </row>
    <row r="661" spans="1:21">
      <c r="A661" s="73" t="s">
        <v>985</v>
      </c>
      <c r="B661" s="73" t="s">
        <v>340</v>
      </c>
      <c r="C661" s="74">
        <v>20</v>
      </c>
      <c r="D661" s="74"/>
      <c r="E661" s="74">
        <v>1</v>
      </c>
      <c r="F661" s="74"/>
      <c r="G661" s="74">
        <v>2</v>
      </c>
      <c r="H661" s="74"/>
      <c r="I661" s="63">
        <v>3</v>
      </c>
      <c r="J661" t="b">
        <f t="shared" si="80"/>
        <v>0</v>
      </c>
      <c r="K661" t="b">
        <f t="shared" si="81"/>
        <v>0</v>
      </c>
      <c r="M661" t="str">
        <f t="shared" si="82"/>
        <v/>
      </c>
      <c r="N661" t="str">
        <f t="shared" si="83"/>
        <v/>
      </c>
      <c r="O661" t="str">
        <f t="shared" si="84"/>
        <v/>
      </c>
      <c r="P661" t="str">
        <f>IF(M661="","",VLOOKUP(B661,'Team Stats'!$B$3:$K$18,5,0))</f>
        <v/>
      </c>
      <c r="Q661" t="str">
        <f t="shared" si="85"/>
        <v/>
      </c>
      <c r="R661" t="str">
        <f>IF(M661="","",VLOOKUP(N661,Sim!$EF$46:$EG$61,2,0))</f>
        <v/>
      </c>
      <c r="S661" t="str">
        <f>IF(M661="","",VLOOKUP(N661,'Team Stats'!$B$3:$K$18,10,0))</f>
        <v/>
      </c>
      <c r="T661" s="84" t="str">
        <f t="shared" si="86"/>
        <v/>
      </c>
      <c r="U661" t="str">
        <f t="shared" si="87"/>
        <v/>
      </c>
    </row>
    <row r="662" spans="1:21">
      <c r="A662" s="73" t="s">
        <v>986</v>
      </c>
      <c r="B662" s="73" t="s">
        <v>221</v>
      </c>
      <c r="C662" s="74">
        <v>42</v>
      </c>
      <c r="D662" s="74"/>
      <c r="E662" s="74">
        <v>0</v>
      </c>
      <c r="F662" s="74"/>
      <c r="G662" s="74">
        <v>3</v>
      </c>
      <c r="H662" s="74"/>
      <c r="I662" s="63">
        <v>3</v>
      </c>
      <c r="J662" t="b">
        <f t="shared" si="80"/>
        <v>0</v>
      </c>
      <c r="K662" t="b">
        <f t="shared" si="81"/>
        <v>0</v>
      </c>
      <c r="M662" t="str">
        <f t="shared" si="82"/>
        <v/>
      </c>
      <c r="N662" t="str">
        <f t="shared" si="83"/>
        <v/>
      </c>
      <c r="O662" t="str">
        <f t="shared" si="84"/>
        <v/>
      </c>
      <c r="P662" t="str">
        <f>IF(M662="","",VLOOKUP(B662,'Team Stats'!$B$3:$K$18,5,0))</f>
        <v/>
      </c>
      <c r="Q662" t="str">
        <f t="shared" si="85"/>
        <v/>
      </c>
      <c r="R662" t="str">
        <f>IF(M662="","",VLOOKUP(N662,Sim!$EF$46:$EG$61,2,0))</f>
        <v/>
      </c>
      <c r="S662" t="str">
        <f>IF(M662="","",VLOOKUP(N662,'Team Stats'!$B$3:$K$18,10,0))</f>
        <v/>
      </c>
      <c r="T662" s="84" t="str">
        <f t="shared" si="86"/>
        <v/>
      </c>
      <c r="U662" t="str">
        <f t="shared" si="87"/>
        <v/>
      </c>
    </row>
    <row r="663" spans="1:21">
      <c r="A663" s="73" t="s">
        <v>987</v>
      </c>
      <c r="B663" s="73" t="s">
        <v>208</v>
      </c>
      <c r="C663" s="74">
        <v>11</v>
      </c>
      <c r="D663" s="74"/>
      <c r="E663" s="74">
        <v>1</v>
      </c>
      <c r="F663" s="74"/>
      <c r="G663" s="74">
        <v>2</v>
      </c>
      <c r="H663" s="74"/>
      <c r="I663" s="63">
        <v>3</v>
      </c>
      <c r="J663" t="b">
        <f t="shared" si="80"/>
        <v>0</v>
      </c>
      <c r="K663" t="b">
        <f t="shared" si="81"/>
        <v>0</v>
      </c>
      <c r="M663" t="str">
        <f t="shared" si="82"/>
        <v/>
      </c>
      <c r="N663" t="str">
        <f t="shared" si="83"/>
        <v/>
      </c>
      <c r="O663" t="str">
        <f t="shared" si="84"/>
        <v/>
      </c>
      <c r="P663" t="str">
        <f>IF(M663="","",VLOOKUP(B663,'Team Stats'!$B$3:$K$18,5,0))</f>
        <v/>
      </c>
      <c r="Q663" t="str">
        <f t="shared" si="85"/>
        <v/>
      </c>
      <c r="R663" t="str">
        <f>IF(M663="","",VLOOKUP(N663,Sim!$EF$46:$EG$61,2,0))</f>
        <v/>
      </c>
      <c r="S663" t="str">
        <f>IF(M663="","",VLOOKUP(N663,'Team Stats'!$B$3:$K$18,10,0))</f>
        <v/>
      </c>
      <c r="T663" s="84" t="str">
        <f t="shared" si="86"/>
        <v/>
      </c>
      <c r="U663" t="str">
        <f t="shared" si="87"/>
        <v/>
      </c>
    </row>
    <row r="664" spans="1:21">
      <c r="A664" s="73" t="s">
        <v>988</v>
      </c>
      <c r="B664" s="73" t="s">
        <v>215</v>
      </c>
      <c r="C664" s="74">
        <v>40</v>
      </c>
      <c r="D664" s="74"/>
      <c r="E664" s="74">
        <v>2</v>
      </c>
      <c r="F664" s="74"/>
      <c r="G664" s="74">
        <v>1</v>
      </c>
      <c r="H664" s="74"/>
      <c r="I664" s="63">
        <v>3</v>
      </c>
      <c r="J664" t="b">
        <f t="shared" si="80"/>
        <v>0</v>
      </c>
      <c r="K664" t="b">
        <f t="shared" si="81"/>
        <v>0</v>
      </c>
      <c r="M664" t="str">
        <f t="shared" si="82"/>
        <v/>
      </c>
      <c r="N664" t="str">
        <f t="shared" si="83"/>
        <v/>
      </c>
      <c r="O664" t="str">
        <f t="shared" si="84"/>
        <v/>
      </c>
      <c r="P664" t="str">
        <f>IF(M664="","",VLOOKUP(B664,'Team Stats'!$B$3:$K$18,5,0))</f>
        <v/>
      </c>
      <c r="Q664" t="str">
        <f t="shared" si="85"/>
        <v/>
      </c>
      <c r="R664" t="str">
        <f>IF(M664="","",VLOOKUP(N664,Sim!$EF$46:$EG$61,2,0))</f>
        <v/>
      </c>
      <c r="S664" t="str">
        <f>IF(M664="","",VLOOKUP(N664,'Team Stats'!$B$3:$K$18,10,0))</f>
        <v/>
      </c>
      <c r="T664" s="84" t="str">
        <f t="shared" si="86"/>
        <v/>
      </c>
      <c r="U664" t="str">
        <f t="shared" si="87"/>
        <v/>
      </c>
    </row>
    <row r="665" spans="1:21">
      <c r="A665" s="73" t="s">
        <v>989</v>
      </c>
      <c r="B665" s="73" t="s">
        <v>357</v>
      </c>
      <c r="C665" s="74">
        <v>18</v>
      </c>
      <c r="D665" s="74"/>
      <c r="E665" s="74">
        <v>2</v>
      </c>
      <c r="F665" s="74"/>
      <c r="G665" s="74">
        <v>1</v>
      </c>
      <c r="H665" s="74"/>
      <c r="I665" s="63">
        <v>3</v>
      </c>
      <c r="J665" t="b">
        <f t="shared" si="80"/>
        <v>0</v>
      </c>
      <c r="K665" t="b">
        <f t="shared" si="81"/>
        <v>0</v>
      </c>
      <c r="M665" t="str">
        <f t="shared" si="82"/>
        <v/>
      </c>
      <c r="N665" t="str">
        <f t="shared" si="83"/>
        <v/>
      </c>
      <c r="O665" t="str">
        <f t="shared" si="84"/>
        <v/>
      </c>
      <c r="P665" t="str">
        <f>IF(M665="","",VLOOKUP(B665,'Team Stats'!$B$3:$K$18,5,0))</f>
        <v/>
      </c>
      <c r="Q665" t="str">
        <f t="shared" si="85"/>
        <v/>
      </c>
      <c r="R665" t="str">
        <f>IF(M665="","",VLOOKUP(N665,Sim!$EF$46:$EG$61,2,0))</f>
        <v/>
      </c>
      <c r="S665" t="str">
        <f>IF(M665="","",VLOOKUP(N665,'Team Stats'!$B$3:$K$18,10,0))</f>
        <v/>
      </c>
      <c r="T665" s="84" t="str">
        <f t="shared" si="86"/>
        <v/>
      </c>
      <c r="U665" t="str">
        <f t="shared" si="87"/>
        <v/>
      </c>
    </row>
    <row r="666" spans="1:21">
      <c r="A666" s="73" t="s">
        <v>990</v>
      </c>
      <c r="B666" s="73" t="s">
        <v>214</v>
      </c>
      <c r="C666" s="74">
        <v>37</v>
      </c>
      <c r="D666" s="74"/>
      <c r="E666" s="74">
        <v>2</v>
      </c>
      <c r="F666" s="74"/>
      <c r="G666" s="74">
        <v>1</v>
      </c>
      <c r="H666" s="74"/>
      <c r="I666" s="63">
        <v>3</v>
      </c>
      <c r="J666" t="b">
        <f t="shared" si="80"/>
        <v>1</v>
      </c>
      <c r="K666" t="b">
        <f t="shared" si="81"/>
        <v>1</v>
      </c>
      <c r="M666" t="str">
        <f t="shared" si="82"/>
        <v> Zack Smith</v>
      </c>
      <c r="N666" t="str">
        <f t="shared" si="83"/>
        <v>OTT</v>
      </c>
      <c r="O666">
        <f t="shared" si="84"/>
        <v>3</v>
      </c>
      <c r="P666">
        <f>IF(M666="","",VLOOKUP(B666,'Team Stats'!$B$3:$K$18,5,0))</f>
        <v>619</v>
      </c>
      <c r="Q666">
        <f t="shared" si="85"/>
        <v>4.8465266558966073E-3</v>
      </c>
      <c r="R666">
        <f ca="1">IF(M666="","",VLOOKUP(N666,Sim!$EF$46:$EG$61,2,0))</f>
        <v>10.71</v>
      </c>
      <c r="S666">
        <f ca="1">IF(M666="","",VLOOKUP(N666,'Team Stats'!$B$3:$K$18,10,0))</f>
        <v>80.847439024390255</v>
      </c>
      <c r="T666" s="84">
        <f t="shared" ca="1" si="86"/>
        <v>0.39182926829268294</v>
      </c>
      <c r="U666">
        <f t="shared" ca="1" si="87"/>
        <v>246</v>
      </c>
    </row>
    <row r="667" spans="1:21">
      <c r="A667" s="73" t="s">
        <v>991</v>
      </c>
      <c r="B667" s="73" t="s">
        <v>209</v>
      </c>
      <c r="C667" s="74">
        <v>21</v>
      </c>
      <c r="D667" s="74"/>
      <c r="E667" s="74">
        <v>2</v>
      </c>
      <c r="F667" s="74"/>
      <c r="G667" s="74">
        <v>1</v>
      </c>
      <c r="H667" s="74"/>
      <c r="I667" s="63">
        <v>3</v>
      </c>
      <c r="J667" t="b">
        <f t="shared" si="80"/>
        <v>1</v>
      </c>
      <c r="K667" t="b">
        <f t="shared" si="81"/>
        <v>1</v>
      </c>
      <c r="M667" t="str">
        <f t="shared" si="82"/>
        <v> Xavier Ouellet</v>
      </c>
      <c r="N667" t="str">
        <f t="shared" si="83"/>
        <v>DET</v>
      </c>
      <c r="O667">
        <f t="shared" si="84"/>
        <v>3</v>
      </c>
      <c r="P667">
        <f>IF(M667="","",VLOOKUP(B667,'Team Stats'!$B$3:$K$18,5,0))</f>
        <v>630</v>
      </c>
      <c r="Q667">
        <f t="shared" si="85"/>
        <v>4.7619047619047623E-3</v>
      </c>
      <c r="R667">
        <f ca="1">IF(M667="","",VLOOKUP(N667,Sim!$EF$46:$EG$61,2,0))</f>
        <v>10.06</v>
      </c>
      <c r="S667">
        <f ca="1">IF(M667="","",VLOOKUP(N667,'Team Stats'!$B$3:$K$18,10,0))</f>
        <v>77.29024390243903</v>
      </c>
      <c r="T667" s="84">
        <f t="shared" ca="1" si="86"/>
        <v>0.36804878048780493</v>
      </c>
      <c r="U667">
        <f t="shared" ca="1" si="87"/>
        <v>250</v>
      </c>
    </row>
    <row r="668" spans="1:21">
      <c r="A668" s="73" t="s">
        <v>992</v>
      </c>
      <c r="B668" s="73" t="s">
        <v>204</v>
      </c>
      <c r="C668" s="74">
        <v>22</v>
      </c>
      <c r="D668" s="74"/>
      <c r="E668" s="74">
        <v>0</v>
      </c>
      <c r="F668" s="74"/>
      <c r="G668" s="74">
        <v>3</v>
      </c>
      <c r="H668" s="74"/>
      <c r="I668" s="63">
        <v>3</v>
      </c>
      <c r="J668" t="b">
        <f t="shared" si="80"/>
        <v>0</v>
      </c>
      <c r="K668" t="b">
        <f t="shared" si="81"/>
        <v>0</v>
      </c>
      <c r="M668" t="str">
        <f t="shared" si="82"/>
        <v/>
      </c>
      <c r="N668" t="str">
        <f t="shared" si="83"/>
        <v/>
      </c>
      <c r="O668" t="str">
        <f t="shared" si="84"/>
        <v/>
      </c>
      <c r="P668" t="str">
        <f>IF(M668="","",VLOOKUP(B668,'Team Stats'!$B$3:$K$18,5,0))</f>
        <v/>
      </c>
      <c r="Q668" t="str">
        <f t="shared" si="85"/>
        <v/>
      </c>
      <c r="R668" t="str">
        <f>IF(M668="","",VLOOKUP(N668,Sim!$EF$46:$EG$61,2,0))</f>
        <v/>
      </c>
      <c r="S668" t="str">
        <f>IF(M668="","",VLOOKUP(N668,'Team Stats'!$B$3:$K$18,10,0))</f>
        <v/>
      </c>
      <c r="T668" s="84" t="str">
        <f t="shared" si="86"/>
        <v/>
      </c>
      <c r="U668" t="str">
        <f t="shared" si="87"/>
        <v/>
      </c>
    </row>
    <row r="669" spans="1:21">
      <c r="A669" s="73" t="s">
        <v>993</v>
      </c>
      <c r="B669" s="73" t="s">
        <v>205</v>
      </c>
      <c r="C669" s="74">
        <v>28</v>
      </c>
      <c r="D669" s="74"/>
      <c r="E669" s="74">
        <v>0</v>
      </c>
      <c r="F669" s="74"/>
      <c r="G669" s="74">
        <v>3</v>
      </c>
      <c r="H669" s="74"/>
      <c r="I669" s="63">
        <v>3</v>
      </c>
      <c r="J669" t="b">
        <f t="shared" si="80"/>
        <v>1</v>
      </c>
      <c r="K669" t="b">
        <f t="shared" si="81"/>
        <v>1</v>
      </c>
      <c r="M669" t="str">
        <f t="shared" si="82"/>
        <v> Josh Manson</v>
      </c>
      <c r="N669" t="str">
        <f t="shared" si="83"/>
        <v>ANA</v>
      </c>
      <c r="O669">
        <f t="shared" si="84"/>
        <v>3</v>
      </c>
      <c r="P669">
        <f>IF(M669="","",VLOOKUP(B669,'Team Stats'!$B$3:$K$18,5,0))</f>
        <v>613</v>
      </c>
      <c r="Q669">
        <f t="shared" si="85"/>
        <v>4.8939641109298528E-3</v>
      </c>
      <c r="R669">
        <f ca="1">IF(M669="","",VLOOKUP(N669,Sim!$EF$46:$EG$61,2,0))</f>
        <v>14.85</v>
      </c>
      <c r="S669">
        <f ca="1">IF(M669="","",VLOOKUP(N669,'Team Stats'!$B$3:$K$18,10,0))</f>
        <v>111.01280487804878</v>
      </c>
      <c r="T669" s="84">
        <f t="shared" ca="1" si="86"/>
        <v>0.5432926829268292</v>
      </c>
      <c r="U669">
        <f t="shared" ca="1" si="87"/>
        <v>239</v>
      </c>
    </row>
    <row r="670" spans="1:21">
      <c r="A670" s="73" t="s">
        <v>994</v>
      </c>
      <c r="B670" s="73" t="s">
        <v>215</v>
      </c>
      <c r="C670" s="74">
        <v>11</v>
      </c>
      <c r="D670" s="74"/>
      <c r="E670" s="74">
        <v>1</v>
      </c>
      <c r="F670" s="74"/>
      <c r="G670" s="74">
        <v>2</v>
      </c>
      <c r="H670" s="74"/>
      <c r="I670" s="63">
        <v>3</v>
      </c>
      <c r="J670" t="b">
        <f t="shared" si="80"/>
        <v>0</v>
      </c>
      <c r="K670" t="b">
        <f t="shared" si="81"/>
        <v>0</v>
      </c>
      <c r="M670" t="str">
        <f t="shared" si="82"/>
        <v/>
      </c>
      <c r="N670" t="str">
        <f t="shared" si="83"/>
        <v/>
      </c>
      <c r="O670" t="str">
        <f t="shared" si="84"/>
        <v/>
      </c>
      <c r="P670" t="str">
        <f>IF(M670="","",VLOOKUP(B670,'Team Stats'!$B$3:$K$18,5,0))</f>
        <v/>
      </c>
      <c r="Q670" t="str">
        <f t="shared" si="85"/>
        <v/>
      </c>
      <c r="R670" t="str">
        <f>IF(M670="","",VLOOKUP(N670,Sim!$EF$46:$EG$61,2,0))</f>
        <v/>
      </c>
      <c r="S670" t="str">
        <f>IF(M670="","",VLOOKUP(N670,'Team Stats'!$B$3:$K$18,10,0))</f>
        <v/>
      </c>
      <c r="T670" s="84" t="str">
        <f t="shared" si="86"/>
        <v/>
      </c>
      <c r="U670" t="str">
        <f t="shared" si="87"/>
        <v/>
      </c>
    </row>
    <row r="671" spans="1:21">
      <c r="A671" s="73" t="s">
        <v>995</v>
      </c>
      <c r="B671" s="73" t="s">
        <v>206</v>
      </c>
      <c r="C671" s="74">
        <v>15</v>
      </c>
      <c r="D671" s="74"/>
      <c r="E671" s="74">
        <v>1</v>
      </c>
      <c r="F671" s="74"/>
      <c r="G671" s="74">
        <v>2</v>
      </c>
      <c r="H671" s="74"/>
      <c r="I671" s="63">
        <v>3</v>
      </c>
      <c r="J671" t="b">
        <f t="shared" si="80"/>
        <v>1</v>
      </c>
      <c r="K671" t="b">
        <f t="shared" si="81"/>
        <v>1</v>
      </c>
      <c r="M671" t="str">
        <f t="shared" si="82"/>
        <v> Cory Conacher</v>
      </c>
      <c r="N671" t="str">
        <f t="shared" si="83"/>
        <v>VAN</v>
      </c>
      <c r="O671">
        <f t="shared" si="84"/>
        <v>3</v>
      </c>
      <c r="P671">
        <f>IF(M671="","",VLOOKUP(B671,'Team Stats'!$B$3:$K$18,5,0))</f>
        <v>642</v>
      </c>
      <c r="Q671">
        <f t="shared" si="85"/>
        <v>4.6728971962616819E-3</v>
      </c>
      <c r="R671">
        <f ca="1">IF(M671="","",VLOOKUP(N671,Sim!$EF$46:$EG$61,2,0))</f>
        <v>10.35</v>
      </c>
      <c r="S671">
        <f ca="1">IF(M671="","",VLOOKUP(N671,'Team Stats'!$B$3:$K$18,10,0))</f>
        <v>81.032926829268291</v>
      </c>
      <c r="T671" s="84">
        <f t="shared" ca="1" si="86"/>
        <v>0.3786585365853658</v>
      </c>
      <c r="U671">
        <f t="shared" ca="1" si="87"/>
        <v>249</v>
      </c>
    </row>
    <row r="672" spans="1:21">
      <c r="A672" s="73" t="s">
        <v>996</v>
      </c>
      <c r="B672" s="73" t="s">
        <v>215</v>
      </c>
      <c r="C672" s="74">
        <v>17</v>
      </c>
      <c r="D672" s="74"/>
      <c r="E672" s="74">
        <v>1</v>
      </c>
      <c r="F672" s="74"/>
      <c r="G672" s="74">
        <v>2</v>
      </c>
      <c r="H672" s="74"/>
      <c r="I672" s="63">
        <v>3</v>
      </c>
      <c r="J672" t="b">
        <f t="shared" si="80"/>
        <v>0</v>
      </c>
      <c r="K672" t="b">
        <f t="shared" si="81"/>
        <v>0</v>
      </c>
      <c r="M672" t="str">
        <f t="shared" si="82"/>
        <v/>
      </c>
      <c r="N672" t="str">
        <f t="shared" si="83"/>
        <v/>
      </c>
      <c r="O672" t="str">
        <f t="shared" si="84"/>
        <v/>
      </c>
      <c r="P672" t="str">
        <f>IF(M672="","",VLOOKUP(B672,'Team Stats'!$B$3:$K$18,5,0))</f>
        <v/>
      </c>
      <c r="Q672" t="str">
        <f t="shared" si="85"/>
        <v/>
      </c>
      <c r="R672" t="str">
        <f>IF(M672="","",VLOOKUP(N672,Sim!$EF$46:$EG$61,2,0))</f>
        <v/>
      </c>
      <c r="S672" t="str">
        <f>IF(M672="","",VLOOKUP(N672,'Team Stats'!$B$3:$K$18,10,0))</f>
        <v/>
      </c>
      <c r="T672" s="84" t="str">
        <f t="shared" si="86"/>
        <v/>
      </c>
      <c r="U672" t="str">
        <f t="shared" si="87"/>
        <v/>
      </c>
    </row>
    <row r="673" spans="1:21">
      <c r="A673" s="73" t="s">
        <v>997</v>
      </c>
      <c r="B673" s="73" t="s">
        <v>199</v>
      </c>
      <c r="C673" s="74">
        <v>11</v>
      </c>
      <c r="D673" s="74"/>
      <c r="E673" s="74">
        <v>0</v>
      </c>
      <c r="F673" s="74"/>
      <c r="G673" s="74">
        <v>3</v>
      </c>
      <c r="H673" s="74"/>
      <c r="I673" s="63">
        <v>3</v>
      </c>
      <c r="J673" t="b">
        <f t="shared" si="80"/>
        <v>0</v>
      </c>
      <c r="K673" t="b">
        <f t="shared" si="81"/>
        <v>0</v>
      </c>
      <c r="M673" t="str">
        <f t="shared" si="82"/>
        <v/>
      </c>
      <c r="N673" t="str">
        <f t="shared" si="83"/>
        <v/>
      </c>
      <c r="O673" t="str">
        <f t="shared" si="84"/>
        <v/>
      </c>
      <c r="P673" t="str">
        <f>IF(M673="","",VLOOKUP(B673,'Team Stats'!$B$3:$K$18,5,0))</f>
        <v/>
      </c>
      <c r="Q673" t="str">
        <f t="shared" si="85"/>
        <v/>
      </c>
      <c r="R673" t="str">
        <f>IF(M673="","",VLOOKUP(N673,Sim!$EF$46:$EG$61,2,0))</f>
        <v/>
      </c>
      <c r="S673" t="str">
        <f>IF(M673="","",VLOOKUP(N673,'Team Stats'!$B$3:$K$18,10,0))</f>
        <v/>
      </c>
      <c r="T673" s="84" t="str">
        <f t="shared" si="86"/>
        <v/>
      </c>
      <c r="U673" t="str">
        <f t="shared" si="87"/>
        <v/>
      </c>
    </row>
    <row r="674" spans="1:21">
      <c r="A674" s="73" t="s">
        <v>998</v>
      </c>
      <c r="B674" s="73" t="s">
        <v>200</v>
      </c>
      <c r="C674" s="74">
        <v>23</v>
      </c>
      <c r="D674" s="74"/>
      <c r="E674" s="74">
        <v>2</v>
      </c>
      <c r="F674" s="74"/>
      <c r="G674" s="74">
        <v>1</v>
      </c>
      <c r="H674" s="74"/>
      <c r="I674" s="63">
        <v>3</v>
      </c>
      <c r="J674" t="b">
        <f t="shared" si="80"/>
        <v>1</v>
      </c>
      <c r="K674" t="b">
        <f t="shared" si="81"/>
        <v>1</v>
      </c>
      <c r="M674" t="str">
        <f t="shared" si="82"/>
        <v> Petteri Lindbohm</v>
      </c>
      <c r="N674" t="str">
        <f t="shared" si="83"/>
        <v>STL</v>
      </c>
      <c r="O674">
        <f t="shared" si="84"/>
        <v>3</v>
      </c>
      <c r="P674">
        <f>IF(M674="","",VLOOKUP(B674,'Team Stats'!$B$3:$K$18,5,0))</f>
        <v>660</v>
      </c>
      <c r="Q674">
        <f t="shared" si="85"/>
        <v>4.5454545454545452E-3</v>
      </c>
      <c r="R674">
        <f ca="1">IF(M674="","",VLOOKUP(N674,Sim!$EF$46:$EG$61,2,0))</f>
        <v>10.87</v>
      </c>
      <c r="S674">
        <f ca="1">IF(M674="","",VLOOKUP(N674,'Team Stats'!$B$3:$K$18,10,0))</f>
        <v>87.490243902439019</v>
      </c>
      <c r="T674" s="84">
        <f t="shared" ca="1" si="86"/>
        <v>0.39768292682926826</v>
      </c>
      <c r="U674">
        <f t="shared" ca="1" si="87"/>
        <v>245</v>
      </c>
    </row>
    <row r="675" spans="1:21">
      <c r="A675" s="73" t="s">
        <v>999</v>
      </c>
      <c r="B675" s="73" t="s">
        <v>202</v>
      </c>
      <c r="C675" s="74">
        <v>38</v>
      </c>
      <c r="D675" s="74"/>
      <c r="E675" s="74">
        <v>0</v>
      </c>
      <c r="F675" s="74"/>
      <c r="G675" s="74">
        <v>3</v>
      </c>
      <c r="H675" s="74"/>
      <c r="I675" s="63">
        <v>3</v>
      </c>
      <c r="J675" t="b">
        <f t="shared" si="80"/>
        <v>1</v>
      </c>
      <c r="K675" t="b">
        <f t="shared" si="81"/>
        <v>1</v>
      </c>
      <c r="M675" t="str">
        <f t="shared" si="82"/>
        <v> Joakim Nordstrom</v>
      </c>
      <c r="N675" t="str">
        <f t="shared" si="83"/>
        <v>CHI</v>
      </c>
      <c r="O675">
        <f t="shared" si="84"/>
        <v>3</v>
      </c>
      <c r="P675">
        <f>IF(M675="","",VLOOKUP(B675,'Team Stats'!$B$3:$K$18,5,0))</f>
        <v>601</v>
      </c>
      <c r="Q675">
        <f t="shared" si="85"/>
        <v>4.9916805324459234E-3</v>
      </c>
      <c r="R675">
        <f ca="1">IF(M675="","",VLOOKUP(N675,Sim!$EF$46:$EG$61,2,0))</f>
        <v>9.14</v>
      </c>
      <c r="S675">
        <f ca="1">IF(M675="","",VLOOKUP(N675,'Team Stats'!$B$3:$K$18,10,0))</f>
        <v>66.989512195121961</v>
      </c>
      <c r="T675" s="84">
        <f t="shared" ca="1" si="86"/>
        <v>0.33439024390243904</v>
      </c>
      <c r="U675">
        <f t="shared" ca="1" si="87"/>
        <v>251</v>
      </c>
    </row>
    <row r="676" spans="1:21">
      <c r="A676" s="73" t="s">
        <v>1000</v>
      </c>
      <c r="B676" s="73" t="s">
        <v>331</v>
      </c>
      <c r="C676" s="74">
        <v>5</v>
      </c>
      <c r="D676" s="74"/>
      <c r="E676" s="74">
        <v>0</v>
      </c>
      <c r="F676" s="74"/>
      <c r="G676" s="74">
        <v>3</v>
      </c>
      <c r="H676" s="74"/>
      <c r="I676" s="63">
        <v>3</v>
      </c>
      <c r="J676" t="b">
        <f t="shared" si="80"/>
        <v>0</v>
      </c>
      <c r="K676" t="b">
        <f t="shared" si="81"/>
        <v>0</v>
      </c>
      <c r="M676" t="str">
        <f t="shared" si="82"/>
        <v/>
      </c>
      <c r="N676" t="str">
        <f t="shared" si="83"/>
        <v/>
      </c>
      <c r="O676" t="str">
        <f t="shared" si="84"/>
        <v/>
      </c>
      <c r="P676" t="str">
        <f>IF(M676="","",VLOOKUP(B676,'Team Stats'!$B$3:$K$18,5,0))</f>
        <v/>
      </c>
      <c r="Q676" t="str">
        <f t="shared" si="85"/>
        <v/>
      </c>
      <c r="R676" t="str">
        <f>IF(M676="","",VLOOKUP(N676,Sim!$EF$46:$EG$61,2,0))</f>
        <v/>
      </c>
      <c r="S676" t="str">
        <f>IF(M676="","",VLOOKUP(N676,'Team Stats'!$B$3:$K$18,10,0))</f>
        <v/>
      </c>
      <c r="T676" s="84" t="str">
        <f t="shared" si="86"/>
        <v/>
      </c>
      <c r="U676" t="str">
        <f t="shared" si="87"/>
        <v/>
      </c>
    </row>
    <row r="677" spans="1:21">
      <c r="A677" s="73" t="s">
        <v>1001</v>
      </c>
      <c r="B677" s="73" t="s">
        <v>196</v>
      </c>
      <c r="C677" s="74">
        <v>12</v>
      </c>
      <c r="D677" s="74"/>
      <c r="E677" s="74">
        <v>0</v>
      </c>
      <c r="F677" s="74"/>
      <c r="G677" s="74">
        <v>3</v>
      </c>
      <c r="H677" s="74"/>
      <c r="I677" s="63">
        <v>3</v>
      </c>
      <c r="J677" t="b">
        <f t="shared" si="80"/>
        <v>1</v>
      </c>
      <c r="K677" t="b">
        <f t="shared" si="81"/>
        <v>1</v>
      </c>
      <c r="M677" t="str">
        <f t="shared" si="82"/>
        <v> Matt Donovan</v>
      </c>
      <c r="N677" t="str">
        <f t="shared" si="83"/>
        <v>NYI</v>
      </c>
      <c r="O677">
        <f t="shared" si="84"/>
        <v>3</v>
      </c>
      <c r="P677">
        <f>IF(M677="","",VLOOKUP(B677,'Team Stats'!$B$3:$K$18,5,0))</f>
        <v>656</v>
      </c>
      <c r="Q677">
        <f t="shared" si="85"/>
        <v>4.5731707317073168E-3</v>
      </c>
      <c r="R677">
        <f ca="1">IF(M677="","",VLOOKUP(N677,Sim!$EF$46:$EG$61,2,0))</f>
        <v>13.18</v>
      </c>
      <c r="S677">
        <f ca="1">IF(M677="","",VLOOKUP(N677,'Team Stats'!$B$3:$K$18,10,0))</f>
        <v>105.44</v>
      </c>
      <c r="T677" s="84">
        <f t="shared" ca="1" si="86"/>
        <v>0.4821951219512195</v>
      </c>
      <c r="U677">
        <f t="shared" ca="1" si="87"/>
        <v>242</v>
      </c>
    </row>
    <row r="678" spans="1:21">
      <c r="A678" s="73" t="s">
        <v>1002</v>
      </c>
      <c r="B678" s="73" t="s">
        <v>214</v>
      </c>
      <c r="C678" s="74">
        <v>36</v>
      </c>
      <c r="D678" s="74"/>
      <c r="E678" s="74">
        <v>0</v>
      </c>
      <c r="F678" s="74"/>
      <c r="G678" s="74">
        <v>3</v>
      </c>
      <c r="H678" s="74"/>
      <c r="I678" s="63">
        <v>3</v>
      </c>
      <c r="J678" t="b">
        <f t="shared" si="80"/>
        <v>1</v>
      </c>
      <c r="K678" t="b">
        <f t="shared" si="81"/>
        <v>1</v>
      </c>
      <c r="M678" t="str">
        <f t="shared" si="82"/>
        <v> Chris Phillips</v>
      </c>
      <c r="N678" t="str">
        <f t="shared" si="83"/>
        <v>OTT</v>
      </c>
      <c r="O678">
        <f t="shared" si="84"/>
        <v>3</v>
      </c>
      <c r="P678">
        <f>IF(M678="","",VLOOKUP(B678,'Team Stats'!$B$3:$K$18,5,0))</f>
        <v>619</v>
      </c>
      <c r="Q678">
        <f t="shared" si="85"/>
        <v>4.8465266558966073E-3</v>
      </c>
      <c r="R678">
        <f ca="1">IF(M678="","",VLOOKUP(N678,Sim!$EF$46:$EG$61,2,0))</f>
        <v>10.71</v>
      </c>
      <c r="S678">
        <f ca="1">IF(M678="","",VLOOKUP(N678,'Team Stats'!$B$3:$K$18,10,0))</f>
        <v>80.847439024390255</v>
      </c>
      <c r="T678" s="84">
        <f t="shared" ca="1" si="86"/>
        <v>0.39182926829268294</v>
      </c>
      <c r="U678">
        <f t="shared" ca="1" si="87"/>
        <v>246</v>
      </c>
    </row>
    <row r="679" spans="1:21">
      <c r="A679" s="73" t="s">
        <v>1003</v>
      </c>
      <c r="B679" s="73" t="s">
        <v>221</v>
      </c>
      <c r="C679" s="74">
        <v>7</v>
      </c>
      <c r="D679" s="74"/>
      <c r="E679" s="74">
        <v>2</v>
      </c>
      <c r="F679" s="74"/>
      <c r="G679" s="74">
        <v>1</v>
      </c>
      <c r="H679" s="74"/>
      <c r="I679" s="63">
        <v>3</v>
      </c>
      <c r="J679" t="b">
        <f t="shared" si="80"/>
        <v>0</v>
      </c>
      <c r="K679" t="b">
        <f t="shared" si="81"/>
        <v>0</v>
      </c>
      <c r="M679" t="str">
        <f t="shared" si="82"/>
        <v/>
      </c>
      <c r="N679" t="str">
        <f t="shared" si="83"/>
        <v/>
      </c>
      <c r="O679" t="str">
        <f t="shared" si="84"/>
        <v/>
      </c>
      <c r="P679" t="str">
        <f>IF(M679="","",VLOOKUP(B679,'Team Stats'!$B$3:$K$18,5,0))</f>
        <v/>
      </c>
      <c r="Q679" t="str">
        <f t="shared" si="85"/>
        <v/>
      </c>
      <c r="R679" t="str">
        <f>IF(M679="","",VLOOKUP(N679,Sim!$EF$46:$EG$61,2,0))</f>
        <v/>
      </c>
      <c r="S679" t="str">
        <f>IF(M679="","",VLOOKUP(N679,'Team Stats'!$B$3:$K$18,10,0))</f>
        <v/>
      </c>
      <c r="T679" s="84" t="str">
        <f t="shared" si="86"/>
        <v/>
      </c>
      <c r="U679" t="str">
        <f t="shared" si="87"/>
        <v/>
      </c>
    </row>
    <row r="680" spans="1:21">
      <c r="A680" s="73" t="s">
        <v>1004</v>
      </c>
      <c r="B680" s="73" t="s">
        <v>345</v>
      </c>
      <c r="C680" s="74">
        <v>12</v>
      </c>
      <c r="D680" s="74"/>
      <c r="E680" s="74">
        <v>2</v>
      </c>
      <c r="F680" s="74"/>
      <c r="G680" s="74">
        <v>1</v>
      </c>
      <c r="H680" s="74"/>
      <c r="I680" s="63">
        <v>3</v>
      </c>
      <c r="J680" t="b">
        <f t="shared" si="80"/>
        <v>0</v>
      </c>
      <c r="K680" t="b">
        <f t="shared" si="81"/>
        <v>0</v>
      </c>
      <c r="M680" t="str">
        <f t="shared" si="82"/>
        <v/>
      </c>
      <c r="N680" t="str">
        <f t="shared" si="83"/>
        <v/>
      </c>
      <c r="O680" t="str">
        <f t="shared" si="84"/>
        <v/>
      </c>
      <c r="P680" t="str">
        <f>IF(M680="","",VLOOKUP(B680,'Team Stats'!$B$3:$K$18,5,0))</f>
        <v/>
      </c>
      <c r="Q680" t="str">
        <f t="shared" si="85"/>
        <v/>
      </c>
      <c r="R680" t="str">
        <f>IF(M680="","",VLOOKUP(N680,Sim!$EF$46:$EG$61,2,0))</f>
        <v/>
      </c>
      <c r="S680" t="str">
        <f>IF(M680="","",VLOOKUP(N680,'Team Stats'!$B$3:$K$18,10,0))</f>
        <v/>
      </c>
      <c r="T680" s="84" t="str">
        <f t="shared" si="86"/>
        <v/>
      </c>
      <c r="U680" t="str">
        <f t="shared" si="87"/>
        <v/>
      </c>
    </row>
    <row r="681" spans="1:21">
      <c r="A681" s="73" t="s">
        <v>1005</v>
      </c>
      <c r="B681" s="73" t="s">
        <v>221</v>
      </c>
      <c r="C681" s="74">
        <v>21</v>
      </c>
      <c r="D681" s="74"/>
      <c r="E681" s="74">
        <v>1</v>
      </c>
      <c r="F681" s="74"/>
      <c r="G681" s="74">
        <v>2</v>
      </c>
      <c r="H681" s="74"/>
      <c r="I681" s="63">
        <v>3</v>
      </c>
      <c r="J681" t="b">
        <f t="shared" si="80"/>
        <v>0</v>
      </c>
      <c r="K681" t="b">
        <f t="shared" si="81"/>
        <v>0</v>
      </c>
      <c r="M681" t="str">
        <f t="shared" si="82"/>
        <v/>
      </c>
      <c r="N681" t="str">
        <f t="shared" si="83"/>
        <v/>
      </c>
      <c r="O681" t="str">
        <f t="shared" si="84"/>
        <v/>
      </c>
      <c r="P681" t="str">
        <f>IF(M681="","",VLOOKUP(B681,'Team Stats'!$B$3:$K$18,5,0))</f>
        <v/>
      </c>
      <c r="Q681" t="str">
        <f t="shared" si="85"/>
        <v/>
      </c>
      <c r="R681" t="str">
        <f>IF(M681="","",VLOOKUP(N681,Sim!$EF$46:$EG$61,2,0))</f>
        <v/>
      </c>
      <c r="S681" t="str">
        <f>IF(M681="","",VLOOKUP(N681,'Team Stats'!$B$3:$K$18,10,0))</f>
        <v/>
      </c>
      <c r="T681" s="84" t="str">
        <f t="shared" si="86"/>
        <v/>
      </c>
      <c r="U681" t="str">
        <f t="shared" si="87"/>
        <v/>
      </c>
    </row>
    <row r="682" spans="1:21">
      <c r="A682" s="73" t="s">
        <v>1006</v>
      </c>
      <c r="B682" s="73" t="s">
        <v>196</v>
      </c>
      <c r="C682" s="74">
        <v>6</v>
      </c>
      <c r="D682" s="74"/>
      <c r="E682" s="74">
        <v>1</v>
      </c>
      <c r="F682" s="74"/>
      <c r="G682" s="74">
        <v>1</v>
      </c>
      <c r="H682" s="74"/>
      <c r="I682" s="63">
        <v>2</v>
      </c>
      <c r="J682" t="b">
        <f t="shared" si="80"/>
        <v>1</v>
      </c>
      <c r="K682" t="b">
        <f t="shared" si="81"/>
        <v>1</v>
      </c>
      <c r="M682" t="str">
        <f t="shared" si="82"/>
        <v> Kael Mouillierat</v>
      </c>
      <c r="N682" t="str">
        <f t="shared" si="83"/>
        <v>NYI</v>
      </c>
      <c r="O682">
        <f t="shared" si="84"/>
        <v>2</v>
      </c>
      <c r="P682">
        <f>IF(M682="","",VLOOKUP(B682,'Team Stats'!$B$3:$K$18,5,0))</f>
        <v>656</v>
      </c>
      <c r="Q682">
        <f t="shared" si="85"/>
        <v>3.0487804878048782E-3</v>
      </c>
      <c r="R682">
        <f ca="1">IF(M682="","",VLOOKUP(N682,Sim!$EF$46:$EG$61,2,0))</f>
        <v>13.18</v>
      </c>
      <c r="S682">
        <f ca="1">IF(M682="","",VLOOKUP(N682,'Team Stats'!$B$3:$K$18,10,0))</f>
        <v>105.44</v>
      </c>
      <c r="T682" s="84">
        <f t="shared" ca="1" si="86"/>
        <v>0.32146341463414635</v>
      </c>
      <c r="U682">
        <f t="shared" ca="1" si="87"/>
        <v>252</v>
      </c>
    </row>
    <row r="683" spans="1:21">
      <c r="A683" s="73" t="s">
        <v>1007</v>
      </c>
      <c r="B683" s="73" t="s">
        <v>216</v>
      </c>
      <c r="C683" s="74">
        <v>11</v>
      </c>
      <c r="D683" s="74"/>
      <c r="E683" s="74">
        <v>1</v>
      </c>
      <c r="F683" s="74"/>
      <c r="G683" s="74">
        <v>1</v>
      </c>
      <c r="H683" s="74"/>
      <c r="I683" s="63">
        <v>2</v>
      </c>
      <c r="J683" t="b">
        <f t="shared" si="80"/>
        <v>0</v>
      </c>
      <c r="K683" t="b">
        <f t="shared" si="81"/>
        <v>0</v>
      </c>
      <c r="M683" t="str">
        <f t="shared" si="82"/>
        <v/>
      </c>
      <c r="N683" t="str">
        <f t="shared" si="83"/>
        <v/>
      </c>
      <c r="O683" t="str">
        <f t="shared" si="84"/>
        <v/>
      </c>
      <c r="P683" t="str">
        <f>IF(M683="","",VLOOKUP(B683,'Team Stats'!$B$3:$K$18,5,0))</f>
        <v/>
      </c>
      <c r="Q683" t="str">
        <f t="shared" si="85"/>
        <v/>
      </c>
      <c r="R683" t="str">
        <f>IF(M683="","",VLOOKUP(N683,Sim!$EF$46:$EG$61,2,0))</f>
        <v/>
      </c>
      <c r="S683" t="str">
        <f>IF(M683="","",VLOOKUP(N683,'Team Stats'!$B$3:$K$18,10,0))</f>
        <v/>
      </c>
      <c r="T683" s="84" t="str">
        <f t="shared" si="86"/>
        <v/>
      </c>
      <c r="U683" t="str">
        <f t="shared" si="87"/>
        <v/>
      </c>
    </row>
    <row r="684" spans="1:21">
      <c r="A684" s="73" t="s">
        <v>1008</v>
      </c>
      <c r="B684" s="73" t="s">
        <v>209</v>
      </c>
      <c r="C684" s="74">
        <v>13</v>
      </c>
      <c r="D684" s="74"/>
      <c r="E684" s="74">
        <v>1</v>
      </c>
      <c r="F684" s="74"/>
      <c r="G684" s="74">
        <v>1</v>
      </c>
      <c r="H684" s="74"/>
      <c r="I684" s="63">
        <v>2</v>
      </c>
      <c r="J684" t="b">
        <f t="shared" si="80"/>
        <v>1</v>
      </c>
      <c r="K684" t="b">
        <f t="shared" si="81"/>
        <v>1</v>
      </c>
      <c r="M684" t="str">
        <f t="shared" si="82"/>
        <v> Alexey Marchenko</v>
      </c>
      <c r="N684" t="str">
        <f t="shared" si="83"/>
        <v>DET</v>
      </c>
      <c r="O684">
        <f t="shared" si="84"/>
        <v>2</v>
      </c>
      <c r="P684">
        <f>IF(M684="","",VLOOKUP(B684,'Team Stats'!$B$3:$K$18,5,0))</f>
        <v>630</v>
      </c>
      <c r="Q684">
        <f t="shared" si="85"/>
        <v>3.1746031746031746E-3</v>
      </c>
      <c r="R684">
        <f ca="1">IF(M684="","",VLOOKUP(N684,Sim!$EF$46:$EG$61,2,0))</f>
        <v>10.06</v>
      </c>
      <c r="S684">
        <f ca="1">IF(M684="","",VLOOKUP(N684,'Team Stats'!$B$3:$K$18,10,0))</f>
        <v>77.29024390243903</v>
      </c>
      <c r="T684" s="84">
        <f t="shared" ca="1" si="86"/>
        <v>0.24536585365853661</v>
      </c>
      <c r="U684">
        <f t="shared" ca="1" si="87"/>
        <v>258</v>
      </c>
    </row>
    <row r="685" spans="1:21">
      <c r="A685" s="73" t="s">
        <v>1009</v>
      </c>
      <c r="B685" s="73" t="s">
        <v>220</v>
      </c>
      <c r="C685" s="74">
        <v>22</v>
      </c>
      <c r="D685" s="74"/>
      <c r="E685" s="74">
        <v>0</v>
      </c>
      <c r="F685" s="74"/>
      <c r="G685" s="74">
        <v>2</v>
      </c>
      <c r="H685" s="74"/>
      <c r="I685" s="63">
        <v>2</v>
      </c>
      <c r="J685" t="b">
        <f t="shared" si="80"/>
        <v>0</v>
      </c>
      <c r="K685" t="b">
        <f t="shared" si="81"/>
        <v>0</v>
      </c>
      <c r="M685" t="str">
        <f t="shared" si="82"/>
        <v/>
      </c>
      <c r="N685" t="str">
        <f t="shared" si="83"/>
        <v/>
      </c>
      <c r="O685" t="str">
        <f t="shared" si="84"/>
        <v/>
      </c>
      <c r="P685" t="str">
        <f>IF(M685="","",VLOOKUP(B685,'Team Stats'!$B$3:$K$18,5,0))</f>
        <v/>
      </c>
      <c r="Q685" t="str">
        <f t="shared" si="85"/>
        <v/>
      </c>
      <c r="R685" t="str">
        <f>IF(M685="","",VLOOKUP(N685,Sim!$EF$46:$EG$61,2,0))</f>
        <v/>
      </c>
      <c r="S685" t="str">
        <f>IF(M685="","",VLOOKUP(N685,'Team Stats'!$B$3:$K$18,10,0))</f>
        <v/>
      </c>
      <c r="T685" s="84" t="str">
        <f t="shared" si="86"/>
        <v/>
      </c>
      <c r="U685" t="str">
        <f t="shared" si="87"/>
        <v/>
      </c>
    </row>
    <row r="686" spans="1:21">
      <c r="A686" s="73" t="s">
        <v>1010</v>
      </c>
      <c r="B686" s="73" t="s">
        <v>345</v>
      </c>
      <c r="C686" s="74">
        <v>11</v>
      </c>
      <c r="D686" s="74"/>
      <c r="E686" s="74">
        <v>0</v>
      </c>
      <c r="F686" s="74"/>
      <c r="G686" s="74">
        <v>2</v>
      </c>
      <c r="H686" s="74"/>
      <c r="I686" s="63">
        <v>2</v>
      </c>
      <c r="J686" t="b">
        <f t="shared" si="80"/>
        <v>0</v>
      </c>
      <c r="K686" t="b">
        <f t="shared" si="81"/>
        <v>0</v>
      </c>
      <c r="M686" t="str">
        <f t="shared" si="82"/>
        <v/>
      </c>
      <c r="N686" t="str">
        <f t="shared" si="83"/>
        <v/>
      </c>
      <c r="O686" t="str">
        <f t="shared" si="84"/>
        <v/>
      </c>
      <c r="P686" t="str">
        <f>IF(M686="","",VLOOKUP(B686,'Team Stats'!$B$3:$K$18,5,0))</f>
        <v/>
      </c>
      <c r="Q686" t="str">
        <f t="shared" si="85"/>
        <v/>
      </c>
      <c r="R686" t="str">
        <f>IF(M686="","",VLOOKUP(N686,Sim!$EF$46:$EG$61,2,0))</f>
        <v/>
      </c>
      <c r="S686" t="str">
        <f>IF(M686="","",VLOOKUP(N686,'Team Stats'!$B$3:$K$18,10,0))</f>
        <v/>
      </c>
      <c r="T686" s="84" t="str">
        <f t="shared" si="86"/>
        <v/>
      </c>
      <c r="U686" t="str">
        <f t="shared" si="87"/>
        <v/>
      </c>
    </row>
    <row r="687" spans="1:21">
      <c r="A687" s="73" t="s">
        <v>1011</v>
      </c>
      <c r="B687" s="73" t="s">
        <v>357</v>
      </c>
      <c r="C687" s="74">
        <v>6</v>
      </c>
      <c r="D687" s="74"/>
      <c r="E687" s="74">
        <v>0</v>
      </c>
      <c r="F687" s="74"/>
      <c r="G687" s="74">
        <v>2</v>
      </c>
      <c r="H687" s="74"/>
      <c r="I687" s="63">
        <v>2</v>
      </c>
      <c r="J687" t="b">
        <f t="shared" si="80"/>
        <v>0</v>
      </c>
      <c r="K687" t="b">
        <f t="shared" si="81"/>
        <v>0</v>
      </c>
      <c r="M687" t="str">
        <f t="shared" si="82"/>
        <v/>
      </c>
      <c r="N687" t="str">
        <f t="shared" si="83"/>
        <v/>
      </c>
      <c r="O687" t="str">
        <f t="shared" si="84"/>
        <v/>
      </c>
      <c r="P687" t="str">
        <f>IF(M687="","",VLOOKUP(B687,'Team Stats'!$B$3:$K$18,5,0))</f>
        <v/>
      </c>
      <c r="Q687" t="str">
        <f t="shared" si="85"/>
        <v/>
      </c>
      <c r="R687" t="str">
        <f>IF(M687="","",VLOOKUP(N687,Sim!$EF$46:$EG$61,2,0))</f>
        <v/>
      </c>
      <c r="S687" t="str">
        <f>IF(M687="","",VLOOKUP(N687,'Team Stats'!$B$3:$K$18,10,0))</f>
        <v/>
      </c>
      <c r="T687" s="84" t="str">
        <f t="shared" si="86"/>
        <v/>
      </c>
      <c r="U687" t="str">
        <f t="shared" si="87"/>
        <v/>
      </c>
    </row>
    <row r="688" spans="1:21">
      <c r="A688" s="73" t="s">
        <v>1012</v>
      </c>
      <c r="B688" s="73" t="s">
        <v>325</v>
      </c>
      <c r="C688" s="74">
        <v>13</v>
      </c>
      <c r="D688" s="74"/>
      <c r="E688" s="74">
        <v>1</v>
      </c>
      <c r="F688" s="74"/>
      <c r="G688" s="74">
        <v>1</v>
      </c>
      <c r="H688" s="74"/>
      <c r="I688" s="63">
        <v>2</v>
      </c>
      <c r="J688" t="b">
        <f t="shared" si="80"/>
        <v>0</v>
      </c>
      <c r="K688" t="b">
        <f t="shared" si="81"/>
        <v>0</v>
      </c>
      <c r="M688" t="str">
        <f t="shared" si="82"/>
        <v/>
      </c>
      <c r="N688" t="str">
        <f t="shared" si="83"/>
        <v/>
      </c>
      <c r="O688" t="str">
        <f t="shared" si="84"/>
        <v/>
      </c>
      <c r="P688" t="str">
        <f>IF(M688="","",VLOOKUP(B688,'Team Stats'!$B$3:$K$18,5,0))</f>
        <v/>
      </c>
      <c r="Q688" t="str">
        <f t="shared" si="85"/>
        <v/>
      </c>
      <c r="R688" t="str">
        <f>IF(M688="","",VLOOKUP(N688,Sim!$EF$46:$EG$61,2,0))</f>
        <v/>
      </c>
      <c r="S688" t="str">
        <f>IF(M688="","",VLOOKUP(N688,'Team Stats'!$B$3:$K$18,10,0))</f>
        <v/>
      </c>
      <c r="T688" s="84" t="str">
        <f t="shared" si="86"/>
        <v/>
      </c>
      <c r="U688" t="str">
        <f t="shared" si="87"/>
        <v/>
      </c>
    </row>
    <row r="689" spans="1:21">
      <c r="A689" s="73" t="s">
        <v>1013</v>
      </c>
      <c r="B689" s="73" t="s">
        <v>209</v>
      </c>
      <c r="C689" s="74">
        <v>17</v>
      </c>
      <c r="D689" s="74"/>
      <c r="E689" s="74">
        <v>1</v>
      </c>
      <c r="F689" s="74"/>
      <c r="G689" s="74">
        <v>1</v>
      </c>
      <c r="H689" s="74"/>
      <c r="I689" s="63">
        <v>2</v>
      </c>
      <c r="J689" t="b">
        <f t="shared" si="80"/>
        <v>1</v>
      </c>
      <c r="K689" t="b">
        <f t="shared" si="81"/>
        <v>1</v>
      </c>
      <c r="M689" t="str">
        <f t="shared" si="82"/>
        <v> Daniel Cleary</v>
      </c>
      <c r="N689" t="str">
        <f t="shared" si="83"/>
        <v>DET</v>
      </c>
      <c r="O689">
        <f t="shared" si="84"/>
        <v>2</v>
      </c>
      <c r="P689">
        <f>IF(M689="","",VLOOKUP(B689,'Team Stats'!$B$3:$K$18,5,0))</f>
        <v>630</v>
      </c>
      <c r="Q689">
        <f t="shared" si="85"/>
        <v>3.1746031746031746E-3</v>
      </c>
      <c r="R689">
        <f ca="1">IF(M689="","",VLOOKUP(N689,Sim!$EF$46:$EG$61,2,0))</f>
        <v>10.06</v>
      </c>
      <c r="S689">
        <f ca="1">IF(M689="","",VLOOKUP(N689,'Team Stats'!$B$3:$K$18,10,0))</f>
        <v>77.29024390243903</v>
      </c>
      <c r="T689" s="84">
        <f t="shared" ca="1" si="86"/>
        <v>0.24536585365853661</v>
      </c>
      <c r="U689">
        <f t="shared" ca="1" si="87"/>
        <v>258</v>
      </c>
    </row>
    <row r="690" spans="1:21">
      <c r="A690" s="73" t="s">
        <v>1014</v>
      </c>
      <c r="B690" s="73" t="s">
        <v>220</v>
      </c>
      <c r="C690" s="74">
        <v>15</v>
      </c>
      <c r="D690" s="74"/>
      <c r="E690" s="74">
        <v>0</v>
      </c>
      <c r="F690" s="74"/>
      <c r="G690" s="74">
        <v>2</v>
      </c>
      <c r="H690" s="74"/>
      <c r="I690" s="63">
        <v>2</v>
      </c>
      <c r="J690" t="b">
        <f t="shared" si="80"/>
        <v>0</v>
      </c>
      <c r="K690" t="b">
        <f t="shared" si="81"/>
        <v>0</v>
      </c>
      <c r="M690" t="str">
        <f t="shared" si="82"/>
        <v/>
      </c>
      <c r="N690" t="str">
        <f t="shared" si="83"/>
        <v/>
      </c>
      <c r="O690" t="str">
        <f t="shared" si="84"/>
        <v/>
      </c>
      <c r="P690" t="str">
        <f>IF(M690="","",VLOOKUP(B690,'Team Stats'!$B$3:$K$18,5,0))</f>
        <v/>
      </c>
      <c r="Q690" t="str">
        <f t="shared" si="85"/>
        <v/>
      </c>
      <c r="R690" t="str">
        <f>IF(M690="","",VLOOKUP(N690,Sim!$EF$46:$EG$61,2,0))</f>
        <v/>
      </c>
      <c r="S690" t="str">
        <f>IF(M690="","",VLOOKUP(N690,'Team Stats'!$B$3:$K$18,10,0))</f>
        <v/>
      </c>
      <c r="T690" s="84" t="str">
        <f t="shared" si="86"/>
        <v/>
      </c>
      <c r="U690" t="str">
        <f t="shared" si="87"/>
        <v/>
      </c>
    </row>
    <row r="691" spans="1:21">
      <c r="A691" s="73" t="s">
        <v>1015</v>
      </c>
      <c r="B691" s="73" t="s">
        <v>212</v>
      </c>
      <c r="C691" s="74">
        <v>12</v>
      </c>
      <c r="D691" s="74"/>
      <c r="E691" s="74">
        <v>1</v>
      </c>
      <c r="F691" s="74"/>
      <c r="G691" s="74">
        <v>1</v>
      </c>
      <c r="H691" s="74"/>
      <c r="I691" s="63">
        <v>2</v>
      </c>
      <c r="J691" t="b">
        <f t="shared" si="80"/>
        <v>1</v>
      </c>
      <c r="K691" t="b">
        <f t="shared" si="81"/>
        <v>1</v>
      </c>
      <c r="M691" t="str">
        <f t="shared" si="82"/>
        <v> Stephane Veilleux</v>
      </c>
      <c r="N691" t="str">
        <f t="shared" si="83"/>
        <v>MIN</v>
      </c>
      <c r="O691">
        <f t="shared" si="84"/>
        <v>2</v>
      </c>
      <c r="P691">
        <f>IF(M691="","",VLOOKUP(B691,'Team Stats'!$B$3:$K$18,5,0))</f>
        <v>608</v>
      </c>
      <c r="Q691">
        <f t="shared" si="85"/>
        <v>3.2894736842105261E-3</v>
      </c>
      <c r="R691">
        <f ca="1">IF(M691="","",VLOOKUP(N691,Sim!$EF$46:$EG$61,2,0))</f>
        <v>11.71</v>
      </c>
      <c r="S691">
        <f ca="1">IF(M691="","",VLOOKUP(N691,'Team Stats'!$B$3:$K$18,10,0))</f>
        <v>86.825365853658553</v>
      </c>
      <c r="T691" s="84">
        <f t="shared" ca="1" si="86"/>
        <v>0.28560975609756101</v>
      </c>
      <c r="U691">
        <f t="shared" ca="1" si="87"/>
        <v>255</v>
      </c>
    </row>
    <row r="692" spans="1:21">
      <c r="A692" s="73" t="s">
        <v>1016</v>
      </c>
      <c r="B692" s="73" t="s">
        <v>196</v>
      </c>
      <c r="C692" s="74">
        <v>10</v>
      </c>
      <c r="D692" s="74"/>
      <c r="E692" s="74">
        <v>2</v>
      </c>
      <c r="F692" s="74"/>
      <c r="G692" s="74">
        <v>0</v>
      </c>
      <c r="H692" s="74"/>
      <c r="I692" s="63">
        <v>2</v>
      </c>
      <c r="J692" t="b">
        <f t="shared" si="80"/>
        <v>1</v>
      </c>
      <c r="K692" t="b">
        <f t="shared" si="81"/>
        <v>1</v>
      </c>
      <c r="M692" t="str">
        <f t="shared" si="82"/>
        <v> Eric Boulton</v>
      </c>
      <c r="N692" t="str">
        <f t="shared" si="83"/>
        <v>NYI</v>
      </c>
      <c r="O692">
        <f t="shared" si="84"/>
        <v>2</v>
      </c>
      <c r="P692">
        <f>IF(M692="","",VLOOKUP(B692,'Team Stats'!$B$3:$K$18,5,0))</f>
        <v>656</v>
      </c>
      <c r="Q692">
        <f t="shared" si="85"/>
        <v>3.0487804878048782E-3</v>
      </c>
      <c r="R692">
        <f ca="1">IF(M692="","",VLOOKUP(N692,Sim!$EF$46:$EG$61,2,0))</f>
        <v>13.18</v>
      </c>
      <c r="S692">
        <f ca="1">IF(M692="","",VLOOKUP(N692,'Team Stats'!$B$3:$K$18,10,0))</f>
        <v>105.44</v>
      </c>
      <c r="T692" s="84">
        <f t="shared" ca="1" si="86"/>
        <v>0.32146341463414635</v>
      </c>
      <c r="U692">
        <f t="shared" ca="1" si="87"/>
        <v>252</v>
      </c>
    </row>
    <row r="693" spans="1:21">
      <c r="A693" s="73" t="s">
        <v>1017</v>
      </c>
      <c r="B693" s="73" t="s">
        <v>213</v>
      </c>
      <c r="C693" s="74">
        <v>16</v>
      </c>
      <c r="D693" s="74"/>
      <c r="E693" s="74">
        <v>1</v>
      </c>
      <c r="F693" s="74"/>
      <c r="G693" s="74">
        <v>1</v>
      </c>
      <c r="H693" s="74"/>
      <c r="I693" s="63">
        <v>2</v>
      </c>
      <c r="J693" t="b">
        <f t="shared" si="80"/>
        <v>0</v>
      </c>
      <c r="K693" t="b">
        <f t="shared" si="81"/>
        <v>0</v>
      </c>
      <c r="M693" t="str">
        <f t="shared" si="82"/>
        <v/>
      </c>
      <c r="N693" t="str">
        <f t="shared" si="83"/>
        <v/>
      </c>
      <c r="O693" t="str">
        <f t="shared" si="84"/>
        <v/>
      </c>
      <c r="P693" t="str">
        <f>IF(M693="","",VLOOKUP(B693,'Team Stats'!$B$3:$K$18,5,0))</f>
        <v/>
      </c>
      <c r="Q693" t="str">
        <f t="shared" si="85"/>
        <v/>
      </c>
      <c r="R693" t="str">
        <f>IF(M693="","",VLOOKUP(N693,Sim!$EF$46:$EG$61,2,0))</f>
        <v/>
      </c>
      <c r="S693" t="str">
        <f>IF(M693="","",VLOOKUP(N693,'Team Stats'!$B$3:$K$18,10,0))</f>
        <v/>
      </c>
      <c r="T693" s="84" t="str">
        <f t="shared" si="86"/>
        <v/>
      </c>
      <c r="U693" t="str">
        <f t="shared" si="87"/>
        <v/>
      </c>
    </row>
    <row r="694" spans="1:21">
      <c r="A694" s="73" t="s">
        <v>1018</v>
      </c>
      <c r="B694" s="73" t="s">
        <v>215</v>
      </c>
      <c r="C694" s="74">
        <v>16</v>
      </c>
      <c r="D694" s="74"/>
      <c r="E694" s="74">
        <v>1</v>
      </c>
      <c r="F694" s="74"/>
      <c r="G694" s="74">
        <v>1</v>
      </c>
      <c r="H694" s="74"/>
      <c r="I694" s="63">
        <v>2</v>
      </c>
      <c r="J694" t="b">
        <f t="shared" si="80"/>
        <v>0</v>
      </c>
      <c r="K694" t="b">
        <f t="shared" si="81"/>
        <v>0</v>
      </c>
      <c r="M694" t="str">
        <f t="shared" si="82"/>
        <v/>
      </c>
      <c r="N694" t="str">
        <f t="shared" si="83"/>
        <v/>
      </c>
      <c r="O694" t="str">
        <f t="shared" si="84"/>
        <v/>
      </c>
      <c r="P694" t="str">
        <f>IF(M694="","",VLOOKUP(B694,'Team Stats'!$B$3:$K$18,5,0))</f>
        <v/>
      </c>
      <c r="Q694" t="str">
        <f t="shared" si="85"/>
        <v/>
      </c>
      <c r="R694" t="str">
        <f>IF(M694="","",VLOOKUP(N694,Sim!$EF$46:$EG$61,2,0))</f>
        <v/>
      </c>
      <c r="S694" t="str">
        <f>IF(M694="","",VLOOKUP(N694,'Team Stats'!$B$3:$K$18,10,0))</f>
        <v/>
      </c>
      <c r="T694" s="84" t="str">
        <f t="shared" si="86"/>
        <v/>
      </c>
      <c r="U694" t="str">
        <f t="shared" si="87"/>
        <v/>
      </c>
    </row>
    <row r="695" spans="1:21">
      <c r="A695" s="73" t="s">
        <v>1019</v>
      </c>
      <c r="B695" s="73" t="s">
        <v>198</v>
      </c>
      <c r="C695" s="74">
        <v>14</v>
      </c>
      <c r="D695" s="74"/>
      <c r="E695" s="74">
        <v>1</v>
      </c>
      <c r="F695" s="74"/>
      <c r="G695" s="74">
        <v>1</v>
      </c>
      <c r="H695" s="74"/>
      <c r="I695" s="63">
        <v>2</v>
      </c>
      <c r="J695" t="b">
        <f t="shared" si="80"/>
        <v>1</v>
      </c>
      <c r="K695" t="b">
        <f t="shared" si="81"/>
        <v>1</v>
      </c>
      <c r="M695" t="str">
        <f t="shared" si="82"/>
        <v> Bryan Rust</v>
      </c>
      <c r="N695" t="str">
        <f t="shared" si="83"/>
        <v>PIT</v>
      </c>
      <c r="O695">
        <f t="shared" si="84"/>
        <v>2</v>
      </c>
      <c r="P695">
        <f>IF(M695="","",VLOOKUP(B695,'Team Stats'!$B$3:$K$18,5,0))</f>
        <v>600</v>
      </c>
      <c r="Q695">
        <f t="shared" si="85"/>
        <v>3.3333333333333335E-3</v>
      </c>
      <c r="R695">
        <f ca="1">IF(M695="","",VLOOKUP(N695,Sim!$EF$46:$EG$61,2,0))</f>
        <v>9.74</v>
      </c>
      <c r="S695">
        <f ca="1">IF(M695="","",VLOOKUP(N695,'Team Stats'!$B$3:$K$18,10,0))</f>
        <v>71.268292682926827</v>
      </c>
      <c r="T695" s="84">
        <f t="shared" ca="1" si="86"/>
        <v>0.23756097560975611</v>
      </c>
      <c r="U695">
        <f t="shared" ca="1" si="87"/>
        <v>261</v>
      </c>
    </row>
    <row r="696" spans="1:21">
      <c r="A696" s="73" t="s">
        <v>1020</v>
      </c>
      <c r="B696" s="73" t="s">
        <v>218</v>
      </c>
      <c r="C696" s="74">
        <v>10</v>
      </c>
      <c r="D696" s="74"/>
      <c r="E696" s="74">
        <v>0</v>
      </c>
      <c r="F696" s="74"/>
      <c r="G696" s="74">
        <v>2</v>
      </c>
      <c r="H696" s="74"/>
      <c r="I696" s="63">
        <v>2</v>
      </c>
      <c r="J696" t="b">
        <f t="shared" si="80"/>
        <v>0</v>
      </c>
      <c r="K696" t="b">
        <f t="shared" si="81"/>
        <v>0</v>
      </c>
      <c r="M696" t="str">
        <f t="shared" si="82"/>
        <v/>
      </c>
      <c r="N696" t="str">
        <f t="shared" si="83"/>
        <v/>
      </c>
      <c r="O696" t="str">
        <f t="shared" si="84"/>
        <v/>
      </c>
      <c r="P696" t="str">
        <f>IF(M696="","",VLOOKUP(B696,'Team Stats'!$B$3:$K$18,5,0))</f>
        <v/>
      </c>
      <c r="Q696" t="str">
        <f t="shared" si="85"/>
        <v/>
      </c>
      <c r="R696" t="str">
        <f>IF(M696="","",VLOOKUP(N696,Sim!$EF$46:$EG$61,2,0))</f>
        <v/>
      </c>
      <c r="S696" t="str">
        <f>IF(M696="","",VLOOKUP(N696,'Team Stats'!$B$3:$K$18,10,0))</f>
        <v/>
      </c>
      <c r="T696" s="84" t="str">
        <f t="shared" si="86"/>
        <v/>
      </c>
      <c r="U696" t="str">
        <f t="shared" si="87"/>
        <v/>
      </c>
    </row>
    <row r="697" spans="1:21">
      <c r="A697" s="73" t="s">
        <v>1021</v>
      </c>
      <c r="B697" s="73" t="s">
        <v>221</v>
      </c>
      <c r="C697" s="74">
        <v>18</v>
      </c>
      <c r="D697" s="74"/>
      <c r="E697" s="74">
        <v>1</v>
      </c>
      <c r="F697" s="74"/>
      <c r="G697" s="74">
        <v>1</v>
      </c>
      <c r="H697" s="74"/>
      <c r="I697" s="63">
        <v>2</v>
      </c>
      <c r="J697" t="b">
        <f t="shared" si="80"/>
        <v>0</v>
      </c>
      <c r="K697" t="b">
        <f t="shared" si="81"/>
        <v>0</v>
      </c>
      <c r="M697" t="str">
        <f t="shared" si="82"/>
        <v/>
      </c>
      <c r="N697" t="str">
        <f t="shared" si="83"/>
        <v/>
      </c>
      <c r="O697" t="str">
        <f t="shared" si="84"/>
        <v/>
      </c>
      <c r="P697" t="str">
        <f>IF(M697="","",VLOOKUP(B697,'Team Stats'!$B$3:$K$18,5,0))</f>
        <v/>
      </c>
      <c r="Q697" t="str">
        <f t="shared" si="85"/>
        <v/>
      </c>
      <c r="R697" t="str">
        <f>IF(M697="","",VLOOKUP(N697,Sim!$EF$46:$EG$61,2,0))</f>
        <v/>
      </c>
      <c r="S697" t="str">
        <f>IF(M697="","",VLOOKUP(N697,'Team Stats'!$B$3:$K$18,10,0))</f>
        <v/>
      </c>
      <c r="T697" s="84" t="str">
        <f t="shared" si="86"/>
        <v/>
      </c>
      <c r="U697" t="str">
        <f t="shared" si="87"/>
        <v/>
      </c>
    </row>
    <row r="698" spans="1:21" ht="30">
      <c r="A698" s="73" t="s">
        <v>1022</v>
      </c>
      <c r="B698" s="73" t="s">
        <v>336</v>
      </c>
      <c r="C698" s="74">
        <v>2</v>
      </c>
      <c r="D698" s="74"/>
      <c r="E698" s="74">
        <v>1</v>
      </c>
      <c r="F698" s="74"/>
      <c r="G698" s="74">
        <v>1</v>
      </c>
      <c r="H698" s="74"/>
      <c r="I698" s="63">
        <v>2</v>
      </c>
      <c r="J698" t="b">
        <f t="shared" si="80"/>
        <v>0</v>
      </c>
      <c r="K698" t="b">
        <f t="shared" si="81"/>
        <v>0</v>
      </c>
      <c r="M698" t="str">
        <f t="shared" si="82"/>
        <v/>
      </c>
      <c r="N698" t="str">
        <f t="shared" si="83"/>
        <v/>
      </c>
      <c r="O698" t="str">
        <f t="shared" si="84"/>
        <v/>
      </c>
      <c r="P698" t="str">
        <f>IF(M698="","",VLOOKUP(B698,'Team Stats'!$B$3:$K$18,5,0))</f>
        <v/>
      </c>
      <c r="Q698" t="str">
        <f t="shared" si="85"/>
        <v/>
      </c>
      <c r="R698" t="str">
        <f>IF(M698="","",VLOOKUP(N698,Sim!$EF$46:$EG$61,2,0))</f>
        <v/>
      </c>
      <c r="S698" t="str">
        <f>IF(M698="","",VLOOKUP(N698,'Team Stats'!$B$3:$K$18,10,0))</f>
        <v/>
      </c>
      <c r="T698" s="84" t="str">
        <f t="shared" si="86"/>
        <v/>
      </c>
      <c r="U698" t="str">
        <f t="shared" si="87"/>
        <v/>
      </c>
    </row>
    <row r="699" spans="1:21">
      <c r="A699" s="73" t="s">
        <v>1023</v>
      </c>
      <c r="B699" s="73" t="s">
        <v>221</v>
      </c>
      <c r="C699" s="74">
        <v>39</v>
      </c>
      <c r="D699" s="74"/>
      <c r="E699" s="74">
        <v>1</v>
      </c>
      <c r="F699" s="74"/>
      <c r="G699" s="74">
        <v>1</v>
      </c>
      <c r="H699" s="74"/>
      <c r="I699" s="63">
        <v>2</v>
      </c>
      <c r="J699" t="b">
        <f t="shared" si="80"/>
        <v>0</v>
      </c>
      <c r="K699" t="b">
        <f t="shared" si="81"/>
        <v>0</v>
      </c>
      <c r="M699" t="str">
        <f t="shared" si="82"/>
        <v/>
      </c>
      <c r="N699" t="str">
        <f t="shared" si="83"/>
        <v/>
      </c>
      <c r="O699" t="str">
        <f t="shared" si="84"/>
        <v/>
      </c>
      <c r="P699" t="str">
        <f>IF(M699="","",VLOOKUP(B699,'Team Stats'!$B$3:$K$18,5,0))</f>
        <v/>
      </c>
      <c r="Q699" t="str">
        <f t="shared" si="85"/>
        <v/>
      </c>
      <c r="R699" t="str">
        <f>IF(M699="","",VLOOKUP(N699,Sim!$EF$46:$EG$61,2,0))</f>
        <v/>
      </c>
      <c r="S699" t="str">
        <f>IF(M699="","",VLOOKUP(N699,'Team Stats'!$B$3:$K$18,10,0))</f>
        <v/>
      </c>
      <c r="T699" s="84" t="str">
        <f t="shared" si="86"/>
        <v/>
      </c>
      <c r="U699" t="str">
        <f t="shared" si="87"/>
        <v/>
      </c>
    </row>
    <row r="700" spans="1:21">
      <c r="A700" s="73" t="s">
        <v>1024</v>
      </c>
      <c r="B700" s="73" t="s">
        <v>200</v>
      </c>
      <c r="C700" s="74">
        <v>24</v>
      </c>
      <c r="D700" s="74"/>
      <c r="E700" s="74">
        <v>1</v>
      </c>
      <c r="F700" s="74"/>
      <c r="G700" s="74">
        <v>1</v>
      </c>
      <c r="H700" s="74"/>
      <c r="I700" s="63">
        <v>2</v>
      </c>
      <c r="J700" t="b">
        <f t="shared" si="80"/>
        <v>1</v>
      </c>
      <c r="K700" t="b">
        <f t="shared" si="81"/>
        <v>1</v>
      </c>
      <c r="M700" t="str">
        <f t="shared" si="82"/>
        <v> Chris Porter</v>
      </c>
      <c r="N700" t="str">
        <f t="shared" si="83"/>
        <v>STL</v>
      </c>
      <c r="O700">
        <f t="shared" si="84"/>
        <v>2</v>
      </c>
      <c r="P700">
        <f>IF(M700="","",VLOOKUP(B700,'Team Stats'!$B$3:$K$18,5,0))</f>
        <v>660</v>
      </c>
      <c r="Q700">
        <f t="shared" si="85"/>
        <v>3.0303030303030303E-3</v>
      </c>
      <c r="R700">
        <f ca="1">IF(M700="","",VLOOKUP(N700,Sim!$EF$46:$EG$61,2,0))</f>
        <v>10.87</v>
      </c>
      <c r="S700">
        <f ca="1">IF(M700="","",VLOOKUP(N700,'Team Stats'!$B$3:$K$18,10,0))</f>
        <v>87.490243902439019</v>
      </c>
      <c r="T700" s="84">
        <f t="shared" ca="1" si="86"/>
        <v>0.26512195121951215</v>
      </c>
      <c r="U700">
        <f t="shared" ca="1" si="87"/>
        <v>256</v>
      </c>
    </row>
    <row r="701" spans="1:21">
      <c r="A701" s="73" t="s">
        <v>1025</v>
      </c>
      <c r="B701" s="73" t="s">
        <v>213</v>
      </c>
      <c r="C701" s="74">
        <v>12</v>
      </c>
      <c r="D701" s="74"/>
      <c r="E701" s="74">
        <v>0</v>
      </c>
      <c r="F701" s="74"/>
      <c r="G701" s="74">
        <v>2</v>
      </c>
      <c r="H701" s="74"/>
      <c r="I701" s="63">
        <v>2</v>
      </c>
      <c r="J701" t="b">
        <f t="shared" si="80"/>
        <v>0</v>
      </c>
      <c r="K701" t="b">
        <f t="shared" si="81"/>
        <v>0</v>
      </c>
      <c r="M701" t="str">
        <f t="shared" si="82"/>
        <v/>
      </c>
      <c r="N701" t="str">
        <f t="shared" si="83"/>
        <v/>
      </c>
      <c r="O701" t="str">
        <f t="shared" si="84"/>
        <v/>
      </c>
      <c r="P701" t="str">
        <f>IF(M701="","",VLOOKUP(B701,'Team Stats'!$B$3:$K$18,5,0))</f>
        <v/>
      </c>
      <c r="Q701" t="str">
        <f t="shared" si="85"/>
        <v/>
      </c>
      <c r="R701" t="str">
        <f>IF(M701="","",VLOOKUP(N701,Sim!$EF$46:$EG$61,2,0))</f>
        <v/>
      </c>
      <c r="S701" t="str">
        <f>IF(M701="","",VLOOKUP(N701,'Team Stats'!$B$3:$K$18,10,0))</f>
        <v/>
      </c>
      <c r="T701" s="84" t="str">
        <f t="shared" si="86"/>
        <v/>
      </c>
      <c r="U701" t="str">
        <f t="shared" si="87"/>
        <v/>
      </c>
    </row>
    <row r="702" spans="1:21">
      <c r="A702" s="73" t="s">
        <v>1026</v>
      </c>
      <c r="B702" s="73" t="s">
        <v>331</v>
      </c>
      <c r="C702" s="74">
        <v>8</v>
      </c>
      <c r="D702" s="74"/>
      <c r="E702" s="74">
        <v>0</v>
      </c>
      <c r="F702" s="74"/>
      <c r="G702" s="74">
        <v>2</v>
      </c>
      <c r="H702" s="74"/>
      <c r="I702" s="63">
        <v>2</v>
      </c>
      <c r="J702" t="b">
        <f t="shared" si="80"/>
        <v>0</v>
      </c>
      <c r="K702" t="b">
        <f t="shared" si="81"/>
        <v>0</v>
      </c>
      <c r="M702" t="str">
        <f t="shared" si="82"/>
        <v/>
      </c>
      <c r="N702" t="str">
        <f t="shared" si="83"/>
        <v/>
      </c>
      <c r="O702" t="str">
        <f t="shared" si="84"/>
        <v/>
      </c>
      <c r="P702" t="str">
        <f>IF(M702="","",VLOOKUP(B702,'Team Stats'!$B$3:$K$18,5,0))</f>
        <v/>
      </c>
      <c r="Q702" t="str">
        <f t="shared" si="85"/>
        <v/>
      </c>
      <c r="R702" t="str">
        <f>IF(M702="","",VLOOKUP(N702,Sim!$EF$46:$EG$61,2,0))</f>
        <v/>
      </c>
      <c r="S702" t="str">
        <f>IF(M702="","",VLOOKUP(N702,'Team Stats'!$B$3:$K$18,10,0))</f>
        <v/>
      </c>
      <c r="T702" s="84" t="str">
        <f t="shared" si="86"/>
        <v/>
      </c>
      <c r="U702" t="str">
        <f t="shared" si="87"/>
        <v/>
      </c>
    </row>
    <row r="703" spans="1:21">
      <c r="A703" s="73" t="s">
        <v>1027</v>
      </c>
      <c r="B703" s="73" t="s">
        <v>220</v>
      </c>
      <c r="C703" s="74">
        <v>15</v>
      </c>
      <c r="D703" s="74"/>
      <c r="E703" s="74">
        <v>0</v>
      </c>
      <c r="F703" s="74"/>
      <c r="G703" s="74">
        <v>2</v>
      </c>
      <c r="H703" s="74"/>
      <c r="I703" s="63">
        <v>2</v>
      </c>
      <c r="J703" t="b">
        <f t="shared" si="80"/>
        <v>0</v>
      </c>
      <c r="K703" t="b">
        <f t="shared" si="81"/>
        <v>0</v>
      </c>
      <c r="M703" t="str">
        <f t="shared" si="82"/>
        <v/>
      </c>
      <c r="N703" t="str">
        <f t="shared" si="83"/>
        <v/>
      </c>
      <c r="O703" t="str">
        <f t="shared" si="84"/>
        <v/>
      </c>
      <c r="P703" t="str">
        <f>IF(M703="","",VLOOKUP(B703,'Team Stats'!$B$3:$K$18,5,0))</f>
        <v/>
      </c>
      <c r="Q703" t="str">
        <f t="shared" si="85"/>
        <v/>
      </c>
      <c r="R703" t="str">
        <f>IF(M703="","",VLOOKUP(N703,Sim!$EF$46:$EG$61,2,0))</f>
        <v/>
      </c>
      <c r="S703" t="str">
        <f>IF(M703="","",VLOOKUP(N703,'Team Stats'!$B$3:$K$18,10,0))</f>
        <v/>
      </c>
      <c r="T703" s="84" t="str">
        <f t="shared" si="86"/>
        <v/>
      </c>
      <c r="U703" t="str">
        <f t="shared" si="87"/>
        <v/>
      </c>
    </row>
    <row r="704" spans="1:21">
      <c r="A704" s="73" t="s">
        <v>1028</v>
      </c>
      <c r="B704" s="73" t="s">
        <v>203</v>
      </c>
      <c r="C704" s="74">
        <v>7</v>
      </c>
      <c r="D704" s="74"/>
      <c r="E704" s="74">
        <v>1</v>
      </c>
      <c r="F704" s="74"/>
      <c r="G704" s="74">
        <v>1</v>
      </c>
      <c r="H704" s="74"/>
      <c r="I704" s="63">
        <v>2</v>
      </c>
      <c r="J704" t="b">
        <f t="shared" si="80"/>
        <v>1</v>
      </c>
      <c r="K704" t="b">
        <f t="shared" si="81"/>
        <v>1</v>
      </c>
      <c r="M704" t="str">
        <f t="shared" si="82"/>
        <v> Chris Mueller</v>
      </c>
      <c r="N704" t="str">
        <f t="shared" si="83"/>
        <v>NYR</v>
      </c>
      <c r="O704">
        <f t="shared" si="84"/>
        <v>2</v>
      </c>
      <c r="P704">
        <f>IF(M704="","",VLOOKUP(B704,'Team Stats'!$B$3:$K$18,5,0))</f>
        <v>659</v>
      </c>
      <c r="Q704">
        <f t="shared" si="85"/>
        <v>3.0349013657056147E-3</v>
      </c>
      <c r="R704">
        <f ca="1">IF(M704="","",VLOOKUP(N704,Sim!$EF$46:$EG$61,2,0))</f>
        <v>8.7200000000000006</v>
      </c>
      <c r="S704">
        <f ca="1">IF(M704="","",VLOOKUP(N704,'Team Stats'!$B$3:$K$18,10,0))</f>
        <v>70.079024390243916</v>
      </c>
      <c r="T704" s="84">
        <f t="shared" ca="1" si="86"/>
        <v>0.21268292682926834</v>
      </c>
      <c r="U704">
        <f t="shared" ca="1" si="87"/>
        <v>263</v>
      </c>
    </row>
    <row r="705" spans="1:21">
      <c r="A705" s="73" t="s">
        <v>1029</v>
      </c>
      <c r="B705" s="73" t="s">
        <v>199</v>
      </c>
      <c r="C705" s="74">
        <v>3</v>
      </c>
      <c r="D705" s="74"/>
      <c r="E705" s="74">
        <v>0</v>
      </c>
      <c r="F705" s="74"/>
      <c r="G705" s="74">
        <v>2</v>
      </c>
      <c r="H705" s="74"/>
      <c r="I705" s="63">
        <v>2</v>
      </c>
      <c r="J705" t="b">
        <f t="shared" si="80"/>
        <v>0</v>
      </c>
      <c r="K705" t="b">
        <f t="shared" si="81"/>
        <v>0</v>
      </c>
      <c r="M705" t="str">
        <f t="shared" si="82"/>
        <v/>
      </c>
      <c r="N705" t="str">
        <f t="shared" si="83"/>
        <v/>
      </c>
      <c r="O705" t="str">
        <f t="shared" si="84"/>
        <v/>
      </c>
      <c r="P705" t="str">
        <f>IF(M705="","",VLOOKUP(B705,'Team Stats'!$B$3:$K$18,5,0))</f>
        <v/>
      </c>
      <c r="Q705" t="str">
        <f t="shared" si="85"/>
        <v/>
      </c>
      <c r="R705" t="str">
        <f>IF(M705="","",VLOOKUP(N705,Sim!$EF$46:$EG$61,2,0))</f>
        <v/>
      </c>
      <c r="S705" t="str">
        <f>IF(M705="","",VLOOKUP(N705,'Team Stats'!$B$3:$K$18,10,0))</f>
        <v/>
      </c>
      <c r="T705" s="84" t="str">
        <f t="shared" si="86"/>
        <v/>
      </c>
      <c r="U705" t="str">
        <f t="shared" si="87"/>
        <v/>
      </c>
    </row>
    <row r="706" spans="1:21">
      <c r="A706" s="73" t="s">
        <v>1030</v>
      </c>
      <c r="B706" s="73" t="s">
        <v>216</v>
      </c>
      <c r="C706" s="74">
        <v>13</v>
      </c>
      <c r="D706" s="74"/>
      <c r="E706" s="74">
        <v>1</v>
      </c>
      <c r="F706" s="74"/>
      <c r="G706" s="74">
        <v>1</v>
      </c>
      <c r="H706" s="74"/>
      <c r="I706" s="63">
        <v>2</v>
      </c>
      <c r="J706" t="b">
        <f t="shared" si="80"/>
        <v>0</v>
      </c>
      <c r="K706" t="b">
        <f t="shared" si="81"/>
        <v>0</v>
      </c>
      <c r="M706" t="str">
        <f t="shared" si="82"/>
        <v/>
      </c>
      <c r="N706" t="str">
        <f t="shared" si="83"/>
        <v/>
      </c>
      <c r="O706" t="str">
        <f t="shared" si="84"/>
        <v/>
      </c>
      <c r="P706" t="str">
        <f>IF(M706="","",VLOOKUP(B706,'Team Stats'!$B$3:$K$18,5,0))</f>
        <v/>
      </c>
      <c r="Q706" t="str">
        <f t="shared" si="85"/>
        <v/>
      </c>
      <c r="R706" t="str">
        <f>IF(M706="","",VLOOKUP(N706,Sim!$EF$46:$EG$61,2,0))</f>
        <v/>
      </c>
      <c r="S706" t="str">
        <f>IF(M706="","",VLOOKUP(N706,'Team Stats'!$B$3:$K$18,10,0))</f>
        <v/>
      </c>
      <c r="T706" s="84" t="str">
        <f t="shared" si="86"/>
        <v/>
      </c>
      <c r="U706" t="str">
        <f t="shared" si="87"/>
        <v/>
      </c>
    </row>
    <row r="707" spans="1:21">
      <c r="A707" s="73" t="s">
        <v>1031</v>
      </c>
      <c r="B707" s="73" t="s">
        <v>215</v>
      </c>
      <c r="C707" s="74">
        <v>17</v>
      </c>
      <c r="D707" s="74"/>
      <c r="E707" s="74">
        <v>2</v>
      </c>
      <c r="F707" s="74"/>
      <c r="G707" s="74">
        <v>0</v>
      </c>
      <c r="H707" s="74"/>
      <c r="I707" s="63">
        <v>2</v>
      </c>
      <c r="J707" t="b">
        <f t="shared" si="80"/>
        <v>0</v>
      </c>
      <c r="K707" t="b">
        <f t="shared" si="81"/>
        <v>0</v>
      </c>
      <c r="M707" t="str">
        <f t="shared" si="82"/>
        <v/>
      </c>
      <c r="N707" t="str">
        <f t="shared" si="83"/>
        <v/>
      </c>
      <c r="O707" t="str">
        <f t="shared" si="84"/>
        <v/>
      </c>
      <c r="P707" t="str">
        <f>IF(M707="","",VLOOKUP(B707,'Team Stats'!$B$3:$K$18,5,0))</f>
        <v/>
      </c>
      <c r="Q707" t="str">
        <f t="shared" si="85"/>
        <v/>
      </c>
      <c r="R707" t="str">
        <f>IF(M707="","",VLOOKUP(N707,Sim!$EF$46:$EG$61,2,0))</f>
        <v/>
      </c>
      <c r="S707" t="str">
        <f>IF(M707="","",VLOOKUP(N707,'Team Stats'!$B$3:$K$18,10,0))</f>
        <v/>
      </c>
      <c r="T707" s="84" t="str">
        <f t="shared" si="86"/>
        <v/>
      </c>
      <c r="U707" t="str">
        <f t="shared" si="87"/>
        <v/>
      </c>
    </row>
    <row r="708" spans="1:21">
      <c r="A708" s="73" t="s">
        <v>1032</v>
      </c>
      <c r="B708" s="73" t="s">
        <v>210</v>
      </c>
      <c r="C708" s="74">
        <v>49</v>
      </c>
      <c r="D708" s="74"/>
      <c r="E708" s="74">
        <v>1</v>
      </c>
      <c r="F708" s="74"/>
      <c r="G708" s="74">
        <v>1</v>
      </c>
      <c r="H708" s="74"/>
      <c r="I708" s="63">
        <v>2</v>
      </c>
      <c r="J708" t="b">
        <f t="shared" ref="J708:J771" si="88">OR(B708="MTL",B708="OTT",B708="TBL",B708="DET",B708="WSH",B708="NYI",B708="NYR",B708="PIT",B708="STL",B708="MIN",B708="NSH",B708="CHI",B708="VAN",B708="CAL",B708="ANA",B708="WPG")</f>
        <v>1</v>
      </c>
      <c r="K708" t="b">
        <f t="shared" ref="K708:K771" si="89">J708</f>
        <v>1</v>
      </c>
      <c r="M708" t="str">
        <f t="shared" ref="M708:M771" si="90">IF(K708=FALSE,"",A708)</f>
        <v> Anthony Peluso</v>
      </c>
      <c r="N708" t="str">
        <f t="shared" ref="N708:N771" si="91">IF(M708="","",B708)</f>
        <v>WPG</v>
      </c>
      <c r="O708">
        <f t="shared" ref="O708:O771" si="92">IF(M708="","",I708)</f>
        <v>2</v>
      </c>
      <c r="P708">
        <f>IF(M708="","",VLOOKUP(B708,'Team Stats'!$B$3:$K$18,5,0))</f>
        <v>594</v>
      </c>
      <c r="Q708">
        <f t="shared" ref="Q708:Q771" si="93">IF(N708="","",IF(O708=0,0,O708/P708))</f>
        <v>3.3670033670033669E-3</v>
      </c>
      <c r="R708">
        <f ca="1">IF(M708="","",VLOOKUP(N708,Sim!$EF$46:$EG$61,2,0))</f>
        <v>8.94</v>
      </c>
      <c r="S708">
        <f ca="1">IF(M708="","",VLOOKUP(N708,'Team Stats'!$B$3:$K$18,10,0))</f>
        <v>64.760487804878053</v>
      </c>
      <c r="T708" s="84">
        <f t="shared" ref="T708:T771" ca="1" si="94">IF(M708="","",IF(O708=0,0,Q708*S708))</f>
        <v>0.21804878048780488</v>
      </c>
      <c r="U708">
        <f t="shared" ref="U708:U771" ca="1" si="95">IF(M708="","",RANK(T708,$T$3:$T$884,0))</f>
        <v>262</v>
      </c>
    </row>
    <row r="709" spans="1:21">
      <c r="A709" s="73" t="s">
        <v>1033</v>
      </c>
      <c r="B709" s="73" t="s">
        <v>200</v>
      </c>
      <c r="C709" s="74">
        <v>11</v>
      </c>
      <c r="D709" s="74"/>
      <c r="E709" s="74">
        <v>0</v>
      </c>
      <c r="F709" s="74"/>
      <c r="G709" s="74">
        <v>2</v>
      </c>
      <c r="H709" s="74"/>
      <c r="I709" s="63">
        <v>2</v>
      </c>
      <c r="J709" t="b">
        <f t="shared" si="88"/>
        <v>1</v>
      </c>
      <c r="K709" t="b">
        <f t="shared" si="89"/>
        <v>1</v>
      </c>
      <c r="M709" t="str">
        <f t="shared" si="90"/>
        <v> Ty Rattie</v>
      </c>
      <c r="N709" t="str">
        <f t="shared" si="91"/>
        <v>STL</v>
      </c>
      <c r="O709">
        <f t="shared" si="92"/>
        <v>2</v>
      </c>
      <c r="P709">
        <f>IF(M709="","",VLOOKUP(B709,'Team Stats'!$B$3:$K$18,5,0))</f>
        <v>660</v>
      </c>
      <c r="Q709">
        <f t="shared" si="93"/>
        <v>3.0303030303030303E-3</v>
      </c>
      <c r="R709">
        <f ca="1">IF(M709="","",VLOOKUP(N709,Sim!$EF$46:$EG$61,2,0))</f>
        <v>10.87</v>
      </c>
      <c r="S709">
        <f ca="1">IF(M709="","",VLOOKUP(N709,'Team Stats'!$B$3:$K$18,10,0))</f>
        <v>87.490243902439019</v>
      </c>
      <c r="T709" s="84">
        <f t="shared" ca="1" si="94"/>
        <v>0.26512195121951215</v>
      </c>
      <c r="U709">
        <f t="shared" ca="1" si="95"/>
        <v>256</v>
      </c>
    </row>
    <row r="710" spans="1:21">
      <c r="A710" s="73" t="s">
        <v>1034</v>
      </c>
      <c r="B710" s="73" t="s">
        <v>215</v>
      </c>
      <c r="C710" s="74">
        <v>4</v>
      </c>
      <c r="D710" s="74"/>
      <c r="E710" s="74">
        <v>0</v>
      </c>
      <c r="F710" s="74"/>
      <c r="G710" s="74">
        <v>2</v>
      </c>
      <c r="H710" s="74"/>
      <c r="I710" s="63">
        <v>2</v>
      </c>
      <c r="J710" t="b">
        <f t="shared" si="88"/>
        <v>0</v>
      </c>
      <c r="K710" t="b">
        <f t="shared" si="89"/>
        <v>0</v>
      </c>
      <c r="M710" t="str">
        <f t="shared" si="90"/>
        <v/>
      </c>
      <c r="N710" t="str">
        <f t="shared" si="91"/>
        <v/>
      </c>
      <c r="O710" t="str">
        <f t="shared" si="92"/>
        <v/>
      </c>
      <c r="P710" t="str">
        <f>IF(M710="","",VLOOKUP(B710,'Team Stats'!$B$3:$K$18,5,0))</f>
        <v/>
      </c>
      <c r="Q710" t="str">
        <f t="shared" si="93"/>
        <v/>
      </c>
      <c r="R710" t="str">
        <f>IF(M710="","",VLOOKUP(N710,Sim!$EF$46:$EG$61,2,0))</f>
        <v/>
      </c>
      <c r="S710" t="str">
        <f>IF(M710="","",VLOOKUP(N710,'Team Stats'!$B$3:$K$18,10,0))</f>
        <v/>
      </c>
      <c r="T710" s="84" t="str">
        <f t="shared" si="94"/>
        <v/>
      </c>
      <c r="U710" t="str">
        <f t="shared" si="95"/>
        <v/>
      </c>
    </row>
    <row r="711" spans="1:21">
      <c r="A711" s="73" t="s">
        <v>1035</v>
      </c>
      <c r="B711" s="73" t="s">
        <v>209</v>
      </c>
      <c r="C711" s="74">
        <v>11</v>
      </c>
      <c r="D711" s="74"/>
      <c r="E711" s="74">
        <v>0</v>
      </c>
      <c r="F711" s="74"/>
      <c r="G711" s="74">
        <v>2</v>
      </c>
      <c r="H711" s="74"/>
      <c r="I711" s="63">
        <v>2</v>
      </c>
      <c r="J711" t="b">
        <f t="shared" si="88"/>
        <v>1</v>
      </c>
      <c r="K711" t="b">
        <f t="shared" si="89"/>
        <v>1</v>
      </c>
      <c r="M711" t="str">
        <f t="shared" si="90"/>
        <v> Brian Lashoff</v>
      </c>
      <c r="N711" t="str">
        <f t="shared" si="91"/>
        <v>DET</v>
      </c>
      <c r="O711">
        <f t="shared" si="92"/>
        <v>2</v>
      </c>
      <c r="P711">
        <f>IF(M711="","",VLOOKUP(B711,'Team Stats'!$B$3:$K$18,5,0))</f>
        <v>630</v>
      </c>
      <c r="Q711">
        <f t="shared" si="93"/>
        <v>3.1746031746031746E-3</v>
      </c>
      <c r="R711">
        <f ca="1">IF(M711="","",VLOOKUP(N711,Sim!$EF$46:$EG$61,2,0))</f>
        <v>10.06</v>
      </c>
      <c r="S711">
        <f ca="1">IF(M711="","",VLOOKUP(N711,'Team Stats'!$B$3:$K$18,10,0))</f>
        <v>77.29024390243903</v>
      </c>
      <c r="T711" s="84">
        <f t="shared" ca="1" si="94"/>
        <v>0.24536585365853661</v>
      </c>
      <c r="U711">
        <f t="shared" ca="1" si="95"/>
        <v>258</v>
      </c>
    </row>
    <row r="712" spans="1:21">
      <c r="A712" s="73" t="s">
        <v>1036</v>
      </c>
      <c r="B712" s="73" t="s">
        <v>345</v>
      </c>
      <c r="C712" s="74">
        <v>13</v>
      </c>
      <c r="D712" s="74"/>
      <c r="E712" s="74">
        <v>0</v>
      </c>
      <c r="F712" s="74"/>
      <c r="G712" s="74">
        <v>2</v>
      </c>
      <c r="H712" s="74"/>
      <c r="I712" s="63">
        <v>2</v>
      </c>
      <c r="J712" t="b">
        <f t="shared" si="88"/>
        <v>0</v>
      </c>
      <c r="K712" t="b">
        <f t="shared" si="89"/>
        <v>0</v>
      </c>
      <c r="M712" t="str">
        <f t="shared" si="90"/>
        <v/>
      </c>
      <c r="N712" t="str">
        <f t="shared" si="91"/>
        <v/>
      </c>
      <c r="O712" t="str">
        <f t="shared" si="92"/>
        <v/>
      </c>
      <c r="P712" t="str">
        <f>IF(M712="","",VLOOKUP(B712,'Team Stats'!$B$3:$K$18,5,0))</f>
        <v/>
      </c>
      <c r="Q712" t="str">
        <f t="shared" si="93"/>
        <v/>
      </c>
      <c r="R712" t="str">
        <f>IF(M712="","",VLOOKUP(N712,Sim!$EF$46:$EG$61,2,0))</f>
        <v/>
      </c>
      <c r="S712" t="str">
        <f>IF(M712="","",VLOOKUP(N712,'Team Stats'!$B$3:$K$18,10,0))</f>
        <v/>
      </c>
      <c r="T712" s="84" t="str">
        <f t="shared" si="94"/>
        <v/>
      </c>
      <c r="U712" t="str">
        <f t="shared" si="95"/>
        <v/>
      </c>
    </row>
    <row r="713" spans="1:21">
      <c r="A713" s="73" t="s">
        <v>1037</v>
      </c>
      <c r="B713" s="73" t="s">
        <v>331</v>
      </c>
      <c r="C713" s="74">
        <v>18</v>
      </c>
      <c r="D713" s="74"/>
      <c r="E713" s="74">
        <v>1</v>
      </c>
      <c r="F713" s="74"/>
      <c r="G713" s="74">
        <v>1</v>
      </c>
      <c r="H713" s="74"/>
      <c r="I713" s="63">
        <v>2</v>
      </c>
      <c r="J713" t="b">
        <f t="shared" si="88"/>
        <v>0</v>
      </c>
      <c r="K713" t="b">
        <f t="shared" si="89"/>
        <v>0</v>
      </c>
      <c r="M713" t="str">
        <f t="shared" si="90"/>
        <v/>
      </c>
      <c r="N713" t="str">
        <f t="shared" si="91"/>
        <v/>
      </c>
      <c r="O713" t="str">
        <f t="shared" si="92"/>
        <v/>
      </c>
      <c r="P713" t="str">
        <f>IF(M713="","",VLOOKUP(B713,'Team Stats'!$B$3:$K$18,5,0))</f>
        <v/>
      </c>
      <c r="Q713" t="str">
        <f t="shared" si="93"/>
        <v/>
      </c>
      <c r="R713" t="str">
        <f>IF(M713="","",VLOOKUP(N713,Sim!$EF$46:$EG$61,2,0))</f>
        <v/>
      </c>
      <c r="S713" t="str">
        <f>IF(M713="","",VLOOKUP(N713,'Team Stats'!$B$3:$K$18,10,0))</f>
        <v/>
      </c>
      <c r="T713" s="84" t="str">
        <f t="shared" si="94"/>
        <v/>
      </c>
      <c r="U713" t="str">
        <f t="shared" si="95"/>
        <v/>
      </c>
    </row>
    <row r="714" spans="1:21">
      <c r="A714" s="73" t="s">
        <v>1038</v>
      </c>
      <c r="B714" s="73" t="s">
        <v>217</v>
      </c>
      <c r="C714" s="74">
        <v>10</v>
      </c>
      <c r="D714" s="74"/>
      <c r="E714" s="74">
        <v>0</v>
      </c>
      <c r="F714" s="74"/>
      <c r="G714" s="74">
        <v>1</v>
      </c>
      <c r="H714" s="74"/>
      <c r="I714" s="63">
        <v>1</v>
      </c>
      <c r="J714" t="b">
        <f t="shared" si="88"/>
        <v>0</v>
      </c>
      <c r="K714" t="b">
        <f t="shared" si="89"/>
        <v>0</v>
      </c>
      <c r="M714" t="str">
        <f t="shared" si="90"/>
        <v/>
      </c>
      <c r="N714" t="str">
        <f t="shared" si="91"/>
        <v/>
      </c>
      <c r="O714" t="str">
        <f t="shared" si="92"/>
        <v/>
      </c>
      <c r="P714" t="str">
        <f>IF(M714="","",VLOOKUP(B714,'Team Stats'!$B$3:$K$18,5,0))</f>
        <v/>
      </c>
      <c r="Q714" t="str">
        <f t="shared" si="93"/>
        <v/>
      </c>
      <c r="R714" t="str">
        <f>IF(M714="","",VLOOKUP(N714,Sim!$EF$46:$EG$61,2,0))</f>
        <v/>
      </c>
      <c r="S714" t="str">
        <f>IF(M714="","",VLOOKUP(N714,'Team Stats'!$B$3:$K$18,10,0))</f>
        <v/>
      </c>
      <c r="T714" s="84" t="str">
        <f t="shared" si="94"/>
        <v/>
      </c>
      <c r="U714" t="str">
        <f t="shared" si="95"/>
        <v/>
      </c>
    </row>
    <row r="715" spans="1:21">
      <c r="A715" s="73" t="s">
        <v>1039</v>
      </c>
      <c r="B715" s="73" t="s">
        <v>198</v>
      </c>
      <c r="C715" s="74">
        <v>8</v>
      </c>
      <c r="D715" s="74"/>
      <c r="E715" s="74">
        <v>1</v>
      </c>
      <c r="F715" s="74"/>
      <c r="G715" s="74">
        <v>0</v>
      </c>
      <c r="H715" s="74"/>
      <c r="I715" s="63">
        <v>1</v>
      </c>
      <c r="J715" t="b">
        <f t="shared" si="88"/>
        <v>1</v>
      </c>
      <c r="K715" t="b">
        <f t="shared" si="89"/>
        <v>1</v>
      </c>
      <c r="M715" t="str">
        <f t="shared" si="90"/>
        <v> Brian Dumoulin</v>
      </c>
      <c r="N715" t="str">
        <f t="shared" si="91"/>
        <v>PIT</v>
      </c>
      <c r="O715">
        <f t="shared" si="92"/>
        <v>1</v>
      </c>
      <c r="P715">
        <f>IF(M715="","",VLOOKUP(B715,'Team Stats'!$B$3:$K$18,5,0))</f>
        <v>600</v>
      </c>
      <c r="Q715">
        <f t="shared" si="93"/>
        <v>1.6666666666666668E-3</v>
      </c>
      <c r="R715">
        <f ca="1">IF(M715="","",VLOOKUP(N715,Sim!$EF$46:$EG$61,2,0))</f>
        <v>9.74</v>
      </c>
      <c r="S715">
        <f ca="1">IF(M715="","",VLOOKUP(N715,'Team Stats'!$B$3:$K$18,10,0))</f>
        <v>71.268292682926827</v>
      </c>
      <c r="T715" s="84">
        <f t="shared" ca="1" si="94"/>
        <v>0.11878048780487806</v>
      </c>
      <c r="U715">
        <f t="shared" ca="1" si="95"/>
        <v>278</v>
      </c>
    </row>
    <row r="716" spans="1:21">
      <c r="A716" s="73" t="s">
        <v>1040</v>
      </c>
      <c r="B716" s="73" t="s">
        <v>331</v>
      </c>
      <c r="C716" s="74">
        <v>4</v>
      </c>
      <c r="D716" s="74"/>
      <c r="E716" s="74">
        <v>0</v>
      </c>
      <c r="F716" s="74"/>
      <c r="G716" s="74">
        <v>1</v>
      </c>
      <c r="H716" s="74"/>
      <c r="I716" s="63">
        <v>1</v>
      </c>
      <c r="J716" t="b">
        <f t="shared" si="88"/>
        <v>0</v>
      </c>
      <c r="K716" t="b">
        <f t="shared" si="89"/>
        <v>0</v>
      </c>
      <c r="M716" t="str">
        <f t="shared" si="90"/>
        <v/>
      </c>
      <c r="N716" t="str">
        <f t="shared" si="91"/>
        <v/>
      </c>
      <c r="O716" t="str">
        <f t="shared" si="92"/>
        <v/>
      </c>
      <c r="P716" t="str">
        <f>IF(M716="","",VLOOKUP(B716,'Team Stats'!$B$3:$K$18,5,0))</f>
        <v/>
      </c>
      <c r="Q716" t="str">
        <f t="shared" si="93"/>
        <v/>
      </c>
      <c r="R716" t="str">
        <f>IF(M716="","",VLOOKUP(N716,Sim!$EF$46:$EG$61,2,0))</f>
        <v/>
      </c>
      <c r="S716" t="str">
        <f>IF(M716="","",VLOOKUP(N716,'Team Stats'!$B$3:$K$18,10,0))</f>
        <v/>
      </c>
      <c r="T716" s="84" t="str">
        <f t="shared" si="94"/>
        <v/>
      </c>
      <c r="U716" t="str">
        <f t="shared" si="95"/>
        <v/>
      </c>
    </row>
    <row r="717" spans="1:21">
      <c r="A717" s="73" t="s">
        <v>1041</v>
      </c>
      <c r="B717" s="73" t="s">
        <v>210</v>
      </c>
      <c r="C717" s="74">
        <v>1</v>
      </c>
      <c r="D717" s="74"/>
      <c r="E717" s="74">
        <v>0</v>
      </c>
      <c r="F717" s="74"/>
      <c r="G717" s="74">
        <v>1</v>
      </c>
      <c r="H717" s="74"/>
      <c r="I717" s="63">
        <v>1</v>
      </c>
      <c r="J717" t="b">
        <f t="shared" si="88"/>
        <v>1</v>
      </c>
      <c r="K717" t="b">
        <f t="shared" si="89"/>
        <v>1</v>
      </c>
      <c r="M717" t="str">
        <f t="shared" si="90"/>
        <v> Keaton Ellerby</v>
      </c>
      <c r="N717" t="str">
        <f t="shared" si="91"/>
        <v>WPG</v>
      </c>
      <c r="O717">
        <f t="shared" si="92"/>
        <v>1</v>
      </c>
      <c r="P717">
        <f>IF(M717="","",VLOOKUP(B717,'Team Stats'!$B$3:$K$18,5,0))</f>
        <v>594</v>
      </c>
      <c r="Q717">
        <f t="shared" si="93"/>
        <v>1.6835016835016834E-3</v>
      </c>
      <c r="R717">
        <f ca="1">IF(M717="","",VLOOKUP(N717,Sim!$EF$46:$EG$61,2,0))</f>
        <v>8.94</v>
      </c>
      <c r="S717">
        <f ca="1">IF(M717="","",VLOOKUP(N717,'Team Stats'!$B$3:$K$18,10,0))</f>
        <v>64.760487804878053</v>
      </c>
      <c r="T717" s="84">
        <f t="shared" ca="1" si="94"/>
        <v>0.10902439024390244</v>
      </c>
      <c r="U717">
        <f t="shared" ca="1" si="95"/>
        <v>283</v>
      </c>
    </row>
    <row r="718" spans="1:21">
      <c r="A718" s="73" t="s">
        <v>1042</v>
      </c>
      <c r="B718" s="73" t="s">
        <v>210</v>
      </c>
      <c r="C718" s="74">
        <v>1</v>
      </c>
      <c r="D718" s="74"/>
      <c r="E718" s="74">
        <v>0</v>
      </c>
      <c r="F718" s="74"/>
      <c r="G718" s="74">
        <v>1</v>
      </c>
      <c r="H718" s="74"/>
      <c r="I718" s="63">
        <v>1</v>
      </c>
      <c r="J718" t="b">
        <f t="shared" si="88"/>
        <v>1</v>
      </c>
      <c r="K718" t="b">
        <f t="shared" si="89"/>
        <v>1</v>
      </c>
      <c r="M718" t="str">
        <f t="shared" si="90"/>
        <v> Andrew Copp</v>
      </c>
      <c r="N718" t="str">
        <f t="shared" si="91"/>
        <v>WPG</v>
      </c>
      <c r="O718">
        <f t="shared" si="92"/>
        <v>1</v>
      </c>
      <c r="P718">
        <f>IF(M718="","",VLOOKUP(B718,'Team Stats'!$B$3:$K$18,5,0))</f>
        <v>594</v>
      </c>
      <c r="Q718">
        <f t="shared" si="93"/>
        <v>1.6835016835016834E-3</v>
      </c>
      <c r="R718">
        <f ca="1">IF(M718="","",VLOOKUP(N718,Sim!$EF$46:$EG$61,2,0))</f>
        <v>8.94</v>
      </c>
      <c r="S718">
        <f ca="1">IF(M718="","",VLOOKUP(N718,'Team Stats'!$B$3:$K$18,10,0))</f>
        <v>64.760487804878053</v>
      </c>
      <c r="T718" s="84">
        <f t="shared" ca="1" si="94"/>
        <v>0.10902439024390244</v>
      </c>
      <c r="U718">
        <f t="shared" ca="1" si="95"/>
        <v>283</v>
      </c>
    </row>
    <row r="719" spans="1:21">
      <c r="A719" s="73" t="s">
        <v>1043</v>
      </c>
      <c r="B719" s="73" t="s">
        <v>206</v>
      </c>
      <c r="C719" s="74">
        <v>3</v>
      </c>
      <c r="D719" s="74"/>
      <c r="E719" s="74">
        <v>0</v>
      </c>
      <c r="F719" s="74"/>
      <c r="G719" s="74">
        <v>1</v>
      </c>
      <c r="H719" s="74"/>
      <c r="I719" s="63">
        <v>1</v>
      </c>
      <c r="J719" t="b">
        <f t="shared" si="88"/>
        <v>1</v>
      </c>
      <c r="K719" t="b">
        <f t="shared" si="89"/>
        <v>1</v>
      </c>
      <c r="M719" t="str">
        <f t="shared" si="90"/>
        <v> Tom Sestito</v>
      </c>
      <c r="N719" t="str">
        <f t="shared" si="91"/>
        <v>VAN</v>
      </c>
      <c r="O719">
        <f t="shared" si="92"/>
        <v>1</v>
      </c>
      <c r="P719">
        <f>IF(M719="","",VLOOKUP(B719,'Team Stats'!$B$3:$K$18,5,0))</f>
        <v>642</v>
      </c>
      <c r="Q719">
        <f t="shared" si="93"/>
        <v>1.557632398753894E-3</v>
      </c>
      <c r="R719">
        <f ca="1">IF(M719="","",VLOOKUP(N719,Sim!$EF$46:$EG$61,2,0))</f>
        <v>10.35</v>
      </c>
      <c r="S719">
        <f ca="1">IF(M719="","",VLOOKUP(N719,'Team Stats'!$B$3:$K$18,10,0))</f>
        <v>81.032926829268291</v>
      </c>
      <c r="T719" s="84">
        <f t="shared" ca="1" si="94"/>
        <v>0.12621951219512195</v>
      </c>
      <c r="U719">
        <f t="shared" ca="1" si="95"/>
        <v>274</v>
      </c>
    </row>
    <row r="720" spans="1:21">
      <c r="A720" s="73" t="s">
        <v>1044</v>
      </c>
      <c r="B720" s="73" t="s">
        <v>196</v>
      </c>
      <c r="C720" s="74">
        <v>8</v>
      </c>
      <c r="D720" s="74"/>
      <c r="E720" s="74">
        <v>0</v>
      </c>
      <c r="F720" s="74"/>
      <c r="G720" s="74">
        <v>1</v>
      </c>
      <c r="H720" s="74"/>
      <c r="I720" s="63">
        <v>1</v>
      </c>
      <c r="J720" t="b">
        <f t="shared" si="88"/>
        <v>1</v>
      </c>
      <c r="K720" t="b">
        <f t="shared" si="89"/>
        <v>1</v>
      </c>
      <c r="M720" t="str">
        <f t="shared" si="90"/>
        <v> Griffin Reinhart</v>
      </c>
      <c r="N720" t="str">
        <f t="shared" si="91"/>
        <v>NYI</v>
      </c>
      <c r="O720">
        <f t="shared" si="92"/>
        <v>1</v>
      </c>
      <c r="P720">
        <f>IF(M720="","",VLOOKUP(B720,'Team Stats'!$B$3:$K$18,5,0))</f>
        <v>656</v>
      </c>
      <c r="Q720">
        <f t="shared" si="93"/>
        <v>1.5243902439024391E-3</v>
      </c>
      <c r="R720">
        <f ca="1">IF(M720="","",VLOOKUP(N720,Sim!$EF$46:$EG$61,2,0))</f>
        <v>13.18</v>
      </c>
      <c r="S720">
        <f ca="1">IF(M720="","",VLOOKUP(N720,'Team Stats'!$B$3:$K$18,10,0))</f>
        <v>105.44</v>
      </c>
      <c r="T720" s="84">
        <f t="shared" ca="1" si="94"/>
        <v>0.16073170731707317</v>
      </c>
      <c r="U720">
        <f t="shared" ca="1" si="95"/>
        <v>266</v>
      </c>
    </row>
    <row r="721" spans="1:21">
      <c r="A721" s="73" t="s">
        <v>1045</v>
      </c>
      <c r="B721" s="73" t="s">
        <v>340</v>
      </c>
      <c r="C721" s="74">
        <v>5</v>
      </c>
      <c r="D721" s="74"/>
      <c r="E721" s="74">
        <v>0</v>
      </c>
      <c r="F721" s="74"/>
      <c r="G721" s="74">
        <v>1</v>
      </c>
      <c r="H721" s="74"/>
      <c r="I721" s="63">
        <v>1</v>
      </c>
      <c r="J721" t="b">
        <f t="shared" si="88"/>
        <v>0</v>
      </c>
      <c r="K721" t="b">
        <f t="shared" si="89"/>
        <v>0</v>
      </c>
      <c r="M721" t="str">
        <f t="shared" si="90"/>
        <v/>
      </c>
      <c r="N721" t="str">
        <f t="shared" si="91"/>
        <v/>
      </c>
      <c r="O721" t="str">
        <f t="shared" si="92"/>
        <v/>
      </c>
      <c r="P721" t="str">
        <f>IF(M721="","",VLOOKUP(B721,'Team Stats'!$B$3:$K$18,5,0))</f>
        <v/>
      </c>
      <c r="Q721" t="str">
        <f t="shared" si="93"/>
        <v/>
      </c>
      <c r="R721" t="str">
        <f>IF(M721="","",VLOOKUP(N721,Sim!$EF$46:$EG$61,2,0))</f>
        <v/>
      </c>
      <c r="S721" t="str">
        <f>IF(M721="","",VLOOKUP(N721,'Team Stats'!$B$3:$K$18,10,0))</f>
        <v/>
      </c>
      <c r="T721" s="84" t="str">
        <f t="shared" si="94"/>
        <v/>
      </c>
      <c r="U721" t="str">
        <f t="shared" si="95"/>
        <v/>
      </c>
    </row>
    <row r="722" spans="1:21">
      <c r="A722" s="73" t="s">
        <v>1046</v>
      </c>
      <c r="B722" s="73" t="s">
        <v>212</v>
      </c>
      <c r="C722" s="74">
        <v>4</v>
      </c>
      <c r="D722" s="74"/>
      <c r="E722" s="74">
        <v>0</v>
      </c>
      <c r="F722" s="74"/>
      <c r="G722" s="74">
        <v>1</v>
      </c>
      <c r="H722" s="74"/>
      <c r="I722" s="63">
        <v>1</v>
      </c>
      <c r="J722" t="b">
        <f t="shared" si="88"/>
        <v>1</v>
      </c>
      <c r="K722" t="b">
        <f t="shared" si="89"/>
        <v>1</v>
      </c>
      <c r="M722" t="str">
        <f t="shared" si="90"/>
        <v> Jonathon Blum</v>
      </c>
      <c r="N722" t="str">
        <f t="shared" si="91"/>
        <v>MIN</v>
      </c>
      <c r="O722">
        <f t="shared" si="92"/>
        <v>1</v>
      </c>
      <c r="P722">
        <f>IF(M722="","",VLOOKUP(B722,'Team Stats'!$B$3:$K$18,5,0))</f>
        <v>608</v>
      </c>
      <c r="Q722">
        <f t="shared" si="93"/>
        <v>1.6447368421052631E-3</v>
      </c>
      <c r="R722">
        <f ca="1">IF(M722="","",VLOOKUP(N722,Sim!$EF$46:$EG$61,2,0))</f>
        <v>11.71</v>
      </c>
      <c r="S722">
        <f ca="1">IF(M722="","",VLOOKUP(N722,'Team Stats'!$B$3:$K$18,10,0))</f>
        <v>86.825365853658553</v>
      </c>
      <c r="T722" s="84">
        <f t="shared" ca="1" si="94"/>
        <v>0.1428048780487805</v>
      </c>
      <c r="U722">
        <f t="shared" ca="1" si="95"/>
        <v>267</v>
      </c>
    </row>
    <row r="723" spans="1:21">
      <c r="A723" s="73" t="s">
        <v>1047</v>
      </c>
      <c r="B723" s="73" t="s">
        <v>214</v>
      </c>
      <c r="C723" s="74">
        <v>26</v>
      </c>
      <c r="D723" s="74"/>
      <c r="E723" s="74">
        <v>1</v>
      </c>
      <c r="F723" s="74"/>
      <c r="G723" s="74">
        <v>0</v>
      </c>
      <c r="H723" s="74"/>
      <c r="I723" s="63">
        <v>1</v>
      </c>
      <c r="J723" t="b">
        <f t="shared" si="88"/>
        <v>1</v>
      </c>
      <c r="K723" t="b">
        <f t="shared" si="89"/>
        <v>1</v>
      </c>
      <c r="M723" t="str">
        <f t="shared" si="90"/>
        <v> Colin Greening</v>
      </c>
      <c r="N723" t="str">
        <f t="shared" si="91"/>
        <v>OTT</v>
      </c>
      <c r="O723">
        <f t="shared" si="92"/>
        <v>1</v>
      </c>
      <c r="P723">
        <f>IF(M723="","",VLOOKUP(B723,'Team Stats'!$B$3:$K$18,5,0))</f>
        <v>619</v>
      </c>
      <c r="Q723">
        <f t="shared" si="93"/>
        <v>1.6155088852988692E-3</v>
      </c>
      <c r="R723">
        <f ca="1">IF(M723="","",VLOOKUP(N723,Sim!$EF$46:$EG$61,2,0))</f>
        <v>10.71</v>
      </c>
      <c r="S723">
        <f ca="1">IF(M723="","",VLOOKUP(N723,'Team Stats'!$B$3:$K$18,10,0))</f>
        <v>80.847439024390255</v>
      </c>
      <c r="T723" s="84">
        <f t="shared" ca="1" si="94"/>
        <v>0.13060975609756101</v>
      </c>
      <c r="U723">
        <f t="shared" ca="1" si="95"/>
        <v>272</v>
      </c>
    </row>
    <row r="724" spans="1:21">
      <c r="A724" s="73" t="s">
        <v>1048</v>
      </c>
      <c r="B724" s="73" t="s">
        <v>216</v>
      </c>
      <c r="C724" s="74">
        <v>18</v>
      </c>
      <c r="D724" s="74"/>
      <c r="E724" s="74">
        <v>1</v>
      </c>
      <c r="F724" s="74"/>
      <c r="G724" s="74">
        <v>0</v>
      </c>
      <c r="H724" s="74"/>
      <c r="I724" s="63">
        <v>1</v>
      </c>
      <c r="J724" t="b">
        <f t="shared" si="88"/>
        <v>0</v>
      </c>
      <c r="K724" t="b">
        <f t="shared" si="89"/>
        <v>0</v>
      </c>
      <c r="M724" t="str">
        <f t="shared" si="90"/>
        <v/>
      </c>
      <c r="N724" t="str">
        <f t="shared" si="91"/>
        <v/>
      </c>
      <c r="O724" t="str">
        <f t="shared" si="92"/>
        <v/>
      </c>
      <c r="P724" t="str">
        <f>IF(M724="","",VLOOKUP(B724,'Team Stats'!$B$3:$K$18,5,0))</f>
        <v/>
      </c>
      <c r="Q724" t="str">
        <f t="shared" si="93"/>
        <v/>
      </c>
      <c r="R724" t="str">
        <f>IF(M724="","",VLOOKUP(N724,Sim!$EF$46:$EG$61,2,0))</f>
        <v/>
      </c>
      <c r="S724" t="str">
        <f>IF(M724="","",VLOOKUP(N724,'Team Stats'!$B$3:$K$18,10,0))</f>
        <v/>
      </c>
      <c r="T724" s="84" t="str">
        <f t="shared" si="94"/>
        <v/>
      </c>
      <c r="U724" t="str">
        <f t="shared" si="95"/>
        <v/>
      </c>
    </row>
    <row r="725" spans="1:21">
      <c r="A725" s="73" t="s">
        <v>1049</v>
      </c>
      <c r="B725" s="73" t="s">
        <v>222</v>
      </c>
      <c r="C725" s="74">
        <v>12</v>
      </c>
      <c r="D725" s="74"/>
      <c r="E725" s="74">
        <v>0</v>
      </c>
      <c r="F725" s="74"/>
      <c r="G725" s="74">
        <v>1</v>
      </c>
      <c r="H725" s="74"/>
      <c r="I725" s="63">
        <v>1</v>
      </c>
      <c r="J725" t="b">
        <f t="shared" si="88"/>
        <v>0</v>
      </c>
      <c r="K725" t="b">
        <f t="shared" si="89"/>
        <v>0</v>
      </c>
      <c r="M725" t="str">
        <f t="shared" si="90"/>
        <v/>
      </c>
      <c r="N725" t="str">
        <f t="shared" si="91"/>
        <v/>
      </c>
      <c r="O725" t="str">
        <f t="shared" si="92"/>
        <v/>
      </c>
      <c r="P725" t="str">
        <f>IF(M725="","",VLOOKUP(B725,'Team Stats'!$B$3:$K$18,5,0))</f>
        <v/>
      </c>
      <c r="Q725" t="str">
        <f t="shared" si="93"/>
        <v/>
      </c>
      <c r="R725" t="str">
        <f>IF(M725="","",VLOOKUP(N725,Sim!$EF$46:$EG$61,2,0))</f>
        <v/>
      </c>
      <c r="S725" t="str">
        <f>IF(M725="","",VLOOKUP(N725,'Team Stats'!$B$3:$K$18,10,0))</f>
        <v/>
      </c>
      <c r="T725" s="84" t="str">
        <f t="shared" si="94"/>
        <v/>
      </c>
      <c r="U725" t="str">
        <f t="shared" si="95"/>
        <v/>
      </c>
    </row>
    <row r="726" spans="1:21">
      <c r="A726" s="73" t="s">
        <v>1050</v>
      </c>
      <c r="B726" s="73" t="s">
        <v>200</v>
      </c>
      <c r="C726" s="74">
        <v>10</v>
      </c>
      <c r="D726" s="74"/>
      <c r="E726" s="74">
        <v>0</v>
      </c>
      <c r="F726" s="74"/>
      <c r="G726" s="74">
        <v>1</v>
      </c>
      <c r="H726" s="74"/>
      <c r="I726" s="63">
        <v>1</v>
      </c>
      <c r="J726" t="b">
        <f t="shared" si="88"/>
        <v>1</v>
      </c>
      <c r="K726" t="b">
        <f t="shared" si="89"/>
        <v>1</v>
      </c>
      <c r="M726" t="str">
        <f t="shared" si="90"/>
        <v> Magnus Paajarvi</v>
      </c>
      <c r="N726" t="str">
        <f t="shared" si="91"/>
        <v>STL</v>
      </c>
      <c r="O726">
        <f t="shared" si="92"/>
        <v>1</v>
      </c>
      <c r="P726">
        <f>IF(M726="","",VLOOKUP(B726,'Team Stats'!$B$3:$K$18,5,0))</f>
        <v>660</v>
      </c>
      <c r="Q726">
        <f t="shared" si="93"/>
        <v>1.5151515151515152E-3</v>
      </c>
      <c r="R726">
        <f ca="1">IF(M726="","",VLOOKUP(N726,Sim!$EF$46:$EG$61,2,0))</f>
        <v>10.87</v>
      </c>
      <c r="S726">
        <f ca="1">IF(M726="","",VLOOKUP(N726,'Team Stats'!$B$3:$K$18,10,0))</f>
        <v>87.490243902439019</v>
      </c>
      <c r="T726" s="84">
        <f t="shared" ca="1" si="94"/>
        <v>0.13256097560975608</v>
      </c>
      <c r="U726">
        <f t="shared" ca="1" si="95"/>
        <v>270</v>
      </c>
    </row>
    <row r="727" spans="1:21">
      <c r="A727" s="73" t="s">
        <v>1051</v>
      </c>
      <c r="B727" s="73" t="s">
        <v>216</v>
      </c>
      <c r="C727" s="74">
        <v>1</v>
      </c>
      <c r="D727" s="74"/>
      <c r="E727" s="74">
        <v>0</v>
      </c>
      <c r="F727" s="74"/>
      <c r="G727" s="74">
        <v>1</v>
      </c>
      <c r="H727" s="74"/>
      <c r="I727" s="63">
        <v>1</v>
      </c>
      <c r="J727" t="b">
        <f t="shared" si="88"/>
        <v>0</v>
      </c>
      <c r="K727" t="b">
        <f t="shared" si="89"/>
        <v>0</v>
      </c>
      <c r="M727" t="str">
        <f t="shared" si="90"/>
        <v/>
      </c>
      <c r="N727" t="str">
        <f t="shared" si="91"/>
        <v/>
      </c>
      <c r="O727" t="str">
        <f t="shared" si="92"/>
        <v/>
      </c>
      <c r="P727" t="str">
        <f>IF(M727="","",VLOOKUP(B727,'Team Stats'!$B$3:$K$18,5,0))</f>
        <v/>
      </c>
      <c r="Q727" t="str">
        <f t="shared" si="93"/>
        <v/>
      </c>
      <c r="R727" t="str">
        <f>IF(M727="","",VLOOKUP(N727,Sim!$EF$46:$EG$61,2,0))</f>
        <v/>
      </c>
      <c r="S727" t="str">
        <f>IF(M727="","",VLOOKUP(N727,'Team Stats'!$B$3:$K$18,10,0))</f>
        <v/>
      </c>
      <c r="T727" s="84" t="str">
        <f t="shared" si="94"/>
        <v/>
      </c>
      <c r="U727" t="str">
        <f t="shared" si="95"/>
        <v/>
      </c>
    </row>
    <row r="728" spans="1:21">
      <c r="A728" s="73" t="s">
        <v>1052</v>
      </c>
      <c r="B728" s="73" t="s">
        <v>325</v>
      </c>
      <c r="C728" s="74">
        <v>5</v>
      </c>
      <c r="D728" s="74"/>
      <c r="E728" s="74">
        <v>1</v>
      </c>
      <c r="F728" s="74"/>
      <c r="G728" s="74">
        <v>0</v>
      </c>
      <c r="H728" s="74"/>
      <c r="I728" s="63">
        <v>1</v>
      </c>
      <c r="J728" t="b">
        <f t="shared" si="88"/>
        <v>0</v>
      </c>
      <c r="K728" t="b">
        <f t="shared" si="89"/>
        <v>0</v>
      </c>
      <c r="M728" t="str">
        <f t="shared" si="90"/>
        <v/>
      </c>
      <c r="N728" t="str">
        <f t="shared" si="91"/>
        <v/>
      </c>
      <c r="O728" t="str">
        <f t="shared" si="92"/>
        <v/>
      </c>
      <c r="P728" t="str">
        <f>IF(M728="","",VLOOKUP(B728,'Team Stats'!$B$3:$K$18,5,0))</f>
        <v/>
      </c>
      <c r="Q728" t="str">
        <f t="shared" si="93"/>
        <v/>
      </c>
      <c r="R728" t="str">
        <f>IF(M728="","",VLOOKUP(N728,Sim!$EF$46:$EG$61,2,0))</f>
        <v/>
      </c>
      <c r="S728" t="str">
        <f>IF(M728="","",VLOOKUP(N728,'Team Stats'!$B$3:$K$18,10,0))</f>
        <v/>
      </c>
      <c r="T728" s="84" t="str">
        <f t="shared" si="94"/>
        <v/>
      </c>
      <c r="U728" t="str">
        <f t="shared" si="95"/>
        <v/>
      </c>
    </row>
    <row r="729" spans="1:21">
      <c r="A729" s="73" t="s">
        <v>1053</v>
      </c>
      <c r="B729" s="73" t="s">
        <v>216</v>
      </c>
      <c r="C729" s="74">
        <v>7</v>
      </c>
      <c r="D729" s="74"/>
      <c r="E729" s="74">
        <v>0</v>
      </c>
      <c r="F729" s="74"/>
      <c r="G729" s="74">
        <v>1</v>
      </c>
      <c r="H729" s="74"/>
      <c r="I729" s="63">
        <v>1</v>
      </c>
      <c r="J729" t="b">
        <f t="shared" si="88"/>
        <v>0</v>
      </c>
      <c r="K729" t="b">
        <f t="shared" si="89"/>
        <v>0</v>
      </c>
      <c r="M729" t="str">
        <f t="shared" si="90"/>
        <v/>
      </c>
      <c r="N729" t="str">
        <f t="shared" si="91"/>
        <v/>
      </c>
      <c r="O729" t="str">
        <f t="shared" si="92"/>
        <v/>
      </c>
      <c r="P729" t="str">
        <f>IF(M729="","",VLOOKUP(B729,'Team Stats'!$B$3:$K$18,5,0))</f>
        <v/>
      </c>
      <c r="Q729" t="str">
        <f t="shared" si="93"/>
        <v/>
      </c>
      <c r="R729" t="str">
        <f>IF(M729="","",VLOOKUP(N729,Sim!$EF$46:$EG$61,2,0))</f>
        <v/>
      </c>
      <c r="S729" t="str">
        <f>IF(M729="","",VLOOKUP(N729,'Team Stats'!$B$3:$K$18,10,0))</f>
        <v/>
      </c>
      <c r="T729" s="84" t="str">
        <f t="shared" si="94"/>
        <v/>
      </c>
      <c r="U729" t="str">
        <f t="shared" si="95"/>
        <v/>
      </c>
    </row>
    <row r="730" spans="1:21">
      <c r="A730" s="73" t="s">
        <v>1054</v>
      </c>
      <c r="B730" s="73" t="s">
        <v>209</v>
      </c>
      <c r="C730" s="74">
        <v>3</v>
      </c>
      <c r="D730" s="74"/>
      <c r="E730" s="74">
        <v>1</v>
      </c>
      <c r="F730" s="74"/>
      <c r="G730" s="74">
        <v>0</v>
      </c>
      <c r="H730" s="74"/>
      <c r="I730" s="63">
        <v>1</v>
      </c>
      <c r="J730" t="b">
        <f t="shared" si="88"/>
        <v>1</v>
      </c>
      <c r="K730" t="b">
        <f t="shared" si="89"/>
        <v>1</v>
      </c>
      <c r="M730" t="str">
        <f t="shared" si="90"/>
        <v> Landon Ferraro</v>
      </c>
      <c r="N730" t="str">
        <f t="shared" si="91"/>
        <v>DET</v>
      </c>
      <c r="O730">
        <f t="shared" si="92"/>
        <v>1</v>
      </c>
      <c r="P730">
        <f>IF(M730="","",VLOOKUP(B730,'Team Stats'!$B$3:$K$18,5,0))</f>
        <v>630</v>
      </c>
      <c r="Q730">
        <f t="shared" si="93"/>
        <v>1.5873015873015873E-3</v>
      </c>
      <c r="R730">
        <f ca="1">IF(M730="","",VLOOKUP(N730,Sim!$EF$46:$EG$61,2,0))</f>
        <v>10.06</v>
      </c>
      <c r="S730">
        <f ca="1">IF(M730="","",VLOOKUP(N730,'Team Stats'!$B$3:$K$18,10,0))</f>
        <v>77.29024390243903</v>
      </c>
      <c r="T730" s="84">
        <f t="shared" ca="1" si="94"/>
        <v>0.1226829268292683</v>
      </c>
      <c r="U730">
        <f t="shared" ca="1" si="95"/>
        <v>277</v>
      </c>
    </row>
    <row r="731" spans="1:21">
      <c r="A731" s="73" t="s">
        <v>1055</v>
      </c>
      <c r="B731" s="73" t="s">
        <v>222</v>
      </c>
      <c r="C731" s="74">
        <v>9</v>
      </c>
      <c r="D731" s="74"/>
      <c r="E731" s="74">
        <v>1</v>
      </c>
      <c r="F731" s="74"/>
      <c r="G731" s="74">
        <v>0</v>
      </c>
      <c r="H731" s="74"/>
      <c r="I731" s="63">
        <v>1</v>
      </c>
      <c r="J731" t="b">
        <f t="shared" si="88"/>
        <v>0</v>
      </c>
      <c r="K731" t="b">
        <f t="shared" si="89"/>
        <v>0</v>
      </c>
      <c r="M731" t="str">
        <f t="shared" si="90"/>
        <v/>
      </c>
      <c r="N731" t="str">
        <f t="shared" si="91"/>
        <v/>
      </c>
      <c r="O731" t="str">
        <f t="shared" si="92"/>
        <v/>
      </c>
      <c r="P731" t="str">
        <f>IF(M731="","",VLOOKUP(B731,'Team Stats'!$B$3:$K$18,5,0))</f>
        <v/>
      </c>
      <c r="Q731" t="str">
        <f t="shared" si="93"/>
        <v/>
      </c>
      <c r="R731" t="str">
        <f>IF(M731="","",VLOOKUP(N731,Sim!$EF$46:$EG$61,2,0))</f>
        <v/>
      </c>
      <c r="S731" t="str">
        <f>IF(M731="","",VLOOKUP(N731,'Team Stats'!$B$3:$K$18,10,0))</f>
        <v/>
      </c>
      <c r="T731" s="84" t="str">
        <f t="shared" si="94"/>
        <v/>
      </c>
      <c r="U731" t="str">
        <f t="shared" si="95"/>
        <v/>
      </c>
    </row>
    <row r="732" spans="1:21">
      <c r="A732" s="73" t="s">
        <v>1056</v>
      </c>
      <c r="B732" s="73" t="s">
        <v>208</v>
      </c>
      <c r="C732" s="74">
        <v>6</v>
      </c>
      <c r="D732" s="74"/>
      <c r="E732" s="74">
        <v>0</v>
      </c>
      <c r="F732" s="74"/>
      <c r="G732" s="74">
        <v>1</v>
      </c>
      <c r="H732" s="74"/>
      <c r="I732" s="63">
        <v>1</v>
      </c>
      <c r="J732" t="b">
        <f t="shared" si="88"/>
        <v>0</v>
      </c>
      <c r="K732" t="b">
        <f t="shared" si="89"/>
        <v>0</v>
      </c>
      <c r="M732" t="str">
        <f t="shared" si="90"/>
        <v/>
      </c>
      <c r="N732" t="str">
        <f t="shared" si="91"/>
        <v/>
      </c>
      <c r="O732" t="str">
        <f t="shared" si="92"/>
        <v/>
      </c>
      <c r="P732" t="str">
        <f>IF(M732="","",VLOOKUP(B732,'Team Stats'!$B$3:$K$18,5,0))</f>
        <v/>
      </c>
      <c r="Q732" t="str">
        <f t="shared" si="93"/>
        <v/>
      </c>
      <c r="R732" t="str">
        <f>IF(M732="","",VLOOKUP(N732,Sim!$EF$46:$EG$61,2,0))</f>
        <v/>
      </c>
      <c r="S732" t="str">
        <f>IF(M732="","",VLOOKUP(N732,'Team Stats'!$B$3:$K$18,10,0))</f>
        <v/>
      </c>
      <c r="T732" s="84" t="str">
        <f t="shared" si="94"/>
        <v/>
      </c>
      <c r="U732" t="str">
        <f t="shared" si="95"/>
        <v/>
      </c>
    </row>
    <row r="733" spans="1:21">
      <c r="A733" s="73" t="s">
        <v>1057</v>
      </c>
      <c r="B733" s="73" t="s">
        <v>222</v>
      </c>
      <c r="C733" s="74">
        <v>8</v>
      </c>
      <c r="D733" s="74"/>
      <c r="E733" s="74">
        <v>0</v>
      </c>
      <c r="F733" s="74"/>
      <c r="G733" s="74">
        <v>1</v>
      </c>
      <c r="H733" s="74"/>
      <c r="I733" s="63">
        <v>1</v>
      </c>
      <c r="J733" t="b">
        <f t="shared" si="88"/>
        <v>0</v>
      </c>
      <c r="K733" t="b">
        <f t="shared" si="89"/>
        <v>0</v>
      </c>
      <c r="M733" t="str">
        <f t="shared" si="90"/>
        <v/>
      </c>
      <c r="N733" t="str">
        <f t="shared" si="91"/>
        <v/>
      </c>
      <c r="O733" t="str">
        <f t="shared" si="92"/>
        <v/>
      </c>
      <c r="P733" t="str">
        <f>IF(M733="","",VLOOKUP(B733,'Team Stats'!$B$3:$K$18,5,0))</f>
        <v/>
      </c>
      <c r="Q733" t="str">
        <f t="shared" si="93"/>
        <v/>
      </c>
      <c r="R733" t="str">
        <f>IF(M733="","",VLOOKUP(N733,Sim!$EF$46:$EG$61,2,0))</f>
        <v/>
      </c>
      <c r="S733" t="str">
        <f>IF(M733="","",VLOOKUP(N733,'Team Stats'!$B$3:$K$18,10,0))</f>
        <v/>
      </c>
      <c r="T733" s="84" t="str">
        <f t="shared" si="94"/>
        <v/>
      </c>
      <c r="U733" t="str">
        <f t="shared" si="95"/>
        <v/>
      </c>
    </row>
    <row r="734" spans="1:21">
      <c r="A734" s="73" t="s">
        <v>1058</v>
      </c>
      <c r="B734" s="73" t="s">
        <v>205</v>
      </c>
      <c r="C734" s="74">
        <v>3</v>
      </c>
      <c r="D734" s="74"/>
      <c r="E734" s="74">
        <v>0</v>
      </c>
      <c r="F734" s="74"/>
      <c r="G734" s="74">
        <v>1</v>
      </c>
      <c r="H734" s="74"/>
      <c r="I734" s="63">
        <v>1</v>
      </c>
      <c r="J734" t="b">
        <f t="shared" si="88"/>
        <v>1</v>
      </c>
      <c r="K734" t="b">
        <f t="shared" si="89"/>
        <v>1</v>
      </c>
      <c r="M734" t="str">
        <f t="shared" si="90"/>
        <v> Michael Sgarbossa</v>
      </c>
      <c r="N734" t="str">
        <f t="shared" si="91"/>
        <v>ANA</v>
      </c>
      <c r="O734">
        <f t="shared" si="92"/>
        <v>1</v>
      </c>
      <c r="P734">
        <f>IF(M734="","",VLOOKUP(B734,'Team Stats'!$B$3:$K$18,5,0))</f>
        <v>613</v>
      </c>
      <c r="Q734">
        <f t="shared" si="93"/>
        <v>1.6313213703099511E-3</v>
      </c>
      <c r="R734">
        <f ca="1">IF(M734="","",VLOOKUP(N734,Sim!$EF$46:$EG$61,2,0))</f>
        <v>14.85</v>
      </c>
      <c r="S734">
        <f ca="1">IF(M734="","",VLOOKUP(N734,'Team Stats'!$B$3:$K$18,10,0))</f>
        <v>111.01280487804878</v>
      </c>
      <c r="T734" s="84">
        <f t="shared" ca="1" si="94"/>
        <v>0.18109756097560978</v>
      </c>
      <c r="U734">
        <f t="shared" ca="1" si="95"/>
        <v>264</v>
      </c>
    </row>
    <row r="735" spans="1:21">
      <c r="A735" s="73" t="s">
        <v>1059</v>
      </c>
      <c r="B735" s="73" t="s">
        <v>198</v>
      </c>
      <c r="C735" s="74">
        <v>12</v>
      </c>
      <c r="D735" s="74"/>
      <c r="E735" s="74">
        <v>0</v>
      </c>
      <c r="F735" s="74"/>
      <c r="G735" s="74">
        <v>1</v>
      </c>
      <c r="H735" s="74"/>
      <c r="I735" s="63">
        <v>1</v>
      </c>
      <c r="J735" t="b">
        <f t="shared" si="88"/>
        <v>1</v>
      </c>
      <c r="K735" t="b">
        <f t="shared" si="89"/>
        <v>1</v>
      </c>
      <c r="M735" t="str">
        <f t="shared" si="90"/>
        <v> Jayson Megna</v>
      </c>
      <c r="N735" t="str">
        <f t="shared" si="91"/>
        <v>PIT</v>
      </c>
      <c r="O735">
        <f t="shared" si="92"/>
        <v>1</v>
      </c>
      <c r="P735">
        <f>IF(M735="","",VLOOKUP(B735,'Team Stats'!$B$3:$K$18,5,0))</f>
        <v>600</v>
      </c>
      <c r="Q735">
        <f t="shared" si="93"/>
        <v>1.6666666666666668E-3</v>
      </c>
      <c r="R735">
        <f ca="1">IF(M735="","",VLOOKUP(N735,Sim!$EF$46:$EG$61,2,0))</f>
        <v>9.74</v>
      </c>
      <c r="S735">
        <f ca="1">IF(M735="","",VLOOKUP(N735,'Team Stats'!$B$3:$K$18,10,0))</f>
        <v>71.268292682926827</v>
      </c>
      <c r="T735" s="84">
        <f t="shared" ca="1" si="94"/>
        <v>0.11878048780487806</v>
      </c>
      <c r="U735">
        <f t="shared" ca="1" si="95"/>
        <v>278</v>
      </c>
    </row>
    <row r="736" spans="1:21">
      <c r="A736" s="73" t="s">
        <v>1060</v>
      </c>
      <c r="B736" s="73" t="s">
        <v>208</v>
      </c>
      <c r="C736" s="74">
        <v>31</v>
      </c>
      <c r="D736" s="74"/>
      <c r="E736" s="74">
        <v>0</v>
      </c>
      <c r="F736" s="74"/>
      <c r="G736" s="74">
        <v>1</v>
      </c>
      <c r="H736" s="74"/>
      <c r="I736" s="63">
        <v>1</v>
      </c>
      <c r="J736" t="b">
        <f t="shared" si="88"/>
        <v>0</v>
      </c>
      <c r="K736" t="b">
        <f t="shared" si="89"/>
        <v>0</v>
      </c>
      <c r="M736" t="str">
        <f t="shared" si="90"/>
        <v/>
      </c>
      <c r="N736" t="str">
        <f t="shared" si="91"/>
        <v/>
      </c>
      <c r="O736" t="str">
        <f t="shared" si="92"/>
        <v/>
      </c>
      <c r="P736" t="str">
        <f>IF(M736="","",VLOOKUP(B736,'Team Stats'!$B$3:$K$18,5,0))</f>
        <v/>
      </c>
      <c r="Q736" t="str">
        <f t="shared" si="93"/>
        <v/>
      </c>
      <c r="R736" t="str">
        <f>IF(M736="","",VLOOKUP(N736,Sim!$EF$46:$EG$61,2,0))</f>
        <v/>
      </c>
      <c r="S736" t="str">
        <f>IF(M736="","",VLOOKUP(N736,'Team Stats'!$B$3:$K$18,10,0))</f>
        <v/>
      </c>
      <c r="T736" s="84" t="str">
        <f t="shared" si="94"/>
        <v/>
      </c>
      <c r="U736" t="str">
        <f t="shared" si="95"/>
        <v/>
      </c>
    </row>
    <row r="737" spans="1:21">
      <c r="A737" s="73" t="s">
        <v>1061</v>
      </c>
      <c r="B737" s="73" t="s">
        <v>205</v>
      </c>
      <c r="C737" s="74">
        <v>12</v>
      </c>
      <c r="D737" s="74"/>
      <c r="E737" s="74">
        <v>0</v>
      </c>
      <c r="F737" s="74"/>
      <c r="G737" s="74">
        <v>1</v>
      </c>
      <c r="H737" s="74"/>
      <c r="I737" s="63">
        <v>1</v>
      </c>
      <c r="J737" t="b">
        <f t="shared" si="88"/>
        <v>1</v>
      </c>
      <c r="K737" t="b">
        <f t="shared" si="89"/>
        <v>1</v>
      </c>
      <c r="M737" t="str">
        <f t="shared" si="90"/>
        <v> Colby Robak</v>
      </c>
      <c r="N737" t="str">
        <f t="shared" si="91"/>
        <v>ANA</v>
      </c>
      <c r="O737">
        <f t="shared" si="92"/>
        <v>1</v>
      </c>
      <c r="P737">
        <f>IF(M737="","",VLOOKUP(B737,'Team Stats'!$B$3:$K$18,5,0))</f>
        <v>613</v>
      </c>
      <c r="Q737">
        <f t="shared" si="93"/>
        <v>1.6313213703099511E-3</v>
      </c>
      <c r="R737">
        <f ca="1">IF(M737="","",VLOOKUP(N737,Sim!$EF$46:$EG$61,2,0))</f>
        <v>14.85</v>
      </c>
      <c r="S737">
        <f ca="1">IF(M737="","",VLOOKUP(N737,'Team Stats'!$B$3:$K$18,10,0))</f>
        <v>111.01280487804878</v>
      </c>
      <c r="T737" s="84">
        <f t="shared" ca="1" si="94"/>
        <v>0.18109756097560978</v>
      </c>
      <c r="U737">
        <f t="shared" ca="1" si="95"/>
        <v>264</v>
      </c>
    </row>
    <row r="738" spans="1:21">
      <c r="A738" s="73" t="s">
        <v>1062</v>
      </c>
      <c r="B738" s="73" t="s">
        <v>357</v>
      </c>
      <c r="C738" s="74">
        <v>9</v>
      </c>
      <c r="D738" s="74"/>
      <c r="E738" s="74">
        <v>0</v>
      </c>
      <c r="F738" s="74"/>
      <c r="G738" s="74">
        <v>1</v>
      </c>
      <c r="H738" s="74"/>
      <c r="I738" s="63">
        <v>1</v>
      </c>
      <c r="J738" t="b">
        <f t="shared" si="88"/>
        <v>0</v>
      </c>
      <c r="K738" t="b">
        <f t="shared" si="89"/>
        <v>0</v>
      </c>
      <c r="M738" t="str">
        <f t="shared" si="90"/>
        <v/>
      </c>
      <c r="N738" t="str">
        <f t="shared" si="91"/>
        <v/>
      </c>
      <c r="O738" t="str">
        <f t="shared" si="92"/>
        <v/>
      </c>
      <c r="P738" t="str">
        <f>IF(M738="","",VLOOKUP(B738,'Team Stats'!$B$3:$K$18,5,0))</f>
        <v/>
      </c>
      <c r="Q738" t="str">
        <f t="shared" si="93"/>
        <v/>
      </c>
      <c r="R738" t="str">
        <f>IF(M738="","",VLOOKUP(N738,Sim!$EF$46:$EG$61,2,0))</f>
        <v/>
      </c>
      <c r="S738" t="str">
        <f>IF(M738="","",VLOOKUP(N738,'Team Stats'!$B$3:$K$18,10,0))</f>
        <v/>
      </c>
      <c r="T738" s="84" t="str">
        <f t="shared" si="94"/>
        <v/>
      </c>
      <c r="U738" t="str">
        <f t="shared" si="95"/>
        <v/>
      </c>
    </row>
    <row r="739" spans="1:21">
      <c r="A739" s="73" t="s">
        <v>1063</v>
      </c>
      <c r="B739" s="73" t="s">
        <v>331</v>
      </c>
      <c r="C739" s="74">
        <v>6</v>
      </c>
      <c r="D739" s="74"/>
      <c r="E739" s="74">
        <v>0</v>
      </c>
      <c r="F739" s="74"/>
      <c r="G739" s="74">
        <v>1</v>
      </c>
      <c r="H739" s="74"/>
      <c r="I739" s="63">
        <v>1</v>
      </c>
      <c r="J739" t="b">
        <f t="shared" si="88"/>
        <v>0</v>
      </c>
      <c r="K739" t="b">
        <f t="shared" si="89"/>
        <v>0</v>
      </c>
      <c r="M739" t="str">
        <f t="shared" si="90"/>
        <v/>
      </c>
      <c r="N739" t="str">
        <f t="shared" si="91"/>
        <v/>
      </c>
      <c r="O739" t="str">
        <f t="shared" si="92"/>
        <v/>
      </c>
      <c r="P739" t="str">
        <f>IF(M739="","",VLOOKUP(B739,'Team Stats'!$B$3:$K$18,5,0))</f>
        <v/>
      </c>
      <c r="Q739" t="str">
        <f t="shared" si="93"/>
        <v/>
      </c>
      <c r="R739" t="str">
        <f>IF(M739="","",VLOOKUP(N739,Sim!$EF$46:$EG$61,2,0))</f>
        <v/>
      </c>
      <c r="S739" t="str">
        <f>IF(M739="","",VLOOKUP(N739,'Team Stats'!$B$3:$K$18,10,0))</f>
        <v/>
      </c>
      <c r="T739" s="84" t="str">
        <f t="shared" si="94"/>
        <v/>
      </c>
      <c r="U739" t="str">
        <f t="shared" si="95"/>
        <v/>
      </c>
    </row>
    <row r="740" spans="1:21">
      <c r="A740" s="73" t="s">
        <v>1064</v>
      </c>
      <c r="B740" s="73" t="s">
        <v>221</v>
      </c>
      <c r="C740" s="74">
        <v>4</v>
      </c>
      <c r="D740" s="74"/>
      <c r="E740" s="74">
        <v>0</v>
      </c>
      <c r="F740" s="74"/>
      <c r="G740" s="74">
        <v>1</v>
      </c>
      <c r="H740" s="74"/>
      <c r="I740" s="63">
        <v>1</v>
      </c>
      <c r="J740" t="b">
        <f t="shared" si="88"/>
        <v>0</v>
      </c>
      <c r="K740" t="b">
        <f t="shared" si="89"/>
        <v>0</v>
      </c>
      <c r="M740" t="str">
        <f t="shared" si="90"/>
        <v/>
      </c>
      <c r="N740" t="str">
        <f t="shared" si="91"/>
        <v/>
      </c>
      <c r="O740" t="str">
        <f t="shared" si="92"/>
        <v/>
      </c>
      <c r="P740" t="str">
        <f>IF(M740="","",VLOOKUP(B740,'Team Stats'!$B$3:$K$18,5,0))</f>
        <v/>
      </c>
      <c r="Q740" t="str">
        <f t="shared" si="93"/>
        <v/>
      </c>
      <c r="R740" t="str">
        <f>IF(M740="","",VLOOKUP(N740,Sim!$EF$46:$EG$61,2,0))</f>
        <v/>
      </c>
      <c r="S740" t="str">
        <f>IF(M740="","",VLOOKUP(N740,'Team Stats'!$B$3:$K$18,10,0))</f>
        <v/>
      </c>
      <c r="T740" s="84" t="str">
        <f t="shared" si="94"/>
        <v/>
      </c>
      <c r="U740" t="str">
        <f t="shared" si="95"/>
        <v/>
      </c>
    </row>
    <row r="741" spans="1:21">
      <c r="A741" s="73" t="s">
        <v>1065</v>
      </c>
      <c r="B741" s="73" t="s">
        <v>219</v>
      </c>
      <c r="C741" s="74">
        <v>9</v>
      </c>
      <c r="D741" s="74"/>
      <c r="E741" s="74">
        <v>0</v>
      </c>
      <c r="F741" s="74"/>
      <c r="G741" s="74">
        <v>1</v>
      </c>
      <c r="H741" s="74"/>
      <c r="I741" s="63">
        <v>1</v>
      </c>
      <c r="J741" t="b">
        <f t="shared" si="88"/>
        <v>0</v>
      </c>
      <c r="K741" t="b">
        <f t="shared" si="89"/>
        <v>0</v>
      </c>
      <c r="M741" t="str">
        <f t="shared" si="90"/>
        <v/>
      </c>
      <c r="N741" t="str">
        <f t="shared" si="91"/>
        <v/>
      </c>
      <c r="O741" t="str">
        <f t="shared" si="92"/>
        <v/>
      </c>
      <c r="P741" t="str">
        <f>IF(M741="","",VLOOKUP(B741,'Team Stats'!$B$3:$K$18,5,0))</f>
        <v/>
      </c>
      <c r="Q741" t="str">
        <f t="shared" si="93"/>
        <v/>
      </c>
      <c r="R741" t="str">
        <f>IF(M741="","",VLOOKUP(N741,Sim!$EF$46:$EG$61,2,0))</f>
        <v/>
      </c>
      <c r="S741" t="str">
        <f>IF(M741="","",VLOOKUP(N741,'Team Stats'!$B$3:$K$18,10,0))</f>
        <v/>
      </c>
      <c r="T741" s="84" t="str">
        <f t="shared" si="94"/>
        <v/>
      </c>
      <c r="U741" t="str">
        <f t="shared" si="95"/>
        <v/>
      </c>
    </row>
    <row r="742" spans="1:21">
      <c r="A742" s="73" t="s">
        <v>1066</v>
      </c>
      <c r="B742" s="73" t="s">
        <v>220</v>
      </c>
      <c r="C742" s="74">
        <v>4</v>
      </c>
      <c r="D742" s="74"/>
      <c r="E742" s="74">
        <v>1</v>
      </c>
      <c r="F742" s="74"/>
      <c r="G742" s="74">
        <v>0</v>
      </c>
      <c r="H742" s="74"/>
      <c r="I742" s="63">
        <v>1</v>
      </c>
      <c r="J742" t="b">
        <f t="shared" si="88"/>
        <v>0</v>
      </c>
      <c r="K742" t="b">
        <f t="shared" si="89"/>
        <v>0</v>
      </c>
      <c r="M742" t="str">
        <f t="shared" si="90"/>
        <v/>
      </c>
      <c r="N742" t="str">
        <f t="shared" si="91"/>
        <v/>
      </c>
      <c r="O742" t="str">
        <f t="shared" si="92"/>
        <v/>
      </c>
      <c r="P742" t="str">
        <f>IF(M742="","",VLOOKUP(B742,'Team Stats'!$B$3:$K$18,5,0))</f>
        <v/>
      </c>
      <c r="Q742" t="str">
        <f t="shared" si="93"/>
        <v/>
      </c>
      <c r="R742" t="str">
        <f>IF(M742="","",VLOOKUP(N742,Sim!$EF$46:$EG$61,2,0))</f>
        <v/>
      </c>
      <c r="S742" t="str">
        <f>IF(M742="","",VLOOKUP(N742,'Team Stats'!$B$3:$K$18,10,0))</f>
        <v/>
      </c>
      <c r="T742" s="84" t="str">
        <f t="shared" si="94"/>
        <v/>
      </c>
      <c r="U742" t="str">
        <f t="shared" si="95"/>
        <v/>
      </c>
    </row>
    <row r="743" spans="1:21">
      <c r="A743" s="73" t="s">
        <v>1067</v>
      </c>
      <c r="B743" s="73" t="s">
        <v>212</v>
      </c>
      <c r="C743" s="74">
        <v>14</v>
      </c>
      <c r="D743" s="74"/>
      <c r="E743" s="74">
        <v>0</v>
      </c>
      <c r="F743" s="74"/>
      <c r="G743" s="74">
        <v>1</v>
      </c>
      <c r="H743" s="74"/>
      <c r="I743" s="63">
        <v>1</v>
      </c>
      <c r="J743" t="b">
        <f t="shared" si="88"/>
        <v>1</v>
      </c>
      <c r="K743" t="b">
        <f t="shared" si="89"/>
        <v>1</v>
      </c>
      <c r="M743" t="str">
        <f t="shared" si="90"/>
        <v> Keith Ballard</v>
      </c>
      <c r="N743" t="str">
        <f t="shared" si="91"/>
        <v>MIN</v>
      </c>
      <c r="O743">
        <f t="shared" si="92"/>
        <v>1</v>
      </c>
      <c r="P743">
        <f>IF(M743="","",VLOOKUP(B743,'Team Stats'!$B$3:$K$18,5,0))</f>
        <v>608</v>
      </c>
      <c r="Q743">
        <f t="shared" si="93"/>
        <v>1.6447368421052631E-3</v>
      </c>
      <c r="R743">
        <f ca="1">IF(M743="","",VLOOKUP(N743,Sim!$EF$46:$EG$61,2,0))</f>
        <v>11.71</v>
      </c>
      <c r="S743">
        <f ca="1">IF(M743="","",VLOOKUP(N743,'Team Stats'!$B$3:$K$18,10,0))</f>
        <v>86.825365853658553</v>
      </c>
      <c r="T743" s="84">
        <f t="shared" ca="1" si="94"/>
        <v>0.1428048780487805</v>
      </c>
      <c r="U743">
        <f t="shared" ca="1" si="95"/>
        <v>267</v>
      </c>
    </row>
    <row r="744" spans="1:21">
      <c r="A744" s="73" t="s">
        <v>1068</v>
      </c>
      <c r="B744" s="73" t="s">
        <v>200</v>
      </c>
      <c r="C744" s="74">
        <v>17</v>
      </c>
      <c r="D744" s="74"/>
      <c r="E744" s="74">
        <v>0</v>
      </c>
      <c r="F744" s="74"/>
      <c r="G744" s="74">
        <v>1</v>
      </c>
      <c r="H744" s="74"/>
      <c r="I744" s="63">
        <v>1</v>
      </c>
      <c r="J744" t="b">
        <f t="shared" si="88"/>
        <v>1</v>
      </c>
      <c r="K744" t="b">
        <f t="shared" si="89"/>
        <v>1</v>
      </c>
      <c r="M744" t="str">
        <f t="shared" si="90"/>
        <v> Adam Cracknell</v>
      </c>
      <c r="N744" t="str">
        <f t="shared" si="91"/>
        <v>STL</v>
      </c>
      <c r="O744">
        <f t="shared" si="92"/>
        <v>1</v>
      </c>
      <c r="P744">
        <f>IF(M744="","",VLOOKUP(B744,'Team Stats'!$B$3:$K$18,5,0))</f>
        <v>660</v>
      </c>
      <c r="Q744">
        <f t="shared" si="93"/>
        <v>1.5151515151515152E-3</v>
      </c>
      <c r="R744">
        <f ca="1">IF(M744="","",VLOOKUP(N744,Sim!$EF$46:$EG$61,2,0))</f>
        <v>10.87</v>
      </c>
      <c r="S744">
        <f ca="1">IF(M744="","",VLOOKUP(N744,'Team Stats'!$B$3:$K$18,10,0))</f>
        <v>87.490243902439019</v>
      </c>
      <c r="T744" s="84">
        <f t="shared" ca="1" si="94"/>
        <v>0.13256097560975608</v>
      </c>
      <c r="U744">
        <f t="shared" ca="1" si="95"/>
        <v>270</v>
      </c>
    </row>
    <row r="745" spans="1:21">
      <c r="A745" s="73" t="s">
        <v>1069</v>
      </c>
      <c r="B745" s="73" t="s">
        <v>204</v>
      </c>
      <c r="C745" s="74">
        <v>8</v>
      </c>
      <c r="D745" s="74"/>
      <c r="E745" s="74">
        <v>0</v>
      </c>
      <c r="F745" s="74"/>
      <c r="G745" s="74">
        <v>1</v>
      </c>
      <c r="H745" s="74"/>
      <c r="I745" s="63">
        <v>1</v>
      </c>
      <c r="J745" t="b">
        <f t="shared" si="88"/>
        <v>0</v>
      </c>
      <c r="K745" t="b">
        <f t="shared" si="89"/>
        <v>0</v>
      </c>
      <c r="M745" t="str">
        <f t="shared" si="90"/>
        <v/>
      </c>
      <c r="N745" t="str">
        <f t="shared" si="91"/>
        <v/>
      </c>
      <c r="O745" t="str">
        <f t="shared" si="92"/>
        <v/>
      </c>
      <c r="P745" t="str">
        <f>IF(M745="","",VLOOKUP(B745,'Team Stats'!$B$3:$K$18,5,0))</f>
        <v/>
      </c>
      <c r="Q745" t="str">
        <f t="shared" si="93"/>
        <v/>
      </c>
      <c r="R745" t="str">
        <f>IF(M745="","",VLOOKUP(N745,Sim!$EF$46:$EG$61,2,0))</f>
        <v/>
      </c>
      <c r="S745" t="str">
        <f>IF(M745="","",VLOOKUP(N745,'Team Stats'!$B$3:$K$18,10,0))</f>
        <v/>
      </c>
      <c r="T745" s="84" t="str">
        <f t="shared" si="94"/>
        <v/>
      </c>
      <c r="U745" t="str">
        <f t="shared" si="95"/>
        <v/>
      </c>
    </row>
    <row r="746" spans="1:21">
      <c r="A746" s="73" t="s">
        <v>1070</v>
      </c>
      <c r="B746" s="73" t="s">
        <v>325</v>
      </c>
      <c r="C746" s="74">
        <v>2</v>
      </c>
      <c r="D746" s="74"/>
      <c r="E746" s="74">
        <v>1</v>
      </c>
      <c r="F746" s="74"/>
      <c r="G746" s="74">
        <v>0</v>
      </c>
      <c r="H746" s="74"/>
      <c r="I746" s="63">
        <v>1</v>
      </c>
      <c r="J746" t="b">
        <f t="shared" si="88"/>
        <v>0</v>
      </c>
      <c r="K746" t="b">
        <f t="shared" si="89"/>
        <v>0</v>
      </c>
      <c r="M746" t="str">
        <f t="shared" si="90"/>
        <v/>
      </c>
      <c r="N746" t="str">
        <f t="shared" si="91"/>
        <v/>
      </c>
      <c r="O746" t="str">
        <f t="shared" si="92"/>
        <v/>
      </c>
      <c r="P746" t="str">
        <f>IF(M746="","",VLOOKUP(B746,'Team Stats'!$B$3:$K$18,5,0))</f>
        <v/>
      </c>
      <c r="Q746" t="str">
        <f t="shared" si="93"/>
        <v/>
      </c>
      <c r="R746" t="str">
        <f>IF(M746="","",VLOOKUP(N746,Sim!$EF$46:$EG$61,2,0))</f>
        <v/>
      </c>
      <c r="S746" t="str">
        <f>IF(M746="","",VLOOKUP(N746,'Team Stats'!$B$3:$K$18,10,0))</f>
        <v/>
      </c>
      <c r="T746" s="84" t="str">
        <f t="shared" si="94"/>
        <v/>
      </c>
      <c r="U746" t="str">
        <f t="shared" si="95"/>
        <v/>
      </c>
    </row>
    <row r="747" spans="1:21">
      <c r="A747" s="73" t="s">
        <v>1071</v>
      </c>
      <c r="B747" s="73" t="s">
        <v>215</v>
      </c>
      <c r="C747" s="74">
        <v>12</v>
      </c>
      <c r="D747" s="74"/>
      <c r="E747" s="74">
        <v>1</v>
      </c>
      <c r="F747" s="74"/>
      <c r="G747" s="74">
        <v>0</v>
      </c>
      <c r="H747" s="74"/>
      <c r="I747" s="63">
        <v>1</v>
      </c>
      <c r="J747" t="b">
        <f t="shared" si="88"/>
        <v>0</v>
      </c>
      <c r="K747" t="b">
        <f t="shared" si="89"/>
        <v>0</v>
      </c>
      <c r="M747" t="str">
        <f t="shared" si="90"/>
        <v/>
      </c>
      <c r="N747" t="str">
        <f t="shared" si="91"/>
        <v/>
      </c>
      <c r="O747" t="str">
        <f t="shared" si="92"/>
        <v/>
      </c>
      <c r="P747" t="str">
        <f>IF(M747="","",VLOOKUP(B747,'Team Stats'!$B$3:$K$18,5,0))</f>
        <v/>
      </c>
      <c r="Q747" t="str">
        <f t="shared" si="93"/>
        <v/>
      </c>
      <c r="R747" t="str">
        <f>IF(M747="","",VLOOKUP(N747,Sim!$EF$46:$EG$61,2,0))</f>
        <v/>
      </c>
      <c r="S747" t="str">
        <f>IF(M747="","",VLOOKUP(N747,'Team Stats'!$B$3:$K$18,10,0))</f>
        <v/>
      </c>
      <c r="T747" s="84" t="str">
        <f t="shared" si="94"/>
        <v/>
      </c>
      <c r="U747" t="str">
        <f t="shared" si="95"/>
        <v/>
      </c>
    </row>
    <row r="748" spans="1:21">
      <c r="A748" s="73" t="s">
        <v>1072</v>
      </c>
      <c r="B748" s="73" t="s">
        <v>220</v>
      </c>
      <c r="C748" s="74">
        <v>7</v>
      </c>
      <c r="D748" s="74"/>
      <c r="E748" s="74">
        <v>1</v>
      </c>
      <c r="F748" s="74"/>
      <c r="G748" s="74">
        <v>0</v>
      </c>
      <c r="H748" s="74"/>
      <c r="I748" s="63">
        <v>1</v>
      </c>
      <c r="J748" t="b">
        <f t="shared" si="88"/>
        <v>0</v>
      </c>
      <c r="K748" t="b">
        <f t="shared" si="89"/>
        <v>0</v>
      </c>
      <c r="M748" t="str">
        <f t="shared" si="90"/>
        <v/>
      </c>
      <c r="N748" t="str">
        <f t="shared" si="91"/>
        <v/>
      </c>
      <c r="O748" t="str">
        <f t="shared" si="92"/>
        <v/>
      </c>
      <c r="P748" t="str">
        <f>IF(M748="","",VLOOKUP(B748,'Team Stats'!$B$3:$K$18,5,0))</f>
        <v/>
      </c>
      <c r="Q748" t="str">
        <f t="shared" si="93"/>
        <v/>
      </c>
      <c r="R748" t="str">
        <f>IF(M748="","",VLOOKUP(N748,Sim!$EF$46:$EG$61,2,0))</f>
        <v/>
      </c>
      <c r="S748" t="str">
        <f>IF(M748="","",VLOOKUP(N748,'Team Stats'!$B$3:$K$18,10,0))</f>
        <v/>
      </c>
      <c r="T748" s="84" t="str">
        <f t="shared" si="94"/>
        <v/>
      </c>
      <c r="U748" t="str">
        <f t="shared" si="95"/>
        <v/>
      </c>
    </row>
    <row r="749" spans="1:21">
      <c r="A749" s="73" t="s">
        <v>1073</v>
      </c>
      <c r="B749" s="73" t="s">
        <v>216</v>
      </c>
      <c r="C749" s="74">
        <v>7</v>
      </c>
      <c r="D749" s="74"/>
      <c r="E749" s="74">
        <v>0</v>
      </c>
      <c r="F749" s="74"/>
      <c r="G749" s="74">
        <v>1</v>
      </c>
      <c r="H749" s="74"/>
      <c r="I749" s="63">
        <v>1</v>
      </c>
      <c r="J749" t="b">
        <f t="shared" si="88"/>
        <v>0</v>
      </c>
      <c r="K749" t="b">
        <f t="shared" si="89"/>
        <v>0</v>
      </c>
      <c r="M749" t="str">
        <f t="shared" si="90"/>
        <v/>
      </c>
      <c r="N749" t="str">
        <f t="shared" si="91"/>
        <v/>
      </c>
      <c r="O749" t="str">
        <f t="shared" si="92"/>
        <v/>
      </c>
      <c r="P749" t="str">
        <f>IF(M749="","",VLOOKUP(B749,'Team Stats'!$B$3:$K$18,5,0))</f>
        <v/>
      </c>
      <c r="Q749" t="str">
        <f t="shared" si="93"/>
        <v/>
      </c>
      <c r="R749" t="str">
        <f>IF(M749="","",VLOOKUP(N749,Sim!$EF$46:$EG$61,2,0))</f>
        <v/>
      </c>
      <c r="S749" t="str">
        <f>IF(M749="","",VLOOKUP(N749,'Team Stats'!$B$3:$K$18,10,0))</f>
        <v/>
      </c>
      <c r="T749" s="84" t="str">
        <f t="shared" si="94"/>
        <v/>
      </c>
      <c r="U749" t="str">
        <f t="shared" si="95"/>
        <v/>
      </c>
    </row>
    <row r="750" spans="1:21">
      <c r="A750" s="73" t="s">
        <v>1074</v>
      </c>
      <c r="B750" s="73" t="s">
        <v>217</v>
      </c>
      <c r="C750" s="74">
        <v>15</v>
      </c>
      <c r="D750" s="74"/>
      <c r="E750" s="74">
        <v>1</v>
      </c>
      <c r="F750" s="74"/>
      <c r="G750" s="74">
        <v>0</v>
      </c>
      <c r="H750" s="74"/>
      <c r="I750" s="63">
        <v>1</v>
      </c>
      <c r="J750" t="b">
        <f t="shared" si="88"/>
        <v>0</v>
      </c>
      <c r="K750" t="b">
        <f t="shared" si="89"/>
        <v>0</v>
      </c>
      <c r="M750" t="str">
        <f t="shared" si="90"/>
        <v/>
      </c>
      <c r="N750" t="str">
        <f t="shared" si="91"/>
        <v/>
      </c>
      <c r="O750" t="str">
        <f t="shared" si="92"/>
        <v/>
      </c>
      <c r="P750" t="str">
        <f>IF(M750="","",VLOOKUP(B750,'Team Stats'!$B$3:$K$18,5,0))</f>
        <v/>
      </c>
      <c r="Q750" t="str">
        <f t="shared" si="93"/>
        <v/>
      </c>
      <c r="R750" t="str">
        <f>IF(M750="","",VLOOKUP(N750,Sim!$EF$46:$EG$61,2,0))</f>
        <v/>
      </c>
      <c r="S750" t="str">
        <f>IF(M750="","",VLOOKUP(N750,'Team Stats'!$B$3:$K$18,10,0))</f>
        <v/>
      </c>
      <c r="T750" s="84" t="str">
        <f t="shared" si="94"/>
        <v/>
      </c>
      <c r="U750" t="str">
        <f t="shared" si="95"/>
        <v/>
      </c>
    </row>
    <row r="751" spans="1:21">
      <c r="A751" s="73" t="s">
        <v>1075</v>
      </c>
      <c r="B751" s="73" t="s">
        <v>213</v>
      </c>
      <c r="C751" s="74">
        <v>9</v>
      </c>
      <c r="D751" s="74"/>
      <c r="E751" s="74">
        <v>1</v>
      </c>
      <c r="F751" s="74"/>
      <c r="G751" s="74">
        <v>0</v>
      </c>
      <c r="H751" s="74"/>
      <c r="I751" s="63">
        <v>1</v>
      </c>
      <c r="J751" t="b">
        <f t="shared" si="88"/>
        <v>0</v>
      </c>
      <c r="K751" t="b">
        <f t="shared" si="89"/>
        <v>0</v>
      </c>
      <c r="M751" t="str">
        <f t="shared" si="90"/>
        <v/>
      </c>
      <c r="N751" t="str">
        <f t="shared" si="91"/>
        <v/>
      </c>
      <c r="O751" t="str">
        <f t="shared" si="92"/>
        <v/>
      </c>
      <c r="P751" t="str">
        <f>IF(M751="","",VLOOKUP(B751,'Team Stats'!$B$3:$K$18,5,0))</f>
        <v/>
      </c>
      <c r="Q751" t="str">
        <f t="shared" si="93"/>
        <v/>
      </c>
      <c r="R751" t="str">
        <f>IF(M751="","",VLOOKUP(N751,Sim!$EF$46:$EG$61,2,0))</f>
        <v/>
      </c>
      <c r="S751" t="str">
        <f>IF(M751="","",VLOOKUP(N751,'Team Stats'!$B$3:$K$18,10,0))</f>
        <v/>
      </c>
      <c r="T751" s="84" t="str">
        <f t="shared" si="94"/>
        <v/>
      </c>
      <c r="U751" t="str">
        <f t="shared" si="95"/>
        <v/>
      </c>
    </row>
    <row r="752" spans="1:21">
      <c r="A752" s="73" t="s">
        <v>1076</v>
      </c>
      <c r="B752" s="73" t="s">
        <v>208</v>
      </c>
      <c r="C752" s="74">
        <v>1</v>
      </c>
      <c r="D752" s="74"/>
      <c r="E752" s="74">
        <v>0</v>
      </c>
      <c r="F752" s="74"/>
      <c r="G752" s="74">
        <v>1</v>
      </c>
      <c r="H752" s="74"/>
      <c r="I752" s="63">
        <v>1</v>
      </c>
      <c r="J752" t="b">
        <f t="shared" si="88"/>
        <v>0</v>
      </c>
      <c r="K752" t="b">
        <f t="shared" si="89"/>
        <v>0</v>
      </c>
      <c r="M752" t="str">
        <f t="shared" si="90"/>
        <v/>
      </c>
      <c r="N752" t="str">
        <f t="shared" si="91"/>
        <v/>
      </c>
      <c r="O752" t="str">
        <f t="shared" si="92"/>
        <v/>
      </c>
      <c r="P752" t="str">
        <f>IF(M752="","",VLOOKUP(B752,'Team Stats'!$B$3:$K$18,5,0))</f>
        <v/>
      </c>
      <c r="Q752" t="str">
        <f t="shared" si="93"/>
        <v/>
      </c>
      <c r="R752" t="str">
        <f>IF(M752="","",VLOOKUP(N752,Sim!$EF$46:$EG$61,2,0))</f>
        <v/>
      </c>
      <c r="S752" t="str">
        <f>IF(M752="","",VLOOKUP(N752,'Team Stats'!$B$3:$K$18,10,0))</f>
        <v/>
      </c>
      <c r="T752" s="84" t="str">
        <f t="shared" si="94"/>
        <v/>
      </c>
      <c r="U752" t="str">
        <f t="shared" si="95"/>
        <v/>
      </c>
    </row>
    <row r="753" spans="1:21">
      <c r="A753" s="73" t="s">
        <v>1077</v>
      </c>
      <c r="B753" s="73" t="s">
        <v>215</v>
      </c>
      <c r="C753" s="74">
        <v>31</v>
      </c>
      <c r="D753" s="74"/>
      <c r="E753" s="74">
        <v>0</v>
      </c>
      <c r="F753" s="74"/>
      <c r="G753" s="74">
        <v>1</v>
      </c>
      <c r="H753" s="74"/>
      <c r="I753" s="63">
        <v>1</v>
      </c>
      <c r="J753" t="b">
        <f t="shared" si="88"/>
        <v>0</v>
      </c>
      <c r="K753" t="b">
        <f t="shared" si="89"/>
        <v>0</v>
      </c>
      <c r="M753" t="str">
        <f t="shared" si="90"/>
        <v/>
      </c>
      <c r="N753" t="str">
        <f t="shared" si="91"/>
        <v/>
      </c>
      <c r="O753" t="str">
        <f t="shared" si="92"/>
        <v/>
      </c>
      <c r="P753" t="str">
        <f>IF(M753="","",VLOOKUP(B753,'Team Stats'!$B$3:$K$18,5,0))</f>
        <v/>
      </c>
      <c r="Q753" t="str">
        <f t="shared" si="93"/>
        <v/>
      </c>
      <c r="R753" t="str">
        <f>IF(M753="","",VLOOKUP(N753,Sim!$EF$46:$EG$61,2,0))</f>
        <v/>
      </c>
      <c r="S753" t="str">
        <f>IF(M753="","",VLOOKUP(N753,'Team Stats'!$B$3:$K$18,10,0))</f>
        <v/>
      </c>
      <c r="T753" s="84" t="str">
        <f t="shared" si="94"/>
        <v/>
      </c>
      <c r="U753" t="str">
        <f t="shared" si="95"/>
        <v/>
      </c>
    </row>
    <row r="754" spans="1:21">
      <c r="A754" s="73" t="s">
        <v>1078</v>
      </c>
      <c r="B754" s="73" t="s">
        <v>220</v>
      </c>
      <c r="C754" s="74">
        <v>11</v>
      </c>
      <c r="D754" s="74"/>
      <c r="E754" s="74">
        <v>1</v>
      </c>
      <c r="F754" s="74"/>
      <c r="G754" s="74">
        <v>0</v>
      </c>
      <c r="H754" s="74"/>
      <c r="I754" s="63">
        <v>1</v>
      </c>
      <c r="J754" t="b">
        <f t="shared" si="88"/>
        <v>0</v>
      </c>
      <c r="K754" t="b">
        <f t="shared" si="89"/>
        <v>0</v>
      </c>
      <c r="M754" t="str">
        <f t="shared" si="90"/>
        <v/>
      </c>
      <c r="N754" t="str">
        <f t="shared" si="91"/>
        <v/>
      </c>
      <c r="O754" t="str">
        <f t="shared" si="92"/>
        <v/>
      </c>
      <c r="P754" t="str">
        <f>IF(M754="","",VLOOKUP(B754,'Team Stats'!$B$3:$K$18,5,0))</f>
        <v/>
      </c>
      <c r="Q754" t="str">
        <f t="shared" si="93"/>
        <v/>
      </c>
      <c r="R754" t="str">
        <f>IF(M754="","",VLOOKUP(N754,Sim!$EF$46:$EG$61,2,0))</f>
        <v/>
      </c>
      <c r="S754" t="str">
        <f>IF(M754="","",VLOOKUP(N754,'Team Stats'!$B$3:$K$18,10,0))</f>
        <v/>
      </c>
      <c r="T754" s="84" t="str">
        <f t="shared" si="94"/>
        <v/>
      </c>
      <c r="U754" t="str">
        <f t="shared" si="95"/>
        <v/>
      </c>
    </row>
    <row r="755" spans="1:21">
      <c r="A755" s="73" t="s">
        <v>1079</v>
      </c>
      <c r="B755" s="73" t="s">
        <v>213</v>
      </c>
      <c r="C755" s="74">
        <v>6</v>
      </c>
      <c r="D755" s="74"/>
      <c r="E755" s="74">
        <v>0</v>
      </c>
      <c r="F755" s="74"/>
      <c r="G755" s="74">
        <v>1</v>
      </c>
      <c r="H755" s="74"/>
      <c r="I755" s="63">
        <v>1</v>
      </c>
      <c r="J755" t="b">
        <f t="shared" si="88"/>
        <v>0</v>
      </c>
      <c r="K755" t="b">
        <f t="shared" si="89"/>
        <v>0</v>
      </c>
      <c r="M755" t="str">
        <f t="shared" si="90"/>
        <v/>
      </c>
      <c r="N755" t="str">
        <f t="shared" si="91"/>
        <v/>
      </c>
      <c r="O755" t="str">
        <f t="shared" si="92"/>
        <v/>
      </c>
      <c r="P755" t="str">
        <f>IF(M755="","",VLOOKUP(B755,'Team Stats'!$B$3:$K$18,5,0))</f>
        <v/>
      </c>
      <c r="Q755" t="str">
        <f t="shared" si="93"/>
        <v/>
      </c>
      <c r="R755" t="str">
        <f>IF(M755="","",VLOOKUP(N755,Sim!$EF$46:$EG$61,2,0))</f>
        <v/>
      </c>
      <c r="S755" t="str">
        <f>IF(M755="","",VLOOKUP(N755,'Team Stats'!$B$3:$K$18,10,0))</f>
        <v/>
      </c>
      <c r="T755" s="84" t="str">
        <f t="shared" si="94"/>
        <v/>
      </c>
      <c r="U755" t="str">
        <f t="shared" si="95"/>
        <v/>
      </c>
    </row>
    <row r="756" spans="1:21">
      <c r="A756" s="73" t="s">
        <v>1080</v>
      </c>
      <c r="B756" s="73" t="s">
        <v>220</v>
      </c>
      <c r="C756" s="74">
        <v>10</v>
      </c>
      <c r="D756" s="74"/>
      <c r="E756" s="74">
        <v>0</v>
      </c>
      <c r="F756" s="74"/>
      <c r="G756" s="74">
        <v>1</v>
      </c>
      <c r="H756" s="74"/>
      <c r="I756" s="63">
        <v>1</v>
      </c>
      <c r="J756" t="b">
        <f t="shared" si="88"/>
        <v>0</v>
      </c>
      <c r="K756" t="b">
        <f t="shared" si="89"/>
        <v>0</v>
      </c>
      <c r="M756" t="str">
        <f t="shared" si="90"/>
        <v/>
      </c>
      <c r="N756" t="str">
        <f t="shared" si="91"/>
        <v/>
      </c>
      <c r="O756" t="str">
        <f t="shared" si="92"/>
        <v/>
      </c>
      <c r="P756" t="str">
        <f>IF(M756="","",VLOOKUP(B756,'Team Stats'!$B$3:$K$18,5,0))</f>
        <v/>
      </c>
      <c r="Q756" t="str">
        <f t="shared" si="93"/>
        <v/>
      </c>
      <c r="R756" t="str">
        <f>IF(M756="","",VLOOKUP(N756,Sim!$EF$46:$EG$61,2,0))</f>
        <v/>
      </c>
      <c r="S756" t="str">
        <f>IF(M756="","",VLOOKUP(N756,'Team Stats'!$B$3:$K$18,10,0))</f>
        <v/>
      </c>
      <c r="T756" s="84" t="str">
        <f t="shared" si="94"/>
        <v/>
      </c>
      <c r="U756" t="str">
        <f t="shared" si="95"/>
        <v/>
      </c>
    </row>
    <row r="757" spans="1:21">
      <c r="A757" s="73" t="s">
        <v>1081</v>
      </c>
      <c r="B757" s="73" t="s">
        <v>217</v>
      </c>
      <c r="C757" s="74">
        <v>7</v>
      </c>
      <c r="D757" s="74"/>
      <c r="E757" s="74">
        <v>0</v>
      </c>
      <c r="F757" s="74"/>
      <c r="G757" s="74">
        <v>1</v>
      </c>
      <c r="H757" s="74"/>
      <c r="I757" s="63">
        <v>1</v>
      </c>
      <c r="J757" t="b">
        <f t="shared" si="88"/>
        <v>0</v>
      </c>
      <c r="K757" t="b">
        <f t="shared" si="89"/>
        <v>0</v>
      </c>
      <c r="M757" t="str">
        <f t="shared" si="90"/>
        <v/>
      </c>
      <c r="N757" t="str">
        <f t="shared" si="91"/>
        <v/>
      </c>
      <c r="O757" t="str">
        <f t="shared" si="92"/>
        <v/>
      </c>
      <c r="P757" t="str">
        <f>IF(M757="","",VLOOKUP(B757,'Team Stats'!$B$3:$K$18,5,0))</f>
        <v/>
      </c>
      <c r="Q757" t="str">
        <f t="shared" si="93"/>
        <v/>
      </c>
      <c r="R757" t="str">
        <f>IF(M757="","",VLOOKUP(N757,Sim!$EF$46:$EG$61,2,0))</f>
        <v/>
      </c>
      <c r="S757" t="str">
        <f>IF(M757="","",VLOOKUP(N757,'Team Stats'!$B$3:$K$18,10,0))</f>
        <v/>
      </c>
      <c r="T757" s="84" t="str">
        <f t="shared" si="94"/>
        <v/>
      </c>
      <c r="U757" t="str">
        <f t="shared" si="95"/>
        <v/>
      </c>
    </row>
    <row r="758" spans="1:21">
      <c r="A758" s="73" t="s">
        <v>1082</v>
      </c>
      <c r="B758" s="73" t="s">
        <v>212</v>
      </c>
      <c r="C758" s="74">
        <v>9</v>
      </c>
      <c r="D758" s="74"/>
      <c r="E758" s="74">
        <v>0</v>
      </c>
      <c r="F758" s="74"/>
      <c r="G758" s="74">
        <v>1</v>
      </c>
      <c r="H758" s="74"/>
      <c r="I758" s="63">
        <v>1</v>
      </c>
      <c r="J758" t="b">
        <f t="shared" si="88"/>
        <v>1</v>
      </c>
      <c r="K758" t="b">
        <f t="shared" si="89"/>
        <v>1</v>
      </c>
      <c r="M758" t="str">
        <f t="shared" si="90"/>
        <v> Stu Bickel</v>
      </c>
      <c r="N758" t="str">
        <f t="shared" si="91"/>
        <v>MIN</v>
      </c>
      <c r="O758">
        <f t="shared" si="92"/>
        <v>1</v>
      </c>
      <c r="P758">
        <f>IF(M758="","",VLOOKUP(B758,'Team Stats'!$B$3:$K$18,5,0))</f>
        <v>608</v>
      </c>
      <c r="Q758">
        <f t="shared" si="93"/>
        <v>1.6447368421052631E-3</v>
      </c>
      <c r="R758">
        <f ca="1">IF(M758="","",VLOOKUP(N758,Sim!$EF$46:$EG$61,2,0))</f>
        <v>11.71</v>
      </c>
      <c r="S758">
        <f ca="1">IF(M758="","",VLOOKUP(N758,'Team Stats'!$B$3:$K$18,10,0))</f>
        <v>86.825365853658553</v>
      </c>
      <c r="T758" s="84">
        <f t="shared" ca="1" si="94"/>
        <v>0.1428048780487805</v>
      </c>
      <c r="U758">
        <f t="shared" ca="1" si="95"/>
        <v>267</v>
      </c>
    </row>
    <row r="759" spans="1:21">
      <c r="A759" s="73" t="s">
        <v>1083</v>
      </c>
      <c r="B759" s="73" t="s">
        <v>202</v>
      </c>
      <c r="C759" s="74">
        <v>1</v>
      </c>
      <c r="D759" s="74"/>
      <c r="E759" s="74">
        <v>0</v>
      </c>
      <c r="F759" s="74"/>
      <c r="G759" s="74">
        <v>1</v>
      </c>
      <c r="H759" s="74"/>
      <c r="I759" s="63">
        <v>1</v>
      </c>
      <c r="J759" t="b">
        <f t="shared" si="88"/>
        <v>1</v>
      </c>
      <c r="K759" t="b">
        <f t="shared" si="89"/>
        <v>1</v>
      </c>
      <c r="M759" t="str">
        <f t="shared" si="90"/>
        <v> Michael Paliotta</v>
      </c>
      <c r="N759" t="str">
        <f t="shared" si="91"/>
        <v>CHI</v>
      </c>
      <c r="O759">
        <f t="shared" si="92"/>
        <v>1</v>
      </c>
      <c r="P759">
        <f>IF(M759="","",VLOOKUP(B759,'Team Stats'!$B$3:$K$18,5,0))</f>
        <v>601</v>
      </c>
      <c r="Q759">
        <f t="shared" si="93"/>
        <v>1.6638935108153079E-3</v>
      </c>
      <c r="R759">
        <f ca="1">IF(M759="","",VLOOKUP(N759,Sim!$EF$46:$EG$61,2,0))</f>
        <v>9.14</v>
      </c>
      <c r="S759">
        <f ca="1">IF(M759="","",VLOOKUP(N759,'Team Stats'!$B$3:$K$18,10,0))</f>
        <v>66.989512195121961</v>
      </c>
      <c r="T759" s="84">
        <f t="shared" ca="1" si="94"/>
        <v>0.11146341463414636</v>
      </c>
      <c r="U759">
        <f t="shared" ca="1" si="95"/>
        <v>280</v>
      </c>
    </row>
    <row r="760" spans="1:21">
      <c r="A760" s="73" t="s">
        <v>1084</v>
      </c>
      <c r="B760" s="73" t="s">
        <v>222</v>
      </c>
      <c r="C760" s="74">
        <v>5</v>
      </c>
      <c r="D760" s="74"/>
      <c r="E760" s="74">
        <v>1</v>
      </c>
      <c r="F760" s="74"/>
      <c r="G760" s="74">
        <v>0</v>
      </c>
      <c r="H760" s="74"/>
      <c r="I760" s="63">
        <v>1</v>
      </c>
      <c r="J760" t="b">
        <f t="shared" si="88"/>
        <v>0</v>
      </c>
      <c r="K760" t="b">
        <f t="shared" si="89"/>
        <v>0</v>
      </c>
      <c r="M760" t="str">
        <f t="shared" si="90"/>
        <v/>
      </c>
      <c r="N760" t="str">
        <f t="shared" si="91"/>
        <v/>
      </c>
      <c r="O760" t="str">
        <f t="shared" si="92"/>
        <v/>
      </c>
      <c r="P760" t="str">
        <f>IF(M760="","",VLOOKUP(B760,'Team Stats'!$B$3:$K$18,5,0))</f>
        <v/>
      </c>
      <c r="Q760" t="str">
        <f t="shared" si="93"/>
        <v/>
      </c>
      <c r="R760" t="str">
        <f>IF(M760="","",VLOOKUP(N760,Sim!$EF$46:$EG$61,2,0))</f>
        <v/>
      </c>
      <c r="S760" t="str">
        <f>IF(M760="","",VLOOKUP(N760,'Team Stats'!$B$3:$K$18,10,0))</f>
        <v/>
      </c>
      <c r="T760" s="84" t="str">
        <f t="shared" si="94"/>
        <v/>
      </c>
      <c r="U760" t="str">
        <f t="shared" si="95"/>
        <v/>
      </c>
    </row>
    <row r="761" spans="1:21">
      <c r="A761" s="73" t="s">
        <v>1085</v>
      </c>
      <c r="B761" s="73" t="s">
        <v>345</v>
      </c>
      <c r="C761" s="74">
        <v>18</v>
      </c>
      <c r="D761" s="74"/>
      <c r="E761" s="74">
        <v>1</v>
      </c>
      <c r="F761" s="74"/>
      <c r="G761" s="74">
        <v>0</v>
      </c>
      <c r="H761" s="74"/>
      <c r="I761" s="63">
        <v>1</v>
      </c>
      <c r="J761" t="b">
        <f t="shared" si="88"/>
        <v>0</v>
      </c>
      <c r="K761" t="b">
        <f t="shared" si="89"/>
        <v>0</v>
      </c>
      <c r="M761" t="str">
        <f t="shared" si="90"/>
        <v/>
      </c>
      <c r="N761" t="str">
        <f t="shared" si="91"/>
        <v/>
      </c>
      <c r="O761" t="str">
        <f t="shared" si="92"/>
        <v/>
      </c>
      <c r="P761" t="str">
        <f>IF(M761="","",VLOOKUP(B761,'Team Stats'!$B$3:$K$18,5,0))</f>
        <v/>
      </c>
      <c r="Q761" t="str">
        <f t="shared" si="93"/>
        <v/>
      </c>
      <c r="R761" t="str">
        <f>IF(M761="","",VLOOKUP(N761,Sim!$EF$46:$EG$61,2,0))</f>
        <v/>
      </c>
      <c r="S761" t="str">
        <f>IF(M761="","",VLOOKUP(N761,'Team Stats'!$B$3:$K$18,10,0))</f>
        <v/>
      </c>
      <c r="T761" s="84" t="str">
        <f t="shared" si="94"/>
        <v/>
      </c>
      <c r="U761" t="str">
        <f t="shared" si="95"/>
        <v/>
      </c>
    </row>
    <row r="762" spans="1:21">
      <c r="A762" s="73" t="s">
        <v>1086</v>
      </c>
      <c r="B762" s="73" t="s">
        <v>365</v>
      </c>
      <c r="C762" s="74">
        <v>1</v>
      </c>
      <c r="D762" s="74"/>
      <c r="E762" s="74">
        <v>1</v>
      </c>
      <c r="F762" s="74"/>
      <c r="G762" s="74">
        <v>0</v>
      </c>
      <c r="H762" s="74"/>
      <c r="I762" s="63">
        <v>1</v>
      </c>
      <c r="J762" t="b">
        <f t="shared" si="88"/>
        <v>0</v>
      </c>
      <c r="K762" t="b">
        <f t="shared" si="89"/>
        <v>0</v>
      </c>
      <c r="M762" t="str">
        <f t="shared" si="90"/>
        <v/>
      </c>
      <c r="N762" t="str">
        <f t="shared" si="91"/>
        <v/>
      </c>
      <c r="O762" t="str">
        <f t="shared" si="92"/>
        <v/>
      </c>
      <c r="P762" t="str">
        <f>IF(M762="","",VLOOKUP(B762,'Team Stats'!$B$3:$K$18,5,0))</f>
        <v/>
      </c>
      <c r="Q762" t="str">
        <f t="shared" si="93"/>
        <v/>
      </c>
      <c r="R762" t="str">
        <f>IF(M762="","",VLOOKUP(N762,Sim!$EF$46:$EG$61,2,0))</f>
        <v/>
      </c>
      <c r="S762" t="str">
        <f>IF(M762="","",VLOOKUP(N762,'Team Stats'!$B$3:$K$18,10,0))</f>
        <v/>
      </c>
      <c r="T762" s="84" t="str">
        <f t="shared" si="94"/>
        <v/>
      </c>
      <c r="U762" t="str">
        <f t="shared" si="95"/>
        <v/>
      </c>
    </row>
    <row r="763" spans="1:21">
      <c r="A763" s="73" t="s">
        <v>1087</v>
      </c>
      <c r="B763" s="73" t="s">
        <v>213</v>
      </c>
      <c r="C763" s="74">
        <v>6</v>
      </c>
      <c r="D763" s="74"/>
      <c r="E763" s="74">
        <v>1</v>
      </c>
      <c r="F763" s="74"/>
      <c r="G763" s="74">
        <v>0</v>
      </c>
      <c r="H763" s="74"/>
      <c r="I763" s="63">
        <v>1</v>
      </c>
      <c r="J763" t="b">
        <f t="shared" si="88"/>
        <v>0</v>
      </c>
      <c r="K763" t="b">
        <f t="shared" si="89"/>
        <v>0</v>
      </c>
      <c r="M763" t="str">
        <f t="shared" si="90"/>
        <v/>
      </c>
      <c r="N763" t="str">
        <f t="shared" si="91"/>
        <v/>
      </c>
      <c r="O763" t="str">
        <f t="shared" si="92"/>
        <v/>
      </c>
      <c r="P763" t="str">
        <f>IF(M763="","",VLOOKUP(B763,'Team Stats'!$B$3:$K$18,5,0))</f>
        <v/>
      </c>
      <c r="Q763" t="str">
        <f t="shared" si="93"/>
        <v/>
      </c>
      <c r="R763" t="str">
        <f>IF(M763="","",VLOOKUP(N763,Sim!$EF$46:$EG$61,2,0))</f>
        <v/>
      </c>
      <c r="S763" t="str">
        <f>IF(M763="","",VLOOKUP(N763,'Team Stats'!$B$3:$K$18,10,0))</f>
        <v/>
      </c>
      <c r="T763" s="84" t="str">
        <f t="shared" si="94"/>
        <v/>
      </c>
      <c r="U763" t="str">
        <f t="shared" si="95"/>
        <v/>
      </c>
    </row>
    <row r="764" spans="1:21">
      <c r="A764" s="73" t="s">
        <v>1088</v>
      </c>
      <c r="B764" s="73" t="s">
        <v>217</v>
      </c>
      <c r="C764" s="74">
        <v>4</v>
      </c>
      <c r="D764" s="74"/>
      <c r="E764" s="74">
        <v>0</v>
      </c>
      <c r="F764" s="74"/>
      <c r="G764" s="74">
        <v>1</v>
      </c>
      <c r="H764" s="74"/>
      <c r="I764" s="63">
        <v>1</v>
      </c>
      <c r="J764" t="b">
        <f t="shared" si="88"/>
        <v>0</v>
      </c>
      <c r="K764" t="b">
        <f t="shared" si="89"/>
        <v>0</v>
      </c>
      <c r="M764" t="str">
        <f t="shared" si="90"/>
        <v/>
      </c>
      <c r="N764" t="str">
        <f t="shared" si="91"/>
        <v/>
      </c>
      <c r="O764" t="str">
        <f t="shared" si="92"/>
        <v/>
      </c>
      <c r="P764" t="str">
        <f>IF(M764="","",VLOOKUP(B764,'Team Stats'!$B$3:$K$18,5,0))</f>
        <v/>
      </c>
      <c r="Q764" t="str">
        <f t="shared" si="93"/>
        <v/>
      </c>
      <c r="R764" t="str">
        <f>IF(M764="","",VLOOKUP(N764,Sim!$EF$46:$EG$61,2,0))</f>
        <v/>
      </c>
      <c r="S764" t="str">
        <f>IF(M764="","",VLOOKUP(N764,'Team Stats'!$B$3:$K$18,10,0))</f>
        <v/>
      </c>
      <c r="T764" s="84" t="str">
        <f t="shared" si="94"/>
        <v/>
      </c>
      <c r="U764" t="str">
        <f t="shared" si="95"/>
        <v/>
      </c>
    </row>
    <row r="765" spans="1:21">
      <c r="A765" s="73" t="s">
        <v>1089</v>
      </c>
      <c r="B765" s="73" t="s">
        <v>210</v>
      </c>
      <c r="C765" s="74">
        <v>11</v>
      </c>
      <c r="D765" s="74"/>
      <c r="E765" s="74">
        <v>0</v>
      </c>
      <c r="F765" s="74"/>
      <c r="G765" s="74">
        <v>1</v>
      </c>
      <c r="H765" s="74"/>
      <c r="I765" s="63">
        <v>1</v>
      </c>
      <c r="J765" t="b">
        <f t="shared" si="88"/>
        <v>1</v>
      </c>
      <c r="K765" t="b">
        <f t="shared" si="89"/>
        <v>1</v>
      </c>
      <c r="M765" t="str">
        <f t="shared" si="90"/>
        <v> Eric O'Dell</v>
      </c>
      <c r="N765" t="str">
        <f t="shared" si="91"/>
        <v>WPG</v>
      </c>
      <c r="O765">
        <f t="shared" si="92"/>
        <v>1</v>
      </c>
      <c r="P765">
        <f>IF(M765="","",VLOOKUP(B765,'Team Stats'!$B$3:$K$18,5,0))</f>
        <v>594</v>
      </c>
      <c r="Q765">
        <f t="shared" si="93"/>
        <v>1.6835016835016834E-3</v>
      </c>
      <c r="R765">
        <f ca="1">IF(M765="","",VLOOKUP(N765,Sim!$EF$46:$EG$61,2,0))</f>
        <v>8.94</v>
      </c>
      <c r="S765">
        <f ca="1">IF(M765="","",VLOOKUP(N765,'Team Stats'!$B$3:$K$18,10,0))</f>
        <v>64.760487804878053</v>
      </c>
      <c r="T765" s="84">
        <f t="shared" ca="1" si="94"/>
        <v>0.10902439024390244</v>
      </c>
      <c r="U765">
        <f t="shared" ca="1" si="95"/>
        <v>283</v>
      </c>
    </row>
    <row r="766" spans="1:21">
      <c r="A766" s="73" t="s">
        <v>1090</v>
      </c>
      <c r="B766" s="73" t="s">
        <v>214</v>
      </c>
      <c r="C766" s="74">
        <v>2</v>
      </c>
      <c r="D766" s="74"/>
      <c r="E766" s="74">
        <v>0</v>
      </c>
      <c r="F766" s="74"/>
      <c r="G766" s="74">
        <v>1</v>
      </c>
      <c r="H766" s="74"/>
      <c r="I766" s="63">
        <v>1</v>
      </c>
      <c r="J766" t="b">
        <f t="shared" si="88"/>
        <v>1</v>
      </c>
      <c r="K766" t="b">
        <f t="shared" si="89"/>
        <v>1</v>
      </c>
      <c r="M766" t="str">
        <f t="shared" si="90"/>
        <v> Shane Prince</v>
      </c>
      <c r="N766" t="str">
        <f t="shared" si="91"/>
        <v>OTT</v>
      </c>
      <c r="O766">
        <f t="shared" si="92"/>
        <v>1</v>
      </c>
      <c r="P766">
        <f>IF(M766="","",VLOOKUP(B766,'Team Stats'!$B$3:$K$18,5,0))</f>
        <v>619</v>
      </c>
      <c r="Q766">
        <f t="shared" si="93"/>
        <v>1.6155088852988692E-3</v>
      </c>
      <c r="R766">
        <f ca="1">IF(M766="","",VLOOKUP(N766,Sim!$EF$46:$EG$61,2,0))</f>
        <v>10.71</v>
      </c>
      <c r="S766">
        <f ca="1">IF(M766="","",VLOOKUP(N766,'Team Stats'!$B$3:$K$18,10,0))</f>
        <v>80.847439024390255</v>
      </c>
      <c r="T766" s="84">
        <f t="shared" ca="1" si="94"/>
        <v>0.13060975609756101</v>
      </c>
      <c r="U766">
        <f t="shared" ca="1" si="95"/>
        <v>272</v>
      </c>
    </row>
    <row r="767" spans="1:21">
      <c r="A767" s="73" t="s">
        <v>1091</v>
      </c>
      <c r="B767" s="73" t="s">
        <v>222</v>
      </c>
      <c r="C767" s="74">
        <v>33</v>
      </c>
      <c r="D767" s="74"/>
      <c r="E767" s="74">
        <v>0</v>
      </c>
      <c r="F767" s="74"/>
      <c r="G767" s="74">
        <v>1</v>
      </c>
      <c r="H767" s="74"/>
      <c r="I767" s="63">
        <v>1</v>
      </c>
      <c r="J767" t="b">
        <f t="shared" si="88"/>
        <v>0</v>
      </c>
      <c r="K767" t="b">
        <f t="shared" si="89"/>
        <v>0</v>
      </c>
      <c r="M767" t="str">
        <f t="shared" si="90"/>
        <v/>
      </c>
      <c r="N767" t="str">
        <f t="shared" si="91"/>
        <v/>
      </c>
      <c r="O767" t="str">
        <f t="shared" si="92"/>
        <v/>
      </c>
      <c r="P767" t="str">
        <f>IF(M767="","",VLOOKUP(B767,'Team Stats'!$B$3:$K$18,5,0))</f>
        <v/>
      </c>
      <c r="Q767" t="str">
        <f t="shared" si="93"/>
        <v/>
      </c>
      <c r="R767" t="str">
        <f>IF(M767="","",VLOOKUP(N767,Sim!$EF$46:$EG$61,2,0))</f>
        <v/>
      </c>
      <c r="S767" t="str">
        <f>IF(M767="","",VLOOKUP(N767,'Team Stats'!$B$3:$K$18,10,0))</f>
        <v/>
      </c>
      <c r="T767" s="84" t="str">
        <f t="shared" si="94"/>
        <v/>
      </c>
      <c r="U767" t="str">
        <f t="shared" si="95"/>
        <v/>
      </c>
    </row>
    <row r="768" spans="1:21">
      <c r="A768" s="73" t="s">
        <v>1092</v>
      </c>
      <c r="B768" s="73" t="s">
        <v>206</v>
      </c>
      <c r="C768" s="74">
        <v>10</v>
      </c>
      <c r="D768" s="74"/>
      <c r="E768" s="74">
        <v>1</v>
      </c>
      <c r="F768" s="74"/>
      <c r="G768" s="74">
        <v>0</v>
      </c>
      <c r="H768" s="74"/>
      <c r="I768" s="63">
        <v>1</v>
      </c>
      <c r="J768" t="b">
        <f t="shared" si="88"/>
        <v>1</v>
      </c>
      <c r="K768" t="b">
        <f t="shared" si="89"/>
        <v>1</v>
      </c>
      <c r="M768" t="str">
        <f t="shared" si="90"/>
        <v> Frank Corrado</v>
      </c>
      <c r="N768" t="str">
        <f t="shared" si="91"/>
        <v>VAN</v>
      </c>
      <c r="O768">
        <f t="shared" si="92"/>
        <v>1</v>
      </c>
      <c r="P768">
        <f>IF(M768="","",VLOOKUP(B768,'Team Stats'!$B$3:$K$18,5,0))</f>
        <v>642</v>
      </c>
      <c r="Q768">
        <f t="shared" si="93"/>
        <v>1.557632398753894E-3</v>
      </c>
      <c r="R768">
        <f ca="1">IF(M768="","",VLOOKUP(N768,Sim!$EF$46:$EG$61,2,0))</f>
        <v>10.35</v>
      </c>
      <c r="S768">
        <f ca="1">IF(M768="","",VLOOKUP(N768,'Team Stats'!$B$3:$K$18,10,0))</f>
        <v>81.032926829268291</v>
      </c>
      <c r="T768" s="84">
        <f t="shared" ca="1" si="94"/>
        <v>0.12621951219512195</v>
      </c>
      <c r="U768">
        <f t="shared" ca="1" si="95"/>
        <v>274</v>
      </c>
    </row>
    <row r="769" spans="1:21">
      <c r="A769" s="73" t="s">
        <v>1093</v>
      </c>
      <c r="B769" s="73" t="s">
        <v>221</v>
      </c>
      <c r="C769" s="74">
        <v>9</v>
      </c>
      <c r="D769" s="74"/>
      <c r="E769" s="74">
        <v>0</v>
      </c>
      <c r="F769" s="74"/>
      <c r="G769" s="74">
        <v>1</v>
      </c>
      <c r="H769" s="74"/>
      <c r="I769" s="63">
        <v>1</v>
      </c>
      <c r="J769" t="b">
        <f t="shared" si="88"/>
        <v>0</v>
      </c>
      <c r="K769" t="b">
        <f t="shared" si="89"/>
        <v>0</v>
      </c>
      <c r="M769" t="str">
        <f t="shared" si="90"/>
        <v/>
      </c>
      <c r="N769" t="str">
        <f t="shared" si="91"/>
        <v/>
      </c>
      <c r="O769" t="str">
        <f t="shared" si="92"/>
        <v/>
      </c>
      <c r="P769" t="str">
        <f>IF(M769="","",VLOOKUP(B769,'Team Stats'!$B$3:$K$18,5,0))</f>
        <v/>
      </c>
      <c r="Q769" t="str">
        <f t="shared" si="93"/>
        <v/>
      </c>
      <c r="R769" t="str">
        <f>IF(M769="","",VLOOKUP(N769,Sim!$EF$46:$EG$61,2,0))</f>
        <v/>
      </c>
      <c r="S769" t="str">
        <f>IF(M769="","",VLOOKUP(N769,'Team Stats'!$B$3:$K$18,10,0))</f>
        <v/>
      </c>
      <c r="T769" s="84" t="str">
        <f t="shared" si="94"/>
        <v/>
      </c>
      <c r="U769" t="str">
        <f t="shared" si="95"/>
        <v/>
      </c>
    </row>
    <row r="770" spans="1:21">
      <c r="A770" s="73" t="s">
        <v>1094</v>
      </c>
      <c r="B770" s="73" t="s">
        <v>202</v>
      </c>
      <c r="C770" s="74">
        <v>4</v>
      </c>
      <c r="D770" s="74"/>
      <c r="E770" s="74">
        <v>0</v>
      </c>
      <c r="F770" s="74"/>
      <c r="G770" s="74">
        <v>1</v>
      </c>
      <c r="H770" s="74"/>
      <c r="I770" s="63">
        <v>1</v>
      </c>
      <c r="J770" t="b">
        <f t="shared" si="88"/>
        <v>1</v>
      </c>
      <c r="K770" t="b">
        <f t="shared" si="89"/>
        <v>1</v>
      </c>
      <c r="M770" t="str">
        <f t="shared" si="90"/>
        <v> Peter Regin</v>
      </c>
      <c r="N770" t="str">
        <f t="shared" si="91"/>
        <v>CHI</v>
      </c>
      <c r="O770">
        <f t="shared" si="92"/>
        <v>1</v>
      </c>
      <c r="P770">
        <f>IF(M770="","",VLOOKUP(B770,'Team Stats'!$B$3:$K$18,5,0))</f>
        <v>601</v>
      </c>
      <c r="Q770">
        <f t="shared" si="93"/>
        <v>1.6638935108153079E-3</v>
      </c>
      <c r="R770">
        <f ca="1">IF(M770="","",VLOOKUP(N770,Sim!$EF$46:$EG$61,2,0))</f>
        <v>9.14</v>
      </c>
      <c r="S770">
        <f ca="1">IF(M770="","",VLOOKUP(N770,'Team Stats'!$B$3:$K$18,10,0))</f>
        <v>66.989512195121961</v>
      </c>
      <c r="T770" s="84">
        <f t="shared" ca="1" si="94"/>
        <v>0.11146341463414636</v>
      </c>
      <c r="U770">
        <f t="shared" ca="1" si="95"/>
        <v>280</v>
      </c>
    </row>
    <row r="771" spans="1:21" ht="30">
      <c r="A771" s="73" t="s">
        <v>1095</v>
      </c>
      <c r="B771" s="73" t="s">
        <v>202</v>
      </c>
      <c r="C771" s="74">
        <v>18</v>
      </c>
      <c r="D771" s="74"/>
      <c r="E771" s="74">
        <v>0</v>
      </c>
      <c r="F771" s="74"/>
      <c r="G771" s="74">
        <v>1</v>
      </c>
      <c r="H771" s="74"/>
      <c r="I771" s="63">
        <v>1</v>
      </c>
      <c r="J771" t="b">
        <f t="shared" si="88"/>
        <v>1</v>
      </c>
      <c r="K771" t="b">
        <f t="shared" si="89"/>
        <v>1</v>
      </c>
      <c r="M771" t="str">
        <f t="shared" si="90"/>
        <v> Trevor van Riemsdyk</v>
      </c>
      <c r="N771" t="str">
        <f t="shared" si="91"/>
        <v>CHI</v>
      </c>
      <c r="O771">
        <f t="shared" si="92"/>
        <v>1</v>
      </c>
      <c r="P771">
        <f>IF(M771="","",VLOOKUP(B771,'Team Stats'!$B$3:$K$18,5,0))</f>
        <v>601</v>
      </c>
      <c r="Q771">
        <f t="shared" si="93"/>
        <v>1.6638935108153079E-3</v>
      </c>
      <c r="R771">
        <f ca="1">IF(M771="","",VLOOKUP(N771,Sim!$EF$46:$EG$61,2,0))</f>
        <v>9.14</v>
      </c>
      <c r="S771">
        <f ca="1">IF(M771="","",VLOOKUP(N771,'Team Stats'!$B$3:$K$18,10,0))</f>
        <v>66.989512195121961</v>
      </c>
      <c r="T771" s="84">
        <f t="shared" ca="1" si="94"/>
        <v>0.11146341463414636</v>
      </c>
      <c r="U771">
        <f t="shared" ca="1" si="95"/>
        <v>280</v>
      </c>
    </row>
    <row r="772" spans="1:21">
      <c r="A772" s="73" t="s">
        <v>1096</v>
      </c>
      <c r="B772" s="73" t="s">
        <v>210</v>
      </c>
      <c r="C772" s="74">
        <v>38</v>
      </c>
      <c r="D772" s="74"/>
      <c r="E772" s="74">
        <v>1</v>
      </c>
      <c r="F772" s="74"/>
      <c r="G772" s="74">
        <v>0</v>
      </c>
      <c r="H772" s="74"/>
      <c r="I772" s="63">
        <v>1</v>
      </c>
      <c r="J772" t="b">
        <f t="shared" ref="J772:J835" si="96">OR(B772="MTL",B772="OTT",B772="TBL",B772="DET",B772="WSH",B772="NYI",B772="NYR",B772="PIT",B772="STL",B772="MIN",B772="NSH",B772="CHI",B772="VAN",B772="CAL",B772="ANA",B772="WPG")</f>
        <v>1</v>
      </c>
      <c r="K772" t="b">
        <f t="shared" ref="K772:K835" si="97">J772</f>
        <v>1</v>
      </c>
      <c r="M772" t="str">
        <f t="shared" ref="M772:M835" si="98">IF(K772=FALSE,"",A772)</f>
        <v> T.J. Galiardi</v>
      </c>
      <c r="N772" t="str">
        <f t="shared" ref="N772:N835" si="99">IF(M772="","",B772)</f>
        <v>WPG</v>
      </c>
      <c r="O772">
        <f t="shared" ref="O772:O835" si="100">IF(M772="","",I772)</f>
        <v>1</v>
      </c>
      <c r="P772">
        <f>IF(M772="","",VLOOKUP(B772,'Team Stats'!$B$3:$K$18,5,0))</f>
        <v>594</v>
      </c>
      <c r="Q772">
        <f t="shared" ref="Q772:Q835" si="101">IF(N772="","",IF(O772=0,0,O772/P772))</f>
        <v>1.6835016835016834E-3</v>
      </c>
      <c r="R772">
        <f ca="1">IF(M772="","",VLOOKUP(N772,Sim!$EF$46:$EG$61,2,0))</f>
        <v>8.94</v>
      </c>
      <c r="S772">
        <f ca="1">IF(M772="","",VLOOKUP(N772,'Team Stats'!$B$3:$K$18,10,0))</f>
        <v>64.760487804878053</v>
      </c>
      <c r="T772" s="84">
        <f t="shared" ref="T772:T835" ca="1" si="102">IF(M772="","",IF(O772=0,0,Q772*S772))</f>
        <v>0.10902439024390244</v>
      </c>
      <c r="U772">
        <f t="shared" ref="U772:U835" ca="1" si="103">IF(M772="","",RANK(T772,$T$3:$T$884,0))</f>
        <v>283</v>
      </c>
    </row>
    <row r="773" spans="1:21">
      <c r="A773" s="73" t="s">
        <v>1097</v>
      </c>
      <c r="B773" s="73" t="s">
        <v>340</v>
      </c>
      <c r="C773" s="74">
        <v>2</v>
      </c>
      <c r="D773" s="74"/>
      <c r="E773" s="74">
        <v>1</v>
      </c>
      <c r="F773" s="74"/>
      <c r="G773" s="74">
        <v>0</v>
      </c>
      <c r="H773" s="74"/>
      <c r="I773" s="63">
        <v>1</v>
      </c>
      <c r="J773" t="b">
        <f t="shared" si="96"/>
        <v>0</v>
      </c>
      <c r="K773" t="b">
        <f t="shared" si="97"/>
        <v>0</v>
      </c>
      <c r="M773" t="str">
        <f t="shared" si="98"/>
        <v/>
      </c>
      <c r="N773" t="str">
        <f t="shared" si="99"/>
        <v/>
      </c>
      <c r="O773" t="str">
        <f t="shared" si="100"/>
        <v/>
      </c>
      <c r="P773" t="str">
        <f>IF(M773="","",VLOOKUP(B773,'Team Stats'!$B$3:$K$18,5,0))</f>
        <v/>
      </c>
      <c r="Q773" t="str">
        <f t="shared" si="101"/>
        <v/>
      </c>
      <c r="R773" t="str">
        <f>IF(M773="","",VLOOKUP(N773,Sim!$EF$46:$EG$61,2,0))</f>
        <v/>
      </c>
      <c r="S773" t="str">
        <f>IF(M773="","",VLOOKUP(N773,'Team Stats'!$B$3:$K$18,10,0))</f>
        <v/>
      </c>
      <c r="T773" s="84" t="str">
        <f t="shared" si="102"/>
        <v/>
      </c>
      <c r="U773" t="str">
        <f t="shared" si="103"/>
        <v/>
      </c>
    </row>
    <row r="774" spans="1:21">
      <c r="A774" s="73" t="s">
        <v>1098</v>
      </c>
      <c r="B774" s="73" t="s">
        <v>215</v>
      </c>
      <c r="C774" s="74">
        <v>6</v>
      </c>
      <c r="D774" s="74"/>
      <c r="E774" s="74">
        <v>0</v>
      </c>
      <c r="F774" s="74"/>
      <c r="G774" s="74">
        <v>1</v>
      </c>
      <c r="H774" s="74"/>
      <c r="I774" s="63">
        <v>1</v>
      </c>
      <c r="J774" t="b">
        <f t="shared" si="96"/>
        <v>0</v>
      </c>
      <c r="K774" t="b">
        <f t="shared" si="97"/>
        <v>0</v>
      </c>
      <c r="M774" t="str">
        <f t="shared" si="98"/>
        <v/>
      </c>
      <c r="N774" t="str">
        <f t="shared" si="99"/>
        <v/>
      </c>
      <c r="O774" t="str">
        <f t="shared" si="100"/>
        <v/>
      </c>
      <c r="P774" t="str">
        <f>IF(M774="","",VLOOKUP(B774,'Team Stats'!$B$3:$K$18,5,0))</f>
        <v/>
      </c>
      <c r="Q774" t="str">
        <f t="shared" si="101"/>
        <v/>
      </c>
      <c r="R774" t="str">
        <f>IF(M774="","",VLOOKUP(N774,Sim!$EF$46:$EG$61,2,0))</f>
        <v/>
      </c>
      <c r="S774" t="str">
        <f>IF(M774="","",VLOOKUP(N774,'Team Stats'!$B$3:$K$18,10,0))</f>
        <v/>
      </c>
      <c r="T774" s="84" t="str">
        <f t="shared" si="102"/>
        <v/>
      </c>
      <c r="U774" t="str">
        <f t="shared" si="103"/>
        <v/>
      </c>
    </row>
    <row r="775" spans="1:21">
      <c r="A775" s="73" t="s">
        <v>1099</v>
      </c>
      <c r="B775" s="73" t="s">
        <v>203</v>
      </c>
      <c r="C775" s="74">
        <v>7</v>
      </c>
      <c r="D775" s="74"/>
      <c r="E775" s="74">
        <v>0</v>
      </c>
      <c r="F775" s="74"/>
      <c r="G775" s="74">
        <v>1</v>
      </c>
      <c r="H775" s="74"/>
      <c r="I775" s="63">
        <v>1</v>
      </c>
      <c r="J775" t="b">
        <f t="shared" si="96"/>
        <v>1</v>
      </c>
      <c r="K775" t="b">
        <f t="shared" si="97"/>
        <v>1</v>
      </c>
      <c r="M775" t="str">
        <f t="shared" si="98"/>
        <v> Michael Kostka</v>
      </c>
      <c r="N775" t="str">
        <f t="shared" si="99"/>
        <v>NYR</v>
      </c>
      <c r="O775">
        <f t="shared" si="100"/>
        <v>1</v>
      </c>
      <c r="P775">
        <f>IF(M775="","",VLOOKUP(B775,'Team Stats'!$B$3:$K$18,5,0))</f>
        <v>659</v>
      </c>
      <c r="Q775">
        <f t="shared" si="101"/>
        <v>1.5174506828528073E-3</v>
      </c>
      <c r="R775">
        <f ca="1">IF(M775="","",VLOOKUP(N775,Sim!$EF$46:$EG$61,2,0))</f>
        <v>8.7200000000000006</v>
      </c>
      <c r="S775">
        <f ca="1">IF(M775="","",VLOOKUP(N775,'Team Stats'!$B$3:$K$18,10,0))</f>
        <v>70.079024390243916</v>
      </c>
      <c r="T775" s="84">
        <f t="shared" ca="1" si="102"/>
        <v>0.10634146341463417</v>
      </c>
      <c r="U775">
        <f t="shared" ca="1" si="103"/>
        <v>287</v>
      </c>
    </row>
    <row r="776" spans="1:21">
      <c r="A776" s="73" t="s">
        <v>1100</v>
      </c>
      <c r="B776" s="73" t="s">
        <v>206</v>
      </c>
      <c r="C776" s="74">
        <v>7</v>
      </c>
      <c r="D776" s="74"/>
      <c r="E776" s="74">
        <v>1</v>
      </c>
      <c r="F776" s="74"/>
      <c r="G776" s="74">
        <v>0</v>
      </c>
      <c r="H776" s="74"/>
      <c r="I776" s="63">
        <v>1</v>
      </c>
      <c r="J776" t="b">
        <f t="shared" si="96"/>
        <v>1</v>
      </c>
      <c r="K776" t="b">
        <f t="shared" si="97"/>
        <v>1</v>
      </c>
      <c r="M776" t="str">
        <f t="shared" si="98"/>
        <v> Alex Biega</v>
      </c>
      <c r="N776" t="str">
        <f t="shared" si="99"/>
        <v>VAN</v>
      </c>
      <c r="O776">
        <f t="shared" si="100"/>
        <v>1</v>
      </c>
      <c r="P776">
        <f>IF(M776="","",VLOOKUP(B776,'Team Stats'!$B$3:$K$18,5,0))</f>
        <v>642</v>
      </c>
      <c r="Q776">
        <f t="shared" si="101"/>
        <v>1.557632398753894E-3</v>
      </c>
      <c r="R776">
        <f ca="1">IF(M776="","",VLOOKUP(N776,Sim!$EF$46:$EG$61,2,0))</f>
        <v>10.35</v>
      </c>
      <c r="S776">
        <f ca="1">IF(M776="","",VLOOKUP(N776,'Team Stats'!$B$3:$K$18,10,0))</f>
        <v>81.032926829268291</v>
      </c>
      <c r="T776" s="84">
        <f t="shared" ca="1" si="102"/>
        <v>0.12621951219512195</v>
      </c>
      <c r="U776">
        <f t="shared" ca="1" si="103"/>
        <v>274</v>
      </c>
    </row>
    <row r="777" spans="1:21">
      <c r="A777" s="73" t="s">
        <v>1101</v>
      </c>
      <c r="B777" s="73" t="s">
        <v>219</v>
      </c>
      <c r="C777" s="74">
        <v>7</v>
      </c>
      <c r="D777" s="74"/>
      <c r="E777" s="74">
        <v>1</v>
      </c>
      <c r="F777" s="74"/>
      <c r="G777" s="74">
        <v>0</v>
      </c>
      <c r="H777" s="74"/>
      <c r="I777" s="63">
        <v>1</v>
      </c>
      <c r="J777" t="b">
        <f t="shared" si="96"/>
        <v>0</v>
      </c>
      <c r="K777" t="b">
        <f t="shared" si="97"/>
        <v>0</v>
      </c>
      <c r="M777" t="str">
        <f t="shared" si="98"/>
        <v/>
      </c>
      <c r="N777" t="str">
        <f t="shared" si="99"/>
        <v/>
      </c>
      <c r="O777" t="str">
        <f t="shared" si="100"/>
        <v/>
      </c>
      <c r="P777" t="str">
        <f>IF(M777="","",VLOOKUP(B777,'Team Stats'!$B$3:$K$18,5,0))</f>
        <v/>
      </c>
      <c r="Q777" t="str">
        <f t="shared" si="101"/>
        <v/>
      </c>
      <c r="R777" t="str">
        <f>IF(M777="","",VLOOKUP(N777,Sim!$EF$46:$EG$61,2,0))</f>
        <v/>
      </c>
      <c r="S777" t="str">
        <f>IF(M777="","",VLOOKUP(N777,'Team Stats'!$B$3:$K$18,10,0))</f>
        <v/>
      </c>
      <c r="T777" s="84" t="str">
        <f t="shared" si="102"/>
        <v/>
      </c>
      <c r="U777" t="str">
        <f t="shared" si="103"/>
        <v/>
      </c>
    </row>
    <row r="778" spans="1:21">
      <c r="A778" s="73" t="s">
        <v>1102</v>
      </c>
      <c r="B778" s="73" t="s">
        <v>217</v>
      </c>
      <c r="C778" s="74">
        <v>2</v>
      </c>
      <c r="D778" s="74"/>
      <c r="E778" s="74">
        <v>0</v>
      </c>
      <c r="F778" s="74"/>
      <c r="G778" s="74">
        <v>0</v>
      </c>
      <c r="H778" s="74"/>
      <c r="I778" s="63">
        <v>0</v>
      </c>
      <c r="J778" t="b">
        <f t="shared" si="96"/>
        <v>0</v>
      </c>
      <c r="K778" t="b">
        <f t="shared" si="97"/>
        <v>0</v>
      </c>
      <c r="M778" t="str">
        <f t="shared" si="98"/>
        <v/>
      </c>
      <c r="N778" t="str">
        <f t="shared" si="99"/>
        <v/>
      </c>
      <c r="O778" t="str">
        <f t="shared" si="100"/>
        <v/>
      </c>
      <c r="P778" t="str">
        <f>IF(M778="","",VLOOKUP(B778,'Team Stats'!$B$3:$K$18,5,0))</f>
        <v/>
      </c>
      <c r="Q778" t="str">
        <f t="shared" si="101"/>
        <v/>
      </c>
      <c r="R778" t="str">
        <f>IF(M778="","",VLOOKUP(N778,Sim!$EF$46:$EG$61,2,0))</f>
        <v/>
      </c>
      <c r="S778" t="str">
        <f>IF(M778="","",VLOOKUP(N778,'Team Stats'!$B$3:$K$18,10,0))</f>
        <v/>
      </c>
      <c r="T778" s="84" t="str">
        <f t="shared" si="102"/>
        <v/>
      </c>
      <c r="U778" t="str">
        <f t="shared" si="103"/>
        <v/>
      </c>
    </row>
    <row r="779" spans="1:21">
      <c r="A779" s="73" t="s">
        <v>1103</v>
      </c>
      <c r="B779" s="73" t="s">
        <v>206</v>
      </c>
      <c r="C779" s="74">
        <v>3</v>
      </c>
      <c r="D779" s="74"/>
      <c r="E779" s="74">
        <v>0</v>
      </c>
      <c r="F779" s="74"/>
      <c r="G779" s="74">
        <v>0</v>
      </c>
      <c r="H779" s="74"/>
      <c r="I779" s="63">
        <v>0</v>
      </c>
      <c r="J779" t="b">
        <f t="shared" si="96"/>
        <v>1</v>
      </c>
      <c r="K779" t="b">
        <f t="shared" si="97"/>
        <v>1</v>
      </c>
      <c r="M779" t="str">
        <f t="shared" si="98"/>
        <v> Will Acton</v>
      </c>
      <c r="N779" t="str">
        <f t="shared" si="99"/>
        <v>VAN</v>
      </c>
      <c r="O779">
        <f t="shared" si="100"/>
        <v>0</v>
      </c>
      <c r="P779">
        <f>IF(M779="","",VLOOKUP(B779,'Team Stats'!$B$3:$K$18,5,0))</f>
        <v>642</v>
      </c>
      <c r="Q779">
        <f t="shared" si="101"/>
        <v>0</v>
      </c>
      <c r="R779">
        <f ca="1">IF(M779="","",VLOOKUP(N779,Sim!$EF$46:$EG$61,2,0))</f>
        <v>10.35</v>
      </c>
      <c r="S779">
        <f ca="1">IF(M779="","",VLOOKUP(N779,'Team Stats'!$B$3:$K$18,10,0))</f>
        <v>81.032926829268291</v>
      </c>
      <c r="T779" s="84">
        <f t="shared" si="102"/>
        <v>0</v>
      </c>
      <c r="U779">
        <f t="shared" ca="1" si="103"/>
        <v>288</v>
      </c>
    </row>
    <row r="780" spans="1:21">
      <c r="A780" s="73" t="s">
        <v>1104</v>
      </c>
      <c r="B780" s="73" t="s">
        <v>198</v>
      </c>
      <c r="C780" s="74">
        <v>11</v>
      </c>
      <c r="D780" s="74"/>
      <c r="E780" s="74">
        <v>0</v>
      </c>
      <c r="F780" s="74"/>
      <c r="G780" s="74">
        <v>0</v>
      </c>
      <c r="H780" s="74"/>
      <c r="I780" s="63">
        <v>0</v>
      </c>
      <c r="J780" t="b">
        <f t="shared" si="96"/>
        <v>1</v>
      </c>
      <c r="K780" t="b">
        <f t="shared" si="97"/>
        <v>1</v>
      </c>
      <c r="M780" t="str">
        <f t="shared" si="98"/>
        <v> Bobby Farnham</v>
      </c>
      <c r="N780" t="str">
        <f t="shared" si="99"/>
        <v>PIT</v>
      </c>
      <c r="O780">
        <f t="shared" si="100"/>
        <v>0</v>
      </c>
      <c r="P780">
        <f>IF(M780="","",VLOOKUP(B780,'Team Stats'!$B$3:$K$18,5,0))</f>
        <v>600</v>
      </c>
      <c r="Q780">
        <f t="shared" si="101"/>
        <v>0</v>
      </c>
      <c r="R780">
        <f ca="1">IF(M780="","",VLOOKUP(N780,Sim!$EF$46:$EG$61,2,0))</f>
        <v>9.74</v>
      </c>
      <c r="S780">
        <f ca="1">IF(M780="","",VLOOKUP(N780,'Team Stats'!$B$3:$K$18,10,0))</f>
        <v>71.268292682926827</v>
      </c>
      <c r="T780" s="84">
        <f t="shared" si="102"/>
        <v>0</v>
      </c>
      <c r="U780">
        <f t="shared" ca="1" si="103"/>
        <v>288</v>
      </c>
    </row>
    <row r="781" spans="1:21">
      <c r="A781" s="73" t="s">
        <v>1105</v>
      </c>
      <c r="B781" s="73" t="s">
        <v>220</v>
      </c>
      <c r="C781" s="74">
        <v>1</v>
      </c>
      <c r="D781" s="74"/>
      <c r="E781" s="74">
        <v>0</v>
      </c>
      <c r="F781" s="74"/>
      <c r="G781" s="74">
        <v>0</v>
      </c>
      <c r="H781" s="74"/>
      <c r="I781" s="63">
        <v>0</v>
      </c>
      <c r="J781" t="b">
        <f t="shared" si="96"/>
        <v>0</v>
      </c>
      <c r="K781" t="b">
        <f t="shared" si="97"/>
        <v>0</v>
      </c>
      <c r="M781" t="str">
        <f t="shared" si="98"/>
        <v/>
      </c>
      <c r="N781" t="str">
        <f t="shared" si="99"/>
        <v/>
      </c>
      <c r="O781" t="str">
        <f t="shared" si="100"/>
        <v/>
      </c>
      <c r="P781" t="str">
        <f>IF(M781="","",VLOOKUP(B781,'Team Stats'!$B$3:$K$18,5,0))</f>
        <v/>
      </c>
      <c r="Q781" t="str">
        <f t="shared" si="101"/>
        <v/>
      </c>
      <c r="R781" t="str">
        <f>IF(M781="","",VLOOKUP(N781,Sim!$EF$46:$EG$61,2,0))</f>
        <v/>
      </c>
      <c r="S781" t="str">
        <f>IF(M781="","",VLOOKUP(N781,'Team Stats'!$B$3:$K$18,10,0))</f>
        <v/>
      </c>
      <c r="T781" s="84" t="str">
        <f t="shared" si="102"/>
        <v/>
      </c>
      <c r="U781" t="str">
        <f t="shared" si="103"/>
        <v/>
      </c>
    </row>
    <row r="782" spans="1:21">
      <c r="A782" s="73" t="s">
        <v>1106</v>
      </c>
      <c r="B782" s="73" t="s">
        <v>202</v>
      </c>
      <c r="C782" s="74">
        <v>3</v>
      </c>
      <c r="D782" s="74"/>
      <c r="E782" s="74">
        <v>0</v>
      </c>
      <c r="F782" s="74"/>
      <c r="G782" s="74">
        <v>0</v>
      </c>
      <c r="H782" s="74"/>
      <c r="I782" s="63">
        <v>0</v>
      </c>
      <c r="J782" t="b">
        <f t="shared" si="96"/>
        <v>1</v>
      </c>
      <c r="K782" t="b">
        <f t="shared" si="97"/>
        <v>1</v>
      </c>
      <c r="M782" t="str">
        <f t="shared" si="98"/>
        <v> Kyle Baun</v>
      </c>
      <c r="N782" t="str">
        <f t="shared" si="99"/>
        <v>CHI</v>
      </c>
      <c r="O782">
        <f t="shared" si="100"/>
        <v>0</v>
      </c>
      <c r="P782">
        <f>IF(M782="","",VLOOKUP(B782,'Team Stats'!$B$3:$K$18,5,0))</f>
        <v>601</v>
      </c>
      <c r="Q782">
        <f t="shared" si="101"/>
        <v>0</v>
      </c>
      <c r="R782">
        <f ca="1">IF(M782="","",VLOOKUP(N782,Sim!$EF$46:$EG$61,2,0))</f>
        <v>9.14</v>
      </c>
      <c r="S782">
        <f ca="1">IF(M782="","",VLOOKUP(N782,'Team Stats'!$B$3:$K$18,10,0))</f>
        <v>66.989512195121961</v>
      </c>
      <c r="T782" s="84">
        <f t="shared" si="102"/>
        <v>0</v>
      </c>
      <c r="U782">
        <f t="shared" ca="1" si="103"/>
        <v>288</v>
      </c>
    </row>
    <row r="783" spans="1:21">
      <c r="A783" s="73" t="s">
        <v>1107</v>
      </c>
      <c r="B783" s="73" t="s">
        <v>222</v>
      </c>
      <c r="C783" s="74">
        <v>4</v>
      </c>
      <c r="D783" s="74"/>
      <c r="E783" s="74">
        <v>0</v>
      </c>
      <c r="F783" s="74"/>
      <c r="G783" s="74">
        <v>0</v>
      </c>
      <c r="H783" s="74"/>
      <c r="I783" s="63">
        <v>0</v>
      </c>
      <c r="J783" t="b">
        <f t="shared" si="96"/>
        <v>0</v>
      </c>
      <c r="K783" t="b">
        <f t="shared" si="97"/>
        <v>0</v>
      </c>
      <c r="M783" t="str">
        <f t="shared" si="98"/>
        <v/>
      </c>
      <c r="N783" t="str">
        <f t="shared" si="99"/>
        <v/>
      </c>
      <c r="O783" t="str">
        <f t="shared" si="100"/>
        <v/>
      </c>
      <c r="P783" t="str">
        <f>IF(M783="","",VLOOKUP(B783,'Team Stats'!$B$3:$K$18,5,0))</f>
        <v/>
      </c>
      <c r="Q783" t="str">
        <f t="shared" si="101"/>
        <v/>
      </c>
      <c r="R783" t="str">
        <f>IF(M783="","",VLOOKUP(N783,Sim!$EF$46:$EG$61,2,0))</f>
        <v/>
      </c>
      <c r="S783" t="str">
        <f>IF(M783="","",VLOOKUP(N783,'Team Stats'!$B$3:$K$18,10,0))</f>
        <v/>
      </c>
      <c r="T783" s="84" t="str">
        <f t="shared" si="102"/>
        <v/>
      </c>
      <c r="U783" t="str">
        <f t="shared" si="103"/>
        <v/>
      </c>
    </row>
    <row r="784" spans="1:21">
      <c r="A784" s="73" t="s">
        <v>1108</v>
      </c>
      <c r="B784" s="73" t="s">
        <v>365</v>
      </c>
      <c r="C784" s="74">
        <v>6</v>
      </c>
      <c r="D784" s="74"/>
      <c r="E784" s="74">
        <v>0</v>
      </c>
      <c r="F784" s="74"/>
      <c r="G784" s="74">
        <v>0</v>
      </c>
      <c r="H784" s="74"/>
      <c r="I784" s="63">
        <v>0</v>
      </c>
      <c r="J784" t="b">
        <f t="shared" si="96"/>
        <v>0</v>
      </c>
      <c r="K784" t="b">
        <f t="shared" si="97"/>
        <v>0</v>
      </c>
      <c r="M784" t="str">
        <f t="shared" si="98"/>
        <v/>
      </c>
      <c r="N784" t="str">
        <f t="shared" si="99"/>
        <v/>
      </c>
      <c r="O784" t="str">
        <f t="shared" si="100"/>
        <v/>
      </c>
      <c r="P784" t="str">
        <f>IF(M784="","",VLOOKUP(B784,'Team Stats'!$B$3:$K$18,5,0))</f>
        <v/>
      </c>
      <c r="Q784" t="str">
        <f t="shared" si="101"/>
        <v/>
      </c>
      <c r="R784" t="str">
        <f>IF(M784="","",VLOOKUP(N784,Sim!$EF$46:$EG$61,2,0))</f>
        <v/>
      </c>
      <c r="S784" t="str">
        <f>IF(M784="","",VLOOKUP(N784,'Team Stats'!$B$3:$K$18,10,0))</f>
        <v/>
      </c>
      <c r="T784" s="84" t="str">
        <f t="shared" si="102"/>
        <v/>
      </c>
      <c r="U784" t="str">
        <f t="shared" si="103"/>
        <v/>
      </c>
    </row>
    <row r="785" spans="1:21">
      <c r="A785" s="73" t="s">
        <v>1109</v>
      </c>
      <c r="B785" s="73" t="s">
        <v>340</v>
      </c>
      <c r="C785" s="74">
        <v>10</v>
      </c>
      <c r="D785" s="74"/>
      <c r="E785" s="74">
        <v>0</v>
      </c>
      <c r="F785" s="74"/>
      <c r="G785" s="74">
        <v>0</v>
      </c>
      <c r="H785" s="74"/>
      <c r="I785" s="63">
        <v>0</v>
      </c>
      <c r="J785" t="b">
        <f t="shared" si="96"/>
        <v>0</v>
      </c>
      <c r="K785" t="b">
        <f t="shared" si="97"/>
        <v>0</v>
      </c>
      <c r="M785" t="str">
        <f t="shared" si="98"/>
        <v/>
      </c>
      <c r="N785" t="str">
        <f t="shared" si="99"/>
        <v/>
      </c>
      <c r="O785" t="str">
        <f t="shared" si="100"/>
        <v/>
      </c>
      <c r="P785" t="str">
        <f>IF(M785="","",VLOOKUP(B785,'Team Stats'!$B$3:$K$18,5,0))</f>
        <v/>
      </c>
      <c r="Q785" t="str">
        <f t="shared" si="101"/>
        <v/>
      </c>
      <c r="R785" t="str">
        <f>IF(M785="","",VLOOKUP(N785,Sim!$EF$46:$EG$61,2,0))</f>
        <v/>
      </c>
      <c r="S785" t="str">
        <f>IF(M785="","",VLOOKUP(N785,'Team Stats'!$B$3:$K$18,10,0))</f>
        <v/>
      </c>
      <c r="T785" s="84" t="str">
        <f t="shared" si="102"/>
        <v/>
      </c>
      <c r="U785" t="str">
        <f t="shared" si="103"/>
        <v/>
      </c>
    </row>
    <row r="786" spans="1:21">
      <c r="A786" s="73" t="s">
        <v>1110</v>
      </c>
      <c r="B786" s="73" t="s">
        <v>219</v>
      </c>
      <c r="C786" s="74">
        <v>2</v>
      </c>
      <c r="D786" s="74"/>
      <c r="E786" s="74">
        <v>0</v>
      </c>
      <c r="F786" s="74"/>
      <c r="G786" s="74">
        <v>0</v>
      </c>
      <c r="H786" s="74"/>
      <c r="I786" s="63">
        <v>0</v>
      </c>
      <c r="J786" t="b">
        <f t="shared" si="96"/>
        <v>0</v>
      </c>
      <c r="K786" t="b">
        <f t="shared" si="97"/>
        <v>0</v>
      </c>
      <c r="M786" t="str">
        <f t="shared" si="98"/>
        <v/>
      </c>
      <c r="N786" t="str">
        <f t="shared" si="99"/>
        <v/>
      </c>
      <c r="O786" t="str">
        <f t="shared" si="100"/>
        <v/>
      </c>
      <c r="P786" t="str">
        <f>IF(M786="","",VLOOKUP(B786,'Team Stats'!$B$3:$K$18,5,0))</f>
        <v/>
      </c>
      <c r="Q786" t="str">
        <f t="shared" si="101"/>
        <v/>
      </c>
      <c r="R786" t="str">
        <f>IF(M786="","",VLOOKUP(N786,Sim!$EF$46:$EG$61,2,0))</f>
        <v/>
      </c>
      <c r="S786" t="str">
        <f>IF(M786="","",VLOOKUP(N786,'Team Stats'!$B$3:$K$18,10,0))</f>
        <v/>
      </c>
      <c r="T786" s="84" t="str">
        <f t="shared" si="102"/>
        <v/>
      </c>
      <c r="U786" t="str">
        <f t="shared" si="103"/>
        <v/>
      </c>
    </row>
    <row r="787" spans="1:21">
      <c r="A787" s="73" t="s">
        <v>1111</v>
      </c>
      <c r="B787" s="73" t="s">
        <v>213</v>
      </c>
      <c r="C787" s="74">
        <v>5</v>
      </c>
      <c r="D787" s="74"/>
      <c r="E787" s="74">
        <v>0</v>
      </c>
      <c r="F787" s="74"/>
      <c r="G787" s="74">
        <v>0</v>
      </c>
      <c r="H787" s="74"/>
      <c r="I787" s="63">
        <v>0</v>
      </c>
      <c r="J787" t="b">
        <f t="shared" si="96"/>
        <v>0</v>
      </c>
      <c r="K787" t="b">
        <f t="shared" si="97"/>
        <v>0</v>
      </c>
      <c r="M787" t="str">
        <f t="shared" si="98"/>
        <v/>
      </c>
      <c r="N787" t="str">
        <f t="shared" si="99"/>
        <v/>
      </c>
      <c r="O787" t="str">
        <f t="shared" si="100"/>
        <v/>
      </c>
      <c r="P787" t="str">
        <f>IF(M787="","",VLOOKUP(B787,'Team Stats'!$B$3:$K$18,5,0))</f>
        <v/>
      </c>
      <c r="Q787" t="str">
        <f t="shared" si="101"/>
        <v/>
      </c>
      <c r="R787" t="str">
        <f>IF(M787="","",VLOOKUP(N787,Sim!$EF$46:$EG$61,2,0))</f>
        <v/>
      </c>
      <c r="S787" t="str">
        <f>IF(M787="","",VLOOKUP(N787,'Team Stats'!$B$3:$K$18,10,0))</f>
        <v/>
      </c>
      <c r="T787" s="84" t="str">
        <f t="shared" si="102"/>
        <v/>
      </c>
      <c r="U787" t="str">
        <f t="shared" si="103"/>
        <v/>
      </c>
    </row>
    <row r="788" spans="1:21">
      <c r="A788" s="73" t="s">
        <v>1112</v>
      </c>
      <c r="B788" s="73" t="s">
        <v>222</v>
      </c>
      <c r="C788" s="74">
        <v>2</v>
      </c>
      <c r="D788" s="74"/>
      <c r="E788" s="74">
        <v>0</v>
      </c>
      <c r="F788" s="74"/>
      <c r="G788" s="74">
        <v>0</v>
      </c>
      <c r="H788" s="74"/>
      <c r="I788" s="63">
        <v>0</v>
      </c>
      <c r="J788" t="b">
        <f t="shared" si="96"/>
        <v>0</v>
      </c>
      <c r="K788" t="b">
        <f t="shared" si="97"/>
        <v>0</v>
      </c>
      <c r="M788" t="str">
        <f t="shared" si="98"/>
        <v/>
      </c>
      <c r="N788" t="str">
        <f t="shared" si="99"/>
        <v/>
      </c>
      <c r="O788" t="str">
        <f t="shared" si="100"/>
        <v/>
      </c>
      <c r="P788" t="str">
        <f>IF(M788="","",VLOOKUP(B788,'Team Stats'!$B$3:$K$18,5,0))</f>
        <v/>
      </c>
      <c r="Q788" t="str">
        <f t="shared" si="101"/>
        <v/>
      </c>
      <c r="R788" t="str">
        <f>IF(M788="","",VLOOKUP(N788,Sim!$EF$46:$EG$61,2,0))</f>
        <v/>
      </c>
      <c r="S788" t="str">
        <f>IF(M788="","",VLOOKUP(N788,'Team Stats'!$B$3:$K$18,10,0))</f>
        <v/>
      </c>
      <c r="T788" s="84" t="str">
        <f t="shared" si="102"/>
        <v/>
      </c>
      <c r="U788" t="str">
        <f t="shared" si="103"/>
        <v/>
      </c>
    </row>
    <row r="789" spans="1:21">
      <c r="A789" s="73" t="s">
        <v>1113</v>
      </c>
      <c r="B789" s="73" t="s">
        <v>204</v>
      </c>
      <c r="C789" s="74">
        <v>1</v>
      </c>
      <c r="D789" s="74"/>
      <c r="E789" s="74">
        <v>0</v>
      </c>
      <c r="F789" s="74"/>
      <c r="G789" s="74">
        <v>0</v>
      </c>
      <c r="H789" s="74"/>
      <c r="I789" s="63">
        <v>0</v>
      </c>
      <c r="J789" t="b">
        <f t="shared" si="96"/>
        <v>0</v>
      </c>
      <c r="K789" t="b">
        <f t="shared" si="97"/>
        <v>0</v>
      </c>
      <c r="M789" t="str">
        <f t="shared" si="98"/>
        <v/>
      </c>
      <c r="N789" t="str">
        <f t="shared" si="99"/>
        <v/>
      </c>
      <c r="O789" t="str">
        <f t="shared" si="100"/>
        <v/>
      </c>
      <c r="P789" t="str">
        <f>IF(M789="","",VLOOKUP(B789,'Team Stats'!$B$3:$K$18,5,0))</f>
        <v/>
      </c>
      <c r="Q789" t="str">
        <f t="shared" si="101"/>
        <v/>
      </c>
      <c r="R789" t="str">
        <f>IF(M789="","",VLOOKUP(N789,Sim!$EF$46:$EG$61,2,0))</f>
        <v/>
      </c>
      <c r="S789" t="str">
        <f>IF(M789="","",VLOOKUP(N789,'Team Stats'!$B$3:$K$18,10,0))</f>
        <v/>
      </c>
      <c r="T789" s="84" t="str">
        <f t="shared" si="102"/>
        <v/>
      </c>
      <c r="U789" t="str">
        <f t="shared" si="103"/>
        <v/>
      </c>
    </row>
    <row r="790" spans="1:21">
      <c r="A790" s="73" t="s">
        <v>1114</v>
      </c>
      <c r="B790" s="73" t="s">
        <v>340</v>
      </c>
      <c r="C790" s="74">
        <v>4</v>
      </c>
      <c r="D790" s="74"/>
      <c r="E790" s="74">
        <v>0</v>
      </c>
      <c r="F790" s="74"/>
      <c r="G790" s="74">
        <v>0</v>
      </c>
      <c r="H790" s="74"/>
      <c r="I790" s="63">
        <v>0</v>
      </c>
      <c r="J790" t="b">
        <f t="shared" si="96"/>
        <v>0</v>
      </c>
      <c r="K790" t="b">
        <f t="shared" si="97"/>
        <v>0</v>
      </c>
      <c r="M790" t="str">
        <f t="shared" si="98"/>
        <v/>
      </c>
      <c r="N790" t="str">
        <f t="shared" si="99"/>
        <v/>
      </c>
      <c r="O790" t="str">
        <f t="shared" si="100"/>
        <v/>
      </c>
      <c r="P790" t="str">
        <f>IF(M790="","",VLOOKUP(B790,'Team Stats'!$B$3:$K$18,5,0))</f>
        <v/>
      </c>
      <c r="Q790" t="str">
        <f t="shared" si="101"/>
        <v/>
      </c>
      <c r="R790" t="str">
        <f>IF(M790="","",VLOOKUP(N790,Sim!$EF$46:$EG$61,2,0))</f>
        <v/>
      </c>
      <c r="S790" t="str">
        <f>IF(M790="","",VLOOKUP(N790,'Team Stats'!$B$3:$K$18,10,0))</f>
        <v/>
      </c>
      <c r="T790" s="84" t="str">
        <f t="shared" si="102"/>
        <v/>
      </c>
      <c r="U790" t="str">
        <f t="shared" si="103"/>
        <v/>
      </c>
    </row>
    <row r="791" spans="1:21">
      <c r="A791" s="73" t="s">
        <v>1115</v>
      </c>
      <c r="B791" s="73" t="s">
        <v>219</v>
      </c>
      <c r="C791" s="74">
        <v>6</v>
      </c>
      <c r="D791" s="74"/>
      <c r="E791" s="74">
        <v>0</v>
      </c>
      <c r="F791" s="74"/>
      <c r="G791" s="74">
        <v>0</v>
      </c>
      <c r="H791" s="74"/>
      <c r="I791" s="63">
        <v>0</v>
      </c>
      <c r="J791" t="b">
        <f t="shared" si="96"/>
        <v>0</v>
      </c>
      <c r="K791" t="b">
        <f t="shared" si="97"/>
        <v>0</v>
      </c>
      <c r="M791" t="str">
        <f t="shared" si="98"/>
        <v/>
      </c>
      <c r="N791" t="str">
        <f t="shared" si="99"/>
        <v/>
      </c>
      <c r="O791" t="str">
        <f t="shared" si="100"/>
        <v/>
      </c>
      <c r="P791" t="str">
        <f>IF(M791="","",VLOOKUP(B791,'Team Stats'!$B$3:$K$18,5,0))</f>
        <v/>
      </c>
      <c r="Q791" t="str">
        <f t="shared" si="101"/>
        <v/>
      </c>
      <c r="R791" t="str">
        <f>IF(M791="","",VLOOKUP(N791,Sim!$EF$46:$EG$61,2,0))</f>
        <v/>
      </c>
      <c r="S791" t="str">
        <f>IF(M791="","",VLOOKUP(N791,'Team Stats'!$B$3:$K$18,10,0))</f>
        <v/>
      </c>
      <c r="T791" s="84" t="str">
        <f t="shared" si="102"/>
        <v/>
      </c>
      <c r="U791" t="str">
        <f t="shared" si="103"/>
        <v/>
      </c>
    </row>
    <row r="792" spans="1:21">
      <c r="A792" s="73" t="s">
        <v>1116</v>
      </c>
      <c r="B792" s="73" t="s">
        <v>345</v>
      </c>
      <c r="C792" s="74">
        <v>3</v>
      </c>
      <c r="D792" s="74"/>
      <c r="E792" s="74">
        <v>0</v>
      </c>
      <c r="F792" s="74"/>
      <c r="G792" s="74">
        <v>0</v>
      </c>
      <c r="H792" s="74"/>
      <c r="I792" s="63">
        <v>0</v>
      </c>
      <c r="J792" t="b">
        <f t="shared" si="96"/>
        <v>0</v>
      </c>
      <c r="K792" t="b">
        <f t="shared" si="97"/>
        <v>0</v>
      </c>
      <c r="M792" t="str">
        <f t="shared" si="98"/>
        <v/>
      </c>
      <c r="N792" t="str">
        <f t="shared" si="99"/>
        <v/>
      </c>
      <c r="O792" t="str">
        <f t="shared" si="100"/>
        <v/>
      </c>
      <c r="P792" t="str">
        <f>IF(M792="","",VLOOKUP(B792,'Team Stats'!$B$3:$K$18,5,0))</f>
        <v/>
      </c>
      <c r="Q792" t="str">
        <f t="shared" si="101"/>
        <v/>
      </c>
      <c r="R792" t="str">
        <f>IF(M792="","",VLOOKUP(N792,Sim!$EF$46:$EG$61,2,0))</f>
        <v/>
      </c>
      <c r="S792" t="str">
        <f>IF(M792="","",VLOOKUP(N792,'Team Stats'!$B$3:$K$18,10,0))</f>
        <v/>
      </c>
      <c r="T792" s="84" t="str">
        <f t="shared" si="102"/>
        <v/>
      </c>
      <c r="U792" t="str">
        <f t="shared" si="103"/>
        <v/>
      </c>
    </row>
    <row r="793" spans="1:21">
      <c r="A793" s="73" t="s">
        <v>1117</v>
      </c>
      <c r="B793" s="73" t="s">
        <v>205</v>
      </c>
      <c r="C793" s="74">
        <v>9</v>
      </c>
      <c r="D793" s="74"/>
      <c r="E793" s="74">
        <v>0</v>
      </c>
      <c r="F793" s="74"/>
      <c r="G793" s="74">
        <v>0</v>
      </c>
      <c r="H793" s="74"/>
      <c r="I793" s="63">
        <v>0</v>
      </c>
      <c r="J793" t="b">
        <f t="shared" si="96"/>
        <v>1</v>
      </c>
      <c r="K793" t="b">
        <f t="shared" si="97"/>
        <v>1</v>
      </c>
      <c r="M793" t="str">
        <f t="shared" si="98"/>
        <v> Mark Fistric</v>
      </c>
      <c r="N793" t="str">
        <f t="shared" si="99"/>
        <v>ANA</v>
      </c>
      <c r="O793">
        <f t="shared" si="100"/>
        <v>0</v>
      </c>
      <c r="P793">
        <f>IF(M793="","",VLOOKUP(B793,'Team Stats'!$B$3:$K$18,5,0))</f>
        <v>613</v>
      </c>
      <c r="Q793">
        <f t="shared" si="101"/>
        <v>0</v>
      </c>
      <c r="R793">
        <f ca="1">IF(M793="","",VLOOKUP(N793,Sim!$EF$46:$EG$61,2,0))</f>
        <v>14.85</v>
      </c>
      <c r="S793">
        <f ca="1">IF(M793="","",VLOOKUP(N793,'Team Stats'!$B$3:$K$18,10,0))</f>
        <v>111.01280487804878</v>
      </c>
      <c r="T793" s="84">
        <f t="shared" si="102"/>
        <v>0</v>
      </c>
      <c r="U793">
        <f t="shared" ca="1" si="103"/>
        <v>288</v>
      </c>
    </row>
    <row r="794" spans="1:21">
      <c r="A794" s="73" t="s">
        <v>1118</v>
      </c>
      <c r="B794" s="73" t="s">
        <v>208</v>
      </c>
      <c r="C794" s="74">
        <v>12</v>
      </c>
      <c r="D794" s="74"/>
      <c r="E794" s="74">
        <v>0</v>
      </c>
      <c r="F794" s="74"/>
      <c r="G794" s="74">
        <v>0</v>
      </c>
      <c r="H794" s="74"/>
      <c r="I794" s="63">
        <v>0</v>
      </c>
      <c r="J794" t="b">
        <f t="shared" si="96"/>
        <v>0</v>
      </c>
      <c r="K794" t="b">
        <f t="shared" si="97"/>
        <v>0</v>
      </c>
      <c r="M794" t="str">
        <f t="shared" si="98"/>
        <v/>
      </c>
      <c r="N794" t="str">
        <f t="shared" si="99"/>
        <v/>
      </c>
      <c r="O794" t="str">
        <f t="shared" si="100"/>
        <v/>
      </c>
      <c r="P794" t="str">
        <f>IF(M794="","",VLOOKUP(B794,'Team Stats'!$B$3:$K$18,5,0))</f>
        <v/>
      </c>
      <c r="Q794" t="str">
        <f t="shared" si="101"/>
        <v/>
      </c>
      <c r="R794" t="str">
        <f>IF(M794="","",VLOOKUP(N794,Sim!$EF$46:$EG$61,2,0))</f>
        <v/>
      </c>
      <c r="S794" t="str">
        <f>IF(M794="","",VLOOKUP(N794,'Team Stats'!$B$3:$K$18,10,0))</f>
        <v/>
      </c>
      <c r="T794" s="84" t="str">
        <f t="shared" si="102"/>
        <v/>
      </c>
      <c r="U794" t="str">
        <f t="shared" si="103"/>
        <v/>
      </c>
    </row>
    <row r="795" spans="1:21">
      <c r="A795" s="73" t="s">
        <v>1119</v>
      </c>
      <c r="B795" s="73" t="s">
        <v>325</v>
      </c>
      <c r="C795" s="74">
        <v>2</v>
      </c>
      <c r="D795" s="74"/>
      <c r="E795" s="74">
        <v>0</v>
      </c>
      <c r="F795" s="74"/>
      <c r="G795" s="74">
        <v>0</v>
      </c>
      <c r="H795" s="74"/>
      <c r="I795" s="63">
        <v>0</v>
      </c>
      <c r="J795" t="b">
        <f t="shared" si="96"/>
        <v>0</v>
      </c>
      <c r="K795" t="b">
        <f t="shared" si="97"/>
        <v>0</v>
      </c>
      <c r="M795" t="str">
        <f t="shared" si="98"/>
        <v/>
      </c>
      <c r="N795" t="str">
        <f t="shared" si="99"/>
        <v/>
      </c>
      <c r="O795" t="str">
        <f t="shared" si="100"/>
        <v/>
      </c>
      <c r="P795" t="str">
        <f>IF(M795="","",VLOOKUP(B795,'Team Stats'!$B$3:$K$18,5,0))</f>
        <v/>
      </c>
      <c r="Q795" t="str">
        <f t="shared" si="101"/>
        <v/>
      </c>
      <c r="R795" t="str">
        <f>IF(M795="","",VLOOKUP(N795,Sim!$EF$46:$EG$61,2,0))</f>
        <v/>
      </c>
      <c r="S795" t="str">
        <f>IF(M795="","",VLOOKUP(N795,'Team Stats'!$B$3:$K$18,10,0))</f>
        <v/>
      </c>
      <c r="T795" s="84" t="str">
        <f t="shared" si="102"/>
        <v/>
      </c>
      <c r="U795" t="str">
        <f t="shared" si="103"/>
        <v/>
      </c>
    </row>
    <row r="796" spans="1:21">
      <c r="A796" s="73" t="s">
        <v>1120</v>
      </c>
      <c r="B796" s="73" t="s">
        <v>219</v>
      </c>
      <c r="C796" s="74">
        <v>2</v>
      </c>
      <c r="D796" s="74"/>
      <c r="E796" s="74">
        <v>0</v>
      </c>
      <c r="F796" s="74"/>
      <c r="G796" s="74">
        <v>0</v>
      </c>
      <c r="H796" s="74"/>
      <c r="I796" s="63">
        <v>0</v>
      </c>
      <c r="J796" t="b">
        <f t="shared" si="96"/>
        <v>0</v>
      </c>
      <c r="K796" t="b">
        <f t="shared" si="97"/>
        <v>0</v>
      </c>
      <c r="M796" t="str">
        <f t="shared" si="98"/>
        <v/>
      </c>
      <c r="N796" t="str">
        <f t="shared" si="99"/>
        <v/>
      </c>
      <c r="O796" t="str">
        <f t="shared" si="100"/>
        <v/>
      </c>
      <c r="P796" t="str">
        <f>IF(M796="","",VLOOKUP(B796,'Team Stats'!$B$3:$K$18,5,0))</f>
        <v/>
      </c>
      <c r="Q796" t="str">
        <f t="shared" si="101"/>
        <v/>
      </c>
      <c r="R796" t="str">
        <f>IF(M796="","",VLOOKUP(N796,Sim!$EF$46:$EG$61,2,0))</f>
        <v/>
      </c>
      <c r="S796" t="str">
        <f>IF(M796="","",VLOOKUP(N796,'Team Stats'!$B$3:$K$18,10,0))</f>
        <v/>
      </c>
      <c r="T796" s="84" t="str">
        <f t="shared" si="102"/>
        <v/>
      </c>
      <c r="U796" t="str">
        <f t="shared" si="103"/>
        <v/>
      </c>
    </row>
    <row r="797" spans="1:21">
      <c r="A797" s="73" t="s">
        <v>1121</v>
      </c>
      <c r="B797" s="73" t="s">
        <v>203</v>
      </c>
      <c r="C797" s="74">
        <v>2</v>
      </c>
      <c r="D797" s="74"/>
      <c r="E797" s="74">
        <v>0</v>
      </c>
      <c r="F797" s="74"/>
      <c r="G797" s="74">
        <v>0</v>
      </c>
      <c r="H797" s="74"/>
      <c r="I797" s="63">
        <v>0</v>
      </c>
      <c r="J797" t="b">
        <f t="shared" si="96"/>
        <v>1</v>
      </c>
      <c r="K797" t="b">
        <f t="shared" si="97"/>
        <v>1</v>
      </c>
      <c r="M797" t="str">
        <f t="shared" si="98"/>
        <v> Carl Klingberg</v>
      </c>
      <c r="N797" t="str">
        <f t="shared" si="99"/>
        <v>NYR</v>
      </c>
      <c r="O797">
        <f t="shared" si="100"/>
        <v>0</v>
      </c>
      <c r="P797">
        <f>IF(M797="","",VLOOKUP(B797,'Team Stats'!$B$3:$K$18,5,0))</f>
        <v>659</v>
      </c>
      <c r="Q797">
        <f t="shared" si="101"/>
        <v>0</v>
      </c>
      <c r="R797">
        <f ca="1">IF(M797="","",VLOOKUP(N797,Sim!$EF$46:$EG$61,2,0))</f>
        <v>8.7200000000000006</v>
      </c>
      <c r="S797">
        <f ca="1">IF(M797="","",VLOOKUP(N797,'Team Stats'!$B$3:$K$18,10,0))</f>
        <v>70.079024390243916</v>
      </c>
      <c r="T797" s="84">
        <f t="shared" si="102"/>
        <v>0</v>
      </c>
      <c r="U797">
        <f t="shared" ca="1" si="103"/>
        <v>288</v>
      </c>
    </row>
    <row r="798" spans="1:21">
      <c r="A798" s="73" t="s">
        <v>1122</v>
      </c>
      <c r="B798" s="73" t="s">
        <v>208</v>
      </c>
      <c r="C798" s="74">
        <v>1</v>
      </c>
      <c r="D798" s="74"/>
      <c r="E798" s="74">
        <v>0</v>
      </c>
      <c r="F798" s="74"/>
      <c r="G798" s="74">
        <v>0</v>
      </c>
      <c r="H798" s="74"/>
      <c r="I798" s="63">
        <v>0</v>
      </c>
      <c r="J798" t="b">
        <f t="shared" si="96"/>
        <v>0</v>
      </c>
      <c r="K798" t="b">
        <f t="shared" si="97"/>
        <v>0</v>
      </c>
      <c r="M798" t="str">
        <f t="shared" si="98"/>
        <v/>
      </c>
      <c r="N798" t="str">
        <f t="shared" si="99"/>
        <v/>
      </c>
      <c r="O798" t="str">
        <f t="shared" si="100"/>
        <v/>
      </c>
      <c r="P798" t="str">
        <f>IF(M798="","",VLOOKUP(B798,'Team Stats'!$B$3:$K$18,5,0))</f>
        <v/>
      </c>
      <c r="Q798" t="str">
        <f t="shared" si="101"/>
        <v/>
      </c>
      <c r="R798" t="str">
        <f>IF(M798="","",VLOOKUP(N798,Sim!$EF$46:$EG$61,2,0))</f>
        <v/>
      </c>
      <c r="S798" t="str">
        <f>IF(M798="","",VLOOKUP(N798,'Team Stats'!$B$3:$K$18,10,0))</f>
        <v/>
      </c>
      <c r="T798" s="84" t="str">
        <f t="shared" si="102"/>
        <v/>
      </c>
      <c r="U798" t="str">
        <f t="shared" si="103"/>
        <v/>
      </c>
    </row>
    <row r="799" spans="1:21">
      <c r="A799" s="73" t="s">
        <v>1123</v>
      </c>
      <c r="B799" s="73" t="s">
        <v>331</v>
      </c>
      <c r="C799" s="74">
        <v>3</v>
      </c>
      <c r="D799" s="74"/>
      <c r="E799" s="74">
        <v>0</v>
      </c>
      <c r="F799" s="74"/>
      <c r="G799" s="74">
        <v>0</v>
      </c>
      <c r="H799" s="74"/>
      <c r="I799" s="63">
        <v>0</v>
      </c>
      <c r="J799" t="b">
        <f t="shared" si="96"/>
        <v>0</v>
      </c>
      <c r="K799" t="b">
        <f t="shared" si="97"/>
        <v>0</v>
      </c>
      <c r="M799" t="str">
        <f t="shared" si="98"/>
        <v/>
      </c>
      <c r="N799" t="str">
        <f t="shared" si="99"/>
        <v/>
      </c>
      <c r="O799" t="str">
        <f t="shared" si="100"/>
        <v/>
      </c>
      <c r="P799" t="str">
        <f>IF(M799="","",VLOOKUP(B799,'Team Stats'!$B$3:$K$18,5,0))</f>
        <v/>
      </c>
      <c r="Q799" t="str">
        <f t="shared" si="101"/>
        <v/>
      </c>
      <c r="R799" t="str">
        <f>IF(M799="","",VLOOKUP(N799,Sim!$EF$46:$EG$61,2,0))</f>
        <v/>
      </c>
      <c r="S799" t="str">
        <f>IF(M799="","",VLOOKUP(N799,'Team Stats'!$B$3:$K$18,10,0))</f>
        <v/>
      </c>
      <c r="T799" s="84" t="str">
        <f t="shared" si="102"/>
        <v/>
      </c>
      <c r="U799" t="str">
        <f t="shared" si="103"/>
        <v/>
      </c>
    </row>
    <row r="800" spans="1:21">
      <c r="A800" s="73" t="s">
        <v>1124</v>
      </c>
      <c r="B800" s="73" t="s">
        <v>213</v>
      </c>
      <c r="C800" s="74">
        <v>1</v>
      </c>
      <c r="D800" s="74"/>
      <c r="E800" s="74">
        <v>0</v>
      </c>
      <c r="F800" s="74"/>
      <c r="G800" s="74">
        <v>0</v>
      </c>
      <c r="H800" s="74"/>
      <c r="I800" s="63">
        <v>0</v>
      </c>
      <c r="J800" t="b">
        <f t="shared" si="96"/>
        <v>0</v>
      </c>
      <c r="K800" t="b">
        <f t="shared" si="97"/>
        <v>0</v>
      </c>
      <c r="M800" t="str">
        <f t="shared" si="98"/>
        <v/>
      </c>
      <c r="N800" t="str">
        <f t="shared" si="99"/>
        <v/>
      </c>
      <c r="O800" t="str">
        <f t="shared" si="100"/>
        <v/>
      </c>
      <c r="P800" t="str">
        <f>IF(M800="","",VLOOKUP(B800,'Team Stats'!$B$3:$K$18,5,0))</f>
        <v/>
      </c>
      <c r="Q800" t="str">
        <f t="shared" si="101"/>
        <v/>
      </c>
      <c r="R800" t="str">
        <f>IF(M800="","",VLOOKUP(N800,Sim!$EF$46:$EG$61,2,0))</f>
        <v/>
      </c>
      <c r="S800" t="str">
        <f>IF(M800="","",VLOOKUP(N800,'Team Stats'!$B$3:$K$18,10,0))</f>
        <v/>
      </c>
      <c r="T800" s="84" t="str">
        <f t="shared" si="102"/>
        <v/>
      </c>
      <c r="U800" t="str">
        <f t="shared" si="103"/>
        <v/>
      </c>
    </row>
    <row r="801" spans="1:21">
      <c r="A801" s="73" t="s">
        <v>1125</v>
      </c>
      <c r="B801" s="73" t="s">
        <v>202</v>
      </c>
      <c r="C801" s="74">
        <v>5</v>
      </c>
      <c r="D801" s="74"/>
      <c r="E801" s="74">
        <v>0</v>
      </c>
      <c r="F801" s="74"/>
      <c r="G801" s="74">
        <v>0</v>
      </c>
      <c r="H801" s="74"/>
      <c r="I801" s="63">
        <v>0</v>
      </c>
      <c r="J801" t="b">
        <f t="shared" si="96"/>
        <v>1</v>
      </c>
      <c r="K801" t="b">
        <f t="shared" si="97"/>
        <v>1</v>
      </c>
      <c r="M801" t="str">
        <f t="shared" si="98"/>
        <v> Ryan Hartman</v>
      </c>
      <c r="N801" t="str">
        <f t="shared" si="99"/>
        <v>CHI</v>
      </c>
      <c r="O801">
        <f t="shared" si="100"/>
        <v>0</v>
      </c>
      <c r="P801">
        <f>IF(M801="","",VLOOKUP(B801,'Team Stats'!$B$3:$K$18,5,0))</f>
        <v>601</v>
      </c>
      <c r="Q801">
        <f t="shared" si="101"/>
        <v>0</v>
      </c>
      <c r="R801">
        <f ca="1">IF(M801="","",VLOOKUP(N801,Sim!$EF$46:$EG$61,2,0))</f>
        <v>9.14</v>
      </c>
      <c r="S801">
        <f ca="1">IF(M801="","",VLOOKUP(N801,'Team Stats'!$B$3:$K$18,10,0))</f>
        <v>66.989512195121961</v>
      </c>
      <c r="T801" s="84">
        <f t="shared" si="102"/>
        <v>0</v>
      </c>
      <c r="U801">
        <f t="shared" ca="1" si="103"/>
        <v>288</v>
      </c>
    </row>
    <row r="802" spans="1:21">
      <c r="A802" s="73" t="s">
        <v>1126</v>
      </c>
      <c r="B802" s="73" t="s">
        <v>215</v>
      </c>
      <c r="C802" s="74">
        <v>1</v>
      </c>
      <c r="D802" s="74"/>
      <c r="E802" s="74">
        <v>0</v>
      </c>
      <c r="F802" s="74"/>
      <c r="G802" s="74">
        <v>0</v>
      </c>
      <c r="H802" s="74"/>
      <c r="I802" s="63">
        <v>0</v>
      </c>
      <c r="J802" t="b">
        <f t="shared" si="96"/>
        <v>0</v>
      </c>
      <c r="K802" t="b">
        <f t="shared" si="97"/>
        <v>0</v>
      </c>
      <c r="M802" t="str">
        <f t="shared" si="98"/>
        <v/>
      </c>
      <c r="N802" t="str">
        <f t="shared" si="99"/>
        <v/>
      </c>
      <c r="O802" t="str">
        <f t="shared" si="100"/>
        <v/>
      </c>
      <c r="P802" t="str">
        <f>IF(M802="","",VLOOKUP(B802,'Team Stats'!$B$3:$K$18,5,0))</f>
        <v/>
      </c>
      <c r="Q802" t="str">
        <f t="shared" si="101"/>
        <v/>
      </c>
      <c r="R802" t="str">
        <f>IF(M802="","",VLOOKUP(N802,Sim!$EF$46:$EG$61,2,0))</f>
        <v/>
      </c>
      <c r="S802" t="str">
        <f>IF(M802="","",VLOOKUP(N802,'Team Stats'!$B$3:$K$18,10,0))</f>
        <v/>
      </c>
      <c r="T802" s="84" t="str">
        <f t="shared" si="102"/>
        <v/>
      </c>
      <c r="U802" t="str">
        <f t="shared" si="103"/>
        <v/>
      </c>
    </row>
    <row r="803" spans="1:21">
      <c r="A803" s="73" t="s">
        <v>1127</v>
      </c>
      <c r="B803" s="73" t="s">
        <v>218</v>
      </c>
      <c r="C803" s="74">
        <v>6</v>
      </c>
      <c r="D803" s="74"/>
      <c r="E803" s="74">
        <v>0</v>
      </c>
      <c r="F803" s="74"/>
      <c r="G803" s="74">
        <v>0</v>
      </c>
      <c r="H803" s="74"/>
      <c r="I803" s="63">
        <v>0</v>
      </c>
      <c r="J803" t="b">
        <f t="shared" si="96"/>
        <v>0</v>
      </c>
      <c r="K803" t="b">
        <f t="shared" si="97"/>
        <v>0</v>
      </c>
      <c r="M803" t="str">
        <f t="shared" si="98"/>
        <v/>
      </c>
      <c r="N803" t="str">
        <f t="shared" si="99"/>
        <v/>
      </c>
      <c r="O803" t="str">
        <f t="shared" si="100"/>
        <v/>
      </c>
      <c r="P803" t="str">
        <f>IF(M803="","",VLOOKUP(B803,'Team Stats'!$B$3:$K$18,5,0))</f>
        <v/>
      </c>
      <c r="Q803" t="str">
        <f t="shared" si="101"/>
        <v/>
      </c>
      <c r="R803" t="str">
        <f>IF(M803="","",VLOOKUP(N803,Sim!$EF$46:$EG$61,2,0))</f>
        <v/>
      </c>
      <c r="S803" t="str">
        <f>IF(M803="","",VLOOKUP(N803,'Team Stats'!$B$3:$K$18,10,0))</f>
        <v/>
      </c>
      <c r="T803" s="84" t="str">
        <f t="shared" si="102"/>
        <v/>
      </c>
      <c r="U803" t="str">
        <f t="shared" si="103"/>
        <v/>
      </c>
    </row>
    <row r="804" spans="1:21">
      <c r="A804" s="73" t="s">
        <v>1128</v>
      </c>
      <c r="B804" s="73" t="s">
        <v>202</v>
      </c>
      <c r="C804" s="74">
        <v>16</v>
      </c>
      <c r="D804" s="74"/>
      <c r="E804" s="74">
        <v>0</v>
      </c>
      <c r="F804" s="74"/>
      <c r="G804" s="74">
        <v>0</v>
      </c>
      <c r="H804" s="74"/>
      <c r="I804" s="63">
        <v>0</v>
      </c>
      <c r="J804" t="b">
        <f t="shared" si="96"/>
        <v>1</v>
      </c>
      <c r="K804" t="b">
        <f t="shared" si="97"/>
        <v>1</v>
      </c>
      <c r="M804" t="str">
        <f t="shared" si="98"/>
        <v> Kimmo Timonen</v>
      </c>
      <c r="N804" t="str">
        <f t="shared" si="99"/>
        <v>CHI</v>
      </c>
      <c r="O804">
        <f t="shared" si="100"/>
        <v>0</v>
      </c>
      <c r="P804">
        <f>IF(M804="","",VLOOKUP(B804,'Team Stats'!$B$3:$K$18,5,0))</f>
        <v>601</v>
      </c>
      <c r="Q804">
        <f t="shared" si="101"/>
        <v>0</v>
      </c>
      <c r="R804">
        <f ca="1">IF(M804="","",VLOOKUP(N804,Sim!$EF$46:$EG$61,2,0))</f>
        <v>9.14</v>
      </c>
      <c r="S804">
        <f ca="1">IF(M804="","",VLOOKUP(N804,'Team Stats'!$B$3:$K$18,10,0))</f>
        <v>66.989512195121961</v>
      </c>
      <c r="T804" s="84">
        <f t="shared" si="102"/>
        <v>0</v>
      </c>
      <c r="U804">
        <f t="shared" ca="1" si="103"/>
        <v>288</v>
      </c>
    </row>
    <row r="805" spans="1:21">
      <c r="A805" s="73" t="s">
        <v>1129</v>
      </c>
      <c r="B805" s="73" t="s">
        <v>203</v>
      </c>
      <c r="C805" s="74">
        <v>6</v>
      </c>
      <c r="D805" s="74"/>
      <c r="E805" s="74">
        <v>0</v>
      </c>
      <c r="F805" s="74"/>
      <c r="G805" s="74">
        <v>0</v>
      </c>
      <c r="H805" s="74"/>
      <c r="I805" s="63">
        <v>0</v>
      </c>
      <c r="J805" t="b">
        <f t="shared" si="96"/>
        <v>1</v>
      </c>
      <c r="K805" t="b">
        <f t="shared" si="97"/>
        <v>1</v>
      </c>
      <c r="M805" t="str">
        <f t="shared" si="98"/>
        <v> Ryan Malone</v>
      </c>
      <c r="N805" t="str">
        <f t="shared" si="99"/>
        <v>NYR</v>
      </c>
      <c r="O805">
        <f t="shared" si="100"/>
        <v>0</v>
      </c>
      <c r="P805">
        <f>IF(M805="","",VLOOKUP(B805,'Team Stats'!$B$3:$K$18,5,0))</f>
        <v>659</v>
      </c>
      <c r="Q805">
        <f t="shared" si="101"/>
        <v>0</v>
      </c>
      <c r="R805">
        <f ca="1">IF(M805="","",VLOOKUP(N805,Sim!$EF$46:$EG$61,2,0))</f>
        <v>8.7200000000000006</v>
      </c>
      <c r="S805">
        <f ca="1">IF(M805="","",VLOOKUP(N805,'Team Stats'!$B$3:$K$18,10,0))</f>
        <v>70.079024390243916</v>
      </c>
      <c r="T805" s="84">
        <f t="shared" si="102"/>
        <v>0</v>
      </c>
      <c r="U805">
        <f t="shared" ca="1" si="103"/>
        <v>288</v>
      </c>
    </row>
    <row r="806" spans="1:21">
      <c r="A806" s="73" t="s">
        <v>1130</v>
      </c>
      <c r="B806" s="73" t="s">
        <v>208</v>
      </c>
      <c r="C806" s="74">
        <v>3</v>
      </c>
      <c r="D806" s="74"/>
      <c r="E806" s="74">
        <v>0</v>
      </c>
      <c r="F806" s="74"/>
      <c r="G806" s="74">
        <v>0</v>
      </c>
      <c r="H806" s="74"/>
      <c r="I806" s="63">
        <v>0</v>
      </c>
      <c r="J806" t="b">
        <f t="shared" si="96"/>
        <v>0</v>
      </c>
      <c r="K806" t="b">
        <f t="shared" si="97"/>
        <v>0</v>
      </c>
      <c r="M806" t="str">
        <f t="shared" si="98"/>
        <v/>
      </c>
      <c r="N806" t="str">
        <f t="shared" si="99"/>
        <v/>
      </c>
      <c r="O806" t="str">
        <f t="shared" si="100"/>
        <v/>
      </c>
      <c r="P806" t="str">
        <f>IF(M806="","",VLOOKUP(B806,'Team Stats'!$B$3:$K$18,5,0))</f>
        <v/>
      </c>
      <c r="Q806" t="str">
        <f t="shared" si="101"/>
        <v/>
      </c>
      <c r="R806" t="str">
        <f>IF(M806="","",VLOOKUP(N806,Sim!$EF$46:$EG$61,2,0))</f>
        <v/>
      </c>
      <c r="S806" t="str">
        <f>IF(M806="","",VLOOKUP(N806,'Team Stats'!$B$3:$K$18,10,0))</f>
        <v/>
      </c>
      <c r="T806" s="84" t="str">
        <f t="shared" si="102"/>
        <v/>
      </c>
      <c r="U806" t="str">
        <f t="shared" si="103"/>
        <v/>
      </c>
    </row>
    <row r="807" spans="1:21">
      <c r="A807" s="73" t="s">
        <v>1131</v>
      </c>
      <c r="B807" s="73" t="s">
        <v>365</v>
      </c>
      <c r="C807" s="74">
        <v>7</v>
      </c>
      <c r="D807" s="74"/>
      <c r="E807" s="74">
        <v>0</v>
      </c>
      <c r="F807" s="74"/>
      <c r="G807" s="74">
        <v>0</v>
      </c>
      <c r="H807" s="74"/>
      <c r="I807" s="63">
        <v>0</v>
      </c>
      <c r="J807" t="b">
        <f t="shared" si="96"/>
        <v>0</v>
      </c>
      <c r="K807" t="b">
        <f t="shared" si="97"/>
        <v>0</v>
      </c>
      <c r="M807" t="str">
        <f t="shared" si="98"/>
        <v/>
      </c>
      <c r="N807" t="str">
        <f t="shared" si="99"/>
        <v/>
      </c>
      <c r="O807" t="str">
        <f t="shared" si="100"/>
        <v/>
      </c>
      <c r="P807" t="str">
        <f>IF(M807="","",VLOOKUP(B807,'Team Stats'!$B$3:$K$18,5,0))</f>
        <v/>
      </c>
      <c r="Q807" t="str">
        <f t="shared" si="101"/>
        <v/>
      </c>
      <c r="R807" t="str">
        <f>IF(M807="","",VLOOKUP(N807,Sim!$EF$46:$EG$61,2,0))</f>
        <v/>
      </c>
      <c r="S807" t="str">
        <f>IF(M807="","",VLOOKUP(N807,'Team Stats'!$B$3:$K$18,10,0))</f>
        <v/>
      </c>
      <c r="T807" s="84" t="str">
        <f t="shared" si="102"/>
        <v/>
      </c>
      <c r="U807" t="str">
        <f t="shared" si="103"/>
        <v/>
      </c>
    </row>
    <row r="808" spans="1:21">
      <c r="A808" s="73" t="s">
        <v>1132</v>
      </c>
      <c r="B808" s="73" t="s">
        <v>205</v>
      </c>
      <c r="C808" s="74">
        <v>9</v>
      </c>
      <c r="D808" s="74"/>
      <c r="E808" s="74">
        <v>0</v>
      </c>
      <c r="F808" s="74"/>
      <c r="G808" s="74">
        <v>0</v>
      </c>
      <c r="H808" s="74"/>
      <c r="I808" s="63">
        <v>0</v>
      </c>
      <c r="J808" t="b">
        <f t="shared" si="96"/>
        <v>1</v>
      </c>
      <c r="K808" t="b">
        <f t="shared" si="97"/>
        <v>1</v>
      </c>
      <c r="M808" t="str">
        <f t="shared" si="98"/>
        <v> Chris Wagner</v>
      </c>
      <c r="N808" t="str">
        <f t="shared" si="99"/>
        <v>ANA</v>
      </c>
      <c r="O808">
        <f t="shared" si="100"/>
        <v>0</v>
      </c>
      <c r="P808">
        <f>IF(M808="","",VLOOKUP(B808,'Team Stats'!$B$3:$K$18,5,0))</f>
        <v>613</v>
      </c>
      <c r="Q808">
        <f t="shared" si="101"/>
        <v>0</v>
      </c>
      <c r="R808">
        <f ca="1">IF(M808="","",VLOOKUP(N808,Sim!$EF$46:$EG$61,2,0))</f>
        <v>14.85</v>
      </c>
      <c r="S808">
        <f ca="1">IF(M808="","",VLOOKUP(N808,'Team Stats'!$B$3:$K$18,10,0))</f>
        <v>111.01280487804878</v>
      </c>
      <c r="T808" s="84">
        <f t="shared" si="102"/>
        <v>0</v>
      </c>
      <c r="U808">
        <f t="shared" ca="1" si="103"/>
        <v>288</v>
      </c>
    </row>
    <row r="809" spans="1:21">
      <c r="A809" s="73" t="s">
        <v>1133</v>
      </c>
      <c r="B809" s="73" t="s">
        <v>208</v>
      </c>
      <c r="C809" s="74">
        <v>8</v>
      </c>
      <c r="D809" s="74"/>
      <c r="E809" s="74">
        <v>0</v>
      </c>
      <c r="F809" s="74"/>
      <c r="G809" s="74">
        <v>0</v>
      </c>
      <c r="H809" s="74"/>
      <c r="I809" s="63">
        <v>0</v>
      </c>
      <c r="J809" t="b">
        <f t="shared" si="96"/>
        <v>0</v>
      </c>
      <c r="K809" t="b">
        <f t="shared" si="97"/>
        <v>0</v>
      </c>
      <c r="M809" t="str">
        <f t="shared" si="98"/>
        <v/>
      </c>
      <c r="N809" t="str">
        <f t="shared" si="99"/>
        <v/>
      </c>
      <c r="O809" t="str">
        <f t="shared" si="100"/>
        <v/>
      </c>
      <c r="P809" t="str">
        <f>IF(M809="","",VLOOKUP(B809,'Team Stats'!$B$3:$K$18,5,0))</f>
        <v/>
      </c>
      <c r="Q809" t="str">
        <f t="shared" si="101"/>
        <v/>
      </c>
      <c r="R809" t="str">
        <f>IF(M809="","",VLOOKUP(N809,Sim!$EF$46:$EG$61,2,0))</f>
        <v/>
      </c>
      <c r="S809" t="str">
        <f>IF(M809="","",VLOOKUP(N809,'Team Stats'!$B$3:$K$18,10,0))</f>
        <v/>
      </c>
      <c r="T809" s="84" t="str">
        <f t="shared" si="102"/>
        <v/>
      </c>
      <c r="U809" t="str">
        <f t="shared" si="103"/>
        <v/>
      </c>
    </row>
    <row r="810" spans="1:21">
      <c r="A810" s="73" t="s">
        <v>1134</v>
      </c>
      <c r="B810" s="73" t="s">
        <v>200</v>
      </c>
      <c r="C810" s="74">
        <v>1</v>
      </c>
      <c r="D810" s="74"/>
      <c r="E810" s="74">
        <v>0</v>
      </c>
      <c r="F810" s="74"/>
      <c r="G810" s="74">
        <v>0</v>
      </c>
      <c r="H810" s="74"/>
      <c r="I810" s="63">
        <v>0</v>
      </c>
      <c r="J810" t="b">
        <f t="shared" si="96"/>
        <v>1</v>
      </c>
      <c r="K810" t="b">
        <f t="shared" si="97"/>
        <v>1</v>
      </c>
      <c r="M810" t="str">
        <f t="shared" si="98"/>
        <v> Colin Fraser</v>
      </c>
      <c r="N810" t="str">
        <f t="shared" si="99"/>
        <v>STL</v>
      </c>
      <c r="O810">
        <f t="shared" si="100"/>
        <v>0</v>
      </c>
      <c r="P810">
        <f>IF(M810="","",VLOOKUP(B810,'Team Stats'!$B$3:$K$18,5,0))</f>
        <v>660</v>
      </c>
      <c r="Q810">
        <f t="shared" si="101"/>
        <v>0</v>
      </c>
      <c r="R810">
        <f ca="1">IF(M810="","",VLOOKUP(N810,Sim!$EF$46:$EG$61,2,0))</f>
        <v>10.87</v>
      </c>
      <c r="S810">
        <f ca="1">IF(M810="","",VLOOKUP(N810,'Team Stats'!$B$3:$K$18,10,0))</f>
        <v>87.490243902439019</v>
      </c>
      <c r="T810" s="84">
        <f t="shared" si="102"/>
        <v>0</v>
      </c>
      <c r="U810">
        <f t="shared" ca="1" si="103"/>
        <v>288</v>
      </c>
    </row>
    <row r="811" spans="1:21">
      <c r="A811" s="73" t="s">
        <v>1135</v>
      </c>
      <c r="B811" s="73" t="s">
        <v>365</v>
      </c>
      <c r="C811" s="74">
        <v>1</v>
      </c>
      <c r="D811" s="74"/>
      <c r="E811" s="74">
        <v>0</v>
      </c>
      <c r="F811" s="74"/>
      <c r="G811" s="74">
        <v>0</v>
      </c>
      <c r="H811" s="74"/>
      <c r="I811" s="63">
        <v>0</v>
      </c>
      <c r="J811" t="b">
        <f t="shared" si="96"/>
        <v>0</v>
      </c>
      <c r="K811" t="b">
        <f t="shared" si="97"/>
        <v>0</v>
      </c>
      <c r="M811" t="str">
        <f t="shared" si="98"/>
        <v/>
      </c>
      <c r="N811" t="str">
        <f t="shared" si="99"/>
        <v/>
      </c>
      <c r="O811" t="str">
        <f t="shared" si="100"/>
        <v/>
      </c>
      <c r="P811" t="str">
        <f>IF(M811="","",VLOOKUP(B811,'Team Stats'!$B$3:$K$18,5,0))</f>
        <v/>
      </c>
      <c r="Q811" t="str">
        <f t="shared" si="101"/>
        <v/>
      </c>
      <c r="R811" t="str">
        <f>IF(M811="","",VLOOKUP(N811,Sim!$EF$46:$EG$61,2,0))</f>
        <v/>
      </c>
      <c r="S811" t="str">
        <f>IF(M811="","",VLOOKUP(N811,'Team Stats'!$B$3:$K$18,10,0))</f>
        <v/>
      </c>
      <c r="T811" s="84" t="str">
        <f t="shared" si="102"/>
        <v/>
      </c>
      <c r="U811" t="str">
        <f t="shared" si="103"/>
        <v/>
      </c>
    </row>
    <row r="812" spans="1:21">
      <c r="A812" s="73" t="s">
        <v>1136</v>
      </c>
      <c r="B812" s="73" t="s">
        <v>218</v>
      </c>
      <c r="C812" s="74">
        <v>7</v>
      </c>
      <c r="D812" s="74"/>
      <c r="E812" s="74">
        <v>0</v>
      </c>
      <c r="F812" s="74"/>
      <c r="G812" s="74">
        <v>0</v>
      </c>
      <c r="H812" s="74"/>
      <c r="I812" s="63">
        <v>0</v>
      </c>
      <c r="J812" t="b">
        <f t="shared" si="96"/>
        <v>0</v>
      </c>
      <c r="K812" t="b">
        <f t="shared" si="97"/>
        <v>0</v>
      </c>
      <c r="M812" t="str">
        <f t="shared" si="98"/>
        <v/>
      </c>
      <c r="N812" t="str">
        <f t="shared" si="99"/>
        <v/>
      </c>
      <c r="O812" t="str">
        <f t="shared" si="100"/>
        <v/>
      </c>
      <c r="P812" t="str">
        <f>IF(M812="","",VLOOKUP(B812,'Team Stats'!$B$3:$K$18,5,0))</f>
        <v/>
      </c>
      <c r="Q812" t="str">
        <f t="shared" si="101"/>
        <v/>
      </c>
      <c r="R812" t="str">
        <f>IF(M812="","",VLOOKUP(N812,Sim!$EF$46:$EG$61,2,0))</f>
        <v/>
      </c>
      <c r="S812" t="str">
        <f>IF(M812="","",VLOOKUP(N812,'Team Stats'!$B$3:$K$18,10,0))</f>
        <v/>
      </c>
      <c r="T812" s="84" t="str">
        <f t="shared" si="102"/>
        <v/>
      </c>
      <c r="U812" t="str">
        <f t="shared" si="103"/>
        <v/>
      </c>
    </row>
    <row r="813" spans="1:21">
      <c r="A813" s="73" t="s">
        <v>1137</v>
      </c>
      <c r="B813" s="73" t="s">
        <v>218</v>
      </c>
      <c r="C813" s="74">
        <v>3</v>
      </c>
      <c r="D813" s="74"/>
      <c r="E813" s="74">
        <v>0</v>
      </c>
      <c r="F813" s="74"/>
      <c r="G813" s="74">
        <v>0</v>
      </c>
      <c r="H813" s="74"/>
      <c r="I813" s="63">
        <v>0</v>
      </c>
      <c r="J813" t="b">
        <f t="shared" si="96"/>
        <v>0</v>
      </c>
      <c r="K813" t="b">
        <f t="shared" si="97"/>
        <v>0</v>
      </c>
      <c r="M813" t="str">
        <f t="shared" si="98"/>
        <v/>
      </c>
      <c r="N813" t="str">
        <f t="shared" si="99"/>
        <v/>
      </c>
      <c r="O813" t="str">
        <f t="shared" si="100"/>
        <v/>
      </c>
      <c r="P813" t="str">
        <f>IF(M813="","",VLOOKUP(B813,'Team Stats'!$B$3:$K$18,5,0))</f>
        <v/>
      </c>
      <c r="Q813" t="str">
        <f t="shared" si="101"/>
        <v/>
      </c>
      <c r="R813" t="str">
        <f>IF(M813="","",VLOOKUP(N813,Sim!$EF$46:$EG$61,2,0))</f>
        <v/>
      </c>
      <c r="S813" t="str">
        <f>IF(M813="","",VLOOKUP(N813,'Team Stats'!$B$3:$K$18,10,0))</f>
        <v/>
      </c>
      <c r="T813" s="84" t="str">
        <f t="shared" si="102"/>
        <v/>
      </c>
      <c r="U813" t="str">
        <f t="shared" si="103"/>
        <v/>
      </c>
    </row>
    <row r="814" spans="1:21">
      <c r="A814" s="73" t="s">
        <v>1138</v>
      </c>
      <c r="B814" s="73" t="s">
        <v>331</v>
      </c>
      <c r="C814" s="74">
        <v>2</v>
      </c>
      <c r="D814" s="74"/>
      <c r="E814" s="74">
        <v>0</v>
      </c>
      <c r="F814" s="74"/>
      <c r="G814" s="74">
        <v>0</v>
      </c>
      <c r="H814" s="74"/>
      <c r="I814" s="63">
        <v>0</v>
      </c>
      <c r="J814" t="b">
        <f t="shared" si="96"/>
        <v>0</v>
      </c>
      <c r="K814" t="b">
        <f t="shared" si="97"/>
        <v>0</v>
      </c>
      <c r="M814" t="str">
        <f t="shared" si="98"/>
        <v/>
      </c>
      <c r="N814" t="str">
        <f t="shared" si="99"/>
        <v/>
      </c>
      <c r="O814" t="str">
        <f t="shared" si="100"/>
        <v/>
      </c>
      <c r="P814" t="str">
        <f>IF(M814="","",VLOOKUP(B814,'Team Stats'!$B$3:$K$18,5,0))</f>
        <v/>
      </c>
      <c r="Q814" t="str">
        <f t="shared" si="101"/>
        <v/>
      </c>
      <c r="R814" t="str">
        <f>IF(M814="","",VLOOKUP(N814,Sim!$EF$46:$EG$61,2,0))</f>
        <v/>
      </c>
      <c r="S814" t="str">
        <f>IF(M814="","",VLOOKUP(N814,'Team Stats'!$B$3:$K$18,10,0))</f>
        <v/>
      </c>
      <c r="T814" s="84" t="str">
        <f t="shared" si="102"/>
        <v/>
      </c>
      <c r="U814" t="str">
        <f t="shared" si="103"/>
        <v/>
      </c>
    </row>
    <row r="815" spans="1:21">
      <c r="A815" s="73" t="s">
        <v>1139</v>
      </c>
      <c r="B815" s="73" t="s">
        <v>215</v>
      </c>
      <c r="C815" s="74">
        <v>2</v>
      </c>
      <c r="D815" s="74"/>
      <c r="E815" s="74">
        <v>0</v>
      </c>
      <c r="F815" s="74"/>
      <c r="G815" s="74">
        <v>0</v>
      </c>
      <c r="H815" s="74"/>
      <c r="I815" s="63">
        <v>0</v>
      </c>
      <c r="J815" t="b">
        <f t="shared" si="96"/>
        <v>0</v>
      </c>
      <c r="K815" t="b">
        <f t="shared" si="97"/>
        <v>0</v>
      </c>
      <c r="M815" t="str">
        <f t="shared" si="98"/>
        <v/>
      </c>
      <c r="N815" t="str">
        <f t="shared" si="99"/>
        <v/>
      </c>
      <c r="O815" t="str">
        <f t="shared" si="100"/>
        <v/>
      </c>
      <c r="P815" t="str">
        <f>IF(M815="","",VLOOKUP(B815,'Team Stats'!$B$3:$K$18,5,0))</f>
        <v/>
      </c>
      <c r="Q815" t="str">
        <f t="shared" si="101"/>
        <v/>
      </c>
      <c r="R815" t="str">
        <f>IF(M815="","",VLOOKUP(N815,Sim!$EF$46:$EG$61,2,0))</f>
        <v/>
      </c>
      <c r="S815" t="str">
        <f>IF(M815="","",VLOOKUP(N815,'Team Stats'!$B$3:$K$18,10,0))</f>
        <v/>
      </c>
      <c r="T815" s="84" t="str">
        <f t="shared" si="102"/>
        <v/>
      </c>
      <c r="U815" t="str">
        <f t="shared" si="103"/>
        <v/>
      </c>
    </row>
    <row r="816" spans="1:21">
      <c r="A816" s="73" t="s">
        <v>1140</v>
      </c>
      <c r="B816" s="73" t="s">
        <v>213</v>
      </c>
      <c r="C816" s="74">
        <v>9</v>
      </c>
      <c r="D816" s="74"/>
      <c r="E816" s="74">
        <v>0</v>
      </c>
      <c r="F816" s="74"/>
      <c r="G816" s="74">
        <v>0</v>
      </c>
      <c r="H816" s="74"/>
      <c r="I816" s="63">
        <v>0</v>
      </c>
      <c r="J816" t="b">
        <f t="shared" si="96"/>
        <v>0</v>
      </c>
      <c r="K816" t="b">
        <f t="shared" si="97"/>
        <v>0</v>
      </c>
      <c r="M816" t="str">
        <f t="shared" si="98"/>
        <v/>
      </c>
      <c r="N816" t="str">
        <f t="shared" si="99"/>
        <v/>
      </c>
      <c r="O816" t="str">
        <f t="shared" si="100"/>
        <v/>
      </c>
      <c r="P816" t="str">
        <f>IF(M816="","",VLOOKUP(B816,'Team Stats'!$B$3:$K$18,5,0))</f>
        <v/>
      </c>
      <c r="Q816" t="str">
        <f t="shared" si="101"/>
        <v/>
      </c>
      <c r="R816" t="str">
        <f>IF(M816="","",VLOOKUP(N816,Sim!$EF$46:$EG$61,2,0))</f>
        <v/>
      </c>
      <c r="S816" t="str">
        <f>IF(M816="","",VLOOKUP(N816,'Team Stats'!$B$3:$K$18,10,0))</f>
        <v/>
      </c>
      <c r="T816" s="84" t="str">
        <f t="shared" si="102"/>
        <v/>
      </c>
      <c r="U816" t="str">
        <f t="shared" si="103"/>
        <v/>
      </c>
    </row>
    <row r="817" spans="1:21">
      <c r="A817" s="73" t="s">
        <v>1141</v>
      </c>
      <c r="B817" s="73" t="s">
        <v>221</v>
      </c>
      <c r="C817" s="74">
        <v>2</v>
      </c>
      <c r="D817" s="74"/>
      <c r="E817" s="74">
        <v>0</v>
      </c>
      <c r="F817" s="74"/>
      <c r="G817" s="74">
        <v>0</v>
      </c>
      <c r="H817" s="74"/>
      <c r="I817" s="63">
        <v>0</v>
      </c>
      <c r="J817" t="b">
        <f t="shared" si="96"/>
        <v>0</v>
      </c>
      <c r="K817" t="b">
        <f t="shared" si="97"/>
        <v>0</v>
      </c>
      <c r="M817" t="str">
        <f t="shared" si="98"/>
        <v/>
      </c>
      <c r="N817" t="str">
        <f t="shared" si="99"/>
        <v/>
      </c>
      <c r="O817" t="str">
        <f t="shared" si="100"/>
        <v/>
      </c>
      <c r="P817" t="str">
        <f>IF(M817="","",VLOOKUP(B817,'Team Stats'!$B$3:$K$18,5,0))</f>
        <v/>
      </c>
      <c r="Q817" t="str">
        <f t="shared" si="101"/>
        <v/>
      </c>
      <c r="R817" t="str">
        <f>IF(M817="","",VLOOKUP(N817,Sim!$EF$46:$EG$61,2,0))</f>
        <v/>
      </c>
      <c r="S817" t="str">
        <f>IF(M817="","",VLOOKUP(N817,'Team Stats'!$B$3:$K$18,10,0))</f>
        <v/>
      </c>
      <c r="T817" s="84" t="str">
        <f t="shared" si="102"/>
        <v/>
      </c>
      <c r="U817" t="str">
        <f t="shared" si="103"/>
        <v/>
      </c>
    </row>
    <row r="818" spans="1:21">
      <c r="A818" s="73" t="s">
        <v>1142</v>
      </c>
      <c r="B818" s="73" t="s">
        <v>199</v>
      </c>
      <c r="C818" s="74">
        <v>13</v>
      </c>
      <c r="D818" s="74"/>
      <c r="E818" s="74">
        <v>0</v>
      </c>
      <c r="F818" s="74"/>
      <c r="G818" s="74">
        <v>0</v>
      </c>
      <c r="H818" s="74"/>
      <c r="I818" s="63">
        <v>0</v>
      </c>
      <c r="J818" t="b">
        <f t="shared" si="96"/>
        <v>0</v>
      </c>
      <c r="K818" t="b">
        <f t="shared" si="97"/>
        <v>0</v>
      </c>
      <c r="M818" t="str">
        <f t="shared" si="98"/>
        <v/>
      </c>
      <c r="N818" t="str">
        <f t="shared" si="99"/>
        <v/>
      </c>
      <c r="O818" t="str">
        <f t="shared" si="100"/>
        <v/>
      </c>
      <c r="P818" t="str">
        <f>IF(M818="","",VLOOKUP(B818,'Team Stats'!$B$3:$K$18,5,0))</f>
        <v/>
      </c>
      <c r="Q818" t="str">
        <f t="shared" si="101"/>
        <v/>
      </c>
      <c r="R818" t="str">
        <f>IF(M818="","",VLOOKUP(N818,Sim!$EF$46:$EG$61,2,0))</f>
        <v/>
      </c>
      <c r="S818" t="str">
        <f>IF(M818="","",VLOOKUP(N818,'Team Stats'!$B$3:$K$18,10,0))</f>
        <v/>
      </c>
      <c r="T818" s="84" t="str">
        <f t="shared" si="102"/>
        <v/>
      </c>
      <c r="U818" t="str">
        <f t="shared" si="103"/>
        <v/>
      </c>
    </row>
    <row r="819" spans="1:21">
      <c r="A819" s="73" t="s">
        <v>1143</v>
      </c>
      <c r="B819" s="73" t="s">
        <v>206</v>
      </c>
      <c r="C819" s="74">
        <v>5</v>
      </c>
      <c r="D819" s="74"/>
      <c r="E819" s="74">
        <v>0</v>
      </c>
      <c r="F819" s="74"/>
      <c r="G819" s="74">
        <v>0</v>
      </c>
      <c r="H819" s="74"/>
      <c r="I819" s="63">
        <v>0</v>
      </c>
      <c r="J819" t="b">
        <f t="shared" si="96"/>
        <v>1</v>
      </c>
      <c r="K819" t="b">
        <f t="shared" si="97"/>
        <v>1</v>
      </c>
      <c r="M819" t="str">
        <f t="shared" si="98"/>
        <v> Nicklas Jensen</v>
      </c>
      <c r="N819" t="str">
        <f t="shared" si="99"/>
        <v>VAN</v>
      </c>
      <c r="O819">
        <f t="shared" si="100"/>
        <v>0</v>
      </c>
      <c r="P819">
        <f>IF(M819="","",VLOOKUP(B819,'Team Stats'!$B$3:$K$18,5,0))</f>
        <v>642</v>
      </c>
      <c r="Q819">
        <f t="shared" si="101"/>
        <v>0</v>
      </c>
      <c r="R819">
        <f ca="1">IF(M819="","",VLOOKUP(N819,Sim!$EF$46:$EG$61,2,0))</f>
        <v>10.35</v>
      </c>
      <c r="S819">
        <f ca="1">IF(M819="","",VLOOKUP(N819,'Team Stats'!$B$3:$K$18,10,0))</f>
        <v>81.032926829268291</v>
      </c>
      <c r="T819" s="84">
        <f t="shared" si="102"/>
        <v>0</v>
      </c>
      <c r="U819">
        <f t="shared" ca="1" si="103"/>
        <v>288</v>
      </c>
    </row>
    <row r="820" spans="1:21">
      <c r="A820" s="73" t="s">
        <v>1144</v>
      </c>
      <c r="B820" s="73" t="s">
        <v>208</v>
      </c>
      <c r="C820" s="74">
        <v>6</v>
      </c>
      <c r="D820" s="74"/>
      <c r="E820" s="74">
        <v>0</v>
      </c>
      <c r="F820" s="74"/>
      <c r="G820" s="74">
        <v>0</v>
      </c>
      <c r="H820" s="74"/>
      <c r="I820" s="63">
        <v>0</v>
      </c>
      <c r="J820" t="b">
        <f t="shared" si="96"/>
        <v>0</v>
      </c>
      <c r="K820" t="b">
        <f t="shared" si="97"/>
        <v>0</v>
      </c>
      <c r="M820" t="str">
        <f t="shared" si="98"/>
        <v/>
      </c>
      <c r="N820" t="str">
        <f t="shared" si="99"/>
        <v/>
      </c>
      <c r="O820" t="str">
        <f t="shared" si="100"/>
        <v/>
      </c>
      <c r="P820" t="str">
        <f>IF(M820="","",VLOOKUP(B820,'Team Stats'!$B$3:$K$18,5,0))</f>
        <v/>
      </c>
      <c r="Q820" t="str">
        <f t="shared" si="101"/>
        <v/>
      </c>
      <c r="R820" t="str">
        <f>IF(M820="","",VLOOKUP(N820,Sim!$EF$46:$EG$61,2,0))</f>
        <v/>
      </c>
      <c r="S820" t="str">
        <f>IF(M820="","",VLOOKUP(N820,'Team Stats'!$B$3:$K$18,10,0))</f>
        <v/>
      </c>
      <c r="T820" s="84" t="str">
        <f t="shared" si="102"/>
        <v/>
      </c>
      <c r="U820" t="str">
        <f t="shared" si="103"/>
        <v/>
      </c>
    </row>
    <row r="821" spans="1:21">
      <c r="A821" s="73" t="s">
        <v>1145</v>
      </c>
      <c r="B821" s="73" t="s">
        <v>198</v>
      </c>
      <c r="C821" s="74">
        <v>10</v>
      </c>
      <c r="D821" s="74"/>
      <c r="E821" s="74">
        <v>0</v>
      </c>
      <c r="F821" s="74"/>
      <c r="G821" s="74">
        <v>0</v>
      </c>
      <c r="H821" s="74"/>
      <c r="I821" s="63">
        <v>0</v>
      </c>
      <c r="J821" t="b">
        <f t="shared" si="96"/>
        <v>1</v>
      </c>
      <c r="K821" t="b">
        <f t="shared" si="97"/>
        <v>1</v>
      </c>
      <c r="M821" t="str">
        <f t="shared" si="98"/>
        <v> Scott Harrington</v>
      </c>
      <c r="N821" t="str">
        <f t="shared" si="99"/>
        <v>PIT</v>
      </c>
      <c r="O821">
        <f t="shared" si="100"/>
        <v>0</v>
      </c>
      <c r="P821">
        <f>IF(M821="","",VLOOKUP(B821,'Team Stats'!$B$3:$K$18,5,0))</f>
        <v>600</v>
      </c>
      <c r="Q821">
        <f t="shared" si="101"/>
        <v>0</v>
      </c>
      <c r="R821">
        <f ca="1">IF(M821="","",VLOOKUP(N821,Sim!$EF$46:$EG$61,2,0))</f>
        <v>9.74</v>
      </c>
      <c r="S821">
        <f ca="1">IF(M821="","",VLOOKUP(N821,'Team Stats'!$B$3:$K$18,10,0))</f>
        <v>71.268292682926827</v>
      </c>
      <c r="T821" s="84">
        <f t="shared" si="102"/>
        <v>0</v>
      </c>
      <c r="U821">
        <f t="shared" ca="1" si="103"/>
        <v>288</v>
      </c>
    </row>
    <row r="822" spans="1:21">
      <c r="A822" s="73" t="s">
        <v>1146</v>
      </c>
      <c r="B822" s="73" t="s">
        <v>210</v>
      </c>
      <c r="C822" s="74">
        <v>1</v>
      </c>
      <c r="D822" s="74"/>
      <c r="E822" s="74">
        <v>0</v>
      </c>
      <c r="F822" s="74"/>
      <c r="G822" s="74">
        <v>0</v>
      </c>
      <c r="H822" s="74"/>
      <c r="I822" s="63">
        <v>0</v>
      </c>
      <c r="J822" t="b">
        <f t="shared" si="96"/>
        <v>1</v>
      </c>
      <c r="K822" t="b">
        <f t="shared" si="97"/>
        <v>1</v>
      </c>
      <c r="M822" t="str">
        <f t="shared" si="98"/>
        <v> Julien Brouillette</v>
      </c>
      <c r="N822" t="str">
        <f t="shared" si="99"/>
        <v>WPG</v>
      </c>
      <c r="O822">
        <f t="shared" si="100"/>
        <v>0</v>
      </c>
      <c r="P822">
        <f>IF(M822="","",VLOOKUP(B822,'Team Stats'!$B$3:$K$18,5,0))</f>
        <v>594</v>
      </c>
      <c r="Q822">
        <f t="shared" si="101"/>
        <v>0</v>
      </c>
      <c r="R822">
        <f ca="1">IF(M822="","",VLOOKUP(N822,Sim!$EF$46:$EG$61,2,0))</f>
        <v>8.94</v>
      </c>
      <c r="S822">
        <f ca="1">IF(M822="","",VLOOKUP(N822,'Team Stats'!$B$3:$K$18,10,0))</f>
        <v>64.760487804878053</v>
      </c>
      <c r="T822" s="84">
        <f t="shared" si="102"/>
        <v>0</v>
      </c>
      <c r="U822">
        <f t="shared" ca="1" si="103"/>
        <v>288</v>
      </c>
    </row>
    <row r="823" spans="1:21">
      <c r="A823" s="73" t="s">
        <v>1147</v>
      </c>
      <c r="B823" s="73" t="s">
        <v>198</v>
      </c>
      <c r="C823" s="74">
        <v>1</v>
      </c>
      <c r="D823" s="74"/>
      <c r="E823" s="74">
        <v>0</v>
      </c>
      <c r="F823" s="74"/>
      <c r="G823" s="74">
        <v>0</v>
      </c>
      <c r="H823" s="74"/>
      <c r="I823" s="63">
        <v>0</v>
      </c>
      <c r="J823" t="b">
        <f t="shared" si="96"/>
        <v>1</v>
      </c>
      <c r="K823" t="b">
        <f t="shared" si="97"/>
        <v>1</v>
      </c>
      <c r="M823" t="str">
        <f t="shared" si="98"/>
        <v> Scott Wilson</v>
      </c>
      <c r="N823" t="str">
        <f t="shared" si="99"/>
        <v>PIT</v>
      </c>
      <c r="O823">
        <f t="shared" si="100"/>
        <v>0</v>
      </c>
      <c r="P823">
        <f>IF(M823="","",VLOOKUP(B823,'Team Stats'!$B$3:$K$18,5,0))</f>
        <v>600</v>
      </c>
      <c r="Q823">
        <f t="shared" si="101"/>
        <v>0</v>
      </c>
      <c r="R823">
        <f ca="1">IF(M823="","",VLOOKUP(N823,Sim!$EF$46:$EG$61,2,0))</f>
        <v>9.74</v>
      </c>
      <c r="S823">
        <f ca="1">IF(M823="","",VLOOKUP(N823,'Team Stats'!$B$3:$K$18,10,0))</f>
        <v>71.268292682926827</v>
      </c>
      <c r="T823" s="84">
        <f t="shared" si="102"/>
        <v>0</v>
      </c>
      <c r="U823">
        <f t="shared" ca="1" si="103"/>
        <v>288</v>
      </c>
    </row>
    <row r="824" spans="1:21">
      <c r="A824" s="73" t="s">
        <v>1148</v>
      </c>
      <c r="B824" s="73" t="s">
        <v>213</v>
      </c>
      <c r="C824" s="74">
        <v>7</v>
      </c>
      <c r="D824" s="74"/>
      <c r="E824" s="74">
        <v>0</v>
      </c>
      <c r="F824" s="74"/>
      <c r="G824" s="74">
        <v>0</v>
      </c>
      <c r="H824" s="74"/>
      <c r="I824" s="63">
        <v>0</v>
      </c>
      <c r="J824" t="b">
        <f t="shared" si="96"/>
        <v>0</v>
      </c>
      <c r="K824" t="b">
        <f t="shared" si="97"/>
        <v>0</v>
      </c>
      <c r="M824" t="str">
        <f t="shared" si="98"/>
        <v/>
      </c>
      <c r="N824" t="str">
        <f t="shared" si="99"/>
        <v/>
      </c>
      <c r="O824" t="str">
        <f t="shared" si="100"/>
        <v/>
      </c>
      <c r="P824" t="str">
        <f>IF(M824="","",VLOOKUP(B824,'Team Stats'!$B$3:$K$18,5,0))</f>
        <v/>
      </c>
      <c r="Q824" t="str">
        <f t="shared" si="101"/>
        <v/>
      </c>
      <c r="R824" t="str">
        <f>IF(M824="","",VLOOKUP(N824,Sim!$EF$46:$EG$61,2,0))</f>
        <v/>
      </c>
      <c r="S824" t="str">
        <f>IF(M824="","",VLOOKUP(N824,'Team Stats'!$B$3:$K$18,10,0))</f>
        <v/>
      </c>
      <c r="T824" s="84" t="str">
        <f t="shared" si="102"/>
        <v/>
      </c>
      <c r="U824" t="str">
        <f t="shared" si="103"/>
        <v/>
      </c>
    </row>
    <row r="825" spans="1:21">
      <c r="A825" s="73" t="s">
        <v>1149</v>
      </c>
      <c r="B825" s="73" t="s">
        <v>215</v>
      </c>
      <c r="C825" s="74">
        <v>1</v>
      </c>
      <c r="D825" s="74"/>
      <c r="E825" s="74">
        <v>0</v>
      </c>
      <c r="F825" s="74"/>
      <c r="G825" s="74">
        <v>0</v>
      </c>
      <c r="H825" s="74"/>
      <c r="I825" s="63">
        <v>0</v>
      </c>
      <c r="J825" t="b">
        <f t="shared" si="96"/>
        <v>0</v>
      </c>
      <c r="K825" t="b">
        <f t="shared" si="97"/>
        <v>0</v>
      </c>
      <c r="M825" t="str">
        <f t="shared" si="98"/>
        <v/>
      </c>
      <c r="N825" t="str">
        <f t="shared" si="99"/>
        <v/>
      </c>
      <c r="O825" t="str">
        <f t="shared" si="100"/>
        <v/>
      </c>
      <c r="P825" t="str">
        <f>IF(M825="","",VLOOKUP(B825,'Team Stats'!$B$3:$K$18,5,0))</f>
        <v/>
      </c>
      <c r="Q825" t="str">
        <f t="shared" si="101"/>
        <v/>
      </c>
      <c r="R825" t="str">
        <f>IF(M825="","",VLOOKUP(N825,Sim!$EF$46:$EG$61,2,0))</f>
        <v/>
      </c>
      <c r="S825" t="str">
        <f>IF(M825="","",VLOOKUP(N825,'Team Stats'!$B$3:$K$18,10,0))</f>
        <v/>
      </c>
      <c r="T825" s="84" t="str">
        <f t="shared" si="102"/>
        <v/>
      </c>
      <c r="U825" t="str">
        <f t="shared" si="103"/>
        <v/>
      </c>
    </row>
    <row r="826" spans="1:21">
      <c r="A826" s="73" t="s">
        <v>1150</v>
      </c>
      <c r="B826" s="73" t="s">
        <v>345</v>
      </c>
      <c r="C826" s="74">
        <v>7</v>
      </c>
      <c r="D826" s="74"/>
      <c r="E826" s="74">
        <v>0</v>
      </c>
      <c r="F826" s="74"/>
      <c r="G826" s="74">
        <v>0</v>
      </c>
      <c r="H826" s="74"/>
      <c r="I826" s="63">
        <v>0</v>
      </c>
      <c r="J826" t="b">
        <f t="shared" si="96"/>
        <v>0</v>
      </c>
      <c r="K826" t="b">
        <f t="shared" si="97"/>
        <v>0</v>
      </c>
      <c r="M826" t="str">
        <f t="shared" si="98"/>
        <v/>
      </c>
      <c r="N826" t="str">
        <f t="shared" si="99"/>
        <v/>
      </c>
      <c r="O826" t="str">
        <f t="shared" si="100"/>
        <v/>
      </c>
      <c r="P826" t="str">
        <f>IF(M826="","",VLOOKUP(B826,'Team Stats'!$B$3:$K$18,5,0))</f>
        <v/>
      </c>
      <c r="Q826" t="str">
        <f t="shared" si="101"/>
        <v/>
      </c>
      <c r="R826" t="str">
        <f>IF(M826="","",VLOOKUP(N826,Sim!$EF$46:$EG$61,2,0))</f>
        <v/>
      </c>
      <c r="S826" t="str">
        <f>IF(M826="","",VLOOKUP(N826,'Team Stats'!$B$3:$K$18,10,0))</f>
        <v/>
      </c>
      <c r="T826" s="84" t="str">
        <f t="shared" si="102"/>
        <v/>
      </c>
      <c r="U826" t="str">
        <f t="shared" si="103"/>
        <v/>
      </c>
    </row>
    <row r="827" spans="1:21">
      <c r="A827" s="73" t="s">
        <v>1151</v>
      </c>
      <c r="B827" s="73" t="s">
        <v>205</v>
      </c>
      <c r="C827" s="74">
        <v>1</v>
      </c>
      <c r="D827" s="74"/>
      <c r="E827" s="74">
        <v>0</v>
      </c>
      <c r="F827" s="74"/>
      <c r="G827" s="74">
        <v>0</v>
      </c>
      <c r="H827" s="74"/>
      <c r="I827" s="63">
        <v>0</v>
      </c>
      <c r="J827" t="b">
        <f t="shared" si="96"/>
        <v>1</v>
      </c>
      <c r="K827" t="b">
        <f t="shared" si="97"/>
        <v>1</v>
      </c>
      <c r="M827" t="str">
        <f t="shared" si="98"/>
        <v> Stefan Noesen</v>
      </c>
      <c r="N827" t="str">
        <f t="shared" si="99"/>
        <v>ANA</v>
      </c>
      <c r="O827">
        <f t="shared" si="100"/>
        <v>0</v>
      </c>
      <c r="P827">
        <f>IF(M827="","",VLOOKUP(B827,'Team Stats'!$B$3:$K$18,5,0))</f>
        <v>613</v>
      </c>
      <c r="Q827">
        <f t="shared" si="101"/>
        <v>0</v>
      </c>
      <c r="R827">
        <f ca="1">IF(M827="","",VLOOKUP(N827,Sim!$EF$46:$EG$61,2,0))</f>
        <v>14.85</v>
      </c>
      <c r="S827">
        <f ca="1">IF(M827="","",VLOOKUP(N827,'Team Stats'!$B$3:$K$18,10,0))</f>
        <v>111.01280487804878</v>
      </c>
      <c r="T827" s="84">
        <f t="shared" si="102"/>
        <v>0</v>
      </c>
      <c r="U827">
        <f t="shared" ca="1" si="103"/>
        <v>288</v>
      </c>
    </row>
    <row r="828" spans="1:21">
      <c r="A828" s="73" t="s">
        <v>1152</v>
      </c>
      <c r="B828" s="73" t="s">
        <v>203</v>
      </c>
      <c r="C828" s="74">
        <v>1</v>
      </c>
      <c r="D828" s="74"/>
      <c r="E828" s="74">
        <v>0</v>
      </c>
      <c r="F828" s="74"/>
      <c r="G828" s="74">
        <v>0</v>
      </c>
      <c r="H828" s="74"/>
      <c r="I828" s="63">
        <v>0</v>
      </c>
      <c r="J828" t="b">
        <f t="shared" si="96"/>
        <v>1</v>
      </c>
      <c r="K828" t="b">
        <f t="shared" si="97"/>
        <v>1</v>
      </c>
      <c r="M828" t="str">
        <f t="shared" si="98"/>
        <v> Dylan McIlrath</v>
      </c>
      <c r="N828" t="str">
        <f t="shared" si="99"/>
        <v>NYR</v>
      </c>
      <c r="O828">
        <f t="shared" si="100"/>
        <v>0</v>
      </c>
      <c r="P828">
        <f>IF(M828="","",VLOOKUP(B828,'Team Stats'!$B$3:$K$18,5,0))</f>
        <v>659</v>
      </c>
      <c r="Q828">
        <f t="shared" si="101"/>
        <v>0</v>
      </c>
      <c r="R828">
        <f ca="1">IF(M828="","",VLOOKUP(N828,Sim!$EF$46:$EG$61,2,0))</f>
        <v>8.7200000000000006</v>
      </c>
      <c r="S828">
        <f ca="1">IF(M828="","",VLOOKUP(N828,'Team Stats'!$B$3:$K$18,10,0))</f>
        <v>70.079024390243916</v>
      </c>
      <c r="T828" s="84">
        <f t="shared" si="102"/>
        <v>0</v>
      </c>
      <c r="U828">
        <f t="shared" ca="1" si="103"/>
        <v>288</v>
      </c>
    </row>
    <row r="829" spans="1:21">
      <c r="A829" s="73" t="s">
        <v>1153</v>
      </c>
      <c r="B829" s="73" t="s">
        <v>199</v>
      </c>
      <c r="C829" s="74">
        <v>1</v>
      </c>
      <c r="D829" s="74"/>
      <c r="E829" s="74">
        <v>0</v>
      </c>
      <c r="F829" s="74"/>
      <c r="G829" s="74">
        <v>0</v>
      </c>
      <c r="H829" s="74"/>
      <c r="I829" s="63">
        <v>0</v>
      </c>
      <c r="J829" t="b">
        <f t="shared" si="96"/>
        <v>0</v>
      </c>
      <c r="K829" t="b">
        <f t="shared" si="97"/>
        <v>0</v>
      </c>
      <c r="M829" t="str">
        <f t="shared" si="98"/>
        <v/>
      </c>
      <c r="N829" t="str">
        <f t="shared" si="99"/>
        <v/>
      </c>
      <c r="O829" t="str">
        <f t="shared" si="100"/>
        <v/>
      </c>
      <c r="P829" t="str">
        <f>IF(M829="","",VLOOKUP(B829,'Team Stats'!$B$3:$K$18,5,0))</f>
        <v/>
      </c>
      <c r="Q829" t="str">
        <f t="shared" si="101"/>
        <v/>
      </c>
      <c r="R829" t="str">
        <f>IF(M829="","",VLOOKUP(N829,Sim!$EF$46:$EG$61,2,0))</f>
        <v/>
      </c>
      <c r="S829" t="str">
        <f>IF(M829="","",VLOOKUP(N829,'Team Stats'!$B$3:$K$18,10,0))</f>
        <v/>
      </c>
      <c r="T829" s="84" t="str">
        <f t="shared" si="102"/>
        <v/>
      </c>
      <c r="U829" t="str">
        <f t="shared" si="103"/>
        <v/>
      </c>
    </row>
    <row r="830" spans="1:21">
      <c r="A830" s="73" t="s">
        <v>1154</v>
      </c>
      <c r="B830" s="73" t="s">
        <v>202</v>
      </c>
      <c r="C830" s="74">
        <v>2</v>
      </c>
      <c r="D830" s="74"/>
      <c r="E830" s="74">
        <v>0</v>
      </c>
      <c r="F830" s="74"/>
      <c r="G830" s="74">
        <v>0</v>
      </c>
      <c r="H830" s="74"/>
      <c r="I830" s="63">
        <v>0</v>
      </c>
      <c r="J830" t="b">
        <f t="shared" si="96"/>
        <v>1</v>
      </c>
      <c r="K830" t="b">
        <f t="shared" si="97"/>
        <v>1</v>
      </c>
      <c r="M830" t="str">
        <f t="shared" si="98"/>
        <v> Phillip Danault</v>
      </c>
      <c r="N830" t="str">
        <f t="shared" si="99"/>
        <v>CHI</v>
      </c>
      <c r="O830">
        <f t="shared" si="100"/>
        <v>0</v>
      </c>
      <c r="P830">
        <f>IF(M830="","",VLOOKUP(B830,'Team Stats'!$B$3:$K$18,5,0))</f>
        <v>601</v>
      </c>
      <c r="Q830">
        <f t="shared" si="101"/>
        <v>0</v>
      </c>
      <c r="R830">
        <f ca="1">IF(M830="","",VLOOKUP(N830,Sim!$EF$46:$EG$61,2,0))</f>
        <v>9.14</v>
      </c>
      <c r="S830">
        <f ca="1">IF(M830="","",VLOOKUP(N830,'Team Stats'!$B$3:$K$18,10,0))</f>
        <v>66.989512195121961</v>
      </c>
      <c r="T830" s="84">
        <f t="shared" si="102"/>
        <v>0</v>
      </c>
      <c r="U830">
        <f t="shared" ca="1" si="103"/>
        <v>288</v>
      </c>
    </row>
    <row r="831" spans="1:21">
      <c r="A831" s="73" t="s">
        <v>1155</v>
      </c>
      <c r="B831" s="73" t="s">
        <v>325</v>
      </c>
      <c r="C831" s="74">
        <v>4</v>
      </c>
      <c r="D831" s="74"/>
      <c r="E831" s="74">
        <v>0</v>
      </c>
      <c r="F831" s="74"/>
      <c r="G831" s="74">
        <v>0</v>
      </c>
      <c r="H831" s="74"/>
      <c r="I831" s="63">
        <v>0</v>
      </c>
      <c r="J831" t="b">
        <f t="shared" si="96"/>
        <v>0</v>
      </c>
      <c r="K831" t="b">
        <f t="shared" si="97"/>
        <v>0</v>
      </c>
      <c r="M831" t="str">
        <f t="shared" si="98"/>
        <v/>
      </c>
      <c r="N831" t="str">
        <f t="shared" si="99"/>
        <v/>
      </c>
      <c r="O831" t="str">
        <f t="shared" si="100"/>
        <v/>
      </c>
      <c r="P831" t="str">
        <f>IF(M831="","",VLOOKUP(B831,'Team Stats'!$B$3:$K$18,5,0))</f>
        <v/>
      </c>
      <c r="Q831" t="str">
        <f t="shared" si="101"/>
        <v/>
      </c>
      <c r="R831" t="str">
        <f>IF(M831="","",VLOOKUP(N831,Sim!$EF$46:$EG$61,2,0))</f>
        <v/>
      </c>
      <c r="S831" t="str">
        <f>IF(M831="","",VLOOKUP(N831,'Team Stats'!$B$3:$K$18,10,0))</f>
        <v/>
      </c>
      <c r="T831" s="84" t="str">
        <f t="shared" si="102"/>
        <v/>
      </c>
      <c r="U831" t="str">
        <f t="shared" si="103"/>
        <v/>
      </c>
    </row>
    <row r="832" spans="1:21">
      <c r="A832" s="73" t="s">
        <v>1156</v>
      </c>
      <c r="B832" s="73" t="s">
        <v>345</v>
      </c>
      <c r="C832" s="74">
        <v>17</v>
      </c>
      <c r="D832" s="74"/>
      <c r="E832" s="74">
        <v>0</v>
      </c>
      <c r="F832" s="74"/>
      <c r="G832" s="74">
        <v>0</v>
      </c>
      <c r="H832" s="74"/>
      <c r="I832" s="63">
        <v>0</v>
      </c>
      <c r="J832" t="b">
        <f t="shared" si="96"/>
        <v>0</v>
      </c>
      <c r="K832" t="b">
        <f t="shared" si="97"/>
        <v>0</v>
      </c>
      <c r="M832" t="str">
        <f t="shared" si="98"/>
        <v/>
      </c>
      <c r="N832" t="str">
        <f t="shared" si="99"/>
        <v/>
      </c>
      <c r="O832" t="str">
        <f t="shared" si="100"/>
        <v/>
      </c>
      <c r="P832" t="str">
        <f>IF(M832="","",VLOOKUP(B832,'Team Stats'!$B$3:$K$18,5,0))</f>
        <v/>
      </c>
      <c r="Q832" t="str">
        <f t="shared" si="101"/>
        <v/>
      </c>
      <c r="R832" t="str">
        <f>IF(M832="","",VLOOKUP(N832,Sim!$EF$46:$EG$61,2,0))</f>
        <v/>
      </c>
      <c r="S832" t="str">
        <f>IF(M832="","",VLOOKUP(N832,'Team Stats'!$B$3:$K$18,10,0))</f>
        <v/>
      </c>
      <c r="T832" s="84" t="str">
        <f t="shared" si="102"/>
        <v/>
      </c>
      <c r="U832" t="str">
        <f t="shared" si="103"/>
        <v/>
      </c>
    </row>
    <row r="833" spans="1:21">
      <c r="A833" s="73" t="s">
        <v>1157</v>
      </c>
      <c r="B833" s="73" t="s">
        <v>218</v>
      </c>
      <c r="C833" s="74">
        <v>4</v>
      </c>
      <c r="D833" s="74"/>
      <c r="E833" s="74">
        <v>0</v>
      </c>
      <c r="F833" s="74"/>
      <c r="G833" s="74">
        <v>0</v>
      </c>
      <c r="H833" s="74"/>
      <c r="I833" s="63">
        <v>0</v>
      </c>
      <c r="J833" t="b">
        <f t="shared" si="96"/>
        <v>0</v>
      </c>
      <c r="K833" t="b">
        <f t="shared" si="97"/>
        <v>0</v>
      </c>
      <c r="M833" t="str">
        <f t="shared" si="98"/>
        <v/>
      </c>
      <c r="N833" t="str">
        <f t="shared" si="99"/>
        <v/>
      </c>
      <c r="O833" t="str">
        <f t="shared" si="100"/>
        <v/>
      </c>
      <c r="P833" t="str">
        <f>IF(M833="","",VLOOKUP(B833,'Team Stats'!$B$3:$K$18,5,0))</f>
        <v/>
      </c>
      <c r="Q833" t="str">
        <f t="shared" si="101"/>
        <v/>
      </c>
      <c r="R833" t="str">
        <f>IF(M833="","",VLOOKUP(N833,Sim!$EF$46:$EG$61,2,0))</f>
        <v/>
      </c>
      <c r="S833" t="str">
        <f>IF(M833="","",VLOOKUP(N833,'Team Stats'!$B$3:$K$18,10,0))</f>
        <v/>
      </c>
      <c r="T833" s="84" t="str">
        <f t="shared" si="102"/>
        <v/>
      </c>
      <c r="U833" t="str">
        <f t="shared" si="103"/>
        <v/>
      </c>
    </row>
    <row r="834" spans="1:21">
      <c r="A834" s="73" t="s">
        <v>1158</v>
      </c>
      <c r="B834" s="73" t="s">
        <v>212</v>
      </c>
      <c r="C834" s="74">
        <v>3</v>
      </c>
      <c r="D834" s="74"/>
      <c r="E834" s="74">
        <v>0</v>
      </c>
      <c r="F834" s="74"/>
      <c r="G834" s="74">
        <v>0</v>
      </c>
      <c r="H834" s="74"/>
      <c r="I834" s="63">
        <v>0</v>
      </c>
      <c r="J834" t="b">
        <f t="shared" si="96"/>
        <v>1</v>
      </c>
      <c r="K834" t="b">
        <f t="shared" si="97"/>
        <v>1</v>
      </c>
      <c r="M834" t="str">
        <f t="shared" si="98"/>
        <v> Tyler Graovac</v>
      </c>
      <c r="N834" t="str">
        <f t="shared" si="99"/>
        <v>MIN</v>
      </c>
      <c r="O834">
        <f t="shared" si="100"/>
        <v>0</v>
      </c>
      <c r="P834">
        <f>IF(M834="","",VLOOKUP(B834,'Team Stats'!$B$3:$K$18,5,0))</f>
        <v>608</v>
      </c>
      <c r="Q834">
        <f t="shared" si="101"/>
        <v>0</v>
      </c>
      <c r="R834">
        <f ca="1">IF(M834="","",VLOOKUP(N834,Sim!$EF$46:$EG$61,2,0))</f>
        <v>11.71</v>
      </c>
      <c r="S834">
        <f ca="1">IF(M834="","",VLOOKUP(N834,'Team Stats'!$B$3:$K$18,10,0))</f>
        <v>86.825365853658553</v>
      </c>
      <c r="T834" s="84">
        <f t="shared" si="102"/>
        <v>0</v>
      </c>
      <c r="U834">
        <f t="shared" ca="1" si="103"/>
        <v>288</v>
      </c>
    </row>
    <row r="835" spans="1:21">
      <c r="A835" s="73" t="s">
        <v>1159</v>
      </c>
      <c r="B835" s="73" t="s">
        <v>331</v>
      </c>
      <c r="C835" s="74">
        <v>3</v>
      </c>
      <c r="D835" s="74"/>
      <c r="E835" s="74">
        <v>0</v>
      </c>
      <c r="F835" s="74"/>
      <c r="G835" s="74">
        <v>0</v>
      </c>
      <c r="H835" s="74"/>
      <c r="I835" s="63">
        <v>0</v>
      </c>
      <c r="J835" t="b">
        <f t="shared" si="96"/>
        <v>0</v>
      </c>
      <c r="K835" t="b">
        <f t="shared" si="97"/>
        <v>0</v>
      </c>
      <c r="M835" t="str">
        <f t="shared" si="98"/>
        <v/>
      </c>
      <c r="N835" t="str">
        <f t="shared" si="99"/>
        <v/>
      </c>
      <c r="O835" t="str">
        <f t="shared" si="100"/>
        <v/>
      </c>
      <c r="P835" t="str">
        <f>IF(M835="","",VLOOKUP(B835,'Team Stats'!$B$3:$K$18,5,0))</f>
        <v/>
      </c>
      <c r="Q835" t="str">
        <f t="shared" si="101"/>
        <v/>
      </c>
      <c r="R835" t="str">
        <f>IF(M835="","",VLOOKUP(N835,Sim!$EF$46:$EG$61,2,0))</f>
        <v/>
      </c>
      <c r="S835" t="str">
        <f>IF(M835="","",VLOOKUP(N835,'Team Stats'!$B$3:$K$18,10,0))</f>
        <v/>
      </c>
      <c r="T835" s="84" t="str">
        <f t="shared" si="102"/>
        <v/>
      </c>
      <c r="U835" t="str">
        <f t="shared" si="103"/>
        <v/>
      </c>
    </row>
    <row r="836" spans="1:21">
      <c r="A836" s="73" t="s">
        <v>1160</v>
      </c>
      <c r="B836" s="73" t="s">
        <v>217</v>
      </c>
      <c r="C836" s="74">
        <v>3</v>
      </c>
      <c r="D836" s="74"/>
      <c r="E836" s="74">
        <v>0</v>
      </c>
      <c r="F836" s="74"/>
      <c r="G836" s="74">
        <v>0</v>
      </c>
      <c r="H836" s="74"/>
      <c r="I836" s="63">
        <v>0</v>
      </c>
      <c r="J836" t="b">
        <f t="shared" ref="J836:J884" si="104">OR(B836="MTL",B836="OTT",B836="TBL",B836="DET",B836="WSH",B836="NYI",B836="NYR",B836="PIT",B836="STL",B836="MIN",B836="NSH",B836="CHI",B836="VAN",B836="CAL",B836="ANA",B836="WPG")</f>
        <v>0</v>
      </c>
      <c r="K836" t="b">
        <f t="shared" ref="K836:K884" si="105">J836</f>
        <v>0</v>
      </c>
      <c r="M836" t="str">
        <f t="shared" ref="M836:M884" si="106">IF(K836=FALSE,"",A836)</f>
        <v/>
      </c>
      <c r="N836" t="str">
        <f t="shared" ref="N836:N884" si="107">IF(M836="","",B836)</f>
        <v/>
      </c>
      <c r="O836" t="str">
        <f t="shared" ref="O836:O884" si="108">IF(M836="","",I836)</f>
        <v/>
      </c>
      <c r="P836" t="str">
        <f>IF(M836="","",VLOOKUP(B836,'Team Stats'!$B$3:$K$18,5,0))</f>
        <v/>
      </c>
      <c r="Q836" t="str">
        <f t="shared" ref="Q836:Q884" si="109">IF(N836="","",IF(O836=0,0,O836/P836))</f>
        <v/>
      </c>
      <c r="R836" t="str">
        <f>IF(M836="","",VLOOKUP(N836,Sim!$EF$46:$EG$61,2,0))</f>
        <v/>
      </c>
      <c r="S836" t="str">
        <f>IF(M836="","",VLOOKUP(N836,'Team Stats'!$B$3:$K$18,10,0))</f>
        <v/>
      </c>
      <c r="T836" s="84" t="str">
        <f t="shared" ref="T836:T884" si="110">IF(M836="","",IF(O836=0,0,Q836*S836))</f>
        <v/>
      </c>
      <c r="U836" t="str">
        <f t="shared" ref="U836:U884" si="111">IF(M836="","",RANK(T836,$T$3:$T$884,0))</f>
        <v/>
      </c>
    </row>
    <row r="837" spans="1:21">
      <c r="A837" s="73" t="s">
        <v>1161</v>
      </c>
      <c r="B837" s="73" t="s">
        <v>199</v>
      </c>
      <c r="C837" s="74">
        <v>11</v>
      </c>
      <c r="D837" s="74"/>
      <c r="E837" s="74">
        <v>0</v>
      </c>
      <c r="F837" s="74"/>
      <c r="G837" s="74">
        <v>0</v>
      </c>
      <c r="H837" s="74"/>
      <c r="I837" s="63">
        <v>0</v>
      </c>
      <c r="J837" t="b">
        <f t="shared" si="104"/>
        <v>0</v>
      </c>
      <c r="K837" t="b">
        <f t="shared" si="105"/>
        <v>0</v>
      </c>
      <c r="M837" t="str">
        <f t="shared" si="106"/>
        <v/>
      </c>
      <c r="N837" t="str">
        <f t="shared" si="107"/>
        <v/>
      </c>
      <c r="O837" t="str">
        <f t="shared" si="108"/>
        <v/>
      </c>
      <c r="P837" t="str">
        <f>IF(M837="","",VLOOKUP(B837,'Team Stats'!$B$3:$K$18,5,0))</f>
        <v/>
      </c>
      <c r="Q837" t="str">
        <f t="shared" si="109"/>
        <v/>
      </c>
      <c r="R837" t="str">
        <f>IF(M837="","",VLOOKUP(N837,Sim!$EF$46:$EG$61,2,0))</f>
        <v/>
      </c>
      <c r="S837" t="str">
        <f>IF(M837="","",VLOOKUP(N837,'Team Stats'!$B$3:$K$18,10,0))</f>
        <v/>
      </c>
      <c r="T837" s="84" t="str">
        <f t="shared" si="110"/>
        <v/>
      </c>
      <c r="U837" t="str">
        <f t="shared" si="111"/>
        <v/>
      </c>
    </row>
    <row r="838" spans="1:21">
      <c r="A838" s="73" t="s">
        <v>1162</v>
      </c>
      <c r="B838" s="73" t="s">
        <v>208</v>
      </c>
      <c r="C838" s="74">
        <v>1</v>
      </c>
      <c r="D838" s="74"/>
      <c r="E838" s="74">
        <v>0</v>
      </c>
      <c r="F838" s="74"/>
      <c r="G838" s="74">
        <v>0</v>
      </c>
      <c r="H838" s="74"/>
      <c r="I838" s="63">
        <v>0</v>
      </c>
      <c r="J838" t="b">
        <f t="shared" si="104"/>
        <v>0</v>
      </c>
      <c r="K838" t="b">
        <f t="shared" si="105"/>
        <v>0</v>
      </c>
      <c r="M838" t="str">
        <f t="shared" si="106"/>
        <v/>
      </c>
      <c r="N838" t="str">
        <f t="shared" si="107"/>
        <v/>
      </c>
      <c r="O838" t="str">
        <f t="shared" si="108"/>
        <v/>
      </c>
      <c r="P838" t="str">
        <f>IF(M838="","",VLOOKUP(B838,'Team Stats'!$B$3:$K$18,5,0))</f>
        <v/>
      </c>
      <c r="Q838" t="str">
        <f t="shared" si="109"/>
        <v/>
      </c>
      <c r="R838" t="str">
        <f>IF(M838="","",VLOOKUP(N838,Sim!$EF$46:$EG$61,2,0))</f>
        <v/>
      </c>
      <c r="S838" t="str">
        <f>IF(M838="","",VLOOKUP(N838,'Team Stats'!$B$3:$K$18,10,0))</f>
        <v/>
      </c>
      <c r="T838" s="84" t="str">
        <f t="shared" si="110"/>
        <v/>
      </c>
      <c r="U838" t="str">
        <f t="shared" si="111"/>
        <v/>
      </c>
    </row>
    <row r="839" spans="1:21">
      <c r="A839" s="73" t="s">
        <v>1163</v>
      </c>
      <c r="B839" s="73" t="s">
        <v>196</v>
      </c>
      <c r="C839" s="74">
        <v>2</v>
      </c>
      <c r="D839" s="74"/>
      <c r="E839" s="74">
        <v>0</v>
      </c>
      <c r="F839" s="74"/>
      <c r="G839" s="74">
        <v>0</v>
      </c>
      <c r="H839" s="74"/>
      <c r="I839" s="63">
        <v>0</v>
      </c>
      <c r="J839" t="b">
        <f t="shared" si="104"/>
        <v>1</v>
      </c>
      <c r="K839" t="b">
        <f t="shared" si="105"/>
        <v>1</v>
      </c>
      <c r="M839" t="str">
        <f t="shared" si="106"/>
        <v> Harry Zolnierczyk</v>
      </c>
      <c r="N839" t="str">
        <f t="shared" si="107"/>
        <v>NYI</v>
      </c>
      <c r="O839">
        <f t="shared" si="108"/>
        <v>0</v>
      </c>
      <c r="P839">
        <f>IF(M839="","",VLOOKUP(B839,'Team Stats'!$B$3:$K$18,5,0))</f>
        <v>656</v>
      </c>
      <c r="Q839">
        <f t="shared" si="109"/>
        <v>0</v>
      </c>
      <c r="R839">
        <f ca="1">IF(M839="","",VLOOKUP(N839,Sim!$EF$46:$EG$61,2,0))</f>
        <v>13.18</v>
      </c>
      <c r="S839">
        <f ca="1">IF(M839="","",VLOOKUP(N839,'Team Stats'!$B$3:$K$18,10,0))</f>
        <v>105.44</v>
      </c>
      <c r="T839" s="84">
        <f t="shared" si="110"/>
        <v>0</v>
      </c>
      <c r="U839">
        <f t="shared" ca="1" si="111"/>
        <v>288</v>
      </c>
    </row>
    <row r="840" spans="1:21">
      <c r="A840" s="73" t="s">
        <v>1164</v>
      </c>
      <c r="B840" s="73" t="s">
        <v>222</v>
      </c>
      <c r="C840" s="74">
        <v>1</v>
      </c>
      <c r="D840" s="74"/>
      <c r="E840" s="74">
        <v>0</v>
      </c>
      <c r="F840" s="74"/>
      <c r="G840" s="74">
        <v>0</v>
      </c>
      <c r="H840" s="74"/>
      <c r="I840" s="63">
        <v>0</v>
      </c>
      <c r="J840" t="b">
        <f t="shared" si="104"/>
        <v>0</v>
      </c>
      <c r="K840" t="b">
        <f t="shared" si="105"/>
        <v>0</v>
      </c>
      <c r="M840" t="str">
        <f t="shared" si="106"/>
        <v/>
      </c>
      <c r="N840" t="str">
        <f t="shared" si="107"/>
        <v/>
      </c>
      <c r="O840" t="str">
        <f t="shared" si="108"/>
        <v/>
      </c>
      <c r="P840" t="str">
        <f>IF(M840="","",VLOOKUP(B840,'Team Stats'!$B$3:$K$18,5,0))</f>
        <v/>
      </c>
      <c r="Q840" t="str">
        <f t="shared" si="109"/>
        <v/>
      </c>
      <c r="R840" t="str">
        <f>IF(M840="","",VLOOKUP(N840,Sim!$EF$46:$EG$61,2,0))</f>
        <v/>
      </c>
      <c r="S840" t="str">
        <f>IF(M840="","",VLOOKUP(N840,'Team Stats'!$B$3:$K$18,10,0))</f>
        <v/>
      </c>
      <c r="T840" s="84" t="str">
        <f t="shared" si="110"/>
        <v/>
      </c>
      <c r="U840" t="str">
        <f t="shared" si="111"/>
        <v/>
      </c>
    </row>
    <row r="841" spans="1:21">
      <c r="A841" s="73" t="s">
        <v>1165</v>
      </c>
      <c r="B841" s="73" t="s">
        <v>340</v>
      </c>
      <c r="C841" s="74">
        <v>4</v>
      </c>
      <c r="D841" s="74"/>
      <c r="E841" s="74">
        <v>0</v>
      </c>
      <c r="F841" s="74"/>
      <c r="G841" s="74">
        <v>0</v>
      </c>
      <c r="H841" s="74"/>
      <c r="I841" s="63">
        <v>0</v>
      </c>
      <c r="J841" t="b">
        <f t="shared" si="104"/>
        <v>0</v>
      </c>
      <c r="K841" t="b">
        <f t="shared" si="105"/>
        <v>0</v>
      </c>
      <c r="M841" t="str">
        <f t="shared" si="106"/>
        <v/>
      </c>
      <c r="N841" t="str">
        <f t="shared" si="107"/>
        <v/>
      </c>
      <c r="O841" t="str">
        <f t="shared" si="108"/>
        <v/>
      </c>
      <c r="P841" t="str">
        <f>IF(M841="","",VLOOKUP(B841,'Team Stats'!$B$3:$K$18,5,0))</f>
        <v/>
      </c>
      <c r="Q841" t="str">
        <f t="shared" si="109"/>
        <v/>
      </c>
      <c r="R841" t="str">
        <f>IF(M841="","",VLOOKUP(N841,Sim!$EF$46:$EG$61,2,0))</f>
        <v/>
      </c>
      <c r="S841" t="str">
        <f>IF(M841="","",VLOOKUP(N841,'Team Stats'!$B$3:$K$18,10,0))</f>
        <v/>
      </c>
      <c r="T841" s="84" t="str">
        <f t="shared" si="110"/>
        <v/>
      </c>
      <c r="U841" t="str">
        <f t="shared" si="111"/>
        <v/>
      </c>
    </row>
    <row r="842" spans="1:21">
      <c r="A842" s="73" t="s">
        <v>1166</v>
      </c>
      <c r="B842" s="73" t="s">
        <v>218</v>
      </c>
      <c r="C842" s="74">
        <v>2</v>
      </c>
      <c r="D842" s="74"/>
      <c r="E842" s="74">
        <v>0</v>
      </c>
      <c r="F842" s="74"/>
      <c r="G842" s="74">
        <v>0</v>
      </c>
      <c r="H842" s="74"/>
      <c r="I842" s="63">
        <v>0</v>
      </c>
      <c r="J842" t="b">
        <f t="shared" si="104"/>
        <v>0</v>
      </c>
      <c r="K842" t="b">
        <f t="shared" si="105"/>
        <v>0</v>
      </c>
      <c r="M842" t="str">
        <f t="shared" si="106"/>
        <v/>
      </c>
      <c r="N842" t="str">
        <f t="shared" si="107"/>
        <v/>
      </c>
      <c r="O842" t="str">
        <f t="shared" si="108"/>
        <v/>
      </c>
      <c r="P842" t="str">
        <f>IF(M842="","",VLOOKUP(B842,'Team Stats'!$B$3:$K$18,5,0))</f>
        <v/>
      </c>
      <c r="Q842" t="str">
        <f t="shared" si="109"/>
        <v/>
      </c>
      <c r="R842" t="str">
        <f>IF(M842="","",VLOOKUP(N842,Sim!$EF$46:$EG$61,2,0))</f>
        <v/>
      </c>
      <c r="S842" t="str">
        <f>IF(M842="","",VLOOKUP(N842,'Team Stats'!$B$3:$K$18,10,0))</f>
        <v/>
      </c>
      <c r="T842" s="84" t="str">
        <f t="shared" si="110"/>
        <v/>
      </c>
      <c r="U842" t="str">
        <f t="shared" si="111"/>
        <v/>
      </c>
    </row>
    <row r="843" spans="1:21">
      <c r="A843" s="73" t="s">
        <v>1167</v>
      </c>
      <c r="B843" s="73" t="s">
        <v>199</v>
      </c>
      <c r="C843" s="74">
        <v>1</v>
      </c>
      <c r="D843" s="74"/>
      <c r="E843" s="74">
        <v>0</v>
      </c>
      <c r="F843" s="74"/>
      <c r="G843" s="74">
        <v>0</v>
      </c>
      <c r="H843" s="74"/>
      <c r="I843" s="63">
        <v>0</v>
      </c>
      <c r="J843" t="b">
        <f t="shared" si="104"/>
        <v>0</v>
      </c>
      <c r="K843" t="b">
        <f t="shared" si="105"/>
        <v>0</v>
      </c>
      <c r="M843" t="str">
        <f t="shared" si="106"/>
        <v/>
      </c>
      <c r="N843" t="str">
        <f t="shared" si="107"/>
        <v/>
      </c>
      <c r="O843" t="str">
        <f t="shared" si="108"/>
        <v/>
      </c>
      <c r="P843" t="str">
        <f>IF(M843="","",VLOOKUP(B843,'Team Stats'!$B$3:$K$18,5,0))</f>
        <v/>
      </c>
      <c r="Q843" t="str">
        <f t="shared" si="109"/>
        <v/>
      </c>
      <c r="R843" t="str">
        <f>IF(M843="","",VLOOKUP(N843,Sim!$EF$46:$EG$61,2,0))</f>
        <v/>
      </c>
      <c r="S843" t="str">
        <f>IF(M843="","",VLOOKUP(N843,'Team Stats'!$B$3:$K$18,10,0))</f>
        <v/>
      </c>
      <c r="T843" s="84" t="str">
        <f t="shared" si="110"/>
        <v/>
      </c>
      <c r="U843" t="str">
        <f t="shared" si="111"/>
        <v/>
      </c>
    </row>
    <row r="844" spans="1:21">
      <c r="A844" s="73" t="s">
        <v>1168</v>
      </c>
      <c r="B844" s="73" t="s">
        <v>198</v>
      </c>
      <c r="C844" s="74">
        <v>2</v>
      </c>
      <c r="D844" s="74"/>
      <c r="E844" s="74">
        <v>0</v>
      </c>
      <c r="F844" s="74"/>
      <c r="G844" s="74">
        <v>0</v>
      </c>
      <c r="H844" s="74"/>
      <c r="I844" s="63">
        <v>0</v>
      </c>
      <c r="J844" t="b">
        <f t="shared" si="104"/>
        <v>1</v>
      </c>
      <c r="K844" t="b">
        <f t="shared" si="105"/>
        <v>1</v>
      </c>
      <c r="M844" t="str">
        <f t="shared" si="106"/>
        <v> Dominik Uher</v>
      </c>
      <c r="N844" t="str">
        <f t="shared" si="107"/>
        <v>PIT</v>
      </c>
      <c r="O844">
        <f t="shared" si="108"/>
        <v>0</v>
      </c>
      <c r="P844">
        <f>IF(M844="","",VLOOKUP(B844,'Team Stats'!$B$3:$K$18,5,0))</f>
        <v>600</v>
      </c>
      <c r="Q844">
        <f t="shared" si="109"/>
        <v>0</v>
      </c>
      <c r="R844">
        <f ca="1">IF(M844="","",VLOOKUP(N844,Sim!$EF$46:$EG$61,2,0))</f>
        <v>9.74</v>
      </c>
      <c r="S844">
        <f ca="1">IF(M844="","",VLOOKUP(N844,'Team Stats'!$B$3:$K$18,10,0))</f>
        <v>71.268292682926827</v>
      </c>
      <c r="T844" s="84">
        <f t="shared" si="110"/>
        <v>0</v>
      </c>
      <c r="U844">
        <f t="shared" ca="1" si="111"/>
        <v>288</v>
      </c>
    </row>
    <row r="845" spans="1:21">
      <c r="A845" s="73" t="s">
        <v>1169</v>
      </c>
      <c r="B845" s="73" t="s">
        <v>216</v>
      </c>
      <c r="C845" s="74">
        <v>3</v>
      </c>
      <c r="D845" s="74"/>
      <c r="E845" s="74">
        <v>0</v>
      </c>
      <c r="F845" s="74"/>
      <c r="G845" s="74">
        <v>0</v>
      </c>
      <c r="H845" s="74"/>
      <c r="I845" s="63">
        <v>0</v>
      </c>
      <c r="J845" t="b">
        <f t="shared" si="104"/>
        <v>0</v>
      </c>
      <c r="K845" t="b">
        <f t="shared" si="105"/>
        <v>0</v>
      </c>
      <c r="M845" t="str">
        <f t="shared" si="106"/>
        <v/>
      </c>
      <c r="N845" t="str">
        <f t="shared" si="107"/>
        <v/>
      </c>
      <c r="O845" t="str">
        <f t="shared" si="108"/>
        <v/>
      </c>
      <c r="P845" t="str">
        <f>IF(M845="","",VLOOKUP(B845,'Team Stats'!$B$3:$K$18,5,0))</f>
        <v/>
      </c>
      <c r="Q845" t="str">
        <f t="shared" si="109"/>
        <v/>
      </c>
      <c r="R845" t="str">
        <f>IF(M845="","",VLOOKUP(N845,Sim!$EF$46:$EG$61,2,0))</f>
        <v/>
      </c>
      <c r="S845" t="str">
        <f>IF(M845="","",VLOOKUP(N845,'Team Stats'!$B$3:$K$18,10,0))</f>
        <v/>
      </c>
      <c r="T845" s="84" t="str">
        <f t="shared" si="110"/>
        <v/>
      </c>
      <c r="U845" t="str">
        <f t="shared" si="111"/>
        <v/>
      </c>
    </row>
    <row r="846" spans="1:21">
      <c r="A846" s="73" t="s">
        <v>1170</v>
      </c>
      <c r="B846" s="73" t="s">
        <v>205</v>
      </c>
      <c r="C846" s="74">
        <v>1</v>
      </c>
      <c r="D846" s="74"/>
      <c r="E846" s="74">
        <v>0</v>
      </c>
      <c r="F846" s="74"/>
      <c r="G846" s="74">
        <v>0</v>
      </c>
      <c r="H846" s="74"/>
      <c r="I846" s="63">
        <v>0</v>
      </c>
      <c r="J846" t="b">
        <f t="shared" si="104"/>
        <v>1</v>
      </c>
      <c r="K846" t="b">
        <f t="shared" si="105"/>
        <v>1</v>
      </c>
      <c r="M846" t="str">
        <f t="shared" si="106"/>
        <v> Max Friberg</v>
      </c>
      <c r="N846" t="str">
        <f t="shared" si="107"/>
        <v>ANA</v>
      </c>
      <c r="O846">
        <f t="shared" si="108"/>
        <v>0</v>
      </c>
      <c r="P846">
        <f>IF(M846="","",VLOOKUP(B846,'Team Stats'!$B$3:$K$18,5,0))</f>
        <v>613</v>
      </c>
      <c r="Q846">
        <f t="shared" si="109"/>
        <v>0</v>
      </c>
      <c r="R846">
        <f ca="1">IF(M846="","",VLOOKUP(N846,Sim!$EF$46:$EG$61,2,0))</f>
        <v>14.85</v>
      </c>
      <c r="S846">
        <f ca="1">IF(M846="","",VLOOKUP(N846,'Team Stats'!$B$3:$K$18,10,0))</f>
        <v>111.01280487804878</v>
      </c>
      <c r="T846" s="84">
        <f t="shared" si="110"/>
        <v>0</v>
      </c>
      <c r="U846">
        <f t="shared" ca="1" si="111"/>
        <v>288</v>
      </c>
    </row>
    <row r="847" spans="1:21">
      <c r="A847" s="73" t="s">
        <v>1171</v>
      </c>
      <c r="B847" s="73" t="s">
        <v>222</v>
      </c>
      <c r="C847" s="74">
        <v>3</v>
      </c>
      <c r="D847" s="74"/>
      <c r="E847" s="74">
        <v>0</v>
      </c>
      <c r="F847" s="74"/>
      <c r="G847" s="74">
        <v>0</v>
      </c>
      <c r="H847" s="74"/>
      <c r="I847" s="63">
        <v>0</v>
      </c>
      <c r="J847" t="b">
        <f t="shared" si="104"/>
        <v>0</v>
      </c>
      <c r="K847" t="b">
        <f t="shared" si="105"/>
        <v>0</v>
      </c>
      <c r="M847" t="str">
        <f t="shared" si="106"/>
        <v/>
      </c>
      <c r="N847" t="str">
        <f t="shared" si="107"/>
        <v/>
      </c>
      <c r="O847" t="str">
        <f t="shared" si="108"/>
        <v/>
      </c>
      <c r="P847" t="str">
        <f>IF(M847="","",VLOOKUP(B847,'Team Stats'!$B$3:$K$18,5,0))</f>
        <v/>
      </c>
      <c r="Q847" t="str">
        <f t="shared" si="109"/>
        <v/>
      </c>
      <c r="R847" t="str">
        <f>IF(M847="","",VLOOKUP(N847,Sim!$EF$46:$EG$61,2,0))</f>
        <v/>
      </c>
      <c r="S847" t="str">
        <f>IF(M847="","",VLOOKUP(N847,'Team Stats'!$B$3:$K$18,10,0))</f>
        <v/>
      </c>
      <c r="T847" s="84" t="str">
        <f t="shared" si="110"/>
        <v/>
      </c>
      <c r="U847" t="str">
        <f t="shared" si="111"/>
        <v/>
      </c>
    </row>
    <row r="848" spans="1:21">
      <c r="A848" s="73" t="s">
        <v>1172</v>
      </c>
      <c r="B848" s="73" t="s">
        <v>345</v>
      </c>
      <c r="C848" s="74">
        <v>3</v>
      </c>
      <c r="D848" s="74"/>
      <c r="E848" s="74">
        <v>0</v>
      </c>
      <c r="F848" s="74"/>
      <c r="G848" s="74">
        <v>0</v>
      </c>
      <c r="H848" s="74"/>
      <c r="I848" s="63">
        <v>0</v>
      </c>
      <c r="J848" t="b">
        <f t="shared" si="104"/>
        <v>0</v>
      </c>
      <c r="K848" t="b">
        <f t="shared" si="105"/>
        <v>0</v>
      </c>
      <c r="M848" t="str">
        <f t="shared" si="106"/>
        <v/>
      </c>
      <c r="N848" t="str">
        <f t="shared" si="107"/>
        <v/>
      </c>
      <c r="O848" t="str">
        <f t="shared" si="108"/>
        <v/>
      </c>
      <c r="P848" t="str">
        <f>IF(M848="","",VLOOKUP(B848,'Team Stats'!$B$3:$K$18,5,0))</f>
        <v/>
      </c>
      <c r="Q848" t="str">
        <f t="shared" si="109"/>
        <v/>
      </c>
      <c r="R848" t="str">
        <f>IF(M848="","",VLOOKUP(N848,Sim!$EF$46:$EG$61,2,0))</f>
        <v/>
      </c>
      <c r="S848" t="str">
        <f>IF(M848="","",VLOOKUP(N848,'Team Stats'!$B$3:$K$18,10,0))</f>
        <v/>
      </c>
      <c r="T848" s="84" t="str">
        <f t="shared" si="110"/>
        <v/>
      </c>
      <c r="U848" t="str">
        <f t="shared" si="111"/>
        <v/>
      </c>
    </row>
    <row r="849" spans="1:21">
      <c r="A849" s="73" t="s">
        <v>1173</v>
      </c>
      <c r="B849" s="73" t="s">
        <v>198</v>
      </c>
      <c r="C849" s="74">
        <v>7</v>
      </c>
      <c r="D849" s="74"/>
      <c r="E849" s="74">
        <v>0</v>
      </c>
      <c r="F849" s="74"/>
      <c r="G849" s="74">
        <v>0</v>
      </c>
      <c r="H849" s="74"/>
      <c r="I849" s="63">
        <v>0</v>
      </c>
      <c r="J849" t="b">
        <f t="shared" si="104"/>
        <v>1</v>
      </c>
      <c r="K849" t="b">
        <f t="shared" si="105"/>
        <v>1</v>
      </c>
      <c r="M849" t="str">
        <f t="shared" si="106"/>
        <v> Taylor Chorney</v>
      </c>
      <c r="N849" t="str">
        <f t="shared" si="107"/>
        <v>PIT</v>
      </c>
      <c r="O849">
        <f t="shared" si="108"/>
        <v>0</v>
      </c>
      <c r="P849">
        <f>IF(M849="","",VLOOKUP(B849,'Team Stats'!$B$3:$K$18,5,0))</f>
        <v>600</v>
      </c>
      <c r="Q849">
        <f t="shared" si="109"/>
        <v>0</v>
      </c>
      <c r="R849">
        <f ca="1">IF(M849="","",VLOOKUP(N849,Sim!$EF$46:$EG$61,2,0))</f>
        <v>9.74</v>
      </c>
      <c r="S849">
        <f ca="1">IF(M849="","",VLOOKUP(N849,'Team Stats'!$B$3:$K$18,10,0))</f>
        <v>71.268292682926827</v>
      </c>
      <c r="T849" s="84">
        <f t="shared" si="110"/>
        <v>0</v>
      </c>
      <c r="U849">
        <f t="shared" ca="1" si="111"/>
        <v>288</v>
      </c>
    </row>
    <row r="850" spans="1:21">
      <c r="A850" s="73" t="s">
        <v>1174</v>
      </c>
      <c r="B850" s="73" t="s">
        <v>216</v>
      </c>
      <c r="C850" s="74">
        <v>30</v>
      </c>
      <c r="D850" s="74"/>
      <c r="E850" s="74">
        <v>0</v>
      </c>
      <c r="F850" s="74"/>
      <c r="G850" s="74">
        <v>0</v>
      </c>
      <c r="H850" s="74"/>
      <c r="I850" s="63">
        <v>0</v>
      </c>
      <c r="J850" t="b">
        <f t="shared" si="104"/>
        <v>0</v>
      </c>
      <c r="K850" t="b">
        <f t="shared" si="105"/>
        <v>0</v>
      </c>
      <c r="M850" t="str">
        <f t="shared" si="106"/>
        <v/>
      </c>
      <c r="N850" t="str">
        <f t="shared" si="107"/>
        <v/>
      </c>
      <c r="O850" t="str">
        <f t="shared" si="108"/>
        <v/>
      </c>
      <c r="P850" t="str">
        <f>IF(M850="","",VLOOKUP(B850,'Team Stats'!$B$3:$K$18,5,0))</f>
        <v/>
      </c>
      <c r="Q850" t="str">
        <f t="shared" si="109"/>
        <v/>
      </c>
      <c r="R850" t="str">
        <f>IF(M850="","",VLOOKUP(N850,Sim!$EF$46:$EG$61,2,0))</f>
        <v/>
      </c>
      <c r="S850" t="str">
        <f>IF(M850="","",VLOOKUP(N850,'Team Stats'!$B$3:$K$18,10,0))</f>
        <v/>
      </c>
      <c r="T850" s="84" t="str">
        <f t="shared" si="110"/>
        <v/>
      </c>
      <c r="U850" t="str">
        <f t="shared" si="111"/>
        <v/>
      </c>
    </row>
    <row r="851" spans="1:21">
      <c r="A851" s="73" t="s">
        <v>1175</v>
      </c>
      <c r="B851" s="73" t="s">
        <v>203</v>
      </c>
      <c r="C851" s="74">
        <v>1</v>
      </c>
      <c r="D851" s="74"/>
      <c r="E851" s="74">
        <v>0</v>
      </c>
      <c r="F851" s="74"/>
      <c r="G851" s="74">
        <v>0</v>
      </c>
      <c r="H851" s="74"/>
      <c r="I851" s="63">
        <v>0</v>
      </c>
      <c r="J851" t="b">
        <f t="shared" si="104"/>
        <v>1</v>
      </c>
      <c r="K851" t="b">
        <f t="shared" si="105"/>
        <v>1</v>
      </c>
      <c r="M851" t="str">
        <f t="shared" si="106"/>
        <v> Oscar Lindberg</v>
      </c>
      <c r="N851" t="str">
        <f t="shared" si="107"/>
        <v>NYR</v>
      </c>
      <c r="O851">
        <f t="shared" si="108"/>
        <v>0</v>
      </c>
      <c r="P851">
        <f>IF(M851="","",VLOOKUP(B851,'Team Stats'!$B$3:$K$18,5,0))</f>
        <v>659</v>
      </c>
      <c r="Q851">
        <f t="shared" si="109"/>
        <v>0</v>
      </c>
      <c r="R851">
        <f ca="1">IF(M851="","",VLOOKUP(N851,Sim!$EF$46:$EG$61,2,0))</f>
        <v>8.7200000000000006</v>
      </c>
      <c r="S851">
        <f ca="1">IF(M851="","",VLOOKUP(N851,'Team Stats'!$B$3:$K$18,10,0))</f>
        <v>70.079024390243916</v>
      </c>
      <c r="T851" s="84">
        <f t="shared" si="110"/>
        <v>0</v>
      </c>
      <c r="U851">
        <f t="shared" ca="1" si="111"/>
        <v>288</v>
      </c>
    </row>
    <row r="852" spans="1:21" ht="30">
      <c r="A852" s="73" t="s">
        <v>1176</v>
      </c>
      <c r="B852" s="73" t="s">
        <v>199</v>
      </c>
      <c r="C852" s="74">
        <v>2</v>
      </c>
      <c r="D852" s="74"/>
      <c r="E852" s="74">
        <v>0</v>
      </c>
      <c r="F852" s="74"/>
      <c r="G852" s="74">
        <v>0</v>
      </c>
      <c r="H852" s="74"/>
      <c r="I852" s="63">
        <v>0</v>
      </c>
      <c r="J852" t="b">
        <f t="shared" si="104"/>
        <v>0</v>
      </c>
      <c r="K852" t="b">
        <f t="shared" si="105"/>
        <v>0</v>
      </c>
      <c r="M852" t="str">
        <f t="shared" si="106"/>
        <v/>
      </c>
      <c r="N852" t="str">
        <f t="shared" si="107"/>
        <v/>
      </c>
      <c r="O852" t="str">
        <f t="shared" si="108"/>
        <v/>
      </c>
      <c r="P852" t="str">
        <f>IF(M852="","",VLOOKUP(B852,'Team Stats'!$B$3:$K$18,5,0))</f>
        <v/>
      </c>
      <c r="Q852" t="str">
        <f t="shared" si="109"/>
        <v/>
      </c>
      <c r="R852" t="str">
        <f>IF(M852="","",VLOOKUP(N852,Sim!$EF$46:$EG$61,2,0))</f>
        <v/>
      </c>
      <c r="S852" t="str">
        <f>IF(M852="","",VLOOKUP(N852,'Team Stats'!$B$3:$K$18,10,0))</f>
        <v/>
      </c>
      <c r="T852" s="84" t="str">
        <f t="shared" si="110"/>
        <v/>
      </c>
      <c r="U852" t="str">
        <f t="shared" si="111"/>
        <v/>
      </c>
    </row>
    <row r="853" spans="1:21">
      <c r="A853" s="73" t="s">
        <v>1177</v>
      </c>
      <c r="B853" s="73" t="s">
        <v>336</v>
      </c>
      <c r="C853" s="74">
        <v>2</v>
      </c>
      <c r="D853" s="74"/>
      <c r="E853" s="74">
        <v>0</v>
      </c>
      <c r="F853" s="74"/>
      <c r="G853" s="74">
        <v>0</v>
      </c>
      <c r="H853" s="74"/>
      <c r="I853" s="63">
        <v>0</v>
      </c>
      <c r="J853" t="b">
        <f t="shared" si="104"/>
        <v>0</v>
      </c>
      <c r="K853" t="b">
        <f t="shared" si="105"/>
        <v>0</v>
      </c>
      <c r="M853" t="str">
        <f t="shared" si="106"/>
        <v/>
      </c>
      <c r="N853" t="str">
        <f t="shared" si="107"/>
        <v/>
      </c>
      <c r="O853" t="str">
        <f t="shared" si="108"/>
        <v/>
      </c>
      <c r="P853" t="str">
        <f>IF(M853="","",VLOOKUP(B853,'Team Stats'!$B$3:$K$18,5,0))</f>
        <v/>
      </c>
      <c r="Q853" t="str">
        <f t="shared" si="109"/>
        <v/>
      </c>
      <c r="R853" t="str">
        <f>IF(M853="","",VLOOKUP(N853,Sim!$EF$46:$EG$61,2,0))</f>
        <v/>
      </c>
      <c r="S853" t="str">
        <f>IF(M853="","",VLOOKUP(N853,'Team Stats'!$B$3:$K$18,10,0))</f>
        <v/>
      </c>
      <c r="T853" s="84" t="str">
        <f t="shared" si="110"/>
        <v/>
      </c>
      <c r="U853" t="str">
        <f t="shared" si="111"/>
        <v/>
      </c>
    </row>
    <row r="854" spans="1:21">
      <c r="A854" s="73" t="s">
        <v>1178</v>
      </c>
      <c r="B854" s="73" t="s">
        <v>208</v>
      </c>
      <c r="C854" s="74">
        <v>1</v>
      </c>
      <c r="D854" s="74"/>
      <c r="E854" s="74">
        <v>0</v>
      </c>
      <c r="F854" s="74"/>
      <c r="G854" s="74">
        <v>0</v>
      </c>
      <c r="H854" s="74"/>
      <c r="I854" s="63">
        <v>0</v>
      </c>
      <c r="J854" t="b">
        <f t="shared" si="104"/>
        <v>0</v>
      </c>
      <c r="K854" t="b">
        <f t="shared" si="105"/>
        <v>0</v>
      </c>
      <c r="M854" t="str">
        <f t="shared" si="106"/>
        <v/>
      </c>
      <c r="N854" t="str">
        <f t="shared" si="107"/>
        <v/>
      </c>
      <c r="O854" t="str">
        <f t="shared" si="108"/>
        <v/>
      </c>
      <c r="P854" t="str">
        <f>IF(M854="","",VLOOKUP(B854,'Team Stats'!$B$3:$K$18,5,0))</f>
        <v/>
      </c>
      <c r="Q854" t="str">
        <f t="shared" si="109"/>
        <v/>
      </c>
      <c r="R854" t="str">
        <f>IF(M854="","",VLOOKUP(N854,Sim!$EF$46:$EG$61,2,0))</f>
        <v/>
      </c>
      <c r="S854" t="str">
        <f>IF(M854="","",VLOOKUP(N854,'Team Stats'!$B$3:$K$18,10,0))</f>
        <v/>
      </c>
      <c r="T854" s="84" t="str">
        <f t="shared" si="110"/>
        <v/>
      </c>
      <c r="U854" t="str">
        <f t="shared" si="111"/>
        <v/>
      </c>
    </row>
    <row r="855" spans="1:21">
      <c r="A855" s="73" t="s">
        <v>1179</v>
      </c>
      <c r="B855" s="73" t="s">
        <v>210</v>
      </c>
      <c r="C855" s="74">
        <v>1</v>
      </c>
      <c r="D855" s="74"/>
      <c r="E855" s="74">
        <v>0</v>
      </c>
      <c r="F855" s="74"/>
      <c r="G855" s="74">
        <v>0</v>
      </c>
      <c r="H855" s="74"/>
      <c r="I855" s="63">
        <v>0</v>
      </c>
      <c r="J855" t="b">
        <f t="shared" si="104"/>
        <v>1</v>
      </c>
      <c r="K855" t="b">
        <f t="shared" si="105"/>
        <v>1</v>
      </c>
      <c r="M855" t="str">
        <f t="shared" si="106"/>
        <v> Patrice Cormier</v>
      </c>
      <c r="N855" t="str">
        <f t="shared" si="107"/>
        <v>WPG</v>
      </c>
      <c r="O855">
        <f t="shared" si="108"/>
        <v>0</v>
      </c>
      <c r="P855">
        <f>IF(M855="","",VLOOKUP(B855,'Team Stats'!$B$3:$K$18,5,0))</f>
        <v>594</v>
      </c>
      <c r="Q855">
        <f t="shared" si="109"/>
        <v>0</v>
      </c>
      <c r="R855">
        <f ca="1">IF(M855="","",VLOOKUP(N855,Sim!$EF$46:$EG$61,2,0))</f>
        <v>8.94</v>
      </c>
      <c r="S855">
        <f ca="1">IF(M855="","",VLOOKUP(N855,'Team Stats'!$B$3:$K$18,10,0))</f>
        <v>64.760487804878053</v>
      </c>
      <c r="T855" s="84">
        <f t="shared" si="110"/>
        <v>0</v>
      </c>
      <c r="U855">
        <f t="shared" ca="1" si="111"/>
        <v>288</v>
      </c>
    </row>
    <row r="856" spans="1:21">
      <c r="A856" s="73" t="s">
        <v>1180</v>
      </c>
      <c r="B856" s="73" t="s">
        <v>216</v>
      </c>
      <c r="C856" s="74">
        <v>3</v>
      </c>
      <c r="D856" s="74"/>
      <c r="E856" s="74">
        <v>0</v>
      </c>
      <c r="F856" s="74"/>
      <c r="G856" s="74">
        <v>0</v>
      </c>
      <c r="H856" s="74"/>
      <c r="I856" s="63">
        <v>0</v>
      </c>
      <c r="J856" t="b">
        <f t="shared" si="104"/>
        <v>0</v>
      </c>
      <c r="K856" t="b">
        <f t="shared" si="105"/>
        <v>0</v>
      </c>
      <c r="M856" t="str">
        <f t="shared" si="106"/>
        <v/>
      </c>
      <c r="N856" t="str">
        <f t="shared" si="107"/>
        <v/>
      </c>
      <c r="O856" t="str">
        <f t="shared" si="108"/>
        <v/>
      </c>
      <c r="P856" t="str">
        <f>IF(M856="","",VLOOKUP(B856,'Team Stats'!$B$3:$K$18,5,0))</f>
        <v/>
      </c>
      <c r="Q856" t="str">
        <f t="shared" si="109"/>
        <v/>
      </c>
      <c r="R856" t="str">
        <f>IF(M856="","",VLOOKUP(N856,Sim!$EF$46:$EG$61,2,0))</f>
        <v/>
      </c>
      <c r="S856" t="str">
        <f>IF(M856="","",VLOOKUP(N856,'Team Stats'!$B$3:$K$18,10,0))</f>
        <v/>
      </c>
      <c r="T856" s="84" t="str">
        <f t="shared" si="110"/>
        <v/>
      </c>
      <c r="U856" t="str">
        <f t="shared" si="111"/>
        <v/>
      </c>
    </row>
    <row r="857" spans="1:21">
      <c r="A857" s="73" t="s">
        <v>1181</v>
      </c>
      <c r="B857" s="73" t="s">
        <v>217</v>
      </c>
      <c r="C857" s="74">
        <v>3</v>
      </c>
      <c r="D857" s="74"/>
      <c r="E857" s="74">
        <v>0</v>
      </c>
      <c r="F857" s="74"/>
      <c r="G857" s="74">
        <v>0</v>
      </c>
      <c r="H857" s="74"/>
      <c r="I857" s="63">
        <v>0</v>
      </c>
      <c r="J857" t="b">
        <f t="shared" si="104"/>
        <v>0</v>
      </c>
      <c r="K857" t="b">
        <f t="shared" si="105"/>
        <v>0</v>
      </c>
      <c r="M857" t="str">
        <f t="shared" si="106"/>
        <v/>
      </c>
      <c r="N857" t="str">
        <f t="shared" si="107"/>
        <v/>
      </c>
      <c r="O857" t="str">
        <f t="shared" si="108"/>
        <v/>
      </c>
      <c r="P857" t="str">
        <f>IF(M857="","",VLOOKUP(B857,'Team Stats'!$B$3:$K$18,5,0))</f>
        <v/>
      </c>
      <c r="Q857" t="str">
        <f t="shared" si="109"/>
        <v/>
      </c>
      <c r="R857" t="str">
        <f>IF(M857="","",VLOOKUP(N857,Sim!$EF$46:$EG$61,2,0))</f>
        <v/>
      </c>
      <c r="S857" t="str">
        <f>IF(M857="","",VLOOKUP(N857,'Team Stats'!$B$3:$K$18,10,0))</f>
        <v/>
      </c>
      <c r="T857" s="84" t="str">
        <f t="shared" si="110"/>
        <v/>
      </c>
      <c r="U857" t="str">
        <f t="shared" si="111"/>
        <v/>
      </c>
    </row>
    <row r="858" spans="1:21">
      <c r="A858" s="73" t="s">
        <v>1182</v>
      </c>
      <c r="B858" s="73" t="s">
        <v>206</v>
      </c>
      <c r="C858" s="74">
        <v>2</v>
      </c>
      <c r="D858" s="74"/>
      <c r="E858" s="74">
        <v>0</v>
      </c>
      <c r="F858" s="74"/>
      <c r="G858" s="74">
        <v>0</v>
      </c>
      <c r="H858" s="74"/>
      <c r="I858" s="63">
        <v>0</v>
      </c>
      <c r="J858" t="b">
        <f t="shared" si="104"/>
        <v>1</v>
      </c>
      <c r="K858" t="b">
        <f t="shared" si="105"/>
        <v>1</v>
      </c>
      <c r="M858" t="str">
        <f t="shared" si="106"/>
        <v> Brandon DeFazio</v>
      </c>
      <c r="N858" t="str">
        <f t="shared" si="107"/>
        <v>VAN</v>
      </c>
      <c r="O858">
        <f t="shared" si="108"/>
        <v>0</v>
      </c>
      <c r="P858">
        <f>IF(M858="","",VLOOKUP(B858,'Team Stats'!$B$3:$K$18,5,0))</f>
        <v>642</v>
      </c>
      <c r="Q858">
        <f t="shared" si="109"/>
        <v>0</v>
      </c>
      <c r="R858">
        <f ca="1">IF(M858="","",VLOOKUP(N858,Sim!$EF$46:$EG$61,2,0))</f>
        <v>10.35</v>
      </c>
      <c r="S858">
        <f ca="1">IF(M858="","",VLOOKUP(N858,'Team Stats'!$B$3:$K$18,10,0))</f>
        <v>81.032926829268291</v>
      </c>
      <c r="T858" s="84">
        <f t="shared" si="110"/>
        <v>0</v>
      </c>
      <c r="U858">
        <f t="shared" ca="1" si="111"/>
        <v>288</v>
      </c>
    </row>
    <row r="859" spans="1:21">
      <c r="A859" s="73" t="s">
        <v>1183</v>
      </c>
      <c r="B859" s="73" t="s">
        <v>218</v>
      </c>
      <c r="C859" s="74">
        <v>2</v>
      </c>
      <c r="D859" s="74"/>
      <c r="E859" s="74">
        <v>0</v>
      </c>
      <c r="F859" s="74"/>
      <c r="G859" s="74">
        <v>0</v>
      </c>
      <c r="H859" s="74"/>
      <c r="I859" s="63">
        <v>0</v>
      </c>
      <c r="J859" t="b">
        <f t="shared" si="104"/>
        <v>0</v>
      </c>
      <c r="K859" t="b">
        <f t="shared" si="105"/>
        <v>0</v>
      </c>
      <c r="M859" t="str">
        <f t="shared" si="106"/>
        <v/>
      </c>
      <c r="N859" t="str">
        <f t="shared" si="107"/>
        <v/>
      </c>
      <c r="O859" t="str">
        <f t="shared" si="108"/>
        <v/>
      </c>
      <c r="P859" t="str">
        <f>IF(M859="","",VLOOKUP(B859,'Team Stats'!$B$3:$K$18,5,0))</f>
        <v/>
      </c>
      <c r="Q859" t="str">
        <f t="shared" si="109"/>
        <v/>
      </c>
      <c r="R859" t="str">
        <f>IF(M859="","",VLOOKUP(N859,Sim!$EF$46:$EG$61,2,0))</f>
        <v/>
      </c>
      <c r="S859" t="str">
        <f>IF(M859="","",VLOOKUP(N859,'Team Stats'!$B$3:$K$18,10,0))</f>
        <v/>
      </c>
      <c r="T859" s="84" t="str">
        <f t="shared" si="110"/>
        <v/>
      </c>
      <c r="U859" t="str">
        <f t="shared" si="111"/>
        <v/>
      </c>
    </row>
    <row r="860" spans="1:21">
      <c r="A860" s="73" t="s">
        <v>1184</v>
      </c>
      <c r="B860" s="73" t="s">
        <v>219</v>
      </c>
      <c r="C860" s="74">
        <v>1</v>
      </c>
      <c r="D860" s="74"/>
      <c r="E860" s="74">
        <v>0</v>
      </c>
      <c r="F860" s="74"/>
      <c r="G860" s="74">
        <v>0</v>
      </c>
      <c r="H860" s="74"/>
      <c r="I860" s="63">
        <v>0</v>
      </c>
      <c r="J860" t="b">
        <f t="shared" si="104"/>
        <v>0</v>
      </c>
      <c r="K860" t="b">
        <f t="shared" si="105"/>
        <v>0</v>
      </c>
      <c r="M860" t="str">
        <f t="shared" si="106"/>
        <v/>
      </c>
      <c r="N860" t="str">
        <f t="shared" si="107"/>
        <v/>
      </c>
      <c r="O860" t="str">
        <f t="shared" si="108"/>
        <v/>
      </c>
      <c r="P860" t="str">
        <f>IF(M860="","",VLOOKUP(B860,'Team Stats'!$B$3:$K$18,5,0))</f>
        <v/>
      </c>
      <c r="Q860" t="str">
        <f t="shared" si="109"/>
        <v/>
      </c>
      <c r="R860" t="str">
        <f>IF(M860="","",VLOOKUP(N860,Sim!$EF$46:$EG$61,2,0))</f>
        <v/>
      </c>
      <c r="S860" t="str">
        <f>IF(M860="","",VLOOKUP(N860,'Team Stats'!$B$3:$K$18,10,0))</f>
        <v/>
      </c>
      <c r="T860" s="84" t="str">
        <f t="shared" si="110"/>
        <v/>
      </c>
      <c r="U860" t="str">
        <f t="shared" si="111"/>
        <v/>
      </c>
    </row>
    <row r="861" spans="1:21">
      <c r="A861" s="73" t="s">
        <v>1185</v>
      </c>
      <c r="B861" s="73" t="s">
        <v>216</v>
      </c>
      <c r="C861" s="74">
        <v>1</v>
      </c>
      <c r="D861" s="74"/>
      <c r="E861" s="74">
        <v>0</v>
      </c>
      <c r="F861" s="74"/>
      <c r="G861" s="74">
        <v>0</v>
      </c>
      <c r="H861" s="74"/>
      <c r="I861" s="63">
        <v>0</v>
      </c>
      <c r="J861" t="b">
        <f t="shared" si="104"/>
        <v>0</v>
      </c>
      <c r="K861" t="b">
        <f t="shared" si="105"/>
        <v>0</v>
      </c>
      <c r="M861" t="str">
        <f t="shared" si="106"/>
        <v/>
      </c>
      <c r="N861" t="str">
        <f t="shared" si="107"/>
        <v/>
      </c>
      <c r="O861" t="str">
        <f t="shared" si="108"/>
        <v/>
      </c>
      <c r="P861" t="str">
        <f>IF(M861="","",VLOOKUP(B861,'Team Stats'!$B$3:$K$18,5,0))</f>
        <v/>
      </c>
      <c r="Q861" t="str">
        <f t="shared" si="109"/>
        <v/>
      </c>
      <c r="R861" t="str">
        <f>IF(M861="","",VLOOKUP(N861,Sim!$EF$46:$EG$61,2,0))</f>
        <v/>
      </c>
      <c r="S861" t="str">
        <f>IF(M861="","",VLOOKUP(N861,'Team Stats'!$B$3:$K$18,10,0))</f>
        <v/>
      </c>
      <c r="T861" s="84" t="str">
        <f t="shared" si="110"/>
        <v/>
      </c>
      <c r="U861" t="str">
        <f t="shared" si="111"/>
        <v/>
      </c>
    </row>
    <row r="862" spans="1:21">
      <c r="A862" s="73" t="s">
        <v>1186</v>
      </c>
      <c r="B862" s="73" t="s">
        <v>336</v>
      </c>
      <c r="C862" s="74">
        <v>16</v>
      </c>
      <c r="D862" s="74"/>
      <c r="E862" s="74">
        <v>0</v>
      </c>
      <c r="F862" s="74"/>
      <c r="G862" s="74">
        <v>0</v>
      </c>
      <c r="H862" s="74"/>
      <c r="I862" s="63">
        <v>0</v>
      </c>
      <c r="J862" t="b">
        <f t="shared" si="104"/>
        <v>0</v>
      </c>
      <c r="K862" t="b">
        <f t="shared" si="105"/>
        <v>0</v>
      </c>
      <c r="M862" t="str">
        <f t="shared" si="106"/>
        <v/>
      </c>
      <c r="N862" t="str">
        <f t="shared" si="107"/>
        <v/>
      </c>
      <c r="O862" t="str">
        <f t="shared" si="108"/>
        <v/>
      </c>
      <c r="P862" t="str">
        <f>IF(M862="","",VLOOKUP(B862,'Team Stats'!$B$3:$K$18,5,0))</f>
        <v/>
      </c>
      <c r="Q862" t="str">
        <f t="shared" si="109"/>
        <v/>
      </c>
      <c r="R862" t="str">
        <f>IF(M862="","",VLOOKUP(N862,Sim!$EF$46:$EG$61,2,0))</f>
        <v/>
      </c>
      <c r="S862" t="str">
        <f>IF(M862="","",VLOOKUP(N862,'Team Stats'!$B$3:$K$18,10,0))</f>
        <v/>
      </c>
      <c r="T862" s="84" t="str">
        <f t="shared" si="110"/>
        <v/>
      </c>
      <c r="U862" t="str">
        <f t="shared" si="111"/>
        <v/>
      </c>
    </row>
    <row r="863" spans="1:21">
      <c r="A863" s="73" t="s">
        <v>1187</v>
      </c>
      <c r="B863" s="73" t="s">
        <v>203</v>
      </c>
      <c r="C863" s="74">
        <v>4</v>
      </c>
      <c r="D863" s="74"/>
      <c r="E863" s="74">
        <v>0</v>
      </c>
      <c r="F863" s="74"/>
      <c r="G863" s="74">
        <v>0</v>
      </c>
      <c r="H863" s="74"/>
      <c r="I863" s="63">
        <v>0</v>
      </c>
      <c r="J863" t="b">
        <f t="shared" si="104"/>
        <v>1</v>
      </c>
      <c r="K863" t="b">
        <f t="shared" si="105"/>
        <v>1</v>
      </c>
      <c r="M863" t="str">
        <f t="shared" si="106"/>
        <v> Conor Allen</v>
      </c>
      <c r="N863" t="str">
        <f t="shared" si="107"/>
        <v>NYR</v>
      </c>
      <c r="O863">
        <f t="shared" si="108"/>
        <v>0</v>
      </c>
      <c r="P863">
        <f>IF(M863="","",VLOOKUP(B863,'Team Stats'!$B$3:$K$18,5,0))</f>
        <v>659</v>
      </c>
      <c r="Q863">
        <f t="shared" si="109"/>
        <v>0</v>
      </c>
      <c r="R863">
        <f ca="1">IF(M863="","",VLOOKUP(N863,Sim!$EF$46:$EG$61,2,0))</f>
        <v>8.7200000000000006</v>
      </c>
      <c r="S863">
        <f ca="1">IF(M863="","",VLOOKUP(N863,'Team Stats'!$B$3:$K$18,10,0))</f>
        <v>70.079024390243916</v>
      </c>
      <c r="T863" s="84">
        <f t="shared" si="110"/>
        <v>0</v>
      </c>
      <c r="U863">
        <f t="shared" ca="1" si="111"/>
        <v>288</v>
      </c>
    </row>
    <row r="864" spans="1:21">
      <c r="A864" s="73" t="s">
        <v>1188</v>
      </c>
      <c r="B864" s="73" t="s">
        <v>357</v>
      </c>
      <c r="C864" s="74">
        <v>1</v>
      </c>
      <c r="D864" s="74"/>
      <c r="E864" s="74">
        <v>0</v>
      </c>
      <c r="F864" s="74"/>
      <c r="G864" s="74">
        <v>0</v>
      </c>
      <c r="H864" s="74"/>
      <c r="I864" s="63">
        <v>0</v>
      </c>
      <c r="J864" t="b">
        <f t="shared" si="104"/>
        <v>0</v>
      </c>
      <c r="K864" t="b">
        <f t="shared" si="105"/>
        <v>0</v>
      </c>
      <c r="M864" t="str">
        <f t="shared" si="106"/>
        <v/>
      </c>
      <c r="N864" t="str">
        <f t="shared" si="107"/>
        <v/>
      </c>
      <c r="O864" t="str">
        <f t="shared" si="108"/>
        <v/>
      </c>
      <c r="P864" t="str">
        <f>IF(M864="","",VLOOKUP(B864,'Team Stats'!$B$3:$K$18,5,0))</f>
        <v/>
      </c>
      <c r="Q864" t="str">
        <f t="shared" si="109"/>
        <v/>
      </c>
      <c r="R864" t="str">
        <f>IF(M864="","",VLOOKUP(N864,Sim!$EF$46:$EG$61,2,0))</f>
        <v/>
      </c>
      <c r="S864" t="str">
        <f>IF(M864="","",VLOOKUP(N864,'Team Stats'!$B$3:$K$18,10,0))</f>
        <v/>
      </c>
      <c r="T864" s="84" t="str">
        <f t="shared" si="110"/>
        <v/>
      </c>
      <c r="U864" t="str">
        <f t="shared" si="111"/>
        <v/>
      </c>
    </row>
    <row r="865" spans="1:21">
      <c r="A865" s="73" t="s">
        <v>1189</v>
      </c>
      <c r="B865" s="73" t="s">
        <v>216</v>
      </c>
      <c r="C865" s="74">
        <v>1</v>
      </c>
      <c r="D865" s="74"/>
      <c r="E865" s="74">
        <v>0</v>
      </c>
      <c r="F865" s="74"/>
      <c r="G865" s="74">
        <v>0</v>
      </c>
      <c r="H865" s="74"/>
      <c r="I865" s="63">
        <v>0</v>
      </c>
      <c r="J865" t="b">
        <f t="shared" si="104"/>
        <v>0</v>
      </c>
      <c r="K865" t="b">
        <f t="shared" si="105"/>
        <v>0</v>
      </c>
      <c r="M865" t="str">
        <f t="shared" si="106"/>
        <v/>
      </c>
      <c r="N865" t="str">
        <f t="shared" si="107"/>
        <v/>
      </c>
      <c r="O865" t="str">
        <f t="shared" si="108"/>
        <v/>
      </c>
      <c r="P865" t="str">
        <f>IF(M865="","",VLOOKUP(B865,'Team Stats'!$B$3:$K$18,5,0))</f>
        <v/>
      </c>
      <c r="Q865" t="str">
        <f t="shared" si="109"/>
        <v/>
      </c>
      <c r="R865" t="str">
        <f>IF(M865="","",VLOOKUP(N865,Sim!$EF$46:$EG$61,2,0))</f>
        <v/>
      </c>
      <c r="S865" t="str">
        <f>IF(M865="","",VLOOKUP(N865,'Team Stats'!$B$3:$K$18,10,0))</f>
        <v/>
      </c>
      <c r="T865" s="84" t="str">
        <f t="shared" si="110"/>
        <v/>
      </c>
      <c r="U865" t="str">
        <f t="shared" si="111"/>
        <v/>
      </c>
    </row>
    <row r="866" spans="1:21">
      <c r="A866" s="73" t="s">
        <v>1190</v>
      </c>
      <c r="B866" s="73" t="s">
        <v>325</v>
      </c>
      <c r="C866" s="74">
        <v>1</v>
      </c>
      <c r="D866" s="74"/>
      <c r="E866" s="74">
        <v>0</v>
      </c>
      <c r="F866" s="74"/>
      <c r="G866" s="74">
        <v>0</v>
      </c>
      <c r="H866" s="74"/>
      <c r="I866" s="63">
        <v>0</v>
      </c>
      <c r="J866" t="b">
        <f t="shared" si="104"/>
        <v>0</v>
      </c>
      <c r="K866" t="b">
        <f t="shared" si="105"/>
        <v>0</v>
      </c>
      <c r="M866" t="str">
        <f t="shared" si="106"/>
        <v/>
      </c>
      <c r="N866" t="str">
        <f t="shared" si="107"/>
        <v/>
      </c>
      <c r="O866" t="str">
        <f t="shared" si="108"/>
        <v/>
      </c>
      <c r="P866" t="str">
        <f>IF(M866="","",VLOOKUP(B866,'Team Stats'!$B$3:$K$18,5,0))</f>
        <v/>
      </c>
      <c r="Q866" t="str">
        <f t="shared" si="109"/>
        <v/>
      </c>
      <c r="R866" t="str">
        <f>IF(M866="","",VLOOKUP(N866,Sim!$EF$46:$EG$61,2,0))</f>
        <v/>
      </c>
      <c r="S866" t="str">
        <f>IF(M866="","",VLOOKUP(N866,'Team Stats'!$B$3:$K$18,10,0))</f>
        <v/>
      </c>
      <c r="T866" s="84" t="str">
        <f t="shared" si="110"/>
        <v/>
      </c>
      <c r="U866" t="str">
        <f t="shared" si="111"/>
        <v/>
      </c>
    </row>
    <row r="867" spans="1:21">
      <c r="A867" s="73" t="s">
        <v>1191</v>
      </c>
      <c r="B867" s="73" t="s">
        <v>210</v>
      </c>
      <c r="C867" s="74">
        <v>1</v>
      </c>
      <c r="D867" s="74"/>
      <c r="E867" s="74">
        <v>0</v>
      </c>
      <c r="F867" s="74"/>
      <c r="G867" s="74">
        <v>0</v>
      </c>
      <c r="H867" s="74"/>
      <c r="I867" s="63">
        <v>0</v>
      </c>
      <c r="J867" t="b">
        <f t="shared" si="104"/>
        <v>1</v>
      </c>
      <c r="K867" t="b">
        <f t="shared" si="105"/>
        <v>1</v>
      </c>
      <c r="M867" t="str">
        <f t="shared" si="106"/>
        <v> Joel Armia</v>
      </c>
      <c r="N867" t="str">
        <f t="shared" si="107"/>
        <v>WPG</v>
      </c>
      <c r="O867">
        <f t="shared" si="108"/>
        <v>0</v>
      </c>
      <c r="P867">
        <f>IF(M867="","",VLOOKUP(B867,'Team Stats'!$B$3:$K$18,5,0))</f>
        <v>594</v>
      </c>
      <c r="Q867">
        <f t="shared" si="109"/>
        <v>0</v>
      </c>
      <c r="R867">
        <f ca="1">IF(M867="","",VLOOKUP(N867,Sim!$EF$46:$EG$61,2,0))</f>
        <v>8.94</v>
      </c>
      <c r="S867">
        <f ca="1">IF(M867="","",VLOOKUP(N867,'Team Stats'!$B$3:$K$18,10,0))</f>
        <v>64.760487804878053</v>
      </c>
      <c r="T867" s="84">
        <f t="shared" si="110"/>
        <v>0</v>
      </c>
      <c r="U867">
        <f t="shared" ca="1" si="111"/>
        <v>288</v>
      </c>
    </row>
    <row r="868" spans="1:21">
      <c r="A868" s="73" t="s">
        <v>1192</v>
      </c>
      <c r="B868" s="73" t="s">
        <v>199</v>
      </c>
      <c r="C868" s="74">
        <v>4</v>
      </c>
      <c r="D868" s="74"/>
      <c r="E868" s="74">
        <v>0</v>
      </c>
      <c r="F868" s="74"/>
      <c r="G868" s="74">
        <v>0</v>
      </c>
      <c r="H868" s="74"/>
      <c r="I868" s="63">
        <v>0</v>
      </c>
      <c r="J868" t="b">
        <f t="shared" si="104"/>
        <v>0</v>
      </c>
      <c r="K868" t="b">
        <f t="shared" si="105"/>
        <v>0</v>
      </c>
      <c r="M868" t="str">
        <f t="shared" si="106"/>
        <v/>
      </c>
      <c r="N868" t="str">
        <f t="shared" si="107"/>
        <v/>
      </c>
      <c r="O868" t="str">
        <f t="shared" si="108"/>
        <v/>
      </c>
      <c r="P868" t="str">
        <f>IF(M868="","",VLOOKUP(B868,'Team Stats'!$B$3:$K$18,5,0))</f>
        <v/>
      </c>
      <c r="Q868" t="str">
        <f t="shared" si="109"/>
        <v/>
      </c>
      <c r="R868" t="str">
        <f>IF(M868="","",VLOOKUP(N868,Sim!$EF$46:$EG$61,2,0))</f>
        <v/>
      </c>
      <c r="S868" t="str">
        <f>IF(M868="","",VLOOKUP(N868,'Team Stats'!$B$3:$K$18,10,0))</f>
        <v/>
      </c>
      <c r="T868" s="84" t="str">
        <f t="shared" si="110"/>
        <v/>
      </c>
      <c r="U868" t="str">
        <f t="shared" si="111"/>
        <v/>
      </c>
    </row>
    <row r="869" spans="1:21">
      <c r="A869" s="73" t="s">
        <v>1193</v>
      </c>
      <c r="B869" s="73" t="s">
        <v>336</v>
      </c>
      <c r="C869" s="74">
        <v>3</v>
      </c>
      <c r="D869" s="74"/>
      <c r="E869" s="74">
        <v>0</v>
      </c>
      <c r="F869" s="74"/>
      <c r="G869" s="74">
        <v>0</v>
      </c>
      <c r="H869" s="74"/>
      <c r="I869" s="63">
        <v>0</v>
      </c>
      <c r="J869" t="b">
        <f t="shared" si="104"/>
        <v>0</v>
      </c>
      <c r="K869" t="b">
        <f t="shared" si="105"/>
        <v>0</v>
      </c>
      <c r="M869" t="str">
        <f t="shared" si="106"/>
        <v/>
      </c>
      <c r="N869" t="str">
        <f t="shared" si="107"/>
        <v/>
      </c>
      <c r="O869" t="str">
        <f t="shared" si="108"/>
        <v/>
      </c>
      <c r="P869" t="str">
        <f>IF(M869="","",VLOOKUP(B869,'Team Stats'!$B$3:$K$18,5,0))</f>
        <v/>
      </c>
      <c r="Q869" t="str">
        <f t="shared" si="109"/>
        <v/>
      </c>
      <c r="R869" t="str">
        <f>IF(M869="","",VLOOKUP(N869,Sim!$EF$46:$EG$61,2,0))</f>
        <v/>
      </c>
      <c r="S869" t="str">
        <f>IF(M869="","",VLOOKUP(N869,'Team Stats'!$B$3:$K$18,10,0))</f>
        <v/>
      </c>
      <c r="T869" s="84" t="str">
        <f t="shared" si="110"/>
        <v/>
      </c>
      <c r="U869" t="str">
        <f t="shared" si="111"/>
        <v/>
      </c>
    </row>
    <row r="870" spans="1:21">
      <c r="A870" s="73" t="s">
        <v>1194</v>
      </c>
      <c r="B870" s="73" t="s">
        <v>204</v>
      </c>
      <c r="C870" s="74">
        <v>6</v>
      </c>
      <c r="D870" s="74"/>
      <c r="E870" s="74">
        <v>0</v>
      </c>
      <c r="F870" s="74"/>
      <c r="G870" s="74">
        <v>0</v>
      </c>
      <c r="H870" s="74"/>
      <c r="I870" s="63">
        <v>0</v>
      </c>
      <c r="J870" t="b">
        <f t="shared" si="104"/>
        <v>0</v>
      </c>
      <c r="K870" t="b">
        <f t="shared" si="105"/>
        <v>0</v>
      </c>
      <c r="M870" t="str">
        <f t="shared" si="106"/>
        <v/>
      </c>
      <c r="N870" t="str">
        <f t="shared" si="107"/>
        <v/>
      </c>
      <c r="O870" t="str">
        <f t="shared" si="108"/>
        <v/>
      </c>
      <c r="P870" t="str">
        <f>IF(M870="","",VLOOKUP(B870,'Team Stats'!$B$3:$K$18,5,0))</f>
        <v/>
      </c>
      <c r="Q870" t="str">
        <f t="shared" si="109"/>
        <v/>
      </c>
      <c r="R870" t="str">
        <f>IF(M870="","",VLOOKUP(N870,Sim!$EF$46:$EG$61,2,0))</f>
        <v/>
      </c>
      <c r="S870" t="str">
        <f>IF(M870="","",VLOOKUP(N870,'Team Stats'!$B$3:$K$18,10,0))</f>
        <v/>
      </c>
      <c r="T870" s="84" t="str">
        <f t="shared" si="110"/>
        <v/>
      </c>
      <c r="U870" t="str">
        <f t="shared" si="111"/>
        <v/>
      </c>
    </row>
    <row r="871" spans="1:21">
      <c r="A871" s="73" t="s">
        <v>1195</v>
      </c>
      <c r="B871" s="73" t="s">
        <v>216</v>
      </c>
      <c r="C871" s="74">
        <v>1</v>
      </c>
      <c r="D871" s="74"/>
      <c r="E871" s="74">
        <v>0</v>
      </c>
      <c r="F871" s="74"/>
      <c r="G871" s="74">
        <v>0</v>
      </c>
      <c r="H871" s="74"/>
      <c r="I871" s="63">
        <v>0</v>
      </c>
      <c r="J871" t="b">
        <f t="shared" si="104"/>
        <v>0</v>
      </c>
      <c r="K871" t="b">
        <f t="shared" si="105"/>
        <v>0</v>
      </c>
      <c r="M871" t="str">
        <f t="shared" si="106"/>
        <v/>
      </c>
      <c r="N871" t="str">
        <f t="shared" si="107"/>
        <v/>
      </c>
      <c r="O871" t="str">
        <f t="shared" si="108"/>
        <v/>
      </c>
      <c r="P871" t="str">
        <f>IF(M871="","",VLOOKUP(B871,'Team Stats'!$B$3:$K$18,5,0))</f>
        <v/>
      </c>
      <c r="Q871" t="str">
        <f t="shared" si="109"/>
        <v/>
      </c>
      <c r="R871" t="str">
        <f>IF(M871="","",VLOOKUP(N871,Sim!$EF$46:$EG$61,2,0))</f>
        <v/>
      </c>
      <c r="S871" t="str">
        <f>IF(M871="","",VLOOKUP(N871,'Team Stats'!$B$3:$K$18,10,0))</f>
        <v/>
      </c>
      <c r="T871" s="84" t="str">
        <f t="shared" si="110"/>
        <v/>
      </c>
      <c r="U871" t="str">
        <f t="shared" si="111"/>
        <v/>
      </c>
    </row>
    <row r="872" spans="1:21">
      <c r="A872" s="73" t="s">
        <v>1196</v>
      </c>
      <c r="B872" s="73" t="s">
        <v>216</v>
      </c>
      <c r="C872" s="74">
        <v>5</v>
      </c>
      <c r="D872" s="74"/>
      <c r="E872" s="74">
        <v>0</v>
      </c>
      <c r="F872" s="74"/>
      <c r="G872" s="74">
        <v>0</v>
      </c>
      <c r="H872" s="74"/>
      <c r="I872" s="63">
        <v>0</v>
      </c>
      <c r="J872" t="b">
        <f t="shared" si="104"/>
        <v>0</v>
      </c>
      <c r="K872" t="b">
        <f t="shared" si="105"/>
        <v>0</v>
      </c>
      <c r="M872" t="str">
        <f t="shared" si="106"/>
        <v/>
      </c>
      <c r="N872" t="str">
        <f t="shared" si="107"/>
        <v/>
      </c>
      <c r="O872" t="str">
        <f t="shared" si="108"/>
        <v/>
      </c>
      <c r="P872" t="str">
        <f>IF(M872="","",VLOOKUP(B872,'Team Stats'!$B$3:$K$18,5,0))</f>
        <v/>
      </c>
      <c r="Q872" t="str">
        <f t="shared" si="109"/>
        <v/>
      </c>
      <c r="R872" t="str">
        <f>IF(M872="","",VLOOKUP(N872,Sim!$EF$46:$EG$61,2,0))</f>
        <v/>
      </c>
      <c r="S872" t="str">
        <f>IF(M872="","",VLOOKUP(N872,'Team Stats'!$B$3:$K$18,10,0))</f>
        <v/>
      </c>
      <c r="T872" s="84" t="str">
        <f t="shared" si="110"/>
        <v/>
      </c>
      <c r="U872" t="str">
        <f t="shared" si="111"/>
        <v/>
      </c>
    </row>
    <row r="873" spans="1:21">
      <c r="A873" s="73" t="s">
        <v>1197</v>
      </c>
      <c r="B873" s="73" t="s">
        <v>365</v>
      </c>
      <c r="C873" s="74">
        <v>1</v>
      </c>
      <c r="D873" s="74"/>
      <c r="E873" s="74">
        <v>0</v>
      </c>
      <c r="F873" s="74"/>
      <c r="G873" s="74">
        <v>0</v>
      </c>
      <c r="H873" s="74"/>
      <c r="I873" s="63">
        <v>0</v>
      </c>
      <c r="J873" t="b">
        <f t="shared" si="104"/>
        <v>0</v>
      </c>
      <c r="K873" t="b">
        <f t="shared" si="105"/>
        <v>0</v>
      </c>
      <c r="M873" t="str">
        <f t="shared" si="106"/>
        <v/>
      </c>
      <c r="N873" t="str">
        <f t="shared" si="107"/>
        <v/>
      </c>
      <c r="O873" t="str">
        <f t="shared" si="108"/>
        <v/>
      </c>
      <c r="P873" t="str">
        <f>IF(M873="","",VLOOKUP(B873,'Team Stats'!$B$3:$K$18,5,0))</f>
        <v/>
      </c>
      <c r="Q873" t="str">
        <f t="shared" si="109"/>
        <v/>
      </c>
      <c r="R873" t="str">
        <f>IF(M873="","",VLOOKUP(N873,Sim!$EF$46:$EG$61,2,0))</f>
        <v/>
      </c>
      <c r="S873" t="str">
        <f>IF(M873="","",VLOOKUP(N873,'Team Stats'!$B$3:$K$18,10,0))</f>
        <v/>
      </c>
      <c r="T873" s="84" t="str">
        <f t="shared" si="110"/>
        <v/>
      </c>
      <c r="U873" t="str">
        <f t="shared" si="111"/>
        <v/>
      </c>
    </row>
    <row r="874" spans="1:21">
      <c r="A874" s="73" t="s">
        <v>1198</v>
      </c>
      <c r="B874" s="73" t="s">
        <v>213</v>
      </c>
      <c r="C874" s="74">
        <v>3</v>
      </c>
      <c r="D874" s="74"/>
      <c r="E874" s="74">
        <v>0</v>
      </c>
      <c r="F874" s="74"/>
      <c r="G874" s="74">
        <v>0</v>
      </c>
      <c r="H874" s="74"/>
      <c r="I874" s="63">
        <v>0</v>
      </c>
      <c r="J874" t="b">
        <f t="shared" si="104"/>
        <v>0</v>
      </c>
      <c r="K874" t="b">
        <f t="shared" si="105"/>
        <v>0</v>
      </c>
      <c r="M874" t="str">
        <f t="shared" si="106"/>
        <v/>
      </c>
      <c r="N874" t="str">
        <f t="shared" si="107"/>
        <v/>
      </c>
      <c r="O874" t="str">
        <f t="shared" si="108"/>
        <v/>
      </c>
      <c r="P874" t="str">
        <f>IF(M874="","",VLOOKUP(B874,'Team Stats'!$B$3:$K$18,5,0))</f>
        <v/>
      </c>
      <c r="Q874" t="str">
        <f t="shared" si="109"/>
        <v/>
      </c>
      <c r="R874" t="str">
        <f>IF(M874="","",VLOOKUP(N874,Sim!$EF$46:$EG$61,2,0))</f>
        <v/>
      </c>
      <c r="S874" t="str">
        <f>IF(M874="","",VLOOKUP(N874,'Team Stats'!$B$3:$K$18,10,0))</f>
        <v/>
      </c>
      <c r="T874" s="84" t="str">
        <f t="shared" si="110"/>
        <v/>
      </c>
      <c r="U874" t="str">
        <f t="shared" si="111"/>
        <v/>
      </c>
    </row>
    <row r="875" spans="1:21">
      <c r="A875" s="73" t="s">
        <v>1199</v>
      </c>
      <c r="B875" s="73" t="s">
        <v>365</v>
      </c>
      <c r="C875" s="74">
        <v>1</v>
      </c>
      <c r="D875" s="74"/>
      <c r="E875" s="74">
        <v>0</v>
      </c>
      <c r="F875" s="74"/>
      <c r="G875" s="74">
        <v>0</v>
      </c>
      <c r="H875" s="74"/>
      <c r="I875" s="63">
        <v>0</v>
      </c>
      <c r="J875" t="b">
        <f t="shared" si="104"/>
        <v>0</v>
      </c>
      <c r="K875" t="b">
        <f t="shared" si="105"/>
        <v>0</v>
      </c>
      <c r="M875" t="str">
        <f t="shared" si="106"/>
        <v/>
      </c>
      <c r="N875" t="str">
        <f t="shared" si="107"/>
        <v/>
      </c>
      <c r="O875" t="str">
        <f t="shared" si="108"/>
        <v/>
      </c>
      <c r="P875" t="str">
        <f>IF(M875="","",VLOOKUP(B875,'Team Stats'!$B$3:$K$18,5,0))</f>
        <v/>
      </c>
      <c r="Q875" t="str">
        <f t="shared" si="109"/>
        <v/>
      </c>
      <c r="R875" t="str">
        <f>IF(M875="","",VLOOKUP(N875,Sim!$EF$46:$EG$61,2,0))</f>
        <v/>
      </c>
      <c r="S875" t="str">
        <f>IF(M875="","",VLOOKUP(N875,'Team Stats'!$B$3:$K$18,10,0))</f>
        <v/>
      </c>
      <c r="T875" s="84" t="str">
        <f t="shared" si="110"/>
        <v/>
      </c>
      <c r="U875" t="str">
        <f t="shared" si="111"/>
        <v/>
      </c>
    </row>
    <row r="876" spans="1:21">
      <c r="A876" s="73" t="s">
        <v>1200</v>
      </c>
      <c r="B876" s="73" t="s">
        <v>202</v>
      </c>
      <c r="C876" s="74">
        <v>7</v>
      </c>
      <c r="D876" s="74"/>
      <c r="E876" s="74">
        <v>0</v>
      </c>
      <c r="F876" s="74"/>
      <c r="G876" s="74">
        <v>0</v>
      </c>
      <c r="H876" s="74"/>
      <c r="I876" s="63">
        <v>0</v>
      </c>
      <c r="J876" t="b">
        <f t="shared" si="104"/>
        <v>1</v>
      </c>
      <c r="K876" t="b">
        <f t="shared" si="105"/>
        <v>1</v>
      </c>
      <c r="M876" t="str">
        <f t="shared" si="106"/>
        <v> Kyle Cumiskey</v>
      </c>
      <c r="N876" t="str">
        <f t="shared" si="107"/>
        <v>CHI</v>
      </c>
      <c r="O876">
        <f t="shared" si="108"/>
        <v>0</v>
      </c>
      <c r="P876">
        <f>IF(M876="","",VLOOKUP(B876,'Team Stats'!$B$3:$K$18,5,0))</f>
        <v>601</v>
      </c>
      <c r="Q876">
        <f t="shared" si="109"/>
        <v>0</v>
      </c>
      <c r="R876">
        <f ca="1">IF(M876="","",VLOOKUP(N876,Sim!$EF$46:$EG$61,2,0))</f>
        <v>9.14</v>
      </c>
      <c r="S876">
        <f ca="1">IF(M876="","",VLOOKUP(N876,'Team Stats'!$B$3:$K$18,10,0))</f>
        <v>66.989512195121961</v>
      </c>
      <c r="T876" s="84">
        <f t="shared" si="110"/>
        <v>0</v>
      </c>
      <c r="U876">
        <f t="shared" ca="1" si="111"/>
        <v>288</v>
      </c>
    </row>
    <row r="877" spans="1:21">
      <c r="A877" s="73" t="s">
        <v>1201</v>
      </c>
      <c r="B877" s="73" t="s">
        <v>340</v>
      </c>
      <c r="C877" s="74">
        <v>12</v>
      </c>
      <c r="D877" s="74"/>
      <c r="E877" s="74">
        <v>0</v>
      </c>
      <c r="F877" s="74"/>
      <c r="G877" s="74">
        <v>0</v>
      </c>
      <c r="H877" s="74"/>
      <c r="I877" s="63">
        <v>0</v>
      </c>
      <c r="J877" t="b">
        <f t="shared" si="104"/>
        <v>0</v>
      </c>
      <c r="K877" t="b">
        <f t="shared" si="105"/>
        <v>0</v>
      </c>
      <c r="M877" t="str">
        <f t="shared" si="106"/>
        <v/>
      </c>
      <c r="N877" t="str">
        <f t="shared" si="107"/>
        <v/>
      </c>
      <c r="O877" t="str">
        <f t="shared" si="108"/>
        <v/>
      </c>
      <c r="P877" t="str">
        <f>IF(M877="","",VLOOKUP(B877,'Team Stats'!$B$3:$K$18,5,0))</f>
        <v/>
      </c>
      <c r="Q877" t="str">
        <f t="shared" si="109"/>
        <v/>
      </c>
      <c r="R877" t="str">
        <f>IF(M877="","",VLOOKUP(N877,Sim!$EF$46:$EG$61,2,0))</f>
        <v/>
      </c>
      <c r="S877" t="str">
        <f>IF(M877="","",VLOOKUP(N877,'Team Stats'!$B$3:$K$18,10,0))</f>
        <v/>
      </c>
      <c r="T877" s="84" t="str">
        <f t="shared" si="110"/>
        <v/>
      </c>
      <c r="U877" t="str">
        <f t="shared" si="111"/>
        <v/>
      </c>
    </row>
    <row r="878" spans="1:21">
      <c r="A878" s="73" t="s">
        <v>1202</v>
      </c>
      <c r="B878" s="73" t="s">
        <v>325</v>
      </c>
      <c r="C878" s="74">
        <v>2</v>
      </c>
      <c r="D878" s="74"/>
      <c r="E878" s="74">
        <v>0</v>
      </c>
      <c r="F878" s="74"/>
      <c r="G878" s="74">
        <v>0</v>
      </c>
      <c r="H878" s="74"/>
      <c r="I878" s="63">
        <v>0</v>
      </c>
      <c r="J878" t="b">
        <f t="shared" si="104"/>
        <v>0</v>
      </c>
      <c r="K878" t="b">
        <f t="shared" si="105"/>
        <v>0</v>
      </c>
      <c r="M878" t="str">
        <f t="shared" si="106"/>
        <v/>
      </c>
      <c r="N878" t="str">
        <f t="shared" si="107"/>
        <v/>
      </c>
      <c r="O878" t="str">
        <f t="shared" si="108"/>
        <v/>
      </c>
      <c r="P878" t="str">
        <f>IF(M878="","",VLOOKUP(B878,'Team Stats'!$B$3:$K$18,5,0))</f>
        <v/>
      </c>
      <c r="Q878" t="str">
        <f t="shared" si="109"/>
        <v/>
      </c>
      <c r="R878" t="str">
        <f>IF(M878="","",VLOOKUP(N878,Sim!$EF$46:$EG$61,2,0))</f>
        <v/>
      </c>
      <c r="S878" t="str">
        <f>IF(M878="","",VLOOKUP(N878,'Team Stats'!$B$3:$K$18,10,0))</f>
        <v/>
      </c>
      <c r="T878" s="84" t="str">
        <f t="shared" si="110"/>
        <v/>
      </c>
      <c r="U878" t="str">
        <f t="shared" si="111"/>
        <v/>
      </c>
    </row>
    <row r="879" spans="1:21">
      <c r="A879" s="73" t="s">
        <v>1203</v>
      </c>
      <c r="B879" s="73" t="s">
        <v>222</v>
      </c>
      <c r="C879" s="74">
        <v>3</v>
      </c>
      <c r="D879" s="74"/>
      <c r="E879" s="74">
        <v>0</v>
      </c>
      <c r="F879" s="74"/>
      <c r="G879" s="74">
        <v>0</v>
      </c>
      <c r="H879" s="74"/>
      <c r="I879" s="63">
        <v>0</v>
      </c>
      <c r="J879" t="b">
        <f t="shared" si="104"/>
        <v>0</v>
      </c>
      <c r="K879" t="b">
        <f t="shared" si="105"/>
        <v>0</v>
      </c>
      <c r="M879" t="str">
        <f t="shared" si="106"/>
        <v/>
      </c>
      <c r="N879" t="str">
        <f t="shared" si="107"/>
        <v/>
      </c>
      <c r="O879" t="str">
        <f t="shared" si="108"/>
        <v/>
      </c>
      <c r="P879" t="str">
        <f>IF(M879="","",VLOOKUP(B879,'Team Stats'!$B$3:$K$18,5,0))</f>
        <v/>
      </c>
      <c r="Q879" t="str">
        <f t="shared" si="109"/>
        <v/>
      </c>
      <c r="R879" t="str">
        <f>IF(M879="","",VLOOKUP(N879,Sim!$EF$46:$EG$61,2,0))</f>
        <v/>
      </c>
      <c r="S879" t="str">
        <f>IF(M879="","",VLOOKUP(N879,'Team Stats'!$B$3:$K$18,10,0))</f>
        <v/>
      </c>
      <c r="T879" s="84" t="str">
        <f t="shared" si="110"/>
        <v/>
      </c>
      <c r="U879" t="str">
        <f t="shared" si="111"/>
        <v/>
      </c>
    </row>
    <row r="880" spans="1:21">
      <c r="A880" s="73" t="s">
        <v>1204</v>
      </c>
      <c r="B880" s="73" t="s">
        <v>203</v>
      </c>
      <c r="C880" s="74">
        <v>1</v>
      </c>
      <c r="D880" s="74"/>
      <c r="E880" s="74">
        <v>0</v>
      </c>
      <c r="F880" s="74"/>
      <c r="G880" s="74">
        <v>0</v>
      </c>
      <c r="H880" s="74"/>
      <c r="I880" s="63">
        <v>0</v>
      </c>
      <c r="J880" t="b">
        <f t="shared" si="104"/>
        <v>1</v>
      </c>
      <c r="K880" t="b">
        <f t="shared" si="105"/>
        <v>1</v>
      </c>
      <c r="M880" t="str">
        <f t="shared" si="106"/>
        <v> Ryan Bourque</v>
      </c>
      <c r="N880" t="str">
        <f t="shared" si="107"/>
        <v>NYR</v>
      </c>
      <c r="O880">
        <f t="shared" si="108"/>
        <v>0</v>
      </c>
      <c r="P880">
        <f>IF(M880="","",VLOOKUP(B880,'Team Stats'!$B$3:$K$18,5,0))</f>
        <v>659</v>
      </c>
      <c r="Q880">
        <f t="shared" si="109"/>
        <v>0</v>
      </c>
      <c r="R880">
        <f ca="1">IF(M880="","",VLOOKUP(N880,Sim!$EF$46:$EG$61,2,0))</f>
        <v>8.7200000000000006</v>
      </c>
      <c r="S880">
        <f ca="1">IF(M880="","",VLOOKUP(N880,'Team Stats'!$B$3:$K$18,10,0))</f>
        <v>70.079024390243916</v>
      </c>
      <c r="T880" s="84">
        <f t="shared" si="110"/>
        <v>0</v>
      </c>
      <c r="U880">
        <f t="shared" ca="1" si="111"/>
        <v>288</v>
      </c>
    </row>
    <row r="881" spans="1:21">
      <c r="A881" s="73" t="s">
        <v>1205</v>
      </c>
      <c r="B881" s="73" t="s">
        <v>208</v>
      </c>
      <c r="C881" s="74">
        <v>4</v>
      </c>
      <c r="D881" s="74"/>
      <c r="E881" s="74">
        <v>0</v>
      </c>
      <c r="F881" s="74"/>
      <c r="G881" s="74">
        <v>0</v>
      </c>
      <c r="H881" s="74"/>
      <c r="I881" s="63">
        <v>0</v>
      </c>
      <c r="J881" t="b">
        <f t="shared" si="104"/>
        <v>0</v>
      </c>
      <c r="K881" t="b">
        <f t="shared" si="105"/>
        <v>0</v>
      </c>
      <c r="M881" t="str">
        <f t="shared" si="106"/>
        <v/>
      </c>
      <c r="N881" t="str">
        <f t="shared" si="107"/>
        <v/>
      </c>
      <c r="O881" t="str">
        <f t="shared" si="108"/>
        <v/>
      </c>
      <c r="P881" t="str">
        <f>IF(M881="","",VLOOKUP(B881,'Team Stats'!$B$3:$K$18,5,0))</f>
        <v/>
      </c>
      <c r="Q881" t="str">
        <f t="shared" si="109"/>
        <v/>
      </c>
      <c r="R881" t="str">
        <f>IF(M881="","",VLOOKUP(N881,Sim!$EF$46:$EG$61,2,0))</f>
        <v/>
      </c>
      <c r="S881" t="str">
        <f>IF(M881="","",VLOOKUP(N881,'Team Stats'!$B$3:$K$18,10,0))</f>
        <v/>
      </c>
      <c r="T881" s="84" t="str">
        <f t="shared" si="110"/>
        <v/>
      </c>
      <c r="U881" t="str">
        <f t="shared" si="111"/>
        <v/>
      </c>
    </row>
    <row r="882" spans="1:21">
      <c r="A882" s="73" t="s">
        <v>1206</v>
      </c>
      <c r="B882" s="73" t="s">
        <v>336</v>
      </c>
      <c r="C882" s="74">
        <v>7</v>
      </c>
      <c r="D882" s="74"/>
      <c r="E882" s="74">
        <v>0</v>
      </c>
      <c r="F882" s="74"/>
      <c r="G882" s="74">
        <v>0</v>
      </c>
      <c r="H882" s="74"/>
      <c r="I882" s="63">
        <v>0</v>
      </c>
      <c r="J882" t="b">
        <f t="shared" si="104"/>
        <v>0</v>
      </c>
      <c r="K882" t="b">
        <f t="shared" si="105"/>
        <v>0</v>
      </c>
      <c r="M882" t="str">
        <f t="shared" si="106"/>
        <v/>
      </c>
      <c r="N882" t="str">
        <f t="shared" si="107"/>
        <v/>
      </c>
      <c r="O882" t="str">
        <f t="shared" si="108"/>
        <v/>
      </c>
      <c r="P882" t="str">
        <f>IF(M882="","",VLOOKUP(B882,'Team Stats'!$B$3:$K$18,5,0))</f>
        <v/>
      </c>
      <c r="Q882" t="str">
        <f t="shared" si="109"/>
        <v/>
      </c>
      <c r="R882" t="str">
        <f>IF(M882="","",VLOOKUP(N882,Sim!$EF$46:$EG$61,2,0))</f>
        <v/>
      </c>
      <c r="S882" t="str">
        <f>IF(M882="","",VLOOKUP(N882,'Team Stats'!$B$3:$K$18,10,0))</f>
        <v/>
      </c>
      <c r="T882" s="84" t="str">
        <f t="shared" si="110"/>
        <v/>
      </c>
      <c r="U882" t="str">
        <f t="shared" si="111"/>
        <v/>
      </c>
    </row>
    <row r="883" spans="1:21">
      <c r="A883" s="73" t="s">
        <v>1207</v>
      </c>
      <c r="B883" s="73" t="s">
        <v>336</v>
      </c>
      <c r="C883" s="74">
        <v>3</v>
      </c>
      <c r="D883" s="74"/>
      <c r="E883" s="74">
        <v>0</v>
      </c>
      <c r="F883" s="74"/>
      <c r="G883" s="74">
        <v>0</v>
      </c>
      <c r="H883" s="74"/>
      <c r="I883" s="63">
        <v>0</v>
      </c>
      <c r="J883" t="b">
        <f t="shared" si="104"/>
        <v>0</v>
      </c>
      <c r="K883" t="b">
        <f t="shared" si="105"/>
        <v>0</v>
      </c>
      <c r="M883" t="str">
        <f t="shared" si="106"/>
        <v/>
      </c>
      <c r="N883" t="str">
        <f t="shared" si="107"/>
        <v/>
      </c>
      <c r="O883" t="str">
        <f t="shared" si="108"/>
        <v/>
      </c>
      <c r="P883" t="str">
        <f>IF(M883="","",VLOOKUP(B883,'Team Stats'!$B$3:$K$18,5,0))</f>
        <v/>
      </c>
      <c r="Q883" t="str">
        <f t="shared" si="109"/>
        <v/>
      </c>
      <c r="R883" t="str">
        <f>IF(M883="","",VLOOKUP(N883,Sim!$EF$46:$EG$61,2,0))</f>
        <v/>
      </c>
      <c r="S883" t="str">
        <f>IF(M883="","",VLOOKUP(N883,'Team Stats'!$B$3:$K$18,10,0))</f>
        <v/>
      </c>
      <c r="T883" s="84" t="str">
        <f t="shared" si="110"/>
        <v/>
      </c>
      <c r="U883" t="str">
        <f t="shared" si="111"/>
        <v/>
      </c>
    </row>
    <row r="884" spans="1:21">
      <c r="A884" s="73" t="s">
        <v>1208</v>
      </c>
      <c r="B884" s="73" t="s">
        <v>221</v>
      </c>
      <c r="C884" s="74">
        <v>9</v>
      </c>
      <c r="D884" s="74"/>
      <c r="E884" s="74">
        <v>0</v>
      </c>
      <c r="F884" s="74"/>
      <c r="G884" s="74">
        <v>0</v>
      </c>
      <c r="H884" s="74"/>
      <c r="I884" s="63">
        <v>0</v>
      </c>
      <c r="J884" t="b">
        <f t="shared" si="104"/>
        <v>0</v>
      </c>
      <c r="K884" t="b">
        <f t="shared" si="105"/>
        <v>0</v>
      </c>
      <c r="M884" t="str">
        <f t="shared" si="106"/>
        <v/>
      </c>
      <c r="N884" t="str">
        <f t="shared" si="107"/>
        <v/>
      </c>
      <c r="O884" t="str">
        <f t="shared" si="108"/>
        <v/>
      </c>
      <c r="P884" t="str">
        <f>IF(M884="","",VLOOKUP(B884,'Team Stats'!$B$3:$K$18,5,0))</f>
        <v/>
      </c>
      <c r="Q884" t="str">
        <f t="shared" si="109"/>
        <v/>
      </c>
      <c r="R884" t="str">
        <f>IF(M884="","",VLOOKUP(N884,Sim!$EF$46:$EG$61,2,0))</f>
        <v/>
      </c>
      <c r="S884" t="str">
        <f>IF(M884="","",VLOOKUP(N884,'Team Stats'!$B$3:$K$18,10,0))</f>
        <v/>
      </c>
      <c r="T884" s="84" t="str">
        <f t="shared" si="110"/>
        <v/>
      </c>
      <c r="U884" t="str">
        <f t="shared" si="111"/>
        <v/>
      </c>
    </row>
  </sheetData>
  <sortState ref="M3:U137">
    <sortCondition ref="T3:T884"/>
  </sortState>
  <dataConsolidate/>
  <hyperlinks>
    <hyperlink ref="A2" r:id="rId1" display="http://sports.yahoo.com/nhl/stats/byposition?pos=C,RW,LW,D&amp;conference=NHL&amp;year=season_2014&amp;qualified=1&amp;sort=LAST_NAME"/>
    <hyperlink ref="B2" r:id="rId2" display="http://sports.yahoo.com/nhl/stats/byposition?pos=C,RW,LW,D&amp;conference=NHL&amp;year=season_2014&amp;qualified=1&amp;sort=TEAM_ABBR"/>
    <hyperlink ref="C2" r:id="rId3" display="http://sports.yahoo.com/nhl/stats/byposition?pos=C,RW,LW,D&amp;conference=NHL&amp;year=season_2014&amp;qualified=1&amp;sort=0"/>
    <hyperlink ref="E2" r:id="rId4" display="http://sports.yahoo.com/nhl/stats/byposition?pos=C,RW,LW,D&amp;conference=NHL&amp;year=season_2014&amp;qualified=1&amp;sort=1"/>
    <hyperlink ref="G2" r:id="rId5" display="http://sports.yahoo.com/nhl/stats/byposition?pos=C,RW,LW,D&amp;conference=NHL&amp;year=season_2014&amp;qualified=1&amp;sort=2"/>
    <hyperlink ref="A3" r:id="rId6" display="http://sports.yahoo.com/nhl/players/4519"/>
    <hyperlink ref="B3" r:id="rId7" display="http://sports.yahoo.com/nhl/teams/dal"/>
    <hyperlink ref="A4" r:id="rId8" display="http://sports.yahoo.com/nhl/players/4681"/>
    <hyperlink ref="B4" r:id="rId9" display="http://sports.yahoo.com/nhl/teams/nyi"/>
    <hyperlink ref="A5" r:id="rId10" display="http://sports.yahoo.com/nhl/players/3737"/>
    <hyperlink ref="B5" r:id="rId11" display="http://sports.yahoo.com/nhl/teams/pit"/>
    <hyperlink ref="A6" r:id="rId12" display="http://sports.yahoo.com/nhl/players/4246"/>
    <hyperlink ref="B6" r:id="rId13" display="http://sports.yahoo.com/nhl/teams/phi"/>
    <hyperlink ref="A7" r:id="rId14" display="http://sports.yahoo.com/nhl/players/3637"/>
    <hyperlink ref="B7" r:id="rId15" display="http://sports.yahoo.com/nhl/teams/was"/>
    <hyperlink ref="A8" r:id="rId16" display="http://sports.yahoo.com/nhl/players/3982"/>
    <hyperlink ref="B8" r:id="rId17" display="http://sports.yahoo.com/nhl/teams/was"/>
    <hyperlink ref="A9" r:id="rId18" display="http://sports.yahoo.com/nhl/players/4962"/>
    <hyperlink ref="B9" r:id="rId19" display="http://sports.yahoo.com/nhl/teams/dal"/>
    <hyperlink ref="A10" r:id="rId20" display="http://sports.yahoo.com/nhl/players/3174"/>
    <hyperlink ref="B10" r:id="rId21" display="http://sports.yahoo.com/nhl/teams/cgy"/>
    <hyperlink ref="A11" r:id="rId22" display="http://sports.yahoo.com/nhl/players/2102"/>
    <hyperlink ref="B11" r:id="rId23" display="http://sports.yahoo.com/nhl/teams/van"/>
    <hyperlink ref="A12" r:id="rId24" display="http://sports.yahoo.com/nhl/players/4008"/>
    <hyperlink ref="B12" r:id="rId25" display="http://sports.yahoo.com/nhl/teams/cob"/>
    <hyperlink ref="A13" r:id="rId26" display="http://sports.yahoo.com/nhl/players/4002"/>
    <hyperlink ref="B13" r:id="rId27" display="http://sports.yahoo.com/nhl/teams/phi"/>
    <hyperlink ref="A14" r:id="rId28" display="http://sports.yahoo.com/nhl/players/4976"/>
    <hyperlink ref="B14" r:id="rId29" display="http://sports.yahoo.com/nhl/teams/stl"/>
    <hyperlink ref="A15" r:id="rId30" display="http://sports.yahoo.com/nhl/players/2103"/>
    <hyperlink ref="B15" r:id="rId31" display="http://sports.yahoo.com/nhl/teams/van"/>
    <hyperlink ref="A16" r:id="rId32" display="http://sports.yahoo.com/nhl/players/4471"/>
    <hyperlink ref="B16" r:id="rId33" display="http://sports.yahoo.com/nhl/teams/tam"/>
    <hyperlink ref="A17" r:id="rId34" display="http://sports.yahoo.com/nhl/players/5256"/>
    <hyperlink ref="B17" r:id="rId35" display="http://sports.yahoo.com/nhl/teams/tam"/>
    <hyperlink ref="A18" r:id="rId36" display="http://sports.yahoo.com/nhl/players/4964"/>
    <hyperlink ref="B18" r:id="rId37" display="http://sports.yahoo.com/nhl/teams/cob"/>
    <hyperlink ref="A19" r:id="rId38" display="http://sports.yahoo.com/nhl/players/3985"/>
    <hyperlink ref="B19" r:id="rId39" display="http://sports.yahoo.com/nhl/teams/san"/>
    <hyperlink ref="A20" r:id="rId40" display="http://sports.yahoo.com/nhl/players/3638"/>
    <hyperlink ref="B20" r:id="rId41" display="http://sports.yahoo.com/nhl/teams/pit"/>
    <hyperlink ref="A21" r:id="rId42" display="http://sports.yahoo.com/nhl/players/3357"/>
    <hyperlink ref="B21" r:id="rId43" display="http://sports.yahoo.com/nhl/teams/ana"/>
    <hyperlink ref="A22" r:id="rId44" display="http://sports.yahoo.com/nhl/players/3153"/>
    <hyperlink ref="B22" r:id="rId45" display="http://sports.yahoo.com/nhl/teams/nyr"/>
    <hyperlink ref="A23" r:id="rId46" display="http://sports.yahoo.com/nhl/players/4261"/>
    <hyperlink ref="B23" r:id="rId47" display="http://sports.yahoo.com/nhl/teams/mon"/>
    <hyperlink ref="A24" r:id="rId48" display="http://sports.yahoo.com/nhl/players/4248"/>
    <hyperlink ref="B24" r:id="rId49" display="http://sports.yahoo.com/nhl/teams/san"/>
    <hyperlink ref="A25" r:id="rId50" display="http://sports.yahoo.com/nhl/players/2503"/>
    <hyperlink ref="B25" r:id="rId51" display="http://sports.yahoo.com/nhl/teams/det"/>
    <hyperlink ref="A26" r:id="rId52" display="http://sports.yahoo.com/nhl/players/3981"/>
    <hyperlink ref="B26" r:id="rId53" display="http://sports.yahoo.com/nhl/teams/chi"/>
    <hyperlink ref="A27" r:id="rId54" display="http://sports.yahoo.com/nhl/players/4491"/>
    <hyperlink ref="B27" r:id="rId55" display="http://sports.yahoo.com/nhl/teams/ott"/>
    <hyperlink ref="A28" r:id="rId56" display="http://sports.yahoo.com/nhl/players/1600"/>
    <hyperlink ref="B28" r:id="rId57" display="http://sports.yahoo.com/nhl/teams/san"/>
    <hyperlink ref="A29" r:id="rId58" display="http://sports.yahoo.com/nhl/players/2680"/>
    <hyperlink ref="B29" r:id="rId59" display="http://sports.yahoo.com/nhl/teams/det"/>
    <hyperlink ref="A30" r:id="rId60" display="http://sports.yahoo.com/nhl/players/5470"/>
    <hyperlink ref="B30" r:id="rId61" display="http://sports.yahoo.com/nhl/teams/cgy"/>
    <hyperlink ref="A31" r:id="rId62" display="http://sports.yahoo.com/nhl/players/5425"/>
    <hyperlink ref="B31" r:id="rId63" display="http://sports.yahoo.com/nhl/teams/tam"/>
    <hyperlink ref="A32" r:id="rId64" display="http://sports.yahoo.com/nhl/players/5152"/>
    <hyperlink ref="B32" r:id="rId65" display="http://sports.yahoo.com/nhl/teams/ott"/>
    <hyperlink ref="A33" r:id="rId66" display="http://sports.yahoo.com/nhl/players/3136"/>
    <hyperlink ref="B33" r:id="rId67" display="http://sports.yahoo.com/nhl/teams/stl"/>
    <hyperlink ref="A34" r:id="rId68" display="http://sports.yahoo.com/nhl/players/3788"/>
    <hyperlink ref="B34" r:id="rId69" display="http://sports.yahoo.com/nhl/teams/los"/>
    <hyperlink ref="A35" r:id="rId70" display="http://sports.yahoo.com/nhl/players/4240"/>
    <hyperlink ref="B35" r:id="rId71" display="http://sports.yahoo.com/nhl/teams/chi"/>
    <hyperlink ref="A36" r:id="rId72" display="http://sports.yahoo.com/nhl/players/4242"/>
    <hyperlink ref="B36" r:id="rId73" display="http://sports.yahoo.com/nhl/teams/ott"/>
    <hyperlink ref="A37" r:id="rId74" display="http://sports.yahoo.com/nhl/players/4498"/>
    <hyperlink ref="B37" r:id="rId75" display="http://sports.yahoo.com/nhl/teams/edm"/>
    <hyperlink ref="A38" r:id="rId76" display="http://sports.yahoo.com/nhl/players/4974"/>
    <hyperlink ref="B38" r:id="rId77" display="http://sports.yahoo.com/nhl/teams/stl"/>
    <hyperlink ref="A39" r:id="rId78" display="http://sports.yahoo.com/nhl/players/5573"/>
    <hyperlink ref="B39" r:id="rId79" display="http://sports.yahoo.com/nhl/teams/tam"/>
    <hyperlink ref="A40" r:id="rId80" display="http://sports.yahoo.com/nhl/players/2598"/>
    <hyperlink ref="B40" r:id="rId81" display="http://sports.yahoo.com/nhl/teams/van"/>
    <hyperlink ref="A41" r:id="rId82" display="http://sports.yahoo.com/nhl/players/5691"/>
    <hyperlink ref="B41" r:id="rId83" display="http://sports.yahoo.com/nhl/teams/nas"/>
    <hyperlink ref="A42" r:id="rId84" display="http://sports.yahoo.com/nhl/players/3640"/>
    <hyperlink ref="B42" r:id="rId85" display="http://sports.yahoo.com/nhl/teams/wpg"/>
    <hyperlink ref="A43" r:id="rId86" display="http://sports.yahoo.com/nhl/players/1933"/>
    <hyperlink ref="B43" r:id="rId87" display="http://sports.yahoo.com/nhl/teams/nas"/>
    <hyperlink ref="A44" r:id="rId88" display="http://sports.yahoo.com/nhl/players/5985"/>
    <hyperlink ref="B44" r:id="rId89" display="http://sports.yahoo.com/nhl/teams/cgy"/>
    <hyperlink ref="A45" r:id="rId90" display="http://sports.yahoo.com/nhl/players/3355"/>
    <hyperlink ref="B45" r:id="rId91" display="http://sports.yahoo.com/nhl/teams/min"/>
    <hyperlink ref="A46" r:id="rId92" display="http://sports.yahoo.com/nhl/players/2900"/>
    <hyperlink ref="B46" r:id="rId93" display="http://sports.yahoo.com/nhl/teams/dal"/>
    <hyperlink ref="A47" r:id="rId94" display="http://sports.yahoo.com/nhl/players/3349"/>
    <hyperlink ref="B47" r:id="rId95" display="http://sports.yahoo.com/nhl/teams/los"/>
    <hyperlink ref="A48" r:id="rId96" display="http://sports.yahoo.com/nhl/players/1640"/>
    <hyperlink ref="B48" r:id="rId97" display="http://sports.yahoo.com/nhl/teams/chi"/>
    <hyperlink ref="A49" r:id="rId98" display="http://sports.yahoo.com/nhl/players/3641"/>
    <hyperlink ref="B49" r:id="rId99" display="http://sports.yahoo.com/nhl/teams/wpg"/>
    <hyperlink ref="A50" r:id="rId100" display="http://sports.yahoo.com/nhl/players/3983"/>
    <hyperlink ref="B50" r:id="rId101" display="http://sports.yahoo.com/nhl/teams/tor"/>
    <hyperlink ref="A51" r:id="rId102" display="http://sports.yahoo.com/nhl/players/3987"/>
    <hyperlink ref="B51" r:id="rId103" display="http://sports.yahoo.com/nhl/teams/nyr"/>
    <hyperlink ref="A52" r:id="rId104" display="http://sports.yahoo.com/nhl/players/2418"/>
    <hyperlink ref="B52" r:id="rId105" display="http://sports.yahoo.com/nhl/teams/cob"/>
    <hyperlink ref="A53" r:id="rId106" display="http://sports.yahoo.com/nhl/players/4558"/>
    <hyperlink ref="B53" r:id="rId107" display="http://sports.yahoo.com/nhl/teams/mon"/>
    <hyperlink ref="A54" r:id="rId108" display="http://sports.yahoo.com/nhl/players/3005"/>
    <hyperlink ref="B54" r:id="rId109" display="http://sports.yahoo.com/nhl/teams/mon"/>
    <hyperlink ref="A55" r:id="rId110" display="http://sports.yahoo.com/nhl/players/3358"/>
    <hyperlink ref="B55" r:id="rId111" display="http://sports.yahoo.com/nhl/teams/san"/>
    <hyperlink ref="A56" r:id="rId112" display="http://sports.yahoo.com/nhl/players/5363"/>
    <hyperlink ref="B56" r:id="rId113" display="http://sports.yahoo.com/nhl/teams/col"/>
    <hyperlink ref="A57" r:id="rId114" display="http://sports.yahoo.com/nhl/players/1453"/>
    <hyperlink ref="B57" r:id="rId115" display="http://sports.yahoo.com/nhl/teams/col"/>
    <hyperlink ref="A58" r:id="rId116" display="http://sports.yahoo.com/nhl/players/3861"/>
    <hyperlink ref="B58" r:id="rId117" display="http://sports.yahoo.com/nhl/teams/stl"/>
    <hyperlink ref="A59" r:id="rId118" display="http://sports.yahoo.com/nhl/players/1644"/>
    <hyperlink ref="B59" r:id="rId119" display="http://sports.yahoo.com/nhl/teams/san"/>
    <hyperlink ref="A60" r:id="rId120" display="http://sports.yahoo.com/nhl/players/5362"/>
    <hyperlink ref="B60" r:id="rId121" display="http://sports.yahoo.com/nhl/teams/edm"/>
    <hyperlink ref="A61" r:id="rId122" display="http://sports.yahoo.com/nhl/players/4241"/>
    <hyperlink ref="B61" r:id="rId123" display="http://sports.yahoo.com/nhl/teams/tor"/>
    <hyperlink ref="A62" r:id="rId124" display="http://sports.yahoo.com/nhl/players/3508"/>
    <hyperlink ref="B62" r:id="rId125" display="http://sports.yahoo.com/nhl/teams/cgy"/>
    <hyperlink ref="A63" r:id="rId126" display="http://sports.yahoo.com/nhl/players/4792"/>
    <hyperlink ref="B63" r:id="rId127" display="http://sports.yahoo.com/nhl/teams/det"/>
    <hyperlink ref="A64" r:id="rId128" display="http://sports.yahoo.com/nhl/players/4683"/>
    <hyperlink ref="B64" r:id="rId129" display="http://sports.yahoo.com/nhl/teams/col"/>
    <hyperlink ref="A65" r:id="rId130" display="http://sports.yahoo.com/nhl/players/4503"/>
    <hyperlink ref="B65" r:id="rId131" display="http://sports.yahoo.com/nhl/teams/was"/>
    <hyperlink ref="A66" r:id="rId132" display="http://sports.yahoo.com/nhl/players/4786"/>
    <hyperlink ref="B66" r:id="rId133" display="http://sports.yahoo.com/nhl/teams/col"/>
    <hyperlink ref="A67" r:id="rId134" display="http://sports.yahoo.com/nhl/players/4930"/>
    <hyperlink ref="B67" r:id="rId135" display="http://sports.yahoo.com/nhl/teams/nas"/>
    <hyperlink ref="A68" r:id="rId136" display="http://sports.yahoo.com/nhl/players/3365"/>
    <hyperlink ref="B68" r:id="rId137" display="http://sports.yahoo.com/nhl/teams/ana"/>
    <hyperlink ref="A69" r:id="rId138" display="http://sports.yahoo.com/nhl/players/3801"/>
    <hyperlink ref="B69" r:id="rId139" display="http://sports.yahoo.com/nhl/teams/stl"/>
    <hyperlink ref="A70" r:id="rId140" display="http://sports.yahoo.com/nhl/players/3383"/>
    <hyperlink ref="B70" r:id="rId141" display="http://sports.yahoo.com/nhl/teams/bos"/>
    <hyperlink ref="A71" r:id="rId142" display="http://sports.yahoo.com/nhl/players/1763"/>
    <hyperlink ref="B71" r:id="rId143" display="http://sports.yahoo.com/nhl/teams/col"/>
    <hyperlink ref="A72" r:id="rId144" display="http://sports.yahoo.com/nhl/players/4992"/>
    <hyperlink ref="B72" r:id="rId145" display="http://sports.yahoo.com/nhl/teams/nyr"/>
    <hyperlink ref="A73" r:id="rId146" display="http://sports.yahoo.com/nhl/players/3342"/>
    <hyperlink ref="B73" r:id="rId147" display="http://sports.yahoo.com/nhl/teams/car"/>
    <hyperlink ref="A74" r:id="rId148" display="http://sports.yahoo.com/nhl/players/3776"/>
    <hyperlink ref="B74" r:id="rId149" display="http://sports.yahoo.com/nhl/teams/ott"/>
    <hyperlink ref="A75" r:id="rId150" display="http://sports.yahoo.com/nhl/players/2994"/>
    <hyperlink ref="B75" r:id="rId151" display="http://sports.yahoo.com/nhl/teams/min"/>
    <hyperlink ref="A76" r:id="rId152" display="http://sports.yahoo.com/nhl/players/3886"/>
    <hyperlink ref="B76" r:id="rId153" display="http://sports.yahoo.com/nhl/teams/tam"/>
    <hyperlink ref="A77" r:id="rId154" display="http://sports.yahoo.com/nhl/players/5364"/>
    <hyperlink ref="B77" r:id="rId155" display="http://sports.yahoo.com/nhl/teams/fla"/>
    <hyperlink ref="A78" r:id="rId156" display="http://sports.yahoo.com/nhl/players/5279"/>
    <hyperlink ref="B78" r:id="rId157" display="http://sports.yahoo.com/nhl/teams/det"/>
    <hyperlink ref="A79" r:id="rId158" display="http://sports.yahoo.com/nhl/players/4064"/>
    <hyperlink ref="B79" r:id="rId159" display="http://sports.yahoo.com/nhl/teams/pit"/>
    <hyperlink ref="A80" r:id="rId160" display="http://sports.yahoo.com/nhl/players/5281"/>
    <hyperlink ref="B80" r:id="rId161" display="http://sports.yahoo.com/nhl/teams/col"/>
    <hyperlink ref="A81" r:id="rId162" display="http://sports.yahoo.com/nhl/players/3833"/>
    <hyperlink ref="B81" r:id="rId163" display="http://sports.yahoo.com/nhl/teams/phi"/>
    <hyperlink ref="A82" r:id="rId164" display="http://sports.yahoo.com/nhl/players/5411"/>
    <hyperlink ref="B82" r:id="rId165" display="http://sports.yahoo.com/nhl/teams/chi"/>
    <hyperlink ref="A83" r:id="rId166" display="http://sports.yahoo.com/nhl/players/3885"/>
    <hyperlink ref="B83" r:id="rId167" display="http://sports.yahoo.com/nhl/teams/nyr"/>
    <hyperlink ref="A84" r:id="rId168" display="http://sports.yahoo.com/nhl/players/3994"/>
    <hyperlink ref="B84" r:id="rId169" display="http://sports.yahoo.com/nhl/teams/wpg"/>
    <hyperlink ref="A85" r:id="rId170" display="http://sports.yahoo.com/nhl/players/3344"/>
    <hyperlink ref="B85" r:id="rId171" display="http://sports.yahoo.com/nhl/teams/min"/>
    <hyperlink ref="A86" r:id="rId172" display="http://sports.yahoo.com/nhl/players/1772"/>
    <hyperlink ref="B86" r:id="rId173" display="http://sports.yahoo.com/nhl/teams/nyr"/>
    <hyperlink ref="A87" r:id="rId174" display="http://sports.yahoo.com/nhl/players/3988"/>
    <hyperlink ref="B87" r:id="rId175" display="http://sports.yahoo.com/nhl/teams/nyi"/>
    <hyperlink ref="A88" r:id="rId176" display="http://sports.yahoo.com/nhl/players/4207"/>
    <hyperlink ref="B88" r:id="rId177" display="http://sports.yahoo.com/nhl/teams/pit"/>
    <hyperlink ref="A89" r:id="rId178" display="http://sports.yahoo.com/nhl/players/2145"/>
    <hyperlink ref="B89" r:id="rId179" display="http://sports.yahoo.com/nhl/teams/mon"/>
    <hyperlink ref="A90" r:id="rId180" display="http://sports.yahoo.com/nhl/players/5366"/>
    <hyperlink ref="B90" r:id="rId181" display="http://sports.yahoo.com/nhl/teams/nyi"/>
    <hyperlink ref="A91" r:id="rId182" display="http://sports.yahoo.com/nhl/players/4328"/>
    <hyperlink ref="B91" r:id="rId183" display="http://sports.yahoo.com/nhl/teams/phi"/>
    <hyperlink ref="A92" r:id="rId184" display="http://sports.yahoo.com/nhl/players/4629"/>
    <hyperlink ref="B92" r:id="rId185" display="http://sports.yahoo.com/nhl/teams/tor"/>
    <hyperlink ref="A93" r:id="rId186" display="http://sports.yahoo.com/nhl/players/4921"/>
    <hyperlink ref="B93" r:id="rId187" display="http://sports.yahoo.com/nhl/teams/nyr"/>
    <hyperlink ref="A94" r:id="rId188" display="http://sports.yahoo.com/nhl/players/5368"/>
    <hyperlink ref="B94" r:id="rId189" display="http://sports.yahoo.com/nhl/teams/wpg"/>
    <hyperlink ref="A95" r:id="rId190" display="http://sports.yahoo.com/nhl/players/5010"/>
    <hyperlink ref="B95" r:id="rId191" display="http://sports.yahoo.com/nhl/teams/car"/>
    <hyperlink ref="A96" r:id="rId192" display="http://sports.yahoo.com/nhl/players/5020"/>
    <hyperlink ref="B96" r:id="rId193" display="http://sports.yahoo.com/nhl/teams/los"/>
    <hyperlink ref="A97" r:id="rId194" display="http://sports.yahoo.com/nhl/players/2842"/>
    <hyperlink ref="B97" r:id="rId195" display="http://sports.yahoo.com/nhl/teams/min"/>
    <hyperlink ref="A98" r:id="rId196" display="http://sports.yahoo.com/nhl/players/4805"/>
    <hyperlink ref="B98" r:id="rId197" display="http://sports.yahoo.com/nhl/teams/ott"/>
    <hyperlink ref="A99" r:id="rId198" display="http://sports.yahoo.com/nhl/players/3614"/>
    <hyperlink ref="B99" r:id="rId199" display="http://sports.yahoo.com/nhl/teams/cgy"/>
    <hyperlink ref="A100" r:id="rId200" display="http://sports.yahoo.com/nhl/players/3759"/>
    <hyperlink ref="B100" r:id="rId201" display="http://sports.yahoo.com/nhl/teams/tam"/>
    <hyperlink ref="A101" r:id="rId202" display="http://sports.yahoo.com/nhl/players/4554"/>
    <hyperlink ref="B101" r:id="rId203" display="http://sports.yahoo.com/nhl/teams/mon"/>
    <hyperlink ref="A102" r:id="rId204" display="http://sports.yahoo.com/nhl/players/5120"/>
    <hyperlink ref="B102" r:id="rId205" display="http://sports.yahoo.com/nhl/teams/mon"/>
    <hyperlink ref="A103" r:id="rId206" display="http://sports.yahoo.com/nhl/players/4685"/>
    <hyperlink ref="B103" r:id="rId207" display="http://sports.yahoo.com/nhl/teams/phi"/>
    <hyperlink ref="A104" r:id="rId208" display="http://sports.yahoo.com/nhl/players/3331"/>
    <hyperlink ref="B104" r:id="rId209" display="http://sports.yahoo.com/nhl/teams/ana"/>
    <hyperlink ref="A105" r:id="rId210" display="http://sports.yahoo.com/nhl/players/35"/>
    <hyperlink ref="B105" r:id="rId211" display="http://sports.yahoo.com/nhl/teams/fla"/>
    <hyperlink ref="A106" r:id="rId212" display="http://sports.yahoo.com/nhl/players/3371"/>
    <hyperlink ref="B106" r:id="rId213" display="http://sports.yahoo.com/nhl/teams/bos"/>
    <hyperlink ref="A107" r:id="rId214" display="http://sports.yahoo.com/nhl/players/2416"/>
    <hyperlink ref="B107" r:id="rId215" display="http://sports.yahoo.com/nhl/teams/los"/>
    <hyperlink ref="A108" r:id="rId216" display="http://sports.yahoo.com/nhl/players/4704"/>
    <hyperlink ref="B108" r:id="rId217" display="http://sports.yahoo.com/nhl/teams/was"/>
    <hyperlink ref="A109" r:id="rId218" display="http://sports.yahoo.com/nhl/players/4474"/>
    <hyperlink ref="B109" r:id="rId219" display="http://sports.yahoo.com/nhl/teams/stl"/>
    <hyperlink ref="A110" r:id="rId220" display="http://sports.yahoo.com/nhl/players/4472"/>
    <hyperlink ref="B110" r:id="rId221" display="http://sports.yahoo.com/nhl/teams/los"/>
    <hyperlink ref="A111" r:id="rId222" display="http://sports.yahoo.com/nhl/players/4502"/>
    <hyperlink ref="B111" r:id="rId223" display="http://sports.yahoo.com/nhl/teams/buf"/>
    <hyperlink ref="A112" r:id="rId224" display="http://sports.yahoo.com/nhl/players/5367"/>
    <hyperlink ref="B112" r:id="rId225" display="http://sports.yahoo.com/nhl/teams/ott"/>
    <hyperlink ref="A113" r:id="rId226" display="http://sports.yahoo.com/nhl/players/5683"/>
    <hyperlink ref="B113" r:id="rId227" display="http://sports.yahoo.com/nhl/teams/mon"/>
    <hyperlink ref="A114" r:id="rId228" display="http://sports.yahoo.com/nhl/players/4699"/>
    <hyperlink ref="B114" r:id="rId229" display="http://sports.yahoo.com/nhl/teams/nyr"/>
    <hyperlink ref="A115" r:id="rId230" display="http://sports.yahoo.com/nhl/players/4023"/>
    <hyperlink ref="B115" r:id="rId231" display="http://sports.yahoo.com/nhl/teams/stl"/>
    <hyperlink ref="A116" r:id="rId232" display="http://sports.yahoo.com/nhl/players/4984"/>
    <hyperlink ref="B116" r:id="rId233" display="http://sports.yahoo.com/nhl/teams/nyr"/>
    <hyperlink ref="A117" r:id="rId234" display="http://sports.yahoo.com/nhl/players/3667"/>
    <hyperlink ref="B117" r:id="rId235" display="http://sports.yahoo.com/nhl/teams/was"/>
    <hyperlink ref="A118" r:id="rId236" display="http://sports.yahoo.com/nhl/players/3266"/>
    <hyperlink ref="B118" r:id="rId237" display="http://sports.yahoo.com/nhl/teams/chi"/>
    <hyperlink ref="A119" r:id="rId238" display="http://sports.yahoo.com/nhl/players/3387"/>
    <hyperlink ref="B119" r:id="rId239" display="http://sports.yahoo.com/nhl/teams/nas"/>
    <hyperlink ref="A120" r:id="rId240" display="http://sports.yahoo.com/nhl/players/3705"/>
    <hyperlink ref="B120" r:id="rId241" display="http://sports.yahoo.com/nhl/teams/wpg"/>
    <hyperlink ref="A121" r:id="rId242" display="http://sports.yahoo.com/nhl/players/4396"/>
    <hyperlink ref="B121" r:id="rId243" display="http://sports.yahoo.com/nhl/teams/det"/>
    <hyperlink ref="A122" r:id="rId244" display="http://sports.yahoo.com/nhl/players/4939"/>
    <hyperlink ref="B122" r:id="rId245" display="http://sports.yahoo.com/nhl/teams/stl"/>
    <hyperlink ref="A123" r:id="rId246" display="http://sports.yahoo.com/nhl/players/2517"/>
    <hyperlink ref="B123" r:id="rId247" display="http://sports.yahoo.com/nhl/teams/det"/>
    <hyperlink ref="A124" r:id="rId248" display="http://sports.yahoo.com/nhl/players/5396"/>
    <hyperlink ref="B124" r:id="rId249" display="http://sports.yahoo.com/nhl/teams/nas"/>
    <hyperlink ref="A125" r:id="rId250" display="http://sports.yahoo.com/nhl/players/4253"/>
    <hyperlink ref="B125" r:id="rId251" display="http://sports.yahoo.com/nhl/teams/stl"/>
    <hyperlink ref="A126" r:id="rId252" display="http://sports.yahoo.com/nhl/players/4306"/>
    <hyperlink ref="B126" r:id="rId253" display="http://sports.yahoo.com/nhl/teams/bos"/>
    <hyperlink ref="A127" r:id="rId254" display="http://sports.yahoo.com/nhl/players/3021"/>
    <hyperlink ref="B127" r:id="rId255" display="http://sports.yahoo.com/nhl/teams/fla"/>
    <hyperlink ref="A128" r:id="rId256" display="http://sports.yahoo.com/nhl/players/3928"/>
    <hyperlink ref="B128" r:id="rId257" display="http://sports.yahoo.com/nhl/teams/bos"/>
    <hyperlink ref="A129" r:id="rId258" display="http://sports.yahoo.com/nhl/players/4979"/>
    <hyperlink ref="B129" r:id="rId259" display="http://sports.yahoo.com/nhl/teams/fla"/>
    <hyperlink ref="A130" r:id="rId260" display="http://sports.yahoo.com/nhl/players/3918"/>
    <hyperlink ref="B130" r:id="rId261" display="http://sports.yahoo.com/nhl/teams/nyi"/>
    <hyperlink ref="A131" r:id="rId262" display="http://sports.yahoo.com/nhl/players/5238"/>
    <hyperlink ref="B131" r:id="rId263" display="http://sports.yahoo.com/nhl/teams/njd"/>
    <hyperlink ref="A132" r:id="rId264" display="http://sports.yahoo.com/nhl/players/3649"/>
    <hyperlink ref="B132" r:id="rId265" display="http://sports.yahoo.com/nhl/teams/wpg"/>
    <hyperlink ref="A133" r:id="rId266" display="http://sports.yahoo.com/nhl/players/3041"/>
    <hyperlink ref="B133" r:id="rId267" display="http://sports.yahoo.com/nhl/teams/chi"/>
    <hyperlink ref="A134" r:id="rId268" display="http://sports.yahoo.com/nhl/players/3947"/>
    <hyperlink ref="B134" r:id="rId269" display="http://sports.yahoo.com/nhl/teams/was"/>
    <hyperlink ref="A135" r:id="rId270" display="http://sports.yahoo.com/nhl/players/4686"/>
    <hyperlink ref="B135" r:id="rId271" display="http://sports.yahoo.com/nhl/teams/ari"/>
    <hyperlink ref="A136" r:id="rId272" display="http://sports.yahoo.com/nhl/players/5370"/>
    <hyperlink ref="B136" r:id="rId273" display="http://sports.yahoo.com/nhl/teams/bos"/>
    <hyperlink ref="A137" r:id="rId274" display="http://sports.yahoo.com/nhl/players/4351"/>
    <hyperlink ref="B137" r:id="rId275" display="http://sports.yahoo.com/nhl/teams/bos"/>
    <hyperlink ref="A138" r:id="rId276" display="http://sports.yahoo.com/nhl/players/2991"/>
    <hyperlink ref="B138" r:id="rId277" display="http://sports.yahoo.com/nhl/teams/njd"/>
    <hyperlink ref="A139" r:id="rId278" display="http://sports.yahoo.com/nhl/players/4480"/>
    <hyperlink ref="B139" r:id="rId279" display="http://sports.yahoo.com/nhl/teams/nas"/>
    <hyperlink ref="A140" r:id="rId280" display="http://sports.yahoo.com/nhl/players/4990"/>
    <hyperlink ref="B140" r:id="rId281" display="http://sports.yahoo.com/nhl/teams/nyi"/>
    <hyperlink ref="A141" r:id="rId282" display="http://sports.yahoo.com/nhl/players/3992"/>
    <hyperlink ref="B141" r:id="rId283" display="http://sports.yahoo.com/nhl/teams/wpg"/>
    <hyperlink ref="A142" r:id="rId284" display="http://sports.yahoo.com/nhl/players/4245"/>
    <hyperlink ref="B142" r:id="rId285" display="http://sports.yahoo.com/nhl/teams/ari"/>
    <hyperlink ref="A143" r:id="rId286" display="http://sports.yahoo.com/nhl/players/4732"/>
    <hyperlink ref="B143" r:id="rId287" display="http://sports.yahoo.com/nhl/teams/cgy"/>
    <hyperlink ref="A144" r:id="rId288" display="http://sports.yahoo.com/nhl/players/4383"/>
    <hyperlink ref="B144" r:id="rId289" display="http://sports.yahoo.com/nhl/teams/wpg"/>
    <hyperlink ref="A145" r:id="rId290" display="http://sports.yahoo.com/nhl/players/5928"/>
    <hyperlink ref="B145" r:id="rId291" display="http://sports.yahoo.com/nhl/teams/nyi"/>
    <hyperlink ref="A146" r:id="rId292" display="http://sports.yahoo.com/nhl/players/4040"/>
    <hyperlink ref="B146" r:id="rId293" display="http://sports.yahoo.com/nhl/teams/buf"/>
    <hyperlink ref="A147" r:id="rId294" display="http://sports.yahoo.com/nhl/players/4819"/>
    <hyperlink ref="B147" r:id="rId295" display="http://sports.yahoo.com/nhl/teams/los"/>
    <hyperlink ref="A148" r:id="rId296" display="http://sports.yahoo.com/nhl/players/4482"/>
    <hyperlink ref="B148" r:id="rId297" display="http://sports.yahoo.com/nhl/teams/nyi"/>
    <hyperlink ref="A149" r:id="rId298" display="http://sports.yahoo.com/nhl/players/2468"/>
    <hyperlink ref="B149" r:id="rId299" display="http://sports.yahoo.com/nhl/teams/los"/>
    <hyperlink ref="A150" r:id="rId300" display="http://sports.yahoo.com/nhl/players/4265"/>
    <hyperlink ref="B150" r:id="rId301" display="http://sports.yahoo.com/nhl/teams/pit"/>
    <hyperlink ref="A151" r:id="rId302" display="http://sports.yahoo.com/nhl/players/3777"/>
    <hyperlink ref="B151" r:id="rId303" display="http://sports.yahoo.com/nhl/teams/cob"/>
    <hyperlink ref="A152" r:id="rId304" display="http://sports.yahoo.com/nhl/players/5639"/>
    <hyperlink ref="B152" r:id="rId305" display="http://sports.yahoo.com/nhl/teams/bos"/>
    <hyperlink ref="A153" r:id="rId306" display="http://sports.yahoo.com/nhl/players/5104"/>
    <hyperlink ref="B153" r:id="rId307" display="http://sports.yahoo.com/nhl/teams/dal"/>
    <hyperlink ref="A154" r:id="rId308" display="http://sports.yahoo.com/nhl/players/3340"/>
    <hyperlink ref="B154" r:id="rId309" display="http://sports.yahoo.com/nhl/teams/pit"/>
    <hyperlink ref="A155" r:id="rId310" display="http://sports.yahoo.com/nhl/players/5282"/>
    <hyperlink ref="B155" r:id="rId311" display="http://sports.yahoo.com/nhl/teams/cob"/>
    <hyperlink ref="A156" r:id="rId312" display="http://sports.yahoo.com/nhl/players/4817"/>
    <hyperlink ref="B156" r:id="rId313" display="http://sports.yahoo.com/nhl/teams/dal"/>
    <hyperlink ref="A157" r:id="rId314" display="http://sports.yahoo.com/nhl/players/4687"/>
    <hyperlink ref="B157" r:id="rId315" display="http://sports.yahoo.com/nhl/teams/tor"/>
    <hyperlink ref="A158" r:id="rId316" display="http://sports.yahoo.com/nhl/players/5632"/>
    <hyperlink ref="B158" r:id="rId317" display="http://sports.yahoo.com/nhl/teams/bos"/>
    <hyperlink ref="A159" r:id="rId318" display="http://sports.yahoo.com/nhl/players/1934"/>
    <hyperlink ref="B159" r:id="rId319" display="http://sports.yahoo.com/nhl/teams/nas"/>
    <hyperlink ref="A160" r:id="rId320" display="http://sports.yahoo.com/nhl/players/6367"/>
    <hyperlink ref="B160" r:id="rId321" display="http://sports.yahoo.com/nhl/teams/fla"/>
    <hyperlink ref="A161" r:id="rId322" display="http://sports.yahoo.com/nhl/players/4969"/>
    <hyperlink ref="B161" r:id="rId323" display="http://sports.yahoo.com/nhl/teams/min"/>
    <hyperlink ref="A162" r:id="rId324" display="http://sports.yahoo.com/nhl/players/4838"/>
    <hyperlink ref="B162" r:id="rId325" display="http://sports.yahoo.com/nhl/teams/van"/>
    <hyperlink ref="A163" r:id="rId326" display="http://sports.yahoo.com/nhl/players/5984"/>
    <hyperlink ref="B163" r:id="rId327" display="http://sports.yahoo.com/nhl/teams/car"/>
    <hyperlink ref="A164" r:id="rId328" display="http://sports.yahoo.com/nhl/players/2411"/>
    <hyperlink ref="B164" r:id="rId329" display="http://sports.yahoo.com/nhl/teams/det"/>
    <hyperlink ref="A165" r:id="rId330" display="http://sports.yahoo.com/nhl/players/5343"/>
    <hyperlink ref="B165" r:id="rId331" display="http://sports.yahoo.com/nhl/teams/ana"/>
    <hyperlink ref="A166" r:id="rId332" display="http://sports.yahoo.com/nhl/players/4174"/>
    <hyperlink ref="B166" r:id="rId333" display="http://sports.yahoo.com/nhl/teams/tam"/>
    <hyperlink ref="A167" r:id="rId334" display="http://sports.yahoo.com/nhl/players/5980"/>
    <hyperlink ref="B167" r:id="rId335" display="http://sports.yahoo.com/nhl/teams/col"/>
    <hyperlink ref="A168" r:id="rId336" display="http://sports.yahoo.com/nhl/players/2780"/>
    <hyperlink ref="B168" r:id="rId337" display="http://sports.yahoo.com/nhl/teams/chi"/>
    <hyperlink ref="A169" r:id="rId338" display="http://sports.yahoo.com/nhl/players/2525"/>
    <hyperlink ref="B169" r:id="rId339" display="http://sports.yahoo.com/nhl/teams/fla"/>
    <hyperlink ref="A170" r:id="rId340" display="http://sports.yahoo.com/nhl/players/5626"/>
    <hyperlink ref="B170" r:id="rId341" display="http://sports.yahoo.com/nhl/teams/tam"/>
    <hyperlink ref="A171" r:id="rId342" display="http://sports.yahoo.com/nhl/players/4961"/>
    <hyperlink ref="B171" r:id="rId343" display="http://sports.yahoo.com/nhl/teams/edm"/>
    <hyperlink ref="A172" r:id="rId344" display="http://sports.yahoo.com/nhl/players/3345"/>
    <hyperlink ref="B172" r:id="rId345" display="http://sports.yahoo.com/nhl/teams/min"/>
    <hyperlink ref="A173" r:id="rId346" display="http://sports.yahoo.com/nhl/players/4682"/>
    <hyperlink ref="B173" r:id="rId347" display="http://sports.yahoo.com/nhl/teams/tam"/>
    <hyperlink ref="A174" r:id="rId348" display="http://sports.yahoo.com/nhl/players/3184"/>
    <hyperlink ref="B174" r:id="rId349" display="http://sports.yahoo.com/nhl/teams/dal"/>
    <hyperlink ref="A175" r:id="rId350" display="http://sports.yahoo.com/nhl/players/4986"/>
    <hyperlink ref="B175" r:id="rId351" display="http://sports.yahoo.com/nhl/teams/was"/>
    <hyperlink ref="A176" r:id="rId352" display="http://sports.yahoo.com/nhl/players/2104"/>
    <hyperlink ref="B176" r:id="rId353" display="http://sports.yahoo.com/nhl/teams/chi"/>
    <hyperlink ref="A177" r:id="rId354" display="http://sports.yahoo.com/nhl/players/4696"/>
    <hyperlink ref="B177" r:id="rId355" display="http://sports.yahoo.com/nhl/teams/nyi"/>
    <hyperlink ref="A178" r:id="rId356" display="http://sports.yahoo.com/nhl/players/5369"/>
    <hyperlink ref="B178" r:id="rId357" display="http://sports.yahoo.com/nhl/teams/phi"/>
    <hyperlink ref="A179" r:id="rId358" display="http://sports.yahoo.com/nhl/players/5346"/>
    <hyperlink ref="B179" r:id="rId359" display="http://sports.yahoo.com/nhl/teams/ana"/>
    <hyperlink ref="A180" r:id="rId360" display="http://sports.yahoo.com/nhl/players/3818"/>
    <hyperlink ref="B180" r:id="rId361" display="http://sports.yahoo.com/nhl/teams/nas"/>
    <hyperlink ref="A181" r:id="rId362" display="http://sports.yahoo.com/nhl/players/4965"/>
    <hyperlink ref="B181" r:id="rId363" display="http://sports.yahoo.com/nhl/teams/min"/>
    <hyperlink ref="A182" r:id="rId364" display="http://sports.yahoo.com/nhl/players/4287"/>
    <hyperlink ref="B182" r:id="rId365" display="http://sports.yahoo.com/nhl/teams/dal"/>
    <hyperlink ref="A183" r:id="rId366" display="http://sports.yahoo.com/nhl/players/1354"/>
    <hyperlink ref="B183" r:id="rId367" display="http://sports.yahoo.com/nhl/teams/ari"/>
    <hyperlink ref="A184" r:id="rId368" display="http://sports.yahoo.com/nhl/players/4944"/>
    <hyperlink ref="B184" r:id="rId369" display="http://sports.yahoo.com/nhl/teams/san"/>
    <hyperlink ref="A185" r:id="rId370" display="http://sports.yahoo.com/nhl/players/3091"/>
    <hyperlink ref="B185" r:id="rId371" display="http://sports.yahoo.com/nhl/teams/van"/>
    <hyperlink ref="A186" r:id="rId372" display="http://sports.yahoo.com/nhl/players/4981"/>
    <hyperlink ref="B186" r:id="rId373" display="http://sports.yahoo.com/nhl/teams/det"/>
    <hyperlink ref="A187" r:id="rId374" display="http://sports.yahoo.com/nhl/players/4953"/>
    <hyperlink ref="B187" r:id="rId375" display="http://sports.yahoo.com/nhl/teams/cob"/>
    <hyperlink ref="A188" r:id="rId376" display="http://sports.yahoo.com/nhl/players/3998"/>
    <hyperlink ref="B188" r:id="rId377" display="http://sports.yahoo.com/nhl/teams/min"/>
    <hyperlink ref="A189" r:id="rId378" display="http://sports.yahoo.com/nhl/players/3952"/>
    <hyperlink ref="B189" r:id="rId379" display="http://sports.yahoo.com/nhl/teams/nas"/>
    <hyperlink ref="A190" r:id="rId380" display="http://sports.yahoo.com/nhl/players/5981"/>
    <hyperlink ref="B190" r:id="rId381" display="http://sports.yahoo.com/nhl/teams/fla"/>
    <hyperlink ref="A191" r:id="rId382" display="http://sports.yahoo.com/nhl/players/3701"/>
    <hyperlink ref="B191" r:id="rId383" display="http://sports.yahoo.com/nhl/teams/ott"/>
    <hyperlink ref="A192" r:id="rId384" display="http://sports.yahoo.com/nhl/players/3880"/>
    <hyperlink ref="B192" r:id="rId385" display="http://sports.yahoo.com/nhl/teams/cob"/>
    <hyperlink ref="A193" r:id="rId386" display="http://sports.yahoo.com/nhl/players/2144"/>
    <hyperlink ref="B193" r:id="rId387" display="http://sports.yahoo.com/nhl/teams/buf"/>
    <hyperlink ref="A194" r:id="rId388" display="http://sports.yahoo.com/nhl/players/4959"/>
    <hyperlink ref="B194" r:id="rId389" display="http://sports.yahoo.com/nhl/teams/fla"/>
    <hyperlink ref="A195" r:id="rId390" display="http://sports.yahoo.com/nhl/players/3577"/>
    <hyperlink ref="B195" r:id="rId391" display="http://sports.yahoo.com/nhl/teams/was"/>
    <hyperlink ref="A196" r:id="rId392" display="http://sports.yahoo.com/nhl/players/3162"/>
    <hyperlink ref="B196" r:id="rId393" display="http://sports.yahoo.com/nhl/teams/nyi"/>
    <hyperlink ref="A197" r:id="rId394" display="http://sports.yahoo.com/nhl/players/4988"/>
    <hyperlink ref="B197" r:id="rId395" display="http://sports.yahoo.com/nhl/teams/min"/>
    <hyperlink ref="A198" r:id="rId396" display="http://sports.yahoo.com/nhl/players/5598"/>
    <hyperlink ref="B198" r:id="rId397" display="http://sports.yahoo.com/nhl/teams/nyr"/>
    <hyperlink ref="A199" r:id="rId398" display="http://sports.yahoo.com/nhl/players/1389"/>
    <hyperlink ref="B199" r:id="rId399" display="http://sports.yahoo.com/nhl/teams/njd"/>
    <hyperlink ref="A200" r:id="rId400" display="http://sports.yahoo.com/nhl/players/3781"/>
    <hyperlink ref="B200" r:id="rId401" display="http://sports.yahoo.com/nhl/teams/edm"/>
    <hyperlink ref="A201" r:id="rId402" display="http://sports.yahoo.com/nhl/players/3938"/>
    <hyperlink ref="B201" r:id="rId403" display="http://sports.yahoo.com/nhl/teams/chi"/>
    <hyperlink ref="A202" r:id="rId404" display="http://sports.yahoo.com/nhl/players/3249"/>
    <hyperlink ref="B202" r:id="rId405" display="http://sports.yahoo.com/nhl/teams/det"/>
    <hyperlink ref="A203" r:id="rId406" display="http://sports.yahoo.com/nhl/players/3951"/>
    <hyperlink ref="B203" r:id="rId407" display="http://sports.yahoo.com/nhl/teams/cgy"/>
    <hyperlink ref="A204" r:id="rId408" display="http://sports.yahoo.com/nhl/players/1844"/>
    <hyperlink ref="B204" r:id="rId409" display="http://sports.yahoo.com/nhl/teams/njd"/>
    <hyperlink ref="A205" r:id="rId410" display="http://sports.yahoo.com/nhl/players/3329"/>
    <hyperlink ref="B205" r:id="rId411" display="http://sports.yahoo.com/nhl/teams/ott"/>
    <hyperlink ref="A206" r:id="rId412" display="http://sports.yahoo.com/nhl/players/5686"/>
    <hyperlink ref="B206" r:id="rId413" display="http://sports.yahoo.com/nhl/teams/ana"/>
    <hyperlink ref="A207" r:id="rId414" display="http://sports.yahoo.com/nhl/players/4972"/>
    <hyperlink ref="B207" r:id="rId415" display="http://sports.yahoo.com/nhl/teams/ana"/>
    <hyperlink ref="A208" r:id="rId416" display="http://sports.yahoo.com/nhl/players/3571"/>
    <hyperlink ref="B208" r:id="rId417" display="http://sports.yahoo.com/nhl/teams/ana"/>
    <hyperlink ref="A209" r:id="rId418" display="http://sports.yahoo.com/nhl/players/3867"/>
    <hyperlink ref="B209" r:id="rId419" display="http://sports.yahoo.com/nhl/teams/pit"/>
    <hyperlink ref="A210" r:id="rId420" display="http://sports.yahoo.com/nhl/players/5207"/>
    <hyperlink ref="B210" r:id="rId421" display="http://sports.yahoo.com/nhl/teams/cgy"/>
    <hyperlink ref="A211" r:id="rId422" display="http://sports.yahoo.com/nhl/players/4352"/>
    <hyperlink ref="B211" r:id="rId423" display="http://sports.yahoo.com/nhl/teams/ana"/>
    <hyperlink ref="A212" r:id="rId424" display="http://sports.yahoo.com/nhl/players/4079"/>
    <hyperlink ref="B212" r:id="rId425" display="http://sports.yahoo.com/nhl/teams/was"/>
    <hyperlink ref="A213" r:id="rId426" display="http://sports.yahoo.com/nhl/players/4162"/>
    <hyperlink ref="B213" r:id="rId427" display="http://sports.yahoo.com/nhl/teams/edm"/>
    <hyperlink ref="A214" r:id="rId428" display="http://sports.yahoo.com/nhl/players/4065"/>
    <hyperlink ref="B214" r:id="rId429" display="http://sports.yahoo.com/nhl/teams/det"/>
    <hyperlink ref="A215" r:id="rId430" display="http://sports.yahoo.com/nhl/players/4250"/>
    <hyperlink ref="B215" r:id="rId431" display="http://sports.yahoo.com/nhl/teams/pit"/>
    <hyperlink ref="A216" r:id="rId432" display="http://sports.yahoo.com/nhl/players/4771"/>
    <hyperlink ref="B216" r:id="rId433" display="http://sports.yahoo.com/nhl/teams/nyi"/>
    <hyperlink ref="A217" r:id="rId434" display="http://sports.yahoo.com/nhl/players/3356"/>
    <hyperlink ref="B217" r:id="rId435" display="http://sports.yahoo.com/nhl/teams/was"/>
    <hyperlink ref="A218" r:id="rId436" display="http://sports.yahoo.com/nhl/players/3838"/>
    <hyperlink ref="B218" r:id="rId437" display="http://sports.yahoo.com/nhl/teams/van"/>
    <hyperlink ref="A219" r:id="rId438" display="http://sports.yahoo.com/nhl/players/4275"/>
    <hyperlink ref="B219" r:id="rId439" display="http://sports.yahoo.com/nhl/teams/nas"/>
    <hyperlink ref="A220" r:id="rId440" display="http://sports.yahoo.com/nhl/players/5410"/>
    <hyperlink ref="B220" r:id="rId441" display="http://sports.yahoo.com/nhl/teams/car"/>
    <hyperlink ref="A221" r:id="rId442" display="http://sports.yahoo.com/nhl/players/5681"/>
    <hyperlink ref="B221" r:id="rId443" display="http://sports.yahoo.com/nhl/teams/edm"/>
    <hyperlink ref="A222" r:id="rId444" display="http://sports.yahoo.com/nhl/players/4251"/>
    <hyperlink ref="B222" r:id="rId445" display="http://sports.yahoo.com/nhl/teams/nyr"/>
    <hyperlink ref="A223" r:id="rId446" display="http://sports.yahoo.com/nhl/players/4021"/>
    <hyperlink ref="B223" r:id="rId447" display="http://sports.yahoo.com/nhl/teams/van"/>
    <hyperlink ref="A224" r:id="rId448" display="http://sports.yahoo.com/nhl/players/4496"/>
    <hyperlink ref="B224" r:id="rId449" display="http://sports.yahoo.com/nhl/teams/phi"/>
    <hyperlink ref="A225" r:id="rId450" display="http://sports.yahoo.com/nhl/players/5982"/>
    <hyperlink ref="B225" r:id="rId451" display="http://sports.yahoo.com/nhl/teams/tam"/>
    <hyperlink ref="A226" r:id="rId452" display="http://sports.yahoo.com/nhl/players/3354"/>
    <hyperlink ref="B226" r:id="rId453" display="http://sports.yahoo.com/nhl/teams/njd"/>
    <hyperlink ref="A227" r:id="rId454" display="http://sports.yahoo.com/nhl/players/2764"/>
    <hyperlink ref="B227" r:id="rId455" display="http://sports.yahoo.com/nhl/teams/ari"/>
    <hyperlink ref="A228" r:id="rId456" display="http://sports.yahoo.com/nhl/players/2937"/>
    <hyperlink ref="B228" r:id="rId457" display="http://sports.yahoo.com/nhl/teams/edm"/>
    <hyperlink ref="A229" r:id="rId458" display="http://sports.yahoo.com/nhl/players/2849"/>
    <hyperlink ref="B229" r:id="rId459" display="http://sports.yahoo.com/nhl/teams/dal"/>
    <hyperlink ref="A230" r:id="rId460" display="http://sports.yahoo.com/nhl/players/4426"/>
    <hyperlink ref="B230" r:id="rId461" display="http://sports.yahoo.com/nhl/teams/ana"/>
    <hyperlink ref="A231" r:id="rId462" display="http://sports.yahoo.com/nhl/players/3898"/>
    <hyperlink ref="B231" r:id="rId463" display="http://sports.yahoo.com/nhl/teams/bos"/>
    <hyperlink ref="A232" r:id="rId464" display="http://sports.yahoo.com/nhl/players/5927"/>
    <hyperlink ref="B232" r:id="rId465" display="http://sports.yahoo.com/nhl/teams/det"/>
    <hyperlink ref="A233" r:id="rId466" display="http://sports.yahoo.com/nhl/players/5697"/>
    <hyperlink ref="B233" r:id="rId467" display="http://sports.yahoo.com/nhl/teams/san"/>
    <hyperlink ref="A234" r:id="rId468" display="http://sports.yahoo.com/nhl/players/4188"/>
    <hyperlink ref="B234" r:id="rId469" display="http://sports.yahoo.com/nhl/teams/nyi"/>
    <hyperlink ref="A235" r:id="rId470" display="http://sports.yahoo.com/nhl/players/4967"/>
    <hyperlink ref="B235" r:id="rId471" display="http://sports.yahoo.com/nhl/teams/car"/>
    <hyperlink ref="A236" r:id="rId472" display="http://sports.yahoo.com/nhl/players/5319"/>
    <hyperlink ref="B236" r:id="rId473" display="http://sports.yahoo.com/nhl/teams/min"/>
    <hyperlink ref="A237" r:id="rId474" display="http://sports.yahoo.com/nhl/players/5291"/>
    <hyperlink ref="B237" r:id="rId475" display="http://sports.yahoo.com/nhl/teams/ari"/>
    <hyperlink ref="A238" r:id="rId476" display="http://sports.yahoo.com/nhl/players/5391"/>
    <hyperlink ref="B238" r:id="rId477" display="http://sports.yahoo.com/nhl/teams/ana"/>
    <hyperlink ref="A239" r:id="rId478" display="http://sports.yahoo.com/nhl/players/3978"/>
    <hyperlink ref="B239" r:id="rId479" display="http://sports.yahoo.com/nhl/teams/wpg"/>
    <hyperlink ref="A240" r:id="rId480" display="http://sports.yahoo.com/nhl/players/5714"/>
    <hyperlink ref="B240" r:id="rId481" display="http://sports.yahoo.com/nhl/teams/edm"/>
    <hyperlink ref="A241" r:id="rId482" display="http://sports.yahoo.com/nhl/players/4020"/>
    <hyperlink ref="B241" r:id="rId483" display="http://sports.yahoo.com/nhl/teams/van"/>
    <hyperlink ref="A242" r:id="rId484" display="http://sports.yahoo.com/nhl/players/3352"/>
    <hyperlink ref="B242" r:id="rId485" display="http://sports.yahoo.com/nhl/teams/chi"/>
    <hyperlink ref="A243" r:id="rId486" display="http://sports.yahoo.com/nhl/players/3805"/>
    <hyperlink ref="B243" r:id="rId487" display="http://sports.yahoo.com/nhl/teams/was"/>
    <hyperlink ref="A244" r:id="rId488" display="http://sports.yahoo.com/nhl/players/3835"/>
    <hyperlink ref="B244" r:id="rId489" display="http://sports.yahoo.com/nhl/teams/pit"/>
    <hyperlink ref="A245" r:id="rId490" display="http://sports.yahoo.com/nhl/players/5278"/>
    <hyperlink ref="B245" r:id="rId491" display="http://sports.yahoo.com/nhl/teams/phi"/>
    <hyperlink ref="A246" r:id="rId492" display="http://sports.yahoo.com/nhl/players/4183"/>
    <hyperlink ref="B246" r:id="rId493" display="http://sports.yahoo.com/nhl/teams/cgy"/>
    <hyperlink ref="A247" r:id="rId494" display="http://sports.yahoo.com/nhl/players/4575"/>
    <hyperlink ref="B247" r:id="rId495" display="http://sports.yahoo.com/nhl/teams/tam"/>
    <hyperlink ref="A248" r:id="rId496" display="http://sports.yahoo.com/nhl/players/5694"/>
    <hyperlink ref="B248" r:id="rId497" display="http://sports.yahoo.com/nhl/teams/buf"/>
    <hyperlink ref="A249" r:id="rId498" display="http://sports.yahoo.com/nhl/players/4706"/>
    <hyperlink ref="B249" r:id="rId499" display="http://sports.yahoo.com/nhl/teams/ana"/>
    <hyperlink ref="A250" r:id="rId500" display="http://sports.yahoo.com/nhl/players/3347"/>
    <hyperlink ref="B250" r:id="rId501" display="http://sports.yahoo.com/nhl/teams/tor"/>
    <hyperlink ref="A251" r:id="rId502" display="http://sports.yahoo.com/nhl/players/5685"/>
    <hyperlink ref="B251" r:id="rId503" display="http://sports.yahoo.com/nhl/teams/tor"/>
    <hyperlink ref="A252" r:id="rId504" display="http://sports.yahoo.com/nhl/players/3047"/>
    <hyperlink ref="B252" r:id="rId505" display="http://sports.yahoo.com/nhl/teams/dal"/>
    <hyperlink ref="A253" r:id="rId506" display="http://sports.yahoo.com/nhl/players/2185"/>
    <hyperlink ref="B253" r:id="rId507" display="http://sports.yahoo.com/nhl/teams/dal"/>
    <hyperlink ref="A254" r:id="rId508" display="http://sports.yahoo.com/nhl/players/3802"/>
    <hyperlink ref="B254" r:id="rId509" display="http://sports.yahoo.com/nhl/teams/ana"/>
    <hyperlink ref="A255" r:id="rId510" display="http://sports.yahoo.com/nhl/players/4544"/>
    <hyperlink ref="B255" r:id="rId511" display="http://sports.yahoo.com/nhl/teams/mon"/>
    <hyperlink ref="A256" r:id="rId512" display="http://sports.yahoo.com/nhl/players/3814"/>
    <hyperlink ref="B256" r:id="rId513" display="http://sports.yahoo.com/nhl/teams/chi"/>
    <hyperlink ref="A257" r:id="rId514" display="http://sports.yahoo.com/nhl/players/5966"/>
    <hyperlink ref="B257" r:id="rId515" display="http://sports.yahoo.com/nhl/teams/phi"/>
    <hyperlink ref="A258" r:id="rId516" display="http://sports.yahoo.com/nhl/players/4492"/>
    <hyperlink ref="B258" r:id="rId517" display="http://sports.yahoo.com/nhl/teams/cgy"/>
    <hyperlink ref="A259" r:id="rId518" display="http://sports.yahoo.com/nhl/players/3709"/>
    <hyperlink ref="B259" r:id="rId519" display="http://sports.yahoo.com/nhl/teams/wpg"/>
    <hyperlink ref="A260" r:id="rId520" display="http://sports.yahoo.com/nhl/players/4436"/>
    <hyperlink ref="B260" r:id="rId521" display="http://sports.yahoo.com/nhl/teams/car"/>
    <hyperlink ref="A261" r:id="rId522" display="http://sports.yahoo.com/nhl/players/4485"/>
    <hyperlink ref="B261" r:id="rId523" display="http://sports.yahoo.com/nhl/teams/wpg"/>
    <hyperlink ref="A262" r:id="rId524" display="http://sports.yahoo.com/nhl/players/2800"/>
    <hyperlink ref="B262" r:id="rId525" display="http://sports.yahoo.com/nhl/teams/bos"/>
    <hyperlink ref="A263" r:id="rId526" display="http://sports.yahoo.com/nhl/players/3806"/>
    <hyperlink ref="B263" r:id="rId527" display="http://sports.yahoo.com/nhl/teams/pit"/>
    <hyperlink ref="A264" r:id="rId528" display="http://sports.yahoo.com/nhl/players/4481"/>
    <hyperlink ref="B264" r:id="rId529" display="http://sports.yahoo.com/nhl/teams/ari"/>
    <hyperlink ref="A265" r:id="rId530" display="http://sports.yahoo.com/nhl/players/4118"/>
    <hyperlink ref="B265" r:id="rId531" display="http://sports.yahoo.com/nhl/teams/van"/>
    <hyperlink ref="A266" r:id="rId532" display="http://sports.yahoo.com/nhl/players/4691"/>
    <hyperlink ref="B266" r:id="rId533" display="http://sports.yahoo.com/nhl/teams/nas"/>
    <hyperlink ref="A267" r:id="rId534" display="http://sports.yahoo.com/nhl/players/1923"/>
    <hyperlink ref="B267" r:id="rId535" display="http://sports.yahoo.com/nhl/teams/fla"/>
    <hyperlink ref="A268" r:id="rId536" display="http://sports.yahoo.com/nhl/players/3176"/>
    <hyperlink ref="B268" r:id="rId537" display="http://sports.yahoo.com/nhl/teams/ana"/>
    <hyperlink ref="A269" r:id="rId538" display="http://sports.yahoo.com/nhl/players/2786"/>
    <hyperlink ref="B269" r:id="rId539" display="http://sports.yahoo.com/nhl/teams/nyr"/>
    <hyperlink ref="A270" r:id="rId540" display="http://sports.yahoo.com/nhl/players/4005"/>
    <hyperlink ref="B270" r:id="rId541" display="http://sports.yahoo.com/nhl/teams/stl"/>
    <hyperlink ref="A271" r:id="rId542" display="http://sports.yahoo.com/nhl/players/6391"/>
    <hyperlink ref="B271" r:id="rId543" display="http://sports.yahoo.com/nhl/teams/bos"/>
    <hyperlink ref="A272" r:id="rId544" display="http://sports.yahoo.com/nhl/players/3351"/>
    <hyperlink ref="B272" r:id="rId545" display="http://sports.yahoo.com/nhl/teams/los"/>
    <hyperlink ref="A273" r:id="rId546" display="http://sports.yahoo.com/nhl/players/4539"/>
    <hyperlink ref="B273" r:id="rId547" display="http://sports.yahoo.com/nhl/teams/pit"/>
    <hyperlink ref="A274" r:id="rId548" display="http://sports.yahoo.com/nhl/players/1796"/>
    <hyperlink ref="B274" r:id="rId549" display="http://sports.yahoo.com/nhl/teams/ott"/>
    <hyperlink ref="A275" r:id="rId550" display="http://sports.yahoo.com/nhl/players/5415"/>
    <hyperlink ref="B275" r:id="rId551" display="http://sports.yahoo.com/nhl/teams/san"/>
    <hyperlink ref="A276" r:id="rId552" display="http://sports.yahoo.com/nhl/players/3366"/>
    <hyperlink ref="B276" r:id="rId553" display="http://sports.yahoo.com/nhl/teams/dal"/>
    <hyperlink ref="A277" r:id="rId554" display="http://sports.yahoo.com/nhl/players/4252"/>
    <hyperlink ref="B277" r:id="rId555" display="http://sports.yahoo.com/nhl/teams/mon"/>
    <hyperlink ref="A278" r:id="rId556" display="http://sports.yahoo.com/nhl/players/4263"/>
    <hyperlink ref="B278" r:id="rId557" display="http://sports.yahoo.com/nhl/teams/cgy"/>
    <hyperlink ref="A279" r:id="rId558" display="http://sports.yahoo.com/nhl/players/5983"/>
    <hyperlink ref="B279" r:id="rId559" display="http://sports.yahoo.com/nhl/teams/nas"/>
    <hyperlink ref="A280" r:id="rId560" display="http://sports.yahoo.com/nhl/players/4289"/>
    <hyperlink ref="B280" r:id="rId561" display="http://sports.yahoo.com/nhl/teams/cob"/>
    <hyperlink ref="A281" r:id="rId562" display="http://sports.yahoo.com/nhl/players/3692"/>
    <hyperlink ref="B281" r:id="rId563" display="http://sports.yahoo.com/nhl/teams/col"/>
    <hyperlink ref="A282" r:id="rId564" display="http://sports.yahoo.com/nhl/players/5648"/>
    <hyperlink ref="B282" r:id="rId565" display="http://sports.yahoo.com/nhl/teams/ott"/>
    <hyperlink ref="A283" r:id="rId566" display="http://sports.yahoo.com/nhl/players/5032"/>
    <hyperlink ref="B283" r:id="rId567" display="http://sports.yahoo.com/nhl/teams/min"/>
    <hyperlink ref="A284" r:id="rId568" display="http://sports.yahoo.com/nhl/players/5672"/>
    <hyperlink ref="B284" r:id="rId569" display="http://sports.yahoo.com/nhl/teams/tor"/>
    <hyperlink ref="A285" r:id="rId570" display="http://sports.yahoo.com/nhl/players/5504"/>
    <hyperlink ref="B285" r:id="rId571" display="http://sports.yahoo.com/nhl/teams/chi"/>
    <hyperlink ref="A286" r:id="rId572" display="http://sports.yahoo.com/nhl/players/3375"/>
    <hyperlink ref="B286" r:id="rId573" display="http://sports.yahoo.com/nhl/teams/nyr"/>
    <hyperlink ref="A287" r:id="rId574" display="http://sports.yahoo.com/nhl/players/4599"/>
    <hyperlink ref="B287" r:id="rId575" display="http://sports.yahoo.com/nhl/teams/dal"/>
    <hyperlink ref="A288" r:id="rId576" display="http://sports.yahoo.com/nhl/players/4559"/>
    <hyperlink ref="B288" r:id="rId577" display="http://sports.yahoo.com/nhl/teams/los"/>
    <hyperlink ref="A289" r:id="rId578" display="http://sports.yahoo.com/nhl/players/4695"/>
    <hyperlink ref="B289" r:id="rId579" display="http://sports.yahoo.com/nhl/teams/tor"/>
    <hyperlink ref="A290" r:id="rId580" display="http://sports.yahoo.com/nhl/players/5232"/>
    <hyperlink ref="B290" r:id="rId581" display="http://sports.yahoo.com/nhl/teams/min"/>
    <hyperlink ref="A291" r:id="rId582" display="http://sports.yahoo.com/nhl/players/3657"/>
    <hyperlink ref="B291" r:id="rId583" display="http://sports.yahoo.com/nhl/teams/njd"/>
    <hyperlink ref="A292" r:id="rId584" display="http://sports.yahoo.com/nhl/players/4153"/>
    <hyperlink ref="B292" r:id="rId585" display="http://sports.yahoo.com/nhl/teams/van"/>
    <hyperlink ref="A293" r:id="rId586" display="http://sports.yahoo.com/nhl/players/5988"/>
    <hyperlink ref="B293" r:id="rId587" display="http://sports.yahoo.com/nhl/teams/van"/>
    <hyperlink ref="A294" r:id="rId588" display="http://sports.yahoo.com/nhl/players/5605"/>
    <hyperlink ref="B294" r:id="rId589" display="http://sports.yahoo.com/nhl/teams/dal"/>
    <hyperlink ref="A295" r:id="rId590" display="http://sports.yahoo.com/nhl/players/4578"/>
    <hyperlink ref="B295" r:id="rId591" display="http://sports.yahoo.com/nhl/teams/dal"/>
    <hyperlink ref="A296" r:id="rId592" display="http://sports.yahoo.com/nhl/players/4260"/>
    <hyperlink ref="B296" r:id="rId593" display="http://sports.yahoo.com/nhl/teams/car"/>
    <hyperlink ref="A297" r:id="rId594" display="http://sports.yahoo.com/nhl/players/3000"/>
    <hyperlink ref="B297" r:id="rId595" display="http://sports.yahoo.com/nhl/teams/det"/>
    <hyperlink ref="A298" r:id="rId596" display="http://sports.yahoo.com/nhl/players/5591"/>
    <hyperlink ref="B298" r:id="rId597" display="http://sports.yahoo.com/nhl/teams/dal"/>
    <hyperlink ref="A299" r:id="rId598" display="http://sports.yahoo.com/nhl/players/1657"/>
    <hyperlink ref="B299" r:id="rId599" display="http://sports.yahoo.com/nhl/teams/nas"/>
    <hyperlink ref="A300" r:id="rId600" display="http://sports.yahoo.com/nhl/players/3990"/>
    <hyperlink ref="B300" r:id="rId601" display="http://sports.yahoo.com/nhl/teams/los"/>
    <hyperlink ref="A301" r:id="rId602" display="http://sports.yahoo.com/nhl/players/5227"/>
    <hyperlink ref="B301" r:id="rId603" display="http://sports.yahoo.com/nhl/teams/los"/>
    <hyperlink ref="A302" r:id="rId604" display="http://sports.yahoo.com/nhl/players/3980"/>
    <hyperlink ref="B302" r:id="rId605" display="http://sports.yahoo.com/nhl/teams/car"/>
    <hyperlink ref="A303" r:id="rId606" display="http://sports.yahoo.com/nhl/players/6191"/>
    <hyperlink ref="B303" r:id="rId607" display="http://sports.yahoo.com/nhl/teams/cgy"/>
    <hyperlink ref="A304" r:id="rId608" display="http://sports.yahoo.com/nhl/players/4493"/>
    <hyperlink ref="B304" r:id="rId609" display="http://sports.yahoo.com/nhl/teams/tor"/>
    <hyperlink ref="A305" r:id="rId610" display="http://sports.yahoo.com/nhl/players/5193"/>
    <hyperlink ref="B305" r:id="rId611" display="http://sports.yahoo.com/nhl/teams/fla"/>
    <hyperlink ref="A306" r:id="rId612" display="http://sports.yahoo.com/nhl/players/3794"/>
    <hyperlink ref="B306" r:id="rId613" display="http://sports.yahoo.com/nhl/teams/ari"/>
    <hyperlink ref="A307" r:id="rId614" display="http://sports.yahoo.com/nhl/players/3363"/>
    <hyperlink ref="B307" r:id="rId615" display="http://sports.yahoo.com/nhl/teams/tam"/>
    <hyperlink ref="A308" r:id="rId616" display="http://sports.yahoo.com/nhl/players/6361"/>
    <hyperlink ref="B308" r:id="rId617" display="http://sports.yahoo.com/nhl/teams/san"/>
    <hyperlink ref="A309" r:id="rId618" display="http://sports.yahoo.com/nhl/players/5334"/>
    <hyperlink ref="B309" r:id="rId619" display="http://sports.yahoo.com/nhl/teams/van"/>
    <hyperlink ref="A310" r:id="rId620" display="http://sports.yahoo.com/nhl/players/5365"/>
    <hyperlink ref="B310" r:id="rId621" display="http://sports.yahoo.com/nhl/teams/njd"/>
    <hyperlink ref="A311" r:id="rId622" display="http://sports.yahoo.com/nhl/players/3812"/>
    <hyperlink ref="B311" r:id="rId623" display="http://sports.yahoo.com/nhl/teams/fla"/>
    <hyperlink ref="A312" r:id="rId624" display="http://sports.yahoo.com/nhl/players/4633"/>
    <hyperlink ref="B312" r:id="rId625" display="http://sports.yahoo.com/nhl/teams/min"/>
    <hyperlink ref="A313" r:id="rId626" display="http://sports.yahoo.com/nhl/players/4235"/>
    <hyperlink ref="B313" r:id="rId627" display="http://sports.yahoo.com/nhl/teams/wpg"/>
    <hyperlink ref="A314" r:id="rId628" display="http://sports.yahoo.com/nhl/players/2848"/>
    <hyperlink ref="B314" r:id="rId629" display="http://sports.yahoo.com/nhl/teams/van"/>
    <hyperlink ref="A315" r:id="rId630" display="http://sports.yahoo.com/nhl/players/4130"/>
    <hyperlink ref="B315" r:id="rId631" display="http://sports.yahoo.com/nhl/teams/cgy"/>
    <hyperlink ref="A316" r:id="rId632" display="http://sports.yahoo.com/nhl/players/3986"/>
    <hyperlink ref="B316" r:id="rId633" display="http://sports.yahoo.com/nhl/teams/los"/>
    <hyperlink ref="A317" r:id="rId634" display="http://sports.yahoo.com/nhl/players/3203"/>
    <hyperlink ref="B317" r:id="rId635" display="http://sports.yahoo.com/nhl/teams/ana"/>
    <hyperlink ref="A318" r:id="rId636" display="http://sports.yahoo.com/nhl/players/3979"/>
    <hyperlink ref="B318" r:id="rId637" display="http://sports.yahoo.com/nhl/teams/col"/>
    <hyperlink ref="A319" r:id="rId638" display="http://sports.yahoo.com/nhl/players/5376"/>
    <hyperlink ref="B319" r:id="rId639" display="http://sports.yahoo.com/nhl/teams/nyr"/>
    <hyperlink ref="A320" r:id="rId640" display="http://sports.yahoo.com/nhl/players/4710"/>
    <hyperlink ref="B320" r:id="rId641" display="http://sports.yahoo.com/nhl/teams/ana"/>
    <hyperlink ref="A321" r:id="rId642" display="http://sports.yahoo.com/nhl/players/4888"/>
    <hyperlink ref="B321" r:id="rId643" display="http://sports.yahoo.com/nhl/teams/san"/>
    <hyperlink ref="A322" r:id="rId644" display="http://sports.yahoo.com/nhl/players/3829"/>
    <hyperlink ref="B322" r:id="rId645" display="http://sports.yahoo.com/nhl/teams/san"/>
    <hyperlink ref="A323" r:id="rId646" display="http://sports.yahoo.com/nhl/players/4711"/>
    <hyperlink ref="B323" r:id="rId647" display="http://sports.yahoo.com/nhl/teams/ott"/>
    <hyperlink ref="A324" r:id="rId648" display="http://sports.yahoo.com/nhl/players/6399"/>
    <hyperlink ref="B324" r:id="rId649" display="http://sports.yahoo.com/nhl/teams/ana"/>
    <hyperlink ref="A325" r:id="rId650" display="http://sports.yahoo.com/nhl/players/5434"/>
    <hyperlink ref="B325" r:id="rId651" display="http://sports.yahoo.com/nhl/teams/wpg"/>
    <hyperlink ref="A326" r:id="rId652" display="http://sports.yahoo.com/nhl/players/4794"/>
    <hyperlink ref="B326" r:id="rId653" display="http://sports.yahoo.com/nhl/teams/cob"/>
    <hyperlink ref="A327" r:id="rId654" display="http://sports.yahoo.com/nhl/players/4424"/>
    <hyperlink ref="B327" r:id="rId655" display="http://sports.yahoo.com/nhl/teams/los"/>
    <hyperlink ref="A328" r:id="rId656" display="http://sports.yahoo.com/nhl/players/3417"/>
    <hyperlink ref="B328" r:id="rId657" display="http://sports.yahoo.com/nhl/teams/car"/>
    <hyperlink ref="A329" r:id="rId658" display="http://sports.yahoo.com/nhl/players/4243"/>
    <hyperlink ref="B329" r:id="rId659" display="http://sports.yahoo.com/nhl/teams/nyi"/>
    <hyperlink ref="A330" r:id="rId660" display="http://sports.yahoo.com/nhl/players/4849"/>
    <hyperlink ref="B330" r:id="rId661" display="http://sports.yahoo.com/nhl/teams/mon"/>
    <hyperlink ref="A331" r:id="rId662" display="http://sports.yahoo.com/nhl/players/3262"/>
    <hyperlink ref="B331" r:id="rId663" display="http://sports.yahoo.com/nhl/teams/mon"/>
    <hyperlink ref="A332" r:id="rId664" display="http://sports.yahoo.com/nhl/players/5431"/>
    <hyperlink ref="B332" r:id="rId665" display="http://sports.yahoo.com/nhl/teams/fla"/>
    <hyperlink ref="A333" r:id="rId666" display="http://sports.yahoo.com/nhl/players/5689"/>
    <hyperlink ref="B333" r:id="rId667" display="http://sports.yahoo.com/nhl/teams/wpg"/>
    <hyperlink ref="A334" r:id="rId668" display="http://sports.yahoo.com/nhl/players/4694"/>
    <hyperlink ref="B334" r:id="rId669" display="http://sports.yahoo.com/nhl/teams/fla"/>
    <hyperlink ref="A335" r:id="rId670" display="http://sports.yahoo.com/nhl/players/3871"/>
    <hyperlink ref="B335" r:id="rId671" display="http://sports.yahoo.com/nhl/teams/njd"/>
    <hyperlink ref="A336" r:id="rId672" display="http://sports.yahoo.com/nhl/players/6002"/>
    <hyperlink ref="B336" r:id="rId673" display="http://sports.yahoo.com/nhl/teams/was"/>
    <hyperlink ref="A337" r:id="rId674" display="http://sports.yahoo.com/nhl/players/4684"/>
    <hyperlink ref="B337" r:id="rId675" display="http://sports.yahoo.com/nhl/teams/buf"/>
    <hyperlink ref="A338" r:id="rId676" display="http://sports.yahoo.com/nhl/players/3722"/>
    <hyperlink ref="B338" r:id="rId677" display="http://sports.yahoo.com/nhl/teams/det"/>
    <hyperlink ref="A339" r:id="rId678" display="http://sports.yahoo.com/nhl/players/2939"/>
    <hyperlink ref="B339" r:id="rId679" display="http://sports.yahoo.com/nhl/teams/car"/>
    <hyperlink ref="A340" r:id="rId680" display="http://sports.yahoo.com/nhl/players/4537"/>
    <hyperlink ref="B340" r:id="rId681" display="http://sports.yahoo.com/nhl/teams/van"/>
    <hyperlink ref="A341" r:id="rId682" display="http://sports.yahoo.com/nhl/players/5480"/>
    <hyperlink ref="B341" r:id="rId683" display="http://sports.yahoo.com/nhl/teams/ari"/>
    <hyperlink ref="A342" r:id="rId684" display="http://sports.yahoo.com/nhl/players/5695"/>
    <hyperlink ref="B342" r:id="rId685" display="http://sports.yahoo.com/nhl/teams/ott"/>
    <hyperlink ref="A343" r:id="rId686" display="http://sports.yahoo.com/nhl/players/5744"/>
    <hyperlink ref="B343" r:id="rId687" display="http://sports.yahoo.com/nhl/teams/san"/>
    <hyperlink ref="A344" r:id="rId688" display="http://sports.yahoo.com/nhl/players/3656"/>
    <hyperlink ref="B344" r:id="rId689" display="http://sports.yahoo.com/nhl/teams/ari"/>
    <hyperlink ref="A345" r:id="rId690" display="http://sports.yahoo.com/nhl/players/4892"/>
    <hyperlink ref="B345" r:id="rId691" display="http://sports.yahoo.com/nhl/teams/cob"/>
    <hyperlink ref="A346" r:id="rId692" display="http://sports.yahoo.com/nhl/players/3704"/>
    <hyperlink ref="B346" r:id="rId693" display="http://sports.yahoo.com/nhl/teams/van"/>
    <hyperlink ref="A347" r:id="rId694" display="http://sports.yahoo.com/nhl/players/4244"/>
    <hyperlink ref="B347" r:id="rId695" display="http://sports.yahoo.com/nhl/teams/was"/>
    <hyperlink ref="A348" r:id="rId696" display="http://sports.yahoo.com/nhl/players/3110"/>
    <hyperlink ref="B348" r:id="rId697" display="http://sports.yahoo.com/nhl/teams/tor"/>
    <hyperlink ref="A349" r:id="rId698" display="http://sports.yahoo.com/nhl/players/6006"/>
    <hyperlink ref="B349" r:id="rId699" display="http://sports.yahoo.com/nhl/teams/cob"/>
    <hyperlink ref="A350" r:id="rId700" display="http://sports.yahoo.com/nhl/players/5380"/>
    <hyperlink ref="B350" r:id="rId701" display="http://sports.yahoo.com/nhl/teams/edm"/>
    <hyperlink ref="A351" r:id="rId702" display="http://sports.yahoo.com/nhl/players/3953"/>
    <hyperlink ref="B351" r:id="rId703" display="http://sports.yahoo.com/nhl/teams/nyr"/>
    <hyperlink ref="A352" r:id="rId704" display="http://sports.yahoo.com/nhl/players/4380"/>
    <hyperlink ref="B352" r:id="rId705" display="http://sports.yahoo.com/nhl/teams/was"/>
    <hyperlink ref="A353" r:id="rId706" display="http://sports.yahoo.com/nhl/players/1767"/>
    <hyperlink ref="B353" r:id="rId707" display="http://sports.yahoo.com/nhl/teams/phi"/>
    <hyperlink ref="A354" r:id="rId708" display="http://sports.yahoo.com/nhl/players/5015"/>
    <hyperlink ref="B354" r:id="rId709" display="http://sports.yahoo.com/nhl/teams/mon"/>
    <hyperlink ref="A355" r:id="rId710" display="http://sports.yahoo.com/nhl/players/3789"/>
    <hyperlink ref="B355" r:id="rId711" display="http://sports.yahoo.com/nhl/teams/nyr"/>
    <hyperlink ref="A356" r:id="rId712" display="http://sports.yahoo.com/nhl/players/3287"/>
    <hyperlink ref="B356" r:id="rId713" display="http://sports.yahoo.com/nhl/teams/was"/>
    <hyperlink ref="A357" r:id="rId714" display="http://sports.yahoo.com/nhl/players/5993"/>
    <hyperlink ref="B357" r:id="rId715" display="http://sports.yahoo.com/nhl/teams/cob"/>
    <hyperlink ref="A358" r:id="rId716" display="http://sports.yahoo.com/nhl/players/4935"/>
    <hyperlink ref="B358" r:id="rId717" display="http://sports.yahoo.com/nhl/teams/van"/>
    <hyperlink ref="A359" r:id="rId718" display="http://sports.yahoo.com/nhl/players/5323"/>
    <hyperlink ref="B359" r:id="rId719" display="http://sports.yahoo.com/nhl/teams/edm"/>
    <hyperlink ref="A360" r:id="rId720" display="http://sports.yahoo.com/nhl/players/4671"/>
    <hyperlink ref="B360" r:id="rId721" display="http://sports.yahoo.com/nhl/teams/car"/>
    <hyperlink ref="A361" r:id="rId722" display="http://sports.yahoo.com/nhl/players/5987"/>
    <hyperlink ref="B361" r:id="rId723" display="http://sports.yahoo.com/nhl/teams/buf"/>
    <hyperlink ref="A362" r:id="rId724" display="http://sports.yahoo.com/nhl/players/4473"/>
    <hyperlink ref="B362" r:id="rId725" display="http://sports.yahoo.com/nhl/teams/buf"/>
    <hyperlink ref="A363" r:id="rId726" display="http://sports.yahoo.com/nhl/players/5347"/>
    <hyperlink ref="B363" r:id="rId727" display="http://sports.yahoo.com/nhl/teams/car"/>
    <hyperlink ref="A364" r:id="rId728" display="http://sports.yahoo.com/nhl/players/2449"/>
    <hyperlink ref="B364" r:id="rId729" display="http://sports.yahoo.com/nhl/teams/nyi"/>
    <hyperlink ref="A365" r:id="rId730" display="http://sports.yahoo.com/nhl/players/3601"/>
    <hyperlink ref="B365" r:id="rId731" display="http://sports.yahoo.com/nhl/teams/min"/>
    <hyperlink ref="A366" r:id="rId732" display="http://sports.yahoo.com/nhl/players/2992"/>
    <hyperlink ref="B366" r:id="rId733" display="http://sports.yahoo.com/nhl/teams/pit"/>
    <hyperlink ref="A367" r:id="rId734" display="http://sports.yahoo.com/nhl/players/1868"/>
    <hyperlink ref="B367" r:id="rId735" display="http://sports.yahoo.com/nhl/teams/nyr"/>
    <hyperlink ref="A368" r:id="rId736" display="http://sports.yahoo.com/nhl/players/4779"/>
    <hyperlink ref="B368" r:id="rId737" display="http://sports.yahoo.com/nhl/teams/buf"/>
    <hyperlink ref="A369" r:id="rId738" display="http://sports.yahoo.com/nhl/players/5295"/>
    <hyperlink ref="B369" r:id="rId739" display="http://sports.yahoo.com/nhl/teams/col"/>
    <hyperlink ref="A370" r:id="rId740" display="http://sports.yahoo.com/nhl/players/1700"/>
    <hyperlink ref="B370" r:id="rId741" display="http://sports.yahoo.com/nhl/teams/bos"/>
    <hyperlink ref="A371" r:id="rId742" display="http://sports.yahoo.com/nhl/players/4677"/>
    <hyperlink ref="B371" r:id="rId743" display="http://sports.yahoo.com/nhl/teams/cgy"/>
    <hyperlink ref="A372" r:id="rId744" display="http://sports.yahoo.com/nhl/players/4917"/>
    <hyperlink ref="B372" r:id="rId745" display="http://sports.yahoo.com/nhl/teams/njd"/>
    <hyperlink ref="A373" r:id="rId746" display="http://sports.yahoo.com/nhl/players/2499"/>
    <hyperlink ref="B373" r:id="rId747" display="http://sports.yahoo.com/nhl/teams/njd"/>
    <hyperlink ref="A374" r:id="rId748" display="http://sports.yahoo.com/nhl/players/5791"/>
    <hyperlink ref="B374" r:id="rId749" display="http://sports.yahoo.com/nhl/teams/tam"/>
    <hyperlink ref="A375" r:id="rId750" display="http://sports.yahoo.com/nhl/players/3965"/>
    <hyperlink ref="B375" r:id="rId751" display="http://sports.yahoo.com/nhl/teams/nyi"/>
    <hyperlink ref="A376" r:id="rId752" display="http://sports.yahoo.com/nhl/players/3172"/>
    <hyperlink ref="B376" r:id="rId753" display="http://sports.yahoo.com/nhl/teams/min"/>
    <hyperlink ref="A377" r:id="rId754" display="http://sports.yahoo.com/nhl/players/5462"/>
    <hyperlink ref="B377" r:id="rId755" display="http://sports.yahoo.com/nhl/teams/ott"/>
    <hyperlink ref="A378" r:id="rId756" display="http://sports.yahoo.com/nhl/players/2530"/>
    <hyperlink ref="B378" r:id="rId757" display="http://sports.yahoo.com/nhl/teams/was"/>
    <hyperlink ref="A379" r:id="rId758" display="http://sports.yahoo.com/nhl/players/4206"/>
    <hyperlink ref="B379" r:id="rId759" display="http://sports.yahoo.com/nhl/teams/chi"/>
    <hyperlink ref="A380" r:id="rId760" display="http://sports.yahoo.com/nhl/players/3261"/>
    <hyperlink ref="B380" r:id="rId761" display="http://sports.yahoo.com/nhl/teams/car"/>
    <hyperlink ref="A381" r:id="rId762" display="http://sports.yahoo.com/nhl/players/2491"/>
    <hyperlink ref="B381" r:id="rId763" display="http://sports.yahoo.com/nhl/teams/was"/>
    <hyperlink ref="A382" r:id="rId764" display="http://sports.yahoo.com/nhl/players/4881"/>
    <hyperlink ref="B382" r:id="rId765" display="http://sports.yahoo.com/nhl/teams/san"/>
    <hyperlink ref="A383" r:id="rId766" display="http://sports.yahoo.com/nhl/players/3991"/>
    <hyperlink ref="B383" r:id="rId767" display="http://sports.yahoo.com/nhl/teams/nyr"/>
    <hyperlink ref="A384" r:id="rId768" display="http://sports.yahoo.com/nhl/players/5413"/>
    <hyperlink ref="B384" r:id="rId769" display="http://sports.yahoo.com/nhl/teams/cgy"/>
    <hyperlink ref="A385" r:id="rId770" display="http://sports.yahoo.com/nhl/players/5024"/>
    <hyperlink ref="B385" r:id="rId771" display="http://sports.yahoo.com/nhl/teams/nas"/>
    <hyperlink ref="A386" r:id="rId772" display="http://sports.yahoo.com/nhl/players/3698"/>
    <hyperlink ref="B386" r:id="rId773" display="http://sports.yahoo.com/nhl/teams/ana"/>
    <hyperlink ref="A387" r:id="rId774" display="http://sports.yahoo.com/nhl/players/3472"/>
    <hyperlink ref="B387" r:id="rId775" display="http://sports.yahoo.com/nhl/teams/bos"/>
    <hyperlink ref="A388" r:id="rId776" display="http://sports.yahoo.com/nhl/players/4568"/>
    <hyperlink ref="B388" r:id="rId777" display="http://sports.yahoo.com/nhl/teams/ari"/>
    <hyperlink ref="A389" r:id="rId778" display="http://sports.yahoo.com/nhl/players/5018"/>
    <hyperlink ref="B389" r:id="rId779" display="http://sports.yahoo.com/nhl/teams/bos"/>
    <hyperlink ref="A390" r:id="rId780" display="http://sports.yahoo.com/nhl/players/5976"/>
    <hyperlink ref="B390" r:id="rId781" display="http://sports.yahoo.com/nhl/teams/det"/>
    <hyperlink ref="A391" r:id="rId782" display="http://sports.yahoo.com/nhl/players/4773"/>
    <hyperlink ref="B391" r:id="rId783" display="http://sports.yahoo.com/nhl/teams/nyi"/>
    <hyperlink ref="A392" r:id="rId784" display="http://sports.yahoo.com/nhl/players/3385"/>
    <hyperlink ref="B392" r:id="rId785" display="http://sports.yahoo.com/nhl/teams/tam"/>
    <hyperlink ref="A393" r:id="rId786" display="http://sports.yahoo.com/nhl/players/5403"/>
    <hyperlink ref="B393" r:id="rId787" display="http://sports.yahoo.com/nhl/teams/det"/>
    <hyperlink ref="A394" r:id="rId788" display="http://sports.yahoo.com/nhl/players/3710"/>
    <hyperlink ref="B394" r:id="rId789" display="http://sports.yahoo.com/nhl/teams/det"/>
    <hyperlink ref="A395" r:id="rId790" display="http://sports.yahoo.com/nhl/players/5329"/>
    <hyperlink ref="B395" r:id="rId791" display="http://sports.yahoo.com/nhl/teams/nas"/>
    <hyperlink ref="A396" r:id="rId792" display="http://sports.yahoo.com/nhl/players/5409"/>
    <hyperlink ref="B396" r:id="rId793" display="http://sports.yahoo.com/nhl/teams/stl"/>
    <hyperlink ref="A397" r:id="rId794" display="http://sports.yahoo.com/nhl/players/3748"/>
    <hyperlink ref="B397" r:id="rId795" display="http://sports.yahoo.com/nhl/teams/mon"/>
    <hyperlink ref="A398" r:id="rId796" display="http://sports.yahoo.com/nhl/players/2528"/>
    <hyperlink ref="B398" r:id="rId797" display="http://sports.yahoo.com/nhl/teams/los"/>
    <hyperlink ref="A399" r:id="rId798" display="http://sports.yahoo.com/nhl/players/4257"/>
    <hyperlink ref="B399" r:id="rId799" display="http://sports.yahoo.com/nhl/teams/pit"/>
    <hyperlink ref="A400" r:id="rId800" display="http://sports.yahoo.com/nhl/players/5749"/>
    <hyperlink ref="B400" r:id="rId801" display="http://sports.yahoo.com/nhl/teams/njd"/>
    <hyperlink ref="A401" r:id="rId802" display="http://sports.yahoo.com/nhl/players/4966"/>
    <hyperlink ref="B401" r:id="rId803" display="http://sports.yahoo.com/nhl/teams/bos"/>
    <hyperlink ref="A402" r:id="rId804" display="http://sports.yahoo.com/nhl/players/5642"/>
    <hyperlink ref="B402" r:id="rId805" display="http://sports.yahoo.com/nhl/teams/mon"/>
    <hyperlink ref="A403" r:id="rId806" display="http://sports.yahoo.com/nhl/players/5696"/>
    <hyperlink ref="B403" r:id="rId807" display="http://sports.yahoo.com/nhl/teams/was"/>
    <hyperlink ref="A404" r:id="rId808" display="http://sports.yahoo.com/nhl/players/4766"/>
    <hyperlink ref="B404" r:id="rId809" display="http://sports.yahoo.com/nhl/teams/tor"/>
    <hyperlink ref="A405" r:id="rId810" display="http://sports.yahoo.com/nhl/players/3292"/>
    <hyperlink ref="B405" r:id="rId811" display="http://sports.yahoo.com/nhl/teams/cgy"/>
    <hyperlink ref="A406" r:id="rId812" display="http://sports.yahoo.com/nhl/players/5405"/>
    <hyperlink ref="B406" r:id="rId813" display="http://sports.yahoo.com/nhl/teams/cob"/>
    <hyperlink ref="A407" r:id="rId814" display="http://sports.yahoo.com/nhl/players/4958"/>
    <hyperlink ref="B407" r:id="rId815" display="http://sports.yahoo.com/nhl/teams/chi"/>
    <hyperlink ref="A408" r:id="rId816" display="http://sports.yahoo.com/nhl/players/5371"/>
    <hyperlink ref="B408" r:id="rId817" display="http://sports.yahoo.com/nhl/teams/min"/>
    <hyperlink ref="A409" r:id="rId818" display="http://sports.yahoo.com/nhl/players/4194"/>
    <hyperlink ref="B409" r:id="rId819" display="http://sports.yahoo.com/nhl/teams/nyi"/>
    <hyperlink ref="A410" r:id="rId820" display="http://sports.yahoo.com/nhl/players/4286"/>
    <hyperlink ref="B410" r:id="rId821" display="http://sports.yahoo.com/nhl/teams/edm"/>
    <hyperlink ref="A411" r:id="rId822" display="http://sports.yahoo.com/nhl/players/5189"/>
    <hyperlink ref="B411" r:id="rId823" display="http://sports.yahoo.com/nhl/teams/nas"/>
    <hyperlink ref="A412" r:id="rId824" display="http://sports.yahoo.com/nhl/players/3361"/>
    <hyperlink ref="B412" r:id="rId825" display="http://sports.yahoo.com/nhl/teams/los"/>
    <hyperlink ref="A413" r:id="rId826" display="http://sports.yahoo.com/nhl/players/5606"/>
    <hyperlink ref="B413" r:id="rId827" display="http://sports.yahoo.com/nhl/teams/dal"/>
    <hyperlink ref="A414" r:id="rId828" display="http://sports.yahoo.com/nhl/players/4693"/>
    <hyperlink ref="B414" r:id="rId829" display="http://sports.yahoo.com/nhl/teams/van"/>
    <hyperlink ref="A415" r:id="rId830" display="http://sports.yahoo.com/nhl/players/5388"/>
    <hyperlink ref="B415" r:id="rId831" display="http://sports.yahoo.com/nhl/teams/tam"/>
    <hyperlink ref="A416" r:id="rId832" display="http://sports.yahoo.com/nhl/players/5029"/>
    <hyperlink ref="B416" r:id="rId833" display="http://sports.yahoo.com/nhl/teams/buf"/>
    <hyperlink ref="A417" r:id="rId834" display="http://sports.yahoo.com/nhl/players/5710"/>
    <hyperlink ref="B417" r:id="rId835" display="http://sports.yahoo.com/nhl/teams/los"/>
    <hyperlink ref="A418" r:id="rId836" display="http://sports.yahoo.com/nhl/players/5687"/>
    <hyperlink ref="B418" r:id="rId837" display="http://sports.yahoo.com/nhl/teams/min"/>
    <hyperlink ref="A419" r:id="rId838" display="http://sports.yahoo.com/nhl/players/3741"/>
    <hyperlink ref="B419" r:id="rId839" display="http://sports.yahoo.com/nhl/teams/cob"/>
    <hyperlink ref="A420" r:id="rId840" display="http://sports.yahoo.com/nhl/players/3133"/>
    <hyperlink ref="B420" r:id="rId841" display="http://sports.yahoo.com/nhl/teams/njd"/>
    <hyperlink ref="A421" r:id="rId842" display="http://sports.yahoo.com/nhl/players/2852"/>
    <hyperlink ref="B421" r:id="rId843" display="http://sports.yahoo.com/nhl/teams/phi"/>
    <hyperlink ref="A422" r:id="rId844" display="http://sports.yahoo.com/nhl/players/4874"/>
    <hyperlink ref="B422" r:id="rId845" display="http://sports.yahoo.com/nhl/teams/phi"/>
    <hyperlink ref="A423" r:id="rId846" display="http://sports.yahoo.com/nhl/players/4765"/>
    <hyperlink ref="B423" r:id="rId847" display="http://sports.yahoo.com/nhl/teams/los"/>
    <hyperlink ref="A424" r:id="rId848" display="http://sports.yahoo.com/nhl/players/3132"/>
    <hyperlink ref="B424" r:id="rId849" display="http://sports.yahoo.com/nhl/teams/fla"/>
    <hyperlink ref="A425" r:id="rId850" display="http://sports.yahoo.com/nhl/players/2891"/>
    <hyperlink ref="B425" r:id="rId851" display="http://sports.yahoo.com/nhl/teams/cob"/>
    <hyperlink ref="A426" r:id="rId852" display="http://sports.yahoo.com/nhl/players/5345"/>
    <hyperlink ref="B426" r:id="rId853" display="http://sports.yahoo.com/nhl/teams/buf"/>
    <hyperlink ref="A427" r:id="rId854" display="http://sports.yahoo.com/nhl/players/5995"/>
    <hyperlink ref="B427" r:id="rId855" display="http://sports.yahoo.com/nhl/teams/buf"/>
    <hyperlink ref="A428" r:id="rId856" display="http://sports.yahoo.com/nhl/players/5312"/>
    <hyperlink ref="B428" r:id="rId857" display="http://sports.yahoo.com/nhl/teams/car"/>
    <hyperlink ref="A429" r:id="rId858" display="http://sports.yahoo.com/nhl/players/2026"/>
    <hyperlink ref="B429" r:id="rId859" display="http://sports.yahoo.com/nhl/teams/stl"/>
    <hyperlink ref="A430" r:id="rId860" display="http://sports.yahoo.com/nhl/players/3912"/>
    <hyperlink ref="B430" r:id="rId861" display="http://sports.yahoo.com/nhl/teams/det"/>
    <hyperlink ref="A431" r:id="rId862" display="http://sports.yahoo.com/nhl/players/5996"/>
    <hyperlink ref="B431" r:id="rId863" display="http://sports.yahoo.com/nhl/teams/ott"/>
    <hyperlink ref="A432" r:id="rId864" display="http://sports.yahoo.com/nhl/players/2529"/>
    <hyperlink ref="B432" r:id="rId865" display="http://sports.yahoo.com/nhl/teams/phi"/>
    <hyperlink ref="A433" r:id="rId866" display="http://sports.yahoo.com/nhl/players/3283"/>
    <hyperlink ref="B433" r:id="rId867" display="http://sports.yahoo.com/nhl/teams/col"/>
    <hyperlink ref="A434" r:id="rId868" display="http://sports.yahoo.com/nhl/players/5946"/>
    <hyperlink ref="B434" r:id="rId869" display="http://sports.yahoo.com/nhl/teams/min"/>
    <hyperlink ref="A435" r:id="rId870" display="http://sports.yahoo.com/nhl/players/4386"/>
    <hyperlink ref="B435" r:id="rId871" display="http://sports.yahoo.com/nhl/teams/col"/>
    <hyperlink ref="A436" r:id="rId872" display="http://sports.yahoo.com/nhl/players/4886"/>
    <hyperlink ref="B436" r:id="rId873" display="http://sports.yahoo.com/nhl/teams/san"/>
    <hyperlink ref="A437" r:id="rId874" display="http://sports.yahoo.com/nhl/players/4697"/>
    <hyperlink ref="B437" r:id="rId875" display="http://sports.yahoo.com/nhl/teams/chi"/>
    <hyperlink ref="A438" r:id="rId876" display="http://sports.yahoo.com/nhl/players/3055"/>
    <hyperlink ref="B438" r:id="rId877" display="http://sports.yahoo.com/nhl/teams/nas"/>
    <hyperlink ref="A439" r:id="rId878" display="http://sports.yahoo.com/nhl/players/3411"/>
    <hyperlink ref="B439" r:id="rId879" display="http://sports.yahoo.com/nhl/teams/wpg"/>
    <hyperlink ref="A440" r:id="rId880" display="http://sports.yahoo.com/nhl/players/3655"/>
    <hyperlink ref="B440" r:id="rId881" display="http://sports.yahoo.com/nhl/teams/ari"/>
    <hyperlink ref="A441" r:id="rId882" display="http://sports.yahoo.com/nhl/players/5349"/>
    <hyperlink ref="B441" r:id="rId883" display="http://sports.yahoo.com/nhl/teams/mon"/>
    <hyperlink ref="A442" r:id="rId884" display="http://sports.yahoo.com/nhl/players/3660"/>
    <hyperlink ref="B442" r:id="rId885" display="http://sports.yahoo.com/nhl/teams/buf"/>
    <hyperlink ref="A443" r:id="rId886" display="http://sports.yahoo.com/nhl/players/4754"/>
    <hyperlink ref="B443" r:id="rId887" display="http://sports.yahoo.com/nhl/teams/nyi"/>
    <hyperlink ref="A444" r:id="rId888" display="http://sports.yahoo.com/nhl/players/3843"/>
    <hyperlink ref="B444" r:id="rId889" display="http://sports.yahoo.com/nhl/teams/van"/>
    <hyperlink ref="A445" r:id="rId890" display="http://sports.yahoo.com/nhl/players/3123"/>
    <hyperlink ref="B445" r:id="rId891" display="http://sports.yahoo.com/nhl/teams/bos"/>
    <hyperlink ref="A446" r:id="rId892" display="http://sports.yahoo.com/nhl/players/3359"/>
    <hyperlink ref="B446" r:id="rId893" display="http://sports.yahoo.com/nhl/teams/wpg"/>
    <hyperlink ref="A447" r:id="rId894" display="http://sports.yahoo.com/nhl/players/3632"/>
    <hyperlink ref="B447" r:id="rId895" display="http://sports.yahoo.com/nhl/teams/cob"/>
    <hyperlink ref="A448" r:id="rId896" display="http://sports.yahoo.com/nhl/players/3768"/>
    <hyperlink ref="B448" r:id="rId897" display="http://sports.yahoo.com/nhl/teams/phi"/>
    <hyperlink ref="A449" r:id="rId898" display="http://sports.yahoo.com/nhl/players/1929"/>
    <hyperlink ref="B449" r:id="rId899" display="http://sports.yahoo.com/nhl/teams/edm"/>
    <hyperlink ref="A450" r:id="rId900" display="http://sports.yahoo.com/nhl/players/4475"/>
    <hyperlink ref="B450" r:id="rId901" display="http://sports.yahoo.com/nhl/teams/phi"/>
    <hyperlink ref="A451" r:id="rId902" display="http://sports.yahoo.com/nhl/players/4132"/>
    <hyperlink ref="B451" r:id="rId903" display="http://sports.yahoo.com/nhl/teams/mon"/>
    <hyperlink ref="A452" r:id="rId904" display="http://sports.yahoo.com/nhl/players/5130"/>
    <hyperlink ref="B452" r:id="rId905" display="http://sports.yahoo.com/nhl/teams/nyr"/>
    <hyperlink ref="A453" r:id="rId906" display="http://sports.yahoo.com/nhl/players/3233"/>
    <hyperlink ref="B453" r:id="rId907" display="http://sports.yahoo.com/nhl/teams/pit"/>
    <hyperlink ref="A454" r:id="rId908" display="http://sports.yahoo.com/nhl/players/5011"/>
    <hyperlink ref="B454" r:id="rId909" display="http://sports.yahoo.com/nhl/teams/njd"/>
    <hyperlink ref="A455" r:id="rId910" display="http://sports.yahoo.com/nhl/players/1189"/>
    <hyperlink ref="B455" r:id="rId911" display="http://sports.yahoo.com/nhl/teams/mon"/>
    <hyperlink ref="A456" r:id="rId912" display="http://sports.yahoo.com/nhl/players/3895"/>
    <hyperlink ref="B456" r:id="rId913" display="http://sports.yahoo.com/nhl/teams/nyi"/>
    <hyperlink ref="A457" r:id="rId914" display="http://sports.yahoo.com/nhl/players/2124"/>
    <hyperlink ref="B457" r:id="rId915" display="http://sports.yahoo.com/nhl/teams/njd"/>
    <hyperlink ref="A458" r:id="rId916" display="http://sports.yahoo.com/nhl/players/4517"/>
    <hyperlink ref="B458" r:id="rId917" display="http://sports.yahoo.com/nhl/teams/pit"/>
    <hyperlink ref="A459" r:id="rId918" display="http://sports.yahoo.com/nhl/players/4862"/>
    <hyperlink ref="B459" r:id="rId919" display="http://sports.yahoo.com/nhl/teams/ott"/>
    <hyperlink ref="A460" r:id="rId920" display="http://sports.yahoo.com/nhl/players/5922"/>
    <hyperlink ref="B460" r:id="rId921" display="http://sports.yahoo.com/nhl/teams/tam"/>
    <hyperlink ref="A461" r:id="rId922" display="http://sports.yahoo.com/nhl/players/4883"/>
    <hyperlink ref="B461" r:id="rId923" display="http://sports.yahoo.com/nhl/teams/nas"/>
    <hyperlink ref="A462" r:id="rId924" display="http://sports.yahoo.com/nhl/players/2845"/>
    <hyperlink ref="B462" r:id="rId925" display="http://sports.yahoo.com/nhl/teams/njd"/>
    <hyperlink ref="A463" r:id="rId926" display="http://sports.yahoo.com/nhl/players/3967"/>
    <hyperlink ref="B463" r:id="rId927" display="http://sports.yahoo.com/nhl/teams/col"/>
    <hyperlink ref="A464" r:id="rId928" display="http://sports.yahoo.com/nhl/players/4744"/>
    <hyperlink ref="B464" r:id="rId929" display="http://sports.yahoo.com/nhl/teams/njd"/>
    <hyperlink ref="A465" r:id="rId930" display="http://sports.yahoo.com/nhl/players/4138"/>
    <hyperlink ref="B465" r:id="rId931" display="http://sports.yahoo.com/nhl/teams/cob"/>
    <hyperlink ref="A466" r:id="rId932" display="http://sports.yahoo.com/nhl/players/4963"/>
    <hyperlink ref="B466" r:id="rId933" display="http://sports.yahoo.com/nhl/teams/fla"/>
    <hyperlink ref="A467" r:id="rId934" display="http://sports.yahoo.com/nhl/players/3796"/>
    <hyperlink ref="B467" r:id="rId935" display="http://sports.yahoo.com/nhl/teams/det"/>
    <hyperlink ref="A468" r:id="rId936" display="http://sports.yahoo.com/nhl/players/1963"/>
    <hyperlink ref="B468" r:id="rId937" display="http://sports.yahoo.com/nhl/teams/los"/>
    <hyperlink ref="A469" r:id="rId938" display="http://sports.yahoo.com/nhl/players/4017"/>
    <hyperlink ref="B469" r:id="rId939" display="http://sports.yahoo.com/nhl/teams/tor"/>
    <hyperlink ref="A470" r:id="rId940" display="http://sports.yahoo.com/nhl/players/3883"/>
    <hyperlink ref="B470" r:id="rId941" display="http://sports.yahoo.com/nhl/teams/det"/>
    <hyperlink ref="A471" r:id="rId942" display="http://sports.yahoo.com/nhl/players/4483"/>
    <hyperlink ref="B471" r:id="rId943" display="http://sports.yahoo.com/nhl/teams/buf"/>
    <hyperlink ref="A472" r:id="rId944" display="http://sports.yahoo.com/nhl/players/3170"/>
    <hyperlink ref="B472" r:id="rId945" display="http://sports.yahoo.com/nhl/teams/edm"/>
    <hyperlink ref="A473" r:id="rId946" display="http://sports.yahoo.com/nhl/players/5373"/>
    <hyperlink ref="B473" r:id="rId947" display="http://sports.yahoo.com/nhl/teams/car"/>
    <hyperlink ref="A474" r:id="rId948" display="http://sports.yahoo.com/nhl/players/1930"/>
    <hyperlink ref="B474" r:id="rId949" display="http://sports.yahoo.com/nhl/teams/chi"/>
    <hyperlink ref="A475" r:id="rId950" display="http://sports.yahoo.com/nhl/players/3972"/>
    <hyperlink ref="B475" r:id="rId951" display="http://sports.yahoo.com/nhl/teams/min"/>
    <hyperlink ref="A476" r:id="rId952" display="http://sports.yahoo.com/nhl/players/3995"/>
    <hyperlink ref="B476" r:id="rId953" display="http://sports.yahoo.com/nhl/teams/nyi"/>
    <hyperlink ref="A477" r:id="rId954" display="http://sports.yahoo.com/nhl/players/3081"/>
    <hyperlink ref="B477" r:id="rId955" display="http://sports.yahoo.com/nhl/teams/wpg"/>
    <hyperlink ref="A478" r:id="rId956" display="http://sports.yahoo.com/nhl/players/1949"/>
    <hyperlink ref="B478" r:id="rId957" display="http://sports.yahoo.com/nhl/teams/col"/>
    <hyperlink ref="A479" r:id="rId958" display="http://sports.yahoo.com/nhl/players/3109"/>
    <hyperlink ref="B479" r:id="rId959" display="http://sports.yahoo.com/nhl/teams/bos"/>
    <hyperlink ref="A480" r:id="rId960" display="http://sports.yahoo.com/nhl/players/3103"/>
    <hyperlink ref="B480" r:id="rId961" display="http://sports.yahoo.com/nhl/teams/stl"/>
    <hyperlink ref="A481" r:id="rId962" display="http://sports.yahoo.com/nhl/players/4266"/>
    <hyperlink ref="B481" r:id="rId963" display="http://sports.yahoo.com/nhl/teams/det"/>
    <hyperlink ref="A482" r:id="rId964" display="http://sports.yahoo.com/nhl/players/6365"/>
    <hyperlink ref="B482" r:id="rId965" display="http://sports.yahoo.com/nhl/teams/phi"/>
    <hyperlink ref="A483" r:id="rId966" display="http://sports.yahoo.com/nhl/players/4860"/>
    <hyperlink ref="B483" r:id="rId967" display="http://sports.yahoo.com/nhl/teams/ott"/>
    <hyperlink ref="A484" r:id="rId968" display="http://sports.yahoo.com/nhl/players/4071"/>
    <hyperlink ref="B484" r:id="rId969" display="http://sports.yahoo.com/nhl/teams/col"/>
    <hyperlink ref="A485" r:id="rId970" display="http://sports.yahoo.com/nhl/players/6578"/>
    <hyperlink ref="B485" r:id="rId971" display="http://sports.yahoo.com/nhl/teams/col"/>
    <hyperlink ref="A486" r:id="rId972" display="http://sports.yahoo.com/nhl/players/3961"/>
    <hyperlink ref="B486" r:id="rId973" display="http://sports.yahoo.com/nhl/teams/car"/>
    <hyperlink ref="A487" r:id="rId974" display="http://sports.yahoo.com/nhl/players/6190"/>
    <hyperlink ref="B487" r:id="rId975" display="http://sports.yahoo.com/nhl/teams/van"/>
    <hyperlink ref="A488" r:id="rId976" display="http://sports.yahoo.com/nhl/players/5241"/>
    <hyperlink ref="B488" r:id="rId977" display="http://sports.yahoo.com/nhl/teams/edm"/>
    <hyperlink ref="A489" r:id="rId978" display="http://sports.yahoo.com/nhl/players/3735"/>
    <hyperlink ref="B489" r:id="rId979" display="http://sports.yahoo.com/nhl/teams/ari"/>
    <hyperlink ref="A490" r:id="rId980" display="http://sports.yahoo.com/nhl/players/3217"/>
    <hyperlink ref="B490" r:id="rId981" display="http://sports.yahoo.com/nhl/teams/stl"/>
    <hyperlink ref="A491" r:id="rId982" display="http://sports.yahoo.com/nhl/players/3268"/>
    <hyperlink ref="B491" r:id="rId983" display="http://sports.yahoo.com/nhl/teams/mon"/>
    <hyperlink ref="A492" r:id="rId984" display="http://sports.yahoo.com/nhl/players/3274"/>
    <hyperlink ref="B492" r:id="rId985" display="http://sports.yahoo.com/nhl/teams/bos"/>
    <hyperlink ref="A493" r:id="rId986" display="http://sports.yahoo.com/nhl/players/4980"/>
    <hyperlink ref="B493" r:id="rId987" display="http://sports.yahoo.com/nhl/teams/pit"/>
    <hyperlink ref="A494" r:id="rId988" display="http://sports.yahoo.com/nhl/players/1737"/>
    <hyperlink ref="B494" r:id="rId989" display="http://sports.yahoo.com/nhl/teams/col"/>
    <hyperlink ref="A495" r:id="rId990" display="http://sports.yahoo.com/nhl/players/3120"/>
    <hyperlink ref="B495" r:id="rId991" display="http://sports.yahoo.com/nhl/teams/nas"/>
    <hyperlink ref="A496" r:id="rId992" display="http://sports.yahoo.com/nhl/players/4323"/>
    <hyperlink ref="B496" r:id="rId993" display="http://sports.yahoo.com/nhl/teams/phi"/>
    <hyperlink ref="A497" r:id="rId994" display="http://sports.yahoo.com/nhl/players/6290"/>
    <hyperlink ref="B497" r:id="rId995" display="http://sports.yahoo.com/nhl/teams/san"/>
    <hyperlink ref="A498" r:id="rId996" display="http://sports.yahoo.com/nhl/players/4692"/>
    <hyperlink ref="B498" r:id="rId997" display="http://sports.yahoo.com/nhl/teams/nyi"/>
    <hyperlink ref="A499" r:id="rId998" display="http://sports.yahoo.com/nhl/players/4186"/>
    <hyperlink ref="B499" r:id="rId999" display="http://sports.yahoo.com/nhl/teams/stl"/>
    <hyperlink ref="A500" r:id="rId1000" display="http://sports.yahoo.com/nhl/players/4094"/>
    <hyperlink ref="B500" r:id="rId1001" display="http://sports.yahoo.com/nhl/teams/phi"/>
    <hyperlink ref="A501" r:id="rId1002" display="http://sports.yahoo.com/nhl/players/2588"/>
    <hyperlink ref="B501" r:id="rId1003" display="http://sports.yahoo.com/nhl/teams/stl"/>
    <hyperlink ref="A502" r:id="rId1004" display="http://sports.yahoo.com/nhl/players/4675"/>
    <hyperlink ref="B502" r:id="rId1005" display="http://sports.yahoo.com/nhl/teams/stl"/>
    <hyperlink ref="A503" r:id="rId1006" display="http://sports.yahoo.com/nhl/players/5261"/>
    <hyperlink ref="B503" r:id="rId1007" display="http://sports.yahoo.com/nhl/teams/ott"/>
    <hyperlink ref="A504" r:id="rId1008" display="http://sports.yahoo.com/nhl/players/1792"/>
    <hyperlink ref="B504" r:id="rId1009" display="http://sports.yahoo.com/nhl/teams/tor"/>
    <hyperlink ref="A505" r:id="rId1010" display="http://sports.yahoo.com/nhl/players/4270"/>
    <hyperlink ref="B505" r:id="rId1011" display="http://sports.yahoo.com/nhl/teams/nyr"/>
    <hyperlink ref="A506" r:id="rId1012" display="http://sports.yahoo.com/nhl/players/3438"/>
    <hyperlink ref="B506" r:id="rId1013" display="http://sports.yahoo.com/nhl/teams/pit"/>
    <hyperlink ref="A507" r:id="rId1014" display="http://sports.yahoo.com/nhl/players/3487"/>
    <hyperlink ref="B507" r:id="rId1015" display="http://sports.yahoo.com/nhl/teams/cgy"/>
    <hyperlink ref="A508" r:id="rId1016" display="http://sports.yahoo.com/nhl/players/4701"/>
    <hyperlink ref="B508" r:id="rId1017" display="http://sports.yahoo.com/nhl/teams/ari"/>
    <hyperlink ref="A509" r:id="rId1018" display="http://sports.yahoo.com/nhl/players/4700"/>
    <hyperlink ref="B509" r:id="rId1019" display="http://sports.yahoo.com/nhl/teams/njd"/>
    <hyperlink ref="A510" r:id="rId1020" display="http://sports.yahoo.com/nhl/players/3346"/>
    <hyperlink ref="B510" r:id="rId1021" display="http://sports.yahoo.com/nhl/teams/tam"/>
    <hyperlink ref="A511" r:id="rId1022" display="http://sports.yahoo.com/nhl/players/4495"/>
    <hyperlink ref="B511" r:id="rId1023" display="http://sports.yahoo.com/nhl/teams/van"/>
    <hyperlink ref="A512" r:id="rId1024" display="http://sports.yahoo.com/nhl/players/2726"/>
    <hyperlink ref="B512" r:id="rId1025" display="http://sports.yahoo.com/nhl/teams/pit"/>
    <hyperlink ref="A513" r:id="rId1026" display="http://sports.yahoo.com/nhl/players/3526"/>
    <hyperlink ref="B513" r:id="rId1027" display="http://sports.yahoo.com/nhl/teams/ott"/>
    <hyperlink ref="A514" r:id="rId1028" display="http://sports.yahoo.com/nhl/players/2795"/>
    <hyperlink ref="B514" r:id="rId1029" display="http://sports.yahoo.com/nhl/teams/fla"/>
    <hyperlink ref="A515" r:id="rId1030" display="http://sports.yahoo.com/nhl/players/4828"/>
    <hyperlink ref="B515" r:id="rId1031" display="http://sports.yahoo.com/nhl/teams/van"/>
    <hyperlink ref="A516" r:id="rId1032" display="http://sports.yahoo.com/nhl/players/5560"/>
    <hyperlink ref="B516" r:id="rId1033" display="http://sports.yahoo.com/nhl/teams/dal"/>
    <hyperlink ref="A517" r:id="rId1034" display="http://sports.yahoo.com/nhl/players/1485"/>
    <hyperlink ref="B517" r:id="rId1035" display="http://sports.yahoo.com/nhl/teams/njd"/>
    <hyperlink ref="A518" r:id="rId1036" display="http://sports.yahoo.com/nhl/players/5335"/>
    <hyperlink ref="B518" r:id="rId1037" display="http://sports.yahoo.com/nhl/teams/nas"/>
    <hyperlink ref="A519" r:id="rId1038" display="http://sports.yahoo.com/nhl/players/1573"/>
    <hyperlink ref="B519" r:id="rId1039" display="http://sports.yahoo.com/nhl/teams/stl"/>
    <hyperlink ref="A520" r:id="rId1040" display="http://sports.yahoo.com/nhl/players/5821"/>
    <hyperlink ref="B520" r:id="rId1041" display="http://sports.yahoo.com/nhl/teams/bos"/>
    <hyperlink ref="A521" r:id="rId1042" display="http://sports.yahoo.com/nhl/players/4447"/>
    <hyperlink ref="B521" r:id="rId1043" display="http://sports.yahoo.com/nhl/teams/car"/>
    <hyperlink ref="A522" r:id="rId1044" display="http://sports.yahoo.com/nhl/players/1765"/>
    <hyperlink ref="B522" r:id="rId1045" display="http://sports.yahoo.com/nhl/teams/min"/>
    <hyperlink ref="A523" r:id="rId1046" display="http://sports.yahoo.com/nhl/players/4025"/>
    <hyperlink ref="B523" r:id="rId1047" display="http://sports.yahoo.com/nhl/teams/chi"/>
    <hyperlink ref="A524" r:id="rId1048" display="http://sports.yahoo.com/nhl/players/2571"/>
    <hyperlink ref="B524" r:id="rId1049" display="http://sports.yahoo.com/nhl/teams/car"/>
    <hyperlink ref="A525" r:id="rId1050" display="http://sports.yahoo.com/nhl/players/2837"/>
    <hyperlink ref="B525" r:id="rId1051" display="http://sports.yahoo.com/nhl/teams/pit"/>
    <hyperlink ref="A526" r:id="rId1052" display="http://sports.yahoo.com/nhl/players/5251"/>
    <hyperlink ref="B526" r:id="rId1053" display="http://sports.yahoo.com/nhl/teams/san"/>
    <hyperlink ref="A527" r:id="rId1054" display="http://sports.yahoo.com/nhl/players/4989"/>
    <hyperlink ref="B527" r:id="rId1055" display="http://sports.yahoo.com/nhl/teams/ana"/>
    <hyperlink ref="A528" r:id="rId1056" display="http://sports.yahoo.com/nhl/players/4954"/>
    <hyperlink ref="B528" r:id="rId1057" display="http://sports.yahoo.com/nhl/teams/edm"/>
    <hyperlink ref="A529" r:id="rId1058" display="http://sports.yahoo.com/nhl/players/6348"/>
    <hyperlink ref="B529" r:id="rId1059" display="http://sports.yahoo.com/nhl/teams/min"/>
    <hyperlink ref="A530" r:id="rId1060" display="http://sports.yahoo.com/nhl/players/4645"/>
    <hyperlink ref="B530" r:id="rId1061" display="http://sports.yahoo.com/nhl/teams/nas"/>
    <hyperlink ref="A531" r:id="rId1062" display="http://sports.yahoo.com/nhl/players/3269"/>
    <hyperlink ref="B531" r:id="rId1063" display="http://sports.yahoo.com/nhl/teams/tor"/>
    <hyperlink ref="A532" r:id="rId1064" display="http://sports.yahoo.com/nhl/players/4912"/>
    <hyperlink ref="B532" r:id="rId1065" display="http://sports.yahoo.com/nhl/teams/chi"/>
    <hyperlink ref="A533" r:id="rId1066" display="http://sports.yahoo.com/nhl/players/2856"/>
    <hyperlink ref="B533" r:id="rId1067" display="http://sports.yahoo.com/nhl/teams/stl"/>
    <hyperlink ref="A534" r:id="rId1068" display="http://sports.yahoo.com/nhl/players/3271"/>
    <hyperlink ref="B534" r:id="rId1069" display="http://sports.yahoo.com/nhl/teams/los"/>
    <hyperlink ref="A535" r:id="rId1070" display="http://sports.yahoo.com/nhl/players/5221"/>
    <hyperlink ref="B535" r:id="rId1071" display="http://sports.yahoo.com/nhl/teams/los"/>
    <hyperlink ref="A536" r:id="rId1072" display="http://sports.yahoo.com/nhl/players/6369"/>
    <hyperlink ref="B536" r:id="rId1073" display="http://sports.yahoo.com/nhl/teams/edm"/>
    <hyperlink ref="A537" r:id="rId1074" display="http://sports.yahoo.com/nhl/players/5641"/>
    <hyperlink ref="B537" r:id="rId1075" display="http://sports.yahoo.com/nhl/teams/tam"/>
    <hyperlink ref="A538" r:id="rId1076" display="http://sports.yahoo.com/nhl/players/2859"/>
    <hyperlink ref="B538" r:id="rId1077" display="http://sports.yahoo.com/nhl/teams/was"/>
    <hyperlink ref="A539" r:id="rId1078" display="http://sports.yahoo.com/nhl/players/5378"/>
    <hyperlink ref="B539" r:id="rId1079" display="http://sports.yahoo.com/nhl/teams/mon"/>
    <hyperlink ref="A540" r:id="rId1080" display="http://sports.yahoo.com/nhl/players/5698"/>
    <hyperlink ref="B540" r:id="rId1081" display="http://sports.yahoo.com/nhl/teams/chi"/>
    <hyperlink ref="A541" r:id="rId1082" display="http://sports.yahoo.com/nhl/players/4051"/>
    <hyperlink ref="B541" r:id="rId1083" display="http://sports.yahoo.com/nhl/teams/wpg"/>
    <hyperlink ref="A542" r:id="rId1084" display="http://sports.yahoo.com/nhl/players/4410"/>
    <hyperlink ref="B542" r:id="rId1085" display="http://sports.yahoo.com/nhl/teams/stl"/>
    <hyperlink ref="A543" r:id="rId1086" display="http://sports.yahoo.com/nhl/players/5702"/>
    <hyperlink ref="B543" r:id="rId1087" display="http://sports.yahoo.com/nhl/teams/pit"/>
    <hyperlink ref="A544" r:id="rId1088" display="http://sports.yahoo.com/nhl/players/4615"/>
    <hyperlink ref="B544" r:id="rId1089" display="http://sports.yahoo.com/nhl/teams/los"/>
    <hyperlink ref="A545" r:id="rId1090" display="http://sports.yahoo.com/nhl/players/3239"/>
    <hyperlink ref="B545" r:id="rId1091" display="http://sports.yahoo.com/nhl/teams/dal"/>
    <hyperlink ref="A546" r:id="rId1092" display="http://sports.yahoo.com/nhl/players/4895"/>
    <hyperlink ref="B546" r:id="rId1093" display="http://sports.yahoo.com/nhl/teams/cob"/>
    <hyperlink ref="A547" r:id="rId1094" display="http://sports.yahoo.com/nhl/players/5412"/>
    <hyperlink ref="B547" r:id="rId1095" display="http://sports.yahoo.com/nhl/teams/dal"/>
    <hyperlink ref="A548" r:id="rId1096" display="http://sports.yahoo.com/nhl/players/3824"/>
    <hyperlink ref="B548" r:id="rId1097" display="http://sports.yahoo.com/nhl/teams/buf"/>
    <hyperlink ref="A549" r:id="rId1098" display="http://sports.yahoo.com/nhl/players/3013"/>
    <hyperlink ref="B549" r:id="rId1099" display="http://sports.yahoo.com/nhl/teams/wpg"/>
    <hyperlink ref="A550" r:id="rId1100" display="http://sports.yahoo.com/nhl/players/4632"/>
    <hyperlink ref="B550" r:id="rId1101" display="http://sports.yahoo.com/nhl/teams/ari"/>
    <hyperlink ref="A551" r:id="rId1102" display="http://sports.yahoo.com/nhl/players/3926"/>
    <hyperlink ref="B551" r:id="rId1103" display="http://sports.yahoo.com/nhl/teams/tor"/>
    <hyperlink ref="A552" r:id="rId1104" display="http://sports.yahoo.com/nhl/players/4650"/>
    <hyperlink ref="B552" r:id="rId1105" display="http://sports.yahoo.com/nhl/teams/edm"/>
    <hyperlink ref="A553" r:id="rId1106" display="http://sports.yahoo.com/nhl/players/4689"/>
    <hyperlink ref="B553" r:id="rId1107" display="http://sports.yahoo.com/nhl/teams/ott"/>
    <hyperlink ref="A554" r:id="rId1108" display="http://sports.yahoo.com/nhl/players/3809"/>
    <hyperlink ref="B554" r:id="rId1109" display="http://sports.yahoo.com/nhl/teams/ana"/>
    <hyperlink ref="A555" r:id="rId1110" display="http://sports.yahoo.com/nhl/players/2853"/>
    <hyperlink ref="B555" r:id="rId1111" display="http://sports.yahoo.com/nhl/teams/phi"/>
    <hyperlink ref="A556" r:id="rId1112" display="http://sports.yahoo.com/nhl/players/5375"/>
    <hyperlink ref="B556" r:id="rId1113" display="http://sports.yahoo.com/nhl/teams/dal"/>
    <hyperlink ref="A557" r:id="rId1114" display="http://sports.yahoo.com/nhl/players/4996"/>
    <hyperlink ref="B557" r:id="rId1115" display="http://sports.yahoo.com/nhl/teams/cob"/>
    <hyperlink ref="A558" r:id="rId1116" display="http://sports.yahoo.com/nhl/players/3784"/>
    <hyperlink ref="B558" r:id="rId1117" display="http://sports.yahoo.com/nhl/teams/cob"/>
    <hyperlink ref="A559" r:id="rId1118" display="http://sports.yahoo.com/nhl/players/5263"/>
    <hyperlink ref="B559" r:id="rId1119" display="http://sports.yahoo.com/nhl/teams/wpg"/>
    <hyperlink ref="A560" r:id="rId1120" display="http://sports.yahoo.com/nhl/players/4758"/>
    <hyperlink ref="B560" r:id="rId1121" display="http://sports.yahoo.com/nhl/teams/stl"/>
    <hyperlink ref="A561" r:id="rId1122" display="http://sports.yahoo.com/nhl/players/5127"/>
    <hyperlink ref="B561" r:id="rId1123" display="http://sports.yahoo.com/nhl/teams/cob"/>
    <hyperlink ref="A562" r:id="rId1124" display="http://sports.yahoo.com/nhl/players/4478"/>
    <hyperlink ref="B562" r:id="rId1125" display="http://sports.yahoo.com/nhl/teams/wpg"/>
    <hyperlink ref="A563" r:id="rId1126" display="http://sports.yahoo.com/nhl/players/4702"/>
    <hyperlink ref="B563" r:id="rId1127" display="http://sports.yahoo.com/nhl/teams/min"/>
    <hyperlink ref="A564" r:id="rId1128" display="http://sports.yahoo.com/nhl/players/2121"/>
    <hyperlink ref="B564" r:id="rId1129" display="http://sports.yahoo.com/nhl/teams/fla"/>
    <hyperlink ref="A565" r:id="rId1130" display="http://sports.yahoo.com/nhl/players/5190"/>
    <hyperlink ref="B565" r:id="rId1131" display="http://sports.yahoo.com/nhl/teams/edm"/>
    <hyperlink ref="A566" r:id="rId1132" display="http://sports.yahoo.com/nhl/players/1979"/>
    <hyperlink ref="B566" r:id="rId1133" display="http://sports.yahoo.com/nhl/teams/tam"/>
    <hyperlink ref="A567" r:id="rId1134" display="http://sports.yahoo.com/nhl/players/5084"/>
    <hyperlink ref="B567" r:id="rId1135" display="http://sports.yahoo.com/nhl/teams/det"/>
    <hyperlink ref="A568" r:id="rId1136" display="http://sports.yahoo.com/nhl/players/3389"/>
    <hyperlink ref="B568" r:id="rId1137" display="http://sports.yahoo.com/nhl/teams/nyi"/>
    <hyperlink ref="A569" r:id="rId1138" display="http://sports.yahoo.com/nhl/players/2607"/>
    <hyperlink ref="B569" r:id="rId1139" display="http://sports.yahoo.com/nhl/teams/fla"/>
    <hyperlink ref="A570" r:id="rId1140" display="http://sports.yahoo.com/nhl/players/4877"/>
    <hyperlink ref="B570" r:id="rId1141" display="http://sports.yahoo.com/nhl/teams/det"/>
    <hyperlink ref="A571" r:id="rId1142" display="http://sports.yahoo.com/nhl/players/5647"/>
    <hyperlink ref="B571" r:id="rId1143" display="http://sports.yahoo.com/nhl/teams/san"/>
    <hyperlink ref="A572" r:id="rId1144" display="http://sports.yahoo.com/nhl/players/3689"/>
    <hyperlink ref="B572" r:id="rId1145" display="http://sports.yahoo.com/nhl/teams/chi"/>
    <hyperlink ref="A573" r:id="rId1146" display="http://sports.yahoo.com/nhl/players/4708"/>
    <hyperlink ref="B573" r:id="rId1147" display="http://sports.yahoo.com/nhl/teams/fla"/>
    <hyperlink ref="A574" r:id="rId1148" display="http://sports.yahoo.com/nhl/players/5070"/>
    <hyperlink ref="B574" r:id="rId1149" display="http://sports.yahoo.com/nhl/teams/ari"/>
    <hyperlink ref="A575" r:id="rId1150" display="http://sports.yahoo.com/nhl/players/5092"/>
    <hyperlink ref="B575" r:id="rId1151" display="http://sports.yahoo.com/nhl/teams/ari"/>
    <hyperlink ref="A576" r:id="rId1152" display="http://sports.yahoo.com/nhl/players/3024"/>
    <hyperlink ref="B576" r:id="rId1153" display="http://sports.yahoo.com/nhl/teams/ana"/>
    <hyperlink ref="A577" r:id="rId1154" display="http://sports.yahoo.com/nhl/players/5688"/>
    <hyperlink ref="B577" r:id="rId1155" display="http://sports.yahoo.com/nhl/teams/pit"/>
    <hyperlink ref="A578" r:id="rId1156" display="http://sports.yahoo.com/nhl/players/2112"/>
    <hyperlink ref="B578" r:id="rId1157" display="http://sports.yahoo.com/nhl/teams/ott"/>
    <hyperlink ref="A579" r:id="rId1158" display="http://sports.yahoo.com/nhl/players/5448"/>
    <hyperlink ref="B579" r:id="rId1159" display="http://sports.yahoo.com/nhl/teams/los"/>
    <hyperlink ref="A580" r:id="rId1160" display="http://sports.yahoo.com/nhl/players/5513"/>
    <hyperlink ref="B580" r:id="rId1161" display="http://sports.yahoo.com/nhl/teams/tam"/>
    <hyperlink ref="A581" r:id="rId1162" display="http://sports.yahoo.com/nhl/players/2475"/>
    <hyperlink ref="B581" r:id="rId1163" display="http://sports.yahoo.com/nhl/teams/pit"/>
    <hyperlink ref="A582" r:id="rId1164" display="http://sports.yahoo.com/nhl/players/4929"/>
    <hyperlink ref="B582" r:id="rId1165" display="http://sports.yahoo.com/nhl/teams/tam"/>
    <hyperlink ref="A583" r:id="rId1166" display="http://sports.yahoo.com/nhl/players/4703"/>
    <hyperlink ref="B583" r:id="rId1167" display="http://sports.yahoo.com/nhl/teams/tor"/>
    <hyperlink ref="A584" r:id="rId1168" display="http://sports.yahoo.com/nhl/players/4832"/>
    <hyperlink ref="B584" r:id="rId1169" display="http://sports.yahoo.com/nhl/teams/min"/>
    <hyperlink ref="A585" r:id="rId1170" display="http://sports.yahoo.com/nhl/players/1781"/>
    <hyperlink ref="B585" r:id="rId1171" display="http://sports.yahoo.com/nhl/teams/san"/>
    <hyperlink ref="A586" r:id="rId1172" display="http://sports.yahoo.com/nhl/players/4713"/>
    <hyperlink ref="B586" r:id="rId1173" display="http://sports.yahoo.com/nhl/teams/nyi"/>
    <hyperlink ref="A587" r:id="rId1174" display="http://sports.yahoo.com/nhl/players/5381"/>
    <hyperlink ref="B587" r:id="rId1175" display="http://sports.yahoo.com/nhl/teams/ari"/>
    <hyperlink ref="A588" r:id="rId1176" display="http://sports.yahoo.com/nhl/players/3816"/>
    <hyperlink ref="B588" r:id="rId1177" display="http://sports.yahoo.com/nhl/teams/bos"/>
    <hyperlink ref="A589" r:id="rId1178" display="http://sports.yahoo.com/nhl/players/5615"/>
    <hyperlink ref="B589" r:id="rId1179" display="http://sports.yahoo.com/nhl/teams/bos"/>
    <hyperlink ref="A590" r:id="rId1180" display="http://sports.yahoo.com/nhl/players/4114"/>
    <hyperlink ref="B590" r:id="rId1181" display="http://sports.yahoo.com/nhl/teams/col"/>
    <hyperlink ref="A591" r:id="rId1182" display="http://sports.yahoo.com/nhl/players/4309"/>
    <hyperlink ref="B591" r:id="rId1183" display="http://sports.yahoo.com/nhl/teams/buf"/>
    <hyperlink ref="A592" r:id="rId1184" display="http://sports.yahoo.com/nhl/players/6060"/>
    <hyperlink ref="B592" r:id="rId1185" display="http://sports.yahoo.com/nhl/teams/ari"/>
    <hyperlink ref="A593" r:id="rId1186" display="http://sports.yahoo.com/nhl/players/5713"/>
    <hyperlink ref="B593" r:id="rId1187" display="http://sports.yahoo.com/nhl/teams/njd"/>
    <hyperlink ref="A594" r:id="rId1188" display="http://sports.yahoo.com/nhl/players/1797"/>
    <hyperlink ref="B594" r:id="rId1189" display="http://sports.yahoo.com/nhl/teams/tor"/>
    <hyperlink ref="A595" r:id="rId1190" display="http://sports.yahoo.com/nhl/players/2564"/>
    <hyperlink ref="B595" r:id="rId1191" display="http://sports.yahoo.com/nhl/teams/nas"/>
    <hyperlink ref="A596" r:id="rId1192" display="http://sports.yahoo.com/nhl/players/5374"/>
    <hyperlink ref="B596" r:id="rId1193" display="http://sports.yahoo.com/nhl/teams/van"/>
    <hyperlink ref="A597" r:id="rId1194" display="http://sports.yahoo.com/nhl/players/5953"/>
    <hyperlink ref="B597" r:id="rId1195" display="http://sports.yahoo.com/nhl/teams/edm"/>
    <hyperlink ref="A598" r:id="rId1196" display="http://sports.yahoo.com/nhl/players/6014"/>
    <hyperlink ref="B598" r:id="rId1197" display="http://sports.yahoo.com/nhl/teams/mon"/>
    <hyperlink ref="A599" r:id="rId1198" display="http://sports.yahoo.com/nhl/players/5692"/>
    <hyperlink ref="B599" r:id="rId1199" display="http://sports.yahoo.com/nhl/teams/buf"/>
    <hyperlink ref="A600" r:id="rId1200" display="http://sports.yahoo.com/nhl/players/5700"/>
    <hyperlink ref="B600" r:id="rId1201" display="http://sports.yahoo.com/nhl/teams/phi"/>
    <hyperlink ref="A601" r:id="rId1202" display="http://sports.yahoo.com/nhl/players/4641"/>
    <hyperlink ref="B601" r:id="rId1203" display="http://sports.yahoo.com/nhl/teams/wpg"/>
    <hyperlink ref="A602" r:id="rId1204" display="http://sports.yahoo.com/nhl/players/4012"/>
    <hyperlink ref="B602" r:id="rId1205" display="http://sports.yahoo.com/nhl/teams/pit"/>
    <hyperlink ref="A603" r:id="rId1206" display="http://sports.yahoo.com/nhl/players/4310"/>
    <hyperlink ref="B603" r:id="rId1207" display="http://sports.yahoo.com/nhl/teams/nyr"/>
    <hyperlink ref="A604" r:id="rId1208" display="http://sports.yahoo.com/nhl/players/3392"/>
    <hyperlink ref="B604" r:id="rId1209" display="http://sports.yahoo.com/nhl/teams/ari"/>
    <hyperlink ref="A605" r:id="rId1210" display="http://sports.yahoo.com/nhl/players/3492"/>
    <hyperlink ref="B605" r:id="rId1211" display="http://sports.yahoo.com/nhl/teams/buf"/>
    <hyperlink ref="A606" r:id="rId1212" display="http://sports.yahoo.com/nhl/players/4490"/>
    <hyperlink ref="B606" r:id="rId1213" display="http://sports.yahoo.com/nhl/teams/car"/>
    <hyperlink ref="A607" r:id="rId1214" display="http://sports.yahoo.com/nhl/players/4160"/>
    <hyperlink ref="B607" r:id="rId1215" display="http://sports.yahoo.com/nhl/teams/col"/>
    <hyperlink ref="A608" r:id="rId1216" display="http://sports.yahoo.com/nhl/players/4748"/>
    <hyperlink ref="B608" r:id="rId1217" display="http://sports.yahoo.com/nhl/teams/phi"/>
    <hyperlink ref="A609" r:id="rId1218" display="http://sports.yahoo.com/nhl/players/4885"/>
    <hyperlink ref="B609" r:id="rId1219" display="http://sports.yahoo.com/nhl/teams/car"/>
    <hyperlink ref="A610" r:id="rId1220" display="http://sports.yahoo.com/nhl/players/4925"/>
    <hyperlink ref="B610" r:id="rId1221" display="http://sports.yahoo.com/nhl/teams/ana"/>
    <hyperlink ref="A611" r:id="rId1222" display="http://sports.yahoo.com/nhl/players/4882"/>
    <hyperlink ref="B611" r:id="rId1223" display="http://sports.yahoo.com/nhl/teams/was"/>
    <hyperlink ref="A612" r:id="rId1224" display="http://sports.yahoo.com/nhl/players/4945"/>
    <hyperlink ref="B612" r:id="rId1225" display="http://sports.yahoo.com/nhl/teams/cob"/>
    <hyperlink ref="A613" r:id="rId1226" display="http://sports.yahoo.com/nhl/players/5627"/>
    <hyperlink ref="B613" r:id="rId1227" display="http://sports.yahoo.com/nhl/teams/buf"/>
    <hyperlink ref="A614" r:id="rId1228" display="http://sports.yahoo.com/nhl/players/4148"/>
    <hyperlink ref="B614" r:id="rId1229" display="http://sports.yahoo.com/nhl/teams/tor"/>
    <hyperlink ref="A615" r:id="rId1230" display="http://sports.yahoo.com/nhl/players/5019"/>
    <hyperlink ref="B615" r:id="rId1231" display="http://sports.yahoo.com/nhl/teams/edm"/>
    <hyperlink ref="A616" r:id="rId1232" display="http://sports.yahoo.com/nhl/players/5423"/>
    <hyperlink ref="B616" r:id="rId1233" display="http://sports.yahoo.com/nhl/teams/ari"/>
    <hyperlink ref="A617" r:id="rId1234" display="http://sports.yahoo.com/nhl/players/5293"/>
    <hyperlink ref="B617" r:id="rId1235" display="http://sports.yahoo.com/nhl/teams/cob"/>
    <hyperlink ref="A618" r:id="rId1236" display="http://sports.yahoo.com/nhl/players/4866"/>
    <hyperlink ref="B618" r:id="rId1237" display="http://sports.yahoo.com/nhl/teams/cgy"/>
    <hyperlink ref="A619" r:id="rId1238" display="http://sports.yahoo.com/nhl/players/4574"/>
    <hyperlink ref="B619" r:id="rId1239" display="http://sports.yahoo.com/nhl/teams/buf"/>
    <hyperlink ref="A620" r:id="rId1240" display="http://sports.yahoo.com/nhl/players/5421"/>
    <hyperlink ref="B620" r:id="rId1241" display="http://sports.yahoo.com/nhl/teams/cob"/>
    <hyperlink ref="A621" r:id="rId1242" display="http://sports.yahoo.com/nhl/players/4391"/>
    <hyperlink ref="B621" r:id="rId1243" display="http://sports.yahoo.com/nhl/teams/car"/>
    <hyperlink ref="A622" r:id="rId1244" display="http://sports.yahoo.com/nhl/players/4152"/>
    <hyperlink ref="B622" r:id="rId1245" display="http://sports.yahoo.com/nhl/teams/cob"/>
    <hyperlink ref="A623" r:id="rId1246" display="http://sports.yahoo.com/nhl/players/5184"/>
    <hyperlink ref="B623" r:id="rId1247" display="http://sports.yahoo.com/nhl/teams/bos"/>
    <hyperlink ref="A624" r:id="rId1248" display="http://sports.yahoo.com/nhl/players/5949"/>
    <hyperlink ref="B624" r:id="rId1249" display="http://sports.yahoo.com/nhl/teams/dal"/>
    <hyperlink ref="A625" r:id="rId1250" display="http://sports.yahoo.com/nhl/players/5106"/>
    <hyperlink ref="B625" r:id="rId1251" display="http://sports.yahoo.com/nhl/teams/cgy"/>
    <hyperlink ref="A626" r:id="rId1252" display="http://sports.yahoo.com/nhl/players/2724"/>
    <hyperlink ref="B626" r:id="rId1253" display="http://sports.yahoo.com/nhl/teams/fla"/>
    <hyperlink ref="A627" r:id="rId1254" display="http://sports.yahoo.com/nhl/players/5044"/>
    <hyperlink ref="B627" r:id="rId1255" display="http://sports.yahoo.com/nhl/teams/mon"/>
    <hyperlink ref="A628" r:id="rId1256" display="http://sports.yahoo.com/nhl/players/5062"/>
    <hyperlink ref="B628" r:id="rId1257" display="http://sports.yahoo.com/nhl/teams/cob"/>
    <hyperlink ref="A629" r:id="rId1258" display="http://sports.yahoo.com/nhl/players/5039"/>
    <hyperlink ref="B629" r:id="rId1259" display="http://sports.yahoo.com/nhl/teams/phi"/>
    <hyperlink ref="A630" r:id="rId1260" display="http://sports.yahoo.com/nhl/players/3874"/>
    <hyperlink ref="B630" r:id="rId1261" display="http://sports.yahoo.com/nhl/teams/njd"/>
    <hyperlink ref="A631" r:id="rId1262" display="http://sports.yahoo.com/nhl/players/4128"/>
    <hyperlink ref="B631" r:id="rId1263" display="http://sports.yahoo.com/nhl/teams/edm"/>
    <hyperlink ref="A632" r:id="rId1264" display="http://sports.yahoo.com/nhl/players/4868"/>
    <hyperlink ref="B632" r:id="rId1265" display="http://sports.yahoo.com/nhl/teams/tor"/>
    <hyperlink ref="A633" r:id="rId1266" display="http://sports.yahoo.com/nhl/players/4858"/>
    <hyperlink ref="B633" r:id="rId1267" display="http://sports.yahoo.com/nhl/teams/fla"/>
    <hyperlink ref="A634" r:id="rId1268" display="http://sports.yahoo.com/nhl/players/2130"/>
    <hyperlink ref="B634" r:id="rId1269" display="http://sports.yahoo.com/nhl/teams/min"/>
    <hyperlink ref="A635" r:id="rId1270" display="http://sports.yahoo.com/nhl/players/3949"/>
    <hyperlink ref="B635" r:id="rId1271" display="http://sports.yahoo.com/nhl/teams/njd"/>
    <hyperlink ref="A636" r:id="rId1272" display="http://sports.yahoo.com/nhl/players/4894"/>
    <hyperlink ref="B636" r:id="rId1273" display="http://sports.yahoo.com/nhl/teams/bos"/>
    <hyperlink ref="A637" r:id="rId1274" display="http://sports.yahoo.com/nhl/players/5330"/>
    <hyperlink ref="B637" r:id="rId1275" display="http://sports.yahoo.com/nhl/teams/cgy"/>
    <hyperlink ref="A638" r:id="rId1276" display="http://sports.yahoo.com/nhl/players/1757"/>
    <hyperlink ref="B638" r:id="rId1277" display="http://sports.yahoo.com/nhl/teams/mon"/>
    <hyperlink ref="A639" r:id="rId1278" display="http://sports.yahoo.com/nhl/players/4782"/>
    <hyperlink ref="B639" r:id="rId1279" display="http://sports.yahoo.com/nhl/teams/van"/>
    <hyperlink ref="A640" r:id="rId1280" display="http://sports.yahoo.com/nhl/players/1920"/>
    <hyperlink ref="B640" r:id="rId1281" display="http://sports.yahoo.com/nhl/teams/bos"/>
    <hyperlink ref="A641" r:id="rId1282" display="http://sports.yahoo.com/nhl/players/2964"/>
    <hyperlink ref="B641" r:id="rId1283" display="http://sports.yahoo.com/nhl/teams/mon"/>
    <hyperlink ref="A642" r:id="rId1284" display="http://sports.yahoo.com/nhl/players/5445"/>
    <hyperlink ref="B642" r:id="rId1285" display="http://sports.yahoo.com/nhl/teams/ari"/>
    <hyperlink ref="A643" r:id="rId1286" display="http://sports.yahoo.com/nhl/players/3493"/>
    <hyperlink ref="B643" r:id="rId1287" display="http://sports.yahoo.com/nhl/teams/njd"/>
    <hyperlink ref="A644" r:id="rId1288" display="http://sports.yahoo.com/nhl/players/4363"/>
    <hyperlink ref="B644" r:id="rId1289" display="http://sports.yahoo.com/nhl/teams/edm"/>
    <hyperlink ref="A645" r:id="rId1290" display="http://sports.yahoo.com/nhl/players/5932"/>
    <hyperlink ref="B645" r:id="rId1291" display="http://sports.yahoo.com/nhl/teams/was"/>
    <hyperlink ref="A646" r:id="rId1292" display="http://sports.yahoo.com/nhl/players/3208"/>
    <hyperlink ref="B646" r:id="rId1293" display="http://sports.yahoo.com/nhl/teams/buf"/>
    <hyperlink ref="A647" r:id="rId1294" display="http://sports.yahoo.com/nhl/players/4110"/>
    <hyperlink ref="B647" r:id="rId1295" display="http://sports.yahoo.com/nhl/teams/san"/>
    <hyperlink ref="A648" r:id="rId1296" display="http://sports.yahoo.com/nhl/players/4301"/>
    <hyperlink ref="B648" r:id="rId1297" display="http://sports.yahoo.com/nhl/teams/cgy"/>
    <hyperlink ref="A649" r:id="rId1298" display="http://sports.yahoo.com/nhl/players/5404"/>
    <hyperlink ref="B649" r:id="rId1299" display="http://sports.yahoo.com/nhl/teams/van"/>
    <hyperlink ref="A650" r:id="rId1300" display="http://sports.yahoo.com/nhl/players/5997"/>
    <hyperlink ref="B650" r:id="rId1301" display="http://sports.yahoo.com/nhl/teams/san"/>
    <hyperlink ref="A651" r:id="rId1302" display="http://sports.yahoo.com/nhl/players/4759"/>
    <hyperlink ref="B651" r:id="rId1303" display="http://sports.yahoo.com/nhl/teams/tor"/>
    <hyperlink ref="A652" r:id="rId1304" display="http://sports.yahoo.com/nhl/players/4401"/>
    <hyperlink ref="B652" r:id="rId1305" display="http://sports.yahoo.com/nhl/teams/wpg"/>
    <hyperlink ref="A653" r:id="rId1306" display="http://sports.yahoo.com/nhl/players/5257"/>
    <hyperlink ref="B653" r:id="rId1307" display="http://sports.yahoo.com/nhl/teams/san"/>
    <hyperlink ref="A654" r:id="rId1308" display="http://sports.yahoo.com/nhl/players/4973"/>
    <hyperlink ref="B654" r:id="rId1309" display="http://sports.yahoo.com/nhl/teams/ari"/>
    <hyperlink ref="A655" r:id="rId1310" display="http://sports.yahoo.com/nhl/players/4181"/>
    <hyperlink ref="B655" r:id="rId1311" display="http://sports.yahoo.com/nhl/teams/min"/>
    <hyperlink ref="A656" r:id="rId1312" display="http://sports.yahoo.com/nhl/players/5385"/>
    <hyperlink ref="B656" r:id="rId1313" display="http://sports.yahoo.com/nhl/teams/ott"/>
    <hyperlink ref="A657" r:id="rId1314" display="http://sports.yahoo.com/nhl/players/5386"/>
    <hyperlink ref="B657" r:id="rId1315" display="http://sports.yahoo.com/nhl/teams/tor"/>
    <hyperlink ref="A658" r:id="rId1316" display="http://sports.yahoo.com/nhl/players/5682"/>
    <hyperlink ref="B658" r:id="rId1317" display="http://sports.yahoo.com/nhl/teams/cob"/>
    <hyperlink ref="A659" r:id="rId1318" display="http://sports.yahoo.com/nhl/players/4009"/>
    <hyperlink ref="B659" r:id="rId1319" display="http://sports.yahoo.com/nhl/teams/nyr"/>
    <hyperlink ref="A660" r:id="rId1320" display="http://sports.yahoo.com/nhl/players/5009"/>
    <hyperlink ref="B660" r:id="rId1321" display="http://sports.yahoo.com/nhl/teams/fla"/>
    <hyperlink ref="A661" r:id="rId1322" display="http://sports.yahoo.com/nhl/players/3892"/>
    <hyperlink ref="B661" r:id="rId1323" display="http://sports.yahoo.com/nhl/teams/san"/>
    <hyperlink ref="A662" r:id="rId1324" display="http://sports.yahoo.com/nhl/players/3944"/>
    <hyperlink ref="B662" r:id="rId1325" display="http://sports.yahoo.com/nhl/teams/buf"/>
    <hyperlink ref="A663" r:id="rId1326" display="http://sports.yahoo.com/nhl/players/5634"/>
    <hyperlink ref="B663" r:id="rId1327" display="http://sports.yahoo.com/nhl/teams/cgy"/>
    <hyperlink ref="A664" r:id="rId1328" display="http://sports.yahoo.com/nhl/players/4630"/>
    <hyperlink ref="B664" r:id="rId1329" display="http://sports.yahoo.com/nhl/teams/edm"/>
    <hyperlink ref="A665" r:id="rId1330" display="http://sports.yahoo.com/nhl/players/5446"/>
    <hyperlink ref="B665" r:id="rId1331" display="http://sports.yahoo.com/nhl/teams/los"/>
    <hyperlink ref="A666" r:id="rId1332" display="http://sports.yahoo.com/nhl/players/4536"/>
    <hyperlink ref="B666" r:id="rId1333" display="http://sports.yahoo.com/nhl/teams/ott"/>
    <hyperlink ref="A667" r:id="rId1334" display="http://sports.yahoo.com/nhl/players/5416"/>
    <hyperlink ref="B667" r:id="rId1335" display="http://sports.yahoo.com/nhl/teams/det"/>
    <hyperlink ref="A668" r:id="rId1336" display="http://sports.yahoo.com/nhl/players/5014"/>
    <hyperlink ref="B668" r:id="rId1337" display="http://sports.yahoo.com/nhl/teams/dal"/>
    <hyperlink ref="A669" r:id="rId1338" display="http://sports.yahoo.com/nhl/players/5525"/>
    <hyperlink ref="B669" r:id="rId1339" display="http://sports.yahoo.com/nhl/teams/ana"/>
    <hyperlink ref="A670" r:id="rId1340" display="http://sports.yahoo.com/nhl/players/5979"/>
    <hyperlink ref="B670" r:id="rId1341" display="http://sports.yahoo.com/nhl/teams/edm"/>
    <hyperlink ref="A671" r:id="rId1342" display="http://sports.yahoo.com/nhl/players/5601"/>
    <hyperlink ref="B671" r:id="rId1343" display="http://sports.yahoo.com/nhl/teams/van"/>
    <hyperlink ref="A672" r:id="rId1344" display="http://sports.yahoo.com/nhl/players/5549"/>
    <hyperlink ref="B672" r:id="rId1345" display="http://sports.yahoo.com/nhl/teams/edm"/>
    <hyperlink ref="A673" r:id="rId1346" display="http://sports.yahoo.com/nhl/players/5613"/>
    <hyperlink ref="B673" r:id="rId1347" display="http://sports.yahoo.com/nhl/teams/phi"/>
    <hyperlink ref="A674" r:id="rId1348" display="http://sports.yahoo.com/nhl/players/5865"/>
    <hyperlink ref="B674" r:id="rId1349" display="http://sports.yahoo.com/nhl/teams/stl"/>
    <hyperlink ref="A675" r:id="rId1350" display="http://sports.yahoo.com/nhl/players/5063"/>
    <hyperlink ref="B675" r:id="rId1351" display="http://sports.yahoo.com/nhl/teams/chi"/>
    <hyperlink ref="A676" r:id="rId1352" display="http://sports.yahoo.com/nhl/players/5998"/>
    <hyperlink ref="B676" r:id="rId1353" display="http://sports.yahoo.com/nhl/teams/cob"/>
    <hyperlink ref="A677" r:id="rId1354" display="http://sports.yahoo.com/nhl/players/5286"/>
    <hyperlink ref="B677" r:id="rId1355" display="http://sports.yahoo.com/nhl/teams/nyi"/>
    <hyperlink ref="A678" r:id="rId1356" display="http://sports.yahoo.com/nhl/players/1500"/>
    <hyperlink ref="B678" r:id="rId1357" display="http://sports.yahoo.com/nhl/teams/ott"/>
    <hyperlink ref="A679" r:id="rId1358" display="http://sports.yahoo.com/nhl/players/4983"/>
    <hyperlink ref="B679" r:id="rId1359" display="http://sports.yahoo.com/nhl/teams/buf"/>
    <hyperlink ref="A680" r:id="rId1360" display="http://sports.yahoo.com/nhl/players/6010"/>
    <hyperlink ref="B680" r:id="rId1361" display="http://sports.yahoo.com/nhl/teams/mon"/>
    <hyperlink ref="A681" r:id="rId1362" display="http://sports.yahoo.com/nhl/players/4834"/>
    <hyperlink ref="B681" r:id="rId1363" display="http://sports.yahoo.com/nhl/teams/buf"/>
    <hyperlink ref="A682" r:id="rId1364" display="http://sports.yahoo.com/nhl/players/6255"/>
    <hyperlink ref="B682" r:id="rId1365" display="http://sports.yahoo.com/nhl/teams/nyi"/>
    <hyperlink ref="A683" r:id="rId1366" display="http://sports.yahoo.com/nhl/players/6358"/>
    <hyperlink ref="B683" r:id="rId1367" display="http://sports.yahoo.com/nhl/teams/col"/>
    <hyperlink ref="A684" r:id="rId1368" display="http://sports.yahoo.com/nhl/players/5570"/>
    <hyperlink ref="B684" r:id="rId1369" display="http://sports.yahoo.com/nhl/teams/det"/>
    <hyperlink ref="A685" r:id="rId1370" display="http://sports.yahoo.com/nhl/players/6294"/>
    <hyperlink ref="B685" r:id="rId1371" display="http://sports.yahoo.com/nhl/teams/njd"/>
    <hyperlink ref="A686" r:id="rId1372" display="http://sports.yahoo.com/nhl/players/1764"/>
    <hyperlink ref="B686" r:id="rId1373" display="http://sports.yahoo.com/nhl/teams/mon"/>
    <hyperlink ref="A687" r:id="rId1374" display="http://sports.yahoo.com/nhl/players/4549"/>
    <hyperlink ref="B687" r:id="rId1375" display="http://sports.yahoo.com/nhl/teams/los"/>
    <hyperlink ref="A688" r:id="rId1376" display="http://sports.yahoo.com/nhl/players/6616"/>
    <hyperlink ref="B688" r:id="rId1377" display="http://sports.yahoo.com/nhl/teams/was"/>
    <hyperlink ref="A689" r:id="rId1378" display="http://sports.yahoo.com/nhl/players/1571"/>
    <hyperlink ref="B689" r:id="rId1379" display="http://sports.yahoo.com/nhl/teams/det"/>
    <hyperlink ref="A690" r:id="rId1380" display="http://sports.yahoo.com/nhl/players/1753"/>
    <hyperlink ref="B690" r:id="rId1381" display="http://sports.yahoo.com/nhl/teams/njd"/>
    <hyperlink ref="A691" r:id="rId1382" display="http://sports.yahoo.com/nhl/players/2953"/>
    <hyperlink ref="B691" r:id="rId1383" display="http://sports.yahoo.com/nhl/teams/min"/>
    <hyperlink ref="A692" r:id="rId1384" display="http://sports.yahoo.com/nhl/players/1907"/>
    <hyperlink ref="B692" r:id="rId1385" display="http://sports.yahoo.com/nhl/teams/nyi"/>
    <hyperlink ref="A693" r:id="rId1386" display="http://sports.yahoo.com/nhl/players/5117"/>
    <hyperlink ref="B693" r:id="rId1387" display="http://sports.yahoo.com/nhl/teams/tor"/>
    <hyperlink ref="A694" r:id="rId1388" display="http://sports.yahoo.com/nhl/players/3955"/>
    <hyperlink ref="B694" r:id="rId1389" display="http://sports.yahoo.com/nhl/teams/edm"/>
    <hyperlink ref="A695" r:id="rId1390" display="http://sports.yahoo.com/nhl/players/5053"/>
    <hyperlink ref="B695" r:id="rId1391" display="http://sports.yahoo.com/nhl/teams/pit"/>
    <hyperlink ref="A696" r:id="rId1392" display="http://sports.yahoo.com/nhl/players/5040"/>
    <hyperlink ref="B696" r:id="rId1393" display="http://sports.yahoo.com/nhl/teams/car"/>
    <hyperlink ref="A697" r:id="rId1394" display="http://sports.yahoo.com/nhl/players/5931"/>
    <hyperlink ref="B697" r:id="rId1395" display="http://sports.yahoo.com/nhl/teams/buf"/>
    <hyperlink ref="A698" r:id="rId1396" display="http://sports.yahoo.com/nhl/players/5712"/>
    <hyperlink ref="B698" r:id="rId1397" display="http://sports.yahoo.com/nhl/teams/tam"/>
    <hyperlink ref="A699" r:id="rId1398" display="http://sports.yahoo.com/nhl/players/3178"/>
    <hyperlink ref="B699" r:id="rId1399" display="http://sports.yahoo.com/nhl/teams/buf"/>
    <hyperlink ref="A700" r:id="rId1400" display="http://sports.yahoo.com/nhl/players/4313"/>
    <hyperlink ref="B700" r:id="rId1401" display="http://sports.yahoo.com/nhl/teams/stl"/>
    <hyperlink ref="A701" r:id="rId1402" display="http://sports.yahoo.com/nhl/players/5936"/>
    <hyperlink ref="B701" r:id="rId1403" display="http://sports.yahoo.com/nhl/teams/tor"/>
    <hyperlink ref="A702" r:id="rId1404" display="http://sports.yahoo.com/nhl/players/5643"/>
    <hyperlink ref="B702" r:id="rId1405" display="http://sports.yahoo.com/nhl/teams/cob"/>
    <hyperlink ref="A703" r:id="rId1406" display="http://sports.yahoo.com/nhl/players/4037"/>
    <hyperlink ref="B703" r:id="rId1407" display="http://sports.yahoo.com/nhl/teams/njd"/>
    <hyperlink ref="A704" r:id="rId1408" display="http://sports.yahoo.com/nhl/players/5247"/>
    <hyperlink ref="B704" r:id="rId1409" display="http://sports.yahoo.com/nhl/teams/nyr"/>
    <hyperlink ref="A705" r:id="rId1410" display="http://sports.yahoo.com/nhl/players/5028"/>
    <hyperlink ref="B705" r:id="rId1411" display="http://sports.yahoo.com/nhl/teams/phi"/>
    <hyperlink ref="A706" r:id="rId1412" display="http://sports.yahoo.com/nhl/players/4977"/>
    <hyperlink ref="B706" r:id="rId1413" display="http://sports.yahoo.com/nhl/teams/col"/>
    <hyperlink ref="A707" r:id="rId1414" display="http://sports.yahoo.com/nhl/players/5004"/>
    <hyperlink ref="B707" r:id="rId1415" display="http://sports.yahoo.com/nhl/teams/edm"/>
    <hyperlink ref="A708" r:id="rId1416" display="http://sports.yahoo.com/nhl/players/4606"/>
    <hyperlink ref="B708" r:id="rId1417" display="http://sports.yahoo.com/nhl/teams/wpg"/>
    <hyperlink ref="A709" r:id="rId1418" display="http://sports.yahoo.com/nhl/players/5400"/>
    <hyperlink ref="B709" r:id="rId1419" display="http://sports.yahoo.com/nhl/teams/stl"/>
    <hyperlink ref="A710" r:id="rId1420" display="http://sports.yahoo.com/nhl/players/5399"/>
    <hyperlink ref="B710" r:id="rId1421" display="http://sports.yahoo.com/nhl/teams/edm"/>
    <hyperlink ref="A711" r:id="rId1422" display="http://sports.yahoo.com/nhl/players/4580"/>
    <hyperlink ref="B711" r:id="rId1423" display="http://sports.yahoo.com/nhl/teams/det"/>
    <hyperlink ref="A712" r:id="rId1424" display="http://sports.yahoo.com/nhl/players/4982"/>
    <hyperlink ref="B712" r:id="rId1425" display="http://sports.yahoo.com/nhl/teams/mon"/>
    <hyperlink ref="A713" r:id="rId1426" display="http://sports.yahoo.com/nhl/players/4585"/>
    <hyperlink ref="B713" r:id="rId1427" display="http://sports.yahoo.com/nhl/teams/cob"/>
    <hyperlink ref="A714" r:id="rId1428" display="http://sports.yahoo.com/nhl/players/5660"/>
    <hyperlink ref="B714" r:id="rId1429" display="http://sports.yahoo.com/nhl/teams/bos"/>
    <hyperlink ref="A715" r:id="rId1430" display="http://sports.yahoo.com/nhl/players/5659"/>
    <hyperlink ref="B715" r:id="rId1431" display="http://sports.yahoo.com/nhl/teams/pit"/>
    <hyperlink ref="A716" r:id="rId1432" display="http://sports.yahoo.com/nhl/players/4994"/>
    <hyperlink ref="B716" r:id="rId1433" display="http://sports.yahoo.com/nhl/teams/cob"/>
    <hyperlink ref="A717" r:id="rId1434" display="http://sports.yahoo.com/nhl/players/4249"/>
    <hyperlink ref="B717" r:id="rId1435" display="http://sports.yahoo.com/nhl/teams/wpg"/>
    <hyperlink ref="A718" r:id="rId1436" display="http://sports.yahoo.com/nhl/players/6083"/>
    <hyperlink ref="B718" r:id="rId1437" display="http://sports.yahoo.com/nhl/teams/wpg"/>
    <hyperlink ref="A719" r:id="rId1438" display="http://sports.yahoo.com/nhl/players/4142"/>
    <hyperlink ref="B719" r:id="rId1439" display="http://sports.yahoo.com/nhl/teams/van"/>
    <hyperlink ref="A720" r:id="rId1440" display="http://sports.yahoo.com/nhl/players/5684"/>
    <hyperlink ref="B720" r:id="rId1441" display="http://sports.yahoo.com/nhl/teams/nyi"/>
    <hyperlink ref="A721" r:id="rId1442" display="http://sports.yahoo.com/nhl/players/5933"/>
    <hyperlink ref="B721" r:id="rId1443" display="http://sports.yahoo.com/nhl/teams/san"/>
    <hyperlink ref="A722" r:id="rId1444" display="http://sports.yahoo.com/nhl/players/4262"/>
    <hyperlink ref="B722" r:id="rId1445" display="http://sports.yahoo.com/nhl/teams/min"/>
    <hyperlink ref="A723" r:id="rId1446" display="http://sports.yahoo.com/nhl/players/4891"/>
    <hyperlink ref="B723" r:id="rId1447" display="http://sports.yahoo.com/nhl/teams/ott"/>
    <hyperlink ref="A724" r:id="rId1448" display="http://sports.yahoo.com/nhl/players/5102"/>
    <hyperlink ref="B724" r:id="rId1449" display="http://sports.yahoo.com/nhl/teams/col"/>
    <hyperlink ref="A725" r:id="rId1450" display="http://sports.yahoo.com/nhl/players/5617"/>
    <hyperlink ref="B725" r:id="rId1451" display="http://sports.yahoo.com/nhl/teams/ari"/>
    <hyperlink ref="A726" r:id="rId1452" display="http://sports.yahoo.com/nhl/players/4690"/>
    <hyperlink ref="B726" r:id="rId1453" display="http://sports.yahoo.com/nhl/teams/stl"/>
    <hyperlink ref="A727" r:id="rId1454" display="http://sports.yahoo.com/nhl/players/6197"/>
    <hyperlink ref="B727" r:id="rId1455" display="http://sports.yahoo.com/nhl/teams/col"/>
    <hyperlink ref="A728" r:id="rId1456" display="http://sports.yahoo.com/nhl/players/5644"/>
    <hyperlink ref="B728" r:id="rId1457" display="http://sports.yahoo.com/nhl/teams/was"/>
    <hyperlink ref="A729" r:id="rId1458" display="http://sports.yahoo.com/nhl/players/4783"/>
    <hyperlink ref="B729" r:id="rId1459" display="http://sports.yahoo.com/nhl/teams/col"/>
    <hyperlink ref="A730" r:id="rId1460" display="http://sports.yahoo.com/nhl/players/5240"/>
    <hyperlink ref="B730" r:id="rId1461" display="http://sports.yahoo.com/nhl/teams/det"/>
    <hyperlink ref="A731" r:id="rId1462" display="http://sports.yahoo.com/nhl/players/5353"/>
    <hyperlink ref="B731" r:id="rId1463" display="http://sports.yahoo.com/nhl/teams/ari"/>
    <hyperlink ref="A732" r:id="rId1464" display="http://sports.yahoo.com/nhl/players/6001"/>
    <hyperlink ref="B732" r:id="rId1465" display="http://sports.yahoo.com/nhl/teams/cgy"/>
    <hyperlink ref="A733" r:id="rId1466" display="http://sports.yahoo.com/nhl/players/5747"/>
    <hyperlink ref="B733" r:id="rId1467" display="http://sports.yahoo.com/nhl/teams/ari"/>
    <hyperlink ref="A734" r:id="rId1468" display="http://sports.yahoo.com/nhl/players/5203"/>
    <hyperlink ref="B734" r:id="rId1469" display="http://sports.yahoo.com/nhl/teams/ana"/>
    <hyperlink ref="A735" r:id="rId1470" display="http://sports.yahoo.com/nhl/players/5902"/>
    <hyperlink ref="B735" r:id="rId1471" display="http://sports.yahoo.com/nhl/teams/pit"/>
    <hyperlink ref="A736" r:id="rId1472" display="http://sports.yahoo.com/nhl/players/3645"/>
    <hyperlink ref="B736" r:id="rId1473" display="http://sports.yahoo.com/nhl/teams/cgy"/>
    <hyperlink ref="A737" r:id="rId1474" display="http://sports.yahoo.com/nhl/players/4802"/>
    <hyperlink ref="B737" r:id="rId1475" display="http://sports.yahoo.com/nhl/teams/ana"/>
    <hyperlink ref="A738" r:id="rId1476" display="http://sports.yahoo.com/nhl/players/3665"/>
    <hyperlink ref="B738" r:id="rId1477" display="http://sports.yahoo.com/nhl/teams/los"/>
    <hyperlink ref="A739" r:id="rId1478" display="http://sports.yahoo.com/nhl/players/5785"/>
    <hyperlink ref="B739" r:id="rId1479" display="http://sports.yahoo.com/nhl/teams/cob"/>
    <hyperlink ref="A740" r:id="rId1480" display="http://sports.yahoo.com/nhl/players/5950"/>
    <hyperlink ref="B740" r:id="rId1481" display="http://sports.yahoo.com/nhl/teams/buf"/>
    <hyperlink ref="A741" r:id="rId1482" display="http://sports.yahoo.com/nhl/players/3446"/>
    <hyperlink ref="B741" r:id="rId1483" display="http://sports.yahoo.com/nhl/teams/fla"/>
    <hyperlink ref="A742" r:id="rId1484" display="http://sports.yahoo.com/nhl/players/6297"/>
    <hyperlink ref="B742" r:id="rId1485" display="http://sports.yahoo.com/nhl/teams/njd"/>
    <hyperlink ref="A743" r:id="rId1486" display="http://sports.yahoo.com/nhl/players/3108"/>
    <hyperlink ref="B743" r:id="rId1487" display="http://sports.yahoo.com/nhl/teams/min"/>
    <hyperlink ref="A744" r:id="rId1488" display="http://sports.yahoo.com/nhl/players/3889"/>
    <hyperlink ref="B744" r:id="rId1489" display="http://sports.yahoo.com/nhl/teams/stl"/>
    <hyperlink ref="A745" r:id="rId1490" display="http://sports.yahoo.com/nhl/players/5989"/>
    <hyperlink ref="B745" r:id="rId1491" display="http://sports.yahoo.com/nhl/teams/dal"/>
    <hyperlink ref="A746" r:id="rId1492" display="http://sports.yahoo.com/nhl/players/5059"/>
    <hyperlink ref="B746" r:id="rId1493" display="http://sports.yahoo.com/nhl/teams/was"/>
    <hyperlink ref="A747" r:id="rId1494" display="http://sports.yahoo.com/nhl/players/5136"/>
    <hyperlink ref="B747" r:id="rId1495" display="http://sports.yahoo.com/nhl/teams/edm"/>
    <hyperlink ref="A748" r:id="rId1496" display="http://sports.yahoo.com/nhl/players/5709"/>
    <hyperlink ref="B748" r:id="rId1497" display="http://sports.yahoo.com/nhl/teams/njd"/>
    <hyperlink ref="A749" r:id="rId1498" display="http://sports.yahoo.com/nhl/players/4778"/>
    <hyperlink ref="B749" r:id="rId1499" display="http://sports.yahoo.com/nhl/teams/col"/>
    <hyperlink ref="A750" r:id="rId1500" display="http://sports.yahoo.com/nhl/players/5384"/>
    <hyperlink ref="B750" r:id="rId1501" display="http://sports.yahoo.com/nhl/teams/bos"/>
    <hyperlink ref="A751" r:id="rId1502" display="http://sports.yahoo.com/nhl/players/5452"/>
    <hyperlink ref="B751" r:id="rId1503" display="http://sports.yahoo.com/nhl/teams/tor"/>
    <hyperlink ref="A752" r:id="rId1504" display="http://sports.yahoo.com/nhl/players/6370"/>
    <hyperlink ref="B752" r:id="rId1505" display="http://sports.yahoo.com/nhl/teams/cgy"/>
    <hyperlink ref="A753" r:id="rId1506" display="http://sports.yahoo.com/nhl/players/4598"/>
    <hyperlink ref="B753" r:id="rId1507" display="http://sports.yahoo.com/nhl/teams/edm"/>
    <hyperlink ref="A754" r:id="rId1508" display="http://sports.yahoo.com/nhl/players/5465"/>
    <hyperlink ref="B754" r:id="rId1509" display="http://sports.yahoo.com/nhl/teams/njd"/>
    <hyperlink ref="A755" r:id="rId1510" display="http://sports.yahoo.com/nhl/players/4652"/>
    <hyperlink ref="B755" r:id="rId1511" display="http://sports.yahoo.com/nhl/teams/tor"/>
    <hyperlink ref="A756" r:id="rId1512" display="http://sports.yahoo.com/nhl/players/5296"/>
    <hyperlink ref="B756" r:id="rId1513" display="http://sports.yahoo.com/nhl/teams/njd"/>
    <hyperlink ref="A757" r:id="rId1514" display="http://sports.yahoo.com/nhl/players/5486"/>
    <hyperlink ref="B757" r:id="rId1515" display="http://sports.yahoo.com/nhl/teams/bos"/>
    <hyperlink ref="A758" r:id="rId1516" display="http://sports.yahoo.com/nhl/players/4506"/>
    <hyperlink ref="B758" r:id="rId1517" display="http://sports.yahoo.com/nhl/teams/min"/>
    <hyperlink ref="A759" r:id="rId1518" display="http://sports.yahoo.com/nhl/players/5436"/>
    <hyperlink ref="B759" r:id="rId1519" display="http://sports.yahoo.com/nhl/teams/chi"/>
    <hyperlink ref="A760" r:id="rId1520" display="http://sports.yahoo.com/nhl/players/6397"/>
    <hyperlink ref="B760" r:id="rId1521" display="http://sports.yahoo.com/nhl/teams/ari"/>
    <hyperlink ref="A761" r:id="rId1522" display="http://sports.yahoo.com/nhl/players/5013"/>
    <hyperlink ref="B761" r:id="rId1523" display="http://sports.yahoo.com/nhl/teams/mon"/>
    <hyperlink ref="A762" r:id="rId1524" display="http://sports.yahoo.com/nhl/players/5420"/>
    <hyperlink ref="B762" r:id="rId1525" display="http://sports.yahoo.com/nhl/teams/nas"/>
    <hyperlink ref="A763" r:id="rId1526" display="http://sports.yahoo.com/nhl/players/6714"/>
    <hyperlink ref="B763" r:id="rId1527" display="http://sports.yahoo.com/nhl/teams/tor"/>
    <hyperlink ref="A764" r:id="rId1528" display="http://sports.yahoo.com/nhl/players/4960"/>
    <hyperlink ref="B764" r:id="rId1529" display="http://sports.yahoo.com/nhl/teams/bos"/>
    <hyperlink ref="A765" r:id="rId1530" display="http://sports.yahoo.com/nhl/players/4946"/>
    <hyperlink ref="B765" r:id="rId1531" display="http://sports.yahoo.com/nhl/teams/wpg"/>
    <hyperlink ref="A766" r:id="rId1532" display="http://sports.yahoo.com/nhl/players/5428"/>
    <hyperlink ref="B766" r:id="rId1533" display="http://sports.yahoo.com/nhl/teams/ott"/>
    <hyperlink ref="A767" r:id="rId1534" display="http://sports.yahoo.com/nhl/players/4587"/>
    <hyperlink ref="B767" r:id="rId1535" display="http://sports.yahoo.com/nhl/teams/ari"/>
    <hyperlink ref="A768" r:id="rId1536" display="http://sports.yahoo.com/nhl/players/5515"/>
    <hyperlink ref="B768" r:id="rId1537" display="http://sports.yahoo.com/nhl/teams/van"/>
    <hyperlink ref="A769" r:id="rId1538" display="http://sports.yahoo.com/nhl/players/6368"/>
    <hyperlink ref="B769" r:id="rId1539" display="http://sports.yahoo.com/nhl/teams/buf"/>
    <hyperlink ref="A770" r:id="rId1540" display="http://sports.yahoo.com/nhl/players/4462"/>
    <hyperlink ref="B770" r:id="rId1541" display="http://sports.yahoo.com/nhl/teams/chi"/>
    <hyperlink ref="A771" r:id="rId1542" display="http://sports.yahoo.com/nhl/players/6340"/>
    <hyperlink ref="B771" r:id="rId1543" display="http://sports.yahoo.com/nhl/teams/chi"/>
    <hyperlink ref="A772" r:id="rId1544" display="http://sports.yahoo.com/nhl/players/4444"/>
    <hyperlink ref="B772" r:id="rId1545" display="http://sports.yahoo.com/nhl/teams/wpg"/>
    <hyperlink ref="A773" r:id="rId1546" display="http://sports.yahoo.com/nhl/players/4392"/>
    <hyperlink ref="B773" r:id="rId1547" display="http://sports.yahoo.com/nhl/teams/san"/>
    <hyperlink ref="A774" r:id="rId1548" display="http://sports.yahoo.com/nhl/players/6346"/>
    <hyperlink ref="B774" r:id="rId1549" display="http://sports.yahoo.com/nhl/teams/edm"/>
    <hyperlink ref="A775" r:id="rId1550" display="http://sports.yahoo.com/nhl/players/4379"/>
    <hyperlink ref="B775" r:id="rId1551" display="http://sports.yahoo.com/nhl/teams/nyr"/>
    <hyperlink ref="A776" r:id="rId1552" display="http://sports.yahoo.com/nhl/players/4920"/>
    <hyperlink ref="B776" r:id="rId1553" display="http://sports.yahoo.com/nhl/teams/van"/>
    <hyperlink ref="A777" r:id="rId1554" display="http://sports.yahoo.com/nhl/players/5401"/>
    <hyperlink ref="B777" r:id="rId1555" display="http://sports.yahoo.com/nhl/teams/fla"/>
    <hyperlink ref="A778" r:id="rId1556" display="http://sports.yahoo.com/nhl/players/5939"/>
    <hyperlink ref="B778" r:id="rId1557" display="http://sports.yahoo.com/nhl/teams/bos"/>
    <hyperlink ref="A779" r:id="rId1558" display="http://sports.yahoo.com/nhl/players/5973"/>
    <hyperlink ref="B779" r:id="rId1559" display="http://sports.yahoo.com/nhl/teams/van"/>
    <hyperlink ref="A780" r:id="rId1560" display="http://sports.yahoo.com/nhl/players/5977"/>
    <hyperlink ref="B780" r:id="rId1561" display="http://sports.yahoo.com/nhl/teams/pit"/>
    <hyperlink ref="A781" r:id="rId1562" display="http://sports.yahoo.com/nhl/players/6196"/>
    <hyperlink ref="B781" r:id="rId1563" display="http://sports.yahoo.com/nhl/teams/njd"/>
    <hyperlink ref="A782" r:id="rId1564" display="http://sports.yahoo.com/nhl/players/6718"/>
    <hyperlink ref="B782" r:id="rId1565" display="http://sports.yahoo.com/nhl/teams/chi"/>
    <hyperlink ref="A783" r:id="rId1566" display="http://sports.yahoo.com/nhl/players/5308"/>
    <hyperlink ref="B783" r:id="rId1567" display="http://sports.yahoo.com/nhl/teams/ari"/>
    <hyperlink ref="A784" r:id="rId1568" display="http://sports.yahoo.com/nhl/players/6480"/>
    <hyperlink ref="B784" r:id="rId1569" display="http://sports.yahoo.com/nhl/teams/nas"/>
    <hyperlink ref="A785" r:id="rId1570" display="http://sports.yahoo.com/nhl/players/6201"/>
    <hyperlink ref="B785" r:id="rId1571" display="http://sports.yahoo.com/nhl/teams/san"/>
    <hyperlink ref="A786" r:id="rId1572" display="http://sports.yahoo.com/nhl/players/5971"/>
    <hyperlink ref="B786" r:id="rId1573" display="http://sports.yahoo.com/nhl/teams/fla"/>
    <hyperlink ref="A787" r:id="rId1574" display="http://sports.yahoo.com/nhl/players/3703"/>
    <hyperlink ref="B787" r:id="rId1575" display="http://sports.yahoo.com/nhl/teams/tor"/>
    <hyperlink ref="A788" r:id="rId1576" display="http://sports.yahoo.com/nhl/players/6322"/>
    <hyperlink ref="B788" r:id="rId1577" display="http://sports.yahoo.com/nhl/teams/ari"/>
    <hyperlink ref="A789" r:id="rId1578" display="http://sports.yahoo.com/nhl/players/5183"/>
    <hyperlink ref="B789" r:id="rId1579" display="http://sports.yahoo.com/nhl/teams/dal"/>
    <hyperlink ref="A790" r:id="rId1580" display="http://sports.yahoo.com/nhl/players/5941"/>
    <hyperlink ref="B790" r:id="rId1581" display="http://sports.yahoo.com/nhl/teams/san"/>
    <hyperlink ref="A791" r:id="rId1582" display="http://sports.yahoo.com/nhl/players/2415"/>
    <hyperlink ref="B791" r:id="rId1583" display="http://sports.yahoo.com/nhl/teams/fla"/>
    <hyperlink ref="A792" r:id="rId1584" display="http://sports.yahoo.com/nhl/players/4896"/>
    <hyperlink ref="B792" r:id="rId1585" display="http://sports.yahoo.com/nhl/teams/mon"/>
    <hyperlink ref="A793" r:id="rId1586" display="http://sports.yahoo.com/nhl/players/3666"/>
    <hyperlink ref="B793" r:id="rId1587" display="http://sports.yahoo.com/nhl/teams/ana"/>
    <hyperlink ref="A794" r:id="rId1588" display="http://sports.yahoo.com/nhl/players/3785"/>
    <hyperlink ref="B794" r:id="rId1589" display="http://sports.yahoo.com/nhl/teams/cgy"/>
    <hyperlink ref="A795" r:id="rId1590" display="http://sports.yahoo.com/nhl/players/4842"/>
    <hyperlink ref="B795" r:id="rId1591" display="http://sports.yahoo.com/nhl/teams/was"/>
    <hyperlink ref="A796" r:id="rId1592" display="http://sports.yahoo.com/nhl/players/5358"/>
    <hyperlink ref="B796" r:id="rId1593" display="http://sports.yahoo.com/nhl/teams/fla"/>
    <hyperlink ref="A797" r:id="rId1594" display="http://sports.yahoo.com/nhl/players/4936"/>
    <hyperlink ref="B797" r:id="rId1595" display="http://sports.yahoo.com/nhl/teams/nyr"/>
    <hyperlink ref="A798" r:id="rId1596" display="http://sports.yahoo.com/nhl/players/5076"/>
    <hyperlink ref="B798" r:id="rId1597" display="http://sports.yahoo.com/nhl/teams/cgy"/>
    <hyperlink ref="A799" r:id="rId1598" display="http://sports.yahoo.com/nhl/players/4871"/>
    <hyperlink ref="B799" r:id="rId1599" display="http://sports.yahoo.com/nhl/teams/cob"/>
    <hyperlink ref="A800" r:id="rId1600" display="http://sports.yahoo.com/nhl/players/2955"/>
    <hyperlink ref="B800" r:id="rId1601" display="http://sports.yahoo.com/nhl/teams/tor"/>
    <hyperlink ref="A801" r:id="rId1602" display="http://sports.yahoo.com/nhl/players/6009"/>
    <hyperlink ref="B801" r:id="rId1603" display="http://sports.yahoo.com/nhl/teams/chi"/>
    <hyperlink ref="A802" r:id="rId1604" display="http://sports.yahoo.com/nhl/players/6063"/>
    <hyperlink ref="B802" r:id="rId1605" display="http://sports.yahoo.com/nhl/teams/edm"/>
    <hyperlink ref="A803" r:id="rId1606" display="http://sports.yahoo.com/nhl/players/5294"/>
    <hyperlink ref="B803" r:id="rId1607" display="http://sports.yahoo.com/nhl/teams/car"/>
    <hyperlink ref="A804" r:id="rId1608" display="http://sports.yahoo.com/nhl/players/1833"/>
    <hyperlink ref="B804" r:id="rId1609" display="http://sports.yahoo.com/nhl/teams/chi"/>
    <hyperlink ref="A805" r:id="rId1610" display="http://sports.yahoo.com/nhl/players/3011"/>
    <hyperlink ref="B805" r:id="rId1611" display="http://sports.yahoo.com/nhl/teams/nyr"/>
    <hyperlink ref="A806" r:id="rId1612" display="http://sports.yahoo.com/nhl/players/6357"/>
    <hyperlink ref="B806" r:id="rId1613" display="http://sports.yahoo.com/nhl/teams/cgy"/>
    <hyperlink ref="A807" r:id="rId1614" display="http://sports.yahoo.com/nhl/players/5142"/>
    <hyperlink ref="B807" r:id="rId1615" display="http://sports.yahoo.com/nhl/teams/nas"/>
    <hyperlink ref="A808" r:id="rId1616" display="http://sports.yahoo.com/nhl/players/5095"/>
    <hyperlink ref="B808" r:id="rId1617" display="http://sports.yahoo.com/nhl/teams/ana"/>
    <hyperlink ref="A809" r:id="rId1618" display="http://sports.yahoo.com/nhl/players/2753"/>
    <hyperlink ref="B809" r:id="rId1619" display="http://sports.yahoo.com/nhl/teams/cgy"/>
    <hyperlink ref="A810" r:id="rId1620" display="http://sports.yahoo.com/nhl/players/3565"/>
    <hyperlink ref="B810" r:id="rId1621" display="http://sports.yahoo.com/nhl/teams/stl"/>
    <hyperlink ref="A811" r:id="rId1622" display="http://sports.yahoo.com/nhl/players/6377"/>
    <hyperlink ref="B811" r:id="rId1623" display="http://sports.yahoo.com/nhl/teams/nas"/>
    <hyperlink ref="A812" r:id="rId1624" display="http://sports.yahoo.com/nhl/players/6353"/>
    <hyperlink ref="B812" r:id="rId1625" display="http://sports.yahoo.com/nhl/teams/car"/>
    <hyperlink ref="A813" r:id="rId1626" display="http://sports.yahoo.com/nhl/players/5078"/>
    <hyperlink ref="B813" r:id="rId1627" display="http://sports.yahoo.com/nhl/teams/car"/>
    <hyperlink ref="A814" r:id="rId1628" display="http://sports.yahoo.com/nhl/players/3291"/>
    <hyperlink ref="B814" r:id="rId1629" display="http://sports.yahoo.com/nhl/teams/cob"/>
    <hyperlink ref="A815" r:id="rId1630" display="http://sports.yahoo.com/nhl/players/5986"/>
    <hyperlink ref="B815" r:id="rId1631" display="http://sports.yahoo.com/nhl/teams/edm"/>
    <hyperlink ref="A816" r:id="rId1632" display="http://sports.yahoo.com/nhl/players/5304"/>
    <hyperlink ref="B816" r:id="rId1633" display="http://sports.yahoo.com/nhl/teams/tor"/>
    <hyperlink ref="A817" r:id="rId1634" display="http://sports.yahoo.com/nhl/players/5733"/>
    <hyperlink ref="B817" r:id="rId1635" display="http://sports.yahoo.com/nhl/teams/buf"/>
    <hyperlink ref="A818" r:id="rId1636" display="http://sports.yahoo.com/nhl/players/5252"/>
    <hyperlink ref="B818" r:id="rId1637" display="http://sports.yahoo.com/nhl/teams/phi"/>
    <hyperlink ref="A819" r:id="rId1638" display="http://sports.yahoo.com/nhl/players/5390"/>
    <hyperlink ref="B819" r:id="rId1639" display="http://sports.yahoo.com/nhl/teams/van"/>
    <hyperlink ref="A820" r:id="rId1640" display="http://sports.yahoo.com/nhl/players/4359"/>
    <hyperlink ref="B820" r:id="rId1641" display="http://sports.yahoo.com/nhl/teams/cgy"/>
    <hyperlink ref="A821" r:id="rId1642" display="http://sports.yahoo.com/nhl/players/5397"/>
    <hyperlink ref="B821" r:id="rId1643" display="http://sports.yahoo.com/nhl/teams/pit"/>
    <hyperlink ref="A822" r:id="rId1644" display="http://sports.yahoo.com/nhl/players/5596"/>
    <hyperlink ref="B822" r:id="rId1645" display="http://sports.yahoo.com/nhl/teams/wpg"/>
    <hyperlink ref="A823" r:id="rId1646" display="http://sports.yahoo.com/nhl/players/5574"/>
    <hyperlink ref="B823" r:id="rId1647" display="http://sports.yahoo.com/nhl/teams/pit"/>
    <hyperlink ref="A824" r:id="rId1648" display="http://sports.yahoo.com/nhl/players/5089"/>
    <hyperlink ref="B824" r:id="rId1649" display="http://sports.yahoo.com/nhl/teams/tor"/>
    <hyperlink ref="A825" r:id="rId1650" display="http://sports.yahoo.com/nhl/players/5021"/>
    <hyperlink ref="B825" r:id="rId1651" display="http://sports.yahoo.com/nhl/teams/edm"/>
    <hyperlink ref="A826" r:id="rId1652" display="http://sports.yahoo.com/nhl/players/4317"/>
    <hyperlink ref="B826" r:id="rId1653" display="http://sports.yahoo.com/nhl/teams/mon"/>
    <hyperlink ref="A827" r:id="rId1654" display="http://sports.yahoo.com/nhl/players/5382"/>
    <hyperlink ref="B827" r:id="rId1655" display="http://sports.yahoo.com/nhl/teams/ana"/>
    <hyperlink ref="A828" r:id="rId1656" display="http://sports.yahoo.com/nhl/players/4970"/>
    <hyperlink ref="B828" r:id="rId1657" display="http://sports.yahoo.com/nhl/teams/nyr"/>
    <hyperlink ref="A829" r:id="rId1658" display="http://sports.yahoo.com/nhl/players/5026"/>
    <hyperlink ref="B829" r:id="rId1659" display="http://sports.yahoo.com/nhl/teams/phi"/>
    <hyperlink ref="A830" r:id="rId1660" display="http://sports.yahoo.com/nhl/players/5387"/>
    <hyperlink ref="B830" r:id="rId1661" display="http://sports.yahoo.com/nhl/teams/chi"/>
    <hyperlink ref="A831" r:id="rId1662" display="http://sports.yahoo.com/nhl/players/5635"/>
    <hyperlink ref="B831" r:id="rId1663" display="http://sports.yahoo.com/nhl/teams/was"/>
    <hyperlink ref="A832" r:id="rId1664" display="http://sports.yahoo.com/nhl/players/5636"/>
    <hyperlink ref="B832" r:id="rId1665" display="http://sports.yahoo.com/nhl/teams/mon"/>
    <hyperlink ref="A833" r:id="rId1666" display="http://sports.yahoo.com/nhl/players/5558"/>
    <hyperlink ref="B833" r:id="rId1667" display="http://sports.yahoo.com/nhl/teams/car"/>
    <hyperlink ref="A834" r:id="rId1668" display="http://sports.yahoo.com/nhl/players/5556"/>
    <hyperlink ref="B834" r:id="rId1669" display="http://sports.yahoo.com/nhl/teams/min"/>
    <hyperlink ref="A835" r:id="rId1670" display="http://sports.yahoo.com/nhl/players/4546"/>
    <hyperlink ref="B835" r:id="rId1671" display="http://sports.yahoo.com/nhl/teams/cob"/>
    <hyperlink ref="A836" r:id="rId1672" display="http://sports.yahoo.com/nhl/players/5408"/>
    <hyperlink ref="B836" r:id="rId1673" display="http://sports.yahoo.com/nhl/teams/bos"/>
    <hyperlink ref="A837" r:id="rId1674" display="http://sports.yahoo.com/nhl/players/5435"/>
    <hyperlink ref="B837" r:id="rId1675" display="http://sports.yahoo.com/nhl/teams/phi"/>
    <hyperlink ref="A838" r:id="rId1676" display="http://sports.yahoo.com/nhl/players/5424"/>
    <hyperlink ref="B838" r:id="rId1677" display="http://sports.yahoo.com/nhl/teams/cgy"/>
    <hyperlink ref="A839" r:id="rId1678" display="http://sports.yahoo.com/nhl/players/5259"/>
    <hyperlink ref="B839" r:id="rId1679" display="http://sports.yahoo.com/nhl/teams/nyi"/>
    <hyperlink ref="A840" r:id="rId1680" display="http://sports.yahoo.com/nhl/players/4569"/>
    <hyperlink ref="B840" r:id="rId1681" display="http://sports.yahoo.com/nhl/teams/ari"/>
    <hyperlink ref="A841" r:id="rId1682" display="http://sports.yahoo.com/nhl/players/4567"/>
    <hyperlink ref="B841" r:id="rId1683" display="http://sports.yahoo.com/nhl/teams/san"/>
    <hyperlink ref="A842" r:id="rId1684" display="http://sports.yahoo.com/nhl/players/5439"/>
    <hyperlink ref="B842" r:id="rId1685" display="http://sports.yahoo.com/nhl/teams/car"/>
    <hyperlink ref="A843" r:id="rId1686" display="http://sports.yahoo.com/nhl/players/5264"/>
    <hyperlink ref="B843" r:id="rId1687" display="http://sports.yahoo.com/nhl/teams/phi"/>
    <hyperlink ref="A844" r:id="rId1688" display="http://sports.yahoo.com/nhl/players/5509"/>
    <hyperlink ref="B844" r:id="rId1689" display="http://sports.yahoo.com/nhl/teams/pit"/>
    <hyperlink ref="A845" r:id="rId1690" display="http://sports.yahoo.com/nhl/players/4489"/>
    <hyperlink ref="B845" r:id="rId1691" display="http://sports.yahoo.com/nhl/teams/col"/>
    <hyperlink ref="A846" r:id="rId1692" display="http://sports.yahoo.com/nhl/players/5508"/>
    <hyperlink ref="B846" r:id="rId1693" display="http://sports.yahoo.com/nhl/teams/ana"/>
    <hyperlink ref="A847" r:id="rId1694" display="http://sports.yahoo.com/nhl/players/4507"/>
    <hyperlink ref="B847" r:id="rId1695" display="http://sports.yahoo.com/nhl/teams/ari"/>
    <hyperlink ref="A848" r:id="rId1696" display="http://sports.yahoo.com/nhl/players/4530"/>
    <hyperlink ref="B848" r:id="rId1697" display="http://sports.yahoo.com/nhl/teams/mon"/>
    <hyperlink ref="A849" r:id="rId1698" display="http://sports.yahoo.com/nhl/players/4512"/>
    <hyperlink ref="B849" r:id="rId1699" display="http://sports.yahoo.com/nhl/teams/pit"/>
    <hyperlink ref="A850" r:id="rId1700" display="http://sports.yahoo.com/nhl/players/4705"/>
    <hyperlink ref="B850" r:id="rId1701" display="http://sports.yahoo.com/nhl/teams/col"/>
    <hyperlink ref="A851" r:id="rId1702" display="http://sports.yahoo.com/nhl/players/5030"/>
    <hyperlink ref="B851" r:id="rId1703" display="http://sports.yahoo.com/nhl/teams/nyr"/>
    <hyperlink ref="A852" r:id="rId1704" display="http://sports.yahoo.com/nhl/players/5769"/>
    <hyperlink ref="B852" r:id="rId1705" display="http://sports.yahoo.com/nhl/teams/phi"/>
    <hyperlink ref="A853" r:id="rId1706" display="http://sports.yahoo.com/nhl/players/3899"/>
    <hyperlink ref="B853" r:id="rId1707" display="http://sports.yahoo.com/nhl/teams/tam"/>
    <hyperlink ref="A854" r:id="rId1708" display="http://sports.yahoo.com/nhl/players/5795"/>
    <hyperlink ref="B854" r:id="rId1709" display="http://sports.yahoo.com/nhl/teams/cgy"/>
    <hyperlink ref="A855" r:id="rId1710" display="http://sports.yahoo.com/nhl/players/4777"/>
    <hyperlink ref="B855" r:id="rId1711" display="http://sports.yahoo.com/nhl/teams/wpg"/>
    <hyperlink ref="A856" r:id="rId1712" display="http://sports.yahoo.com/nhl/players/5716"/>
    <hyperlink ref="B856" r:id="rId1713" display="http://sports.yahoo.com/nhl/teams/col"/>
    <hyperlink ref="A857" r:id="rId1714" display="http://sports.yahoo.com/nhl/players/3974"/>
    <hyperlink ref="B857" r:id="rId1715" display="http://sports.yahoo.com/nhl/teams/bos"/>
    <hyperlink ref="A858" r:id="rId1716" display="http://sports.yahoo.com/nhl/players/5715"/>
    <hyperlink ref="B858" r:id="rId1717" display="http://sports.yahoo.com/nhl/teams/van"/>
    <hyperlink ref="A859" r:id="rId1718" display="http://sports.yahoo.com/nhl/players/5819"/>
    <hyperlink ref="B859" r:id="rId1719" display="http://sports.yahoo.com/nhl/teams/car"/>
    <hyperlink ref="A860" r:id="rId1720" display="http://sports.yahoo.com/nhl/players/4780"/>
    <hyperlink ref="B860" r:id="rId1721" display="http://sports.yahoo.com/nhl/teams/fla"/>
    <hyperlink ref="A861" r:id="rId1722" display="http://sports.yahoo.com/nhl/players/5372"/>
    <hyperlink ref="B861" r:id="rId1723" display="http://sports.yahoo.com/nhl/teams/col"/>
    <hyperlink ref="A862" r:id="rId1724" display="http://sports.yahoo.com/nhl/players/5929"/>
    <hyperlink ref="B862" r:id="rId1725" display="http://sports.yahoo.com/nhl/teams/tam"/>
    <hyperlink ref="A863" r:id="rId1726" display="http://sports.yahoo.com/nhl/players/5926"/>
    <hyperlink ref="B863" r:id="rId1727" display="http://sports.yahoo.com/nhl/teams/nyr"/>
    <hyperlink ref="A864" r:id="rId1728" display="http://sports.yahoo.com/nhl/players/3890"/>
    <hyperlink ref="B864" r:id="rId1729" display="http://sports.yahoo.com/nhl/teams/los"/>
    <hyperlink ref="A865" r:id="rId1730" display="http://sports.yahoo.com/nhl/players/5881"/>
    <hyperlink ref="B865" r:id="rId1731" display="http://sports.yahoo.com/nhl/teams/col"/>
    <hyperlink ref="A866" r:id="rId1732" display="http://sports.yahoo.com/nhl/players/5912"/>
    <hyperlink ref="B866" r:id="rId1733" display="http://sports.yahoo.com/nhl/teams/was"/>
    <hyperlink ref="A867" r:id="rId1734" display="http://sports.yahoo.com/nhl/players/5377"/>
    <hyperlink ref="B867" r:id="rId1735" display="http://sports.yahoo.com/nhl/teams/wpg"/>
    <hyperlink ref="A868" r:id="rId1736" display="http://sports.yahoo.com/nhl/players/3976"/>
    <hyperlink ref="B868" r:id="rId1737" display="http://sports.yahoo.com/nhl/teams/phi"/>
    <hyperlink ref="A869" r:id="rId1738" display="http://sports.yahoo.com/nhl/players/5690"/>
    <hyperlink ref="B869" r:id="rId1739" display="http://sports.yahoo.com/nhl/teams/tam"/>
    <hyperlink ref="A870" r:id="rId1740" display="http://sports.yahoo.com/nhl/players/4127"/>
    <hyperlink ref="B870" r:id="rId1741" display="http://sports.yahoo.com/nhl/teams/dal"/>
    <hyperlink ref="A871" r:id="rId1742" display="http://sports.yahoo.com/nhl/players/5213"/>
    <hyperlink ref="B871" r:id="rId1743" display="http://sports.yahoo.com/nhl/teams/col"/>
    <hyperlink ref="A872" r:id="rId1744" display="http://sports.yahoo.com/nhl/players/5220"/>
    <hyperlink ref="B872" r:id="rId1745" display="http://sports.yahoo.com/nhl/teams/col"/>
    <hyperlink ref="A873" r:id="rId1746" display="http://sports.yahoo.com/nhl/players/4134"/>
    <hyperlink ref="B873" r:id="rId1747" display="http://sports.yahoo.com/nhl/teams/nas"/>
    <hyperlink ref="A874" r:id="rId1748" display="http://sports.yahoo.com/nhl/players/5035"/>
    <hyperlink ref="B874" r:id="rId1749" display="http://sports.yahoo.com/nhl/teams/tor"/>
    <hyperlink ref="A875" r:id="rId1750" display="http://sports.yahoo.com/nhl/players/4137"/>
    <hyperlink ref="B875" r:id="rId1751" display="http://sports.yahoo.com/nhl/teams/nas"/>
    <hyperlink ref="A876" r:id="rId1752" display="http://sports.yahoo.com/nhl/players/4067"/>
    <hyperlink ref="B876" r:id="rId1753" display="http://sports.yahoo.com/nhl/teams/chi"/>
    <hyperlink ref="A877" r:id="rId1754" display="http://sports.yahoo.com/nhl/players/4057"/>
    <hyperlink ref="B877" r:id="rId1755" display="http://sports.yahoo.com/nhl/teams/san"/>
    <hyperlink ref="A878" r:id="rId1756" display="http://sports.yahoo.com/nhl/players/3977"/>
    <hyperlink ref="B878" r:id="rId1757" display="http://sports.yahoo.com/nhl/teams/was"/>
    <hyperlink ref="A879" r:id="rId1758" display="http://sports.yahoo.com/nhl/players/5707"/>
    <hyperlink ref="B879" r:id="rId1759" display="http://sports.yahoo.com/nhl/teams/ari"/>
    <hyperlink ref="A880" r:id="rId1760" display="http://sports.yahoo.com/nhl/players/5266"/>
    <hyperlink ref="B880" r:id="rId1761" display="http://sports.yahoo.com/nhl/teams/nyr"/>
    <hyperlink ref="A881" r:id="rId1762" display="http://sports.yahoo.com/nhl/players/5037"/>
    <hyperlink ref="B881" r:id="rId1763" display="http://sports.yahoo.com/nhl/teams/cgy"/>
    <hyperlink ref="A882" r:id="rId1764" display="http://sports.yahoo.com/nhl/players/4709"/>
    <hyperlink ref="B882" r:id="rId1765" display="http://sports.yahoo.com/nhl/teams/tam"/>
    <hyperlink ref="A883" r:id="rId1766" display="http://sports.yahoo.com/nhl/players/4018"/>
    <hyperlink ref="B883" r:id="rId1767" display="http://sports.yahoo.com/nhl/teams/tam"/>
    <hyperlink ref="A884" r:id="rId1768" display="http://sports.yahoo.com/nhl/players/5187"/>
    <hyperlink ref="B884" r:id="rId1769" display="http://sports.yahoo.com/nhl/teams/buf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S503"/>
  <sheetViews>
    <sheetView zoomScale="75" zoomScaleNormal="75" workbookViewId="0">
      <selection activeCell="C18" sqref="C18"/>
    </sheetView>
  </sheetViews>
  <sheetFormatPr defaultRowHeight="15"/>
  <cols>
    <col min="1" max="1" width="9.140625" style="29"/>
    <col min="2" max="2" width="18.140625" style="29" bestFit="1" customWidth="1"/>
    <col min="3" max="5" width="9.140625" style="29"/>
    <col min="6" max="6" width="2.42578125" style="29" customWidth="1"/>
    <col min="7" max="10" width="9.140625" style="29"/>
    <col min="11" max="11" width="10.5703125" style="29" bestFit="1" customWidth="1"/>
    <col min="12" max="12" width="10.5703125" style="29" customWidth="1"/>
    <col min="13" max="13" width="10.140625" style="29" bestFit="1" customWidth="1"/>
    <col min="14" max="14" width="10.7109375" style="29" bestFit="1" customWidth="1"/>
    <col min="15" max="15" width="10.7109375" style="29" customWidth="1"/>
    <col min="16" max="16" width="7.5703125" style="29" bestFit="1" customWidth="1"/>
    <col min="17" max="17" width="9.140625" style="29"/>
    <col min="18" max="18" width="10.7109375" style="29" bestFit="1" customWidth="1"/>
    <col min="19" max="19" width="10.7109375" style="29" customWidth="1"/>
    <col min="20" max="20" width="7.5703125" style="29" bestFit="1" customWidth="1"/>
    <col min="21" max="21" width="7.5703125" style="29" customWidth="1"/>
    <col min="22" max="22" width="10.7109375" style="29" bestFit="1" customWidth="1"/>
    <col min="23" max="23" width="10.7109375" style="29" customWidth="1"/>
    <col min="24" max="24" width="7.5703125" style="29" bestFit="1" customWidth="1"/>
    <col min="25" max="25" width="7.5703125" style="29" customWidth="1"/>
    <col min="26" max="26" width="10.7109375" style="29" bestFit="1" customWidth="1"/>
    <col min="27" max="27" width="10.7109375" style="29" customWidth="1"/>
    <col min="28" max="28" width="7.5703125" style="29" bestFit="1" customWidth="1"/>
    <col min="29" max="29" width="7.5703125" style="29" customWidth="1"/>
    <col min="30" max="30" width="10.7109375" style="29" bestFit="1" customWidth="1"/>
    <col min="31" max="31" width="10.7109375" style="29" customWidth="1"/>
    <col min="32" max="32" width="7.5703125" style="29" bestFit="1" customWidth="1"/>
    <col min="33" max="33" width="7.5703125" style="29" customWidth="1"/>
    <col min="34" max="34" width="10.7109375" style="29" bestFit="1" customWidth="1"/>
    <col min="35" max="35" width="10.7109375" style="29" customWidth="1"/>
    <col min="36" max="36" width="7.5703125" style="29" bestFit="1" customWidth="1"/>
    <col min="37" max="37" width="7.5703125" style="29" customWidth="1"/>
    <col min="38" max="38" width="10.7109375" style="29" bestFit="1" customWidth="1"/>
    <col min="39" max="39" width="10.7109375" style="29" customWidth="1"/>
    <col min="40" max="41" width="7.5703125" style="29" bestFit="1" customWidth="1"/>
    <col min="42" max="42" width="11.85546875" style="29" bestFit="1" customWidth="1"/>
    <col min="43" max="43" width="15.7109375" style="29" bestFit="1" customWidth="1"/>
    <col min="44" max="58" width="11.85546875" style="29" customWidth="1"/>
    <col min="59" max="86" width="9.140625" style="29"/>
    <col min="87" max="87" width="7.5703125" style="29" bestFit="1" customWidth="1"/>
    <col min="88" max="88" width="12.5703125" style="29" customWidth="1"/>
    <col min="89" max="89" width="15.7109375" style="29" bestFit="1" customWidth="1"/>
    <col min="90" max="90" width="7.5703125" style="29" customWidth="1"/>
    <col min="91" max="91" width="12.28515625" style="29" bestFit="1" customWidth="1"/>
    <col min="92" max="92" width="12.140625" style="29" bestFit="1" customWidth="1"/>
    <col min="93" max="93" width="7.5703125" style="29" customWidth="1"/>
    <col min="94" max="94" width="11" style="29" bestFit="1" customWidth="1"/>
    <col min="95" max="95" width="9.85546875" style="29" bestFit="1" customWidth="1"/>
    <col min="96" max="96" width="9.85546875" style="29" customWidth="1"/>
    <col min="97" max="100" width="7.5703125" style="29" customWidth="1"/>
    <col min="101" max="129" width="9.140625" style="29"/>
    <col min="130" max="130" width="15.7109375" style="29" bestFit="1" customWidth="1"/>
    <col min="131" max="132" width="9.140625" style="29"/>
    <col min="133" max="133" width="12.28515625" style="29" bestFit="1" customWidth="1"/>
    <col min="134" max="134" width="11" style="29" bestFit="1" customWidth="1"/>
    <col min="135" max="135" width="11" style="29" customWidth="1"/>
    <col min="136" max="141" width="9.140625" style="29"/>
    <col min="142" max="142" width="13.85546875" style="29" bestFit="1" customWidth="1"/>
    <col min="143" max="147" width="9.140625" style="29"/>
    <col min="148" max="148" width="11.42578125" style="29" bestFit="1" customWidth="1"/>
    <col min="149" max="174" width="9.140625" style="29"/>
    <col min="175" max="175" width="18.5703125" style="29" bestFit="1" customWidth="1"/>
    <col min="176" max="16384" width="9.140625" style="29"/>
  </cols>
  <sheetData>
    <row r="1" spans="1:175" ht="15.75" thickBot="1">
      <c r="G1" s="47" t="s">
        <v>192</v>
      </c>
      <c r="H1" s="48" t="s">
        <v>251</v>
      </c>
      <c r="I1" s="26" t="s">
        <v>266</v>
      </c>
      <c r="L1" s="36"/>
      <c r="M1" s="104" t="s">
        <v>260</v>
      </c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26"/>
      <c r="BC1" s="47"/>
      <c r="BD1" s="48"/>
      <c r="BE1" s="48"/>
      <c r="BF1" s="48"/>
      <c r="BG1" s="104" t="s">
        <v>261</v>
      </c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26"/>
      <c r="CS1" s="47"/>
      <c r="CT1" s="48"/>
      <c r="CU1" s="48"/>
      <c r="CV1" s="48"/>
      <c r="CW1" s="102" t="s">
        <v>262</v>
      </c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  <c r="DU1" s="102"/>
      <c r="DV1" s="102"/>
      <c r="DW1" s="102"/>
      <c r="DX1" s="102"/>
      <c r="DY1" s="26"/>
      <c r="EF1" s="39"/>
      <c r="EG1" s="47"/>
      <c r="EH1" s="48"/>
      <c r="EI1" s="48"/>
      <c r="EJ1" s="48"/>
      <c r="EK1" s="48"/>
      <c r="EL1" s="48"/>
      <c r="EM1" s="102" t="s">
        <v>263</v>
      </c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2"/>
      <c r="FG1" s="102"/>
      <c r="FH1" s="102"/>
      <c r="FI1" s="102"/>
      <c r="FJ1" s="102"/>
      <c r="FK1" s="102"/>
      <c r="FL1" s="102"/>
      <c r="FM1" s="102"/>
      <c r="FN1" s="102"/>
      <c r="FO1" s="48"/>
      <c r="FP1" s="26"/>
    </row>
    <row r="2" spans="1:175" ht="15.75" thickBot="1">
      <c r="G2" s="27">
        <v>0.8</v>
      </c>
      <c r="H2" s="49">
        <v>0.05</v>
      </c>
      <c r="I2" s="33">
        <v>2.6656666666666666</v>
      </c>
      <c r="M2" s="105" t="s">
        <v>253</v>
      </c>
      <c r="N2" s="103"/>
      <c r="O2" s="103"/>
      <c r="P2" s="103"/>
      <c r="Q2" s="103" t="s">
        <v>254</v>
      </c>
      <c r="R2" s="103"/>
      <c r="S2" s="103"/>
      <c r="T2" s="103"/>
      <c r="U2" s="103" t="s">
        <v>255</v>
      </c>
      <c r="V2" s="103"/>
      <c r="W2" s="103"/>
      <c r="X2" s="103"/>
      <c r="Y2" s="103" t="s">
        <v>256</v>
      </c>
      <c r="Z2" s="103"/>
      <c r="AA2" s="103"/>
      <c r="AB2" s="103"/>
      <c r="AC2" s="103" t="s">
        <v>257</v>
      </c>
      <c r="AD2" s="103"/>
      <c r="AE2" s="103"/>
      <c r="AF2" s="103"/>
      <c r="AG2" s="103" t="s">
        <v>258</v>
      </c>
      <c r="AH2" s="103"/>
      <c r="AI2" s="103"/>
      <c r="AJ2" s="103"/>
      <c r="AK2" s="103" t="s">
        <v>259</v>
      </c>
      <c r="AL2" s="103"/>
      <c r="AM2" s="103"/>
      <c r="AN2" s="103"/>
      <c r="AO2" s="31" t="s">
        <v>252</v>
      </c>
      <c r="AR2" s="104" t="s">
        <v>303</v>
      </c>
      <c r="AS2" s="102"/>
      <c r="AT2" s="102"/>
      <c r="AU2" s="102"/>
      <c r="AV2" s="108"/>
      <c r="AW2" s="104" t="s">
        <v>304</v>
      </c>
      <c r="AX2" s="102"/>
      <c r="AY2" s="102"/>
      <c r="AZ2" s="102"/>
      <c r="BA2" s="108"/>
      <c r="BB2" s="71"/>
      <c r="BG2" s="105" t="s">
        <v>253</v>
      </c>
      <c r="BH2" s="103"/>
      <c r="BI2" s="103"/>
      <c r="BJ2" s="103"/>
      <c r="BK2" s="103" t="s">
        <v>254</v>
      </c>
      <c r="BL2" s="103"/>
      <c r="BM2" s="103"/>
      <c r="BN2" s="103"/>
      <c r="BO2" s="103" t="s">
        <v>255</v>
      </c>
      <c r="BP2" s="103"/>
      <c r="BQ2" s="103"/>
      <c r="BR2" s="103"/>
      <c r="BS2" s="103" t="s">
        <v>256</v>
      </c>
      <c r="BT2" s="103"/>
      <c r="BU2" s="103"/>
      <c r="BV2" s="103"/>
      <c r="BW2" s="103" t="s">
        <v>257</v>
      </c>
      <c r="BX2" s="103"/>
      <c r="BY2" s="103"/>
      <c r="BZ2" s="103"/>
      <c r="CA2" s="103" t="s">
        <v>258</v>
      </c>
      <c r="CB2" s="103"/>
      <c r="CC2" s="103"/>
      <c r="CD2" s="103"/>
      <c r="CE2" s="103" t="s">
        <v>259</v>
      </c>
      <c r="CF2" s="103"/>
      <c r="CG2" s="103"/>
      <c r="CH2" s="103"/>
      <c r="CI2" s="31" t="s">
        <v>252</v>
      </c>
      <c r="CL2" s="104" t="s">
        <v>305</v>
      </c>
      <c r="CM2" s="102"/>
      <c r="CN2" s="108"/>
      <c r="CO2" s="104" t="s">
        <v>306</v>
      </c>
      <c r="CP2" s="102"/>
      <c r="CQ2" s="108"/>
      <c r="CR2" s="71"/>
      <c r="CS2" s="28"/>
      <c r="CW2" s="103" t="s">
        <v>253</v>
      </c>
      <c r="CX2" s="103"/>
      <c r="CY2" s="103"/>
      <c r="CZ2" s="103"/>
      <c r="DA2" s="103" t="s">
        <v>254</v>
      </c>
      <c r="DB2" s="103"/>
      <c r="DC2" s="103"/>
      <c r="DD2" s="103"/>
      <c r="DE2" s="103" t="s">
        <v>255</v>
      </c>
      <c r="DF2" s="103"/>
      <c r="DG2" s="103"/>
      <c r="DH2" s="103"/>
      <c r="DI2" s="103" t="s">
        <v>256</v>
      </c>
      <c r="DJ2" s="103"/>
      <c r="DK2" s="103"/>
      <c r="DL2" s="103"/>
      <c r="DM2" s="103" t="s">
        <v>257</v>
      </c>
      <c r="DN2" s="103"/>
      <c r="DO2" s="103"/>
      <c r="DP2" s="103"/>
      <c r="DQ2" s="103" t="s">
        <v>258</v>
      </c>
      <c r="DR2" s="103"/>
      <c r="DS2" s="103"/>
      <c r="DT2" s="103"/>
      <c r="DU2" s="103" t="s">
        <v>259</v>
      </c>
      <c r="DV2" s="103"/>
      <c r="DW2" s="103"/>
      <c r="DX2" s="103"/>
      <c r="DY2" s="31" t="s">
        <v>252</v>
      </c>
      <c r="DZ2" s="29" t="s">
        <v>312</v>
      </c>
      <c r="EB2" s="47"/>
      <c r="EC2" s="102" t="s">
        <v>264</v>
      </c>
      <c r="ED2" s="108"/>
      <c r="EE2" s="57"/>
      <c r="EG2" s="28"/>
      <c r="EM2" s="103" t="s">
        <v>253</v>
      </c>
      <c r="EN2" s="103"/>
      <c r="EO2" s="103"/>
      <c r="EP2" s="103"/>
      <c r="EQ2" s="103" t="s">
        <v>254</v>
      </c>
      <c r="ER2" s="103"/>
      <c r="ES2" s="103"/>
      <c r="ET2" s="103"/>
      <c r="EU2" s="103"/>
      <c r="EV2" s="103" t="s">
        <v>255</v>
      </c>
      <c r="EW2" s="103"/>
      <c r="EX2" s="103"/>
      <c r="EY2" s="103"/>
      <c r="EZ2" s="103" t="s">
        <v>256</v>
      </c>
      <c r="FA2" s="103"/>
      <c r="FB2" s="103"/>
      <c r="FC2" s="103"/>
      <c r="FD2" s="103" t="s">
        <v>257</v>
      </c>
      <c r="FE2" s="103"/>
      <c r="FF2" s="103"/>
      <c r="FG2" s="103"/>
      <c r="FH2" s="103" t="s">
        <v>258</v>
      </c>
      <c r="FI2" s="103"/>
      <c r="FJ2" s="103"/>
      <c r="FK2" s="103"/>
      <c r="FL2" s="103" t="s">
        <v>259</v>
      </c>
      <c r="FM2" s="103"/>
      <c r="FN2" s="103"/>
      <c r="FO2" s="29" t="s">
        <v>252</v>
      </c>
      <c r="FP2" s="31"/>
      <c r="FQ2" s="29" t="s">
        <v>312</v>
      </c>
      <c r="FS2" s="34" t="s">
        <v>302</v>
      </c>
    </row>
    <row r="3" spans="1:175">
      <c r="A3" s="34" t="s">
        <v>228</v>
      </c>
      <c r="B3" s="34" t="s">
        <v>193</v>
      </c>
      <c r="C3" s="34" t="s">
        <v>176</v>
      </c>
      <c r="D3" s="34" t="s">
        <v>226</v>
      </c>
      <c r="E3" s="34" t="s">
        <v>227</v>
      </c>
      <c r="F3" s="30"/>
      <c r="G3" s="34" t="s">
        <v>245</v>
      </c>
      <c r="H3" s="34" t="s">
        <v>246</v>
      </c>
      <c r="I3" s="34" t="s">
        <v>247</v>
      </c>
      <c r="J3" s="34" t="s">
        <v>250</v>
      </c>
      <c r="K3" s="34" t="s">
        <v>265</v>
      </c>
      <c r="L3" s="34" t="s">
        <v>267</v>
      </c>
      <c r="M3" s="50" t="s">
        <v>269</v>
      </c>
      <c r="N3" s="34" t="s">
        <v>249</v>
      </c>
      <c r="O3" s="34" t="s">
        <v>268</v>
      </c>
      <c r="P3" s="54" t="s">
        <v>252</v>
      </c>
      <c r="Q3" s="34" t="s">
        <v>248</v>
      </c>
      <c r="R3" s="34" t="s">
        <v>249</v>
      </c>
      <c r="S3" s="34" t="s">
        <v>268</v>
      </c>
      <c r="T3" s="54" t="s">
        <v>252</v>
      </c>
      <c r="U3" s="34" t="s">
        <v>248</v>
      </c>
      <c r="V3" s="34" t="s">
        <v>249</v>
      </c>
      <c r="W3" s="34" t="s">
        <v>268</v>
      </c>
      <c r="X3" s="54" t="s">
        <v>252</v>
      </c>
      <c r="Y3" s="34" t="s">
        <v>248</v>
      </c>
      <c r="Z3" s="34" t="s">
        <v>249</v>
      </c>
      <c r="AA3" s="34" t="s">
        <v>268</v>
      </c>
      <c r="AB3" s="54" t="s">
        <v>252</v>
      </c>
      <c r="AC3" s="34" t="s">
        <v>248</v>
      </c>
      <c r="AD3" s="34" t="s">
        <v>249</v>
      </c>
      <c r="AE3" s="34" t="s">
        <v>268</v>
      </c>
      <c r="AF3" s="54" t="s">
        <v>252</v>
      </c>
      <c r="AG3" s="34" t="s">
        <v>248</v>
      </c>
      <c r="AH3" s="34" t="s">
        <v>249</v>
      </c>
      <c r="AI3" s="34" t="s">
        <v>268</v>
      </c>
      <c r="AJ3" s="54" t="s">
        <v>252</v>
      </c>
      <c r="AK3" s="34" t="s">
        <v>248</v>
      </c>
      <c r="AL3" s="34" t="s">
        <v>249</v>
      </c>
      <c r="AM3" s="34" t="s">
        <v>268</v>
      </c>
      <c r="AN3" s="54" t="s">
        <v>252</v>
      </c>
      <c r="AO3" s="31"/>
      <c r="AQ3" s="34" t="s">
        <v>312</v>
      </c>
      <c r="AR3" s="28"/>
      <c r="AS3" s="29" t="s">
        <v>253</v>
      </c>
      <c r="AT3" s="29" t="s">
        <v>254</v>
      </c>
      <c r="AU3" s="29" t="s">
        <v>255</v>
      </c>
      <c r="AV3" s="53" t="s">
        <v>256</v>
      </c>
      <c r="AW3" s="38"/>
      <c r="AX3" s="35" t="s">
        <v>253</v>
      </c>
      <c r="AY3" s="35" t="s">
        <v>254</v>
      </c>
      <c r="AZ3" s="35" t="s">
        <v>255</v>
      </c>
      <c r="BA3" s="53" t="s">
        <v>256</v>
      </c>
      <c r="BB3" s="35"/>
      <c r="BC3" s="34" t="s">
        <v>270</v>
      </c>
      <c r="BD3" s="34" t="s">
        <v>226</v>
      </c>
      <c r="BE3" s="34" t="s">
        <v>227</v>
      </c>
      <c r="BF3" s="34" t="s">
        <v>267</v>
      </c>
      <c r="BG3" s="50" t="s">
        <v>248</v>
      </c>
      <c r="BH3" s="34" t="s">
        <v>249</v>
      </c>
      <c r="BI3" s="34" t="s">
        <v>268</v>
      </c>
      <c r="BJ3" s="54" t="s">
        <v>252</v>
      </c>
      <c r="BK3" s="34" t="s">
        <v>248</v>
      </c>
      <c r="BL3" s="34" t="s">
        <v>249</v>
      </c>
      <c r="BM3" s="34" t="s">
        <v>268</v>
      </c>
      <c r="BN3" s="54" t="s">
        <v>252</v>
      </c>
      <c r="BO3" s="34" t="s">
        <v>248</v>
      </c>
      <c r="BP3" s="34" t="s">
        <v>249</v>
      </c>
      <c r="BQ3" s="34" t="s">
        <v>268</v>
      </c>
      <c r="BR3" s="54" t="s">
        <v>252</v>
      </c>
      <c r="BS3" s="34" t="s">
        <v>248</v>
      </c>
      <c r="BT3" s="34" t="s">
        <v>249</v>
      </c>
      <c r="BU3" s="34"/>
      <c r="BV3" s="54" t="s">
        <v>252</v>
      </c>
      <c r="BW3" s="34" t="s">
        <v>248</v>
      </c>
      <c r="BX3" s="34" t="s">
        <v>249</v>
      </c>
      <c r="BY3" s="34" t="s">
        <v>268</v>
      </c>
      <c r="BZ3" s="54" t="s">
        <v>252</v>
      </c>
      <c r="CA3" s="34" t="s">
        <v>248</v>
      </c>
      <c r="CB3" s="34" t="s">
        <v>249</v>
      </c>
      <c r="CC3" s="34" t="s">
        <v>268</v>
      </c>
      <c r="CD3" s="54" t="s">
        <v>252</v>
      </c>
      <c r="CE3" s="34" t="s">
        <v>248</v>
      </c>
      <c r="CF3" s="34" t="s">
        <v>249</v>
      </c>
      <c r="CG3" s="34" t="s">
        <v>268</v>
      </c>
      <c r="CH3" s="54" t="s">
        <v>252</v>
      </c>
      <c r="CI3" s="31"/>
      <c r="CK3" s="34" t="s">
        <v>312</v>
      </c>
      <c r="CL3" s="28"/>
      <c r="CM3" s="29" t="s">
        <v>253</v>
      </c>
      <c r="CN3" s="31" t="s">
        <v>254</v>
      </c>
      <c r="CO3" s="28"/>
      <c r="CP3" s="29" t="s">
        <v>253</v>
      </c>
      <c r="CQ3" s="53" t="s">
        <v>254</v>
      </c>
      <c r="CR3" s="35"/>
      <c r="CS3" s="50" t="s">
        <v>270</v>
      </c>
      <c r="CT3" s="34" t="s">
        <v>226</v>
      </c>
      <c r="CU3" s="34" t="s">
        <v>227</v>
      </c>
      <c r="CV3" s="34" t="s">
        <v>267</v>
      </c>
      <c r="CW3" s="34" t="s">
        <v>248</v>
      </c>
      <c r="CX3" s="34" t="s">
        <v>249</v>
      </c>
      <c r="CY3" s="34" t="s">
        <v>268</v>
      </c>
      <c r="CZ3" s="54" t="s">
        <v>252</v>
      </c>
      <c r="DA3" s="34" t="s">
        <v>248</v>
      </c>
      <c r="DB3" s="34" t="s">
        <v>249</v>
      </c>
      <c r="DC3" s="34" t="s">
        <v>268</v>
      </c>
      <c r="DD3" s="54" t="s">
        <v>252</v>
      </c>
      <c r="DE3" s="34" t="s">
        <v>248</v>
      </c>
      <c r="DF3" s="34" t="s">
        <v>249</v>
      </c>
      <c r="DG3" s="34" t="s">
        <v>268</v>
      </c>
      <c r="DH3" s="54" t="s">
        <v>252</v>
      </c>
      <c r="DI3" s="34" t="s">
        <v>248</v>
      </c>
      <c r="DJ3" s="34" t="s">
        <v>249</v>
      </c>
      <c r="DK3" s="34" t="s">
        <v>268</v>
      </c>
      <c r="DL3" s="54" t="s">
        <v>252</v>
      </c>
      <c r="DM3" s="34" t="s">
        <v>248</v>
      </c>
      <c r="DN3" s="34" t="s">
        <v>249</v>
      </c>
      <c r="DO3" s="34" t="s">
        <v>268</v>
      </c>
      <c r="DP3" s="54" t="s">
        <v>252</v>
      </c>
      <c r="DQ3" s="34" t="s">
        <v>248</v>
      </c>
      <c r="DR3" s="34" t="s">
        <v>249</v>
      </c>
      <c r="DS3" s="34" t="s">
        <v>268</v>
      </c>
      <c r="DT3" s="54" t="s">
        <v>252</v>
      </c>
      <c r="DU3" s="34" t="s">
        <v>248</v>
      </c>
      <c r="DV3" s="34" t="s">
        <v>249</v>
      </c>
      <c r="DW3" s="34" t="s">
        <v>268</v>
      </c>
      <c r="DX3" s="54" t="s">
        <v>252</v>
      </c>
      <c r="DY3" s="31"/>
      <c r="EB3" s="28"/>
      <c r="EC3" s="29" t="s">
        <v>228</v>
      </c>
      <c r="ED3" s="31" t="s">
        <v>229</v>
      </c>
      <c r="EG3" s="28"/>
      <c r="EI3" s="34" t="s">
        <v>270</v>
      </c>
      <c r="EJ3" s="34" t="s">
        <v>226</v>
      </c>
      <c r="EK3" s="34" t="s">
        <v>227</v>
      </c>
      <c r="EL3" s="34" t="s">
        <v>267</v>
      </c>
      <c r="EM3" s="34" t="s">
        <v>248</v>
      </c>
      <c r="EN3" s="34" t="s">
        <v>249</v>
      </c>
      <c r="EO3" s="34" t="s">
        <v>268</v>
      </c>
      <c r="EP3" s="54" t="s">
        <v>252</v>
      </c>
      <c r="EQ3" s="34" t="s">
        <v>248</v>
      </c>
      <c r="ER3" s="34" t="s">
        <v>249</v>
      </c>
      <c r="ES3" s="34"/>
      <c r="ET3" s="34" t="s">
        <v>268</v>
      </c>
      <c r="EU3" s="54" t="s">
        <v>252</v>
      </c>
      <c r="EV3" s="34" t="s">
        <v>248</v>
      </c>
      <c r="EW3" s="34" t="s">
        <v>249</v>
      </c>
      <c r="EX3" s="34" t="s">
        <v>268</v>
      </c>
      <c r="EY3" s="54" t="s">
        <v>252</v>
      </c>
      <c r="EZ3" s="34" t="s">
        <v>248</v>
      </c>
      <c r="FA3" s="34" t="s">
        <v>249</v>
      </c>
      <c r="FB3" s="34" t="s">
        <v>268</v>
      </c>
      <c r="FC3" s="54" t="s">
        <v>252</v>
      </c>
      <c r="FD3" s="34" t="s">
        <v>248</v>
      </c>
      <c r="FE3" s="34" t="s">
        <v>249</v>
      </c>
      <c r="FF3" s="34" t="s">
        <v>268</v>
      </c>
      <c r="FG3" s="54" t="s">
        <v>252</v>
      </c>
      <c r="FH3" s="34" t="s">
        <v>248</v>
      </c>
      <c r="FI3" s="34" t="s">
        <v>249</v>
      </c>
      <c r="FJ3" s="34" t="s">
        <v>268</v>
      </c>
      <c r="FK3" s="54" t="s">
        <v>252</v>
      </c>
      <c r="FL3" s="34" t="s">
        <v>248</v>
      </c>
      <c r="FM3" s="34" t="s">
        <v>249</v>
      </c>
      <c r="FN3" s="54" t="s">
        <v>252</v>
      </c>
      <c r="FP3" s="31"/>
      <c r="FQ3" s="29">
        <f ca="1">7-(COUNTIF(EP4,"")+COUNTIF(EU4,"")+COUNTIF(EX4,"")+COUNTIF(FB4,"")+COUNTIF(FG4,"")+COUNTIF(FK4,"")+COUNTIF(FN4,""))</f>
        <v>6</v>
      </c>
      <c r="FR3" s="29">
        <v>1</v>
      </c>
      <c r="FS3" s="29" t="str">
        <f ca="1">FO4</f>
        <v>Chicago</v>
      </c>
    </row>
    <row r="4" spans="1:175">
      <c r="A4" s="29">
        <v>1</v>
      </c>
      <c r="B4" s="29" t="s">
        <v>230</v>
      </c>
      <c r="C4" s="29">
        <f>VLOOKUP(B4,$ET$12:$EU$41,2,0)/100</f>
        <v>0.84634788831985786</v>
      </c>
      <c r="D4" s="29">
        <f>VLOOKUP(B4,'Team Stats'!$A$2:$H$18,7,0)</f>
        <v>2.56</v>
      </c>
      <c r="E4" s="29">
        <f>VLOOKUP(B4,'Team Stats'!$A$2:$H$18,8,0)</f>
        <v>2.2000000000000002</v>
      </c>
      <c r="F4" s="30"/>
      <c r="G4" s="29">
        <v>1</v>
      </c>
      <c r="H4" s="29">
        <v>1</v>
      </c>
      <c r="I4" s="29">
        <f>VLOOKUP(H4,$A$4:$C$11,3,0)</f>
        <v>0.84634788831985786</v>
      </c>
      <c r="J4" s="29">
        <f>VLOOKUP(H4,$A$4:$E$11,4,0)</f>
        <v>2.56</v>
      </c>
      <c r="K4" s="29">
        <f>VLOOKUP(H4,$A$4:$E$11,5,0)</f>
        <v>2.2000000000000002</v>
      </c>
      <c r="L4" s="29">
        <f>J4-(I2-K5)</f>
        <v>2.3743333333333334</v>
      </c>
      <c r="M4" s="51">
        <f ca="1">_xlfn.NORM.INV(RAND(),I4,$G$2*$H$2)</f>
        <v>0.81603769870712006</v>
      </c>
      <c r="N4" s="29">
        <f ca="1">ranpoi(L4*M4,RAND()*M4)</f>
        <v>2</v>
      </c>
      <c r="O4" s="29">
        <f ca="1">IF(N4&gt;6,6,N4)</f>
        <v>2</v>
      </c>
      <c r="P4" s="55">
        <f ca="1">IF(O4&gt;O5,H4,H5)</f>
        <v>1</v>
      </c>
      <c r="Q4" s="29">
        <f ca="1">_xlfn.NORM.INV(RAND(),$I$4,$G$2*$H$2)</f>
        <v>0.83904560764913283</v>
      </c>
      <c r="R4" s="29">
        <f ca="1">ranpoi(L4*Q4,RAND()*M4)</f>
        <v>3</v>
      </c>
      <c r="S4" s="29">
        <f ca="1">IF(R4&gt;6,6,R4)</f>
        <v>3</v>
      </c>
      <c r="T4" s="55">
        <f ca="1">IF(R4&gt;R5,H4,H5)</f>
        <v>1</v>
      </c>
      <c r="U4" s="29">
        <f ca="1">_xlfn.NORM.INV(RAND(),$I$4,$G$2*$H$2)</f>
        <v>0.790768175866295</v>
      </c>
      <c r="V4" s="29">
        <f ca="1">ranpoi(L4*U4,RAND()*M4)</f>
        <v>1</v>
      </c>
      <c r="W4" s="29">
        <f ca="1">IF(V4&gt;6,6,V4)</f>
        <v>1</v>
      </c>
      <c r="X4" s="55">
        <f ca="1">IF(V4&gt;V5,H4,H5)</f>
        <v>8</v>
      </c>
      <c r="Y4" s="29">
        <f ca="1">_xlfn.NORM.INV(RAND(),$I$4,$G$2*$H$2)</f>
        <v>0.7742527915212829</v>
      </c>
      <c r="Z4" s="29">
        <f ca="1">ranpoi(L4*Y4,RAND()*M4)</f>
        <v>2</v>
      </c>
      <c r="AA4" s="29">
        <f ca="1">IF(Z4&gt;6,6,Z4)</f>
        <v>2</v>
      </c>
      <c r="AB4" s="55">
        <f ca="1">IF(Z4&gt;Z5,H4,H5)</f>
        <v>8</v>
      </c>
      <c r="AC4" s="29">
        <f ca="1">_xlfn.NORM.INV(RAND(),$I$4,$G$2*$H$2)</f>
        <v>0.83307478576021921</v>
      </c>
      <c r="AD4" s="29">
        <f ca="1">ranpoi(L4*AC4,RAND()*M4)</f>
        <v>0</v>
      </c>
      <c r="AE4" s="29">
        <f ca="1">IF(AD4&gt;6,6,AD4)</f>
        <v>0</v>
      </c>
      <c r="AF4" s="55">
        <f ca="1">IF((COUNTIF(P4:P5,1)+COUNTIF(T4:T5,1)+COUNTIF(X4:X5,1)+COUNTIF(AB4:AB5,1))=4,"",IF((COUNTIF(P4:P5,8)+COUNTIF(T4:T5,8)+COUNTIF(X4:X5,8)+COUNTIF(AB4:AB5,8))=4,"",IF(AE4&gt;AE5,H4,H5)))</f>
        <v>8</v>
      </c>
      <c r="AG4" s="29">
        <f ca="1">_xlfn.NORM.INV(RAND(),$I$4,$G$2*$H$2)</f>
        <v>0.85162496560254408</v>
      </c>
      <c r="AH4" s="29">
        <f ca="1">ranpoi(L4*AG4,RAND()*M4)</f>
        <v>5</v>
      </c>
      <c r="AI4" s="29">
        <f ca="1">IF(AH4&gt;6,6,AH4)</f>
        <v>5</v>
      </c>
      <c r="AJ4" s="55">
        <f ca="1">IF((COUNTIF(P4:P5,1)+COUNTIF(T4:T5,1)+COUNTIF(X4:X5,1)+COUNTIF(AB4:AB5,1)+COUNTIF(AF4:AF5,1))=4,"",IF((COUNTIF(P4:P5,8)+COUNTIF(T4:T5,8)+COUNTIF(X4:X5,8)+COUNTIF(AB4:AB5,8)+COUNTIF(AF4:AF5,8))=4,"",IF(AI4&gt;AI5,H4,H5)))</f>
        <v>1</v>
      </c>
      <c r="AK4" s="29">
        <f ca="1">_xlfn.NORM.INV(RAND(),$I$4,$G$2*$H$2)</f>
        <v>0.83955658836846259</v>
      </c>
      <c r="AL4" s="29">
        <f ca="1">ranpoi(L4*AK4,RAND()*M4)</f>
        <v>7</v>
      </c>
      <c r="AM4" s="29">
        <f ca="1">IF(AL4&gt;6,6,AL4)</f>
        <v>6</v>
      </c>
      <c r="AN4" s="55">
        <f ca="1">IF((COUNTIF(P4:P5,1)+COUNTIF(T4:T5,1)+COUNTIF(X4:X5,1)+COUNTIF(AB4:AB5,1)+COUNTIF(AF4:AF5,1)+COUNTIF(AJ4:AJ5,1))=4,"",IF((COUNTIF(P4:P5,8)+COUNTIF(T4:T5,8)+COUNTIF(X4:X5,8)+COUNTIF(AB4:AB5,8)+COUNTIF(AF4:AF5,8)+COUNTIF(AJ4:AJ5,8))=4,"",IF(AM4&gt;AM5,H4,H5)))</f>
        <v>8</v>
      </c>
      <c r="AO4" s="31">
        <f ca="1">IF((COUNTIF(P4:P5,1)+COUNTIF(T4:T5,1)+COUNTIF(X4:X5,1)+COUNTIF(AB4:AB5,1)+COUNTIF(AF4:AF5,1)+COUNTIF(AJ4:AJ5,1)+COUNTIF(AN4:AN5,1)&gt;COUNTIF(P4:P5,8)+COUNTIF(T4:T5,8)+COUNTIF(X4:X5,8)+COUNTIF(AB4:AB5,8)+COUNTIF(AF4:AF5,8)+COUNTIF(AJ4:AJ5,8)+COUNTIF(AN4:AN5,8)),H4,H5)</f>
        <v>8</v>
      </c>
      <c r="AP4" s="29" t="str">
        <f ca="1">VLOOKUP(AO4,$A$4:$E$11,2,0)</f>
        <v>Ottawa</v>
      </c>
      <c r="AQ4" s="29">
        <f ca="1">7-(COUNTIF(P4,"")+COUNTIF(T4,"")+COUNTIF(X4,"")+COUNTIF(AB4,"")+COUNTIF(AF4,"")+COUNTIF(AJ4,"")+COUNTIF(AN4,""))</f>
        <v>7</v>
      </c>
      <c r="AR4" s="28">
        <v>1</v>
      </c>
      <c r="AS4" s="29" t="str">
        <f ca="1">AP4</f>
        <v>Ottawa</v>
      </c>
      <c r="AT4" s="29" t="str">
        <f ca="1">AP6</f>
        <v>Detroit</v>
      </c>
      <c r="AU4" s="29" t="str">
        <f ca="1">AP8</f>
        <v>Washington</v>
      </c>
      <c r="AV4" s="31" t="str">
        <f ca="1">AP10</f>
        <v>NY Rangers</v>
      </c>
      <c r="AW4" s="28">
        <v>1</v>
      </c>
      <c r="AX4" s="29" t="str">
        <f ca="1">AP17</f>
        <v>Minnesota</v>
      </c>
      <c r="AY4" s="29" t="str">
        <f ca="1">AP19</f>
        <v>Chicago</v>
      </c>
      <c r="AZ4" s="29" t="str">
        <f ca="1">AP21</f>
        <v>Vancouver</v>
      </c>
      <c r="BA4" s="31" t="str">
        <f ca="1">AP23</f>
        <v>Anaheim</v>
      </c>
      <c r="BB4" s="29" t="str">
        <f ca="1">AP4</f>
        <v>Ottawa</v>
      </c>
      <c r="BC4" s="29">
        <f ca="1">VLOOKUP(AO4,$A$4:$E$11,3,0)</f>
        <v>0.84822257830980674</v>
      </c>
      <c r="BD4" s="29">
        <f ca="1">VLOOKUP(AO4,$A$4:$L$11,4,0)</f>
        <v>2.77</v>
      </c>
      <c r="BE4" s="29">
        <f ca="1">VLOOKUP(AO4,$A$4:$L$11,5,0)</f>
        <v>2.48</v>
      </c>
      <c r="BF4" s="29">
        <f ca="1">BD4-(I2-BE6)</f>
        <v>2.6243333333333334</v>
      </c>
      <c r="BG4" s="28">
        <f ca="1">_xlfn.NORM.INV(RAND(),BC4,$G$2*$H$2)</f>
        <v>0.78015699098390578</v>
      </c>
      <c r="BH4" s="29">
        <f ca="1">ranpoi(BF4*BG4,RAND()*BG4)</f>
        <v>5</v>
      </c>
      <c r="BI4" s="29">
        <f ca="1">IF(BH4&gt;6,6,BH4)</f>
        <v>5</v>
      </c>
      <c r="BJ4" s="55">
        <f ca="1">IF(BI4&gt;BI6,AO4,AO6)</f>
        <v>8</v>
      </c>
      <c r="BK4" s="29">
        <f ca="1">_xlfn.NORM.INV(RAND(),BC4,$G$2*$H$2)</f>
        <v>0.85903253322323669</v>
      </c>
      <c r="BL4" s="29">
        <f ca="1">ranpoi(BF4*BK4,RAND()*BK4)</f>
        <v>1</v>
      </c>
      <c r="BM4" s="29">
        <f ca="1">IF(BL4&gt;6,6,BL4)</f>
        <v>1</v>
      </c>
      <c r="BN4" s="55">
        <f ca="1">IF(BM4&gt;BM6,AO4,AO6)</f>
        <v>5</v>
      </c>
      <c r="BO4" s="29">
        <f ca="1">_xlfn.NORM.INV(RAND(),BC4,$G$2*$H$2)</f>
        <v>0.81732300503387922</v>
      </c>
      <c r="BP4" s="29">
        <f ca="1">ranpoi(BF4*BO4,RAND()*BO4)</f>
        <v>0</v>
      </c>
      <c r="BQ4" s="29">
        <f ca="1">IF(BP4&gt;6,6,BP4)</f>
        <v>0</v>
      </c>
      <c r="BR4" s="55">
        <f ca="1">IF(BQ4&gt;BQ6,AO4,AO6)</f>
        <v>5</v>
      </c>
      <c r="BS4" s="29">
        <f ca="1">_xlfn.NORM.INV(RAND(),BC4,$G$2*$H$2)</f>
        <v>0.88729175804104554</v>
      </c>
      <c r="BT4" s="29">
        <f ca="1">ranpoi(BF4*BS4,RAND()*BS4)</f>
        <v>1</v>
      </c>
      <c r="BU4" s="29">
        <f ca="1">IF(BT4&gt;6,6,BT4)</f>
        <v>1</v>
      </c>
      <c r="BV4" s="55">
        <f ca="1">IF(BU4&gt;BU6,AO4,AO6)</f>
        <v>5</v>
      </c>
      <c r="BW4" s="29">
        <f ca="1">_xlfn.NORM.INV(RAND(),BC4,$G$2*$H$2)</f>
        <v>0.86059263362567562</v>
      </c>
      <c r="BX4" s="29">
        <f ca="1">ranpoi(BF4*BW4,RAND()*BW4)</f>
        <v>2</v>
      </c>
      <c r="BY4" s="29">
        <f ca="1">IF(BX4&gt;6,6,BX4)</f>
        <v>2</v>
      </c>
      <c r="BZ4" s="55">
        <f ca="1">IF((COUNTIF(BJ4:BJ5,AO4)+COUNTIF(BN4:BN5,AO4)+COUNTIF(BR4:BR5,AO4)+COUNTIF(BV4:BV5,AO4))=4,"",IF((COUNTIF(BJ4:BJ5,AO6)+COUNTIF(BN4:BN5,AO6)+COUNTIF(BR4:BR5,AO6)+COUNTIF(BV4:BV5,AO6))=4,"",IF(BY4&gt;BY6,AO4,AO6)))</f>
        <v>5</v>
      </c>
      <c r="CA4" s="29">
        <f ca="1">_xlfn.NORM.INV(RAND(),BC4,$G$2*$H$2)</f>
        <v>0.87379133781333262</v>
      </c>
      <c r="CB4" s="29">
        <f ca="1">ranpoi(BF4*CA4,RAND()*CA4)</f>
        <v>3</v>
      </c>
      <c r="CC4" s="29">
        <f ca="1">IF(CB4&gt;6,6,CB4)</f>
        <v>3</v>
      </c>
      <c r="CD4" s="55" t="str">
        <f ca="1">IF((COUNTIF(BJ4:BJ5,AO4)+COUNTIF(BN4:BN5,AO4)+COUNTIF(BR4:BR5,AO4)+COUNTIF(BV4:BV5,AO4)+COUNTIF(BZ4:BZ5,AO4))=4,"",IF((COUNTIF(BJ4:BJ5,AO6)+COUNTIF(BN4:BN5,AO6)+COUNTIF(BR4:BR5,AO6)+COUNTIF(BV4:BV5,AO6)+COUNTIF(BZ4:BZ5,AO6))=4,"",IF(CC4&gt;CC6,AO4,AO6)))</f>
        <v/>
      </c>
      <c r="CE4" s="29">
        <f ca="1">_xlfn.NORM.INV(RAND(),BC4,$G$2*$H$2)</f>
        <v>0.81799498908556101</v>
      </c>
      <c r="CF4" s="29">
        <f ca="1">ranpoi(BF4*CE4,RAND()*CE4)</f>
        <v>4</v>
      </c>
      <c r="CG4" s="29">
        <f ca="1">IF(CF4&gt;6,6,CF4)</f>
        <v>4</v>
      </c>
      <c r="CH4" s="55" t="str">
        <f ca="1">IF((COUNTIF(BJ4:BJ5,AO4)+COUNTIF(BN4:BN5,AO4)+COUNTIF(BR4:BR5,AO4)+COUNTIF(BV4:BV5,AO4)+COUNTIF(BZ4:BZ5,AO4)+COUNTIF(CD4:CD5,AO4))=4,"",IF((COUNTIF(BJ4:BJ5,AO6)+COUNTIF(BN4:BN5,AO6)+COUNTIF(BR4:BR5,AO6)+COUNTIF(BV4:BV5,AO6)+COUNTIF(BZ4:BZ5,AO6)+COUNTIF(CD4:CD5,AO4))=4,"",IF(CG4&gt;CG6,AO4,AO6)))</f>
        <v/>
      </c>
      <c r="CI4" s="31">
        <f ca="1">IF((COUNTIF(BJ4:BJ5,AO4)+COUNTIF(BN4:BN5,AO4)+COUNTIF(BR4:BR5,AO4)+COUNTIF(BV4:BV5,AO4)+COUNTIF(BZ4:BZ5,AO4)+COUNTIF(CD4:CD5,AO4)+COUNTIF(CH4:CH5,AO4)&gt;COUNTIF(BJ4:BJ5,AO6)+COUNTIF(BN4:BN5,AO6)+COUNTIF(BR4:BR5,AO6)+COUNTIF(BV4:BV5,AO6)+COUNTIF(BZ4:BZ5,AO6)+COUNTIF(CD4:CD5,AO6)+COUNTIF(CH4:CH5,AO6)),AO4,AO6)</f>
        <v>5</v>
      </c>
      <c r="CJ4" s="29" t="str">
        <f ca="1">VLOOKUP(CI4,$A$4:$E$11,2,0)</f>
        <v>Detroit</v>
      </c>
      <c r="CK4" s="29">
        <f ca="1">7-(COUNTIF(BJ4,"")+COUNTIF(BN4,"")+COUNTIF(BR4,"")+COUNTIF(BV4,"")+COUNTIF(BZ4,"")+COUNTIF(CD4,"")+COUNTIF(CH4,""))</f>
        <v>5</v>
      </c>
      <c r="CL4" s="28">
        <v>1</v>
      </c>
      <c r="CM4" s="29" t="str">
        <f ca="1">CJ4</f>
        <v>Detroit</v>
      </c>
      <c r="CN4" s="31" t="str">
        <f ca="1">CJ8</f>
        <v>Washington</v>
      </c>
      <c r="CO4" s="28">
        <v>1</v>
      </c>
      <c r="CP4" s="29" t="str">
        <f ca="1">CJ17</f>
        <v>Chicago</v>
      </c>
      <c r="CQ4" s="31" t="str">
        <f ca="1">CJ21</f>
        <v>Anaheim</v>
      </c>
      <c r="CR4" s="29" t="str">
        <f ca="1">CJ4</f>
        <v>Detroit</v>
      </c>
      <c r="CS4" s="28">
        <f ca="1">VLOOKUP(CI4,$A$4:$E$11,3,0)</f>
        <v>0.84854221314066169</v>
      </c>
      <c r="CT4" s="29">
        <f ca="1">VLOOKUP(CI4,$A$4:$E$11,4,0)</f>
        <v>2.76</v>
      </c>
      <c r="CU4" s="29">
        <f ca="1">VLOOKUP(CI4,$A$4:$E$11,5,0)</f>
        <v>2.52</v>
      </c>
      <c r="CV4" s="29">
        <f ca="1">CT4-(I2-CU8)</f>
        <v>2.4843333333333333</v>
      </c>
      <c r="CW4" s="29">
        <f ca="1">_xlfn.NORM.INV(RAND(),$I$4,$G$2*$H$2)</f>
        <v>0.79827664130776466</v>
      </c>
      <c r="CX4" s="29">
        <f ca="1">ranpoi(CV4*CW4,(RAND()*CW4))</f>
        <v>1</v>
      </c>
      <c r="CY4" s="29">
        <f ca="1">IF(CX4&gt;6,6,CX4)</f>
        <v>1</v>
      </c>
      <c r="CZ4" s="55">
        <f ca="1">IF(CY4&gt;CY8,CI4,CI8)</f>
        <v>3</v>
      </c>
      <c r="DA4" s="29">
        <f ca="1">_xlfn.NORM.INV(RAND(),$I$4,$G$2*$H$2)</f>
        <v>0.80204500520806032</v>
      </c>
      <c r="DB4" s="29">
        <f ca="1">ranpoi(CV4*DA4,(RAND()*DA4))</f>
        <v>8</v>
      </c>
      <c r="DC4" s="29">
        <f ca="1">IF(DB4&gt;6,6,DB4)</f>
        <v>6</v>
      </c>
      <c r="DD4" s="55">
        <f ca="1">IF(DC4&gt;DC8,CI4,CI8)</f>
        <v>5</v>
      </c>
      <c r="DE4" s="29">
        <f ca="1">_xlfn.NORM.INV(RAND(),$I$4,$G$2*$H$2)</f>
        <v>0.84543042517061029</v>
      </c>
      <c r="DF4" s="29">
        <f ca="1">ranpoi(CV4*DE4,(RAND()*DE4))</f>
        <v>7</v>
      </c>
      <c r="DG4" s="29">
        <f ca="1">IF(DF4&gt;6,6,DF4)</f>
        <v>6</v>
      </c>
      <c r="DH4" s="55">
        <f ca="1">IF(DG4&gt;DG8,CI4,CI8)</f>
        <v>3</v>
      </c>
      <c r="DI4" s="29">
        <f ca="1">_xlfn.NORM.INV(RAND(),$I$4,$G$2*$H$2)</f>
        <v>0.82947004651044431</v>
      </c>
      <c r="DJ4" s="29">
        <f ca="1">ranpoi(CV4*DI4,(RAND()*DI4))</f>
        <v>1</v>
      </c>
      <c r="DK4" s="29">
        <f ca="1">IF(DJ4&gt;6,6,DJ4)</f>
        <v>1</v>
      </c>
      <c r="DL4" s="55">
        <f ca="1">IF(DK4&gt;DK8,CI4,CI8)</f>
        <v>3</v>
      </c>
      <c r="DM4" s="29">
        <f ca="1">_xlfn.NORM.INV(RAND(),$I$4,$G$2*$H$2)</f>
        <v>0.87137785940604762</v>
      </c>
      <c r="DN4" s="29">
        <f ca="1">ranpoi(CV4*DM4,(RAND()*DM4))</f>
        <v>2</v>
      </c>
      <c r="DO4" s="29">
        <f ca="1">IF(DN4&gt;6,6,DN4)</f>
        <v>2</v>
      </c>
      <c r="DP4" s="55">
        <f ca="1">IF((COUNTIF(CZ4:CZ5,CI4)+COUNTIF(DD4:DD5,CI4)+COUNTIF(DH4:DH5,CI4)+COUNTIF(DL4:DL5,CI4))=4,"",IF((COUNTIF(CZ4:CZ5,CI8)+COUNTIF(DD4:DD5,CI8)+COUNTIF(DH4:DH5,CI8)+COUNTIF(DL4:DL5,CI8))=4,"",IF(DO4&gt;DO8,CI4,CI8)))</f>
        <v>5</v>
      </c>
      <c r="DQ4" s="29">
        <f ca="1">_xlfn.NORM.INV(RAND(),$I$4,$G$2*$H$2)</f>
        <v>0.80452721741250788</v>
      </c>
      <c r="DR4" s="29">
        <f ca="1">ranpoi(CV4*DQ4,(RAND()*DQ4))</f>
        <v>0</v>
      </c>
      <c r="DS4" s="29">
        <f ca="1">IF(DR4&gt;6,6,DR4)</f>
        <v>0</v>
      </c>
      <c r="DT4" s="55">
        <f ca="1">IF((COUNTIF(CZ4:CZ5,CI4)+COUNTIF(DD4:DD5,CI4)+COUNTIF(DH4:DH5,CI4)+COUNTIF(DL4:DL5,CI4)+COUNTIF(DP4:DP5,CI4))=4,"",IF((COUNTIF(CZ4:CZ5,CI8)+COUNTIF(DD4:DD5,CI8)+COUNTIF(DH4:DH5,CI8)+COUNTIF(DL4:DL5,CI8)+COUNTIF(DP4:DP5,CI8))=4,"",IF(DS4&gt;DS8,CI4,CI8)))</f>
        <v>3</v>
      </c>
      <c r="DU4" s="29">
        <f ca="1">_xlfn.NORM.INV(RAND(),$I$4,$G$2*$H$2)</f>
        <v>0.78516621309058277</v>
      </c>
      <c r="DV4" s="29">
        <f ca="1">ranpoi(CV4*DU4,(RAND()*DU4))</f>
        <v>0</v>
      </c>
      <c r="DW4" s="29">
        <f ca="1">IF(DV4&gt;6,6,DV4)</f>
        <v>0</v>
      </c>
      <c r="DX4" s="55">
        <f ca="1">IF((COUNTIF(CZ4:CZ5,CI4)+COUNTIF(DD4:DD5,CI4)+COUNTIF(DH4:DH5,CI4)+COUNTIF(DL4:DL5,CI4)+COUNTIF(DP4:DP5,CI4)+COUNTIF(DT4:DT5,CI4))=4,"",IF((COUNTIF(CZ4:CZ5,CI8)+COUNTIF(DD4:DD5,CI8)+COUNTIF(DH4:DH5,CI8)+COUNTIF(DL4:DL5,CI8)+COUNTIF(DP4:DP5,CI8)+COUNTIF(DT4:DT5,BW))=4,"",IF(DW4&gt;DW8,CI4,CI8)))</f>
        <v>3</v>
      </c>
      <c r="DY4" s="31">
        <f ca="1">IF((COUNTIF(CZ4:CZ5,CI4)+COUNTIF(DD4:DD5,CI4)+COUNTIF(DH4:DH5,CI4)+COUNTIF(DL4:DL5,CI4)+COUNTIF(DP4:DP5,CI4)+COUNTIF(DT4:DT5,CI4)+COUNTIF(DX4:DX5,CI4)&gt;COUNTIF(CZ4:CZ5,CI8)+COUNTIF(DD4:DD5,CI8)+COUNTIF(DH4:DH5,CI8)+COUNTIF(DL4:DL5,CI8)+COUNTIF(DP4:DP5,CI8)+COUNTIF(DT4:DT5,CI8)+COUNTIF(DX4:DX5,CI8)),CI4,CI8)</f>
        <v>3</v>
      </c>
      <c r="DZ4" s="29">
        <f ca="1">7-(COUNTIF(CZ4,"")+COUNTIF(DD4,"")+COUNTIF(DH4,"")+COUNTIF(DL4,"")+COUNTIF(DP4,"")+COUNTIF(DT4,"")+COUNTIF(DX4,""))</f>
        <v>7</v>
      </c>
      <c r="EB4" s="28">
        <v>1</v>
      </c>
      <c r="EC4" s="29" t="str">
        <f ca="1">VLOOKUP(MAX(DY4:DY8),A4:E11,2,0)</f>
        <v>Washington</v>
      </c>
      <c r="ED4" s="31" t="str">
        <f ca="1">VLOOKUP(DY17,A17:E24,2,0)</f>
        <v>Chicago</v>
      </c>
      <c r="EG4" s="28">
        <f ca="1">DY4</f>
        <v>3</v>
      </c>
      <c r="EH4" s="29" t="str">
        <f ca="1">EC4</f>
        <v>Washington</v>
      </c>
      <c r="EI4" s="29">
        <f ca="1">VLOOKUP($EG$4,$A$4:$E$11,3,0)</f>
        <v>0.84540679915027861</v>
      </c>
      <c r="EJ4" s="29">
        <f ca="1">VLOOKUP($EG$4,$A$4:$E$11,4,0)</f>
        <v>2.84</v>
      </c>
      <c r="EK4" s="29">
        <f ca="1">VLOOKUP($EG$4,$A$4:$E$11,5,0)</f>
        <v>2.39</v>
      </c>
      <c r="EL4" s="29">
        <f ca="1">EJ4-(I2-EK8)</f>
        <v>2.4043333333333332</v>
      </c>
      <c r="EM4" s="29">
        <f ca="1">_xlfn.NORM.INV(RAND(),EI4,$G$2*$H$2)</f>
        <v>0.82587678728551883</v>
      </c>
      <c r="EN4" s="29">
        <f ca="1">ranpoi(EL4*EM4,(RAND()*EM4))</f>
        <v>8</v>
      </c>
      <c r="EO4" s="29">
        <f ca="1">IF(EN4&gt;6,6,EN4)</f>
        <v>6</v>
      </c>
      <c r="EP4" s="55" t="str">
        <f ca="1">IF(EO4&gt;EO8,EH4,EH8)</f>
        <v>Washington</v>
      </c>
      <c r="EQ4" s="29">
        <f ca="1">_xlfn.NORM.INV(RAND(),EI4,$G$2*$H$2)</f>
        <v>0.78254573323477339</v>
      </c>
      <c r="ER4" s="29">
        <f ca="1">ranpoi(EL4*EQ4,(RAND()*EQ4))</f>
        <v>2</v>
      </c>
      <c r="ET4" s="29">
        <f ca="1">IF(ER4&gt;6,6,ER4)</f>
        <v>2</v>
      </c>
      <c r="EU4" s="55" t="str">
        <f ca="1">IF(ET4&gt;ET8,EH4,EH8)</f>
        <v>Chicago</v>
      </c>
      <c r="EV4" s="29">
        <f ca="1">_xlfn.NORM.INV(RAND(),EI4,$G$2*$H$2)</f>
        <v>0.82726170123559872</v>
      </c>
      <c r="EW4" s="29">
        <f ca="1">ranpoi(EL4*EV4,(RAND()*EV4))</f>
        <v>1</v>
      </c>
      <c r="EX4" s="29">
        <f ca="1">IF(EW4&gt;6,6,EW4)</f>
        <v>1</v>
      </c>
      <c r="EY4" s="55" t="str">
        <f ca="1">IF(EX4&gt;EX8,EH4,EH8)</f>
        <v>Chicago</v>
      </c>
      <c r="EZ4" s="29">
        <f ca="1">_xlfn.NORM.INV(RAND(),EI4,$G$2*$H$2)</f>
        <v>0.87602260154429634</v>
      </c>
      <c r="FA4" s="29">
        <f ca="1">ranpoi(EL4*EZ4,(RAND()*EZ4))</f>
        <v>2</v>
      </c>
      <c r="FB4" s="29">
        <f ca="1">IF(FA4&gt;6,6,FA4)</f>
        <v>2</v>
      </c>
      <c r="FC4" s="55" t="str">
        <f ca="1">IF(FB4&gt;FB8,EH4,EH8)</f>
        <v>Washington</v>
      </c>
      <c r="FD4" s="29">
        <f ca="1">_xlfn.NORM.INV(RAND(),EI4,$G$2*$H$2)</f>
        <v>0.894120637880359</v>
      </c>
      <c r="FE4" s="29">
        <f ca="1">ranpoi(EL4*FD4,(RAND()*FD4))</f>
        <v>1</v>
      </c>
      <c r="FF4" s="29">
        <f ca="1">IF(FE4&gt;6,6,FE4)</f>
        <v>1</v>
      </c>
      <c r="FG4" s="55" t="str">
        <f ca="1">IF((COUNTIF(EP4:EP5,EH4)+COUNTIF(EU4:EU5,EH4)+COUNTIF(EY4:EY5,EH4)+COUNTIF(FC4:FC5,EH4))=4,"",IF((COUNTIF(EP4:EP5,EH8)+COUNTIF(EU4:EU5,EH8)+COUNTIF(EY4:EY5,EH8)+COUNTIF(FC4:FC5,EH8))=4,"",IF(FF4&gt;FF8,EH4,EH8)))</f>
        <v>Chicago</v>
      </c>
      <c r="FH4" s="29">
        <f ca="1">_xlfn.NORM.INV(RAND(),EI4,$G$2*$H$2)</f>
        <v>0.85251491676605706</v>
      </c>
      <c r="FI4" s="29">
        <f ca="1">ranpoi(EL4*FH4,(RAND()*FH4))</f>
        <v>3</v>
      </c>
      <c r="FJ4" s="29">
        <f ca="1">IF(FI4&gt;6,6,FI4)</f>
        <v>3</v>
      </c>
      <c r="FK4" s="55" t="str">
        <f ca="1">IF((COUNTIF(EP4:EP5,EH4)+COUNTIF(EU4:EU5,EH4)+COUNTIF(EY4:EY5,EH4)+COUNTIF(FC4:FC5,EH4)+COUNTIF(FG4:FG5,EH4))=4,"",IF((COUNTIF(EP4:EP5,EH8)+COUNTIF(EU4:EU5,EH8)+COUNTIF(EY4:EY5,EH8)+COUNTIF(FC4:FC5,EH8)+COUNTIF(FG4:FG5,EH8))=4,"",IF(FJ4&gt;FJ8,EH4,EH8)))</f>
        <v>Chicago</v>
      </c>
      <c r="FL4" s="29">
        <f ca="1">_xlfn.NORM.INV(RAND(),EI4,$G$2*$H$2)</f>
        <v>0.80040183058261694</v>
      </c>
      <c r="FM4" s="29">
        <f ca="1">ranpoi(EL4*FL4,(RAND()*FL4))</f>
        <v>2</v>
      </c>
      <c r="FN4" s="55" t="str">
        <f ca="1">IF((COUNTIF(EP4:EP5,EH4)+COUNTIF(EU4:EU5,EH4)+COUNTIF(EY4:EY5,EH4)+COUNTIF(FC4:FC5,EH4)+COUNTIF(FG4:FG5,EH4)+COUNTIF(FK4:FK5,EH4))=4,"",IF((COUNTIF(EP4:EP5,EH8)+COUNTIF(EU4:EU5,EH8)+COUNTIF(EY4:EY5,EH8)+COUNTIF(FC4:FC5,EH8)+COUNTIF(FG4:FG5,EH8)+COUNTIF(FK4:FK5,EH8))=4,"",IF(FJ4&gt;FJ8,EH4,EH8)))</f>
        <v/>
      </c>
      <c r="FO4" s="29" t="str">
        <f ca="1">IF((COUNTIF(EP4:EP5,EH4)+COUNTIF(EU4:EU5,EH4)+COUNTIF(EY4:EY5,EH4)+COUNTIF(FC4:FC5,EH4)+COUNTIF(FG4:FG5,EH4)+COUNTIF(FK4:FK5,EH4)+COUNTIF(FN4:FN5,EH4)&gt;COUNTIF(EP4:EP5,EH8)+COUNTIF(EU4:EU5,EH8)+COUNTIF(EY4:EY5,EH8)+COUNTIF(FC4:FC5,EH8)+COUNTIF(FG4:FG5,EH8)+COUNTIF(FK4:FK5,EH8)+COUNTIF(FN4:FN5,EH8)),EH4,EH8)</f>
        <v>Chicago</v>
      </c>
      <c r="FP4" s="31"/>
      <c r="FR4" s="29">
        <v>2</v>
      </c>
      <c r="FS4" s="29" t="str">
        <f t="dataTable" ref="FS4:FS502" dt2D="0" dtr="0" r1="FR1" ca="1"/>
        <v>Winnipeg</v>
      </c>
    </row>
    <row r="5" spans="1:175">
      <c r="A5" s="29">
        <v>2</v>
      </c>
      <c r="B5" s="29" t="s">
        <v>243</v>
      </c>
      <c r="C5" s="29">
        <f t="shared" ref="C5:C11" si="0">VLOOKUP(B5,$ET$12:$EU$41,2,0)/100</f>
        <v>0.84439541672686491</v>
      </c>
      <c r="D5" s="29">
        <f>VLOOKUP(B5,'Team Stats'!$A$2:$H$18,7,0)</f>
        <v>2.99</v>
      </c>
      <c r="E5" s="29">
        <f>VLOOKUP(B5,'Team Stats'!$A$2:$H$18,8,0)</f>
        <v>2.25</v>
      </c>
      <c r="F5" s="30"/>
      <c r="H5" s="29">
        <v>8</v>
      </c>
      <c r="I5" s="29">
        <f t="shared" ref="I5:I11" si="1">VLOOKUP(H5,$A$4:$C$11,3,0)</f>
        <v>0.84822257830980674</v>
      </c>
      <c r="J5" s="29">
        <f t="shared" ref="J5:J10" si="2">VLOOKUP(H5,$A$4:$E$11,4,0)</f>
        <v>2.77</v>
      </c>
      <c r="K5" s="29">
        <f t="shared" ref="K5:K11" si="3">VLOOKUP(H5,$A$4:$E$11,5,0)</f>
        <v>2.48</v>
      </c>
      <c r="L5" s="29">
        <f>J5-(I2-K4)</f>
        <v>2.3043333333333336</v>
      </c>
      <c r="M5" s="51">
        <f t="shared" ref="M5:M10" ca="1" si="4">_xlfn.NORM.INV(RAND(),I5,$G$2*$H$2)</f>
        <v>0.85681216588457243</v>
      </c>
      <c r="N5" s="29">
        <f t="shared" ref="N5:N11" ca="1" si="5">ranpoi(L5*M5,RAND()*M5)</f>
        <v>1</v>
      </c>
      <c r="O5" s="29">
        <f t="shared" ref="O5:O11" ca="1" si="6">IF(N5&gt;6,6,N5)</f>
        <v>1</v>
      </c>
      <c r="P5" s="55"/>
      <c r="Q5" s="29">
        <f ca="1">_xlfn.NORM.INV(RAND(),$I$5,$G$2*$H$2)</f>
        <v>0.92784369478547024</v>
      </c>
      <c r="R5" s="29">
        <f t="shared" ref="R5:R11" ca="1" si="7">ranpoi(L5*Q5,RAND()*M5)</f>
        <v>1</v>
      </c>
      <c r="S5" s="29">
        <f t="shared" ref="S5:S11" ca="1" si="8">IF(R5&gt;6,6,R5)</f>
        <v>1</v>
      </c>
      <c r="T5" s="55"/>
      <c r="U5" s="29">
        <f ca="1">_xlfn.NORM.INV(RAND(),$I$5,$G$2*$H$2)</f>
        <v>0.87310809660349331</v>
      </c>
      <c r="V5" s="29">
        <f t="shared" ref="V5:V11" ca="1" si="9">ranpoi(L5*U5,RAND()*M5)</f>
        <v>7</v>
      </c>
      <c r="W5" s="29">
        <f t="shared" ref="W5:W11" ca="1" si="10">IF(V5&gt;6,6,V5)</f>
        <v>6</v>
      </c>
      <c r="X5" s="55"/>
      <c r="Y5" s="29">
        <f ca="1">_xlfn.NORM.INV(RAND(),$I$5,$G$2*$H$2)</f>
        <v>0.78097679005652665</v>
      </c>
      <c r="Z5" s="29">
        <f t="shared" ref="Z5:Z11" ca="1" si="11">ranpoi(L5*Y5,RAND()*M5)</f>
        <v>2</v>
      </c>
      <c r="AA5" s="29">
        <f t="shared" ref="AA5:AA11" ca="1" si="12">IF(Z5&gt;6,6,Z5)</f>
        <v>2</v>
      </c>
      <c r="AB5" s="55"/>
      <c r="AC5" s="29">
        <f ca="1">_xlfn.NORM.INV(RAND(),$I$5,$G$2*$H$2)</f>
        <v>0.76344543811547372</v>
      </c>
      <c r="AD5" s="29">
        <f t="shared" ref="AD5:AD11" ca="1" si="13">ranpoi(L5*AC5,RAND()*M5)</f>
        <v>4</v>
      </c>
      <c r="AE5" s="29">
        <f t="shared" ref="AE5:AE11" ca="1" si="14">IF(AD5&gt;6,6,AD5)</f>
        <v>4</v>
      </c>
      <c r="AF5" s="55"/>
      <c r="AG5" s="29">
        <f ca="1">_xlfn.NORM.INV(RAND(),$I$5,$G$2*$H$2)</f>
        <v>0.83778586307184144</v>
      </c>
      <c r="AH5" s="29">
        <f t="shared" ref="AH5:AH11" ca="1" si="15">ranpoi(L5*AG5,RAND()*M5)</f>
        <v>1</v>
      </c>
      <c r="AI5" s="29">
        <f t="shared" ref="AI5:AI11" ca="1" si="16">IF(AH5&gt;6,6,AH5)</f>
        <v>1</v>
      </c>
      <c r="AJ5" s="55"/>
      <c r="AK5" s="29">
        <f ca="1">_xlfn.NORM.INV(RAND(),$I$5,$G$2*$H$2)</f>
        <v>0.78428651243881231</v>
      </c>
      <c r="AL5" s="29">
        <f t="shared" ref="AL5:AL11" ca="1" si="17">ranpoi(L5*AK5,RAND()*M5)</f>
        <v>9</v>
      </c>
      <c r="AM5" s="29">
        <f t="shared" ref="AM5:AM11" ca="1" si="18">IF(AL5&gt;6,6,AL5)</f>
        <v>6</v>
      </c>
      <c r="AN5" s="55"/>
      <c r="AO5" s="31"/>
      <c r="AR5" s="28">
        <v>2</v>
      </c>
      <c r="AS5" s="29" t="str">
        <f t="dataTable" ref="AS5:AV103" dt2D="0" dtr="0" r1="AR1" ca="1"/>
        <v>Ottawa</v>
      </c>
      <c r="AT5" s="29" t="str">
        <v>Detroit</v>
      </c>
      <c r="AU5" s="29" t="str">
        <v>NY Islanders</v>
      </c>
      <c r="AV5" s="31" t="str">
        <v>NY Rangers</v>
      </c>
      <c r="AW5" s="28">
        <v>2</v>
      </c>
      <c r="AX5" s="29" t="str">
        <f t="dataTable" ref="AX5:BA103" dt2D="0" dtr="0" r1="AW1" ca="1"/>
        <v>Minnesota</v>
      </c>
      <c r="AY5" s="29" t="str">
        <v>Chicago</v>
      </c>
      <c r="AZ5" s="29" t="str">
        <v>Calgary</v>
      </c>
      <c r="BA5" s="31" t="str">
        <v>Winnipeg</v>
      </c>
      <c r="BG5" s="28"/>
      <c r="BJ5" s="55"/>
      <c r="BN5" s="55"/>
      <c r="BR5" s="55"/>
      <c r="BV5" s="55"/>
      <c r="BZ5" s="55"/>
      <c r="CD5" s="55"/>
      <c r="CH5" s="55"/>
      <c r="CI5" s="31"/>
      <c r="CL5" s="28">
        <v>2</v>
      </c>
      <c r="CM5" s="29" t="str">
        <f t="dataTable" ref="CM5:CN103" dt2D="0" dtr="0" r1="CL1" ca="1"/>
        <v>Tampa Bay</v>
      </c>
      <c r="CN5" s="31" t="str">
        <v>Washington</v>
      </c>
      <c r="CO5" s="28">
        <v>2</v>
      </c>
      <c r="CP5" s="29" t="str">
        <f t="dataTable" ref="CP5:CQ103" dt2D="0" dtr="0" r1="CM1" ca="1"/>
        <v>Chicago</v>
      </c>
      <c r="CQ5" s="31" t="str">
        <v>Winnipeg</v>
      </c>
      <c r="CS5" s="28"/>
      <c r="CZ5" s="55"/>
      <c r="DD5" s="55"/>
      <c r="DH5" s="55"/>
      <c r="DL5" s="55"/>
      <c r="DP5" s="55"/>
      <c r="DT5" s="55"/>
      <c r="DX5" s="55"/>
      <c r="DY5" s="31"/>
      <c r="EB5" s="28">
        <v>2</v>
      </c>
      <c r="EC5" s="29" t="str">
        <f t="dataTable" ref="EC5:ED503" dt2D="0" dtr="0" r1="EG1" ca="1"/>
        <v>NY Islanders</v>
      </c>
      <c r="ED5" s="31" t="str">
        <v>Anaheim</v>
      </c>
      <c r="EG5" s="28"/>
      <c r="EP5" s="55"/>
      <c r="EU5" s="55"/>
      <c r="EY5" s="55"/>
      <c r="FC5" s="55"/>
      <c r="FG5" s="55"/>
      <c r="FK5" s="55"/>
      <c r="FN5" s="55"/>
      <c r="FP5" s="31"/>
      <c r="FR5" s="29">
        <v>3</v>
      </c>
      <c r="FS5" s="29" t="str">
        <v>Winnipeg</v>
      </c>
    </row>
    <row r="6" spans="1:175">
      <c r="A6" s="29">
        <v>3</v>
      </c>
      <c r="B6" s="29" t="s">
        <v>233</v>
      </c>
      <c r="C6" s="29">
        <f t="shared" si="0"/>
        <v>0.84540679915027861</v>
      </c>
      <c r="D6" s="29">
        <f>VLOOKUP(B6,'Team Stats'!$A$2:$H$18,7,0)</f>
        <v>2.84</v>
      </c>
      <c r="E6" s="29">
        <f>VLOOKUP(B6,'Team Stats'!$A$2:$H$18,8,0)</f>
        <v>2.39</v>
      </c>
      <c r="F6" s="30"/>
      <c r="G6" s="29">
        <v>2</v>
      </c>
      <c r="H6" s="29">
        <v>5</v>
      </c>
      <c r="I6" s="29">
        <f t="shared" si="1"/>
        <v>0.84854221314066169</v>
      </c>
      <c r="J6" s="29">
        <f t="shared" si="2"/>
        <v>2.76</v>
      </c>
      <c r="K6" s="29">
        <f t="shared" si="3"/>
        <v>2.52</v>
      </c>
      <c r="L6" s="29">
        <f>J6-(I2-K7)</f>
        <v>2.5743333333333331</v>
      </c>
      <c r="M6" s="51">
        <f t="shared" ca="1" si="4"/>
        <v>0.8870484411292977</v>
      </c>
      <c r="N6" s="29">
        <f t="shared" ca="1" si="5"/>
        <v>2</v>
      </c>
      <c r="O6" s="29">
        <f t="shared" ca="1" si="6"/>
        <v>2</v>
      </c>
      <c r="P6" s="55">
        <f t="shared" ref="P6:P10" ca="1" si="19">IF(O6&gt;O7,H6,H7)</f>
        <v>4</v>
      </c>
      <c r="Q6" s="29">
        <f ca="1">_xlfn.NORM.INV(RAND(),$I$6,$G$2*$H$2)</f>
        <v>0.81974640375326757</v>
      </c>
      <c r="R6" s="29">
        <f t="shared" ca="1" si="7"/>
        <v>1</v>
      </c>
      <c r="S6" s="29">
        <f t="shared" ca="1" si="8"/>
        <v>1</v>
      </c>
      <c r="T6" s="55">
        <f t="shared" ref="T6:T10" ca="1" si="20">IF(R6&gt;R7,H6,H7)</f>
        <v>5</v>
      </c>
      <c r="U6" s="29">
        <f ca="1">_xlfn.NORM.INV(RAND(),$I$6,$G$2*$H$2)</f>
        <v>0.8511816387593325</v>
      </c>
      <c r="V6" s="29">
        <f t="shared" ca="1" si="9"/>
        <v>1</v>
      </c>
      <c r="W6" s="29">
        <f t="shared" ca="1" si="10"/>
        <v>1</v>
      </c>
      <c r="X6" s="55">
        <f ca="1">IF(V6&gt;V7,H6,H7)</f>
        <v>5</v>
      </c>
      <c r="Y6" s="29">
        <f ca="1">_xlfn.NORM.INV(RAND(),$I$6,$G$2*$H$2)</f>
        <v>0.79726401482105991</v>
      </c>
      <c r="Z6" s="29">
        <f t="shared" ca="1" si="11"/>
        <v>2</v>
      </c>
      <c r="AA6" s="29">
        <f t="shared" ca="1" si="12"/>
        <v>2</v>
      </c>
      <c r="AB6" s="55">
        <f t="shared" ref="AB6:AB10" ca="1" si="21">IF(Z6&gt;Z7,H6,H7)</f>
        <v>4</v>
      </c>
      <c r="AC6" s="29">
        <f ca="1">_xlfn.NORM.INV(RAND(),$I$6,$G$2*$H$2)</f>
        <v>0.80057532853983415</v>
      </c>
      <c r="AD6" s="29">
        <f t="shared" ca="1" si="13"/>
        <v>2</v>
      </c>
      <c r="AE6" s="29">
        <f t="shared" ca="1" si="14"/>
        <v>2</v>
      </c>
      <c r="AF6" s="55">
        <f ca="1">IF((COUNTIF(P6:P7,4)+COUNTIF(T6:T7,4)+COUNTIF(X6:X7,4)+COUNTIF(AB6:AB7,4))=4,"",IF((COUNTIF(P6:P7,5)+COUNTIF(T6:T7,5)+COUNTIF(X6:X7,5)+COUNTIF(AB6:AB7,5))=4,"",IF(AE6&gt;AE7,H6,H7)))</f>
        <v>4</v>
      </c>
      <c r="AG6" s="29">
        <f ca="1">_xlfn.NORM.INV(RAND(),$I$6,$G$2*$H$2)</f>
        <v>0.84035946726881439</v>
      </c>
      <c r="AH6" s="29">
        <f t="shared" ca="1" si="15"/>
        <v>0</v>
      </c>
      <c r="AI6" s="29">
        <f t="shared" ca="1" si="16"/>
        <v>0</v>
      </c>
      <c r="AJ6" s="55">
        <f ca="1">IF((COUNTIF(P6:P7,4)+COUNTIF(T6:T7,4)+COUNTIF(X6:X7,4)+COUNTIF(AB6:AB7,4)+COUNTIF(AF6:AF7,5))=4,"",IF((COUNTIF(P6:P7,5)+COUNTIF(T6:T7,5)+COUNTIF(X6:X7,5)+COUNTIF(AB6:AB7,5)+COUNTIF(AF6:AF7,5))=4,"",IF(AI6&gt;AI7,H6,H7)))</f>
        <v>4</v>
      </c>
      <c r="AK6" s="29">
        <f ca="1">_xlfn.NORM.INV(RAND(),$I$6,$G$2*$H$2)</f>
        <v>0.86022401993349806</v>
      </c>
      <c r="AL6" s="29">
        <f t="shared" ca="1" si="17"/>
        <v>2</v>
      </c>
      <c r="AM6" s="29">
        <f t="shared" ca="1" si="18"/>
        <v>2</v>
      </c>
      <c r="AN6" s="55" t="str">
        <f ca="1">IF((COUNTIF(P6:P7,4)+COUNTIF(T6:T7,4)+COUNTIF(X6:X7,4)+COUNTIF(AB6:AB7,4)+COUNTIF(AF6:AF7,4)+COUNTIF(AJ6:AJ7,4))=4,"",IF((COUNTIF(P6:P7,5)+COUNTIF(T6:T7,5)+COUNTIF(X6:X7,5)+COUNTIF(AB6:AB7,5)+COUNTIF(AF6:AF7,5)+COUNTIF(AJ6:AJ7,5))=4,"",IF(AM6&gt;AM7,H6,H7)))</f>
        <v/>
      </c>
      <c r="AO6" s="31">
        <f ca="1">IF((COUNTIF(P6:P7,4)+COUNTIF(T6:T7,4)+COUNTIF(X6:X7,4)+COUNTIF(AB6:AB7,4)+COUNTIF(AF6:AF7,4)+COUNTIF(AJ6:AJ7,4)+COUNTIF(AN6:AN7,4)&gt;COUNTIF(P6:P7,5)+COUNTIF(T6:T7,5)+COUNTIF(X6:X7,5)+COUNTIF(AB6:AB7,5)+COUNTIF(AF6:AF7,5)+COUNTIF(AJ6:AJ7,5)+COUNTIF(AN6:AN7,5)),H6,H7)</f>
        <v>5</v>
      </c>
      <c r="AP6" s="29" t="str">
        <f t="shared" ref="AP6:AP10" ca="1" si="22">VLOOKUP(AO6,$A$4:$E$11,2,0)</f>
        <v>Detroit</v>
      </c>
      <c r="AQ6" s="29">
        <f t="shared" ref="AQ6:AQ10" ca="1" si="23">7-(COUNTIF(P6,"")+COUNTIF(T6,"")+COUNTIF(X6,"")+COUNTIF(AB6,"")+COUNTIF(AF6,"")+COUNTIF(AJ6,"")+COUNTIF(AN6,""))</f>
        <v>6</v>
      </c>
      <c r="AR6" s="28">
        <v>3</v>
      </c>
      <c r="AS6" s="29" t="str">
        <v>Montreal</v>
      </c>
      <c r="AT6" s="29" t="str">
        <v>Detroit</v>
      </c>
      <c r="AU6" s="29" t="str">
        <v>Washington</v>
      </c>
      <c r="AV6" s="31" t="str">
        <v>NY Rangers</v>
      </c>
      <c r="AW6" s="28">
        <v>3</v>
      </c>
      <c r="AX6" s="29" t="str">
        <v>Minnesota</v>
      </c>
      <c r="AY6" s="29" t="str">
        <v>Nashville</v>
      </c>
      <c r="AZ6" s="29" t="str">
        <v>Vancouver</v>
      </c>
      <c r="BA6" s="31" t="str">
        <v>Anaheim</v>
      </c>
      <c r="BB6" s="29" t="str">
        <f ca="1">AP6</f>
        <v>Detroit</v>
      </c>
      <c r="BC6" s="29">
        <f t="shared" ref="BC6:BC10" ca="1" si="24">VLOOKUP(AO6,$A$4:$E$11,3,0)</f>
        <v>0.84854221314066169</v>
      </c>
      <c r="BD6" s="29">
        <f t="shared" ref="BD6:BD10" ca="1" si="25">VLOOKUP(AO6,$A$4:$L$11,4,0)</f>
        <v>2.76</v>
      </c>
      <c r="BE6" s="29">
        <f t="shared" ref="BE6:BE10" ca="1" si="26">VLOOKUP(AO6,$A$4:$L$11,5,0)</f>
        <v>2.52</v>
      </c>
      <c r="BF6" s="29">
        <f ca="1">BD6-(I2-BE4)</f>
        <v>2.5743333333333331</v>
      </c>
      <c r="BG6" s="28">
        <f ca="1">_xlfn.NORM.INV(RAND(),BC6,$G$2*$H$2)</f>
        <v>0.89040820123512021</v>
      </c>
      <c r="BH6" s="29">
        <f t="shared" ref="BH6:BH10" ca="1" si="27">ranpoi(BF6*BG6,RAND()*BG6)</f>
        <v>2</v>
      </c>
      <c r="BI6" s="29">
        <f t="shared" ref="BI6:BI10" ca="1" si="28">IF(BH6&gt;6,6,BH6)</f>
        <v>2</v>
      </c>
      <c r="BJ6" s="55"/>
      <c r="BK6" s="29">
        <f ca="1">_xlfn.NORM.INV(RAND(),BC6,$G$2*$H$2)</f>
        <v>0.82422571392420707</v>
      </c>
      <c r="BL6" s="29">
        <f t="shared" ref="BL6:BL10" ca="1" si="29">ranpoi(BF6*BK6,RAND()*BK6)</f>
        <v>3</v>
      </c>
      <c r="BM6" s="29">
        <f t="shared" ref="BM6:BM10" ca="1" si="30">IF(BL6&gt;6,6,BL6)</f>
        <v>3</v>
      </c>
      <c r="BN6" s="55"/>
      <c r="BO6" s="29">
        <f t="shared" ref="BO6:BO10" ca="1" si="31">_xlfn.NORM.INV(RAND(),BC6,$G$2*$H$2)</f>
        <v>0.80828848016781263</v>
      </c>
      <c r="BP6" s="29">
        <f t="shared" ref="BP6:BP10" ca="1" si="32">ranpoi(BF6*BO6,RAND()*BO6)</f>
        <v>1</v>
      </c>
      <c r="BQ6" s="29">
        <f t="shared" ref="BQ6:BQ10" ca="1" si="33">IF(BP6&gt;6,6,BP6)</f>
        <v>1</v>
      </c>
      <c r="BR6" s="55"/>
      <c r="BS6" s="29">
        <f t="shared" ref="BS6:BS10" ca="1" si="34">_xlfn.NORM.INV(RAND(),BC6,$G$2*$H$2)</f>
        <v>0.78574712841541949</v>
      </c>
      <c r="BT6" s="29">
        <f t="shared" ref="BT6:BT10" ca="1" si="35">ranpoi(BF6*BS6,RAND()*BS6)</f>
        <v>2</v>
      </c>
      <c r="BU6" s="29">
        <f t="shared" ref="BU6:BU10" ca="1" si="36">IF(BT6&gt;6,6,BT6)</f>
        <v>2</v>
      </c>
      <c r="BV6" s="55"/>
      <c r="BW6" s="29">
        <f t="shared" ref="BW6:BW10" ca="1" si="37">_xlfn.NORM.INV(RAND(),BC6,$G$2*$H$2)</f>
        <v>0.86337077324794387</v>
      </c>
      <c r="BX6" s="29">
        <f t="shared" ref="BX6:BX10" ca="1" si="38">ranpoi(BF6*BW6,RAND()*BW6)</f>
        <v>11</v>
      </c>
      <c r="BY6" s="29">
        <f t="shared" ref="BY6:BY10" ca="1" si="39">IF(BX6&gt;6,6,BX6)</f>
        <v>6</v>
      </c>
      <c r="BZ6" s="55"/>
      <c r="CA6" s="29">
        <f t="shared" ref="CA6:CA10" ca="1" si="40">_xlfn.NORM.INV(RAND(),BC6,$G$2*$H$2)</f>
        <v>0.80336513794504372</v>
      </c>
      <c r="CB6" s="29">
        <f t="shared" ref="CB6:CB10" ca="1" si="41">ranpoi(BF6*CA6,RAND()*CA6)</f>
        <v>2</v>
      </c>
      <c r="CC6" s="29">
        <f t="shared" ref="CC6:CC10" ca="1" si="42">IF(CB6&gt;6,6,CB6)</f>
        <v>2</v>
      </c>
      <c r="CD6" s="55"/>
      <c r="CE6" s="29">
        <f t="shared" ref="CE6:CE10" ca="1" si="43">_xlfn.NORM.INV(RAND(),BC6,$G$2*$H$2)</f>
        <v>0.78973389587998699</v>
      </c>
      <c r="CF6" s="29">
        <f t="shared" ref="CF6:CF10" ca="1" si="44">ranpoi(BF6*CE6,RAND()*CE6)</f>
        <v>6</v>
      </c>
      <c r="CG6" s="29">
        <f t="shared" ref="CG6:CG10" ca="1" si="45">IF(CF6&gt;6,6,CF6)</f>
        <v>6</v>
      </c>
      <c r="CH6" s="55"/>
      <c r="CI6" s="31"/>
      <c r="CL6" s="28">
        <v>3</v>
      </c>
      <c r="CM6" s="29" t="str">
        <v>Detroit</v>
      </c>
      <c r="CN6" s="31" t="str">
        <v>NY Islanders</v>
      </c>
      <c r="CO6" s="28">
        <v>3</v>
      </c>
      <c r="CP6" s="29" t="str">
        <v>Chicago</v>
      </c>
      <c r="CQ6" s="31" t="str">
        <v>Anaheim</v>
      </c>
      <c r="CS6" s="28"/>
      <c r="CZ6" s="55"/>
      <c r="DD6" s="55"/>
      <c r="DH6" s="55"/>
      <c r="DL6" s="55"/>
      <c r="DP6" s="55"/>
      <c r="DT6" s="55"/>
      <c r="DX6" s="55"/>
      <c r="DY6" s="31"/>
      <c r="EB6" s="28">
        <v>3</v>
      </c>
      <c r="EC6" s="29" t="str">
        <v>Washington</v>
      </c>
      <c r="ED6" s="31" t="str">
        <v>Anaheim</v>
      </c>
      <c r="EG6" s="28"/>
      <c r="EP6" s="55"/>
      <c r="EU6" s="55"/>
      <c r="EY6" s="55"/>
      <c r="FC6" s="55"/>
      <c r="FG6" s="55"/>
      <c r="FK6" s="55"/>
      <c r="FN6" s="55"/>
      <c r="FP6" s="31"/>
      <c r="FR6" s="29">
        <v>4</v>
      </c>
      <c r="FS6" s="29" t="str">
        <v>Washington</v>
      </c>
    </row>
    <row r="7" spans="1:175">
      <c r="A7" s="29">
        <v>4</v>
      </c>
      <c r="B7" s="29" t="s">
        <v>231</v>
      </c>
      <c r="C7" s="29">
        <f t="shared" si="0"/>
        <v>0.84438445187368572</v>
      </c>
      <c r="D7" s="29">
        <f>VLOOKUP(B7,'Team Stats'!$A$2:$H$18,7,0)</f>
        <v>3.12</v>
      </c>
      <c r="E7" s="29">
        <f>VLOOKUP(B7,'Team Stats'!$A$2:$H$18,8,0)</f>
        <v>2.48</v>
      </c>
      <c r="F7" s="30"/>
      <c r="H7" s="29">
        <v>4</v>
      </c>
      <c r="I7" s="29">
        <f t="shared" si="1"/>
        <v>0.84438445187368572</v>
      </c>
      <c r="J7" s="29">
        <f t="shared" si="2"/>
        <v>3.12</v>
      </c>
      <c r="K7" s="29">
        <f t="shared" si="3"/>
        <v>2.48</v>
      </c>
      <c r="L7" s="29">
        <f>J7-(I2-K6)</f>
        <v>2.9743333333333335</v>
      </c>
      <c r="M7" s="51">
        <f t="shared" ca="1" si="4"/>
        <v>0.80947827459007182</v>
      </c>
      <c r="N7" s="29">
        <f t="shared" ca="1" si="5"/>
        <v>3</v>
      </c>
      <c r="O7" s="29">
        <f t="shared" ca="1" si="6"/>
        <v>3</v>
      </c>
      <c r="P7" s="55"/>
      <c r="Q7" s="29">
        <f ca="1">_xlfn.NORM.INV(RAND(),$I$7,$G$2*$H$2)</f>
        <v>0.78663595622530813</v>
      </c>
      <c r="R7" s="29">
        <f t="shared" ca="1" si="7"/>
        <v>0</v>
      </c>
      <c r="S7" s="29">
        <f t="shared" ca="1" si="8"/>
        <v>0</v>
      </c>
      <c r="T7" s="55"/>
      <c r="U7" s="29">
        <f ca="1">_xlfn.NORM.INV(RAND(),$I$7,$G$2*$H$2)</f>
        <v>0.8105914864187016</v>
      </c>
      <c r="V7" s="29">
        <f t="shared" ca="1" si="9"/>
        <v>0</v>
      </c>
      <c r="W7" s="29">
        <f t="shared" ca="1" si="10"/>
        <v>0</v>
      </c>
      <c r="X7" s="55"/>
      <c r="Y7" s="29">
        <f ca="1">_xlfn.NORM.INV(RAND(),$I$7,$G$2*$H$2)</f>
        <v>0.88868036101660053</v>
      </c>
      <c r="Z7" s="29">
        <f t="shared" ca="1" si="11"/>
        <v>2</v>
      </c>
      <c r="AA7" s="29">
        <f t="shared" ca="1" si="12"/>
        <v>2</v>
      </c>
      <c r="AB7" s="55"/>
      <c r="AC7" s="29">
        <f ca="1">_xlfn.NORM.INV(RAND(),$I$7,$G$2*$H$2)</f>
        <v>0.82726738509813824</v>
      </c>
      <c r="AD7" s="29">
        <f t="shared" ca="1" si="13"/>
        <v>2</v>
      </c>
      <c r="AE7" s="29">
        <f t="shared" ca="1" si="14"/>
        <v>2</v>
      </c>
      <c r="AF7" s="55"/>
      <c r="AG7" s="29">
        <f ca="1">_xlfn.NORM.INV(RAND(),$I$7,$G$2*$H$2)</f>
        <v>0.88316096292104274</v>
      </c>
      <c r="AH7" s="29">
        <f t="shared" ca="1" si="15"/>
        <v>8</v>
      </c>
      <c r="AI7" s="29">
        <f t="shared" ca="1" si="16"/>
        <v>6</v>
      </c>
      <c r="AJ7" s="55"/>
      <c r="AK7" s="29">
        <f ca="1">_xlfn.NORM.INV(RAND(),$I$7,$G$2*$H$2)</f>
        <v>0.83081205853633355</v>
      </c>
      <c r="AL7" s="29">
        <f t="shared" ca="1" si="17"/>
        <v>5</v>
      </c>
      <c r="AM7" s="29">
        <f t="shared" ca="1" si="18"/>
        <v>5</v>
      </c>
      <c r="AN7" s="55"/>
      <c r="AO7" s="31"/>
      <c r="AR7" s="28">
        <v>4</v>
      </c>
      <c r="AS7" s="29" t="str">
        <v>Montreal</v>
      </c>
      <c r="AT7" s="29" t="str">
        <v>Detroit</v>
      </c>
      <c r="AU7" s="29" t="str">
        <v>NY Islanders</v>
      </c>
      <c r="AV7" s="31" t="str">
        <v>Pittsburgh</v>
      </c>
      <c r="AW7" s="28">
        <v>4</v>
      </c>
      <c r="AX7" s="29" t="str">
        <v>Minnesota</v>
      </c>
      <c r="AY7" s="29" t="str">
        <v>Nashville</v>
      </c>
      <c r="AZ7" s="29" t="str">
        <v>Vancouver</v>
      </c>
      <c r="BA7" s="31" t="str">
        <v>Winnipeg</v>
      </c>
      <c r="BG7" s="28"/>
      <c r="BJ7" s="55"/>
      <c r="BN7" s="55"/>
      <c r="BR7" s="55"/>
      <c r="BV7" s="55"/>
      <c r="BZ7" s="55"/>
      <c r="CD7" s="55"/>
      <c r="CH7" s="55"/>
      <c r="CI7" s="31"/>
      <c r="CL7" s="28">
        <v>4</v>
      </c>
      <c r="CM7" s="29" t="str">
        <v>Detroit</v>
      </c>
      <c r="CN7" s="31" t="str">
        <v>NY Islanders</v>
      </c>
      <c r="CO7" s="28">
        <v>4</v>
      </c>
      <c r="CP7" s="29" t="str">
        <v>Chicago</v>
      </c>
      <c r="CQ7" s="31" t="str">
        <v>Vancouver</v>
      </c>
      <c r="CS7" s="28"/>
      <c r="CZ7" s="55"/>
      <c r="DD7" s="55"/>
      <c r="DH7" s="55"/>
      <c r="DL7" s="55"/>
      <c r="DP7" s="55"/>
      <c r="DT7" s="55"/>
      <c r="DX7" s="55"/>
      <c r="DY7" s="31"/>
      <c r="EB7" s="28">
        <v>4</v>
      </c>
      <c r="EC7" s="29" t="str">
        <v>Detroit</v>
      </c>
      <c r="ED7" s="31" t="str">
        <v>Minnesota</v>
      </c>
      <c r="EG7" s="28"/>
      <c r="EP7" s="55"/>
      <c r="EU7" s="55"/>
      <c r="EY7" s="55"/>
      <c r="FC7" s="55"/>
      <c r="FG7" s="55"/>
      <c r="FK7" s="55"/>
      <c r="FN7" s="55"/>
      <c r="FP7" s="31"/>
      <c r="FR7" s="29">
        <v>5</v>
      </c>
      <c r="FS7" s="29" t="str">
        <v>Anaheim</v>
      </c>
    </row>
    <row r="8" spans="1:175" ht="15.75" thickBot="1">
      <c r="A8" s="29">
        <v>5</v>
      </c>
      <c r="B8" s="29" t="s">
        <v>237</v>
      </c>
      <c r="C8" s="29">
        <f t="shared" si="0"/>
        <v>0.84854221314066169</v>
      </c>
      <c r="D8" s="29">
        <f>VLOOKUP(B8,'Team Stats'!$A$2:$H$18,7,0)</f>
        <v>2.76</v>
      </c>
      <c r="E8" s="29">
        <f>VLOOKUP(B8,'Team Stats'!$A$2:$H$18,8,0)</f>
        <v>2.52</v>
      </c>
      <c r="F8" s="30"/>
      <c r="G8" s="29">
        <v>3</v>
      </c>
      <c r="H8" s="29">
        <v>6</v>
      </c>
      <c r="I8" s="29">
        <f t="shared" si="1"/>
        <v>0.85372907708176415</v>
      </c>
      <c r="J8" s="29">
        <f t="shared" si="2"/>
        <v>2.94</v>
      </c>
      <c r="K8" s="29">
        <f t="shared" si="3"/>
        <v>2.68</v>
      </c>
      <c r="L8" s="29">
        <f>J8-(I2-K9)</f>
        <v>2.6643333333333334</v>
      </c>
      <c r="M8" s="51">
        <f t="shared" ca="1" si="4"/>
        <v>0.82218808384522979</v>
      </c>
      <c r="N8" s="29">
        <f t="shared" ca="1" si="5"/>
        <v>1</v>
      </c>
      <c r="O8" s="29">
        <f t="shared" ca="1" si="6"/>
        <v>1</v>
      </c>
      <c r="P8" s="55">
        <f t="shared" ca="1" si="19"/>
        <v>3</v>
      </c>
      <c r="Q8" s="29">
        <f ca="1">_xlfn.NORM.INV(RAND(),$I$8,$G$2*$H$2)</f>
        <v>0.92725460904376944</v>
      </c>
      <c r="R8" s="29">
        <f t="shared" ca="1" si="7"/>
        <v>6</v>
      </c>
      <c r="S8" s="29">
        <f t="shared" ca="1" si="8"/>
        <v>6</v>
      </c>
      <c r="T8" s="55">
        <f t="shared" ca="1" si="20"/>
        <v>6</v>
      </c>
      <c r="U8" s="29">
        <f ca="1">_xlfn.NORM.INV(RAND(),$I$8,$G$2*$H$2)</f>
        <v>0.84846499033761003</v>
      </c>
      <c r="V8" s="29">
        <f t="shared" ca="1" si="9"/>
        <v>0</v>
      </c>
      <c r="W8" s="29">
        <f t="shared" ca="1" si="10"/>
        <v>0</v>
      </c>
      <c r="X8" s="55">
        <f t="shared" ref="X8:X10" ca="1" si="46">IF(V8&gt;V9,H8,H9)</f>
        <v>3</v>
      </c>
      <c r="Y8" s="29">
        <f ca="1">_xlfn.NORM.INV(RAND(),$I$8,$G$2*$H$2)</f>
        <v>0.79191794706403318</v>
      </c>
      <c r="Z8" s="29">
        <f t="shared" ca="1" si="11"/>
        <v>7</v>
      </c>
      <c r="AA8" s="29">
        <f t="shared" ca="1" si="12"/>
        <v>6</v>
      </c>
      <c r="AB8" s="55">
        <f t="shared" ca="1" si="21"/>
        <v>3</v>
      </c>
      <c r="AC8" s="29">
        <f ca="1">_xlfn.NORM.INV(RAND(),$I$8,$G$2*$H$2)</f>
        <v>0.84302468145254361</v>
      </c>
      <c r="AD8" s="29">
        <f t="shared" ca="1" si="13"/>
        <v>4</v>
      </c>
      <c r="AE8" s="29">
        <f t="shared" ca="1" si="14"/>
        <v>4</v>
      </c>
      <c r="AF8" s="55">
        <f ca="1">IF((COUNTIF(P8:P9,6)+COUNTIF(T8:T9,6)+COUNTIF(X8:X9,6)+COUNTIF(AB8:AB9,6))=4,"",IF((COUNTIF(P8:P9,3)+COUNTIF(T8:T9,3)+COUNTIF(X8:X9,3)+COUNTIF(AB8:AB9,3))=4,"",IF(AE8&gt;AE9,H8,H9)))</f>
        <v>3</v>
      </c>
      <c r="AG8" s="29">
        <f ca="1">_xlfn.NORM.INV(RAND(),$I$8,$G$2*$H$2)</f>
        <v>0.89884613613854625</v>
      </c>
      <c r="AH8" s="29">
        <f t="shared" ca="1" si="15"/>
        <v>3</v>
      </c>
      <c r="AI8" s="29">
        <f t="shared" ca="1" si="16"/>
        <v>3</v>
      </c>
      <c r="AJ8" s="55" t="str">
        <f ca="1">IF((COUNTIF(P8:P9,6)+COUNTIF(T8:T9,6)+COUNTIF(X8:X9,6)+COUNTIF(AB8:AB9,6)+COUNTIF(AF8:AF9,6))=4,"",IF((COUNTIF(P8:P9,3)+COUNTIF(T8:T9,3)+COUNTIF(X8:X9,3)+COUNTIF(AB8:AB9,3)+COUNTIF(AF8:AF9,3))=4,"",IF(AI8&gt;AI9,H8,H9)))</f>
        <v/>
      </c>
      <c r="AK8" s="29">
        <f ca="1">_xlfn.NORM.INV(RAND(),$I$8,$G$2*$H$2)</f>
        <v>0.85599419588735426</v>
      </c>
      <c r="AL8" s="29">
        <f t="shared" ca="1" si="17"/>
        <v>6</v>
      </c>
      <c r="AM8" s="29">
        <f t="shared" ca="1" si="18"/>
        <v>6</v>
      </c>
      <c r="AN8" s="55" t="str">
        <f ca="1">IF((COUNTIF(P8:P9,6)+COUNTIF(T8:T9,6)+COUNTIF(X8:X9,6)+COUNTIF(AB8:AB9,6)+COUNTIF(AF8:AF9,6)+COUNTIF(AJ8:AJ9,6))=4,"",IF((COUNTIF(P8:P9,3)+COUNTIF(T8:T9,3)+COUNTIF(X8:X9,3)+COUNTIF(AB8:AB9,3)+COUNTIF(AF8:AF9,3)+COUNTIF(AJ8:AJ9,3))=4,"",IF(AM8&gt;AM9,H8,H9)))</f>
        <v/>
      </c>
      <c r="AO8" s="31">
        <f ca="1">IF((COUNTIF(P8:P9,6)+COUNTIF(T8:T9,6)+COUNTIF(X8:X9,6)+COUNTIF(AB8:AB9,6)+COUNTIF(AF8:AF9,6)+COUNTIF(AJ8:AJ9,6)+COUNTIF(AN8:AN9,6)&gt;COUNTIF(P8:P9,3)+COUNTIF(T8:T9,3)+COUNTIF(X8:X9,3)+COUNTIF(AB8:AB9,3)+COUNTIF(AF8:AF9,3)+COUNTIF(AJ8:AJ9,3)+COUNTIF(AN8:AN9,3)),H8,H9)</f>
        <v>3</v>
      </c>
      <c r="AP8" s="29" t="str">
        <f t="shared" ca="1" si="22"/>
        <v>Washington</v>
      </c>
      <c r="AQ8" s="29">
        <f t="shared" ca="1" si="23"/>
        <v>5</v>
      </c>
      <c r="AR8" s="28">
        <v>5</v>
      </c>
      <c r="AS8" s="29" t="str">
        <v>Ottawa</v>
      </c>
      <c r="AT8" s="29" t="str">
        <v>Detroit</v>
      </c>
      <c r="AU8" s="29" t="str">
        <v>NY Islanders</v>
      </c>
      <c r="AV8" s="31" t="str">
        <v>NY Rangers</v>
      </c>
      <c r="AW8" s="28">
        <v>5</v>
      </c>
      <c r="AX8" s="29" t="str">
        <v>Minnesota</v>
      </c>
      <c r="AY8" s="29" t="str">
        <v>Chicago</v>
      </c>
      <c r="AZ8" s="29" t="str">
        <v>Vancouver</v>
      </c>
      <c r="BA8" s="31" t="str">
        <v>Anaheim</v>
      </c>
      <c r="BB8" s="29" t="str">
        <f ca="1">AP8</f>
        <v>Washington</v>
      </c>
      <c r="BC8" s="29">
        <f t="shared" ca="1" si="24"/>
        <v>0.84540679915027861</v>
      </c>
      <c r="BD8" s="29">
        <f t="shared" ca="1" si="25"/>
        <v>2.84</v>
      </c>
      <c r="BE8" s="29">
        <f t="shared" ca="1" si="26"/>
        <v>2.39</v>
      </c>
      <c r="BF8" s="29">
        <f ca="1">BD8-(I2-BE10)</f>
        <v>2.4243333333333332</v>
      </c>
      <c r="BG8" s="28">
        <f ca="1">_xlfn.NORM.INV(RAND(),BC8,$G$2*$H$2)</f>
        <v>0.80247110536204447</v>
      </c>
      <c r="BH8" s="29">
        <f t="shared" ca="1" si="27"/>
        <v>5</v>
      </c>
      <c r="BI8" s="29">
        <f t="shared" ca="1" si="28"/>
        <v>5</v>
      </c>
      <c r="BJ8" s="55">
        <f ca="1">IF(BI8&gt;BI10,AO8,AO10)</f>
        <v>3</v>
      </c>
      <c r="BK8" s="29">
        <f t="shared" ref="BK8:BK10" ca="1" si="47">_xlfn.NORM.INV(RAND(),BC8,$G$2*$H$2)</f>
        <v>0.80895002075345535</v>
      </c>
      <c r="BL8" s="29">
        <f t="shared" ca="1" si="29"/>
        <v>1</v>
      </c>
      <c r="BM8" s="29">
        <f t="shared" ca="1" si="30"/>
        <v>1</v>
      </c>
      <c r="BN8" s="55">
        <f ca="1">IF(BM8&gt;BM10,AO8,AO10)</f>
        <v>3</v>
      </c>
      <c r="BO8" s="29">
        <f t="shared" ca="1" si="31"/>
        <v>0.87356595229177514</v>
      </c>
      <c r="BP8" s="29">
        <f t="shared" ca="1" si="32"/>
        <v>1</v>
      </c>
      <c r="BQ8" s="29">
        <f t="shared" ca="1" si="33"/>
        <v>1</v>
      </c>
      <c r="BR8" s="55">
        <f t="shared" ref="BR8" ca="1" si="48">IF(BQ8&gt;BQ10,AO8,AO10)</f>
        <v>3</v>
      </c>
      <c r="BS8" s="29">
        <f t="shared" ca="1" si="34"/>
        <v>0.88225554699631892</v>
      </c>
      <c r="BT8" s="29">
        <f t="shared" ca="1" si="35"/>
        <v>0</v>
      </c>
      <c r="BU8" s="29">
        <f t="shared" ca="1" si="36"/>
        <v>0</v>
      </c>
      <c r="BV8" s="55">
        <f t="shared" ref="BV8" ca="1" si="49">IF(BU8&gt;BU10,AO8,AO10)</f>
        <v>2</v>
      </c>
      <c r="BW8" s="29">
        <f t="shared" ca="1" si="37"/>
        <v>0.83142080564916843</v>
      </c>
      <c r="BX8" s="29">
        <f t="shared" ca="1" si="38"/>
        <v>1</v>
      </c>
      <c r="BY8" s="29">
        <f t="shared" ca="1" si="39"/>
        <v>1</v>
      </c>
      <c r="BZ8" s="55">
        <f ca="1">IF((COUNTIF(BJ8:BJ9,AO8)+COUNTIF(BN8:BN9,AO8)+COUNTIF(BR8:BR9,AO8)+COUNTIF(BV8:BV9,AO8))=4,"",IF((COUNTIF(BJ8:BJ9,AO10)+COUNTIF(BN8:BN9,AO10)+COUNTIF(BR8:BR9,AO10)+COUNTIF(BV8:BV9,AO10))=4,"",IF(BY8&gt;BY10,AO8,AO10)))</f>
        <v>3</v>
      </c>
      <c r="CA8" s="29">
        <f t="shared" ca="1" si="40"/>
        <v>0.8859656795144657</v>
      </c>
      <c r="CB8" s="29">
        <f ca="1">ranpoi(BF8*CA8,RAND()*CA8)</f>
        <v>4</v>
      </c>
      <c r="CC8" s="29">
        <f t="shared" ca="1" si="42"/>
        <v>4</v>
      </c>
      <c r="CD8" s="55" t="str">
        <f t="shared" ref="CD8" ca="1" si="50">IF((COUNTIF(BJ8:BJ9,AO8)+COUNTIF(BN8:BN9,AO8)+COUNTIF(BR8:BR9,AO8)+COUNTIF(BV8:BV9,AO8)+COUNTIF(BZ8:BZ9,AO8))=4,"",IF((COUNTIF(BJ8:BJ9,AO10)+COUNTIF(BN8:BN9,AO10)+COUNTIF(BR8:BR9,AO10)+COUNTIF(BV8:BV9,AO10)+COUNTIF(BZ8:BZ9,AO10))=4,"",IF(CC8&gt;CC10,AO8,AO10)))</f>
        <v/>
      </c>
      <c r="CE8" s="29">
        <f t="shared" ca="1" si="43"/>
        <v>0.83258962302360384</v>
      </c>
      <c r="CF8" s="29">
        <f t="shared" ca="1" si="44"/>
        <v>0</v>
      </c>
      <c r="CG8" s="29">
        <f t="shared" ca="1" si="45"/>
        <v>0</v>
      </c>
      <c r="CH8" s="55" t="str">
        <f ca="1">IF((COUNTIF(BJ8:BJ9,AO8)+COUNTIF(BN8:BN9,AO8)+COUNTIF(BR8:BR9,AO8)+COUNTIF(BV8:BV9,AO8)+COUNTIF(BZ8:BZ9,AO8)+COUNTIF(CD8:CD9,AO8))=4,"",IF((COUNTIF(BJ8:BJ9,AO10)+COUNTIF(BN8:BN9,AO10)+COUNTIF(BR8:BR9,AO10)+COUNTIF(BV8:BV9,AO10)+COUNTIF(BZ8:BZ9,AO10)+COUNTIF(CD8:CD9,AO10))=4,"",IF(CC8&gt;CC10,AO8,AO10)))</f>
        <v/>
      </c>
      <c r="CI8" s="31">
        <f ca="1">IF((COUNTIF(BJ8:BJ9,AO8)+COUNTIF(BN8:BN9,AO8)+COUNTIF(BR8:BR9,AO8)+COUNTIF(BV8:BV9,AO8)+COUNTIF(BZ8:BZ9,AO8)+COUNTIF(CD8:CD9,AO8)+COUNTIF(CH8:CH9,AO8)&gt;COUNTIF(BJ8:BJ9,AO10)+COUNTIF(BN8:BN9,AO10)+COUNTIF(BR8:BR9,AO10)+COUNTIF(BV8:BV9,AO10)+COUNTIF(BZ8:BZ9,AO10)+COUNTIF(CD8:CD9,AO10)+COUNTIF(CH8:CH9,AO10)),AO8,AO10)</f>
        <v>3</v>
      </c>
      <c r="CJ8" s="29" t="str">
        <f t="shared" ref="CJ8" ca="1" si="51">VLOOKUP(CI8,$A$4:$E$11,2,0)</f>
        <v>Washington</v>
      </c>
      <c r="CK8" s="29">
        <f ca="1">7-(COUNTIF(BJ8,"")+COUNTIF(BN8,"")+COUNTIF(BR8,"")+COUNTIF(BV8,"")+COUNTIF(BZ8,"")+COUNTIF(CD8,"")+COUNTIF(CH8,""))</f>
        <v>5</v>
      </c>
      <c r="CL8" s="28">
        <v>5</v>
      </c>
      <c r="CM8" s="29" t="str">
        <v>Detroit</v>
      </c>
      <c r="CN8" s="31" t="str">
        <v>Washington</v>
      </c>
      <c r="CO8" s="28">
        <v>5</v>
      </c>
      <c r="CP8" s="29" t="str">
        <v>Chicago</v>
      </c>
      <c r="CQ8" s="31" t="str">
        <v>Vancouver</v>
      </c>
      <c r="CR8" s="29" t="str">
        <f ca="1">CJ8</f>
        <v>Washington</v>
      </c>
      <c r="CS8" s="28">
        <f ca="1">VLOOKUP(CI8,$A$4:$E$11,3,0)</f>
        <v>0.84540679915027861</v>
      </c>
      <c r="CT8" s="29">
        <f ca="1">VLOOKUP(CI8,$A$4:$E$11,4,0)</f>
        <v>2.84</v>
      </c>
      <c r="CU8" s="29">
        <f ca="1">VLOOKUP(CI8,$A$4:$E$11,5,0)</f>
        <v>2.39</v>
      </c>
      <c r="CV8" s="29">
        <f ca="1">CT8-(I2-CU4)</f>
        <v>2.6943333333333332</v>
      </c>
      <c r="CW8" s="29">
        <f ca="1">_xlfn.NORM.INV(RAND(),$I$8,$G$2*$H$2)</f>
        <v>0.8139086788376878</v>
      </c>
      <c r="CX8" s="29">
        <f t="shared" ref="CX8" ca="1" si="52">ranpoi(CV8*CW8,(RAND()*CW8))</f>
        <v>6</v>
      </c>
      <c r="CY8" s="29">
        <f t="shared" ref="CY8" ca="1" si="53">IF(CX8&gt;6,6,CX8)</f>
        <v>6</v>
      </c>
      <c r="CZ8" s="55"/>
      <c r="DA8" s="29">
        <f ca="1">_xlfn.NORM.INV(RAND(),$I$8,$G$2*$H$2)</f>
        <v>0.8642625260832435</v>
      </c>
      <c r="DB8" s="29">
        <f t="shared" ref="DB8" ca="1" si="54">ranpoi(CV8*DA8,(RAND()*DA8))</f>
        <v>1</v>
      </c>
      <c r="DC8" s="29">
        <f t="shared" ref="DC8" ca="1" si="55">IF(DB8&gt;6,6,DB8)</f>
        <v>1</v>
      </c>
      <c r="DD8" s="55"/>
      <c r="DE8" s="29">
        <f ca="1">_xlfn.NORM.INV(RAND(),$I$8,$G$2*$H$2)</f>
        <v>0.81029224188566229</v>
      </c>
      <c r="DF8" s="29">
        <f t="shared" ref="DF8" ca="1" si="56">ranpoi(CV8*DE8,(RAND()*DE8))</f>
        <v>6</v>
      </c>
      <c r="DG8" s="29">
        <f t="shared" ref="DG8" ca="1" si="57">IF(DF8&gt;6,6,DF8)</f>
        <v>6</v>
      </c>
      <c r="DH8" s="55"/>
      <c r="DI8" s="29">
        <f ca="1">_xlfn.NORM.INV(RAND(),$I$8,$G$2*$H$2)</f>
        <v>0.8705468996234349</v>
      </c>
      <c r="DJ8" s="29">
        <f t="shared" ref="DJ8" ca="1" si="58">ranpoi(CV8*DI8,(RAND()*DI8))</f>
        <v>1</v>
      </c>
      <c r="DK8" s="29">
        <f t="shared" ref="DK8" ca="1" si="59">IF(DJ8&gt;6,6,DJ8)</f>
        <v>1</v>
      </c>
      <c r="DL8" s="55"/>
      <c r="DM8" s="29">
        <f ca="1">_xlfn.NORM.INV(RAND(),$I$8,$G$2*$H$2)</f>
        <v>0.85921944179290355</v>
      </c>
      <c r="DN8" s="29">
        <f t="shared" ref="DN8" ca="1" si="60">ranpoi(CV8*DM8,(RAND()*DM8))</f>
        <v>1</v>
      </c>
      <c r="DO8" s="29">
        <f t="shared" ref="DO8" ca="1" si="61">IF(DN8&gt;6,6,DN8)</f>
        <v>1</v>
      </c>
      <c r="DP8" s="55"/>
      <c r="DQ8" s="29">
        <f ca="1">_xlfn.NORM.INV(RAND(),$I$8,$G$2*$H$2)</f>
        <v>0.88757008948840643</v>
      </c>
      <c r="DR8" s="29">
        <f t="shared" ref="DR8" ca="1" si="62">ranpoi(CV8*DQ8,(RAND()*DQ8))</f>
        <v>5</v>
      </c>
      <c r="DS8" s="29">
        <f t="shared" ref="DS8" ca="1" si="63">IF(DR8&gt;6,6,DR8)</f>
        <v>5</v>
      </c>
      <c r="DT8" s="55"/>
      <c r="DU8" s="29">
        <f ca="1">_xlfn.NORM.INV(RAND(),$I$8,$G$2*$H$2)</f>
        <v>0.85004988815387272</v>
      </c>
      <c r="DV8" s="29">
        <f t="shared" ref="DV8" ca="1" si="64">ranpoi(CV8*DU8,(RAND()*DU8))</f>
        <v>2</v>
      </c>
      <c r="DW8" s="29">
        <f t="shared" ref="DW8" ca="1" si="65">IF(DV8&gt;6,6,DV8)</f>
        <v>2</v>
      </c>
      <c r="DX8" s="55"/>
      <c r="DY8" s="31"/>
      <c r="EB8" s="28">
        <v>5</v>
      </c>
      <c r="EC8" s="29" t="str">
        <v>Ottawa</v>
      </c>
      <c r="ED8" s="31" t="str">
        <v>Anaheim</v>
      </c>
      <c r="EG8" s="27">
        <f ca="1">DY17</f>
        <v>5</v>
      </c>
      <c r="EH8" s="32" t="str">
        <f ca="1">ED4</f>
        <v>Chicago</v>
      </c>
      <c r="EI8" s="32">
        <f ca="1">VLOOKUP($EG$8,$A$17:$E$24,3,0)</f>
        <v>0.84432567381361234</v>
      </c>
      <c r="EJ8" s="32">
        <f ca="1">VLOOKUP($EG$8,$A$17:$E$24,4,0)</f>
        <v>2.64</v>
      </c>
      <c r="EK8" s="32">
        <f ca="1">VLOOKUP($EG$8,$A$17:$E$24,5,0)</f>
        <v>2.23</v>
      </c>
      <c r="EL8" s="32">
        <f ca="1">EJ8-(I2-EK4)</f>
        <v>2.3643333333333336</v>
      </c>
      <c r="EM8" s="32">
        <f t="shared" ref="EM8" ca="1" si="66">_xlfn.NORM.INV(RAND(),EI8,$G$2*$H$2)</f>
        <v>0.87291020436106492</v>
      </c>
      <c r="EN8" s="32">
        <f t="shared" ref="EN8" ca="1" si="67">ranpoi(EL8*EM8,(RAND()*EM8))</f>
        <v>0</v>
      </c>
      <c r="EO8" s="32">
        <f t="shared" ref="EO8" ca="1" si="68">IF(EN8&gt;6,6,EN8)</f>
        <v>0</v>
      </c>
      <c r="EP8" s="56"/>
      <c r="EQ8" s="32">
        <f ca="1">_xlfn.NORM.INV(RAND(),EI8,$G$2*$H$2)</f>
        <v>0.85691174759408162</v>
      </c>
      <c r="ER8" s="32">
        <f t="shared" ref="ER8" ca="1" si="69">ranpoi(EL8*EQ8,(RAND()*EQ8))</f>
        <v>3</v>
      </c>
      <c r="ES8" s="32"/>
      <c r="ET8" s="32">
        <f t="shared" ref="ET8" ca="1" si="70">IF(ER8&gt;6,6,ER8)</f>
        <v>3</v>
      </c>
      <c r="EU8" s="56"/>
      <c r="EV8" s="32">
        <f ca="1">_xlfn.NORM.INV(RAND(),EI8,$G$2*$H$2)</f>
        <v>0.89053713291142422</v>
      </c>
      <c r="EW8" s="32">
        <f t="shared" ref="EW8" ca="1" si="71">ranpoi(EL8*EV8,(RAND()*EV8))</f>
        <v>4</v>
      </c>
      <c r="EX8" s="32">
        <f t="shared" ref="EX8" ca="1" si="72">IF(EW8&gt;6,6,EW8)</f>
        <v>4</v>
      </c>
      <c r="EY8" s="56"/>
      <c r="EZ8" s="32">
        <f ca="1">_xlfn.NORM.INV(RAND(),EI8,$G$2*$H$2)</f>
        <v>0.90624879685131055</v>
      </c>
      <c r="FA8" s="32">
        <f t="shared" ref="FA8" ca="1" si="73">ranpoi(EL8*EZ8,(RAND()*EZ8))</f>
        <v>0</v>
      </c>
      <c r="FB8" s="32">
        <f t="shared" ref="FB8" ca="1" si="74">IF(FA8&gt;6,6,FA8)</f>
        <v>0</v>
      </c>
      <c r="FC8" s="56"/>
      <c r="FD8" s="32">
        <f ca="1">_xlfn.NORM.INV(RAND(),EI8,$G$2*$H$2)</f>
        <v>0.91317943019405612</v>
      </c>
      <c r="FE8" s="32">
        <f t="shared" ref="FE8" ca="1" si="75">ranpoi(EL8*FD8,(RAND()*FD8))</f>
        <v>2</v>
      </c>
      <c r="FF8" s="32">
        <f t="shared" ref="FF8" ca="1" si="76">IF(FE8&gt;6,6,FE8)</f>
        <v>2</v>
      </c>
      <c r="FG8" s="56"/>
      <c r="FH8" s="32">
        <f ca="1">_xlfn.NORM.INV(RAND(),EI8,$G$2*$H$2)</f>
        <v>0.83923527884628168</v>
      </c>
      <c r="FI8" s="32">
        <f t="shared" ref="FI8" ca="1" si="77">ranpoi(EL8*FH8,(RAND()*FH8))</f>
        <v>9</v>
      </c>
      <c r="FJ8" s="32">
        <f t="shared" ref="FJ8" ca="1" si="78">IF(FI8&gt;6,6,FI8)</f>
        <v>6</v>
      </c>
      <c r="FK8" s="56"/>
      <c r="FL8" s="32">
        <f ca="1">_xlfn.NORM.INV(RAND(),EI8,$G$2*$H$2)</f>
        <v>0.83487177509334776</v>
      </c>
      <c r="FM8" s="32">
        <f t="shared" ref="FM8" ca="1" si="79">ranpoi(EL8*FL8,(RAND()*FL8))</f>
        <v>1</v>
      </c>
      <c r="FN8" s="56"/>
      <c r="FO8" s="32"/>
      <c r="FP8" s="33"/>
      <c r="FR8" s="29">
        <v>6</v>
      </c>
      <c r="FS8" s="29" t="str">
        <v>NY Islanders</v>
      </c>
    </row>
    <row r="9" spans="1:175" ht="15.75" thickBot="1">
      <c r="A9" s="29">
        <v>6</v>
      </c>
      <c r="B9" s="29" t="s">
        <v>244</v>
      </c>
      <c r="C9" s="29">
        <f t="shared" si="0"/>
        <v>0.85372907708176415</v>
      </c>
      <c r="D9" s="29">
        <f>VLOOKUP(B9,'Team Stats'!$A$2:$H$18,7,0)</f>
        <v>2.94</v>
      </c>
      <c r="E9" s="29">
        <f>VLOOKUP(B9,'Team Stats'!$A$2:$H$18,8,0)</f>
        <v>2.68</v>
      </c>
      <c r="F9" s="30"/>
      <c r="H9" s="29">
        <v>3</v>
      </c>
      <c r="I9" s="29">
        <f t="shared" si="1"/>
        <v>0.84540679915027861</v>
      </c>
      <c r="J9" s="29">
        <f t="shared" si="2"/>
        <v>2.84</v>
      </c>
      <c r="K9" s="29">
        <f t="shared" si="3"/>
        <v>2.39</v>
      </c>
      <c r="L9" s="29">
        <f>J9-(I2-K8)</f>
        <v>2.8543333333333334</v>
      </c>
      <c r="M9" s="51">
        <f t="shared" ca="1" si="4"/>
        <v>0.85969283908909344</v>
      </c>
      <c r="N9" s="29">
        <f t="shared" ca="1" si="5"/>
        <v>1</v>
      </c>
      <c r="O9" s="29">
        <f t="shared" ca="1" si="6"/>
        <v>1</v>
      </c>
      <c r="P9" s="55"/>
      <c r="Q9" s="29">
        <f ca="1">_xlfn.NORM.INV(RAND(),$I$9,$G$2*$H$2)</f>
        <v>0.82387005717831896</v>
      </c>
      <c r="R9" s="29">
        <f t="shared" ca="1" si="7"/>
        <v>2</v>
      </c>
      <c r="S9" s="29">
        <f t="shared" ca="1" si="8"/>
        <v>2</v>
      </c>
      <c r="T9" s="55"/>
      <c r="U9" s="29">
        <f ca="1">_xlfn.NORM.INV(RAND(),$I$9,$G$2*$H$2)</f>
        <v>0.84645292732526334</v>
      </c>
      <c r="V9" s="29">
        <f t="shared" ca="1" si="9"/>
        <v>4</v>
      </c>
      <c r="W9" s="29">
        <f t="shared" ca="1" si="10"/>
        <v>4</v>
      </c>
      <c r="X9" s="55"/>
      <c r="Y9" s="29">
        <f ca="1">_xlfn.NORM.INV(RAND(),$I$9,$G$2*$H$2)</f>
        <v>0.82333450006225273</v>
      </c>
      <c r="Z9" s="29">
        <f t="shared" ca="1" si="11"/>
        <v>7</v>
      </c>
      <c r="AA9" s="29">
        <f t="shared" ca="1" si="12"/>
        <v>6</v>
      </c>
      <c r="AB9" s="55"/>
      <c r="AC9" s="29">
        <f ca="1">_xlfn.NORM.INV(RAND(),$I$9,$G$2*$H$2)</f>
        <v>0.80954601403963444</v>
      </c>
      <c r="AD9" s="29">
        <f t="shared" ca="1" si="13"/>
        <v>10</v>
      </c>
      <c r="AE9" s="29">
        <f t="shared" ca="1" si="14"/>
        <v>6</v>
      </c>
      <c r="AF9" s="55"/>
      <c r="AG9" s="29">
        <f ca="1">_xlfn.NORM.INV(RAND(),$I$9,$G$2*$H$2)</f>
        <v>0.88427591965948826</v>
      </c>
      <c r="AH9" s="29">
        <f t="shared" ca="1" si="15"/>
        <v>1</v>
      </c>
      <c r="AI9" s="29">
        <f t="shared" ca="1" si="16"/>
        <v>1</v>
      </c>
      <c r="AJ9" s="55"/>
      <c r="AK9" s="29">
        <f ca="1">_xlfn.NORM.INV(RAND(),$I$9,$G$2*$H$2)</f>
        <v>0.8259023660705862</v>
      </c>
      <c r="AL9" s="29">
        <f t="shared" ca="1" si="17"/>
        <v>2</v>
      </c>
      <c r="AM9" s="29">
        <f t="shared" ca="1" si="18"/>
        <v>2</v>
      </c>
      <c r="AN9" s="55"/>
      <c r="AO9" s="31"/>
      <c r="AR9" s="28">
        <v>6</v>
      </c>
      <c r="AS9" s="29" t="str">
        <v>Ottawa</v>
      </c>
      <c r="AT9" s="29" t="str">
        <v>Tampa Bay</v>
      </c>
      <c r="AU9" s="29" t="str">
        <v>NY Islanders</v>
      </c>
      <c r="AV9" s="31" t="str">
        <v>NY Rangers</v>
      </c>
      <c r="AW9" s="28">
        <v>6</v>
      </c>
      <c r="AX9" s="29" t="str">
        <v>Minnesota</v>
      </c>
      <c r="AY9" s="29" t="str">
        <v>Nashville</v>
      </c>
      <c r="AZ9" s="29" t="str">
        <v>Vancouver</v>
      </c>
      <c r="BA9" s="31" t="str">
        <v>Anaheim</v>
      </c>
      <c r="BG9" s="28"/>
      <c r="BJ9" s="55"/>
      <c r="BN9" s="55"/>
      <c r="BR9" s="55"/>
      <c r="BV9" s="55"/>
      <c r="BZ9" s="55"/>
      <c r="CD9" s="55"/>
      <c r="CH9" s="55"/>
      <c r="CI9" s="31"/>
      <c r="CL9" s="28">
        <v>6</v>
      </c>
      <c r="CM9" s="29" t="str">
        <v>Detroit</v>
      </c>
      <c r="CN9" s="31" t="str">
        <v>Washington</v>
      </c>
      <c r="CO9" s="28">
        <v>6</v>
      </c>
      <c r="CP9" s="29" t="str">
        <v>Nashville</v>
      </c>
      <c r="CQ9" s="31" t="str">
        <v>Anaheim</v>
      </c>
      <c r="CS9" s="27"/>
      <c r="CT9" s="32"/>
      <c r="CU9" s="32"/>
      <c r="CV9" s="32"/>
      <c r="CW9" s="32"/>
      <c r="CX9" s="32"/>
      <c r="CY9" s="32"/>
      <c r="CZ9" s="56"/>
      <c r="DA9" s="32"/>
      <c r="DB9" s="32"/>
      <c r="DC9" s="32"/>
      <c r="DD9" s="56"/>
      <c r="DE9" s="32"/>
      <c r="DF9" s="32"/>
      <c r="DG9" s="32"/>
      <c r="DH9" s="56"/>
      <c r="DI9" s="32"/>
      <c r="DJ9" s="32"/>
      <c r="DK9" s="32"/>
      <c r="DL9" s="56"/>
      <c r="DM9" s="32"/>
      <c r="DN9" s="32"/>
      <c r="DO9" s="32"/>
      <c r="DP9" s="56"/>
      <c r="DQ9" s="32"/>
      <c r="DR9" s="32"/>
      <c r="DS9" s="32"/>
      <c r="DT9" s="56"/>
      <c r="DU9" s="32"/>
      <c r="DV9" s="32"/>
      <c r="DW9" s="32"/>
      <c r="DX9" s="56"/>
      <c r="DY9" s="33"/>
      <c r="EB9" s="28">
        <v>6</v>
      </c>
      <c r="EC9" s="29" t="str">
        <v>Detroit</v>
      </c>
      <c r="ED9" s="31" t="str">
        <v>Chicago</v>
      </c>
      <c r="FR9" s="29">
        <v>7</v>
      </c>
      <c r="FS9" s="29" t="str">
        <v>Detroit</v>
      </c>
    </row>
    <row r="10" spans="1:175" ht="15.75" thickBot="1">
      <c r="A10" s="29">
        <v>7</v>
      </c>
      <c r="B10" s="29" t="s">
        <v>232</v>
      </c>
      <c r="C10" s="29">
        <f t="shared" si="0"/>
        <v>0.84703329894020341</v>
      </c>
      <c r="D10" s="29">
        <f>VLOOKUP(B10,'Team Stats'!$A$2:$H$18,7,0)</f>
        <v>2.6</v>
      </c>
      <c r="E10" s="29">
        <f>VLOOKUP(B10,'Team Stats'!$A$2:$H$18,8,0)</f>
        <v>2.4500000000000002</v>
      </c>
      <c r="F10" s="30"/>
      <c r="G10" s="29">
        <v>4</v>
      </c>
      <c r="H10" s="29">
        <v>2</v>
      </c>
      <c r="I10" s="29">
        <f t="shared" si="1"/>
        <v>0.84439541672686491</v>
      </c>
      <c r="J10" s="29">
        <f t="shared" si="2"/>
        <v>2.99</v>
      </c>
      <c r="K10" s="29">
        <f t="shared" si="3"/>
        <v>2.25</v>
      </c>
      <c r="L10" s="29">
        <f>J10-(I2-K11)</f>
        <v>2.7743333333333338</v>
      </c>
      <c r="M10" s="51">
        <f t="shared" ca="1" si="4"/>
        <v>0.84941292940408508</v>
      </c>
      <c r="N10" s="29">
        <f t="shared" ca="1" si="5"/>
        <v>3</v>
      </c>
      <c r="O10" s="29">
        <f t="shared" ca="1" si="6"/>
        <v>3</v>
      </c>
      <c r="P10" s="55">
        <f t="shared" ca="1" si="19"/>
        <v>2</v>
      </c>
      <c r="Q10" s="29">
        <f ca="1">_xlfn.NORM.INV(RAND(),$I$10,$G$2*$H$2)</f>
        <v>0.82117821535086399</v>
      </c>
      <c r="R10" s="29">
        <f t="shared" ca="1" si="7"/>
        <v>3</v>
      </c>
      <c r="S10" s="29">
        <f t="shared" ca="1" si="8"/>
        <v>3</v>
      </c>
      <c r="T10" s="55">
        <f t="shared" ca="1" si="20"/>
        <v>2</v>
      </c>
      <c r="U10" s="29">
        <f ca="1">_xlfn.NORM.INV(RAND(),$I$10,$G$2*$H$2)</f>
        <v>0.80376757950025035</v>
      </c>
      <c r="V10" s="29">
        <f t="shared" ca="1" si="9"/>
        <v>1</v>
      </c>
      <c r="W10" s="29">
        <f t="shared" ca="1" si="10"/>
        <v>1</v>
      </c>
      <c r="X10" s="55">
        <f t="shared" ca="1" si="46"/>
        <v>7</v>
      </c>
      <c r="Y10" s="29">
        <f ca="1">_xlfn.NORM.INV(RAND(),$I$10,$G$2*$H$2)</f>
        <v>0.86103034862367278</v>
      </c>
      <c r="Z10" s="29">
        <f t="shared" ca="1" si="11"/>
        <v>6</v>
      </c>
      <c r="AA10" s="29">
        <f t="shared" ca="1" si="12"/>
        <v>6</v>
      </c>
      <c r="AB10" s="55">
        <f t="shared" ca="1" si="21"/>
        <v>2</v>
      </c>
      <c r="AC10" s="29">
        <f ca="1">_xlfn.NORM.INV(RAND(),$I$10,$G$2*$H$2)</f>
        <v>0.81508465963785215</v>
      </c>
      <c r="AD10" s="29">
        <f t="shared" ca="1" si="13"/>
        <v>3</v>
      </c>
      <c r="AE10" s="29">
        <f t="shared" ca="1" si="14"/>
        <v>3</v>
      </c>
      <c r="AF10" s="55">
        <f ca="1">IF((COUNTIF(P10:P11,7)+COUNTIF(T10:T11,7)+COUNTIF(X10:X11,7)+COUNTIF(AB10:AB11,7))=4,"",IF((COUNTIF(P10:P11,2)+COUNTIF(T10:T11,2)+COUNTIF(X10:X11,2)+COUNTIF(AB10:AB11,2))=4,"",IF(AE10&gt;AE11,H10,H11)))</f>
        <v>7</v>
      </c>
      <c r="AG10" s="29">
        <f ca="1">_xlfn.NORM.INV(RAND(),$I$10,$G$2*$H$2)</f>
        <v>0.86764027299639424</v>
      </c>
      <c r="AH10" s="29">
        <f t="shared" ca="1" si="15"/>
        <v>3</v>
      </c>
      <c r="AI10" s="29">
        <f t="shared" ca="1" si="16"/>
        <v>3</v>
      </c>
      <c r="AJ10" s="55">
        <f ca="1">IF((COUNTIF(P10:P11,7)+COUNTIF(T10:T11,7)+COUNTIF(X10:X11,7)+COUNTIF(AB10:AB11,7)+COUNTIF(AF10:AF11,7))=4,"",IF((COUNTIF(P10:P11,2)+COUNTIF(T10:T11,2)+COUNTIF(X10:X11,2)+COUNTIF(AB10:AB11,2)+COUNTIF(AF10:AF11,2))=4,"",IF(AI10&gt;AI11,H10,H11)))</f>
        <v>7</v>
      </c>
      <c r="AK10" s="29">
        <f ca="1">_xlfn.NORM.INV(RAND(),$I$10,$G$2*$H$2)</f>
        <v>0.82953500661428148</v>
      </c>
      <c r="AL10" s="29">
        <f t="shared" ca="1" si="17"/>
        <v>2</v>
      </c>
      <c r="AM10" s="29">
        <f t="shared" ca="1" si="18"/>
        <v>2</v>
      </c>
      <c r="AN10" s="55">
        <f ca="1">IF((COUNTIF(P10:P11,7)+COUNTIF(T10:T11,7)+COUNTIF(X10:X11,7)+COUNTIF(AB10:AB11,7)+COUNTIF(AF10:AF11,7)+COUNTIF(AJ10:AJ11,7))=4,"",IF((COUNTIF(P10:P11,2)+COUNTIF(T10:T11,2)+COUNTIF(X10:X11,2)+COUNTIF(AB10:AB11,2)+COUNTIF(AF10:AF11,2)+COUNTIF(AJ10:AJ11,2))=4,"",IF(AM10&gt;AM11,H10,H11)))</f>
        <v>2</v>
      </c>
      <c r="AO10" s="31">
        <f ca="1">IF((COUNTIF(P10:P11,7)+COUNTIF(T10:T11,7)+COUNTIF(X10:X11,7)+COUNTIF(AB10:AB11,7)+COUNTIF(AF10:AF11,7)+COUNTIF(AJ10:AJ11,7)+COUNTIF(AN10:AN11,7)&gt;COUNTIF(P10:P11,2)+COUNTIF(T10:T11,2)+COUNTIF(X10:X11,2)+COUNTIF(AB10:AB11,2)+COUNTIF(AF10:AF11,2)+COUNTIF(AJ10:AJ11,2)+COUNTIF(AN10:AN11,2)),H11,H10)</f>
        <v>2</v>
      </c>
      <c r="AP10" s="29" t="str">
        <f t="shared" ca="1" si="22"/>
        <v>NY Rangers</v>
      </c>
      <c r="AQ10" s="29">
        <f t="shared" ca="1" si="23"/>
        <v>7</v>
      </c>
      <c r="AR10" s="28">
        <v>7</v>
      </c>
      <c r="AS10" s="29" t="str">
        <v>Ottawa</v>
      </c>
      <c r="AT10" s="29" t="str">
        <v>Tampa Bay</v>
      </c>
      <c r="AU10" s="29" t="str">
        <v>NY Islanders</v>
      </c>
      <c r="AV10" s="31" t="str">
        <v>NY Rangers</v>
      </c>
      <c r="AW10" s="28">
        <v>7</v>
      </c>
      <c r="AX10" s="29" t="str">
        <v>St. Louis</v>
      </c>
      <c r="AY10" s="29" t="str">
        <v>Nashville</v>
      </c>
      <c r="AZ10" s="29" t="str">
        <v>Calgary</v>
      </c>
      <c r="BA10" s="31" t="str">
        <v>Anaheim</v>
      </c>
      <c r="BB10" s="29" t="str">
        <f ca="1">AP10</f>
        <v>NY Rangers</v>
      </c>
      <c r="BC10" s="32">
        <f t="shared" ca="1" si="24"/>
        <v>0.84439541672686491</v>
      </c>
      <c r="BD10" s="32">
        <f t="shared" ca="1" si="25"/>
        <v>2.99</v>
      </c>
      <c r="BE10" s="32">
        <f t="shared" ca="1" si="26"/>
        <v>2.25</v>
      </c>
      <c r="BF10" s="32">
        <f ca="1">BD10-(I2-BE7)</f>
        <v>0.32433333333333358</v>
      </c>
      <c r="BG10" s="27">
        <f ca="1">_xlfn.NORM.INV(RAND(),BC10,$G$2*$H$2)</f>
        <v>0.77157142915544785</v>
      </c>
      <c r="BH10" s="32">
        <f t="shared" ca="1" si="27"/>
        <v>0</v>
      </c>
      <c r="BI10" s="32">
        <f t="shared" ca="1" si="28"/>
        <v>0</v>
      </c>
      <c r="BJ10" s="56"/>
      <c r="BK10" s="32">
        <f t="shared" ca="1" si="47"/>
        <v>0.84611638959526581</v>
      </c>
      <c r="BL10" s="32">
        <f t="shared" ca="1" si="29"/>
        <v>0</v>
      </c>
      <c r="BM10" s="32">
        <f t="shared" ca="1" si="30"/>
        <v>0</v>
      </c>
      <c r="BN10" s="56"/>
      <c r="BO10" s="32">
        <f t="shared" ca="1" si="31"/>
        <v>0.81348922698323889</v>
      </c>
      <c r="BP10" s="32">
        <f t="shared" ca="1" si="32"/>
        <v>0</v>
      </c>
      <c r="BQ10" s="32">
        <f t="shared" ca="1" si="33"/>
        <v>0</v>
      </c>
      <c r="BR10" s="56"/>
      <c r="BS10" s="32">
        <f t="shared" ca="1" si="34"/>
        <v>0.81239484847028631</v>
      </c>
      <c r="BT10" s="32">
        <f t="shared" ca="1" si="35"/>
        <v>0</v>
      </c>
      <c r="BU10" s="32">
        <f t="shared" ca="1" si="36"/>
        <v>0</v>
      </c>
      <c r="BV10" s="56"/>
      <c r="BW10" s="32">
        <f t="shared" ca="1" si="37"/>
        <v>0.85504776612784772</v>
      </c>
      <c r="BX10" s="32">
        <f t="shared" ca="1" si="38"/>
        <v>0</v>
      </c>
      <c r="BY10" s="32">
        <f t="shared" ca="1" si="39"/>
        <v>0</v>
      </c>
      <c r="BZ10" s="56"/>
      <c r="CA10" s="32">
        <f t="shared" ca="1" si="40"/>
        <v>0.77317989093117045</v>
      </c>
      <c r="CB10" s="32">
        <f t="shared" ca="1" si="41"/>
        <v>0</v>
      </c>
      <c r="CC10" s="32">
        <f t="shared" ca="1" si="42"/>
        <v>0</v>
      </c>
      <c r="CD10" s="56"/>
      <c r="CE10" s="32">
        <f t="shared" ca="1" si="43"/>
        <v>0.8425511438660952</v>
      </c>
      <c r="CF10" s="32">
        <f t="shared" ca="1" si="44"/>
        <v>0</v>
      </c>
      <c r="CG10" s="32">
        <f t="shared" ca="1" si="45"/>
        <v>0</v>
      </c>
      <c r="CH10" s="56"/>
      <c r="CI10" s="33"/>
      <c r="CL10" s="28">
        <v>7</v>
      </c>
      <c r="CM10" s="29" t="str">
        <v>Montreal</v>
      </c>
      <c r="CN10" s="31" t="str">
        <v>NY Islanders</v>
      </c>
      <c r="CO10" s="28">
        <v>7</v>
      </c>
      <c r="CP10" s="29" t="str">
        <v>Chicago</v>
      </c>
      <c r="CQ10" s="31" t="str">
        <v>Anaheim</v>
      </c>
      <c r="EB10" s="28">
        <v>7</v>
      </c>
      <c r="EC10" s="29" t="str">
        <v>Washington</v>
      </c>
      <c r="ED10" s="31" t="str">
        <v>Anaheim</v>
      </c>
      <c r="FR10" s="29">
        <v>8</v>
      </c>
      <c r="FS10" s="29" t="str">
        <v>Detroit</v>
      </c>
    </row>
    <row r="11" spans="1:175" ht="15.75" thickBot="1">
      <c r="A11" s="29">
        <v>8</v>
      </c>
      <c r="B11" s="29" t="s">
        <v>318</v>
      </c>
      <c r="C11" s="29">
        <f t="shared" si="0"/>
        <v>0.84822257830980674</v>
      </c>
      <c r="D11" s="29">
        <f>VLOOKUP(B11,'Team Stats'!$A$2:$H$18,7,0)</f>
        <v>2.77</v>
      </c>
      <c r="E11" s="29">
        <f>VLOOKUP(B11,'Team Stats'!$A$2:$H$18,8,0)</f>
        <v>2.48</v>
      </c>
      <c r="F11" s="30"/>
      <c r="H11" s="29">
        <v>7</v>
      </c>
      <c r="I11" s="29">
        <f t="shared" si="1"/>
        <v>0.84703329894020341</v>
      </c>
      <c r="J11" s="29">
        <f>VLOOKUP(H11,$A$4:$E$11,4,0)</f>
        <v>2.6</v>
      </c>
      <c r="K11" s="29">
        <f t="shared" si="3"/>
        <v>2.4500000000000002</v>
      </c>
      <c r="L11" s="29">
        <f>J11-(I2-K10)</f>
        <v>2.1843333333333335</v>
      </c>
      <c r="M11" s="52">
        <f ca="1">_xlfn.NORM.INV(RAND(),I11,G$2*H$2)</f>
        <v>0.84604134143655796</v>
      </c>
      <c r="N11" s="32">
        <f t="shared" ca="1" si="5"/>
        <v>2</v>
      </c>
      <c r="O11" s="32">
        <f t="shared" ca="1" si="6"/>
        <v>2</v>
      </c>
      <c r="P11" s="56"/>
      <c r="Q11" s="32">
        <f ca="1">_xlfn.NORM.INV(RAND(),$I$11,G$2*$H$2)</f>
        <v>0.80139863884607998</v>
      </c>
      <c r="R11" s="32">
        <f t="shared" ca="1" si="7"/>
        <v>1</v>
      </c>
      <c r="S11" s="32">
        <f t="shared" ca="1" si="8"/>
        <v>1</v>
      </c>
      <c r="T11" s="56"/>
      <c r="U11" s="32">
        <f ca="1">_xlfn.NORM.INV(RAND(),$I$11,G$2*$H$2)</f>
        <v>0.83831774018093508</v>
      </c>
      <c r="V11" s="32">
        <f t="shared" ca="1" si="9"/>
        <v>1</v>
      </c>
      <c r="W11" s="32">
        <f t="shared" ca="1" si="10"/>
        <v>1</v>
      </c>
      <c r="X11" s="56"/>
      <c r="Y11" s="32">
        <f ca="1">_xlfn.NORM.INV(RAND(),$I$11,G$2*$H$2)</f>
        <v>0.84333370024424936</v>
      </c>
      <c r="Z11" s="32">
        <f t="shared" ca="1" si="11"/>
        <v>1</v>
      </c>
      <c r="AA11" s="32">
        <f t="shared" ca="1" si="12"/>
        <v>1</v>
      </c>
      <c r="AB11" s="56"/>
      <c r="AC11" s="32">
        <f ca="1">_xlfn.NORM.INV(RAND(),$I$11,G$2*$H$2)</f>
        <v>0.86843243394828729</v>
      </c>
      <c r="AD11" s="32">
        <f t="shared" ca="1" si="13"/>
        <v>6</v>
      </c>
      <c r="AE11" s="32">
        <f t="shared" ca="1" si="14"/>
        <v>6</v>
      </c>
      <c r="AF11" s="56"/>
      <c r="AG11" s="32">
        <f ca="1">_xlfn.NORM.INV(RAND(),$I$11,G$2*$H$2)</f>
        <v>0.801312042629855</v>
      </c>
      <c r="AH11" s="32">
        <f t="shared" ca="1" si="15"/>
        <v>6</v>
      </c>
      <c r="AI11" s="32">
        <f t="shared" ca="1" si="16"/>
        <v>6</v>
      </c>
      <c r="AJ11" s="56"/>
      <c r="AK11" s="32">
        <f ca="1">_xlfn.NORM.INV(RAND(),$I$11,G$2*$H$2)</f>
        <v>0.83028094930572161</v>
      </c>
      <c r="AL11" s="32">
        <f t="shared" ca="1" si="17"/>
        <v>0</v>
      </c>
      <c r="AM11" s="32">
        <f t="shared" ca="1" si="18"/>
        <v>0</v>
      </c>
      <c r="AN11" s="56"/>
      <c r="AO11" s="33"/>
      <c r="AR11" s="28">
        <v>8</v>
      </c>
      <c r="AS11" s="29" t="str">
        <v>Ottawa</v>
      </c>
      <c r="AT11" s="29" t="str">
        <v>Detroit</v>
      </c>
      <c r="AU11" s="29" t="str">
        <v>Washington</v>
      </c>
      <c r="AV11" s="31" t="str">
        <v>Pittsburgh</v>
      </c>
      <c r="AW11" s="28">
        <v>8</v>
      </c>
      <c r="AX11" s="29" t="str">
        <v>St. Louis</v>
      </c>
      <c r="AY11" s="29" t="str">
        <v>Nashville</v>
      </c>
      <c r="AZ11" s="29" t="str">
        <v>Vancouver</v>
      </c>
      <c r="BA11" s="31" t="str">
        <v>Anaheim</v>
      </c>
      <c r="CL11" s="28">
        <v>8</v>
      </c>
      <c r="CM11" s="29" t="str">
        <v>Montreal</v>
      </c>
      <c r="CN11" s="31" t="str">
        <v>NY Rangers</v>
      </c>
      <c r="CO11" s="28">
        <v>8</v>
      </c>
      <c r="CP11" s="29" t="str">
        <v>Chicago</v>
      </c>
      <c r="CQ11" s="31" t="str">
        <v>Vancouver</v>
      </c>
      <c r="EB11" s="28">
        <v>8</v>
      </c>
      <c r="EC11" s="29" t="str">
        <v>Tampa Bay</v>
      </c>
      <c r="ED11" s="31" t="str">
        <v>Anaheim</v>
      </c>
      <c r="EG11" s="106" t="s">
        <v>228</v>
      </c>
      <c r="EH11" s="107"/>
      <c r="EI11" s="107"/>
      <c r="EJ11" s="107"/>
      <c r="EK11" s="107"/>
      <c r="EL11" s="76"/>
      <c r="EM11" s="106" t="s">
        <v>229</v>
      </c>
      <c r="EN11" s="107"/>
      <c r="EO11" s="107"/>
      <c r="EP11" s="107"/>
      <c r="EQ11" s="107"/>
      <c r="ER11" s="77"/>
      <c r="ET11" s="58" t="s">
        <v>175</v>
      </c>
      <c r="EU11" s="59" t="s">
        <v>176</v>
      </c>
      <c r="EV11" s="47"/>
      <c r="EW11" s="48" t="str">
        <f>EH12</f>
        <v>Montreal</v>
      </c>
      <c r="EX11" s="48" t="str">
        <f>EH15</f>
        <v>NY Rangers</v>
      </c>
      <c r="EY11" s="48" t="str">
        <f>EH18</f>
        <v>Washington</v>
      </c>
      <c r="EZ11" s="48" t="str">
        <f>EH21</f>
        <v>Tampa Bay</v>
      </c>
      <c r="FA11" s="48" t="str">
        <f>EH24</f>
        <v>Detroit</v>
      </c>
      <c r="FB11" s="48" t="str">
        <f>EH27</f>
        <v>NY Islanders</v>
      </c>
      <c r="FC11" s="48" t="str">
        <f>EH30</f>
        <v>Pittsburgh</v>
      </c>
      <c r="FD11" s="48" t="str">
        <f>EH33</f>
        <v>Ottawa</v>
      </c>
      <c r="FE11" s="48" t="str">
        <f>EN12</f>
        <v>St. Louis</v>
      </c>
      <c r="FF11" s="48" t="str">
        <f>EN15</f>
        <v>Anaheim</v>
      </c>
      <c r="FG11" s="48" t="str">
        <f>EN18</f>
        <v>Vancouver</v>
      </c>
      <c r="FH11" s="48" t="str">
        <f>EN21</f>
        <v>Nashville</v>
      </c>
      <c r="FI11" s="48" t="str">
        <f>EN24</f>
        <v>Chicago</v>
      </c>
      <c r="FJ11" s="48" t="str">
        <f>EN27</f>
        <v>Calgary</v>
      </c>
      <c r="FK11" s="48" t="str">
        <f>EN30</f>
        <v>Winnipeg</v>
      </c>
      <c r="FL11" s="26" t="str">
        <f>EN33</f>
        <v>Minnesota</v>
      </c>
      <c r="FR11" s="29">
        <v>9</v>
      </c>
      <c r="FS11" s="29" t="str">
        <v>Winnipeg</v>
      </c>
    </row>
    <row r="12" spans="1:175">
      <c r="F12" s="30"/>
      <c r="M12" s="37"/>
      <c r="AE12" s="35"/>
      <c r="AR12" s="28">
        <v>9</v>
      </c>
      <c r="AS12" s="29" t="str">
        <v>Ottawa</v>
      </c>
      <c r="AT12" s="29" t="str">
        <v>Tampa Bay</v>
      </c>
      <c r="AU12" s="29" t="str">
        <v>NY Islanders</v>
      </c>
      <c r="AV12" s="31" t="str">
        <v>Pittsburgh</v>
      </c>
      <c r="AW12" s="28">
        <v>9</v>
      </c>
      <c r="AX12" s="29" t="str">
        <v>St. Louis</v>
      </c>
      <c r="AY12" s="29" t="str">
        <v>Chicago</v>
      </c>
      <c r="AZ12" s="29" t="str">
        <v>Vancouver</v>
      </c>
      <c r="BA12" s="31" t="str">
        <v>Winnipeg</v>
      </c>
      <c r="CL12" s="28">
        <v>9</v>
      </c>
      <c r="CM12" s="29" t="str">
        <v>Tampa Bay</v>
      </c>
      <c r="CN12" s="31" t="str">
        <v>NY Islanders</v>
      </c>
      <c r="CO12" s="28">
        <v>9</v>
      </c>
      <c r="CP12" s="29" t="str">
        <v>Chicago</v>
      </c>
      <c r="CQ12" s="31" t="str">
        <v>Vancouver</v>
      </c>
      <c r="EB12" s="28">
        <v>9</v>
      </c>
      <c r="EC12" s="29" t="str">
        <v>Washington</v>
      </c>
      <c r="ED12" s="31" t="str">
        <v>Anaheim</v>
      </c>
      <c r="EG12" s="81">
        <v>1</v>
      </c>
      <c r="EH12" s="82" t="str">
        <f>B4</f>
        <v>Montreal</v>
      </c>
      <c r="EI12" s="82"/>
      <c r="EJ12" s="82"/>
      <c r="EK12" s="82"/>
      <c r="EL12" s="82"/>
      <c r="EM12" s="81">
        <v>1</v>
      </c>
      <c r="EN12" s="82" t="str">
        <f>B17</f>
        <v>St. Louis</v>
      </c>
      <c r="EO12" s="82"/>
      <c r="EP12" s="82"/>
      <c r="EQ12" s="82"/>
      <c r="ER12" s="83"/>
      <c r="ET12" s="28" t="s">
        <v>8</v>
      </c>
      <c r="EU12" s="60">
        <v>86.328215151746576</v>
      </c>
      <c r="EV12" s="28">
        <v>1</v>
      </c>
      <c r="EW12" s="29">
        <f ca="1">EL14</f>
        <v>7</v>
      </c>
      <c r="EX12" s="29">
        <f ca="1">EL17</f>
        <v>12</v>
      </c>
      <c r="EY12" s="29">
        <f ca="1">EL20</f>
        <v>23</v>
      </c>
      <c r="EZ12" s="29">
        <f ca="1">EL23</f>
        <v>6</v>
      </c>
      <c r="FA12" s="29">
        <f ca="1">EL26</f>
        <v>18</v>
      </c>
      <c r="FB12" s="29">
        <f ca="1">EL29</f>
        <v>5</v>
      </c>
      <c r="FC12" s="29">
        <f ca="1">EL32</f>
        <v>7</v>
      </c>
      <c r="FD12" s="29">
        <f ca="1">EL35</f>
        <v>12</v>
      </c>
      <c r="FE12" s="29">
        <f ca="1">ER14</f>
        <v>6</v>
      </c>
      <c r="FF12" s="29">
        <f ca="1">ER17</f>
        <v>19</v>
      </c>
      <c r="FG12" s="29">
        <f ca="1">ER20</f>
        <v>12</v>
      </c>
      <c r="FH12" s="29">
        <f ca="1">ER23</f>
        <v>7</v>
      </c>
      <c r="FI12" s="29">
        <f ca="1">ER26</f>
        <v>26</v>
      </c>
      <c r="FJ12" s="29">
        <f ca="1">ER29</f>
        <v>5</v>
      </c>
      <c r="FK12" s="29">
        <f ca="1">ER32</f>
        <v>6</v>
      </c>
      <c r="FL12" s="31">
        <f ca="1">ER35</f>
        <v>13</v>
      </c>
      <c r="FR12" s="29">
        <v>10</v>
      </c>
      <c r="FS12" s="29" t="str">
        <v>Anaheim</v>
      </c>
    </row>
    <row r="13" spans="1:175" ht="15.75" thickBot="1">
      <c r="F13" s="35"/>
      <c r="AR13" s="28">
        <v>10</v>
      </c>
      <c r="AS13" s="29" t="str">
        <v>Ottawa</v>
      </c>
      <c r="AT13" s="29" t="str">
        <v>Tampa Bay</v>
      </c>
      <c r="AU13" s="29" t="str">
        <v>Washington</v>
      </c>
      <c r="AV13" s="31" t="str">
        <v>Pittsburgh</v>
      </c>
      <c r="AW13" s="28">
        <v>10</v>
      </c>
      <c r="AX13" s="29" t="str">
        <v>St. Louis</v>
      </c>
      <c r="AY13" s="29" t="str">
        <v>Chicago</v>
      </c>
      <c r="AZ13" s="29" t="str">
        <v>Calgary</v>
      </c>
      <c r="BA13" s="31" t="str">
        <v>Anaheim</v>
      </c>
      <c r="CL13" s="28">
        <v>10</v>
      </c>
      <c r="CM13" s="29" t="str">
        <v>Ottawa</v>
      </c>
      <c r="CN13" s="31" t="str">
        <v>Washington</v>
      </c>
      <c r="CO13" s="28">
        <v>10</v>
      </c>
      <c r="CP13" s="29" t="str">
        <v>Minnesota</v>
      </c>
      <c r="CQ13" s="31" t="str">
        <v>Calgary</v>
      </c>
      <c r="EB13" s="28">
        <v>10</v>
      </c>
      <c r="EC13" s="29" t="str">
        <v>Washington</v>
      </c>
      <c r="ED13" s="31" t="str">
        <v>Chicago</v>
      </c>
      <c r="EG13" s="81"/>
      <c r="EH13" s="82" t="s">
        <v>308</v>
      </c>
      <c r="EI13" s="82" t="s">
        <v>309</v>
      </c>
      <c r="EJ13" s="82" t="s">
        <v>310</v>
      </c>
      <c r="EK13" s="82" t="s">
        <v>307</v>
      </c>
      <c r="EL13" s="82" t="s">
        <v>311</v>
      </c>
      <c r="EM13" s="81"/>
      <c r="EN13" s="82" t="s">
        <v>308</v>
      </c>
      <c r="EO13" s="82" t="s">
        <v>309</v>
      </c>
      <c r="EP13" s="82" t="s">
        <v>310</v>
      </c>
      <c r="EQ13" s="82" t="s">
        <v>307</v>
      </c>
      <c r="ER13" s="83" t="s">
        <v>311</v>
      </c>
      <c r="ET13" s="28" t="s">
        <v>24</v>
      </c>
      <c r="EU13" s="60">
        <v>85.861880801617573</v>
      </c>
      <c r="EV13" s="28">
        <v>2</v>
      </c>
      <c r="EW13" s="29">
        <f t="dataTable" ref="EW13:FL111" dt2D="0" dtr="0" r1="ES11" ca="1"/>
        <v>5</v>
      </c>
      <c r="EX13" s="29">
        <v>11</v>
      </c>
      <c r="EY13" s="29">
        <v>16</v>
      </c>
      <c r="EZ13" s="29">
        <v>7</v>
      </c>
      <c r="FA13" s="29">
        <v>13</v>
      </c>
      <c r="FB13" s="29">
        <v>6</v>
      </c>
      <c r="FC13" s="29">
        <v>7</v>
      </c>
      <c r="FD13" s="29">
        <v>23</v>
      </c>
      <c r="FE13" s="29">
        <v>13</v>
      </c>
      <c r="FF13" s="29">
        <v>17</v>
      </c>
      <c r="FG13" s="29">
        <v>6</v>
      </c>
      <c r="FH13" s="29">
        <v>6</v>
      </c>
      <c r="FI13" s="29">
        <v>22</v>
      </c>
      <c r="FJ13" s="29">
        <v>13</v>
      </c>
      <c r="FK13" s="29">
        <v>6</v>
      </c>
      <c r="FL13" s="31">
        <v>7</v>
      </c>
      <c r="FR13" s="29">
        <v>11</v>
      </c>
      <c r="FS13" s="29" t="str">
        <v>Minnesota</v>
      </c>
    </row>
    <row r="14" spans="1:175">
      <c r="F14" s="35"/>
      <c r="M14" s="104" t="s">
        <v>260</v>
      </c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26"/>
      <c r="AR14" s="28">
        <v>11</v>
      </c>
      <c r="AS14" s="29" t="str">
        <v>Ottawa</v>
      </c>
      <c r="AT14" s="29" t="str">
        <v>Tampa Bay</v>
      </c>
      <c r="AU14" s="29" t="str">
        <v>Washington</v>
      </c>
      <c r="AV14" s="31" t="str">
        <v>Pittsburgh</v>
      </c>
      <c r="AW14" s="28">
        <v>11</v>
      </c>
      <c r="AX14" s="29" t="str">
        <v>St. Louis</v>
      </c>
      <c r="AY14" s="29" t="str">
        <v>Nashville</v>
      </c>
      <c r="AZ14" s="29" t="str">
        <v>Calgary</v>
      </c>
      <c r="BA14" s="31" t="str">
        <v>Winnipeg</v>
      </c>
      <c r="BC14" s="48"/>
      <c r="BD14" s="48"/>
      <c r="BE14" s="48"/>
      <c r="BF14" s="48"/>
      <c r="BG14" s="102" t="s">
        <v>261</v>
      </c>
      <c r="BH14" s="102"/>
      <c r="BI14" s="102"/>
      <c r="BJ14" s="102"/>
      <c r="BK14" s="102"/>
      <c r="BL14" s="102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2"/>
      <c r="BX14" s="102"/>
      <c r="BY14" s="102"/>
      <c r="BZ14" s="102"/>
      <c r="CA14" s="102"/>
      <c r="CB14" s="102"/>
      <c r="CC14" s="102"/>
      <c r="CD14" s="102"/>
      <c r="CE14" s="102"/>
      <c r="CF14" s="102"/>
      <c r="CG14" s="102"/>
      <c r="CH14" s="102"/>
      <c r="CI14" s="26"/>
      <c r="CL14" s="28">
        <v>11</v>
      </c>
      <c r="CM14" s="29" t="str">
        <v>Montreal</v>
      </c>
      <c r="CN14" s="31" t="str">
        <v>NY Islanders</v>
      </c>
      <c r="CO14" s="28">
        <v>11</v>
      </c>
      <c r="CP14" s="29" t="str">
        <v>Chicago</v>
      </c>
      <c r="CQ14" s="31" t="str">
        <v>Vancouver</v>
      </c>
      <c r="CS14" s="47"/>
      <c r="CT14" s="48"/>
      <c r="CU14" s="48"/>
      <c r="CV14" s="48"/>
      <c r="CW14" s="102" t="s">
        <v>262</v>
      </c>
      <c r="CX14" s="102"/>
      <c r="CY14" s="102"/>
      <c r="CZ14" s="102"/>
      <c r="DA14" s="102"/>
      <c r="DB14" s="102"/>
      <c r="DC14" s="102"/>
      <c r="DD14" s="102"/>
      <c r="DE14" s="102"/>
      <c r="DF14" s="102"/>
      <c r="DG14" s="102"/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2"/>
      <c r="DT14" s="102"/>
      <c r="DU14" s="102"/>
      <c r="DV14" s="102"/>
      <c r="DW14" s="102"/>
      <c r="DX14" s="102"/>
      <c r="DY14" s="26"/>
      <c r="EB14" s="28">
        <v>11</v>
      </c>
      <c r="EC14" s="29" t="str">
        <v>Detroit</v>
      </c>
      <c r="ED14" s="31" t="str">
        <v>Winnipeg</v>
      </c>
      <c r="EG14" s="81"/>
      <c r="EH14" s="82">
        <f ca="1">COUNTIF(AS4:AS103,EH12)/COUNT(AR4:AR103)</f>
        <v>0.32</v>
      </c>
      <c r="EI14" s="82">
        <f ca="1">COUNTIF(CL4:CQ103,EH12)/COUNT(CL4:CL103)</f>
        <v>0.11</v>
      </c>
      <c r="EJ14" s="82">
        <f ca="1">COUNTIF(EB4:ED503,EH12)/COUNT(EB4:EB503)</f>
        <v>0.02</v>
      </c>
      <c r="EK14" s="82">
        <f ca="1">COUNTIF(FR3:FS502,EH12)/COUNT(FR3:FR502)</f>
        <v>0.01</v>
      </c>
      <c r="EL14" s="82">
        <f ca="1">AQ4+IF(AP4=EH12,CK4,0)+IF(CJ4=EH12,DZ4,0)+IF(DY4=EG12,FQ3,0)</f>
        <v>7</v>
      </c>
      <c r="EM14" s="81"/>
      <c r="EN14" s="82">
        <f ca="1">COUNTIF(AX4:BA103,EN12)/COUNT(AW4:AW103)</f>
        <v>0.42</v>
      </c>
      <c r="EO14" s="82">
        <f ca="1">COUNTIF(CP4:CQ103,EN12)/COUNT(CO4:CO103)</f>
        <v>0.15</v>
      </c>
      <c r="EP14" s="82">
        <f ca="1">COUNTIF(EC4:ED503,EN12)/COUNT(EB4:EB503)</f>
        <v>0.04</v>
      </c>
      <c r="EQ14" s="82">
        <f ca="1">COUNTIF(FS3:FS502,EN12)/COUNT(FR3:FR502)</f>
        <v>2.5999999999999999E-2</v>
      </c>
      <c r="ER14" s="83">
        <f ca="1">AQ17+IF(AP17=EN12,CK17,0)+IF(CJ17=EN12,DZ17,0)+IF(DY17=EM12,FQ3,0)</f>
        <v>6</v>
      </c>
      <c r="ET14" s="28" t="s">
        <v>0</v>
      </c>
      <c r="EU14" s="60">
        <v>85.530082434087518</v>
      </c>
      <c r="EV14" s="28">
        <v>3</v>
      </c>
      <c r="EW14" s="29">
        <v>4</v>
      </c>
      <c r="EX14" s="29">
        <v>9</v>
      </c>
      <c r="EY14" s="29">
        <v>5</v>
      </c>
      <c r="EZ14" s="29">
        <v>14</v>
      </c>
      <c r="FA14" s="29">
        <v>5</v>
      </c>
      <c r="FB14" s="29">
        <v>19</v>
      </c>
      <c r="FC14" s="29">
        <v>5</v>
      </c>
      <c r="FD14" s="29">
        <v>8</v>
      </c>
      <c r="FE14" s="29">
        <v>7</v>
      </c>
      <c r="FF14" s="29">
        <v>23</v>
      </c>
      <c r="FG14" s="29">
        <v>13</v>
      </c>
      <c r="FH14" s="29">
        <v>16</v>
      </c>
      <c r="FI14" s="29">
        <v>5</v>
      </c>
      <c r="FJ14" s="29">
        <v>6</v>
      </c>
      <c r="FK14" s="29">
        <v>6</v>
      </c>
      <c r="FL14" s="31">
        <v>13</v>
      </c>
      <c r="FR14" s="29">
        <v>12</v>
      </c>
      <c r="FS14" s="29" t="str">
        <v>Chicago</v>
      </c>
    </row>
    <row r="15" spans="1:175" ht="15.75" thickBot="1">
      <c r="F15" s="35"/>
      <c r="M15" s="105" t="s">
        <v>253</v>
      </c>
      <c r="N15" s="103"/>
      <c r="O15" s="103"/>
      <c r="P15" s="103"/>
      <c r="Q15" s="103" t="s">
        <v>254</v>
      </c>
      <c r="R15" s="103"/>
      <c r="S15" s="103"/>
      <c r="T15" s="103"/>
      <c r="U15" s="103" t="s">
        <v>255</v>
      </c>
      <c r="V15" s="103"/>
      <c r="W15" s="103"/>
      <c r="X15" s="103"/>
      <c r="Y15" s="103" t="s">
        <v>256</v>
      </c>
      <c r="Z15" s="103"/>
      <c r="AA15" s="103"/>
      <c r="AB15" s="103"/>
      <c r="AC15" s="103" t="s">
        <v>257</v>
      </c>
      <c r="AD15" s="103"/>
      <c r="AE15" s="103"/>
      <c r="AF15" s="103"/>
      <c r="AG15" s="103" t="s">
        <v>258</v>
      </c>
      <c r="AH15" s="103"/>
      <c r="AI15" s="103"/>
      <c r="AJ15" s="103"/>
      <c r="AK15" s="103" t="s">
        <v>259</v>
      </c>
      <c r="AL15" s="103"/>
      <c r="AM15" s="103"/>
      <c r="AN15" s="103"/>
      <c r="AO15" s="31" t="s">
        <v>252</v>
      </c>
      <c r="AR15" s="28">
        <v>12</v>
      </c>
      <c r="AS15" s="29" t="str">
        <v>Ottawa</v>
      </c>
      <c r="AT15" s="29" t="str">
        <v>Tampa Bay</v>
      </c>
      <c r="AU15" s="29" t="str">
        <v>Washington</v>
      </c>
      <c r="AV15" s="31" t="str">
        <v>Pittsburgh</v>
      </c>
      <c r="AW15" s="28">
        <v>12</v>
      </c>
      <c r="AX15" s="29" t="str">
        <v>St. Louis</v>
      </c>
      <c r="AY15" s="29" t="str">
        <v>Nashville</v>
      </c>
      <c r="AZ15" s="29" t="str">
        <v>Vancouver</v>
      </c>
      <c r="BA15" s="31" t="str">
        <v>Anaheim</v>
      </c>
      <c r="BG15" s="103" t="s">
        <v>253</v>
      </c>
      <c r="BH15" s="103"/>
      <c r="BI15" s="103"/>
      <c r="BJ15" s="103"/>
      <c r="BK15" s="103" t="s">
        <v>254</v>
      </c>
      <c r="BL15" s="103"/>
      <c r="BM15" s="103"/>
      <c r="BN15" s="103"/>
      <c r="BO15" s="103" t="s">
        <v>255</v>
      </c>
      <c r="BP15" s="103"/>
      <c r="BQ15" s="103"/>
      <c r="BR15" s="103"/>
      <c r="BS15" s="103" t="s">
        <v>256</v>
      </c>
      <c r="BT15" s="103"/>
      <c r="BU15" s="103"/>
      <c r="BV15" s="103"/>
      <c r="BW15" s="103" t="s">
        <v>257</v>
      </c>
      <c r="BX15" s="103"/>
      <c r="BY15" s="103"/>
      <c r="BZ15" s="103"/>
      <c r="CA15" s="103" t="s">
        <v>258</v>
      </c>
      <c r="CB15" s="103"/>
      <c r="CC15" s="103"/>
      <c r="CD15" s="103"/>
      <c r="CE15" s="103" t="s">
        <v>259</v>
      </c>
      <c r="CF15" s="103"/>
      <c r="CG15" s="103"/>
      <c r="CH15" s="103"/>
      <c r="CI15" s="31" t="s">
        <v>252</v>
      </c>
      <c r="CL15" s="28">
        <v>12</v>
      </c>
      <c r="CM15" s="29" t="str">
        <v>Detroit</v>
      </c>
      <c r="CN15" s="31" t="str">
        <v>Washington</v>
      </c>
      <c r="CO15" s="28">
        <v>12</v>
      </c>
      <c r="CP15" s="29" t="str">
        <v>Chicago</v>
      </c>
      <c r="CQ15" s="31" t="str">
        <v>Anaheim</v>
      </c>
      <c r="CS15" s="28"/>
      <c r="CW15" s="103" t="s">
        <v>253</v>
      </c>
      <c r="CX15" s="103"/>
      <c r="CY15" s="103"/>
      <c r="CZ15" s="103"/>
      <c r="DA15" s="103" t="s">
        <v>254</v>
      </c>
      <c r="DB15" s="103"/>
      <c r="DC15" s="103"/>
      <c r="DD15" s="103"/>
      <c r="DE15" s="103" t="s">
        <v>255</v>
      </c>
      <c r="DF15" s="103"/>
      <c r="DG15" s="103"/>
      <c r="DH15" s="103"/>
      <c r="DI15" s="103" t="s">
        <v>256</v>
      </c>
      <c r="DJ15" s="103"/>
      <c r="DK15" s="103"/>
      <c r="DL15" s="103"/>
      <c r="DM15" s="103" t="s">
        <v>257</v>
      </c>
      <c r="DN15" s="103"/>
      <c r="DO15" s="103"/>
      <c r="DP15" s="103"/>
      <c r="DQ15" s="103" t="s">
        <v>258</v>
      </c>
      <c r="DR15" s="103"/>
      <c r="DS15" s="103"/>
      <c r="DT15" s="103"/>
      <c r="DU15" s="103" t="s">
        <v>259</v>
      </c>
      <c r="DV15" s="103"/>
      <c r="DW15" s="103"/>
      <c r="DX15" s="103"/>
      <c r="DY15" s="31" t="s">
        <v>252</v>
      </c>
      <c r="EB15" s="28">
        <v>12</v>
      </c>
      <c r="EC15" s="29" t="str">
        <v>Washington</v>
      </c>
      <c r="ED15" s="31" t="str">
        <v>Chicago</v>
      </c>
      <c r="EG15" s="81">
        <v>2</v>
      </c>
      <c r="EH15" s="82" t="str">
        <f>B5</f>
        <v>NY Rangers</v>
      </c>
      <c r="EI15" s="82"/>
      <c r="EJ15" s="82"/>
      <c r="EK15" s="82"/>
      <c r="EL15" s="82"/>
      <c r="EM15" s="81">
        <v>2</v>
      </c>
      <c r="EN15" s="82" t="str">
        <f>B18</f>
        <v>Anaheim</v>
      </c>
      <c r="EO15" s="82"/>
      <c r="EP15" s="82"/>
      <c r="EQ15" s="82"/>
      <c r="ER15" s="83"/>
      <c r="ET15" s="28" t="s">
        <v>10</v>
      </c>
      <c r="EU15" s="60">
        <v>85.502478257351129</v>
      </c>
      <c r="EV15" s="28">
        <v>4</v>
      </c>
      <c r="EW15" s="29">
        <v>4</v>
      </c>
      <c r="EX15" s="29">
        <v>5</v>
      </c>
      <c r="EY15" s="29">
        <v>20</v>
      </c>
      <c r="EZ15" s="29">
        <v>12</v>
      </c>
      <c r="FA15" s="29">
        <v>6</v>
      </c>
      <c r="FB15" s="29">
        <v>7</v>
      </c>
      <c r="FC15" s="29">
        <v>9</v>
      </c>
      <c r="FD15" s="29">
        <v>14</v>
      </c>
      <c r="FE15" s="29">
        <v>16</v>
      </c>
      <c r="FF15" s="29">
        <v>20</v>
      </c>
      <c r="FG15" s="29">
        <v>14</v>
      </c>
      <c r="FH15" s="29">
        <v>11</v>
      </c>
      <c r="FI15" s="29">
        <v>6</v>
      </c>
      <c r="FJ15" s="29">
        <v>7</v>
      </c>
      <c r="FK15" s="29">
        <v>4</v>
      </c>
      <c r="FL15" s="31">
        <v>7</v>
      </c>
      <c r="FR15" s="29">
        <v>13</v>
      </c>
      <c r="FS15" s="29" t="str">
        <v>Anaheim</v>
      </c>
    </row>
    <row r="16" spans="1:175">
      <c r="A16" s="34" t="s">
        <v>229</v>
      </c>
      <c r="B16" s="34" t="s">
        <v>193</v>
      </c>
      <c r="C16" s="34" t="s">
        <v>176</v>
      </c>
      <c r="D16" s="34" t="s">
        <v>226</v>
      </c>
      <c r="E16" s="34" t="s">
        <v>227</v>
      </c>
      <c r="F16" s="30"/>
      <c r="G16" s="34" t="s">
        <v>245</v>
      </c>
      <c r="H16" s="34" t="s">
        <v>246</v>
      </c>
      <c r="I16" s="34" t="s">
        <v>247</v>
      </c>
      <c r="J16" s="34" t="s">
        <v>250</v>
      </c>
      <c r="K16" s="34" t="s">
        <v>265</v>
      </c>
      <c r="L16" s="34" t="s">
        <v>267</v>
      </c>
      <c r="M16" s="50" t="s">
        <v>269</v>
      </c>
      <c r="N16" s="34" t="s">
        <v>249</v>
      </c>
      <c r="O16" s="34" t="s">
        <v>268</v>
      </c>
      <c r="P16" s="54" t="s">
        <v>252</v>
      </c>
      <c r="Q16" s="34" t="s">
        <v>248</v>
      </c>
      <c r="R16" s="34" t="s">
        <v>249</v>
      </c>
      <c r="S16" s="34" t="s">
        <v>268</v>
      </c>
      <c r="T16" s="54" t="s">
        <v>252</v>
      </c>
      <c r="U16" s="34" t="s">
        <v>248</v>
      </c>
      <c r="V16" s="34" t="s">
        <v>249</v>
      </c>
      <c r="W16" s="34" t="s">
        <v>268</v>
      </c>
      <c r="X16" s="54" t="s">
        <v>252</v>
      </c>
      <c r="Y16" s="34" t="s">
        <v>248</v>
      </c>
      <c r="Z16" s="34" t="s">
        <v>249</v>
      </c>
      <c r="AA16" s="34" t="s">
        <v>268</v>
      </c>
      <c r="AB16" s="54" t="s">
        <v>252</v>
      </c>
      <c r="AC16" s="34" t="s">
        <v>248</v>
      </c>
      <c r="AD16" s="34" t="s">
        <v>249</v>
      </c>
      <c r="AE16" s="34" t="s">
        <v>268</v>
      </c>
      <c r="AF16" s="54" t="s">
        <v>252</v>
      </c>
      <c r="AG16" s="34" t="s">
        <v>248</v>
      </c>
      <c r="AH16" s="34" t="s">
        <v>249</v>
      </c>
      <c r="AI16" s="34" t="s">
        <v>268</v>
      </c>
      <c r="AJ16" s="54" t="s">
        <v>252</v>
      </c>
      <c r="AK16" s="34" t="s">
        <v>248</v>
      </c>
      <c r="AL16" s="34" t="s">
        <v>249</v>
      </c>
      <c r="AM16" s="34" t="s">
        <v>268</v>
      </c>
      <c r="AN16" s="54" t="s">
        <v>252</v>
      </c>
      <c r="AO16" s="31"/>
      <c r="AR16" s="28">
        <v>13</v>
      </c>
      <c r="AS16" s="29" t="str">
        <v>Ottawa</v>
      </c>
      <c r="AT16" s="29" t="str">
        <v>Detroit</v>
      </c>
      <c r="AU16" s="29" t="str">
        <v>NY Islanders</v>
      </c>
      <c r="AV16" s="31" t="str">
        <v>NY Rangers</v>
      </c>
      <c r="AW16" s="28">
        <v>13</v>
      </c>
      <c r="AX16" s="29" t="str">
        <v>Minnesota</v>
      </c>
      <c r="AY16" s="29" t="str">
        <v>Nashville</v>
      </c>
      <c r="AZ16" s="29" t="str">
        <v>Vancouver</v>
      </c>
      <c r="BA16" s="31" t="str">
        <v>Anaheim</v>
      </c>
      <c r="BC16" s="34" t="s">
        <v>270</v>
      </c>
      <c r="BD16" s="34" t="s">
        <v>226</v>
      </c>
      <c r="BE16" s="34" t="s">
        <v>227</v>
      </c>
      <c r="BF16" s="34" t="s">
        <v>267</v>
      </c>
      <c r="BG16" s="34" t="s">
        <v>248</v>
      </c>
      <c r="BH16" s="34" t="s">
        <v>249</v>
      </c>
      <c r="BI16" s="34" t="s">
        <v>268</v>
      </c>
      <c r="BJ16" s="54" t="s">
        <v>252</v>
      </c>
      <c r="BK16" s="34" t="s">
        <v>248</v>
      </c>
      <c r="BL16" s="34" t="s">
        <v>249</v>
      </c>
      <c r="BM16" s="34" t="s">
        <v>268</v>
      </c>
      <c r="BN16" s="54" t="s">
        <v>252</v>
      </c>
      <c r="BO16" s="34" t="s">
        <v>248</v>
      </c>
      <c r="BP16" s="34" t="s">
        <v>249</v>
      </c>
      <c r="BQ16" s="34" t="s">
        <v>268</v>
      </c>
      <c r="BR16" s="54" t="s">
        <v>252</v>
      </c>
      <c r="BS16" s="34" t="s">
        <v>248</v>
      </c>
      <c r="BT16" s="34" t="s">
        <v>249</v>
      </c>
      <c r="BU16" s="34" t="s">
        <v>268</v>
      </c>
      <c r="BV16" s="54" t="s">
        <v>252</v>
      </c>
      <c r="BW16" s="34" t="s">
        <v>248</v>
      </c>
      <c r="BX16" s="34" t="s">
        <v>249</v>
      </c>
      <c r="BY16" s="34" t="s">
        <v>268</v>
      </c>
      <c r="BZ16" s="54" t="s">
        <v>252</v>
      </c>
      <c r="CA16" s="34" t="s">
        <v>248</v>
      </c>
      <c r="CB16" s="34" t="s">
        <v>249</v>
      </c>
      <c r="CC16" s="34" t="s">
        <v>268</v>
      </c>
      <c r="CD16" s="54" t="s">
        <v>252</v>
      </c>
      <c r="CE16" s="34" t="s">
        <v>248</v>
      </c>
      <c r="CF16" s="34" t="s">
        <v>249</v>
      </c>
      <c r="CG16" s="34" t="s">
        <v>268</v>
      </c>
      <c r="CH16" s="54" t="s">
        <v>252</v>
      </c>
      <c r="CI16" s="31"/>
      <c r="CL16" s="28">
        <v>13</v>
      </c>
      <c r="CM16" s="29" t="str">
        <v>Ottawa</v>
      </c>
      <c r="CN16" s="31" t="str">
        <v>NY Islanders</v>
      </c>
      <c r="CO16" s="28">
        <v>13</v>
      </c>
      <c r="CP16" s="29" t="str">
        <v>Nashville</v>
      </c>
      <c r="CQ16" s="31" t="str">
        <v>Anaheim</v>
      </c>
      <c r="CS16" s="50" t="s">
        <v>270</v>
      </c>
      <c r="CT16" s="34" t="s">
        <v>226</v>
      </c>
      <c r="CU16" s="34" t="s">
        <v>227</v>
      </c>
      <c r="CV16" s="34" t="s">
        <v>267</v>
      </c>
      <c r="CW16" s="34" t="s">
        <v>248</v>
      </c>
      <c r="CX16" s="34" t="s">
        <v>249</v>
      </c>
      <c r="CY16" s="34" t="s">
        <v>268</v>
      </c>
      <c r="CZ16" s="54" t="s">
        <v>252</v>
      </c>
      <c r="DA16" s="34" t="s">
        <v>248</v>
      </c>
      <c r="DB16" s="34" t="s">
        <v>249</v>
      </c>
      <c r="DC16" s="34" t="s">
        <v>268</v>
      </c>
      <c r="DD16" s="54" t="s">
        <v>252</v>
      </c>
      <c r="DE16" s="34" t="s">
        <v>248</v>
      </c>
      <c r="DF16" s="34" t="s">
        <v>249</v>
      </c>
      <c r="DG16" s="34" t="s">
        <v>268</v>
      </c>
      <c r="DH16" s="54" t="s">
        <v>252</v>
      </c>
      <c r="DI16" s="34" t="s">
        <v>248</v>
      </c>
      <c r="DJ16" s="34" t="s">
        <v>249</v>
      </c>
      <c r="DK16" s="34" t="s">
        <v>268</v>
      </c>
      <c r="DL16" s="54" t="s">
        <v>252</v>
      </c>
      <c r="DM16" s="34" t="s">
        <v>248</v>
      </c>
      <c r="DN16" s="34" t="s">
        <v>249</v>
      </c>
      <c r="DO16" s="34" t="s">
        <v>268</v>
      </c>
      <c r="DP16" s="54" t="s">
        <v>252</v>
      </c>
      <c r="DQ16" s="34" t="s">
        <v>248</v>
      </c>
      <c r="DR16" s="34" t="s">
        <v>249</v>
      </c>
      <c r="DS16" s="34" t="s">
        <v>268</v>
      </c>
      <c r="DT16" s="54" t="s">
        <v>252</v>
      </c>
      <c r="DU16" s="34" t="s">
        <v>248</v>
      </c>
      <c r="DV16" s="34" t="s">
        <v>249</v>
      </c>
      <c r="DW16" s="34" t="s">
        <v>268</v>
      </c>
      <c r="DX16" s="54" t="s">
        <v>252</v>
      </c>
      <c r="DY16" s="31"/>
      <c r="EB16" s="28">
        <v>13</v>
      </c>
      <c r="EC16" s="29" t="str">
        <v>Washington</v>
      </c>
      <c r="ED16" s="31" t="str">
        <v>Chicago</v>
      </c>
      <c r="EG16" s="81"/>
      <c r="EH16" s="82" t="s">
        <v>308</v>
      </c>
      <c r="EI16" s="82" t="s">
        <v>309</v>
      </c>
      <c r="EJ16" s="82" t="s">
        <v>310</v>
      </c>
      <c r="EK16" s="82" t="s">
        <v>307</v>
      </c>
      <c r="EL16" s="82" t="s">
        <v>311</v>
      </c>
      <c r="EM16" s="81"/>
      <c r="EN16" s="82" t="s">
        <v>308</v>
      </c>
      <c r="EO16" s="82" t="s">
        <v>309</v>
      </c>
      <c r="EP16" s="82" t="s">
        <v>310</v>
      </c>
      <c r="EQ16" s="82" t="s">
        <v>307</v>
      </c>
      <c r="ER16" s="83" t="s">
        <v>311</v>
      </c>
      <c r="ET16" s="28" t="s">
        <v>27</v>
      </c>
      <c r="EU16" s="60">
        <v>85.372907708176413</v>
      </c>
      <c r="EV16" s="28">
        <v>5</v>
      </c>
      <c r="EW16" s="29">
        <v>5</v>
      </c>
      <c r="EX16" s="29">
        <v>11</v>
      </c>
      <c r="EY16" s="29">
        <v>23</v>
      </c>
      <c r="EZ16" s="29">
        <v>6</v>
      </c>
      <c r="FA16" s="29">
        <v>19</v>
      </c>
      <c r="FB16" s="29">
        <v>7</v>
      </c>
      <c r="FC16" s="29">
        <v>7</v>
      </c>
      <c r="FD16" s="29">
        <v>11</v>
      </c>
      <c r="FE16" s="29">
        <v>4</v>
      </c>
      <c r="FF16" s="29">
        <v>19</v>
      </c>
      <c r="FG16" s="29">
        <v>11</v>
      </c>
      <c r="FH16" s="29">
        <v>11</v>
      </c>
      <c r="FI16" s="29">
        <v>5</v>
      </c>
      <c r="FJ16" s="29">
        <v>4</v>
      </c>
      <c r="FK16" s="29">
        <v>5</v>
      </c>
      <c r="FL16" s="31">
        <v>22</v>
      </c>
      <c r="FR16" s="29">
        <v>14</v>
      </c>
      <c r="FS16" s="29" t="str">
        <v>Vancouver</v>
      </c>
    </row>
    <row r="17" spans="1:175">
      <c r="A17" s="29">
        <v>1</v>
      </c>
      <c r="B17" s="29" t="s">
        <v>236</v>
      </c>
      <c r="C17" s="29">
        <f>VLOOKUP(B17,$ET$12:$EU$41,2,0)/100</f>
        <v>0.84466737907719647</v>
      </c>
      <c r="D17" s="29">
        <f>VLOOKUP(B17,'Team Stats'!$A$2:$H$18,7,0)</f>
        <v>2.87</v>
      </c>
      <c r="E17" s="29">
        <f>VLOOKUP(B17,'Team Stats'!$A$2:$H$18,8,0)</f>
        <v>2.36</v>
      </c>
      <c r="F17" s="30"/>
      <c r="G17" s="29">
        <v>1</v>
      </c>
      <c r="H17" s="29">
        <v>1</v>
      </c>
      <c r="I17" s="29">
        <f>VLOOKUP(H17,$A$17:$C$24,3,0)</f>
        <v>0.84466737907719647</v>
      </c>
      <c r="J17" s="29">
        <f>VLOOKUP(H17,$A$17:$E$24,4,0)</f>
        <v>2.87</v>
      </c>
      <c r="K17" s="29">
        <f>VLOOKUP(H17,$A$17:$E$24,5,0)</f>
        <v>2.36</v>
      </c>
      <c r="L17" s="29">
        <f>J17-(I2-K18)</f>
        <v>2.5943333333333336</v>
      </c>
      <c r="M17" s="51">
        <f t="shared" ref="M17:M24" ca="1" si="80">_xlfn.NORM.INV(RAND(),I17,G$2*H$2)</f>
        <v>0.88598215352961929</v>
      </c>
      <c r="N17" s="29">
        <f ca="1">ranpoi(L17*M17,RAND()*M17)</f>
        <v>14</v>
      </c>
      <c r="O17" s="29">
        <f ca="1">IF(N17&gt;6,6,N17)</f>
        <v>6</v>
      </c>
      <c r="P17" s="55">
        <f ca="1">IF(O17&gt;O18,H17,H18)</f>
        <v>1</v>
      </c>
      <c r="Q17" s="29">
        <f ca="1">_xlfn.NORM.INV(RAND(),I17,$G$2*$H$2)</f>
        <v>0.87922745285333159</v>
      </c>
      <c r="R17" s="29">
        <f ca="1">ranpoi(L17*Q17,RAND()*Q17)</f>
        <v>0</v>
      </c>
      <c r="S17" s="29">
        <f ca="1">IF(R17&gt;6,6,R17)</f>
        <v>0</v>
      </c>
      <c r="T17" s="55">
        <f ca="1">IF(S17&gt;S18,H17,H18)</f>
        <v>8</v>
      </c>
      <c r="U17" s="29">
        <f ca="1">_xlfn.NORM.INV(RAND(),$I$17,$G$2*$H$2)</f>
        <v>0.84125447054852265</v>
      </c>
      <c r="V17" s="29">
        <f ca="1">ranpoi(L17*U17,RAND()*U17)</f>
        <v>9</v>
      </c>
      <c r="W17" s="29">
        <f ca="1">IF(V17&gt;6,6,V17)</f>
        <v>6</v>
      </c>
      <c r="X17" s="55">
        <f ca="1">IF(W17&gt;W18,H17,H18)</f>
        <v>1</v>
      </c>
      <c r="Y17" s="29">
        <f ca="1">_xlfn.NORM.INV(RAND(),$I$17,$G$2*$H$2)</f>
        <v>0.83422900004849654</v>
      </c>
      <c r="Z17" s="29">
        <f ca="1">ranpoi(L17*Y17,RAND()*Y17)</f>
        <v>2</v>
      </c>
      <c r="AA17" s="29">
        <f ca="1">IF(Z17&gt;6,6,Z17)</f>
        <v>2</v>
      </c>
      <c r="AB17" s="55">
        <f ca="1">IF(AA17&gt;AA18,H17,H18)</f>
        <v>8</v>
      </c>
      <c r="AC17" s="29">
        <f ca="1">_xlfn.NORM.INV(RAND(),$I$17,$G$2*$H$2)</f>
        <v>0.81181526340485544</v>
      </c>
      <c r="AD17" s="29">
        <f ca="1">ranpoi(L17*AC17,RAND()*AC17)</f>
        <v>2</v>
      </c>
      <c r="AE17" s="29">
        <f ca="1">IF(AD17&gt;6,6,AD17)</f>
        <v>2</v>
      </c>
      <c r="AF17" s="55">
        <f ca="1">IF((COUNTIF(P17:P18,1)+COUNTIF(T17:T18,1)+COUNTIF(X17:X18,1)+COUNTIF(AB17:AB18,1))=4,"",IF((COUNTIF(P17:P18,8)+COUNTIF(T17:T18,8)+COUNTIF(X17:X18,8)+COUNTIF(AB4:AB5,8))=4,"",IF(AE17&gt;AE18,H17,H18)))</f>
        <v>8</v>
      </c>
      <c r="AG17" s="29">
        <f ca="1">_xlfn.NORM.INV(RAND(),$I$17,$G$2*$H$2)</f>
        <v>0.93332024690268578</v>
      </c>
      <c r="AH17" s="29">
        <f ca="1">ranpoi(L17*AG17,RAND()*AG17)</f>
        <v>3</v>
      </c>
      <c r="AI17" s="29">
        <f ca="1">IF(AH17&gt;6,6,AH17)</f>
        <v>3</v>
      </c>
      <c r="AJ17" s="55">
        <f ca="1">IF((COUNTIF(P17:P18,1)+COUNTIF(T17:T18,1)+COUNTIF(X17:X18,1)+COUNTIF(AB17:AB18,1)+COUNTIF(AF17:AF18,1))=4,"",IF((COUNTIF(P17:P18,8)+COUNTIF(T17:T18,8)+COUNTIF(X17:X18,8)+COUNTIF(AB17:AB18,8)+COUNTIF(AF17:AF18,8))=4,"",IF(AI17&gt;AI18,H17,H18)))</f>
        <v>8</v>
      </c>
      <c r="AK17" s="29">
        <f ca="1">_xlfn.NORM.INV(RAND(),$I$17,$G$2*$H$2)</f>
        <v>0.83435679673278162</v>
      </c>
      <c r="AL17" s="29">
        <f ca="1">ranpoi(L17*AK17,RAND()*AK17)</f>
        <v>1</v>
      </c>
      <c r="AM17" s="29">
        <f ca="1">IF(AL17&gt;6,6,AL17)</f>
        <v>1</v>
      </c>
      <c r="AN17" s="55" t="str">
        <f ca="1">IF((COUNTIF(P17:P18,1)+COUNTIF(T17:T18,1)+COUNTIF(X17:X18,1)+COUNTIF(AB17:AB18,1)+COUNTIF(AF17:AF18,1)+COUNTIF(AJ17:AJ18,1))=4,"",IF((COUNTIF(P17:P18,8)+COUNTIF(T17:T18,8)+COUNTIF(X17:X18,8)+COUNTIF(AB17:AB18,8)+COUNTIF(AF17:AF18,8)+COUNTIF(AJ17:AJ18,8))=4,"",IF(AM17&gt;AM18,H17,H18)))</f>
        <v/>
      </c>
      <c r="AO17" s="31">
        <f ca="1">IF((COUNTIF(P17:P18,1)+COUNTIF(T17:T18,1)+COUNTIF(X17:X18,1)+COUNTIF(AB17:AB18,1)+COUNTIF(AF17:AF18,1)+COUNTIF(AJ17:AJ18,1)+COUNTIF(AN17:AN18,1)&gt;COUNTIF(P17:P18,8)+COUNTIF(T17:T18,8)+COUNTIF(X17:X18,8)+COUNTIF(AB17:AB18,8)+COUNTIF(AF17:AF18,8)+COUNTIF(AJ17:AJ18,8)+COUNTIF(AN17:AN18,8)),H17,H18)</f>
        <v>8</v>
      </c>
      <c r="AP17" s="29" t="str">
        <f ca="1">VLOOKUP(AO17,$A$17:$E$24,2,0)</f>
        <v>Minnesota</v>
      </c>
      <c r="AQ17" s="29">
        <f ca="1">7-(COUNTIF(P17,"")+COUNTIF(T17,"")+COUNTIF(X17,"")+COUNTIF(AB17,"")+COUNTIF(AF17,"")+COUNTIF(AJ17,"")+COUNTIF(AN17,""))</f>
        <v>6</v>
      </c>
      <c r="AR17" s="28">
        <v>14</v>
      </c>
      <c r="AS17" s="29" t="str">
        <v>Ottawa</v>
      </c>
      <c r="AT17" s="29" t="str">
        <v>Detroit</v>
      </c>
      <c r="AU17" s="29" t="str">
        <v>Washington</v>
      </c>
      <c r="AV17" s="31" t="str">
        <v>NY Rangers</v>
      </c>
      <c r="AW17" s="28">
        <v>14</v>
      </c>
      <c r="AX17" s="29" t="str">
        <v>St. Louis</v>
      </c>
      <c r="AY17" s="29" t="str">
        <v>Nashville</v>
      </c>
      <c r="AZ17" s="29" t="str">
        <v>Vancouver</v>
      </c>
      <c r="BA17" s="31" t="str">
        <v>Winnipeg</v>
      </c>
      <c r="BC17" s="29">
        <f ca="1">VLOOKUP(AO17,$A$17:$E$24,3,0)</f>
        <v>0.84558509389146563</v>
      </c>
      <c r="BD17" s="29">
        <f ca="1">VLOOKUP(AO17,$A$17:$E$24,4,0)</f>
        <v>2.74</v>
      </c>
      <c r="BE17" s="29">
        <f ca="1">VLOOKUP(AO17,$A$17:$E$24,5,0)</f>
        <v>2.39</v>
      </c>
      <c r="BF17" s="29">
        <f ca="1">BD17-(I2-BE19)</f>
        <v>2.3043333333333336</v>
      </c>
      <c r="BG17" s="29">
        <f ca="1">_xlfn.NORM.INV(RAND(),BC17,$G$2*$H$2)</f>
        <v>0.83323150534078028</v>
      </c>
      <c r="BH17" s="29">
        <f ca="1">ranpoi(BF17*BG17,RAND()*BG17)</f>
        <v>0</v>
      </c>
      <c r="BI17" s="29">
        <f ca="1">IF(BH17&gt;6,6,BH17)</f>
        <v>0</v>
      </c>
      <c r="BJ17" s="55">
        <f ca="1">IF(BI17&gt;BI19,AO17,AO19)</f>
        <v>5</v>
      </c>
      <c r="BK17" s="29">
        <f ca="1">_xlfn.NORM.INV(RAND(),BC17,$G$2*$H$2)</f>
        <v>0.8680560123759069</v>
      </c>
      <c r="BL17" s="29">
        <f ca="1">ranpoi(BF17*BK17,RAND()*BK17)</f>
        <v>6</v>
      </c>
      <c r="BM17" s="29">
        <f ca="1">IF(BL17&gt;6,6,BL17)</f>
        <v>6</v>
      </c>
      <c r="BN17" s="55">
        <f ca="1">IF(BM17&gt;BM19,AO17,AO19)</f>
        <v>8</v>
      </c>
      <c r="BO17" s="29">
        <f ca="1">_xlfn.NORM.INV(RAND(),BC17,$G$2*$H$2)</f>
        <v>0.94622720380021652</v>
      </c>
      <c r="BP17" s="29">
        <f ca="1">ranpoi(BF17*BO17,RAND()*BO17)</f>
        <v>5</v>
      </c>
      <c r="BQ17" s="29">
        <f ca="1">IF(BP17&gt;6,6,BP17)</f>
        <v>5</v>
      </c>
      <c r="BR17" s="55">
        <f ca="1">IF(BQ17&gt;BQ19,AO17,AO19)</f>
        <v>8</v>
      </c>
      <c r="BS17" s="29">
        <f ca="1">_xlfn.NORM.INV(RAND(),BC17,$G$2*$H$2)</f>
        <v>0.85267249875022888</v>
      </c>
      <c r="BT17" s="29">
        <f ca="1">ranpoi(BF17*BS17,RAND()*BS17)</f>
        <v>6</v>
      </c>
      <c r="BU17" s="29">
        <f ca="1">IF(BT17&gt;6,6,BT17)</f>
        <v>6</v>
      </c>
      <c r="BV17" s="55">
        <f ca="1">IF(BU17&gt;BU19,AO17,AO19)</f>
        <v>8</v>
      </c>
      <c r="BW17" s="29">
        <f ca="1">_xlfn.NORM.INV(RAND(),BC17,$G$2*$H$2)</f>
        <v>0.87300973165304518</v>
      </c>
      <c r="BX17" s="29">
        <f ca="1">ranpoi(BF17*BW17,RAND()*BW17)</f>
        <v>1</v>
      </c>
      <c r="BY17" s="29">
        <f ca="1">IF(BX17&gt;6,6,BX17)</f>
        <v>1</v>
      </c>
      <c r="BZ17" s="55">
        <f ca="1">IF((COUNTIF(BJ17:BJ18,AO17)+COUNTIF(BN17:BN18,AO17)+COUNTIF(BR17:BR18,AO17)+COUNTIF(BV17:BV18,AO17))=4,"",IF((COUNTIF(BJ17:BJ18,AO19)+COUNTIF(BN17:BN18,AO19)+COUNTIF(BR17:BR18,AO19)+COUNTIF(BV17:BV18,AO19))=4,"",IF(BY17&gt;BY19,AO17,AO19)))</f>
        <v>5</v>
      </c>
      <c r="CA17" s="29">
        <f ca="1">_xlfn.NORM.INV(RAND(),BC17,$G$2*$H$2)</f>
        <v>0.85770809558689531</v>
      </c>
      <c r="CB17" s="29">
        <f ca="1">ranpoi(BF17*CA17,RAND()*CA17)</f>
        <v>3</v>
      </c>
      <c r="CC17" s="29">
        <f ca="1">IF(CB17&gt;6,6,CB17)</f>
        <v>3</v>
      </c>
      <c r="CD17" s="55">
        <f ca="1">IF((COUNTIF(BJ17:BJ18,AO17)+COUNTIF(BN17:BN18,AO17)+COUNTIF(BR17:BR18,AO17)+COUNTIF(BV17:BV18,AO17)+COUNTIF(BZ17:BZ18,AO17))=4,"",IF((COUNTIF(BJ17:BJ18,AO19)+COUNTIF(BN17:BN18,AO19)+COUNTIF(BR17:BR18,AO19)+COUNTIF(BV17:BV18,AO19)+COUNTIF(BZ17:BZ18,AO19))=4,"",IF(CC17&gt;CC19,AO17,AO19)))</f>
        <v>5</v>
      </c>
      <c r="CE17" s="29">
        <f ca="1">_xlfn.NORM.INV(RAND(),BC17,$G$2*$H$2)</f>
        <v>0.76591133402871237</v>
      </c>
      <c r="CF17" s="29">
        <f ca="1">ranpoi(BF17*CE17,RAND()*CE17)</f>
        <v>1</v>
      </c>
      <c r="CG17" s="29">
        <f ca="1">IF(CF17&gt;6,6,CF17)</f>
        <v>1</v>
      </c>
      <c r="CH17" s="55">
        <f ca="1">IF((COUNTIF(BJ17:BJ18,AO17)+COUNTIF(BN17:BN18,AO17)+COUNTIF(BR17:BR18,AO17)+COUNTIF(BV17:BV18,AO17)+COUNTIF(BZ17:BZ18,AO17)+COUNTIF(CD17:CD18,AO17))=4,"",IF((COUNTIF(BJ17:BJ18,AO19)+COUNTIF(BN17:BN18,AO19)+COUNTIF(BR17:BR18,AO19)+COUNTIF(BV17:BV18,AO19)+COUNTIF(BZ17:BZ18,AO19)+COUNTIF(CD17:CD18,AO19))=4,"",IF(CG17&gt;CG19,AO17,AO19)))</f>
        <v>5</v>
      </c>
      <c r="CI17" s="31">
        <f ca="1">IF((COUNTIF(BJ17:BJ18,AO17)+COUNTIF(BN17:BN18,AO17)+COUNTIF(BR17:BR18,AO17)+COUNTIF(BV17:BV18,AO17)+COUNTIF(BZ17:BZ18,AO17)+COUNTIF(CD17:CD18,AO17)+COUNTIF(CH17:CH18,AO17)&gt;COUNTIF(BJ17:BJ18,AO19)+COUNTIF(BN17:BN18,AO19)+COUNTIF(BR17:BR18,AO19)+COUNTIF(BV17:BV18,AO19)+COUNTIF(BZ17:BZ18,AO19)+COUNTIF(CD17:CD18,AO19)+COUNTIF(CH17:CH18,AO19)),AO17,AO19)</f>
        <v>5</v>
      </c>
      <c r="CJ17" s="29" t="str">
        <f ca="1">VLOOKUP(CI17,$A$17:$E$24,2,0)</f>
        <v>Chicago</v>
      </c>
      <c r="CK17" s="29">
        <f ca="1">7-(COUNTIF(BJ17,"")+COUNTIF(BN17,"")+COUNTIF(BR17,"")+COUNTIF(BV17,"")+COUNTIF(BZ17,"")+COUNTIF(CD17,"")+COUNTIF(CH17,""))</f>
        <v>7</v>
      </c>
      <c r="CL17" s="28">
        <v>14</v>
      </c>
      <c r="CM17" s="29" t="str">
        <v>Ottawa</v>
      </c>
      <c r="CN17" s="31" t="str">
        <v>NY Islanders</v>
      </c>
      <c r="CO17" s="28">
        <v>14</v>
      </c>
      <c r="CP17" s="29" t="str">
        <v>Nashville</v>
      </c>
      <c r="CQ17" s="31" t="str">
        <v>Anaheim</v>
      </c>
      <c r="CS17" s="28">
        <f ca="1">VLOOKUP(CI17,$A$17:$E$24,3,0)</f>
        <v>0.84432567381361234</v>
      </c>
      <c r="CT17" s="29">
        <f ca="1">VLOOKUP(CI17,$A$17:$E$24,4,0)</f>
        <v>2.64</v>
      </c>
      <c r="CU17" s="29">
        <f ca="1">VLOOKUP(CI17,$A$17:$E$24,5,0)</f>
        <v>2.23</v>
      </c>
      <c r="CV17" s="29">
        <f ca="1">CT17-(I2-CU21)</f>
        <v>2.6243333333333334</v>
      </c>
      <c r="CW17" s="29">
        <f ca="1">_xlfn.NORM.INV(RAND(),CS17,$G$2*$H$2)</f>
        <v>0.82090129633174325</v>
      </c>
      <c r="CX17" s="29">
        <f ca="1">ranpoi(CV17*CW17,(RAND()*CW17))</f>
        <v>5</v>
      </c>
      <c r="CY17" s="29">
        <f ca="1">IF(CX17&gt;6,6,CX17)</f>
        <v>5</v>
      </c>
      <c r="CZ17" s="55">
        <f ca="1">IF(CY17&gt;CY21,CI17,CI21)</f>
        <v>5</v>
      </c>
      <c r="DA17" s="29">
        <f ca="1">_xlfn.NORM.INV(RAND(),CS17,$G$2*$H$2)</f>
        <v>0.84414885622502578</v>
      </c>
      <c r="DB17" s="29">
        <f ca="1">ranpoi(CV17*DA17,(RAND()*DA17))</f>
        <v>8</v>
      </c>
      <c r="DC17" s="29">
        <f ca="1">IF(DB17&gt;6,6,DB17)</f>
        <v>6</v>
      </c>
      <c r="DD17" s="55">
        <f ca="1">IF(DC17&gt;DC21,CI17,CI21)</f>
        <v>5</v>
      </c>
      <c r="DE17" s="29">
        <f ca="1">_xlfn.NORM.INV(RAND(),CS17,$G$2*$H$2)</f>
        <v>0.83217216348875156</v>
      </c>
      <c r="DF17" s="29">
        <f ca="1">ranpoi(CV17*DE17,(RAND()*DE17))</f>
        <v>2</v>
      </c>
      <c r="DG17" s="29">
        <f ca="1">IF(DF17&gt;6,6,DF17)</f>
        <v>2</v>
      </c>
      <c r="DH17" s="55">
        <f ca="1">IF(DG17&gt;DG21,CI17,CI21)</f>
        <v>2</v>
      </c>
      <c r="DI17" s="29">
        <f ca="1">_xlfn.NORM.INV(RAND(),CS17,$G$2*$H$2)</f>
        <v>0.79237707320550077</v>
      </c>
      <c r="DJ17" s="29">
        <f ca="1">ranpoi(CV17*DI17,(RAND()*DI17))</f>
        <v>2</v>
      </c>
      <c r="DK17" s="29">
        <f ca="1">IF(DJ17&gt;6,6,DJ17)</f>
        <v>2</v>
      </c>
      <c r="DL17" s="55">
        <f ca="1">IF(DK17&gt;DK21,CI17,CI21)</f>
        <v>2</v>
      </c>
      <c r="DM17" s="29">
        <f ca="1">_xlfn.NORM.INV(RAND(),CS17,$G$2*$H$2)</f>
        <v>0.82911185897914208</v>
      </c>
      <c r="DN17" s="29">
        <f ca="1">ranpoi(CV17*DM17,(RAND()*DM17))</f>
        <v>2</v>
      </c>
      <c r="DO17" s="29">
        <f ca="1">IF(DN17&gt;6,6,DN17)</f>
        <v>2</v>
      </c>
      <c r="DP17" s="55">
        <f ca="1">IF((COUNTIF(CZ17:CZ18,CI17)+COUNTIF(DD17:DD18,CI17)+COUNTIF(DH17:DH18,CI17)+COUNTIF(DL17:DL18,CI17))=4,"",IF((COUNTIF(CZ17:CZ18,CI21)+COUNTIF(DD17:DD18,CI21)+COUNTIF(DH17:DH18,CI21)+COUNTIF(DL17:DL18,CI21))=4,"",IF(DO17&gt;DO21,CI17,CI21)))</f>
        <v>5</v>
      </c>
      <c r="DQ17" s="29">
        <f ca="1">_xlfn.NORM.INV(RAND(),CS17,$G$2*$H$2)</f>
        <v>0.82610719084148865</v>
      </c>
      <c r="DR17" s="29">
        <f ca="1">ranpoi(CV17*DQ17,(RAND()*DQ17))</f>
        <v>3</v>
      </c>
      <c r="DS17" s="29">
        <f ca="1">IF(DR17&gt;6,6,DR17)</f>
        <v>3</v>
      </c>
      <c r="DT17" s="55">
        <f ca="1">IF((COUNTIF(CZ17:CZ18,CI17)+COUNTIF(DD17:DD18,CI17)+COUNTIF(DH17:DH18,CI17)+COUNTIF(DL17:DL18,CI17)+COUNTIF(DP17:DP18,CI17))=4,"",IF((COUNTIF(CZ17:CZ18,CI21)+COUNTIF(DD17:DD18,CI21)+COUNTIF(DH17:DH18,CI21)+COUNTIF(DL17:DL18,CI21)+COUNTIF(DP17:DP18,CI21))=4,"",IF(DS17&gt;DS21,CI17,CI21)))</f>
        <v>5</v>
      </c>
      <c r="DU17" s="29">
        <f ca="1">_xlfn.NORM.INV(RAND(),CS17,$G$2*$H$2)</f>
        <v>0.88676943968994459</v>
      </c>
      <c r="DV17" s="29">
        <f ca="1">ranpoi(CV17*DU17,(RAND()*DU17))</f>
        <v>5</v>
      </c>
      <c r="DW17" s="29">
        <f ca="1">IF(DV17&gt;6,6,DV17)</f>
        <v>5</v>
      </c>
      <c r="DX17" s="55" t="str">
        <f ca="1">IF((COUNTIF(CZ17:CZ18,CI17)+COUNTIF(DD17:DD18,CI17)+COUNTIF(DH17:DH18,CI17)+COUNTIF(DL17:DL18,CI17)+COUNTIF(DP17:DP18,CI17)+COUNTIF(DT17:DT18,CI17))=4,"",IF((COUNTIF(CZ17:CZ18,CI21)+COUNTIF(DD17:DD18,CI21)+COUNTIF(DH17:DH18,CI21)+COUNTIF(DL17:DL18,CI21)+COUNTIF(DP17:DP18,CI21)+COUNTIF(DT17:DT18,BW))=4,"",IF(DW17&gt;DW21,CI17,CI21)))</f>
        <v/>
      </c>
      <c r="DY17" s="31">
        <f ca="1">IF((COUNTIF(CZ17:CZ18,CI17)+COUNTIF(DD17:DD18,CI17)+COUNTIF(DH17:DH18,CI17)+COUNTIF(DL17:DL18,CI17)+COUNTIF(DP17:DP18,CI17)+COUNTIF(DT17:DT18,CI17)+COUNTIF(DX17:DX18,CI17)&gt;COUNTIF(CZ17:CZ18,CI21)+COUNTIF(DD17:DD18,CI21)+COUNTIF(DH17:DH18,CI21)+COUNTIF(DL17:DL18,CI21)+COUNTIF(DP17:DP18,CI21)+COUNTIF(DT17:DT18,CI21)+COUNTIF(DX17:DX18,CI21)),CI17,CI21)</f>
        <v>5</v>
      </c>
      <c r="DZ17" s="29">
        <f ca="1">7-(COUNTIF(CZ17,"")+COUNTIF(DD17,"")+COUNTIF(DH17,"")+COUNTIF(DL17,"")+COUNTIF(DP17,"")+COUNTIF(DT17,"")+COUNTIF(DX17,""))</f>
        <v>6</v>
      </c>
      <c r="EB17" s="28">
        <v>14</v>
      </c>
      <c r="EC17" s="29" t="str">
        <v>Washington</v>
      </c>
      <c r="ED17" s="31" t="str">
        <v>Minnesota</v>
      </c>
      <c r="EG17" s="81"/>
      <c r="EH17" s="82">
        <f ca="1">COUNTIF(AS4:AV103,EH15)/COUNT(AR4:AR103)</f>
        <v>0.46</v>
      </c>
      <c r="EI17" s="82">
        <f ca="1">COUNTIF(CM4:CN103,EH15)/COUNT(CL4:CL103)</f>
        <v>0.03</v>
      </c>
      <c r="EJ17" s="82">
        <f ca="1">COUNTIF(EC4:ED503,EH15)/COUNT(EB4:EB503)</f>
        <v>0.01</v>
      </c>
      <c r="EK17" s="82">
        <f ca="1">COUNTIF(FS3:FS502,EH15)/COUNT(FR3:FR502)</f>
        <v>4.0000000000000001E-3</v>
      </c>
      <c r="EL17" s="82">
        <f ca="1">AQ10+IF(AP10=EH15,CK8,0)+IF(CJ8=EH15,DZ4,0)+IF(DY4=EG15,FQ3,0)</f>
        <v>12</v>
      </c>
      <c r="EM17" s="81"/>
      <c r="EN17" s="82">
        <f ca="1">COUNTIF(AX4:BA103,EN15)/COUNT(AW4:AW103)</f>
        <v>0.79</v>
      </c>
      <c r="EO17" s="82">
        <f ca="1">COUNTIF(CP4:CQ103,EN15)/COUNT(CO4:CO103)</f>
        <v>0.4</v>
      </c>
      <c r="EP17" s="82">
        <f ca="1">COUNTIF(EC4:ED503,EN15)/COUNT(EB4:EB503)</f>
        <v>0.29399999999999998</v>
      </c>
      <c r="EQ17" s="82">
        <f ca="1">COUNTIF(FS3:FS502,EN15)/COUNT(FR3:FR502)</f>
        <v>0.17599999999999999</v>
      </c>
      <c r="ER17" s="83">
        <f ca="1">AQ23+IF(AP23=EN15,CK21,0)+IF(CJ21=EN15,DZ17,0)+IF(DY17=EM15,FQ3,0)</f>
        <v>19</v>
      </c>
      <c r="ET17" s="28" t="s">
        <v>177</v>
      </c>
      <c r="EU17" s="60">
        <v>85.347807451801742</v>
      </c>
      <c r="EV17" s="28">
        <v>6</v>
      </c>
      <c r="EW17" s="29">
        <v>6</v>
      </c>
      <c r="EX17" s="29">
        <v>11</v>
      </c>
      <c r="EY17" s="29">
        <v>21</v>
      </c>
      <c r="EZ17" s="29">
        <v>7</v>
      </c>
      <c r="FA17" s="29">
        <v>16</v>
      </c>
      <c r="FB17" s="29">
        <v>5</v>
      </c>
      <c r="FC17" s="29">
        <v>7</v>
      </c>
      <c r="FD17" s="29">
        <v>10</v>
      </c>
      <c r="FE17" s="29">
        <v>7</v>
      </c>
      <c r="FF17" s="29">
        <v>19</v>
      </c>
      <c r="FG17" s="29">
        <v>14</v>
      </c>
      <c r="FH17" s="29">
        <v>6</v>
      </c>
      <c r="FI17" s="29">
        <v>13</v>
      </c>
      <c r="FJ17" s="29">
        <v>7</v>
      </c>
      <c r="FK17" s="29">
        <v>6</v>
      </c>
      <c r="FL17" s="31">
        <v>27</v>
      </c>
      <c r="FR17" s="29">
        <v>15</v>
      </c>
      <c r="FS17" s="29" t="str">
        <v>Anaheim</v>
      </c>
    </row>
    <row r="18" spans="1:175">
      <c r="A18" s="29">
        <v>2</v>
      </c>
      <c r="B18" s="29" t="s">
        <v>235</v>
      </c>
      <c r="C18" s="29">
        <f t="shared" ref="C18:C24" si="81">VLOOKUP(B18,$ET$12:$EU$41,2,0)/100</f>
        <v>0.85502478257351133</v>
      </c>
      <c r="D18" s="29">
        <f>VLOOKUP(B18,'Team Stats'!$A$2:$H$18,7,0)</f>
        <v>2.73</v>
      </c>
      <c r="E18" s="29">
        <f>VLOOKUP(B18,'Team Stats'!$A$2:$H$18,8,0)</f>
        <v>2.65</v>
      </c>
      <c r="F18" s="30"/>
      <c r="H18" s="29">
        <v>8</v>
      </c>
      <c r="I18" s="29">
        <f t="shared" ref="I18:I24" si="82">VLOOKUP(H18,$A$17:$C$24,3,0)</f>
        <v>0.84558509389146563</v>
      </c>
      <c r="J18" s="29">
        <f t="shared" ref="J18:J24" si="83">VLOOKUP(H18,$A$17:$E$24,4,0)</f>
        <v>2.74</v>
      </c>
      <c r="K18" s="29">
        <f t="shared" ref="K18:K24" si="84">VLOOKUP(H18,$A$17:$E$24,5,0)</f>
        <v>2.39</v>
      </c>
      <c r="L18" s="29">
        <f>J18-(I2-K17)</f>
        <v>2.4343333333333335</v>
      </c>
      <c r="M18" s="51">
        <f t="shared" ca="1" si="80"/>
        <v>0.86948896335473524</v>
      </c>
      <c r="N18" s="29">
        <f t="shared" ref="N18:N24" ca="1" si="85">ranpoi(L18*M18,RAND()*M18)</f>
        <v>3</v>
      </c>
      <c r="O18" s="29">
        <f t="shared" ref="O18:O24" ca="1" si="86">IF(N18&gt;6,6,N18)</f>
        <v>3</v>
      </c>
      <c r="P18" s="55"/>
      <c r="Q18" s="29">
        <f ca="1">_xlfn.NORM.INV(RAND(),I18,$G$2*$H$2)</f>
        <v>0.90991913816329506</v>
      </c>
      <c r="R18" s="29">
        <f t="shared" ref="R18:R24" ca="1" si="87">ranpoi(L18*Q18,RAND()*Q18)</f>
        <v>3</v>
      </c>
      <c r="S18" s="29">
        <f t="shared" ref="S18:S24" ca="1" si="88">IF(R18&gt;6,6,R18)</f>
        <v>3</v>
      </c>
      <c r="T18" s="55"/>
      <c r="U18" s="29">
        <f ca="1">_xlfn.NORM.INV(RAND(),I18,$G$2*$H$2)</f>
        <v>0.84194954319016091</v>
      </c>
      <c r="V18" s="29">
        <f t="shared" ref="V18:V24" ca="1" si="89">ranpoi(L18*U18,RAND()*U18)</f>
        <v>2</v>
      </c>
      <c r="W18" s="29">
        <f t="shared" ref="W18:W24" ca="1" si="90">IF(V18&gt;6,6,V18)</f>
        <v>2</v>
      </c>
      <c r="X18" s="55"/>
      <c r="Y18" s="29">
        <f ca="1">_xlfn.NORM.INV(RAND(),I18,$G$2*$H$2)</f>
        <v>0.81472323818407077</v>
      </c>
      <c r="Z18" s="29">
        <f t="shared" ref="Z18:Z24" ca="1" si="91">ranpoi(L18*Y18,RAND()*Y18)</f>
        <v>4</v>
      </c>
      <c r="AA18" s="29">
        <f t="shared" ref="AA18:AA24" ca="1" si="92">IF(Z18&gt;6,6,Z18)</f>
        <v>4</v>
      </c>
      <c r="AB18" s="55"/>
      <c r="AC18" s="29">
        <f ca="1">_xlfn.NORM.INV(RAND(),I18,$G$2*$H$2)</f>
        <v>0.81476080168770548</v>
      </c>
      <c r="AD18" s="29">
        <f t="shared" ref="AD18:AD24" ca="1" si="93">ranpoi(L18*AC18,RAND()*AC18)</f>
        <v>8</v>
      </c>
      <c r="AE18" s="29">
        <f t="shared" ref="AE18:AE24" ca="1" si="94">IF(AD18&gt;6,6,AD18)</f>
        <v>6</v>
      </c>
      <c r="AF18" s="55"/>
      <c r="AG18" s="29">
        <f ca="1">_xlfn.NORM.INV(RAND(),I18,$G$2*$H$2)</f>
        <v>0.92385778900218973</v>
      </c>
      <c r="AH18" s="29">
        <f t="shared" ref="AH18:AH24" ca="1" si="95">ranpoi(L18*AG18,RAND()*AG18)</f>
        <v>22</v>
      </c>
      <c r="AI18" s="29">
        <f t="shared" ref="AI18:AI24" ca="1" si="96">IF(AH18&gt;6,6,AH18)</f>
        <v>6</v>
      </c>
      <c r="AJ18" s="55"/>
      <c r="AK18" s="29">
        <f ca="1">_xlfn.NORM.INV(RAND(),I18,$G$2*$H$2)</f>
        <v>0.87093947387241233</v>
      </c>
      <c r="AL18" s="29">
        <f t="shared" ref="AL18:AL24" ca="1" si="97">ranpoi(L18*AK18,RAND()*AK18)</f>
        <v>1</v>
      </c>
      <c r="AM18" s="29">
        <f t="shared" ref="AM18:AM24" ca="1" si="98">IF(AL18&gt;6,6,AL18)</f>
        <v>1</v>
      </c>
      <c r="AN18" s="55"/>
      <c r="AO18" s="31"/>
      <c r="AR18" s="28">
        <v>15</v>
      </c>
      <c r="AS18" s="29" t="str">
        <v>Montreal</v>
      </c>
      <c r="AT18" s="29" t="str">
        <v>Detroit</v>
      </c>
      <c r="AU18" s="29" t="str">
        <v>Washington</v>
      </c>
      <c r="AV18" s="31" t="str">
        <v>Pittsburgh</v>
      </c>
      <c r="AW18" s="28">
        <v>15</v>
      </c>
      <c r="AX18" s="29" t="str">
        <v>St. Louis</v>
      </c>
      <c r="AY18" s="29" t="str">
        <v>Nashville</v>
      </c>
      <c r="AZ18" s="29" t="str">
        <v>Vancouver</v>
      </c>
      <c r="BA18" s="31" t="str">
        <v>Winnipeg</v>
      </c>
      <c r="BJ18" s="55"/>
      <c r="BN18" s="55"/>
      <c r="BR18" s="55"/>
      <c r="BV18" s="55"/>
      <c r="BZ18" s="55"/>
      <c r="CD18" s="55"/>
      <c r="CH18" s="55"/>
      <c r="CI18" s="31"/>
      <c r="CL18" s="28">
        <v>15</v>
      </c>
      <c r="CM18" s="29" t="str">
        <v>Detroit</v>
      </c>
      <c r="CN18" s="31" t="str">
        <v>NY Islanders</v>
      </c>
      <c r="CO18" s="28">
        <v>15</v>
      </c>
      <c r="CP18" s="29" t="str">
        <v>Chicago</v>
      </c>
      <c r="CQ18" s="31" t="str">
        <v>Vancouver</v>
      </c>
      <c r="CS18" s="28"/>
      <c r="CZ18" s="55"/>
      <c r="DD18" s="55"/>
      <c r="DH18" s="55"/>
      <c r="DL18" s="55"/>
      <c r="DP18" s="55"/>
      <c r="DT18" s="55"/>
      <c r="DX18" s="55"/>
      <c r="DY18" s="31"/>
      <c r="EB18" s="28">
        <v>15</v>
      </c>
      <c r="EC18" s="29" t="str">
        <v>Ottawa</v>
      </c>
      <c r="ED18" s="31" t="str">
        <v>Calgary</v>
      </c>
      <c r="EG18" s="81">
        <v>3</v>
      </c>
      <c r="EH18" s="82" t="str">
        <f>B6</f>
        <v>Washington</v>
      </c>
      <c r="EI18" s="82"/>
      <c r="EJ18" s="82"/>
      <c r="EK18" s="82"/>
      <c r="EL18" s="82"/>
      <c r="EM18" s="81">
        <v>3</v>
      </c>
      <c r="EN18" s="82" t="str">
        <f>B19</f>
        <v>Vancouver</v>
      </c>
      <c r="EO18" s="82"/>
      <c r="EP18" s="82"/>
      <c r="EQ18" s="82"/>
      <c r="ER18" s="83"/>
      <c r="ET18" s="28" t="s">
        <v>28</v>
      </c>
      <c r="EU18" s="60">
        <v>85.347134487157248</v>
      </c>
      <c r="EV18" s="28">
        <v>7</v>
      </c>
      <c r="EW18" s="29">
        <v>4</v>
      </c>
      <c r="EX18" s="29">
        <v>6</v>
      </c>
      <c r="EY18" s="29">
        <v>20</v>
      </c>
      <c r="EZ18" s="29">
        <v>4</v>
      </c>
      <c r="FA18" s="29">
        <v>11</v>
      </c>
      <c r="FB18" s="29">
        <v>5</v>
      </c>
      <c r="FC18" s="29">
        <v>10</v>
      </c>
      <c r="FD18" s="29">
        <v>18</v>
      </c>
      <c r="FE18" s="29">
        <v>6</v>
      </c>
      <c r="FF18" s="29">
        <v>14</v>
      </c>
      <c r="FG18" s="29">
        <v>7</v>
      </c>
      <c r="FH18" s="29">
        <v>7</v>
      </c>
      <c r="FI18" s="29">
        <v>13</v>
      </c>
      <c r="FJ18" s="29">
        <v>23</v>
      </c>
      <c r="FK18" s="29">
        <v>7</v>
      </c>
      <c r="FL18" s="31">
        <v>17</v>
      </c>
      <c r="FR18" s="29">
        <v>16</v>
      </c>
      <c r="FS18" s="29" t="str">
        <v>Anaheim</v>
      </c>
    </row>
    <row r="19" spans="1:175">
      <c r="A19" s="29">
        <v>3</v>
      </c>
      <c r="B19" s="29" t="s">
        <v>238</v>
      </c>
      <c r="C19" s="29">
        <f t="shared" si="81"/>
        <v>0.84804182291797114</v>
      </c>
      <c r="D19" s="29">
        <f>VLOOKUP(B19,'Team Stats'!$A$2:$H$18,7,0)</f>
        <v>2.84</v>
      </c>
      <c r="E19" s="29">
        <f>VLOOKUP(B19,'Team Stats'!$A$2:$H$18,8,0)</f>
        <v>2.65</v>
      </c>
      <c r="F19" s="30"/>
      <c r="G19" s="29">
        <v>2</v>
      </c>
      <c r="H19" s="29">
        <v>5</v>
      </c>
      <c r="I19" s="29">
        <f t="shared" si="82"/>
        <v>0.84432567381361234</v>
      </c>
      <c r="J19" s="29">
        <f t="shared" si="83"/>
        <v>2.64</v>
      </c>
      <c r="K19" s="29">
        <f t="shared" si="84"/>
        <v>2.23</v>
      </c>
      <c r="L19" s="29">
        <f>J19-(I2-K20)</f>
        <v>2.3943333333333334</v>
      </c>
      <c r="M19" s="51">
        <f t="shared" ca="1" si="80"/>
        <v>0.78765965830862228</v>
      </c>
      <c r="N19" s="29">
        <f t="shared" ca="1" si="85"/>
        <v>3</v>
      </c>
      <c r="O19" s="29">
        <f t="shared" ca="1" si="86"/>
        <v>3</v>
      </c>
      <c r="P19" s="55">
        <f t="shared" ref="P19:P23" ca="1" si="99">IF(O19&gt;O20,H19,H20)</f>
        <v>5</v>
      </c>
      <c r="Q19" s="29">
        <f t="shared" ref="Q19:Q24" ca="1" si="100">_xlfn.NORM.INV(RAND(),I19,$G$2*$H$2)</f>
        <v>0.82886026024775439</v>
      </c>
      <c r="R19" s="29">
        <f t="shared" ca="1" si="87"/>
        <v>4</v>
      </c>
      <c r="S19" s="29">
        <f t="shared" ca="1" si="88"/>
        <v>4</v>
      </c>
      <c r="T19" s="55">
        <f t="shared" ref="T19:T23" ca="1" si="101">IF(S19&gt;S20,H19,H20)</f>
        <v>5</v>
      </c>
      <c r="U19" s="29">
        <f ca="1">_xlfn.NORM.INV(RAND(),$I$19,$G$2*$H$2)</f>
        <v>0.77024469920945671</v>
      </c>
      <c r="V19" s="29">
        <f t="shared" ca="1" si="89"/>
        <v>1</v>
      </c>
      <c r="W19" s="29">
        <f t="shared" ca="1" si="90"/>
        <v>1</v>
      </c>
      <c r="X19" s="55">
        <f t="shared" ref="X19:X23" ca="1" si="102">IF(W19&gt;W20,H19,H20)</f>
        <v>4</v>
      </c>
      <c r="Y19" s="29">
        <f ca="1">_xlfn.NORM.INV(RAND(),$I$19,$G$2*$H$2)</f>
        <v>0.87971027780035083</v>
      </c>
      <c r="Z19" s="29">
        <f t="shared" ca="1" si="91"/>
        <v>1</v>
      </c>
      <c r="AA19" s="29">
        <f t="shared" ca="1" si="92"/>
        <v>1</v>
      </c>
      <c r="AB19" s="55">
        <f t="shared" ref="AB19:AB23" ca="1" si="103">IF(AA19&gt;AA20,H19,H20)</f>
        <v>4</v>
      </c>
      <c r="AC19" s="29">
        <f ca="1">_xlfn.NORM.INV(RAND(),$I$19,$G$2*$H$2)</f>
        <v>0.80563158879415753</v>
      </c>
      <c r="AD19" s="29">
        <f t="shared" ca="1" si="93"/>
        <v>7</v>
      </c>
      <c r="AE19" s="29">
        <f t="shared" ca="1" si="94"/>
        <v>6</v>
      </c>
      <c r="AF19" s="55">
        <f ca="1">IF((COUNTIF(P19:P20,4)+COUNTIF(T19:T20,4)+COUNTIF(X19:X20,4)+COUNTIF(AB19:AB20,4))=4,"",IF((COUNTIF(P19:P20,5)+COUNTIF(T19:T20,5)+COUNTIF(X19:X20,5)+COUNTIF(AB19:AB20,5))=4,"",IF(AE19&gt;AE20,H19,H20)))</f>
        <v>5</v>
      </c>
      <c r="AG19" s="29">
        <f ca="1">_xlfn.NORM.INV(RAND(),$I$19,$G$2*$H$2)</f>
        <v>0.86463010348442437</v>
      </c>
      <c r="AH19" s="29">
        <f t="shared" ca="1" si="95"/>
        <v>2</v>
      </c>
      <c r="AI19" s="29">
        <f t="shared" ca="1" si="96"/>
        <v>2</v>
      </c>
      <c r="AJ19" s="55">
        <f ca="1">IF((COUNTIF(P19:P20,4)+COUNTIF(T19:T20,4)+COUNTIF(X19:X20,4)+COUNTIF(AB19:AB20,4)+COUNTIF(AF19:AF20,5))=4,"",IF((COUNTIF(P19:P20,5)+COUNTIF(T19:T20,5)+COUNTIF(X19:X20,5)+COUNTIF(AB19:AB20,5)+COUNTIF(AF19:AF20,5))=4,"",IF(AI19&gt;AI20,H19,H20)))</f>
        <v>4</v>
      </c>
      <c r="AK19" s="29">
        <f ca="1">_xlfn.NORM.INV(RAND(),$I$19,$G$2*$H$2)</f>
        <v>0.86499011687465377</v>
      </c>
      <c r="AL19" s="29">
        <f t="shared" ca="1" si="97"/>
        <v>0</v>
      </c>
      <c r="AM19" s="29">
        <f t="shared" ca="1" si="98"/>
        <v>0</v>
      </c>
      <c r="AN19" s="55">
        <f ca="1">IF((COUNTIF(P19:P20,4)+COUNTIF(T19:T20,4)+COUNTIF(X19:X20,4)+COUNTIF(AB19:AB20,4)+COUNTIF(AF19:AF20,4)+COUNTIF(AJ19:AJ20,4))=4,"",IF((COUNTIF(P19:P20,5)+COUNTIF(T19:T20,5)+COUNTIF(X19:X20,5)+COUNTIF(AB19:AB20,5)+COUNTIF(AF19:AF20,5)+COUNTIF(AJ19:AJ20,5))=4,"",IF(AM19&gt;AM20,H19,H20)))</f>
        <v>4</v>
      </c>
      <c r="AO19" s="31">
        <f ca="1">IF((COUNTIF(P19:P20,4)+COUNTIF(T19:T20,4)+COUNTIF(X19:X20,4)+COUNTIF(AB19:AB20,4)+COUNTIF(AF19:AF20,4)+COUNTIF(AJ19:AJ20,4)+COUNTIF(AN19:AN20,4)&gt;COUNTIF(P19:P20,5)+COUNTIF(T19:T20,5)+COUNTIF(X19:X20,5)+COUNTIF(AB19:AB20,5)+COUNTIF(AF19:AF20,5)+COUNTIF(AJ19:AJ20,5)+COUNTIF(AN19:AN20,5)),H19,H20)</f>
        <v>5</v>
      </c>
      <c r="AP19" s="29" t="str">
        <f t="shared" ref="AP19:AP23" ca="1" si="104">VLOOKUP(AO19,$A$17:$E$24,2,0)</f>
        <v>Chicago</v>
      </c>
      <c r="AQ19" s="29">
        <f ca="1">7-(COUNTIF(P19,"")+COUNTIF(T19,"")+COUNTIF(X19,"")+COUNTIF(AB19,"")+COUNTIF(AF19,"")+COUNTIF(AJ19,"")+COUNTIF(AN19,""))</f>
        <v>7</v>
      </c>
      <c r="AR19" s="28">
        <v>16</v>
      </c>
      <c r="AS19" s="29" t="str">
        <v>Ottawa</v>
      </c>
      <c r="AT19" s="29" t="str">
        <v>Detroit</v>
      </c>
      <c r="AU19" s="29" t="str">
        <v>Washington</v>
      </c>
      <c r="AV19" s="31" t="str">
        <v>NY Rangers</v>
      </c>
      <c r="AW19" s="28">
        <v>16</v>
      </c>
      <c r="AX19" s="29" t="str">
        <v>Minnesota</v>
      </c>
      <c r="AY19" s="29" t="str">
        <v>Chicago</v>
      </c>
      <c r="AZ19" s="29" t="str">
        <v>Calgary</v>
      </c>
      <c r="BA19" s="31" t="str">
        <v>Anaheim</v>
      </c>
      <c r="BC19" s="29">
        <f t="shared" ref="BC19:BC23" ca="1" si="105">VLOOKUP(AO19,$A$17:$E$24,3,0)</f>
        <v>0.84432567381361234</v>
      </c>
      <c r="BD19" s="29">
        <f t="shared" ref="BD19:BD23" ca="1" si="106">VLOOKUP(AO19,$A$17:$E$24,4,0)</f>
        <v>2.64</v>
      </c>
      <c r="BE19" s="29">
        <f t="shared" ref="BE19:BE23" ca="1" si="107">VLOOKUP(AO19,$A$17:$E$24,5,0)</f>
        <v>2.23</v>
      </c>
      <c r="BF19" s="29">
        <f ca="1">BD19-(I2-BE17)</f>
        <v>2.3643333333333336</v>
      </c>
      <c r="BG19" s="29">
        <f t="shared" ref="BG19:BG23" ca="1" si="108">_xlfn.NORM.INV(RAND(),BC19,$G$2*$H$2)</f>
        <v>0.86254052939543147</v>
      </c>
      <c r="BH19" s="29">
        <f t="shared" ref="BH19:BH23" ca="1" si="109">ranpoi(BF19*BG19,RAND()*BG19)</f>
        <v>1</v>
      </c>
      <c r="BI19" s="29">
        <f t="shared" ref="BI19:BI23" ca="1" si="110">IF(BH19&gt;6,6,BH19)</f>
        <v>1</v>
      </c>
      <c r="BJ19" s="55"/>
      <c r="BK19" s="29">
        <f t="shared" ref="BK19:BK23" ca="1" si="111">_xlfn.NORM.INV(RAND(),BC19,$G$2*$H$2)</f>
        <v>0.74583577695235248</v>
      </c>
      <c r="BL19" s="29">
        <f t="shared" ref="BL19:BL23" ca="1" si="112">ranpoi(BF19*BK19,RAND()*BK19)</f>
        <v>1</v>
      </c>
      <c r="BM19" s="29">
        <f t="shared" ref="BM19:BM23" ca="1" si="113">IF(BL19&gt;6,6,BL19)</f>
        <v>1</v>
      </c>
      <c r="BN19" s="55"/>
      <c r="BO19" s="29">
        <f t="shared" ref="BO19:BO23" ca="1" si="114">_xlfn.NORM.INV(RAND(),BC19,$G$2*$H$2)</f>
        <v>0.80873930381703052</v>
      </c>
      <c r="BP19" s="29">
        <f t="shared" ref="BP19:BP23" ca="1" si="115">ranpoi(BF19*BO19,RAND()*BO19)</f>
        <v>1</v>
      </c>
      <c r="BQ19" s="29">
        <f t="shared" ref="BQ19:BQ23" ca="1" si="116">IF(BP19&gt;6,6,BP19)</f>
        <v>1</v>
      </c>
      <c r="BR19" s="55"/>
      <c r="BS19" s="29">
        <f t="shared" ref="BS19:BS23" ca="1" si="117">_xlfn.NORM.INV(RAND(),BC19,$G$2*$H$2)</f>
        <v>0.78818878475906484</v>
      </c>
      <c r="BT19" s="29">
        <f t="shared" ref="BT19:BT23" ca="1" si="118">ranpoi(BF19*BS19,RAND()*BS19)</f>
        <v>1</v>
      </c>
      <c r="BU19" s="29">
        <f t="shared" ref="BU19:BU23" ca="1" si="119">IF(BT19&gt;6,6,BT19)</f>
        <v>1</v>
      </c>
      <c r="BV19" s="55"/>
      <c r="BW19" s="29">
        <f t="shared" ref="BW19:BW23" ca="1" si="120">_xlfn.NORM.INV(RAND(),BC19,$G$2*$H$2)</f>
        <v>0.84558819114395667</v>
      </c>
      <c r="BX19" s="29">
        <f t="shared" ref="BX19:BX23" ca="1" si="121">ranpoi(BF19*BW19,RAND()*BW19)</f>
        <v>4</v>
      </c>
      <c r="BY19" s="29">
        <f t="shared" ref="BY19:BY23" ca="1" si="122">IF(BX19&gt;6,6,BX19)</f>
        <v>4</v>
      </c>
      <c r="BZ19" s="55"/>
      <c r="CA19" s="29">
        <f t="shared" ref="CA19:CA23" ca="1" si="123">_xlfn.NORM.INV(RAND(),BC19,$G$2*$H$2)</f>
        <v>0.83099324431898713</v>
      </c>
      <c r="CB19" s="29">
        <f t="shared" ref="CB19:CB23" ca="1" si="124">ranpoi(BF19*CA19,RAND()*CA19)</f>
        <v>3</v>
      </c>
      <c r="CC19" s="29">
        <f t="shared" ref="CC19:CC23" ca="1" si="125">IF(CB19&gt;6,6,CB19)</f>
        <v>3</v>
      </c>
      <c r="CD19" s="55"/>
      <c r="CE19" s="29">
        <f t="shared" ref="CE19:CE23" ca="1" si="126">_xlfn.NORM.INV(RAND(),BC19,$G$2*$H$2)</f>
        <v>0.87445477750183265</v>
      </c>
      <c r="CF19" s="29">
        <f t="shared" ref="CF19:CF23" ca="1" si="127">ranpoi(BF19*CE19,RAND()*CE19)</f>
        <v>5</v>
      </c>
      <c r="CG19" s="29">
        <f t="shared" ref="CG19:CG23" ca="1" si="128">IF(CF19&gt;6,6,CF19)</f>
        <v>5</v>
      </c>
      <c r="CH19" s="55"/>
      <c r="CI19" s="31"/>
      <c r="CL19" s="28">
        <v>16</v>
      </c>
      <c r="CM19" s="29" t="str">
        <v>Montreal</v>
      </c>
      <c r="CN19" s="31" t="str">
        <v>Washington</v>
      </c>
      <c r="CO19" s="28">
        <v>16</v>
      </c>
      <c r="CP19" s="29" t="str">
        <v>Chicago</v>
      </c>
      <c r="CQ19" s="31" t="str">
        <v>Anaheim</v>
      </c>
      <c r="CS19" s="28"/>
      <c r="CZ19" s="55"/>
      <c r="DD19" s="55"/>
      <c r="DH19" s="55"/>
      <c r="DL19" s="55"/>
      <c r="DP19" s="55"/>
      <c r="DT19" s="55"/>
      <c r="DX19" s="55"/>
      <c r="DY19" s="31"/>
      <c r="EB19" s="28">
        <v>16</v>
      </c>
      <c r="EC19" s="29" t="str">
        <v>Ottawa</v>
      </c>
      <c r="ED19" s="31" t="str">
        <v>Calgary</v>
      </c>
      <c r="EG19" s="81"/>
      <c r="EH19" s="82" t="s">
        <v>308</v>
      </c>
      <c r="EI19" s="82" t="s">
        <v>309</v>
      </c>
      <c r="EJ19" s="82" t="s">
        <v>310</v>
      </c>
      <c r="EK19" s="82" t="s">
        <v>307</v>
      </c>
      <c r="EL19" s="82" t="s">
        <v>311</v>
      </c>
      <c r="EM19" s="81"/>
      <c r="EN19" s="82" t="s">
        <v>308</v>
      </c>
      <c r="EO19" s="82" t="s">
        <v>309</v>
      </c>
      <c r="EP19" s="82" t="s">
        <v>310</v>
      </c>
      <c r="EQ19" s="82" t="s">
        <v>307</v>
      </c>
      <c r="ER19" s="83" t="s">
        <v>311</v>
      </c>
      <c r="ET19" s="28" t="s">
        <v>9</v>
      </c>
      <c r="EU19" s="60">
        <v>85.33141419767675</v>
      </c>
      <c r="EV19" s="28">
        <v>8</v>
      </c>
      <c r="EW19" s="29">
        <v>7</v>
      </c>
      <c r="EX19" s="29">
        <v>4</v>
      </c>
      <c r="EY19" s="29">
        <v>6</v>
      </c>
      <c r="EZ19" s="29">
        <v>7</v>
      </c>
      <c r="FA19" s="29">
        <v>19</v>
      </c>
      <c r="FB19" s="29">
        <v>22</v>
      </c>
      <c r="FC19" s="29">
        <v>8</v>
      </c>
      <c r="FD19" s="29">
        <v>14</v>
      </c>
      <c r="FE19" s="29">
        <v>5</v>
      </c>
      <c r="FF19" s="29">
        <v>7</v>
      </c>
      <c r="FG19" s="29">
        <v>7</v>
      </c>
      <c r="FH19" s="29">
        <v>6</v>
      </c>
      <c r="FI19" s="29">
        <v>11</v>
      </c>
      <c r="FJ19" s="29">
        <v>12</v>
      </c>
      <c r="FK19" s="29">
        <v>19</v>
      </c>
      <c r="FL19" s="31">
        <v>24</v>
      </c>
      <c r="FR19" s="29">
        <v>17</v>
      </c>
      <c r="FS19" s="29" t="str">
        <v>Vancouver</v>
      </c>
    </row>
    <row r="20" spans="1:175">
      <c r="A20" s="29">
        <v>4</v>
      </c>
      <c r="B20" s="29" t="s">
        <v>234</v>
      </c>
      <c r="C20" s="29">
        <f t="shared" si="81"/>
        <v>0.8456786728740262</v>
      </c>
      <c r="D20" s="29">
        <f>VLOOKUP(B20,'Team Stats'!$A$2:$H$18,7,0)</f>
        <v>2.71</v>
      </c>
      <c r="E20" s="29">
        <f>VLOOKUP(B20,'Team Stats'!$A$2:$H$18,8,0)</f>
        <v>2.42</v>
      </c>
      <c r="F20" s="30"/>
      <c r="H20" s="29">
        <v>4</v>
      </c>
      <c r="I20" s="29">
        <f t="shared" si="82"/>
        <v>0.8456786728740262</v>
      </c>
      <c r="J20" s="29">
        <f t="shared" si="83"/>
        <v>2.71</v>
      </c>
      <c r="K20" s="29">
        <f t="shared" si="84"/>
        <v>2.42</v>
      </c>
      <c r="L20" s="29">
        <f>J20-(I2-K19)</f>
        <v>2.2743333333333333</v>
      </c>
      <c r="M20" s="51">
        <f t="shared" ca="1" si="80"/>
        <v>0.89749800361231435</v>
      </c>
      <c r="N20" s="29">
        <f t="shared" ca="1" si="85"/>
        <v>2</v>
      </c>
      <c r="O20" s="29">
        <f t="shared" ca="1" si="86"/>
        <v>2</v>
      </c>
      <c r="P20" s="55"/>
      <c r="Q20" s="29">
        <f t="shared" ca="1" si="100"/>
        <v>0.7914932244112195</v>
      </c>
      <c r="R20" s="29">
        <f t="shared" ca="1" si="87"/>
        <v>1</v>
      </c>
      <c r="S20" s="29">
        <f t="shared" ca="1" si="88"/>
        <v>1</v>
      </c>
      <c r="T20" s="55"/>
      <c r="U20" s="29">
        <f ca="1">_xlfn.NORM.INV(RAND(),$I$20,$G$2*$H$2)</f>
        <v>0.84039154217729883</v>
      </c>
      <c r="V20" s="29">
        <f t="shared" ca="1" si="89"/>
        <v>1</v>
      </c>
      <c r="W20" s="29">
        <f t="shared" ca="1" si="90"/>
        <v>1</v>
      </c>
      <c r="X20" s="55"/>
      <c r="Y20" s="29">
        <f ca="1">_xlfn.NORM.INV(RAND(),$I$20,$G$2*$H$2)</f>
        <v>0.83487694323003558</v>
      </c>
      <c r="Z20" s="29">
        <f t="shared" ca="1" si="91"/>
        <v>2</v>
      </c>
      <c r="AA20" s="29">
        <f t="shared" ca="1" si="92"/>
        <v>2</v>
      </c>
      <c r="AB20" s="55"/>
      <c r="AC20" s="29">
        <f ca="1">_xlfn.NORM.INV(RAND(),$I$20,$G$2*$H$2)</f>
        <v>0.8505685490987569</v>
      </c>
      <c r="AD20" s="29">
        <f t="shared" ca="1" si="93"/>
        <v>0</v>
      </c>
      <c r="AE20" s="29">
        <f t="shared" ca="1" si="94"/>
        <v>0</v>
      </c>
      <c r="AF20" s="55"/>
      <c r="AG20" s="29">
        <f ca="1">_xlfn.NORM.INV(RAND(),$I$20,$G$2*$H$2)</f>
        <v>0.84615446277413098</v>
      </c>
      <c r="AH20" s="29">
        <f t="shared" ca="1" si="95"/>
        <v>2</v>
      </c>
      <c r="AI20" s="29">
        <f t="shared" ca="1" si="96"/>
        <v>2</v>
      </c>
      <c r="AJ20" s="55"/>
      <c r="AK20" s="29">
        <f ca="1">_xlfn.NORM.INV(RAND(),$I$20,$G$2*$H$2)</f>
        <v>0.83512847324084383</v>
      </c>
      <c r="AL20" s="29">
        <f t="shared" ca="1" si="97"/>
        <v>3</v>
      </c>
      <c r="AM20" s="29">
        <f t="shared" ca="1" si="98"/>
        <v>3</v>
      </c>
      <c r="AN20" s="55"/>
      <c r="AO20" s="31"/>
      <c r="AR20" s="28">
        <v>17</v>
      </c>
      <c r="AS20" s="29" t="str">
        <v>Ottawa</v>
      </c>
      <c r="AT20" s="29" t="str">
        <v>Detroit</v>
      </c>
      <c r="AU20" s="29" t="str">
        <v>Washington</v>
      </c>
      <c r="AV20" s="31" t="str">
        <v>NY Rangers</v>
      </c>
      <c r="AW20" s="28">
        <v>17</v>
      </c>
      <c r="AX20" s="29" t="str">
        <v>Minnesota</v>
      </c>
      <c r="AY20" s="29" t="str">
        <v>Chicago</v>
      </c>
      <c r="AZ20" s="29" t="str">
        <v>Calgary</v>
      </c>
      <c r="BA20" s="31" t="str">
        <v>Anaheim</v>
      </c>
      <c r="BJ20" s="55"/>
      <c r="BN20" s="55"/>
      <c r="BR20" s="55"/>
      <c r="BV20" s="55"/>
      <c r="BZ20" s="55"/>
      <c r="CD20" s="55"/>
      <c r="CH20" s="55"/>
      <c r="CI20" s="31"/>
      <c r="CL20" s="28">
        <v>17</v>
      </c>
      <c r="CM20" s="29" t="str">
        <v>Tampa Bay</v>
      </c>
      <c r="CN20" s="31" t="str">
        <v>NY Islanders</v>
      </c>
      <c r="CO20" s="28">
        <v>17</v>
      </c>
      <c r="CP20" s="29" t="str">
        <v>St. Louis</v>
      </c>
      <c r="CQ20" s="31" t="str">
        <v>Vancouver</v>
      </c>
      <c r="CS20" s="28"/>
      <c r="CZ20" s="55"/>
      <c r="DD20" s="55"/>
      <c r="DH20" s="55"/>
      <c r="DL20" s="55"/>
      <c r="DP20" s="55"/>
      <c r="DT20" s="55"/>
      <c r="DX20" s="55"/>
      <c r="DY20" s="31"/>
      <c r="EB20" s="28">
        <v>17</v>
      </c>
      <c r="EC20" s="29" t="str">
        <v>Washington</v>
      </c>
      <c r="ED20" s="31" t="str">
        <v>Chicago</v>
      </c>
      <c r="EG20" s="81"/>
      <c r="EH20" s="82">
        <f ca="1">COUNTIF(AS4:AV103,EH18)/COUNT(AR4:AR103)</f>
        <v>0.67</v>
      </c>
      <c r="EI20" s="82">
        <f ca="1">COUNTIF(CM4:CN103,EH18)/COUNT(CL4:CL103)</f>
        <v>0.56999999999999995</v>
      </c>
      <c r="EJ20" s="82">
        <f ca="1">COUNTIF(EC4:ED503,EH18)/COUNT(EB4:EB503)</f>
        <v>0.54600000000000004</v>
      </c>
      <c r="EK20" s="82">
        <f ca="1">COUNTIF(FS3:FS502,EH18)/COUNT(FR3:FR502)</f>
        <v>0.17</v>
      </c>
      <c r="EL20" s="82">
        <f ca="1">AQ8+IF(AP8=EH18,CK8,0)+IF(CJ8=EH18,DZ4,0)+IF(DY4=EG18,FQ3,0)</f>
        <v>23</v>
      </c>
      <c r="EM20" s="81"/>
      <c r="EN20" s="82">
        <f ca="1">COUNTIF(AX4:BA103,EN18)/COUNT(AW4:AW103)</f>
        <v>0.64</v>
      </c>
      <c r="EO20" s="82">
        <f ca="1">COUNTIF(CP4:CQ103,EN18)/COUNT(CO4:CO103)</f>
        <v>0.21</v>
      </c>
      <c r="EP20" s="82">
        <f ca="1">COUNTIF(EC4:ED503,EN18)/COUNT(EB4:EB503)</f>
        <v>0.17799999999999999</v>
      </c>
      <c r="EQ20" s="82">
        <f ca="1">COUNTIF(FS3:FS502,EN18)/COUNT(FR3:FR502)</f>
        <v>9.4E-2</v>
      </c>
      <c r="ER20" s="83">
        <f ca="1">AQ21+IF(AP21=EN18,CK21,0)+IF(CJ21=EN18,DZ17,0)+IF(DY17=EM18,FQ3,0)</f>
        <v>12</v>
      </c>
      <c r="ET20" s="28" t="s">
        <v>7</v>
      </c>
      <c r="EU20" s="60">
        <v>85.272156649318319</v>
      </c>
      <c r="EV20" s="28">
        <v>9</v>
      </c>
      <c r="EW20" s="29">
        <v>14</v>
      </c>
      <c r="EX20" s="29">
        <v>7</v>
      </c>
      <c r="EY20" s="29">
        <v>5</v>
      </c>
      <c r="EZ20" s="29">
        <v>18</v>
      </c>
      <c r="FA20" s="29">
        <v>7</v>
      </c>
      <c r="FB20" s="29">
        <v>20</v>
      </c>
      <c r="FC20" s="29">
        <v>11</v>
      </c>
      <c r="FD20" s="29">
        <v>7</v>
      </c>
      <c r="FE20" s="29">
        <v>7</v>
      </c>
      <c r="FF20" s="29">
        <v>23</v>
      </c>
      <c r="FG20" s="29">
        <v>9</v>
      </c>
      <c r="FH20" s="29">
        <v>4</v>
      </c>
      <c r="FI20" s="29">
        <v>18</v>
      </c>
      <c r="FJ20" s="29">
        <v>5</v>
      </c>
      <c r="FK20" s="29">
        <v>5</v>
      </c>
      <c r="FL20" s="31">
        <v>14</v>
      </c>
      <c r="FR20" s="29">
        <v>18</v>
      </c>
      <c r="FS20" s="29" t="str">
        <v>NY Rangers</v>
      </c>
    </row>
    <row r="21" spans="1:175">
      <c r="A21" s="29">
        <v>5</v>
      </c>
      <c r="B21" s="29" t="s">
        <v>240</v>
      </c>
      <c r="C21" s="29">
        <f t="shared" si="81"/>
        <v>0.84432567381361234</v>
      </c>
      <c r="D21" s="29">
        <f>VLOOKUP(B21,'Team Stats'!$A$2:$H$18,7,0)</f>
        <v>2.64</v>
      </c>
      <c r="E21" s="29">
        <f>VLOOKUP(B21,'Team Stats'!$A$2:$H$18,8,0)</f>
        <v>2.23</v>
      </c>
      <c r="F21" s="30"/>
      <c r="G21" s="29">
        <v>3</v>
      </c>
      <c r="H21" s="29">
        <v>6</v>
      </c>
      <c r="I21" s="29">
        <f t="shared" si="82"/>
        <v>0.84692649343862159</v>
      </c>
      <c r="J21" s="29">
        <f t="shared" si="83"/>
        <v>2.85</v>
      </c>
      <c r="K21" s="29">
        <f t="shared" si="84"/>
        <v>2.56</v>
      </c>
      <c r="L21" s="29">
        <f>J21-(I2-K22)</f>
        <v>2.8343333333333334</v>
      </c>
      <c r="M21" s="51">
        <f t="shared" ca="1" si="80"/>
        <v>0.85137840634852302</v>
      </c>
      <c r="N21" s="29">
        <f t="shared" ca="1" si="85"/>
        <v>5</v>
      </c>
      <c r="O21" s="29">
        <f t="shared" ca="1" si="86"/>
        <v>5</v>
      </c>
      <c r="P21" s="55">
        <f t="shared" ca="1" si="99"/>
        <v>3</v>
      </c>
      <c r="Q21" s="29">
        <f t="shared" ca="1" si="100"/>
        <v>0.86459849193841909</v>
      </c>
      <c r="R21" s="29">
        <f t="shared" ca="1" si="87"/>
        <v>1</v>
      </c>
      <c r="S21" s="29">
        <f t="shared" ca="1" si="88"/>
        <v>1</v>
      </c>
      <c r="T21" s="55">
        <f t="shared" ca="1" si="101"/>
        <v>3</v>
      </c>
      <c r="U21" s="29">
        <f ca="1">_xlfn.NORM.INV(RAND(),$I$21,$G$2*$H$2)</f>
        <v>0.83732242820222502</v>
      </c>
      <c r="V21" s="29">
        <f t="shared" ca="1" si="89"/>
        <v>7</v>
      </c>
      <c r="W21" s="29">
        <f t="shared" ca="1" si="90"/>
        <v>6</v>
      </c>
      <c r="X21" s="55">
        <f t="shared" ca="1" si="102"/>
        <v>3</v>
      </c>
      <c r="Y21" s="29">
        <f ca="1">_xlfn.NORM.INV(RAND(),$I$21,$G$2*$H$2)</f>
        <v>0.83337652980055421</v>
      </c>
      <c r="Z21" s="29">
        <f t="shared" ca="1" si="91"/>
        <v>6</v>
      </c>
      <c r="AA21" s="29">
        <f t="shared" ca="1" si="92"/>
        <v>6</v>
      </c>
      <c r="AB21" s="55">
        <f t="shared" ca="1" si="103"/>
        <v>6</v>
      </c>
      <c r="AC21" s="29">
        <f ca="1">_xlfn.NORM.INV(RAND(),$I$21,$G$2*$H$2)</f>
        <v>0.81995456386814625</v>
      </c>
      <c r="AD21" s="29">
        <f t="shared" ca="1" si="93"/>
        <v>1</v>
      </c>
      <c r="AE21" s="29">
        <f t="shared" ca="1" si="94"/>
        <v>1</v>
      </c>
      <c r="AF21" s="55">
        <f ca="1">IF((COUNTIF(P21:P22,6)+COUNTIF(T21:T22,6)+COUNTIF(X21:X22,6)+COUNTIF(AB21:AB22,6))=4,"",IF((COUNTIF(P21:P22,3)+COUNTIF(T21:T22,3)+COUNTIF(X21:X22,3)+COUNTIF(AB21:AB22,3))=4,"",IF(AE21&gt;AE22,H21,H22)))</f>
        <v>3</v>
      </c>
      <c r="AG21" s="29">
        <f ca="1">_xlfn.NORM.INV(RAND(),$I$21,$G$2*$H$2)</f>
        <v>0.88412925728571989</v>
      </c>
      <c r="AH21" s="29">
        <f t="shared" ca="1" si="95"/>
        <v>1</v>
      </c>
      <c r="AI21" s="29">
        <f t="shared" ca="1" si="96"/>
        <v>1</v>
      </c>
      <c r="AJ21" s="55" t="str">
        <f ca="1">IF((COUNTIF(P21:P22,6)+COUNTIF(T21:T22,6)+COUNTIF(X21:X22,6)+COUNTIF(AB21:AB22,6)+COUNTIF(AF21:AF22,6))=4,"",IF((COUNTIF(P21:P22,3)+COUNTIF(T21:T22,3)+COUNTIF(X21:X22,3)+COUNTIF(AB21:AB22,3)+COUNTIF(AF21:AF22,3))=4,"",IF(AI21&gt;AI22,H21,H22)))</f>
        <v/>
      </c>
      <c r="AK21" s="29">
        <f ca="1">_xlfn.NORM.INV(RAND(),$I$21,$G$2*$H$2)</f>
        <v>0.79291470476236525</v>
      </c>
      <c r="AL21" s="29">
        <f t="shared" ca="1" si="97"/>
        <v>1</v>
      </c>
      <c r="AM21" s="29">
        <f t="shared" ca="1" si="98"/>
        <v>1</v>
      </c>
      <c r="AN21" s="55" t="str">
        <f ca="1">IF((COUNTIF(P21:P22,6)+COUNTIF(T21:T22,6)+COUNTIF(X21:X22,6)+COUNTIF(AB21:AB22,6)+COUNTIF(AF21:AF22,6)+COUNTIF(AJ21:AJ22,6))=4,"",IF((COUNTIF(P21:P22,3)+COUNTIF(T21:T22,3)+COUNTIF(X21:X22,3)+COUNTIF(AB21:AB22,3)+COUNTIF(AF21:AF22,3)+COUNTIF(AJ21:AJ22,3))=4,"",IF(AM21&gt;AM22,H21,H22)))</f>
        <v/>
      </c>
      <c r="AO21" s="31">
        <f ca="1">IF((COUNTIF(P21:P22,6)+COUNTIF(T21:T22,6)+COUNTIF(X21:X22,6)+COUNTIF(AB21:AB22,6)+COUNTIF(AF21:AF22,6)+COUNTIF(AJ21:AJ22,6)+COUNTIF(AN21:AN22,6)&gt;COUNTIF(P21:P22,3)+COUNTIF(T21:T22,3)+COUNTIF(X21:X22,3)+COUNTIF(AB21:AB22,3)+COUNTIF(AF21:AF22,3)+COUNTIF(AJ21:AJ22,3)+COUNTIF(AN21:AN22,3)),H21,H22)</f>
        <v>3</v>
      </c>
      <c r="AP21" s="29" t="str">
        <f t="shared" ca="1" si="104"/>
        <v>Vancouver</v>
      </c>
      <c r="AQ21" s="29">
        <f ca="1">7-(COUNTIF(P21,"")+COUNTIF(T21,"")+COUNTIF(X21,"")+COUNTIF(AB21,"")+COUNTIF(AF21,"")+COUNTIF(AJ21,"")+COUNTIF(AN21,""))</f>
        <v>5</v>
      </c>
      <c r="AR21" s="28">
        <v>18</v>
      </c>
      <c r="AS21" s="29" t="str">
        <v>Montreal</v>
      </c>
      <c r="AT21" s="29" t="str">
        <v>Tampa Bay</v>
      </c>
      <c r="AU21" s="29" t="str">
        <v>Washington</v>
      </c>
      <c r="AV21" s="31" t="str">
        <v>NY Rangers</v>
      </c>
      <c r="AW21" s="28">
        <v>18</v>
      </c>
      <c r="AX21" s="29" t="str">
        <v>Minnesota</v>
      </c>
      <c r="AY21" s="29" t="str">
        <v>Nashville</v>
      </c>
      <c r="AZ21" s="29" t="str">
        <v>Calgary</v>
      </c>
      <c r="BA21" s="31" t="str">
        <v>Anaheim</v>
      </c>
      <c r="BC21" s="29">
        <f t="shared" ca="1" si="105"/>
        <v>0.84804182291797114</v>
      </c>
      <c r="BD21" s="29">
        <f t="shared" ca="1" si="106"/>
        <v>2.84</v>
      </c>
      <c r="BE21" s="29">
        <f t="shared" ca="1" si="107"/>
        <v>2.65</v>
      </c>
      <c r="BF21" s="29">
        <f ca="1">BD21-(I2-BE23)</f>
        <v>2.8243333333333331</v>
      </c>
      <c r="BG21" s="29">
        <f t="shared" ca="1" si="108"/>
        <v>0.84136964851658425</v>
      </c>
      <c r="BH21" s="29">
        <f t="shared" ca="1" si="109"/>
        <v>1</v>
      </c>
      <c r="BI21" s="29">
        <f t="shared" ca="1" si="110"/>
        <v>1</v>
      </c>
      <c r="BJ21" s="55">
        <f t="shared" ref="BJ21" ca="1" si="129">IF(BI21&gt;BI23,AO21,AO23)</f>
        <v>2</v>
      </c>
      <c r="BK21" s="29">
        <f t="shared" ca="1" si="111"/>
        <v>0.86497895622454124</v>
      </c>
      <c r="BL21" s="29">
        <f t="shared" ca="1" si="112"/>
        <v>2</v>
      </c>
      <c r="BM21" s="29">
        <f t="shared" ca="1" si="113"/>
        <v>2</v>
      </c>
      <c r="BN21" s="55">
        <f t="shared" ref="BN21" ca="1" si="130">IF(BM21&gt;BM23,AO21,AO23)</f>
        <v>2</v>
      </c>
      <c r="BO21" s="29">
        <f t="shared" ca="1" si="114"/>
        <v>0.84335032508142349</v>
      </c>
      <c r="BP21" s="29">
        <f t="shared" ca="1" si="115"/>
        <v>11</v>
      </c>
      <c r="BQ21" s="29">
        <f t="shared" ca="1" si="116"/>
        <v>6</v>
      </c>
      <c r="BR21" s="55">
        <f t="shared" ref="BR21" ca="1" si="131">IF(BQ21&gt;BQ23,AO21,AO23)</f>
        <v>3</v>
      </c>
      <c r="BS21" s="29">
        <f t="shared" ca="1" si="117"/>
        <v>0.91983770906717055</v>
      </c>
      <c r="BT21" s="29">
        <f t="shared" ca="1" si="118"/>
        <v>11</v>
      </c>
      <c r="BU21" s="29">
        <f t="shared" ca="1" si="119"/>
        <v>6</v>
      </c>
      <c r="BV21" s="55">
        <f t="shared" ref="BV21" ca="1" si="132">IF(BU21&gt;BU23,AO21,AO23)</f>
        <v>3</v>
      </c>
      <c r="BW21" s="29">
        <f t="shared" ca="1" si="120"/>
        <v>0.81036579654286311</v>
      </c>
      <c r="BX21" s="29">
        <f t="shared" ca="1" si="121"/>
        <v>1</v>
      </c>
      <c r="BY21" s="29">
        <f t="shared" ca="1" si="122"/>
        <v>1</v>
      </c>
      <c r="BZ21" s="55">
        <f ca="1">IF((COUNTIF(BJ21:BJ22,AO21)+COUNTIF(BN21:BN22,AO21)+COUNTIF(BR21:BR22,AO21)+COUNTIF(BV21:BV22,AO21))=4,"",IF((COUNTIF(BJ21:BJ22,AO23)+COUNTIF(BN21:BN22,AO23)+COUNTIF(BR21:BR22,AO23)+COUNTIF(BV21:BV22,AO23))=4,"",IF(BY21&gt;BY23,AO21,AO23)))</f>
        <v>2</v>
      </c>
      <c r="CA21" s="29">
        <f t="shared" ca="1" si="123"/>
        <v>0.86442095739663183</v>
      </c>
      <c r="CB21" s="29">
        <f t="shared" ca="1" si="124"/>
        <v>15</v>
      </c>
      <c r="CC21" s="29">
        <f t="shared" ca="1" si="125"/>
        <v>6</v>
      </c>
      <c r="CD21" s="55">
        <f ca="1">IF((COUNTIF(BJ21:BJ22,AO21)+COUNTIF(BN21:BN22,AO21)+COUNTIF(BR21:BR22,AO21)+COUNTIF(BV21:BV22,AO21)+COUNTIF(BZ21:BZ22,AO21))=4,"",IF((COUNTIF(BJ21:BJ22,AO23)+COUNTIF(BN21:BN22,AO23)+COUNTIF(BR21:BR22,AO23)+COUNTIF(BV21:BV22,AO23)+COUNTIF(BZ21:BZ22,AO23))=4,"",IF(CC21&gt;CC23,AO21,AO23)))</f>
        <v>3</v>
      </c>
      <c r="CE21" s="29">
        <f t="shared" ca="1" si="126"/>
        <v>0.88102441181478219</v>
      </c>
      <c r="CF21" s="29">
        <f t="shared" ca="1" si="127"/>
        <v>1</v>
      </c>
      <c r="CG21" s="29">
        <f t="shared" ca="1" si="128"/>
        <v>1</v>
      </c>
      <c r="CH21" s="55">
        <f ca="1">IF((COUNTIF(BJ21:BJ22,AO21)+COUNTIF(BN21:BN22,AO21)+COUNTIF(BR21:BR22,AO21)+COUNTIF(BV21:BV22,AO21)+COUNTIF(BZ21:BZ22,AO21)+COUNTIF(CD21:CD22,AO21))=4,"",IF((COUNTIF(BJ21:BJ22,AO23)+COUNTIF(BN21:BN22,AO23)+COUNTIF(BR21:BR22,AO23)+COUNTIF(BV21:BV22,AO23)+COUNTIF(BZ21:BZ22,AO23)+COUNTIF(CD21:CD22,AO23))=4,"",IF(CG21&gt;CG23,AO21,AO23)))</f>
        <v>2</v>
      </c>
      <c r="CI21" s="31">
        <f ca="1">IF((COUNTIF(BJ21:BJ22,AO21)+COUNTIF(BN21:BN22,AO21)+COUNTIF(BR21:BR22,AO21)+COUNTIF(BV21:BV22,AO21)+COUNTIF(BZ21:BZ22,AO21)+COUNTIF(CD21:CD22,AO21)+COUNTIF(CH21:CH22,AO21)&gt;COUNTIF(BJ21:BJ22,AO23)+COUNTIF(BN21:BN22,AO23)+COUNTIF(BR21:BR22,AO23)+COUNTIF(BV21:BV22,AO23)+COUNTIF(BZ21:BZ22,AO23)+COUNTIF(CD21:CD22,AO23)+COUNTIF(CH21:CH22,AO23)),AO21,AO23)</f>
        <v>2</v>
      </c>
      <c r="CJ21" s="29" t="str">
        <f t="shared" ref="CJ21" ca="1" si="133">VLOOKUP(CI21,$A$17:$E$24,2,0)</f>
        <v>Anaheim</v>
      </c>
      <c r="CK21" s="29">
        <f ca="1">7-(COUNTIF(BJ21,"")+COUNTIF(BN21,"")+COUNTIF(BR21,"")+COUNTIF(BV21,"")+COUNTIF(BZ21,"")+COUNTIF(CD21,"")+COUNTIF(CH21,""))</f>
        <v>7</v>
      </c>
      <c r="CL21" s="28">
        <v>18</v>
      </c>
      <c r="CM21" s="29" t="str">
        <v>Ottawa</v>
      </c>
      <c r="CN21" s="31" t="str">
        <v>Washington</v>
      </c>
      <c r="CO21" s="28">
        <v>18</v>
      </c>
      <c r="CP21" s="29" t="str">
        <v>Nashville</v>
      </c>
      <c r="CQ21" s="31" t="str">
        <v>Anaheim</v>
      </c>
      <c r="CS21" s="28">
        <f t="shared" ref="CS21" ca="1" si="134">VLOOKUP(CI21,$A$17:$E$24,3,0)</f>
        <v>0.85502478257351133</v>
      </c>
      <c r="CT21" s="29">
        <f t="shared" ref="CT21" ca="1" si="135">VLOOKUP(CI21,$A$17:$E$24,4,0)</f>
        <v>2.73</v>
      </c>
      <c r="CU21" s="29">
        <f t="shared" ref="CU21" ca="1" si="136">VLOOKUP(CI21,$A$17:$E$24,5,0)</f>
        <v>2.65</v>
      </c>
      <c r="CV21" s="29">
        <f ca="1">CT21-(I2-CU17)</f>
        <v>2.2943333333333333</v>
      </c>
      <c r="CW21" s="29">
        <f t="shared" ref="CW21" ca="1" si="137">_xlfn.NORM.INV(RAND(),CS21,$G$2*$H$2)</f>
        <v>0.85710749489860683</v>
      </c>
      <c r="CX21" s="29">
        <f t="shared" ref="CX21" ca="1" si="138">ranpoi(CV21*CW21,(RAND()*CW21))</f>
        <v>0</v>
      </c>
      <c r="CY21" s="29">
        <f t="shared" ref="CY21" ca="1" si="139">IF(CX21&gt;6,6,CX21)</f>
        <v>0</v>
      </c>
      <c r="CZ21" s="55"/>
      <c r="DA21" s="29">
        <f t="shared" ref="DA21" ca="1" si="140">_xlfn.NORM.INV(RAND(),CS21,$G$2*$H$2)</f>
        <v>0.8663894417241329</v>
      </c>
      <c r="DB21" s="29">
        <f t="shared" ref="DB21" ca="1" si="141">ranpoi(CV21*DA21,(RAND()*DA21))</f>
        <v>2</v>
      </c>
      <c r="DC21" s="29">
        <f t="shared" ref="DC21" ca="1" si="142">IF(DB21&gt;6,6,DB21)</f>
        <v>2</v>
      </c>
      <c r="DD21" s="55"/>
      <c r="DE21" s="29">
        <f t="shared" ref="DE21" ca="1" si="143">_xlfn.NORM.INV(RAND(),CS21,$G$2*$H$2)</f>
        <v>0.85687473375862377</v>
      </c>
      <c r="DF21" s="29">
        <f t="shared" ref="DF21" ca="1" si="144">ranpoi(CV21*DE21,(RAND()*DE21))</f>
        <v>4</v>
      </c>
      <c r="DG21" s="29">
        <f t="shared" ref="DG21" ca="1" si="145">IF(DF21&gt;6,6,DF21)</f>
        <v>4</v>
      </c>
      <c r="DH21" s="55"/>
      <c r="DI21" s="29">
        <f ca="1">_xlfn.NORM.INV(RAND(),CS21,$G$2*$H$2)</f>
        <v>0.83858791758447893</v>
      </c>
      <c r="DJ21" s="29">
        <f t="shared" ref="DJ21" ca="1" si="146">ranpoi(CV21*DI21,(RAND()*DI21))</f>
        <v>4</v>
      </c>
      <c r="DK21" s="29">
        <f t="shared" ref="DK21" ca="1" si="147">IF(DJ21&gt;6,6,DJ21)</f>
        <v>4</v>
      </c>
      <c r="DL21" s="55"/>
      <c r="DM21" s="29">
        <f t="shared" ref="DM21" ca="1" si="148">_xlfn.NORM.INV(RAND(),CS21,$G$2*$H$2)</f>
        <v>0.82062036450909792</v>
      </c>
      <c r="DN21" s="29">
        <f t="shared" ref="DN21" ca="1" si="149">ranpoi(CV21*DM21,(RAND()*DM21))</f>
        <v>0</v>
      </c>
      <c r="DO21" s="29">
        <f t="shared" ref="DO21" ca="1" si="150">IF(DN21&gt;6,6,DN21)</f>
        <v>0</v>
      </c>
      <c r="DP21" s="55"/>
      <c r="DQ21" s="29">
        <f t="shared" ref="DQ21" ca="1" si="151">_xlfn.NORM.INV(RAND(),CS21,$G$2*$H$2)</f>
        <v>0.88881526864963201</v>
      </c>
      <c r="DR21" s="29">
        <f t="shared" ref="DR21" ca="1" si="152">ranpoi(CV21*DQ21,(RAND()*DQ21))</f>
        <v>2</v>
      </c>
      <c r="DS21" s="29">
        <f t="shared" ref="DS21" ca="1" si="153">IF(DR21&gt;6,6,DR21)</f>
        <v>2</v>
      </c>
      <c r="DT21" s="55"/>
      <c r="DU21" s="29">
        <f t="shared" ref="DU21" ca="1" si="154">_xlfn.NORM.INV(RAND(),CS21,$G$2*$H$2)</f>
        <v>0.88289668811629485</v>
      </c>
      <c r="DV21" s="29">
        <f t="shared" ref="DV21" ca="1" si="155">ranpoi(CV21*DU21,(RAND()*DU21))</f>
        <v>3</v>
      </c>
      <c r="DW21" s="29">
        <f t="shared" ref="DW21" ca="1" si="156">IF(DV21&gt;6,6,DV21)</f>
        <v>3</v>
      </c>
      <c r="DX21" s="55"/>
      <c r="DY21" s="31"/>
      <c r="EB21" s="28">
        <v>18</v>
      </c>
      <c r="EC21" s="29" t="str">
        <v>Washington</v>
      </c>
      <c r="ED21" s="31" t="str">
        <v>Anaheim</v>
      </c>
      <c r="EG21" s="81">
        <v>4</v>
      </c>
      <c r="EH21" s="82" t="str">
        <f>B7</f>
        <v>Tampa Bay</v>
      </c>
      <c r="EI21" s="82"/>
      <c r="EJ21" s="82"/>
      <c r="EK21" s="82"/>
      <c r="EL21" s="82"/>
      <c r="EM21" s="81">
        <v>4</v>
      </c>
      <c r="EN21" s="82" t="str">
        <f>B20</f>
        <v>Nashville</v>
      </c>
      <c r="EO21" s="82"/>
      <c r="EP21" s="82"/>
      <c r="EQ21" s="82"/>
      <c r="ER21" s="83"/>
      <c r="ET21" s="28" t="s">
        <v>1</v>
      </c>
      <c r="EU21" s="60">
        <v>85.251463526047402</v>
      </c>
      <c r="EV21" s="28">
        <v>10</v>
      </c>
      <c r="EW21" s="29">
        <v>10</v>
      </c>
      <c r="EX21" s="29">
        <v>7</v>
      </c>
      <c r="EY21" s="29">
        <v>23</v>
      </c>
      <c r="EZ21" s="29">
        <v>19</v>
      </c>
      <c r="FA21" s="29">
        <v>7</v>
      </c>
      <c r="FB21" s="29">
        <v>6</v>
      </c>
      <c r="FC21" s="29">
        <v>11</v>
      </c>
      <c r="FD21" s="29">
        <v>5</v>
      </c>
      <c r="FE21" s="29">
        <v>11</v>
      </c>
      <c r="FF21" s="29">
        <v>8</v>
      </c>
      <c r="FG21" s="29">
        <v>23</v>
      </c>
      <c r="FH21" s="29">
        <v>4</v>
      </c>
      <c r="FI21" s="29">
        <v>16</v>
      </c>
      <c r="FJ21" s="29">
        <v>6</v>
      </c>
      <c r="FK21" s="29">
        <v>4</v>
      </c>
      <c r="FL21" s="31">
        <v>6</v>
      </c>
      <c r="FR21" s="29">
        <v>19</v>
      </c>
      <c r="FS21" s="29" t="str">
        <v>Anaheim</v>
      </c>
    </row>
    <row r="22" spans="1:175">
      <c r="A22" s="29">
        <v>6</v>
      </c>
      <c r="B22" s="29" t="s">
        <v>239</v>
      </c>
      <c r="C22" s="29">
        <f t="shared" si="81"/>
        <v>0.84692649343862159</v>
      </c>
      <c r="D22" s="29">
        <f>VLOOKUP(B22,'Team Stats'!$A$2:$H$18,7,0)</f>
        <v>2.85</v>
      </c>
      <c r="E22" s="29">
        <f>VLOOKUP(B22,'Team Stats'!$A$2:$H$18,8,0)</f>
        <v>2.56</v>
      </c>
      <c r="F22" s="30"/>
      <c r="H22" s="29">
        <v>3</v>
      </c>
      <c r="I22" s="29">
        <f t="shared" si="82"/>
        <v>0.84804182291797114</v>
      </c>
      <c r="J22" s="29">
        <f t="shared" si="83"/>
        <v>2.84</v>
      </c>
      <c r="K22" s="29">
        <f t="shared" si="84"/>
        <v>2.65</v>
      </c>
      <c r="L22" s="29">
        <f>J22-(I2-K21)</f>
        <v>2.7343333333333333</v>
      </c>
      <c r="M22" s="51">
        <f t="shared" ca="1" si="80"/>
        <v>0.83519219811149048</v>
      </c>
      <c r="N22" s="29">
        <f t="shared" ca="1" si="85"/>
        <v>5</v>
      </c>
      <c r="O22" s="29">
        <f t="shared" ca="1" si="86"/>
        <v>5</v>
      </c>
      <c r="P22" s="55"/>
      <c r="Q22" s="29">
        <f t="shared" ca="1" si="100"/>
        <v>0.87134004968426659</v>
      </c>
      <c r="R22" s="29">
        <f t="shared" ca="1" si="87"/>
        <v>9</v>
      </c>
      <c r="S22" s="29">
        <f t="shared" ca="1" si="88"/>
        <v>6</v>
      </c>
      <c r="T22" s="55"/>
      <c r="U22" s="29">
        <f ca="1">_xlfn.NORM.INV(RAND(),$I$22,$G$2*$H$2)</f>
        <v>0.89660214921479431</v>
      </c>
      <c r="V22" s="29">
        <f t="shared" ca="1" si="89"/>
        <v>13</v>
      </c>
      <c r="W22" s="29">
        <f t="shared" ca="1" si="90"/>
        <v>6</v>
      </c>
      <c r="X22" s="55"/>
      <c r="Y22" s="29">
        <f ca="1">_xlfn.NORM.INV(RAND(),$I$22,$G$2*$H$2)</f>
        <v>0.86307445309538922</v>
      </c>
      <c r="Z22" s="29">
        <f t="shared" ca="1" si="91"/>
        <v>3</v>
      </c>
      <c r="AA22" s="29">
        <f t="shared" ca="1" si="92"/>
        <v>3</v>
      </c>
      <c r="AB22" s="55"/>
      <c r="AC22" s="29">
        <f ca="1">_xlfn.NORM.INV(RAND(),$I$22,$G$2*$H$2)</f>
        <v>0.85463274283817836</v>
      </c>
      <c r="AD22" s="29">
        <f t="shared" ca="1" si="93"/>
        <v>3</v>
      </c>
      <c r="AE22" s="29">
        <f t="shared" ca="1" si="94"/>
        <v>3</v>
      </c>
      <c r="AF22" s="55"/>
      <c r="AG22" s="29">
        <f ca="1">_xlfn.NORM.INV(RAND(),$I$22,$G$2*$H$2)</f>
        <v>0.80308277326958777</v>
      </c>
      <c r="AH22" s="29">
        <f t="shared" ca="1" si="95"/>
        <v>7</v>
      </c>
      <c r="AI22" s="29">
        <f t="shared" ca="1" si="96"/>
        <v>6</v>
      </c>
      <c r="AJ22" s="55"/>
      <c r="AK22" s="29">
        <f ca="1">_xlfn.NORM.INV(RAND(),$I$22,$G$2*$H$2)</f>
        <v>0.8443609122728557</v>
      </c>
      <c r="AL22" s="29">
        <f t="shared" ca="1" si="97"/>
        <v>2</v>
      </c>
      <c r="AM22" s="29">
        <f t="shared" ca="1" si="98"/>
        <v>2</v>
      </c>
      <c r="AN22" s="55"/>
      <c r="AO22" s="31"/>
      <c r="AR22" s="28">
        <v>19</v>
      </c>
      <c r="AS22" s="29" t="str">
        <v>Montreal</v>
      </c>
      <c r="AT22" s="29" t="str">
        <v>Detroit</v>
      </c>
      <c r="AU22" s="29" t="str">
        <v>Washington</v>
      </c>
      <c r="AV22" s="31" t="str">
        <v>NY Rangers</v>
      </c>
      <c r="AW22" s="28">
        <v>19</v>
      </c>
      <c r="AX22" s="29" t="str">
        <v>Minnesota</v>
      </c>
      <c r="AY22" s="29" t="str">
        <v>Nashville</v>
      </c>
      <c r="AZ22" s="29" t="str">
        <v>Calgary</v>
      </c>
      <c r="BA22" s="31" t="str">
        <v>Anaheim</v>
      </c>
      <c r="BJ22" s="55"/>
      <c r="BN22" s="55"/>
      <c r="BR22" s="55"/>
      <c r="BV22" s="55"/>
      <c r="BZ22" s="55"/>
      <c r="CD22" s="55"/>
      <c r="CH22" s="55"/>
      <c r="CI22" s="31"/>
      <c r="CL22" s="28">
        <v>19</v>
      </c>
      <c r="CM22" s="29" t="str">
        <v>Ottawa</v>
      </c>
      <c r="CN22" s="31" t="str">
        <v>Washington</v>
      </c>
      <c r="CO22" s="28">
        <v>19</v>
      </c>
      <c r="CP22" s="29" t="str">
        <v>Nashville</v>
      </c>
      <c r="CQ22" s="31" t="str">
        <v>Anaheim</v>
      </c>
      <c r="CS22" s="28"/>
      <c r="CZ22" s="55"/>
      <c r="DD22" s="55"/>
      <c r="DH22" s="55"/>
      <c r="DL22" s="55"/>
      <c r="DP22" s="55"/>
      <c r="DT22" s="55"/>
      <c r="DX22" s="55"/>
      <c r="DY22" s="31"/>
      <c r="EB22" s="28">
        <v>19</v>
      </c>
      <c r="EC22" s="29" t="str">
        <v>Washington</v>
      </c>
      <c r="ED22" s="31" t="str">
        <v>Anaheim</v>
      </c>
      <c r="EG22" s="81"/>
      <c r="EH22" s="82" t="s">
        <v>308</v>
      </c>
      <c r="EI22" s="82" t="s">
        <v>309</v>
      </c>
      <c r="EJ22" s="82" t="s">
        <v>310</v>
      </c>
      <c r="EK22" s="82" t="s">
        <v>307</v>
      </c>
      <c r="EL22" s="82" t="s">
        <v>311</v>
      </c>
      <c r="EM22" s="81"/>
      <c r="EN22" s="82" t="s">
        <v>308</v>
      </c>
      <c r="EO22" s="82" t="s">
        <v>309</v>
      </c>
      <c r="EP22" s="82" t="s">
        <v>310</v>
      </c>
      <c r="EQ22" s="82" t="s">
        <v>307</v>
      </c>
      <c r="ER22" s="83" t="s">
        <v>311</v>
      </c>
      <c r="ET22" s="28" t="s">
        <v>14</v>
      </c>
      <c r="EU22" s="60">
        <v>85.241095544191879</v>
      </c>
      <c r="EV22" s="28">
        <v>11</v>
      </c>
      <c r="EW22" s="29">
        <v>10</v>
      </c>
      <c r="EX22" s="29">
        <v>7</v>
      </c>
      <c r="EY22" s="29">
        <v>23</v>
      </c>
      <c r="EZ22" s="29">
        <v>19</v>
      </c>
      <c r="FA22" s="29">
        <v>7</v>
      </c>
      <c r="FB22" s="29">
        <v>6</v>
      </c>
      <c r="FC22" s="29">
        <v>11</v>
      </c>
      <c r="FD22" s="29">
        <v>5</v>
      </c>
      <c r="FE22" s="29">
        <v>11</v>
      </c>
      <c r="FF22" s="29">
        <v>8</v>
      </c>
      <c r="FG22" s="29">
        <v>23</v>
      </c>
      <c r="FH22" s="29">
        <v>4</v>
      </c>
      <c r="FI22" s="29">
        <v>16</v>
      </c>
      <c r="FJ22" s="29">
        <v>6</v>
      </c>
      <c r="FK22" s="29">
        <v>4</v>
      </c>
      <c r="FL22" s="31">
        <v>6</v>
      </c>
      <c r="FR22" s="29">
        <v>20</v>
      </c>
      <c r="FS22" s="29" t="str">
        <v>Nashville</v>
      </c>
    </row>
    <row r="23" spans="1:175">
      <c r="A23" s="29">
        <v>7</v>
      </c>
      <c r="B23" s="29" t="s">
        <v>241</v>
      </c>
      <c r="C23" s="29">
        <f t="shared" si="81"/>
        <v>0.84777092564648793</v>
      </c>
      <c r="D23" s="29">
        <f>VLOOKUP(B23,'Team Stats'!$A$2:$H$18,7,0)</f>
        <v>2.67</v>
      </c>
      <c r="E23" s="29">
        <f>VLOOKUP(B23,'Team Stats'!$A$2:$H$18,8,0)</f>
        <v>2.44</v>
      </c>
      <c r="F23" s="30"/>
      <c r="G23" s="29">
        <v>4</v>
      </c>
      <c r="H23" s="29">
        <v>2</v>
      </c>
      <c r="I23" s="29">
        <f t="shared" si="82"/>
        <v>0.85502478257351133</v>
      </c>
      <c r="J23" s="29">
        <f t="shared" si="83"/>
        <v>2.73</v>
      </c>
      <c r="K23" s="29">
        <f t="shared" si="84"/>
        <v>2.65</v>
      </c>
      <c r="L23" s="29">
        <f>J23-(I2-K24)</f>
        <v>2.5043333333333333</v>
      </c>
      <c r="M23" s="51">
        <f t="shared" ca="1" si="80"/>
        <v>0.82023850615914318</v>
      </c>
      <c r="N23" s="29">
        <f t="shared" ca="1" si="85"/>
        <v>3</v>
      </c>
      <c r="O23" s="29">
        <f t="shared" ca="1" si="86"/>
        <v>3</v>
      </c>
      <c r="P23" s="55">
        <f t="shared" ca="1" si="99"/>
        <v>2</v>
      </c>
      <c r="Q23" s="29">
        <f t="shared" ca="1" si="100"/>
        <v>0.81396135066532693</v>
      </c>
      <c r="R23" s="29">
        <f t="shared" ca="1" si="87"/>
        <v>3</v>
      </c>
      <c r="S23" s="29">
        <f t="shared" ca="1" si="88"/>
        <v>3</v>
      </c>
      <c r="T23" s="55">
        <f t="shared" ca="1" si="101"/>
        <v>2</v>
      </c>
      <c r="U23" s="29">
        <f ca="1">_xlfn.NORM.INV(RAND(),$I$23,$G$2*$H$2)</f>
        <v>0.9184839529286416</v>
      </c>
      <c r="V23" s="29">
        <f t="shared" ca="1" si="89"/>
        <v>2</v>
      </c>
      <c r="W23" s="29">
        <f t="shared" ca="1" si="90"/>
        <v>2</v>
      </c>
      <c r="X23" s="55">
        <f t="shared" ca="1" si="102"/>
        <v>7</v>
      </c>
      <c r="Y23" s="29">
        <f ca="1">_xlfn.NORM.INV(RAND(),$I$23,$G$2*$H$2)</f>
        <v>0.91546719900308016</v>
      </c>
      <c r="Z23" s="29">
        <f t="shared" ca="1" si="91"/>
        <v>0</v>
      </c>
      <c r="AA23" s="29">
        <f t="shared" ca="1" si="92"/>
        <v>0</v>
      </c>
      <c r="AB23" s="55">
        <f t="shared" ca="1" si="103"/>
        <v>7</v>
      </c>
      <c r="AC23" s="29">
        <f ca="1">_xlfn.NORM.INV(RAND(),$I$23,$G$2*$H$2)</f>
        <v>0.93518418198669795</v>
      </c>
      <c r="AD23" s="29">
        <f t="shared" ca="1" si="93"/>
        <v>2</v>
      </c>
      <c r="AE23" s="29">
        <f t="shared" ca="1" si="94"/>
        <v>2</v>
      </c>
      <c r="AF23" s="55">
        <f ca="1">IF((COUNTIF(P23:P24,7)+COUNTIF(T23:T24,7)+COUNTIF(X23:X24,7)+COUNTIF(AB23:AB24,7))=4,"",IF((COUNTIF(P23:P24,2)+COUNTIF(T23:T24,2)+COUNTIF(X23:X24,2)+COUNTIF(AB23:AB24,2))=4,"",IF(AE23&gt;AE24,H23,H24)))</f>
        <v>7</v>
      </c>
      <c r="AG23" s="29">
        <f ca="1">_xlfn.NORM.INV(RAND(),$I$23,$G$2*$H$2)</f>
        <v>0.85654486340554958</v>
      </c>
      <c r="AH23" s="29">
        <f t="shared" ca="1" si="95"/>
        <v>1</v>
      </c>
      <c r="AI23" s="29">
        <f t="shared" ca="1" si="96"/>
        <v>1</v>
      </c>
      <c r="AJ23" s="55">
        <f ca="1">IF((COUNTIF(P23:P24,7)+COUNTIF(T23:T24,7)+COUNTIF(X23:X24,7)+COUNTIF(AB23:AB24,7)+COUNTIF(AF23:AF24,7))=4,"",IF((COUNTIF(P23:P24,2)+COUNTIF(T23:T24,2)+COUNTIF(X23:X24,2)+COUNTIF(AB23:AB24,2)+COUNTIF(AF23:AF24,2))=4,"",IF(AI23&gt;AI24,H23,H24)))</f>
        <v>7</v>
      </c>
      <c r="AK23" s="29">
        <f ca="1">_xlfn.NORM.INV(RAND(),$I$23,$G$2*$H$2)</f>
        <v>0.77266818710092522</v>
      </c>
      <c r="AL23" s="29">
        <f t="shared" ca="1" si="97"/>
        <v>3</v>
      </c>
      <c r="AM23" s="29">
        <f t="shared" ca="1" si="98"/>
        <v>3</v>
      </c>
      <c r="AN23" s="55" t="str">
        <f ca="1">IF((COUNTIF(P23:P24,7)+COUNTIF(T23:T24,7)+COUNTIF(X23:X24,7)+COUNTIF(AB23:AB24,7)+COUNTIF(AF23:AF24,7)+COUNTIF(AJ23:AJ24,7))=4,"",IF((COUNTIF(P23:P24,2)+COUNTIF(T23:T24,2)+COUNTIF(X23:X24,2)+COUNTIF(AB23:AB24,2)+COUNTIF(AF23:AF24,2)+COUNTIF(AJ23:AJ24,2))=4,"",IF(AM23&gt;AM24,H23,H24)))</f>
        <v/>
      </c>
      <c r="AO23" s="31">
        <f ca="1">IF((COUNTIF(P23:P24,7)+COUNTIF(T23:T24,7)+COUNTIF(X23:X24,7)+COUNTIF(AB23:AB24,7)+COUNTIF(AF23:AF24,7)+COUNTIF(AJ23:AJ24,7)+COUNTIF(AN23:AN24,7)&gt;COUNTIF(P23:P24,2)+COUNTIF(T23:T24,2)+COUNTIF(X23:X24,2)+COUNTIF(AB23:AB24,2)+COUNTIF(AF23:AF24,2)+COUNTIF(AJ23:AJ24,2)+COUNTIF(AN23:AN24,2)),H23,H24)</f>
        <v>2</v>
      </c>
      <c r="AP23" s="29" t="str">
        <f t="shared" ca="1" si="104"/>
        <v>Anaheim</v>
      </c>
      <c r="AQ23" s="29">
        <f ca="1">7-(COUNTIF(P23,"")+COUNTIF(T23,"")+COUNTIF(X23,"")+COUNTIF(AB23,"")+COUNTIF(AF23,"")+COUNTIF(AJ23,"")+COUNTIF(AN23,""))</f>
        <v>6</v>
      </c>
      <c r="AR23" s="28">
        <v>20</v>
      </c>
      <c r="AS23" s="29" t="str">
        <v>Montreal</v>
      </c>
      <c r="AT23" s="29" t="str">
        <v>Detroit</v>
      </c>
      <c r="AU23" s="29" t="str">
        <v>Washington</v>
      </c>
      <c r="AV23" s="31" t="str">
        <v>Pittsburgh</v>
      </c>
      <c r="AW23" s="28">
        <v>20</v>
      </c>
      <c r="AX23" s="29" t="str">
        <v>Minnesota</v>
      </c>
      <c r="AY23" s="29" t="str">
        <v>Nashville</v>
      </c>
      <c r="AZ23" s="29" t="str">
        <v>Calgary</v>
      </c>
      <c r="BA23" s="31" t="str">
        <v>Anaheim</v>
      </c>
      <c r="BC23" s="29">
        <f t="shared" ca="1" si="105"/>
        <v>0.85502478257351133</v>
      </c>
      <c r="BD23" s="29">
        <f t="shared" ca="1" si="106"/>
        <v>2.73</v>
      </c>
      <c r="BE23" s="29">
        <f t="shared" ca="1" si="107"/>
        <v>2.65</v>
      </c>
      <c r="BF23" s="29">
        <f ca="1">BD23-(I2-BE21)</f>
        <v>2.7143333333333333</v>
      </c>
      <c r="BG23" s="29">
        <f t="shared" ca="1" si="108"/>
        <v>0.821469115295278</v>
      </c>
      <c r="BH23" s="29">
        <f t="shared" ca="1" si="109"/>
        <v>4</v>
      </c>
      <c r="BI23" s="29">
        <f t="shared" ca="1" si="110"/>
        <v>4</v>
      </c>
      <c r="BJ23" s="55"/>
      <c r="BK23" s="29">
        <f t="shared" ca="1" si="111"/>
        <v>0.8654811703821077</v>
      </c>
      <c r="BL23" s="29">
        <f t="shared" ca="1" si="112"/>
        <v>12</v>
      </c>
      <c r="BM23" s="29">
        <f t="shared" ca="1" si="113"/>
        <v>6</v>
      </c>
      <c r="BN23" s="55"/>
      <c r="BO23" s="29">
        <f t="shared" ca="1" si="114"/>
        <v>0.85560865042080581</v>
      </c>
      <c r="BP23" s="29">
        <f t="shared" ca="1" si="115"/>
        <v>4</v>
      </c>
      <c r="BQ23" s="29">
        <f t="shared" ca="1" si="116"/>
        <v>4</v>
      </c>
      <c r="BR23" s="55"/>
      <c r="BS23" s="29">
        <f t="shared" ca="1" si="117"/>
        <v>0.84137887405262046</v>
      </c>
      <c r="BT23" s="29">
        <f t="shared" ca="1" si="118"/>
        <v>0</v>
      </c>
      <c r="BU23" s="29">
        <f t="shared" ca="1" si="119"/>
        <v>0</v>
      </c>
      <c r="BV23" s="55"/>
      <c r="BW23" s="29">
        <f t="shared" ca="1" si="120"/>
        <v>0.8260901111767206</v>
      </c>
      <c r="BX23" s="29">
        <f t="shared" ca="1" si="121"/>
        <v>1</v>
      </c>
      <c r="BY23" s="29">
        <f t="shared" ca="1" si="122"/>
        <v>1</v>
      </c>
      <c r="BZ23" s="55"/>
      <c r="CA23" s="29">
        <f t="shared" ca="1" si="123"/>
        <v>0.88263779296874201</v>
      </c>
      <c r="CB23" s="29">
        <f t="shared" ca="1" si="124"/>
        <v>0</v>
      </c>
      <c r="CC23" s="29">
        <f t="shared" ca="1" si="125"/>
        <v>0</v>
      </c>
      <c r="CD23" s="55"/>
      <c r="CE23" s="29">
        <f t="shared" ca="1" si="126"/>
        <v>0.87178875871796657</v>
      </c>
      <c r="CF23" s="29">
        <f t="shared" ca="1" si="127"/>
        <v>2</v>
      </c>
      <c r="CG23" s="29">
        <f t="shared" ca="1" si="128"/>
        <v>2</v>
      </c>
      <c r="CH23" s="55"/>
      <c r="CI23" s="31"/>
      <c r="CL23" s="28">
        <v>20</v>
      </c>
      <c r="CM23" s="29" t="str">
        <v>Detroit</v>
      </c>
      <c r="CN23" s="31" t="str">
        <v>Washington</v>
      </c>
      <c r="CO23" s="28">
        <v>20</v>
      </c>
      <c r="CP23" s="29" t="str">
        <v>Chicago</v>
      </c>
      <c r="CQ23" s="31" t="str">
        <v>Anaheim</v>
      </c>
      <c r="CS23" s="28"/>
      <c r="CZ23" s="55"/>
      <c r="DD23" s="55"/>
      <c r="DH23" s="55"/>
      <c r="DL23" s="55"/>
      <c r="DP23" s="55"/>
      <c r="DT23" s="55"/>
      <c r="DX23" s="55"/>
      <c r="DY23" s="31"/>
      <c r="EB23" s="28">
        <v>20</v>
      </c>
      <c r="EC23" s="29" t="str">
        <v>NY Islanders</v>
      </c>
      <c r="ED23" s="31" t="str">
        <v>Anaheim</v>
      </c>
      <c r="EG23" s="81"/>
      <c r="EH23" s="82">
        <f ca="1">COUNTIF(AS4:AV103,EH21)/COUNT(AR4:AR103)</f>
        <v>0.23</v>
      </c>
      <c r="EI23" s="82">
        <f ca="1">COUNTIF(CM4:CN103,EH21)/COUNT(CL4:CL103)</f>
        <v>0.18</v>
      </c>
      <c r="EJ23" s="82">
        <f ca="1">COUNTIF(EC4:ED503,EH21)/COUNT(EB4:EB503)</f>
        <v>8.2000000000000003E-2</v>
      </c>
      <c r="EK23" s="82">
        <f ca="1">COUNTIF(FS3:FS502,EH21)/COUNT(FR3:FR502)</f>
        <v>5.6000000000000001E-2</v>
      </c>
      <c r="EL23" s="82">
        <f ca="1">AQ6+IF(AP6=EH21,CK4,0)+IF(CJ4=EH21,DZ4,0)+IF(DY4=EG21,FQ3,0)</f>
        <v>6</v>
      </c>
      <c r="EM23" s="81"/>
      <c r="EN23" s="82">
        <f ca="1">COUNTIF(AX4:BA103,EN21)/COUNT(AW4:AW103)</f>
        <v>0.47</v>
      </c>
      <c r="EO23" s="82">
        <f ca="1">COUNTIF(CP4:CQ103,EN21)/COUNT(CO4:CO103)</f>
        <v>0.2</v>
      </c>
      <c r="EP23" s="82">
        <f ca="1">COUNTIF(EC4:ED503,EN21)/COUNT(EB4:EB503)</f>
        <v>7.5999999999999998E-2</v>
      </c>
      <c r="EQ23" s="82">
        <f ca="1">COUNTIF(FS3:FS502,EN21)/COUNT(FR3:FR502)</f>
        <v>0.06</v>
      </c>
      <c r="ER23" s="83">
        <f ca="1">AQ19+IF(AP19=EN21,CK17,0)+IF(CJ17=EN21,DZ17,0)+IF(DY17=EM21,FQ3,0)</f>
        <v>7</v>
      </c>
      <c r="ET23" s="28" t="s">
        <v>21</v>
      </c>
      <c r="EU23" s="60">
        <v>85.053003348606694</v>
      </c>
      <c r="EV23" s="28">
        <v>12</v>
      </c>
      <c r="EW23" s="29">
        <v>6</v>
      </c>
      <c r="EX23" s="29">
        <v>11</v>
      </c>
      <c r="EY23" s="29">
        <v>18</v>
      </c>
      <c r="EZ23" s="29">
        <v>7</v>
      </c>
      <c r="FA23" s="29">
        <v>27</v>
      </c>
      <c r="FB23" s="29">
        <v>6</v>
      </c>
      <c r="FC23" s="29">
        <v>6</v>
      </c>
      <c r="FD23" s="29">
        <v>12</v>
      </c>
      <c r="FE23" s="29">
        <v>7</v>
      </c>
      <c r="FF23" s="29">
        <v>5</v>
      </c>
      <c r="FG23" s="29">
        <v>7</v>
      </c>
      <c r="FH23" s="29">
        <v>25</v>
      </c>
      <c r="FI23" s="29">
        <v>7</v>
      </c>
      <c r="FJ23" s="29">
        <v>11</v>
      </c>
      <c r="FK23" s="29">
        <v>14</v>
      </c>
      <c r="FL23" s="31">
        <v>13</v>
      </c>
      <c r="FR23" s="29">
        <v>21</v>
      </c>
      <c r="FS23" s="29" t="str">
        <v>Nashville</v>
      </c>
    </row>
    <row r="24" spans="1:175" ht="15.75" thickBot="1">
      <c r="A24" s="29">
        <v>8</v>
      </c>
      <c r="B24" s="29" t="s">
        <v>242</v>
      </c>
      <c r="C24" s="29">
        <f t="shared" si="81"/>
        <v>0.84558509389146563</v>
      </c>
      <c r="D24" s="29">
        <f>VLOOKUP(B24,'Team Stats'!$A$2:$H$18,7,0)</f>
        <v>2.74</v>
      </c>
      <c r="E24" s="29">
        <f>VLOOKUP(B24,'Team Stats'!$A$2:$H$18,8,0)</f>
        <v>2.39</v>
      </c>
      <c r="F24" s="30"/>
      <c r="H24" s="29">
        <v>7</v>
      </c>
      <c r="I24" s="29">
        <f t="shared" si="82"/>
        <v>0.84777092564648793</v>
      </c>
      <c r="J24" s="29">
        <f t="shared" si="83"/>
        <v>2.67</v>
      </c>
      <c r="K24" s="29">
        <f t="shared" si="84"/>
        <v>2.44</v>
      </c>
      <c r="L24" s="29">
        <f>J24-(I2-K23)</f>
        <v>2.6543333333333332</v>
      </c>
      <c r="M24" s="52">
        <f t="shared" ca="1" si="80"/>
        <v>0.83140086432226556</v>
      </c>
      <c r="N24" s="32">
        <f t="shared" ca="1" si="85"/>
        <v>2</v>
      </c>
      <c r="O24" s="32">
        <f t="shared" ca="1" si="86"/>
        <v>2</v>
      </c>
      <c r="P24" s="56"/>
      <c r="Q24" s="32">
        <f t="shared" ca="1" si="100"/>
        <v>0.84269686624165319</v>
      </c>
      <c r="R24" s="32">
        <f t="shared" ca="1" si="87"/>
        <v>0</v>
      </c>
      <c r="S24" s="32">
        <f t="shared" ca="1" si="88"/>
        <v>0</v>
      </c>
      <c r="T24" s="56"/>
      <c r="U24" s="32">
        <f ca="1">_xlfn.NORM.INV(RAND(),$I$24,$G$2*$H$2)</f>
        <v>0.86571859575548216</v>
      </c>
      <c r="V24" s="32">
        <f t="shared" ca="1" si="89"/>
        <v>3</v>
      </c>
      <c r="W24" s="32">
        <f t="shared" ca="1" si="90"/>
        <v>3</v>
      </c>
      <c r="X24" s="56"/>
      <c r="Y24" s="32">
        <f ca="1">_xlfn.NORM.INV(RAND(),$I$24,$G$2*$H$2)</f>
        <v>0.86448059947890654</v>
      </c>
      <c r="Z24" s="32">
        <f t="shared" ca="1" si="91"/>
        <v>4</v>
      </c>
      <c r="AA24" s="32">
        <f t="shared" ca="1" si="92"/>
        <v>4</v>
      </c>
      <c r="AB24" s="56"/>
      <c r="AC24" s="32">
        <f ca="1">_xlfn.NORM.INV(RAND(),$I$24,$G$2*$H$2)</f>
        <v>0.72242564850285462</v>
      </c>
      <c r="AD24" s="32">
        <f t="shared" ca="1" si="93"/>
        <v>4</v>
      </c>
      <c r="AE24" s="32">
        <f t="shared" ca="1" si="94"/>
        <v>4</v>
      </c>
      <c r="AF24" s="56"/>
      <c r="AG24" s="32">
        <f ca="1">_xlfn.NORM.INV(RAND(),$I$24,$G$2*$H$2)</f>
        <v>0.87379462142669684</v>
      </c>
      <c r="AH24" s="32">
        <f t="shared" ca="1" si="95"/>
        <v>2</v>
      </c>
      <c r="AI24" s="32">
        <f t="shared" ca="1" si="96"/>
        <v>2</v>
      </c>
      <c r="AJ24" s="56"/>
      <c r="AK24" s="32">
        <f ca="1">_xlfn.NORM.INV(RAND(),$I$24,$G$2*$H$2)</f>
        <v>0.95438252235646992</v>
      </c>
      <c r="AL24" s="32">
        <f t="shared" ca="1" si="97"/>
        <v>11</v>
      </c>
      <c r="AM24" s="32">
        <f t="shared" ca="1" si="98"/>
        <v>6</v>
      </c>
      <c r="AN24" s="56"/>
      <c r="AO24" s="33"/>
      <c r="AR24" s="28">
        <v>21</v>
      </c>
      <c r="AS24" s="29" t="str">
        <v>Ottawa</v>
      </c>
      <c r="AT24" s="29" t="str">
        <v>Detroit</v>
      </c>
      <c r="AU24" s="29" t="str">
        <v>Washington</v>
      </c>
      <c r="AV24" s="31" t="str">
        <v>NY Rangers</v>
      </c>
      <c r="AW24" s="28">
        <v>21</v>
      </c>
      <c r="AX24" s="29" t="str">
        <v>Minnesota</v>
      </c>
      <c r="AY24" s="29" t="str">
        <v>Nashville</v>
      </c>
      <c r="AZ24" s="29" t="str">
        <v>Calgary</v>
      </c>
      <c r="BA24" s="31" t="str">
        <v>Anaheim</v>
      </c>
      <c r="BC24" s="32"/>
      <c r="BD24" s="32"/>
      <c r="BE24" s="32"/>
      <c r="BF24" s="32"/>
      <c r="BG24" s="32"/>
      <c r="BH24" s="32"/>
      <c r="BI24" s="32"/>
      <c r="BJ24" s="56"/>
      <c r="BK24" s="32"/>
      <c r="BL24" s="32"/>
      <c r="BM24" s="32"/>
      <c r="BN24" s="56"/>
      <c r="BO24" s="32"/>
      <c r="BP24" s="32"/>
      <c r="BQ24" s="32"/>
      <c r="BR24" s="56"/>
      <c r="BS24" s="32"/>
      <c r="BT24" s="32"/>
      <c r="BU24" s="32"/>
      <c r="BV24" s="56"/>
      <c r="BW24" s="32"/>
      <c r="BX24" s="32"/>
      <c r="BY24" s="32"/>
      <c r="BZ24" s="56"/>
      <c r="CA24" s="32"/>
      <c r="CB24" s="32"/>
      <c r="CC24" s="32"/>
      <c r="CD24" s="56"/>
      <c r="CE24" s="32"/>
      <c r="CF24" s="32"/>
      <c r="CG24" s="32"/>
      <c r="CH24" s="56"/>
      <c r="CI24" s="33"/>
      <c r="CL24" s="28">
        <v>21</v>
      </c>
      <c r="CM24" s="29" t="str">
        <v>Detroit</v>
      </c>
      <c r="CN24" s="31" t="str">
        <v>Washington</v>
      </c>
      <c r="CO24" s="28">
        <v>21</v>
      </c>
      <c r="CP24" s="29" t="str">
        <v>Minnesota</v>
      </c>
      <c r="CQ24" s="31" t="str">
        <v>Anaheim</v>
      </c>
      <c r="CS24" s="27"/>
      <c r="CT24" s="32"/>
      <c r="CU24" s="32"/>
      <c r="CV24" s="32"/>
      <c r="CW24" s="32"/>
      <c r="CX24" s="32"/>
      <c r="CY24" s="32"/>
      <c r="CZ24" s="56"/>
      <c r="DA24" s="32"/>
      <c r="DB24" s="32"/>
      <c r="DC24" s="32"/>
      <c r="DD24" s="56"/>
      <c r="DE24" s="32"/>
      <c r="DF24" s="32"/>
      <c r="DG24" s="32"/>
      <c r="DH24" s="56"/>
      <c r="DI24" s="32"/>
      <c r="DJ24" s="32"/>
      <c r="DK24" s="32"/>
      <c r="DL24" s="56"/>
      <c r="DM24" s="32"/>
      <c r="DN24" s="32"/>
      <c r="DO24" s="32"/>
      <c r="DP24" s="56"/>
      <c r="DQ24" s="32"/>
      <c r="DR24" s="32"/>
      <c r="DS24" s="32"/>
      <c r="DT24" s="56"/>
      <c r="DU24" s="32"/>
      <c r="DV24" s="32"/>
      <c r="DW24" s="32"/>
      <c r="DX24" s="56"/>
      <c r="DY24" s="33"/>
      <c r="EB24" s="28">
        <v>21</v>
      </c>
      <c r="EC24" s="29" t="str">
        <v>Washington</v>
      </c>
      <c r="ED24" s="31" t="str">
        <v>Vancouver</v>
      </c>
      <c r="EG24" s="81">
        <v>5</v>
      </c>
      <c r="EH24" s="82" t="str">
        <f>B8</f>
        <v>Detroit</v>
      </c>
      <c r="EI24" s="82"/>
      <c r="EJ24" s="82"/>
      <c r="EK24" s="82"/>
      <c r="EL24" s="82"/>
      <c r="EM24" s="81">
        <v>5</v>
      </c>
      <c r="EN24" s="82" t="str">
        <f>B21</f>
        <v>Chicago</v>
      </c>
      <c r="EO24" s="82"/>
      <c r="EP24" s="82"/>
      <c r="EQ24" s="82"/>
      <c r="ER24" s="83"/>
      <c r="ET24" s="28" t="s">
        <v>5</v>
      </c>
      <c r="EU24" s="60">
        <v>85.015583481596806</v>
      </c>
      <c r="EV24" s="28">
        <v>13</v>
      </c>
      <c r="EW24" s="29">
        <v>7</v>
      </c>
      <c r="EX24" s="29">
        <v>9</v>
      </c>
      <c r="EY24" s="29">
        <v>23</v>
      </c>
      <c r="EZ24" s="29">
        <v>4</v>
      </c>
      <c r="FA24" s="29">
        <v>10</v>
      </c>
      <c r="FB24" s="29">
        <v>6</v>
      </c>
      <c r="FC24" s="29">
        <v>4</v>
      </c>
      <c r="FD24" s="29">
        <v>18</v>
      </c>
      <c r="FE24" s="29">
        <v>7</v>
      </c>
      <c r="FF24" s="29">
        <v>12</v>
      </c>
      <c r="FG24" s="29">
        <v>19</v>
      </c>
      <c r="FH24" s="29">
        <v>27</v>
      </c>
      <c r="FI24" s="29">
        <v>7</v>
      </c>
      <c r="FJ24" s="29">
        <v>6</v>
      </c>
      <c r="FK24" s="29">
        <v>5</v>
      </c>
      <c r="FL24" s="31">
        <v>14</v>
      </c>
      <c r="FR24" s="29">
        <v>22</v>
      </c>
      <c r="FS24" s="29" t="str">
        <v>Vancouver</v>
      </c>
    </row>
    <row r="25" spans="1:175">
      <c r="AR25" s="28">
        <v>22</v>
      </c>
      <c r="AS25" s="29" t="str">
        <v>Ottawa</v>
      </c>
      <c r="AT25" s="29" t="str">
        <v>Detroit</v>
      </c>
      <c r="AU25" s="29" t="str">
        <v>Washington</v>
      </c>
      <c r="AV25" s="31" t="str">
        <v>NY Rangers</v>
      </c>
      <c r="AW25" s="28">
        <v>22</v>
      </c>
      <c r="AX25" s="29" t="str">
        <v>St. Louis</v>
      </c>
      <c r="AY25" s="29" t="str">
        <v>Chicago</v>
      </c>
      <c r="AZ25" s="29" t="str">
        <v>Vancouver</v>
      </c>
      <c r="BA25" s="31" t="str">
        <v>Anaheim</v>
      </c>
      <c r="CL25" s="28">
        <v>22</v>
      </c>
      <c r="CM25" s="29" t="str">
        <v>Ottawa</v>
      </c>
      <c r="CN25" s="31" t="str">
        <v>Washington</v>
      </c>
      <c r="CO25" s="28">
        <v>22</v>
      </c>
      <c r="CP25" s="29" t="str">
        <v>Chicago</v>
      </c>
      <c r="CQ25" s="31" t="str">
        <v>Vancouver</v>
      </c>
      <c r="EB25" s="28">
        <v>22</v>
      </c>
      <c r="EC25" s="29" t="str">
        <v>Washington</v>
      </c>
      <c r="ED25" s="31" t="str">
        <v>Vancouver</v>
      </c>
      <c r="EG25" s="81"/>
      <c r="EH25" s="82" t="s">
        <v>308</v>
      </c>
      <c r="EI25" s="82" t="s">
        <v>309</v>
      </c>
      <c r="EJ25" s="82" t="s">
        <v>310</v>
      </c>
      <c r="EK25" s="82" t="s">
        <v>307</v>
      </c>
      <c r="EL25" s="82" t="s">
        <v>311</v>
      </c>
      <c r="EM25" s="81"/>
      <c r="EN25" s="82" t="s">
        <v>308</v>
      </c>
      <c r="EO25" s="82" t="s">
        <v>309</v>
      </c>
      <c r="EP25" s="82" t="s">
        <v>310</v>
      </c>
      <c r="EQ25" s="82" t="s">
        <v>307</v>
      </c>
      <c r="ER25" s="83" t="s">
        <v>311</v>
      </c>
      <c r="ET25" s="28" t="s">
        <v>22</v>
      </c>
      <c r="EU25" s="60">
        <v>85.013821779926928</v>
      </c>
      <c r="EV25" s="28">
        <v>14</v>
      </c>
      <c r="EW25" s="29">
        <v>12</v>
      </c>
      <c r="EX25" s="29">
        <v>7</v>
      </c>
      <c r="EY25" s="29">
        <v>6</v>
      </c>
      <c r="EZ25" s="29">
        <v>7</v>
      </c>
      <c r="FA25" s="29">
        <v>17</v>
      </c>
      <c r="FB25" s="29">
        <v>21</v>
      </c>
      <c r="FC25" s="29">
        <v>11</v>
      </c>
      <c r="FD25" s="29">
        <v>7</v>
      </c>
      <c r="FE25" s="29">
        <v>5</v>
      </c>
      <c r="FF25" s="29">
        <v>9</v>
      </c>
      <c r="FG25" s="29">
        <v>6</v>
      </c>
      <c r="FH25" s="29">
        <v>14</v>
      </c>
      <c r="FI25" s="29">
        <v>7</v>
      </c>
      <c r="FJ25" s="29">
        <v>24</v>
      </c>
      <c r="FK25" s="29">
        <v>4</v>
      </c>
      <c r="FL25" s="31">
        <v>19</v>
      </c>
      <c r="FR25" s="29">
        <v>23</v>
      </c>
      <c r="FS25" s="29" t="str">
        <v>Nashville</v>
      </c>
    </row>
    <row r="26" spans="1:175">
      <c r="AR26" s="28">
        <v>23</v>
      </c>
      <c r="AS26" s="29" t="str">
        <v>Ottawa</v>
      </c>
      <c r="AT26" s="29" t="str">
        <v>Detroit</v>
      </c>
      <c r="AU26" s="29" t="str">
        <v>Washington</v>
      </c>
      <c r="AV26" s="31" t="str">
        <v>NY Rangers</v>
      </c>
      <c r="AW26" s="28">
        <v>23</v>
      </c>
      <c r="AX26" s="29" t="str">
        <v>St. Louis</v>
      </c>
      <c r="AY26" s="29" t="str">
        <v>Chicago</v>
      </c>
      <c r="AZ26" s="29" t="str">
        <v>Vancouver</v>
      </c>
      <c r="BA26" s="31" t="str">
        <v>Anaheim</v>
      </c>
      <c r="CL26" s="28">
        <v>23</v>
      </c>
      <c r="CM26" s="29" t="str">
        <v>Detroit</v>
      </c>
      <c r="CN26" s="31" t="str">
        <v>Washington</v>
      </c>
      <c r="CO26" s="28">
        <v>23</v>
      </c>
      <c r="CP26" s="29" t="str">
        <v>Minnesota</v>
      </c>
      <c r="CQ26" s="31" t="str">
        <v>Winnipeg</v>
      </c>
      <c r="EB26" s="28">
        <v>23</v>
      </c>
      <c r="EC26" s="29" t="str">
        <v>Washington</v>
      </c>
      <c r="ED26" s="31" t="str">
        <v>Minnesota</v>
      </c>
      <c r="EG26" s="81"/>
      <c r="EH26" s="82">
        <f ca="1">COUNTIF(AS4:AV103,EH24)/COUNT(AR4:AR103)</f>
        <v>0.77</v>
      </c>
      <c r="EI26" s="82">
        <f ca="1">COUNTIF(CM4:CN103,EH24)/COUNT(CL4:CL103)</f>
        <v>0.52</v>
      </c>
      <c r="EJ26" s="82">
        <f ca="1">COUNTIF(EC4:ED503,EH24)/COUNT(EB4:EB503)</f>
        <v>0.13400000000000001</v>
      </c>
      <c r="EK26" s="82">
        <f ca="1">COUNTIF(FS3:FS502,EH24)/COUNT(FR3:FR502)</f>
        <v>4.5999999999999999E-2</v>
      </c>
      <c r="EL26" s="82">
        <f ca="1">AQ6+IF(AP6=EH24,CK4,0)+IF(CJ4=EH24,DZ4,0)+IF(DY4=EG24,FQ3,0)</f>
        <v>18</v>
      </c>
      <c r="EM26" s="81"/>
      <c r="EN26" s="82">
        <f ca="1">COUNTIF(AX4:BA103,EN24)/COUNT(AW4:AW103)</f>
        <v>0.53</v>
      </c>
      <c r="EO26" s="82">
        <f ca="1">COUNTIF(CP4:CQ103,EN24)/COUNT(CO4:CO103)</f>
        <v>0.42</v>
      </c>
      <c r="EP26" s="82">
        <f ca="1">COUNTIF(EC4:ED503,EN24)/COUNT(EB4:EB503)</f>
        <v>0.16400000000000001</v>
      </c>
      <c r="EQ26" s="82">
        <f ca="1">COUNTIF(FS3:FS502,EN24)/COUNT(FR3:FR502)</f>
        <v>9.1999999999999998E-2</v>
      </c>
      <c r="ER26" s="83">
        <f ca="1">AQ19+IF(AP19=EN24,CK17,0)+IF(CJ17=EN24,DZ17,0)+IF(DY17=EM24,FQ3,0)</f>
        <v>26</v>
      </c>
      <c r="ET26" s="28" t="s">
        <v>2</v>
      </c>
      <c r="EU26" s="60">
        <v>84.918202417441918</v>
      </c>
      <c r="EV26" s="28">
        <v>15</v>
      </c>
      <c r="EW26" s="29">
        <v>7</v>
      </c>
      <c r="EX26" s="29">
        <v>11</v>
      </c>
      <c r="EY26" s="29">
        <v>22</v>
      </c>
      <c r="EZ26" s="29">
        <v>4</v>
      </c>
      <c r="FA26" s="29">
        <v>8</v>
      </c>
      <c r="FB26" s="29">
        <v>5</v>
      </c>
      <c r="FC26" s="29">
        <v>5</v>
      </c>
      <c r="FD26" s="29">
        <v>16</v>
      </c>
      <c r="FE26" s="29">
        <v>7</v>
      </c>
      <c r="FF26" s="29">
        <v>24</v>
      </c>
      <c r="FG26" s="29">
        <v>7</v>
      </c>
      <c r="FH26" s="29">
        <v>6</v>
      </c>
      <c r="FI26" s="29">
        <v>17</v>
      </c>
      <c r="FJ26" s="29">
        <v>13</v>
      </c>
      <c r="FK26" s="29">
        <v>7</v>
      </c>
      <c r="FL26" s="31">
        <v>13</v>
      </c>
      <c r="FR26" s="29">
        <v>24</v>
      </c>
      <c r="FS26" s="29" t="str">
        <v>Chicago</v>
      </c>
    </row>
    <row r="27" spans="1:175">
      <c r="AR27" s="28">
        <v>24</v>
      </c>
      <c r="AS27" s="29" t="str">
        <v>Montreal</v>
      </c>
      <c r="AT27" s="29" t="str">
        <v>Tampa Bay</v>
      </c>
      <c r="AU27" s="29" t="str">
        <v>Washington</v>
      </c>
      <c r="AV27" s="31" t="str">
        <v>Pittsburgh</v>
      </c>
      <c r="AW27" s="28">
        <v>24</v>
      </c>
      <c r="AX27" s="29" t="str">
        <v>Minnesota</v>
      </c>
      <c r="AY27" s="29" t="str">
        <v>Chicago</v>
      </c>
      <c r="AZ27" s="29" t="str">
        <v>Vancouver</v>
      </c>
      <c r="BA27" s="31" t="str">
        <v>Anaheim</v>
      </c>
      <c r="CL27" s="28">
        <v>24</v>
      </c>
      <c r="CM27" s="29" t="str">
        <v>Detroit</v>
      </c>
      <c r="CN27" s="31" t="str">
        <v>Washington</v>
      </c>
      <c r="CO27" s="28">
        <v>24</v>
      </c>
      <c r="CP27" s="29" t="str">
        <v>Minnesota</v>
      </c>
      <c r="CQ27" s="31" t="str">
        <v>Winnipeg</v>
      </c>
      <c r="EB27" s="28">
        <v>24</v>
      </c>
      <c r="EC27" s="29" t="str">
        <v>Washington</v>
      </c>
      <c r="ED27" s="31" t="str">
        <v>Chicago</v>
      </c>
      <c r="EG27" s="81">
        <v>6</v>
      </c>
      <c r="EH27" s="82" t="str">
        <f>B9</f>
        <v>NY Islanders</v>
      </c>
      <c r="EI27" s="82"/>
      <c r="EJ27" s="82"/>
      <c r="EK27" s="82"/>
      <c r="EL27" s="82"/>
      <c r="EM27" s="81">
        <v>6</v>
      </c>
      <c r="EN27" s="82" t="str">
        <f>B22</f>
        <v>Calgary</v>
      </c>
      <c r="EO27" s="82"/>
      <c r="EP27" s="82"/>
      <c r="EQ27" s="82"/>
      <c r="ER27" s="83"/>
      <c r="ET27" s="28" t="s">
        <v>6</v>
      </c>
      <c r="EU27" s="60">
        <v>84.879881947033894</v>
      </c>
      <c r="EV27" s="28">
        <v>16</v>
      </c>
      <c r="EW27" s="29">
        <v>6</v>
      </c>
      <c r="EX27" s="29">
        <v>7</v>
      </c>
      <c r="EY27" s="29">
        <v>20</v>
      </c>
      <c r="EZ27" s="29">
        <v>16</v>
      </c>
      <c r="FA27" s="29">
        <v>6</v>
      </c>
      <c r="FB27" s="29">
        <v>6</v>
      </c>
      <c r="FC27" s="29">
        <v>11</v>
      </c>
      <c r="FD27" s="29">
        <v>12</v>
      </c>
      <c r="FE27" s="29">
        <v>6</v>
      </c>
      <c r="FF27" s="29">
        <v>17</v>
      </c>
      <c r="FG27" s="29">
        <v>10</v>
      </c>
      <c r="FH27" s="29">
        <v>21</v>
      </c>
      <c r="FI27" s="29">
        <v>5</v>
      </c>
      <c r="FJ27" s="29">
        <v>5</v>
      </c>
      <c r="FK27" s="29">
        <v>7</v>
      </c>
      <c r="FL27" s="31">
        <v>11</v>
      </c>
      <c r="FR27" s="29">
        <v>25</v>
      </c>
      <c r="FS27" s="29" t="str">
        <v>Vancouver</v>
      </c>
    </row>
    <row r="28" spans="1:175">
      <c r="AR28" s="28">
        <v>25</v>
      </c>
      <c r="AS28" s="29" t="str">
        <v>Ottawa</v>
      </c>
      <c r="AT28" s="29" t="str">
        <v>Detroit</v>
      </c>
      <c r="AU28" s="29" t="str">
        <v>Washington</v>
      </c>
      <c r="AV28" s="31" t="str">
        <v>NY Rangers</v>
      </c>
      <c r="AW28" s="28">
        <v>25</v>
      </c>
      <c r="AX28" s="29" t="str">
        <v>Minnesota</v>
      </c>
      <c r="AY28" s="29" t="str">
        <v>Chicago</v>
      </c>
      <c r="AZ28" s="29" t="str">
        <v>Vancouver</v>
      </c>
      <c r="BA28" s="31" t="str">
        <v>Anaheim</v>
      </c>
      <c r="CL28" s="28">
        <v>25</v>
      </c>
      <c r="CM28" s="29" t="str">
        <v>Detroit</v>
      </c>
      <c r="CN28" s="31" t="str">
        <v>NY Rangers</v>
      </c>
      <c r="CO28" s="28">
        <v>25</v>
      </c>
      <c r="CP28" s="29" t="str">
        <v>Minnesota</v>
      </c>
      <c r="CQ28" s="31" t="str">
        <v>Anaheim</v>
      </c>
      <c r="EB28" s="28">
        <v>25</v>
      </c>
      <c r="EC28" s="29" t="str">
        <v>Washington</v>
      </c>
      <c r="ED28" s="31" t="str">
        <v>Chicago</v>
      </c>
      <c r="EG28" s="81"/>
      <c r="EH28" s="82" t="s">
        <v>308</v>
      </c>
      <c r="EI28" s="82" t="s">
        <v>309</v>
      </c>
      <c r="EJ28" s="82" t="s">
        <v>310</v>
      </c>
      <c r="EK28" s="82" t="s">
        <v>307</v>
      </c>
      <c r="EL28" s="82" t="s">
        <v>311</v>
      </c>
      <c r="EM28" s="81"/>
      <c r="EN28" s="82" t="s">
        <v>308</v>
      </c>
      <c r="EO28" s="82" t="s">
        <v>309</v>
      </c>
      <c r="EP28" s="82" t="s">
        <v>310</v>
      </c>
      <c r="EQ28" s="82" t="s">
        <v>307</v>
      </c>
      <c r="ER28" s="83" t="s">
        <v>311</v>
      </c>
      <c r="ET28" s="28" t="s">
        <v>13</v>
      </c>
      <c r="EU28" s="60">
        <v>84.854221314066166</v>
      </c>
      <c r="EV28" s="28">
        <v>17</v>
      </c>
      <c r="EW28" s="29">
        <v>5</v>
      </c>
      <c r="EX28" s="29">
        <v>5</v>
      </c>
      <c r="EY28" s="29">
        <v>23</v>
      </c>
      <c r="EZ28" s="29">
        <v>6</v>
      </c>
      <c r="FA28" s="29">
        <v>13</v>
      </c>
      <c r="FB28" s="29">
        <v>5</v>
      </c>
      <c r="FC28" s="29">
        <v>9</v>
      </c>
      <c r="FD28" s="29">
        <v>19</v>
      </c>
      <c r="FE28" s="29">
        <v>6</v>
      </c>
      <c r="FF28" s="29">
        <v>23</v>
      </c>
      <c r="FG28" s="29">
        <v>12</v>
      </c>
      <c r="FH28" s="29">
        <v>17</v>
      </c>
      <c r="FI28" s="29">
        <v>6</v>
      </c>
      <c r="FJ28" s="29">
        <v>6</v>
      </c>
      <c r="FK28" s="29">
        <v>5</v>
      </c>
      <c r="FL28" s="31">
        <v>12</v>
      </c>
      <c r="FR28" s="29">
        <v>26</v>
      </c>
      <c r="FS28" s="29" t="str">
        <v>Nashville</v>
      </c>
    </row>
    <row r="29" spans="1:175">
      <c r="AR29" s="28">
        <v>26</v>
      </c>
      <c r="AS29" s="29" t="str">
        <v>Ottawa</v>
      </c>
      <c r="AT29" s="29" t="str">
        <v>Detroit</v>
      </c>
      <c r="AU29" s="29" t="str">
        <v>NY Islanders</v>
      </c>
      <c r="AV29" s="31" t="str">
        <v>Pittsburgh</v>
      </c>
      <c r="AW29" s="28">
        <v>26</v>
      </c>
      <c r="AX29" s="29" t="str">
        <v>Minnesota</v>
      </c>
      <c r="AY29" s="29" t="str">
        <v>Chicago</v>
      </c>
      <c r="AZ29" s="29" t="str">
        <v>Calgary</v>
      </c>
      <c r="BA29" s="31" t="str">
        <v>Winnipeg</v>
      </c>
      <c r="CL29" s="28">
        <v>26</v>
      </c>
      <c r="CM29" s="29" t="str">
        <v>Detroit</v>
      </c>
      <c r="CN29" s="31" t="str">
        <v>Washington</v>
      </c>
      <c r="CO29" s="28">
        <v>26</v>
      </c>
      <c r="CP29" s="29" t="str">
        <v>Chicago</v>
      </c>
      <c r="CQ29" s="31" t="str">
        <v>Calgary</v>
      </c>
      <c r="EB29" s="28">
        <v>26</v>
      </c>
      <c r="EC29" s="29" t="str">
        <v>Washington</v>
      </c>
      <c r="ED29" s="31" t="str">
        <v>Nashville</v>
      </c>
      <c r="EG29" s="81"/>
      <c r="EH29" s="82">
        <f ca="1">COUNTIF(AS4:AV103,EH27)/COUNT(AR4:AR103)</f>
        <v>0.33</v>
      </c>
      <c r="EI29" s="82">
        <f ca="1">COUNTIF(CM4:CN103,EH27)/COUNT(CL4:CL103)</f>
        <v>0.4</v>
      </c>
      <c r="EJ29" s="82">
        <f ca="1">COUNTIF(EC4:ED503,EH27)/COUNT(EB4:EB503)</f>
        <v>0.156</v>
      </c>
      <c r="EK29" s="82">
        <f ca="1">COUNTIF(FS3:FS502,EH27)/COUNT(FR3:FR502)</f>
        <v>7.3999999999999996E-2</v>
      </c>
      <c r="EL29" s="82">
        <f ca="1">AQ8+IF(AP8=EH27,CK8,0)+IF(CJ8=EH27,DZ4,0)+IF(DY4=EG27,FQ3,0)</f>
        <v>5</v>
      </c>
      <c r="EM29" s="81"/>
      <c r="EN29" s="82">
        <f ca="1">COUNTIF(AX4:BA103,EN27)/COUNT(AW4:AW103)</f>
        <v>0.36</v>
      </c>
      <c r="EO29" s="82">
        <f ca="1">COUNTIF(CP4:CQ103,EN27)/COUNT(CO4:CO103)</f>
        <v>0.18</v>
      </c>
      <c r="EP29" s="82">
        <f ca="1">COUNTIF(EC4:ED503,EN27)/COUNT(EB4:EB503)</f>
        <v>5.8000000000000003E-2</v>
      </c>
      <c r="EQ29" s="82">
        <f ca="1">COUNTIF(FS3:FS502,EN27)/COUNT(FR3:FR502)</f>
        <v>3.7999999999999999E-2</v>
      </c>
      <c r="ER29" s="83">
        <f ca="1">AQ21+IF(AP21=EN27,CK21,0)+IF(CJ21=EN27,DZ17,0)+IF(DY17=EM27,FQ3,0)</f>
        <v>5</v>
      </c>
      <c r="ET29" s="28" t="s">
        <v>18</v>
      </c>
      <c r="EU29" s="60">
        <v>84.822257830980675</v>
      </c>
      <c r="EV29" s="28">
        <v>18</v>
      </c>
      <c r="EW29" s="29">
        <v>5</v>
      </c>
      <c r="EX29" s="29">
        <v>6</v>
      </c>
      <c r="EY29" s="29">
        <v>15</v>
      </c>
      <c r="EZ29" s="29">
        <v>4</v>
      </c>
      <c r="FA29" s="29">
        <v>18</v>
      </c>
      <c r="FB29" s="29">
        <v>5</v>
      </c>
      <c r="FC29" s="29">
        <v>10</v>
      </c>
      <c r="FD29" s="29">
        <v>9</v>
      </c>
      <c r="FE29" s="29">
        <v>6</v>
      </c>
      <c r="FF29" s="29">
        <v>23</v>
      </c>
      <c r="FG29" s="29">
        <v>9</v>
      </c>
      <c r="FH29" s="29">
        <v>19</v>
      </c>
      <c r="FI29" s="29">
        <v>7</v>
      </c>
      <c r="FJ29" s="29">
        <v>4</v>
      </c>
      <c r="FK29" s="29">
        <v>7</v>
      </c>
      <c r="FL29" s="31">
        <v>11</v>
      </c>
      <c r="FR29" s="29">
        <v>27</v>
      </c>
      <c r="FS29" s="29" t="str">
        <v>Nashville</v>
      </c>
    </row>
    <row r="30" spans="1:175">
      <c r="AR30" s="28">
        <v>27</v>
      </c>
      <c r="AS30" s="29" t="str">
        <v>Ottawa</v>
      </c>
      <c r="AT30" s="29" t="str">
        <v>Detroit</v>
      </c>
      <c r="AU30" s="29" t="str">
        <v>NY Islanders</v>
      </c>
      <c r="AV30" s="31" t="str">
        <v>Pittsburgh</v>
      </c>
      <c r="AW30" s="28">
        <v>27</v>
      </c>
      <c r="AX30" s="29" t="str">
        <v>St. Louis</v>
      </c>
      <c r="AY30" s="29" t="str">
        <v>Chicago</v>
      </c>
      <c r="AZ30" s="29" t="str">
        <v>Vancouver</v>
      </c>
      <c r="BA30" s="31" t="str">
        <v>Anaheim</v>
      </c>
      <c r="CL30" s="28">
        <v>27</v>
      </c>
      <c r="CM30" s="29" t="str">
        <v>Detroit</v>
      </c>
      <c r="CN30" s="31" t="str">
        <v>Washington</v>
      </c>
      <c r="CO30" s="28">
        <v>27</v>
      </c>
      <c r="CP30" s="29" t="str">
        <v>St. Louis</v>
      </c>
      <c r="CQ30" s="31" t="str">
        <v>Calgary</v>
      </c>
      <c r="EB30" s="28">
        <v>27</v>
      </c>
      <c r="EC30" s="29" t="str">
        <v>Ottawa</v>
      </c>
      <c r="ED30" s="31" t="str">
        <v>Winnipeg</v>
      </c>
      <c r="EG30" s="81">
        <v>7</v>
      </c>
      <c r="EH30" s="82" t="str">
        <f>B10</f>
        <v>Pittsburgh</v>
      </c>
      <c r="EI30" s="82"/>
      <c r="EJ30" s="82"/>
      <c r="EK30" s="82"/>
      <c r="EL30" s="82"/>
      <c r="EM30" s="81">
        <v>7</v>
      </c>
      <c r="EN30" s="82" t="str">
        <f>B23</f>
        <v>Winnipeg</v>
      </c>
      <c r="EO30" s="82"/>
      <c r="EP30" s="82"/>
      <c r="EQ30" s="82"/>
      <c r="ER30" s="83"/>
      <c r="ET30" s="28" t="s">
        <v>3</v>
      </c>
      <c r="EU30" s="60">
        <v>84.804182291797119</v>
      </c>
      <c r="EV30" s="28">
        <v>19</v>
      </c>
      <c r="EW30" s="29">
        <v>4</v>
      </c>
      <c r="EX30" s="29">
        <v>11</v>
      </c>
      <c r="EY30" s="29">
        <v>24</v>
      </c>
      <c r="EZ30" s="29">
        <v>4</v>
      </c>
      <c r="FA30" s="29">
        <v>15</v>
      </c>
      <c r="FB30" s="29">
        <v>5</v>
      </c>
      <c r="FC30" s="29">
        <v>6</v>
      </c>
      <c r="FD30" s="29">
        <v>8</v>
      </c>
      <c r="FE30" s="29">
        <v>4</v>
      </c>
      <c r="FF30" s="29">
        <v>12</v>
      </c>
      <c r="FG30" s="29">
        <v>6</v>
      </c>
      <c r="FH30" s="29">
        <v>6</v>
      </c>
      <c r="FI30" s="29">
        <v>24</v>
      </c>
      <c r="FJ30" s="29">
        <v>18</v>
      </c>
      <c r="FK30" s="29">
        <v>5</v>
      </c>
      <c r="FL30" s="31">
        <v>10</v>
      </c>
      <c r="FR30" s="29">
        <v>28</v>
      </c>
      <c r="FS30" s="29" t="str">
        <v>Washington</v>
      </c>
    </row>
    <row r="31" spans="1:175">
      <c r="AR31" s="28">
        <v>28</v>
      </c>
      <c r="AS31" s="29" t="str">
        <v>Montreal</v>
      </c>
      <c r="AT31" s="29" t="str">
        <v>Detroit</v>
      </c>
      <c r="AU31" s="29" t="str">
        <v>Washington</v>
      </c>
      <c r="AV31" s="31" t="str">
        <v>NY Rangers</v>
      </c>
      <c r="AW31" s="28">
        <v>28</v>
      </c>
      <c r="AX31" s="29" t="str">
        <v>Minnesota</v>
      </c>
      <c r="AY31" s="29" t="str">
        <v>Chicago</v>
      </c>
      <c r="AZ31" s="29" t="str">
        <v>Vancouver</v>
      </c>
      <c r="BA31" s="31" t="str">
        <v>Anaheim</v>
      </c>
      <c r="CL31" s="28">
        <v>28</v>
      </c>
      <c r="CM31" s="29" t="str">
        <v>Detroit</v>
      </c>
      <c r="CN31" s="31" t="str">
        <v>Washington</v>
      </c>
      <c r="CO31" s="28">
        <v>28</v>
      </c>
      <c r="CP31" s="29" t="str">
        <v>Minnesota</v>
      </c>
      <c r="CQ31" s="31" t="str">
        <v>Winnipeg</v>
      </c>
      <c r="EB31" s="28">
        <v>28</v>
      </c>
      <c r="EC31" s="29" t="str">
        <v>Ottawa</v>
      </c>
      <c r="ED31" s="31" t="str">
        <v>Winnipeg</v>
      </c>
      <c r="EG31" s="81"/>
      <c r="EH31" s="82" t="s">
        <v>308</v>
      </c>
      <c r="EI31" s="82" t="s">
        <v>309</v>
      </c>
      <c r="EJ31" s="82" t="s">
        <v>310</v>
      </c>
      <c r="EK31" s="82" t="s">
        <v>307</v>
      </c>
      <c r="EL31" s="82" t="s">
        <v>311</v>
      </c>
      <c r="EM31" s="81"/>
      <c r="EN31" s="82" t="s">
        <v>308</v>
      </c>
      <c r="EO31" s="82" t="s">
        <v>309</v>
      </c>
      <c r="EP31" s="82" t="s">
        <v>310</v>
      </c>
      <c r="EQ31" s="82" t="s">
        <v>307</v>
      </c>
      <c r="ER31" s="83" t="s">
        <v>311</v>
      </c>
      <c r="ET31" s="28" t="s">
        <v>25</v>
      </c>
      <c r="EU31" s="60">
        <v>84.777092564648797</v>
      </c>
      <c r="EV31" s="28">
        <v>20</v>
      </c>
      <c r="EW31" s="29">
        <v>26</v>
      </c>
      <c r="EX31" s="29">
        <v>11</v>
      </c>
      <c r="EY31" s="29">
        <v>17</v>
      </c>
      <c r="EZ31" s="29">
        <v>12</v>
      </c>
      <c r="FA31" s="29">
        <v>6</v>
      </c>
      <c r="FB31" s="29">
        <v>7</v>
      </c>
      <c r="FC31" s="29">
        <v>7</v>
      </c>
      <c r="FD31" s="29">
        <v>7</v>
      </c>
      <c r="FE31" s="29">
        <v>10</v>
      </c>
      <c r="FF31" s="29">
        <v>6</v>
      </c>
      <c r="FG31" s="29">
        <v>10</v>
      </c>
      <c r="FH31" s="29">
        <v>6</v>
      </c>
      <c r="FI31" s="29">
        <v>24</v>
      </c>
      <c r="FJ31" s="29">
        <v>5</v>
      </c>
      <c r="FK31" s="29">
        <v>16</v>
      </c>
      <c r="FL31" s="31">
        <v>4</v>
      </c>
      <c r="FR31" s="29">
        <v>29</v>
      </c>
      <c r="FS31" s="29" t="str">
        <v>Washington</v>
      </c>
    </row>
    <row r="32" spans="1:175">
      <c r="AR32" s="28">
        <v>29</v>
      </c>
      <c r="AS32" s="29" t="str">
        <v>Ottawa</v>
      </c>
      <c r="AT32" s="29" t="str">
        <v>Detroit</v>
      </c>
      <c r="AU32" s="29" t="str">
        <v>NY Islanders</v>
      </c>
      <c r="AV32" s="31" t="str">
        <v>Pittsburgh</v>
      </c>
      <c r="AW32" s="28">
        <v>29</v>
      </c>
      <c r="AX32" s="29" t="str">
        <v>Minnesota</v>
      </c>
      <c r="AY32" s="29" t="str">
        <v>Nashville</v>
      </c>
      <c r="AZ32" s="29" t="str">
        <v>Vancouver</v>
      </c>
      <c r="BA32" s="31" t="str">
        <v>Anaheim</v>
      </c>
      <c r="CL32" s="28">
        <v>29</v>
      </c>
      <c r="CM32" s="29" t="str">
        <v>Detroit</v>
      </c>
      <c r="CN32" s="31" t="str">
        <v>NY Islanders</v>
      </c>
      <c r="CO32" s="28">
        <v>29</v>
      </c>
      <c r="CP32" s="29" t="str">
        <v>Minnesota</v>
      </c>
      <c r="CQ32" s="31" t="str">
        <v>Winnipeg</v>
      </c>
      <c r="EB32" s="28">
        <v>29</v>
      </c>
      <c r="EC32" s="29" t="str">
        <v>Washington</v>
      </c>
      <c r="ED32" s="31" t="str">
        <v>Minnesota</v>
      </c>
      <c r="EG32" s="81"/>
      <c r="EH32" s="82">
        <f ca="1">COUNTIF(AS4:AV103,EH30)/COUNT(AR4:AR103)</f>
        <v>0.54</v>
      </c>
      <c r="EI32" s="82">
        <f ca="1">COUNTIF(CM4:CN103,EH30)/COUNT(CL4:CL103)</f>
        <v>0</v>
      </c>
      <c r="EJ32" s="82">
        <f ca="1">COUNTIF(EC4:ED503,EH30)/COUNT(EB4:EB503)</f>
        <v>0</v>
      </c>
      <c r="EK32" s="82">
        <f ca="1">COUNTIF(FS3:FS502,EH30)/COUNT(FR3:FR502)</f>
        <v>0</v>
      </c>
      <c r="EL32" s="82">
        <f ca="1">AQ10+IF(AP10=EH30,CK8,0)+IF(CJ8=EH30,DZ4,0)+IF(DY4=EG30,FQ3,0)</f>
        <v>7</v>
      </c>
      <c r="EM32" s="81"/>
      <c r="EN32" s="82">
        <f ca="1">COUNTIF(AX4:BA103,EN30)/COUNT(AW4:AW103)</f>
        <v>0.21</v>
      </c>
      <c r="EO32" s="82">
        <f ca="1">COUNTIF(CP4:CQ103,EN30)/COUNT(CO4:CO103)</f>
        <v>0.21</v>
      </c>
      <c r="EP32" s="82">
        <f ca="1">COUNTIF(EC4:ED503,EN30)/COUNT(EB4:EB503)</f>
        <v>0.11600000000000001</v>
      </c>
      <c r="EQ32" s="82">
        <f ca="1">COUNTIF(FS3:FS502,EN30)/COUNT(FR3:FR502)</f>
        <v>6.4000000000000001E-2</v>
      </c>
      <c r="ER32" s="83">
        <f ca="1">AQ23+IF(AP23=EN30,CK21,0)+IF(CJ21=EN30,DZ17,0)+IF(DY17=EM30,FQ3,0)</f>
        <v>6</v>
      </c>
      <c r="ET32" s="28" t="s">
        <v>11</v>
      </c>
      <c r="EU32" s="60">
        <v>84.703329894020342</v>
      </c>
      <c r="EV32" s="28">
        <v>21</v>
      </c>
      <c r="EW32" s="29">
        <v>4</v>
      </c>
      <c r="EX32" s="29">
        <v>9</v>
      </c>
      <c r="EY32" s="29">
        <v>22</v>
      </c>
      <c r="EZ32" s="29">
        <v>12</v>
      </c>
      <c r="FA32" s="29">
        <v>5</v>
      </c>
      <c r="FB32" s="29">
        <v>5</v>
      </c>
      <c r="FC32" s="29">
        <v>5</v>
      </c>
      <c r="FD32" s="29">
        <v>18</v>
      </c>
      <c r="FE32" s="29">
        <v>4</v>
      </c>
      <c r="FF32" s="29">
        <v>24</v>
      </c>
      <c r="FG32" s="29">
        <v>12</v>
      </c>
      <c r="FH32" s="29">
        <v>4</v>
      </c>
      <c r="FI32" s="29">
        <v>14</v>
      </c>
      <c r="FJ32" s="29">
        <v>5</v>
      </c>
      <c r="FK32" s="29">
        <v>6</v>
      </c>
      <c r="FL32" s="31">
        <v>9</v>
      </c>
      <c r="FR32" s="29">
        <v>30</v>
      </c>
      <c r="FS32" s="29" t="str">
        <v>Detroit</v>
      </c>
    </row>
    <row r="33" spans="44:175">
      <c r="AR33" s="28">
        <v>30</v>
      </c>
      <c r="AS33" s="29" t="str">
        <v>Ottawa</v>
      </c>
      <c r="AT33" s="29" t="str">
        <v>Detroit</v>
      </c>
      <c r="AU33" s="29" t="str">
        <v>Washington</v>
      </c>
      <c r="AV33" s="31" t="str">
        <v>Pittsburgh</v>
      </c>
      <c r="AW33" s="28">
        <v>30</v>
      </c>
      <c r="AX33" s="29" t="str">
        <v>Minnesota</v>
      </c>
      <c r="AY33" s="29" t="str">
        <v>Nashville</v>
      </c>
      <c r="AZ33" s="29" t="str">
        <v>Vancouver</v>
      </c>
      <c r="BA33" s="31" t="str">
        <v>Anaheim</v>
      </c>
      <c r="CL33" s="28">
        <v>30</v>
      </c>
      <c r="CM33" s="29" t="str">
        <v>Ottawa</v>
      </c>
      <c r="CN33" s="31" t="str">
        <v>Washington</v>
      </c>
      <c r="CO33" s="28">
        <v>30</v>
      </c>
      <c r="CP33" s="29" t="str">
        <v>Minnesota</v>
      </c>
      <c r="CQ33" s="31" t="str">
        <v>Calgary</v>
      </c>
      <c r="EB33" s="28">
        <v>30</v>
      </c>
      <c r="EC33" s="29" t="str">
        <v>Washington</v>
      </c>
      <c r="ED33" s="31" t="str">
        <v>Chicago</v>
      </c>
      <c r="EG33" s="81">
        <v>8</v>
      </c>
      <c r="EH33" s="82" t="str">
        <f>B11</f>
        <v>Ottawa</v>
      </c>
      <c r="EI33" s="82"/>
      <c r="EJ33" s="82"/>
      <c r="EK33" s="82"/>
      <c r="EL33" s="82"/>
      <c r="EM33" s="81">
        <v>8</v>
      </c>
      <c r="EN33" s="82" t="str">
        <f>B24</f>
        <v>Minnesota</v>
      </c>
      <c r="EO33" s="82"/>
      <c r="EP33" s="82"/>
      <c r="EQ33" s="82"/>
      <c r="ER33" s="83"/>
      <c r="ET33" s="28" t="s">
        <v>4</v>
      </c>
      <c r="EU33" s="60">
        <v>84.692649343862158</v>
      </c>
      <c r="EV33" s="28">
        <v>22</v>
      </c>
      <c r="EW33" s="29">
        <v>13</v>
      </c>
      <c r="EX33" s="29">
        <v>10</v>
      </c>
      <c r="EY33" s="29">
        <v>20</v>
      </c>
      <c r="EZ33" s="29">
        <v>6</v>
      </c>
      <c r="FA33" s="29">
        <v>18</v>
      </c>
      <c r="FB33" s="29">
        <v>6</v>
      </c>
      <c r="FC33" s="29">
        <v>6</v>
      </c>
      <c r="FD33" s="29">
        <v>6</v>
      </c>
      <c r="FE33" s="29">
        <v>7</v>
      </c>
      <c r="FF33" s="29">
        <v>7</v>
      </c>
      <c r="FG33" s="29">
        <v>21</v>
      </c>
      <c r="FH33" s="29">
        <v>14</v>
      </c>
      <c r="FI33" s="29">
        <v>7</v>
      </c>
      <c r="FJ33" s="29">
        <v>4</v>
      </c>
      <c r="FK33" s="29">
        <v>14</v>
      </c>
      <c r="FL33" s="31">
        <v>19</v>
      </c>
      <c r="FR33" s="29">
        <v>31</v>
      </c>
      <c r="FS33" s="29" t="str">
        <v>Calgary</v>
      </c>
    </row>
    <row r="34" spans="44:175">
      <c r="AR34" s="28">
        <v>31</v>
      </c>
      <c r="AS34" s="29" t="str">
        <v>Montreal</v>
      </c>
      <c r="AT34" s="29" t="str">
        <v>Detroit</v>
      </c>
      <c r="AU34" s="29" t="str">
        <v>Washington</v>
      </c>
      <c r="AV34" s="31" t="str">
        <v>Pittsburgh</v>
      </c>
      <c r="AW34" s="28">
        <v>31</v>
      </c>
      <c r="AX34" s="29" t="str">
        <v>St. Louis</v>
      </c>
      <c r="AY34" s="29" t="str">
        <v>Chicago</v>
      </c>
      <c r="AZ34" s="29" t="str">
        <v>Calgary</v>
      </c>
      <c r="BA34" s="31" t="str">
        <v>Anaheim</v>
      </c>
      <c r="CL34" s="28">
        <v>31</v>
      </c>
      <c r="CM34" s="29" t="str">
        <v>Detroit</v>
      </c>
      <c r="CN34" s="31" t="str">
        <v>NY Islanders</v>
      </c>
      <c r="CO34" s="28">
        <v>31</v>
      </c>
      <c r="CP34" s="29" t="str">
        <v>Minnesota</v>
      </c>
      <c r="CQ34" s="31" t="str">
        <v>Calgary</v>
      </c>
      <c r="EB34" s="28">
        <v>31</v>
      </c>
      <c r="EC34" s="29" t="str">
        <v>NY Islanders</v>
      </c>
      <c r="ED34" s="31" t="str">
        <v>Anaheim</v>
      </c>
      <c r="EG34" s="81"/>
      <c r="EH34" s="82" t="s">
        <v>308</v>
      </c>
      <c r="EI34" s="82" t="s">
        <v>309</v>
      </c>
      <c r="EJ34" s="82" t="s">
        <v>310</v>
      </c>
      <c r="EK34" s="82" t="s">
        <v>307</v>
      </c>
      <c r="EL34" s="82" t="s">
        <v>311</v>
      </c>
      <c r="EM34" s="81"/>
      <c r="EN34" s="82" t="s">
        <v>308</v>
      </c>
      <c r="EO34" s="82" t="s">
        <v>309</v>
      </c>
      <c r="EP34" s="82" t="s">
        <v>310</v>
      </c>
      <c r="EQ34" s="82" t="s">
        <v>307</v>
      </c>
      <c r="ER34" s="83" t="s">
        <v>311</v>
      </c>
      <c r="ET34" s="28" t="s">
        <v>225</v>
      </c>
      <c r="EU34" s="60">
        <v>84.634788831985787</v>
      </c>
      <c r="EV34" s="28">
        <v>23</v>
      </c>
      <c r="EW34" s="29">
        <v>13</v>
      </c>
      <c r="EX34" s="29">
        <v>9</v>
      </c>
      <c r="EY34" s="29">
        <v>20</v>
      </c>
      <c r="EZ34" s="29">
        <v>4</v>
      </c>
      <c r="FA34" s="29">
        <v>18</v>
      </c>
      <c r="FB34" s="29">
        <v>4</v>
      </c>
      <c r="FC34" s="29">
        <v>5</v>
      </c>
      <c r="FD34" s="29">
        <v>6</v>
      </c>
      <c r="FE34" s="29">
        <v>6</v>
      </c>
      <c r="FF34" s="29">
        <v>22</v>
      </c>
      <c r="FG34" s="29">
        <v>10</v>
      </c>
      <c r="FH34" s="29">
        <v>18</v>
      </c>
      <c r="FI34" s="29">
        <v>6</v>
      </c>
      <c r="FJ34" s="29">
        <v>5</v>
      </c>
      <c r="FK34" s="29">
        <v>5</v>
      </c>
      <c r="FL34" s="31">
        <v>11</v>
      </c>
      <c r="FR34" s="29">
        <v>32</v>
      </c>
      <c r="FS34" s="29" t="str">
        <v>NY Islanders</v>
      </c>
    </row>
    <row r="35" spans="44:175" ht="15.75" thickBot="1">
      <c r="AR35" s="28">
        <v>32</v>
      </c>
      <c r="AS35" s="29" t="str">
        <v>Ottawa</v>
      </c>
      <c r="AT35" s="29" t="str">
        <v>Detroit</v>
      </c>
      <c r="AU35" s="29" t="str">
        <v>NY Islanders</v>
      </c>
      <c r="AV35" s="31" t="str">
        <v>NY Rangers</v>
      </c>
      <c r="AW35" s="28">
        <v>32</v>
      </c>
      <c r="AX35" s="29" t="str">
        <v>Minnesota</v>
      </c>
      <c r="AY35" s="29" t="str">
        <v>Chicago</v>
      </c>
      <c r="AZ35" s="29" t="str">
        <v>Vancouver</v>
      </c>
      <c r="BA35" s="31" t="str">
        <v>Anaheim</v>
      </c>
      <c r="CL35" s="28">
        <v>32</v>
      </c>
      <c r="CM35" s="29" t="str">
        <v>Tampa Bay</v>
      </c>
      <c r="CN35" s="31" t="str">
        <v>NY Islanders</v>
      </c>
      <c r="CO35" s="28">
        <v>32</v>
      </c>
      <c r="CP35" s="29" t="str">
        <v>Nashville</v>
      </c>
      <c r="CQ35" s="31" t="str">
        <v>Winnipeg</v>
      </c>
      <c r="EB35" s="28">
        <v>32</v>
      </c>
      <c r="EC35" s="29" t="str">
        <v>Washington</v>
      </c>
      <c r="ED35" s="31" t="str">
        <v>Vancouver</v>
      </c>
      <c r="EG35" s="78"/>
      <c r="EH35" s="79">
        <f ca="1">COUNTIF(AS4:AV103,EH33)/COUNT(AR4:AR103)</f>
        <v>0.68</v>
      </c>
      <c r="EI35" s="79">
        <f ca="1">COUNTIF(CM4:CN103,EH33)/COUNT(CL4:CL103)</f>
        <v>0.19</v>
      </c>
      <c r="EJ35" s="79">
        <f ca="1">COUNTIF(EC4:ED503,EH33)/COUNT(EB4:EB503)</f>
        <v>5.1999999999999998E-2</v>
      </c>
      <c r="EK35" s="79">
        <f ca="1">COUNTIF(FS3:FS502,EH33)/COUNT(FR3:FR502)</f>
        <v>0.03</v>
      </c>
      <c r="EL35" s="79">
        <f ca="1">AQ4+IF(AP4=EH33,CK4,0)+IF(CJ4=EH33,DZ4,0)+IF(DY4=EG33,FQ3,0)</f>
        <v>12</v>
      </c>
      <c r="EM35" s="78"/>
      <c r="EN35" s="79">
        <f ca="1">COUNTIF(AX4:BA103,EN33)/COUNT(AW4:AW103)</f>
        <v>0.57999999999999996</v>
      </c>
      <c r="EO35" s="79">
        <f ca="1">COUNTIF(CP4:CQ103,EN33)/COUNT(CO4:CO103)</f>
        <v>0.23</v>
      </c>
      <c r="EP35" s="79">
        <f ca="1">COUNTIF(EC4:ED503,EN33)/COUNT(EB4:EB503)</f>
        <v>7.3999999999999996E-2</v>
      </c>
      <c r="EQ35" s="79">
        <f ca="1">COUNTIF(FS3:FS502,EN33)/COUNT(FR3:FR502)</f>
        <v>0.06</v>
      </c>
      <c r="ER35" s="80">
        <f ca="1">AQ17+IF(AP17=EN33,CK17,0)+IF(CJ17=EN33,DZ17,0)+IF(DY17=EM33,FQ3,0)</f>
        <v>13</v>
      </c>
      <c r="ET35" s="28" t="s">
        <v>19</v>
      </c>
      <c r="EU35" s="60">
        <v>84.56786728740262</v>
      </c>
      <c r="EV35" s="28">
        <v>24</v>
      </c>
      <c r="EW35" s="29">
        <v>13</v>
      </c>
      <c r="EX35" s="29">
        <v>9</v>
      </c>
      <c r="EY35" s="29">
        <v>20</v>
      </c>
      <c r="EZ35" s="29">
        <v>4</v>
      </c>
      <c r="FA35" s="29">
        <v>18</v>
      </c>
      <c r="FB35" s="29">
        <v>4</v>
      </c>
      <c r="FC35" s="29">
        <v>5</v>
      </c>
      <c r="FD35" s="29">
        <v>6</v>
      </c>
      <c r="FE35" s="29">
        <v>6</v>
      </c>
      <c r="FF35" s="29">
        <v>22</v>
      </c>
      <c r="FG35" s="29">
        <v>10</v>
      </c>
      <c r="FH35" s="29">
        <v>18</v>
      </c>
      <c r="FI35" s="29">
        <v>6</v>
      </c>
      <c r="FJ35" s="29">
        <v>5</v>
      </c>
      <c r="FK35" s="29">
        <v>5</v>
      </c>
      <c r="FL35" s="31">
        <v>11</v>
      </c>
      <c r="FR35" s="29">
        <v>33</v>
      </c>
      <c r="FS35" s="29" t="str">
        <v>NY Islanders</v>
      </c>
    </row>
    <row r="36" spans="44:175">
      <c r="AR36" s="28">
        <v>33</v>
      </c>
      <c r="AS36" s="29" t="str">
        <v>Ottawa</v>
      </c>
      <c r="AT36" s="29" t="str">
        <v>Detroit</v>
      </c>
      <c r="AU36" s="29" t="str">
        <v>Washington</v>
      </c>
      <c r="AV36" s="31" t="str">
        <v>Pittsburgh</v>
      </c>
      <c r="AW36" s="28">
        <v>33</v>
      </c>
      <c r="AX36" s="29" t="str">
        <v>Minnesota</v>
      </c>
      <c r="AY36" s="29" t="str">
        <v>Chicago</v>
      </c>
      <c r="AZ36" s="29" t="str">
        <v>Vancouver</v>
      </c>
      <c r="BA36" s="31" t="str">
        <v>Anaheim</v>
      </c>
      <c r="CL36" s="28">
        <v>33</v>
      </c>
      <c r="CM36" s="29" t="str">
        <v>Tampa Bay</v>
      </c>
      <c r="CN36" s="31" t="str">
        <v>NY Islanders</v>
      </c>
      <c r="CO36" s="28">
        <v>33</v>
      </c>
      <c r="CP36" s="29" t="str">
        <v>Nashville</v>
      </c>
      <c r="CQ36" s="31" t="str">
        <v>Anaheim</v>
      </c>
      <c r="EB36" s="28">
        <v>33</v>
      </c>
      <c r="EC36" s="29" t="str">
        <v>NY Islanders</v>
      </c>
      <c r="ED36" s="31" t="str">
        <v>Chicago</v>
      </c>
      <c r="ET36" s="28" t="s">
        <v>23</v>
      </c>
      <c r="EU36" s="60">
        <v>84.558509389146565</v>
      </c>
      <c r="EV36" s="28">
        <v>25</v>
      </c>
      <c r="EW36" s="29">
        <v>4</v>
      </c>
      <c r="EX36" s="29">
        <v>4</v>
      </c>
      <c r="EY36" s="29">
        <v>7</v>
      </c>
      <c r="EZ36" s="29">
        <v>4</v>
      </c>
      <c r="FA36" s="29">
        <v>21</v>
      </c>
      <c r="FB36" s="29">
        <v>16</v>
      </c>
      <c r="FC36" s="29">
        <v>8</v>
      </c>
      <c r="FD36" s="29">
        <v>10</v>
      </c>
      <c r="FE36" s="29">
        <v>12</v>
      </c>
      <c r="FF36" s="29">
        <v>25</v>
      </c>
      <c r="FG36" s="29">
        <v>13</v>
      </c>
      <c r="FH36" s="29">
        <v>18</v>
      </c>
      <c r="FI36" s="29">
        <v>6</v>
      </c>
      <c r="FJ36" s="29">
        <v>7</v>
      </c>
      <c r="FK36" s="29">
        <v>6</v>
      </c>
      <c r="FL36" s="31">
        <v>7</v>
      </c>
      <c r="FR36" s="29">
        <v>34</v>
      </c>
      <c r="FS36" s="29" t="str">
        <v>St. Louis</v>
      </c>
    </row>
    <row r="37" spans="44:175">
      <c r="AR37" s="28">
        <v>34</v>
      </c>
      <c r="AS37" s="29" t="str">
        <v>Montreal</v>
      </c>
      <c r="AT37" s="29" t="str">
        <v>Tampa Bay</v>
      </c>
      <c r="AU37" s="29" t="str">
        <v>Washington</v>
      </c>
      <c r="AV37" s="31" t="str">
        <v>Pittsburgh</v>
      </c>
      <c r="AW37" s="28">
        <v>34</v>
      </c>
      <c r="AX37" s="29" t="str">
        <v>Minnesota</v>
      </c>
      <c r="AY37" s="29" t="str">
        <v>Chicago</v>
      </c>
      <c r="AZ37" s="29" t="str">
        <v>Vancouver</v>
      </c>
      <c r="BA37" s="31" t="str">
        <v>Anaheim</v>
      </c>
      <c r="CL37" s="28">
        <v>34</v>
      </c>
      <c r="CM37" s="29" t="str">
        <v>Detroit</v>
      </c>
      <c r="CN37" s="31" t="str">
        <v>Washington</v>
      </c>
      <c r="CO37" s="28">
        <v>34</v>
      </c>
      <c r="CP37" s="29" t="str">
        <v>Chicago</v>
      </c>
      <c r="CQ37" s="31" t="str">
        <v>Winnipeg</v>
      </c>
      <c r="EB37" s="28">
        <v>34</v>
      </c>
      <c r="EC37" s="29" t="str">
        <v>NY Islanders</v>
      </c>
      <c r="ED37" s="31" t="str">
        <v>Chicago</v>
      </c>
      <c r="EJ37" s="29" t="s">
        <v>233</v>
      </c>
      <c r="EK37" s="29">
        <f ca="1">MAX(EK14:EK35)</f>
        <v>0.17</v>
      </c>
      <c r="EP37" s="29" t="s">
        <v>235</v>
      </c>
      <c r="EQ37" s="29">
        <f ca="1">MAX(EQ14:EQ35)</f>
        <v>0.17599999999999999</v>
      </c>
      <c r="ET37" s="28" t="s">
        <v>12</v>
      </c>
      <c r="EU37" s="60">
        <v>84.540679915027866</v>
      </c>
      <c r="EV37" s="28">
        <v>26</v>
      </c>
      <c r="EW37" s="29">
        <v>7</v>
      </c>
      <c r="EX37" s="29">
        <v>12</v>
      </c>
      <c r="EY37" s="29">
        <v>7</v>
      </c>
      <c r="EZ37" s="29">
        <v>17</v>
      </c>
      <c r="FA37" s="29">
        <v>6</v>
      </c>
      <c r="FB37" s="29">
        <v>26</v>
      </c>
      <c r="FC37" s="29">
        <v>7</v>
      </c>
      <c r="FD37" s="29">
        <v>11</v>
      </c>
      <c r="FE37" s="29">
        <v>10</v>
      </c>
      <c r="FF37" s="29">
        <v>20</v>
      </c>
      <c r="FG37" s="29">
        <v>5</v>
      </c>
      <c r="FH37" s="29">
        <v>4</v>
      </c>
      <c r="FI37" s="29">
        <v>12</v>
      </c>
      <c r="FJ37" s="29">
        <v>9</v>
      </c>
      <c r="FK37" s="29">
        <v>5</v>
      </c>
      <c r="FL37" s="31">
        <v>6</v>
      </c>
      <c r="FR37" s="29">
        <v>35</v>
      </c>
      <c r="FS37" s="29" t="str">
        <v>Ottawa</v>
      </c>
    </row>
    <row r="38" spans="44:175">
      <c r="AR38" s="28">
        <v>35</v>
      </c>
      <c r="AS38" s="29" t="str">
        <v>Ottawa</v>
      </c>
      <c r="AT38" s="29" t="str">
        <v>Detroit</v>
      </c>
      <c r="AU38" s="29" t="str">
        <v>Washington</v>
      </c>
      <c r="AV38" s="31" t="str">
        <v>NY Rangers</v>
      </c>
      <c r="AW38" s="28">
        <v>35</v>
      </c>
      <c r="AX38" s="29" t="str">
        <v>Minnesota</v>
      </c>
      <c r="AY38" s="29" t="str">
        <v>Nashville</v>
      </c>
      <c r="AZ38" s="29" t="str">
        <v>Vancouver</v>
      </c>
      <c r="BA38" s="31" t="str">
        <v>Winnipeg</v>
      </c>
      <c r="CL38" s="28">
        <v>35</v>
      </c>
      <c r="CM38" s="29" t="str">
        <v>Detroit</v>
      </c>
      <c r="CN38" s="31" t="str">
        <v>Washington</v>
      </c>
      <c r="CO38" s="28">
        <v>35</v>
      </c>
      <c r="CP38" s="29" t="str">
        <v>Minnesota</v>
      </c>
      <c r="CQ38" s="31" t="str">
        <v>Anaheim</v>
      </c>
      <c r="EB38" s="28">
        <v>35</v>
      </c>
      <c r="EC38" s="29" t="str">
        <v>Washington</v>
      </c>
      <c r="ED38" s="31" t="str">
        <v>Anaheim</v>
      </c>
      <c r="ET38" s="28" t="s">
        <v>17</v>
      </c>
      <c r="EU38" s="60">
        <v>84.466737907719647</v>
      </c>
      <c r="EV38" s="28">
        <v>27</v>
      </c>
      <c r="EW38" s="29">
        <v>11</v>
      </c>
      <c r="EX38" s="29">
        <v>11</v>
      </c>
      <c r="EY38" s="29">
        <v>22</v>
      </c>
      <c r="EZ38" s="29">
        <v>7</v>
      </c>
      <c r="FA38" s="29">
        <v>18</v>
      </c>
      <c r="FB38" s="29">
        <v>7</v>
      </c>
      <c r="FC38" s="29">
        <v>7</v>
      </c>
      <c r="FD38" s="29">
        <v>5</v>
      </c>
      <c r="FE38" s="29">
        <v>11</v>
      </c>
      <c r="FF38" s="29">
        <v>7</v>
      </c>
      <c r="FG38" s="29">
        <v>10</v>
      </c>
      <c r="FH38" s="29">
        <v>6</v>
      </c>
      <c r="FI38" s="29">
        <v>15</v>
      </c>
      <c r="FJ38" s="29">
        <v>5</v>
      </c>
      <c r="FK38" s="29">
        <v>23</v>
      </c>
      <c r="FL38" s="31">
        <v>7</v>
      </c>
      <c r="FR38" s="29">
        <v>36</v>
      </c>
      <c r="FS38" s="29" t="str">
        <v>Vancouver</v>
      </c>
    </row>
    <row r="39" spans="44:175">
      <c r="AR39" s="28">
        <v>36</v>
      </c>
      <c r="AS39" s="29" t="str">
        <v>Montreal</v>
      </c>
      <c r="AT39" s="29" t="str">
        <v>Detroit</v>
      </c>
      <c r="AU39" s="29" t="str">
        <v>Washington</v>
      </c>
      <c r="AV39" s="31" t="str">
        <v>Pittsburgh</v>
      </c>
      <c r="AW39" s="28">
        <v>36</v>
      </c>
      <c r="AX39" s="29" t="str">
        <v>Minnesota</v>
      </c>
      <c r="AY39" s="29" t="str">
        <v>Chicago</v>
      </c>
      <c r="AZ39" s="29" t="str">
        <v>Calgary</v>
      </c>
      <c r="BA39" s="31" t="str">
        <v>Anaheim</v>
      </c>
      <c r="CL39" s="28">
        <v>36</v>
      </c>
      <c r="CM39" s="29" t="str">
        <v>Ottawa</v>
      </c>
      <c r="CN39" s="31" t="str">
        <v>Washington</v>
      </c>
      <c r="CO39" s="28">
        <v>36</v>
      </c>
      <c r="CP39" s="29" t="str">
        <v>Chicago</v>
      </c>
      <c r="CQ39" s="31" t="str">
        <v>Anaheim</v>
      </c>
      <c r="EB39" s="28">
        <v>36</v>
      </c>
      <c r="EC39" s="29" t="str">
        <v>Ottawa</v>
      </c>
      <c r="ED39" s="31" t="str">
        <v>Anaheim</v>
      </c>
      <c r="ET39" s="28" t="s">
        <v>16</v>
      </c>
      <c r="EU39" s="60">
        <v>84.439541672686488</v>
      </c>
      <c r="EV39" s="28">
        <v>28</v>
      </c>
      <c r="EW39" s="29">
        <v>11</v>
      </c>
      <c r="EX39" s="29">
        <v>11</v>
      </c>
      <c r="EY39" s="29">
        <v>22</v>
      </c>
      <c r="EZ39" s="29">
        <v>7</v>
      </c>
      <c r="FA39" s="29">
        <v>18</v>
      </c>
      <c r="FB39" s="29">
        <v>7</v>
      </c>
      <c r="FC39" s="29">
        <v>7</v>
      </c>
      <c r="FD39" s="29">
        <v>5</v>
      </c>
      <c r="FE39" s="29">
        <v>11</v>
      </c>
      <c r="FF39" s="29">
        <v>7</v>
      </c>
      <c r="FG39" s="29">
        <v>10</v>
      </c>
      <c r="FH39" s="29">
        <v>6</v>
      </c>
      <c r="FI39" s="29">
        <v>15</v>
      </c>
      <c r="FJ39" s="29">
        <v>5</v>
      </c>
      <c r="FK39" s="29">
        <v>23</v>
      </c>
      <c r="FL39" s="31">
        <v>7</v>
      </c>
      <c r="FR39" s="29">
        <v>37</v>
      </c>
      <c r="FS39" s="29" t="str">
        <v>Washington</v>
      </c>
    </row>
    <row r="40" spans="44:175">
      <c r="AR40" s="28">
        <v>37</v>
      </c>
      <c r="AS40" s="29" t="str">
        <v>Montreal</v>
      </c>
      <c r="AT40" s="29" t="str">
        <v>Detroit</v>
      </c>
      <c r="AU40" s="29" t="str">
        <v>NY Islanders</v>
      </c>
      <c r="AV40" s="31" t="str">
        <v>Pittsburgh</v>
      </c>
      <c r="AW40" s="28">
        <v>37</v>
      </c>
      <c r="AX40" s="29" t="str">
        <v>Minnesota</v>
      </c>
      <c r="AY40" s="29" t="str">
        <v>Nashville</v>
      </c>
      <c r="AZ40" s="29" t="str">
        <v>Calgary</v>
      </c>
      <c r="BA40" s="31" t="str">
        <v>Winnipeg</v>
      </c>
      <c r="CL40" s="28">
        <v>37</v>
      </c>
      <c r="CM40" s="29" t="str">
        <v>Detroit</v>
      </c>
      <c r="CN40" s="31" t="str">
        <v>Washington</v>
      </c>
      <c r="CO40" s="28">
        <v>37</v>
      </c>
      <c r="CP40" s="29" t="str">
        <v>Chicago</v>
      </c>
      <c r="CQ40" s="31" t="str">
        <v>Winnipeg</v>
      </c>
      <c r="EB40" s="28">
        <v>37</v>
      </c>
      <c r="EC40" s="29" t="str">
        <v>Ottawa</v>
      </c>
      <c r="ED40" s="31" t="str">
        <v>Anaheim</v>
      </c>
      <c r="ET40" s="28" t="s">
        <v>15</v>
      </c>
      <c r="EU40" s="60">
        <v>84.438445187368572</v>
      </c>
      <c r="EV40" s="28">
        <v>29</v>
      </c>
      <c r="EW40" s="29">
        <v>4</v>
      </c>
      <c r="EX40" s="29">
        <v>10</v>
      </c>
      <c r="EY40" s="29">
        <v>7</v>
      </c>
      <c r="EZ40" s="29">
        <v>7</v>
      </c>
      <c r="FA40" s="29">
        <v>16</v>
      </c>
      <c r="FB40" s="29">
        <v>25</v>
      </c>
      <c r="FC40" s="29">
        <v>4</v>
      </c>
      <c r="FD40" s="29">
        <v>8</v>
      </c>
      <c r="FE40" s="29">
        <v>6</v>
      </c>
      <c r="FF40" s="29">
        <v>16</v>
      </c>
      <c r="FG40" s="29">
        <v>9</v>
      </c>
      <c r="FH40" s="29">
        <v>7</v>
      </c>
      <c r="FI40" s="29">
        <v>25</v>
      </c>
      <c r="FJ40" s="29">
        <v>4</v>
      </c>
      <c r="FK40" s="29">
        <v>6</v>
      </c>
      <c r="FL40" s="31">
        <v>12</v>
      </c>
      <c r="FR40" s="29">
        <v>38</v>
      </c>
      <c r="FS40" s="29" t="str">
        <v>Washington</v>
      </c>
    </row>
    <row r="41" spans="44:175" ht="15.75" thickBot="1">
      <c r="AR41" s="28">
        <v>38</v>
      </c>
      <c r="AS41" s="29" t="str">
        <v>Ottawa</v>
      </c>
      <c r="AT41" s="29" t="str">
        <v>Detroit</v>
      </c>
      <c r="AU41" s="29" t="str">
        <v>Washington</v>
      </c>
      <c r="AV41" s="31" t="str">
        <v>Pittsburgh</v>
      </c>
      <c r="AW41" s="28">
        <v>38</v>
      </c>
      <c r="AX41" s="29" t="str">
        <v>Minnesota</v>
      </c>
      <c r="AY41" s="29" t="str">
        <v>Chicago</v>
      </c>
      <c r="AZ41" s="29" t="str">
        <v>Calgary</v>
      </c>
      <c r="BA41" s="31" t="str">
        <v>Anaheim</v>
      </c>
      <c r="CL41" s="28">
        <v>38</v>
      </c>
      <c r="CM41" s="29" t="str">
        <v>Detroit</v>
      </c>
      <c r="CN41" s="31" t="str">
        <v>Washington</v>
      </c>
      <c r="CO41" s="28">
        <v>38</v>
      </c>
      <c r="CP41" s="29" t="str">
        <v>Chicago</v>
      </c>
      <c r="CQ41" s="31" t="str">
        <v>Winnipeg</v>
      </c>
      <c r="EB41" s="28">
        <v>38</v>
      </c>
      <c r="EC41" s="29" t="str">
        <v>NY Islanders</v>
      </c>
      <c r="ED41" s="31" t="str">
        <v>Vancouver</v>
      </c>
      <c r="ET41" s="27" t="s">
        <v>20</v>
      </c>
      <c r="EU41" s="61">
        <v>84.432567381361238</v>
      </c>
      <c r="EV41" s="28">
        <v>30</v>
      </c>
      <c r="EW41" s="29">
        <v>7</v>
      </c>
      <c r="EX41" s="29">
        <v>13</v>
      </c>
      <c r="EY41" s="29">
        <v>20</v>
      </c>
      <c r="EZ41" s="29">
        <v>6</v>
      </c>
      <c r="FA41" s="29">
        <v>24</v>
      </c>
      <c r="FB41" s="29">
        <v>7</v>
      </c>
      <c r="FC41" s="29">
        <v>7</v>
      </c>
      <c r="FD41" s="29">
        <v>14</v>
      </c>
      <c r="FE41" s="29">
        <v>19</v>
      </c>
      <c r="FF41" s="29">
        <v>20</v>
      </c>
      <c r="FG41" s="29">
        <v>10</v>
      </c>
      <c r="FH41" s="29">
        <v>12</v>
      </c>
      <c r="FI41" s="29">
        <v>6</v>
      </c>
      <c r="FJ41" s="29">
        <v>5</v>
      </c>
      <c r="FK41" s="29">
        <v>4</v>
      </c>
      <c r="FL41" s="31">
        <v>6</v>
      </c>
      <c r="FR41" s="29">
        <v>39</v>
      </c>
      <c r="FS41" s="29" t="str">
        <v>Washington</v>
      </c>
    </row>
    <row r="42" spans="44:175" ht="15.75" thickBot="1">
      <c r="AR42" s="28">
        <v>39</v>
      </c>
      <c r="AS42" s="29" t="str">
        <v>Montreal</v>
      </c>
      <c r="AT42" s="29" t="str">
        <v>Detroit</v>
      </c>
      <c r="AU42" s="29" t="str">
        <v>Washington</v>
      </c>
      <c r="AV42" s="31" t="str">
        <v>NY Rangers</v>
      </c>
      <c r="AW42" s="28">
        <v>39</v>
      </c>
      <c r="AX42" s="29" t="str">
        <v>Minnesota</v>
      </c>
      <c r="AY42" s="29" t="str">
        <v>Chicago</v>
      </c>
      <c r="AZ42" s="29" t="str">
        <v>Vancouver</v>
      </c>
      <c r="BA42" s="31" t="str">
        <v>Anaheim</v>
      </c>
      <c r="CL42" s="28">
        <v>39</v>
      </c>
      <c r="CM42" s="29" t="str">
        <v>Detroit</v>
      </c>
      <c r="CN42" s="31" t="str">
        <v>Washington</v>
      </c>
      <c r="CO42" s="28">
        <v>39</v>
      </c>
      <c r="CP42" s="29" t="str">
        <v>Chicago</v>
      </c>
      <c r="CQ42" s="31" t="str">
        <v>Winnipeg</v>
      </c>
      <c r="EB42" s="28">
        <v>39</v>
      </c>
      <c r="EC42" s="29" t="str">
        <v>Washington</v>
      </c>
      <c r="ED42" s="31" t="str">
        <v>Chicago</v>
      </c>
      <c r="EV42" s="28">
        <v>31</v>
      </c>
      <c r="EW42" s="29">
        <v>11</v>
      </c>
      <c r="EX42" s="29">
        <v>6</v>
      </c>
      <c r="EY42" s="29">
        <v>6</v>
      </c>
      <c r="EZ42" s="29">
        <v>7</v>
      </c>
      <c r="FA42" s="29">
        <v>18</v>
      </c>
      <c r="FB42" s="29">
        <v>23</v>
      </c>
      <c r="FC42" s="29">
        <v>10</v>
      </c>
      <c r="FD42" s="29">
        <v>7</v>
      </c>
      <c r="FE42" s="29">
        <v>5</v>
      </c>
      <c r="FF42" s="29">
        <v>13</v>
      </c>
      <c r="FG42" s="29">
        <v>23</v>
      </c>
      <c r="FH42" s="29">
        <v>6</v>
      </c>
      <c r="FI42" s="29">
        <v>17</v>
      </c>
      <c r="FJ42" s="29">
        <v>7</v>
      </c>
      <c r="FK42" s="29">
        <v>7</v>
      </c>
      <c r="FL42" s="31">
        <v>12</v>
      </c>
      <c r="FR42" s="29">
        <v>40</v>
      </c>
      <c r="FS42" s="29" t="str">
        <v>Vancouver</v>
      </c>
    </row>
    <row r="43" spans="44:175">
      <c r="AR43" s="28">
        <v>40</v>
      </c>
      <c r="AS43" s="29" t="str">
        <v>Montreal</v>
      </c>
      <c r="AT43" s="29" t="str">
        <v>Detroit</v>
      </c>
      <c r="AU43" s="29" t="str">
        <v>Washington</v>
      </c>
      <c r="AV43" s="31" t="str">
        <v>NY Rangers</v>
      </c>
      <c r="AW43" s="28">
        <v>40</v>
      </c>
      <c r="AX43" s="29" t="str">
        <v>Minnesota</v>
      </c>
      <c r="AY43" s="29" t="str">
        <v>Chicago</v>
      </c>
      <c r="AZ43" s="29" t="str">
        <v>Calgary</v>
      </c>
      <c r="BA43" s="31" t="str">
        <v>Anaheim</v>
      </c>
      <c r="CL43" s="28">
        <v>40</v>
      </c>
      <c r="CM43" s="29" t="str">
        <v>Detroit</v>
      </c>
      <c r="CN43" s="31" t="str">
        <v>NY Islanders</v>
      </c>
      <c r="CO43" s="28">
        <v>40</v>
      </c>
      <c r="CP43" s="29" t="str">
        <v>Nashville</v>
      </c>
      <c r="CQ43" s="31" t="str">
        <v>Anaheim</v>
      </c>
      <c r="EB43" s="28">
        <v>40</v>
      </c>
      <c r="EC43" s="29" t="str">
        <v>Washington</v>
      </c>
      <c r="ED43" s="31" t="str">
        <v>Vancouver</v>
      </c>
      <c r="EE43" s="75"/>
      <c r="EF43" s="76" t="s">
        <v>230</v>
      </c>
      <c r="EG43" s="76" t="s">
        <v>243</v>
      </c>
      <c r="EH43" s="76" t="s">
        <v>231</v>
      </c>
      <c r="EI43" s="76" t="s">
        <v>232</v>
      </c>
      <c r="EJ43" s="76" t="s">
        <v>244</v>
      </c>
      <c r="EK43" s="76" t="s">
        <v>237</v>
      </c>
      <c r="EL43" s="76" t="s">
        <v>233</v>
      </c>
      <c r="EM43" s="76" t="s">
        <v>318</v>
      </c>
      <c r="EN43" s="76" t="s">
        <v>234</v>
      </c>
      <c r="EO43" s="76" t="s">
        <v>235</v>
      </c>
      <c r="EP43" s="76" t="s">
        <v>236</v>
      </c>
      <c r="EQ43" s="76" t="s">
        <v>238</v>
      </c>
      <c r="ER43" s="76" t="s">
        <v>239</v>
      </c>
      <c r="ES43" s="76" t="s">
        <v>240</v>
      </c>
      <c r="ET43" s="76" t="s">
        <v>241</v>
      </c>
      <c r="EU43" s="77" t="s">
        <v>242</v>
      </c>
      <c r="EV43" s="28">
        <v>32</v>
      </c>
      <c r="EW43" s="29">
        <v>4</v>
      </c>
      <c r="EX43" s="29">
        <v>6</v>
      </c>
      <c r="EY43" s="29">
        <v>14</v>
      </c>
      <c r="EZ43" s="29">
        <v>12</v>
      </c>
      <c r="FA43" s="29">
        <v>6</v>
      </c>
      <c r="FB43" s="29">
        <v>5</v>
      </c>
      <c r="FC43" s="29">
        <v>10</v>
      </c>
      <c r="FD43" s="29">
        <v>22</v>
      </c>
      <c r="FE43" s="29">
        <v>4</v>
      </c>
      <c r="FF43" s="29">
        <v>16</v>
      </c>
      <c r="FG43" s="29">
        <v>11</v>
      </c>
      <c r="FH43" s="29">
        <v>6</v>
      </c>
      <c r="FI43" s="29">
        <v>13</v>
      </c>
      <c r="FJ43" s="29">
        <v>6</v>
      </c>
      <c r="FK43" s="29">
        <v>4</v>
      </c>
      <c r="FL43" s="31">
        <v>25</v>
      </c>
      <c r="FR43" s="29">
        <v>41</v>
      </c>
      <c r="FS43" s="29" t="str">
        <v>Calgary</v>
      </c>
    </row>
    <row r="44" spans="44:175" ht="15.75" thickBot="1">
      <c r="AR44" s="28">
        <v>41</v>
      </c>
      <c r="AS44" s="29" t="str">
        <v>Ottawa</v>
      </c>
      <c r="AT44" s="29" t="str">
        <v>Detroit</v>
      </c>
      <c r="AU44" s="29" t="str">
        <v>NY Islanders</v>
      </c>
      <c r="AV44" s="31" t="str">
        <v>Pittsburgh</v>
      </c>
      <c r="AW44" s="28">
        <v>41</v>
      </c>
      <c r="AX44" s="29" t="str">
        <v>Minnesota</v>
      </c>
      <c r="AY44" s="29" t="str">
        <v>Chicago</v>
      </c>
      <c r="AZ44" s="29" t="str">
        <v>Vancouver</v>
      </c>
      <c r="BA44" s="31" t="str">
        <v>Winnipeg</v>
      </c>
      <c r="CL44" s="28">
        <v>41</v>
      </c>
      <c r="CM44" s="29" t="str">
        <v>Detroit</v>
      </c>
      <c r="CN44" s="31" t="str">
        <v>NY Islanders</v>
      </c>
      <c r="CO44" s="28">
        <v>41</v>
      </c>
      <c r="CP44" s="29" t="str">
        <v>Chicago</v>
      </c>
      <c r="CQ44" s="31" t="str">
        <v>Calgary</v>
      </c>
      <c r="EB44" s="28">
        <v>41</v>
      </c>
      <c r="EC44" s="29" t="str">
        <v>Washington</v>
      </c>
      <c r="ED44" s="31" t="str">
        <v>Winnipeg</v>
      </c>
      <c r="EE44" s="78" t="s">
        <v>311</v>
      </c>
      <c r="EF44" s="79">
        <f ca="1">EW112</f>
        <v>8.65</v>
      </c>
      <c r="EG44" s="79">
        <f t="shared" ref="EG44:EU44" ca="1" si="157">EX112</f>
        <v>8.7200000000000006</v>
      </c>
      <c r="EH44" s="79">
        <f t="shared" ca="1" si="157"/>
        <v>16.010000000000002</v>
      </c>
      <c r="EI44" s="79">
        <f t="shared" ca="1" si="157"/>
        <v>9.74</v>
      </c>
      <c r="EJ44" s="79">
        <f t="shared" ca="1" si="157"/>
        <v>13.18</v>
      </c>
      <c r="EK44" s="79">
        <f t="shared" ca="1" si="157"/>
        <v>10.06</v>
      </c>
      <c r="EL44" s="79">
        <f t="shared" ca="1" si="157"/>
        <v>7.68</v>
      </c>
      <c r="EM44" s="79">
        <f t="shared" ca="1" si="157"/>
        <v>10.71</v>
      </c>
      <c r="EN44" s="79">
        <f t="shared" ca="1" si="157"/>
        <v>7.94</v>
      </c>
      <c r="EO44" s="79">
        <f t="shared" ca="1" si="157"/>
        <v>14.85</v>
      </c>
      <c r="EP44" s="79">
        <f t="shared" ca="1" si="157"/>
        <v>10.87</v>
      </c>
      <c r="EQ44" s="79">
        <f t="shared" ca="1" si="157"/>
        <v>10.35</v>
      </c>
      <c r="ER44" s="79">
        <f t="shared" ca="1" si="157"/>
        <v>13.23</v>
      </c>
      <c r="ES44" s="79">
        <f t="shared" ca="1" si="157"/>
        <v>9.14</v>
      </c>
      <c r="ET44" s="79">
        <f t="shared" ca="1" si="157"/>
        <v>8.94</v>
      </c>
      <c r="EU44" s="80">
        <f t="shared" ca="1" si="157"/>
        <v>11.71</v>
      </c>
      <c r="EV44" s="28">
        <v>33</v>
      </c>
      <c r="EW44" s="29">
        <v>4</v>
      </c>
      <c r="EX44" s="29">
        <v>6</v>
      </c>
      <c r="EY44" s="29">
        <v>14</v>
      </c>
      <c r="EZ44" s="29">
        <v>12</v>
      </c>
      <c r="FA44" s="29">
        <v>6</v>
      </c>
      <c r="FB44" s="29">
        <v>5</v>
      </c>
      <c r="FC44" s="29">
        <v>10</v>
      </c>
      <c r="FD44" s="29">
        <v>22</v>
      </c>
      <c r="FE44" s="29">
        <v>4</v>
      </c>
      <c r="FF44" s="29">
        <v>16</v>
      </c>
      <c r="FG44" s="29">
        <v>11</v>
      </c>
      <c r="FH44" s="29">
        <v>6</v>
      </c>
      <c r="FI44" s="29">
        <v>13</v>
      </c>
      <c r="FJ44" s="29">
        <v>6</v>
      </c>
      <c r="FK44" s="29">
        <v>4</v>
      </c>
      <c r="FL44" s="31">
        <v>25</v>
      </c>
      <c r="FR44" s="29">
        <v>42</v>
      </c>
      <c r="FS44" s="29" t="str">
        <v>Nashville</v>
      </c>
    </row>
    <row r="45" spans="44:175">
      <c r="AR45" s="28">
        <v>42</v>
      </c>
      <c r="AS45" s="29" t="str">
        <v>Ottawa</v>
      </c>
      <c r="AT45" s="29" t="str">
        <v>Detroit</v>
      </c>
      <c r="AU45" s="29" t="str">
        <v>Washington</v>
      </c>
      <c r="AV45" s="31" t="str">
        <v>Pittsburgh</v>
      </c>
      <c r="AW45" s="28">
        <v>42</v>
      </c>
      <c r="AX45" s="29" t="str">
        <v>Minnesota</v>
      </c>
      <c r="AY45" s="29" t="str">
        <v>Chicago</v>
      </c>
      <c r="AZ45" s="29" t="str">
        <v>Vancouver</v>
      </c>
      <c r="BA45" s="31" t="str">
        <v>Anaheim</v>
      </c>
      <c r="CL45" s="28">
        <v>42</v>
      </c>
      <c r="CM45" s="29" t="str">
        <v>Montreal</v>
      </c>
      <c r="CN45" s="31" t="str">
        <v>Washington</v>
      </c>
      <c r="CO45" s="28">
        <v>42</v>
      </c>
      <c r="CP45" s="29" t="str">
        <v>Minnesota</v>
      </c>
      <c r="CQ45" s="31" t="str">
        <v>Calgary</v>
      </c>
      <c r="EB45" s="28">
        <v>42</v>
      </c>
      <c r="EC45" s="29" t="str">
        <v>Tampa Bay</v>
      </c>
      <c r="ED45" s="31" t="str">
        <v>Anaheim</v>
      </c>
      <c r="EV45" s="28">
        <v>34</v>
      </c>
      <c r="EW45" s="29">
        <v>17</v>
      </c>
      <c r="EX45" s="29">
        <v>4</v>
      </c>
      <c r="EY45" s="29">
        <v>23</v>
      </c>
      <c r="EZ45" s="29">
        <v>6</v>
      </c>
      <c r="FA45" s="29">
        <v>10</v>
      </c>
      <c r="FB45" s="29">
        <v>5</v>
      </c>
      <c r="FC45" s="29">
        <v>8</v>
      </c>
      <c r="FD45" s="29">
        <v>6</v>
      </c>
      <c r="FE45" s="29">
        <v>13</v>
      </c>
      <c r="FF45" s="29">
        <v>17</v>
      </c>
      <c r="FG45" s="29">
        <v>5</v>
      </c>
      <c r="FH45" s="29">
        <v>7</v>
      </c>
      <c r="FI45" s="29">
        <v>27</v>
      </c>
      <c r="FJ45" s="29">
        <v>9</v>
      </c>
      <c r="FK45" s="29">
        <v>7</v>
      </c>
      <c r="FL45" s="31">
        <v>6</v>
      </c>
      <c r="FR45" s="29">
        <v>43</v>
      </c>
      <c r="FS45" s="29" t="str">
        <v>Nashville</v>
      </c>
    </row>
    <row r="46" spans="44:175">
      <c r="AR46" s="28">
        <v>43</v>
      </c>
      <c r="AS46" s="29" t="str">
        <v>Ottawa</v>
      </c>
      <c r="AT46" s="29" t="str">
        <v>Detroit</v>
      </c>
      <c r="AU46" s="29" t="str">
        <v>Washington</v>
      </c>
      <c r="AV46" s="31" t="str">
        <v>NY Rangers</v>
      </c>
      <c r="AW46" s="28">
        <v>43</v>
      </c>
      <c r="AX46" s="29" t="str">
        <v>Minnesota</v>
      </c>
      <c r="AY46" s="29" t="str">
        <v>Chicago</v>
      </c>
      <c r="AZ46" s="29" t="str">
        <v>Vancouver</v>
      </c>
      <c r="BA46" s="31" t="str">
        <v>Anaheim</v>
      </c>
      <c r="CL46" s="28">
        <v>43</v>
      </c>
      <c r="CM46" s="29" t="str">
        <v>Montreal</v>
      </c>
      <c r="CN46" s="31" t="str">
        <v>Washington</v>
      </c>
      <c r="CO46" s="28">
        <v>43</v>
      </c>
      <c r="CP46" s="29" t="str">
        <v>Chicago</v>
      </c>
      <c r="CQ46" s="31" t="str">
        <v>Anaheim</v>
      </c>
      <c r="EB46" s="28">
        <v>43</v>
      </c>
      <c r="EC46" s="29" t="str">
        <v>Washington</v>
      </c>
      <c r="ED46" s="31" t="str">
        <v>Vancouver</v>
      </c>
      <c r="EF46" s="29" t="s">
        <v>207</v>
      </c>
      <c r="EG46" s="29">
        <f ca="1">EF44</f>
        <v>8.65</v>
      </c>
      <c r="EV46" s="28">
        <v>35</v>
      </c>
      <c r="EW46" s="29">
        <v>13</v>
      </c>
      <c r="EX46" s="29">
        <v>8</v>
      </c>
      <c r="EY46" s="29">
        <v>5</v>
      </c>
      <c r="EZ46" s="29">
        <v>4</v>
      </c>
      <c r="FA46" s="29">
        <v>15</v>
      </c>
      <c r="FB46" s="29">
        <v>21</v>
      </c>
      <c r="FC46" s="29">
        <v>4</v>
      </c>
      <c r="FD46" s="29">
        <v>7</v>
      </c>
      <c r="FE46" s="29">
        <v>6</v>
      </c>
      <c r="FF46" s="29">
        <v>17</v>
      </c>
      <c r="FG46" s="29">
        <v>10</v>
      </c>
      <c r="FH46" s="29">
        <v>6</v>
      </c>
      <c r="FI46" s="29">
        <v>24</v>
      </c>
      <c r="FJ46" s="29">
        <v>4</v>
      </c>
      <c r="FK46" s="29">
        <v>5</v>
      </c>
      <c r="FL46" s="31">
        <v>11</v>
      </c>
      <c r="FR46" s="29">
        <v>44</v>
      </c>
      <c r="FS46" s="29" t="str">
        <v>Minnesota</v>
      </c>
    </row>
    <row r="47" spans="44:175">
      <c r="AR47" s="28">
        <v>44</v>
      </c>
      <c r="AS47" s="29" t="str">
        <v>Montreal</v>
      </c>
      <c r="AT47" s="29" t="str">
        <v>Detroit</v>
      </c>
      <c r="AU47" s="29" t="str">
        <v>NY Islanders</v>
      </c>
      <c r="AV47" s="31" t="str">
        <v>Pittsburgh</v>
      </c>
      <c r="AW47" s="28">
        <v>44</v>
      </c>
      <c r="AX47" s="29" t="str">
        <v>St. Louis</v>
      </c>
      <c r="AY47" s="29" t="str">
        <v>Chicago</v>
      </c>
      <c r="AZ47" s="29" t="str">
        <v>Vancouver</v>
      </c>
      <c r="BA47" s="31" t="str">
        <v>Anaheim</v>
      </c>
      <c r="CL47" s="28">
        <v>44</v>
      </c>
      <c r="CM47" s="29" t="str">
        <v>Ottawa</v>
      </c>
      <c r="CN47" s="31" t="str">
        <v>NY Islanders</v>
      </c>
      <c r="CO47" s="28">
        <v>44</v>
      </c>
      <c r="CP47" s="29" t="str">
        <v>Minnesota</v>
      </c>
      <c r="CQ47" s="31" t="str">
        <v>Vancouver</v>
      </c>
      <c r="EB47" s="28">
        <v>44</v>
      </c>
      <c r="EC47" s="29" t="str">
        <v>NY Islanders</v>
      </c>
      <c r="ED47" s="31" t="str">
        <v>Anaheim</v>
      </c>
      <c r="EF47" s="29" t="s">
        <v>203</v>
      </c>
      <c r="EG47" s="29">
        <f ca="1">EG44</f>
        <v>8.7200000000000006</v>
      </c>
      <c r="EV47" s="28">
        <v>36</v>
      </c>
      <c r="EW47" s="29">
        <v>12</v>
      </c>
      <c r="EX47" s="29">
        <v>12</v>
      </c>
      <c r="EY47" s="29">
        <v>6</v>
      </c>
      <c r="EZ47" s="29">
        <v>4</v>
      </c>
      <c r="FA47" s="29">
        <v>15</v>
      </c>
      <c r="FB47" s="29">
        <v>23</v>
      </c>
      <c r="FC47" s="29">
        <v>7</v>
      </c>
      <c r="FD47" s="29">
        <v>6</v>
      </c>
      <c r="FE47" s="29">
        <v>9</v>
      </c>
      <c r="FF47" s="29">
        <v>13</v>
      </c>
      <c r="FG47" s="29">
        <v>23</v>
      </c>
      <c r="FH47" s="29">
        <v>7</v>
      </c>
      <c r="FI47" s="29">
        <v>16</v>
      </c>
      <c r="FJ47" s="29">
        <v>5</v>
      </c>
      <c r="FK47" s="29">
        <v>7</v>
      </c>
      <c r="FL47" s="31">
        <v>5</v>
      </c>
      <c r="FR47" s="29">
        <v>45</v>
      </c>
      <c r="FS47" s="29" t="str">
        <v>Anaheim</v>
      </c>
    </row>
    <row r="48" spans="44:175">
      <c r="AR48" s="28">
        <v>45</v>
      </c>
      <c r="AS48" s="29" t="str">
        <v>Montreal</v>
      </c>
      <c r="AT48" s="29" t="str">
        <v>Detroit</v>
      </c>
      <c r="AU48" s="29" t="str">
        <v>NY Islanders</v>
      </c>
      <c r="AV48" s="31" t="str">
        <v>Pittsburgh</v>
      </c>
      <c r="AW48" s="28">
        <v>45</v>
      </c>
      <c r="AX48" s="29" t="str">
        <v>St. Louis</v>
      </c>
      <c r="AY48" s="29" t="str">
        <v>Chicago</v>
      </c>
      <c r="AZ48" s="29" t="str">
        <v>Vancouver</v>
      </c>
      <c r="BA48" s="31" t="str">
        <v>Anaheim</v>
      </c>
      <c r="CL48" s="28">
        <v>45</v>
      </c>
      <c r="CM48" s="29" t="str">
        <v>Ottawa</v>
      </c>
      <c r="CN48" s="31" t="str">
        <v>Washington</v>
      </c>
      <c r="CO48" s="28">
        <v>45</v>
      </c>
      <c r="CP48" s="29" t="str">
        <v>Chicago</v>
      </c>
      <c r="CQ48" s="31" t="str">
        <v>Anaheim</v>
      </c>
      <c r="EB48" s="28">
        <v>45</v>
      </c>
      <c r="EC48" s="29" t="str">
        <v>Tampa Bay</v>
      </c>
      <c r="ED48" s="31" t="str">
        <v>Nashville</v>
      </c>
      <c r="EF48" s="29" t="s">
        <v>201</v>
      </c>
      <c r="EG48" s="29">
        <f ca="1">EH44</f>
        <v>16.010000000000002</v>
      </c>
      <c r="EV48" s="28">
        <v>37</v>
      </c>
      <c r="EW48" s="29">
        <v>5</v>
      </c>
      <c r="EX48" s="29">
        <v>5</v>
      </c>
      <c r="EY48" s="29">
        <v>4</v>
      </c>
      <c r="EZ48" s="29">
        <v>20</v>
      </c>
      <c r="FA48" s="29">
        <v>6</v>
      </c>
      <c r="FB48" s="29">
        <v>14</v>
      </c>
      <c r="FC48" s="29">
        <v>9</v>
      </c>
      <c r="FD48" s="29">
        <v>9</v>
      </c>
      <c r="FE48" s="29">
        <v>6</v>
      </c>
      <c r="FF48" s="29">
        <v>7</v>
      </c>
      <c r="FG48" s="29">
        <v>11</v>
      </c>
      <c r="FH48" s="29">
        <v>6</v>
      </c>
      <c r="FI48" s="29">
        <v>12</v>
      </c>
      <c r="FJ48" s="29">
        <v>6</v>
      </c>
      <c r="FK48" s="29">
        <v>23</v>
      </c>
      <c r="FL48" s="31">
        <v>19</v>
      </c>
      <c r="FR48" s="29">
        <v>46</v>
      </c>
      <c r="FS48" s="29" t="str">
        <v>Vancouver</v>
      </c>
    </row>
    <row r="49" spans="44:175">
      <c r="AR49" s="28">
        <v>46</v>
      </c>
      <c r="AS49" s="29" t="str">
        <v>Montreal</v>
      </c>
      <c r="AT49" s="29" t="str">
        <v>Tampa Bay</v>
      </c>
      <c r="AU49" s="29" t="str">
        <v>Washington</v>
      </c>
      <c r="AV49" s="31" t="str">
        <v>NY Rangers</v>
      </c>
      <c r="AW49" s="28">
        <v>46</v>
      </c>
      <c r="AX49" s="29" t="str">
        <v>St. Louis</v>
      </c>
      <c r="AY49" s="29" t="str">
        <v>Nashville</v>
      </c>
      <c r="AZ49" s="29" t="str">
        <v>Vancouver</v>
      </c>
      <c r="BA49" s="31" t="str">
        <v>Anaheim</v>
      </c>
      <c r="CL49" s="28">
        <v>46</v>
      </c>
      <c r="CM49" s="29" t="str">
        <v>Tampa Bay</v>
      </c>
      <c r="CN49" s="31" t="str">
        <v>Washington</v>
      </c>
      <c r="CO49" s="28">
        <v>46</v>
      </c>
      <c r="CP49" s="29" t="str">
        <v>Chicago</v>
      </c>
      <c r="CQ49" s="31" t="str">
        <v>Anaheim</v>
      </c>
      <c r="EB49" s="28">
        <v>46</v>
      </c>
      <c r="EC49" s="29" t="str">
        <v>Tampa Bay</v>
      </c>
      <c r="ED49" s="31" t="str">
        <v>Nashville</v>
      </c>
      <c r="EF49" s="29" t="s">
        <v>198</v>
      </c>
      <c r="EG49" s="29">
        <f ca="1">EI44</f>
        <v>9.74</v>
      </c>
      <c r="EV49" s="28">
        <v>38</v>
      </c>
      <c r="EW49" s="29">
        <v>5</v>
      </c>
      <c r="EX49" s="29">
        <v>5</v>
      </c>
      <c r="EY49" s="29">
        <v>4</v>
      </c>
      <c r="EZ49" s="29">
        <v>20</v>
      </c>
      <c r="FA49" s="29">
        <v>6</v>
      </c>
      <c r="FB49" s="29">
        <v>14</v>
      </c>
      <c r="FC49" s="29">
        <v>9</v>
      </c>
      <c r="FD49" s="29">
        <v>9</v>
      </c>
      <c r="FE49" s="29">
        <v>6</v>
      </c>
      <c r="FF49" s="29">
        <v>7</v>
      </c>
      <c r="FG49" s="29">
        <v>11</v>
      </c>
      <c r="FH49" s="29">
        <v>6</v>
      </c>
      <c r="FI49" s="29">
        <v>12</v>
      </c>
      <c r="FJ49" s="29">
        <v>6</v>
      </c>
      <c r="FK49" s="29">
        <v>23</v>
      </c>
      <c r="FL49" s="31">
        <v>19</v>
      </c>
      <c r="FR49" s="29">
        <v>47</v>
      </c>
      <c r="FS49" s="29" t="str">
        <v>Winnipeg</v>
      </c>
    </row>
    <row r="50" spans="44:175">
      <c r="AR50" s="28">
        <v>47</v>
      </c>
      <c r="AS50" s="29" t="str">
        <v>Montreal</v>
      </c>
      <c r="AT50" s="29" t="str">
        <v>Tampa Bay</v>
      </c>
      <c r="AU50" s="29" t="str">
        <v>Washington</v>
      </c>
      <c r="AV50" s="31" t="str">
        <v>Pittsburgh</v>
      </c>
      <c r="AW50" s="28">
        <v>47</v>
      </c>
      <c r="AX50" s="29" t="str">
        <v>St. Louis</v>
      </c>
      <c r="AY50" s="29" t="str">
        <v>Nashville</v>
      </c>
      <c r="AZ50" s="29" t="str">
        <v>Vancouver</v>
      </c>
      <c r="BA50" s="31" t="str">
        <v>Anaheim</v>
      </c>
      <c r="CL50" s="28">
        <v>47</v>
      </c>
      <c r="CM50" s="29" t="str">
        <v>Tampa Bay</v>
      </c>
      <c r="CN50" s="31" t="str">
        <v>Washington</v>
      </c>
      <c r="CO50" s="28">
        <v>47</v>
      </c>
      <c r="CP50" s="29" t="str">
        <v>Nashville</v>
      </c>
      <c r="CQ50" s="31" t="str">
        <v>Anaheim</v>
      </c>
      <c r="EB50" s="28">
        <v>47</v>
      </c>
      <c r="EC50" s="29" t="str">
        <v>Detroit</v>
      </c>
      <c r="ED50" s="31" t="str">
        <v>Winnipeg</v>
      </c>
      <c r="EF50" s="29" t="s">
        <v>196</v>
      </c>
      <c r="EG50" s="29">
        <f ca="1">EJ44</f>
        <v>13.18</v>
      </c>
      <c r="EV50" s="28">
        <v>39</v>
      </c>
      <c r="EW50" s="29">
        <v>14</v>
      </c>
      <c r="EX50" s="29">
        <v>11</v>
      </c>
      <c r="EY50" s="29">
        <v>5</v>
      </c>
      <c r="EZ50" s="29">
        <v>20</v>
      </c>
      <c r="FA50" s="29">
        <v>6</v>
      </c>
      <c r="FB50" s="29">
        <v>22</v>
      </c>
      <c r="FC50" s="29">
        <v>6</v>
      </c>
      <c r="FD50" s="29">
        <v>7</v>
      </c>
      <c r="FE50" s="29">
        <v>11</v>
      </c>
      <c r="FF50" s="29">
        <v>12</v>
      </c>
      <c r="FG50" s="29">
        <v>22</v>
      </c>
      <c r="FH50" s="29">
        <v>4</v>
      </c>
      <c r="FI50" s="29">
        <v>16</v>
      </c>
      <c r="FJ50" s="29">
        <v>5</v>
      </c>
      <c r="FK50" s="29">
        <v>5</v>
      </c>
      <c r="FL50" s="31">
        <v>4</v>
      </c>
      <c r="FR50" s="29">
        <v>48</v>
      </c>
      <c r="FS50" s="29" t="str">
        <v>Ottawa</v>
      </c>
    </row>
    <row r="51" spans="44:175">
      <c r="AR51" s="28">
        <v>48</v>
      </c>
      <c r="AS51" s="29" t="str">
        <v>Ottawa</v>
      </c>
      <c r="AT51" s="29" t="str">
        <v>Detroit</v>
      </c>
      <c r="AU51" s="29" t="str">
        <v>Washington</v>
      </c>
      <c r="AV51" s="31" t="str">
        <v>NY Rangers</v>
      </c>
      <c r="AW51" s="28">
        <v>48</v>
      </c>
      <c r="AX51" s="29" t="str">
        <v>St. Louis</v>
      </c>
      <c r="AY51" s="29" t="str">
        <v>Chicago</v>
      </c>
      <c r="AZ51" s="29" t="str">
        <v>Calgary</v>
      </c>
      <c r="BA51" s="31" t="str">
        <v>Anaheim</v>
      </c>
      <c r="CL51" s="28">
        <v>48</v>
      </c>
      <c r="CM51" s="29" t="str">
        <v>Montreal</v>
      </c>
      <c r="CN51" s="31" t="str">
        <v>NY Rangers</v>
      </c>
      <c r="CO51" s="28">
        <v>48</v>
      </c>
      <c r="CP51" s="29" t="str">
        <v>Chicago</v>
      </c>
      <c r="CQ51" s="31" t="str">
        <v>Anaheim</v>
      </c>
      <c r="EB51" s="28">
        <v>48</v>
      </c>
      <c r="EC51" s="29" t="str">
        <v>Washington</v>
      </c>
      <c r="ED51" s="31" t="str">
        <v>Minnesota</v>
      </c>
      <c r="EF51" s="29" t="s">
        <v>209</v>
      </c>
      <c r="EG51" s="29">
        <f ca="1">EK44</f>
        <v>10.06</v>
      </c>
      <c r="EV51" s="28">
        <v>40</v>
      </c>
      <c r="EW51" s="29">
        <v>4</v>
      </c>
      <c r="EX51" s="29">
        <v>7</v>
      </c>
      <c r="EY51" s="29">
        <v>18</v>
      </c>
      <c r="EZ51" s="29">
        <v>7</v>
      </c>
      <c r="FA51" s="29">
        <v>28</v>
      </c>
      <c r="FB51" s="29">
        <v>7</v>
      </c>
      <c r="FC51" s="29">
        <v>11</v>
      </c>
      <c r="FD51" s="29">
        <v>11</v>
      </c>
      <c r="FE51" s="29">
        <v>4</v>
      </c>
      <c r="FF51" s="29">
        <v>4</v>
      </c>
      <c r="FG51" s="29">
        <v>16</v>
      </c>
      <c r="FH51" s="29">
        <v>8</v>
      </c>
      <c r="FI51" s="29">
        <v>4</v>
      </c>
      <c r="FJ51" s="29">
        <v>7</v>
      </c>
      <c r="FK51" s="29">
        <v>9</v>
      </c>
      <c r="FL51" s="31">
        <v>19</v>
      </c>
      <c r="FR51" s="29">
        <v>49</v>
      </c>
      <c r="FS51" s="29" t="str">
        <v>Washington</v>
      </c>
    </row>
    <row r="52" spans="44:175">
      <c r="AR52" s="28">
        <v>49</v>
      </c>
      <c r="AS52" s="29" t="str">
        <v>Ottawa</v>
      </c>
      <c r="AT52" s="29" t="str">
        <v>Detroit</v>
      </c>
      <c r="AU52" s="29" t="str">
        <v>Washington</v>
      </c>
      <c r="AV52" s="31" t="str">
        <v>Pittsburgh</v>
      </c>
      <c r="AW52" s="28">
        <v>49</v>
      </c>
      <c r="AX52" s="29" t="str">
        <v>St. Louis</v>
      </c>
      <c r="AY52" s="29" t="str">
        <v>Chicago</v>
      </c>
      <c r="AZ52" s="29" t="str">
        <v>Calgary</v>
      </c>
      <c r="BA52" s="31" t="str">
        <v>Anaheim</v>
      </c>
      <c r="CL52" s="28">
        <v>49</v>
      </c>
      <c r="CM52" s="29" t="str">
        <v>Detroit</v>
      </c>
      <c r="CN52" s="31" t="str">
        <v>Washington</v>
      </c>
      <c r="CO52" s="28">
        <v>49</v>
      </c>
      <c r="CP52" s="29" t="str">
        <v>St. Louis</v>
      </c>
      <c r="CQ52" s="31" t="str">
        <v>Winnipeg</v>
      </c>
      <c r="EB52" s="28">
        <v>49</v>
      </c>
      <c r="EC52" s="29" t="str">
        <v>Washington</v>
      </c>
      <c r="ED52" s="31" t="str">
        <v>Minnesota</v>
      </c>
      <c r="EF52" s="29" t="s">
        <v>197</v>
      </c>
      <c r="EG52" s="29">
        <f ca="1">EL44</f>
        <v>7.68</v>
      </c>
      <c r="EV52" s="28">
        <v>41</v>
      </c>
      <c r="EW52" s="29">
        <v>12</v>
      </c>
      <c r="EX52" s="29">
        <v>5</v>
      </c>
      <c r="EY52" s="29">
        <v>4</v>
      </c>
      <c r="EZ52" s="29">
        <v>4</v>
      </c>
      <c r="FA52" s="29">
        <v>16</v>
      </c>
      <c r="FB52" s="29">
        <v>21</v>
      </c>
      <c r="FC52" s="29">
        <v>9</v>
      </c>
      <c r="FD52" s="29">
        <v>7</v>
      </c>
      <c r="FE52" s="29">
        <v>13</v>
      </c>
      <c r="FF52" s="29">
        <v>7</v>
      </c>
      <c r="FG52" s="29">
        <v>13</v>
      </c>
      <c r="FH52" s="29">
        <v>6</v>
      </c>
      <c r="FI52" s="29">
        <v>20</v>
      </c>
      <c r="FJ52" s="29">
        <v>7</v>
      </c>
      <c r="FK52" s="29">
        <v>26</v>
      </c>
      <c r="FL52" s="31">
        <v>6</v>
      </c>
      <c r="FR52" s="29">
        <v>50</v>
      </c>
      <c r="FS52" s="29" t="str">
        <v>Washington</v>
      </c>
    </row>
    <row r="53" spans="44:175">
      <c r="AR53" s="28">
        <v>50</v>
      </c>
      <c r="AS53" s="29" t="str">
        <v>Ottawa</v>
      </c>
      <c r="AT53" s="29" t="str">
        <v>Detroit</v>
      </c>
      <c r="AU53" s="29" t="str">
        <v>Washington</v>
      </c>
      <c r="AV53" s="31" t="str">
        <v>NY Rangers</v>
      </c>
      <c r="AW53" s="28">
        <v>50</v>
      </c>
      <c r="AX53" s="29" t="str">
        <v>Minnesota</v>
      </c>
      <c r="AY53" s="29" t="str">
        <v>Chicago</v>
      </c>
      <c r="AZ53" s="29" t="str">
        <v>Calgary</v>
      </c>
      <c r="BA53" s="31" t="str">
        <v>Winnipeg</v>
      </c>
      <c r="CL53" s="28">
        <v>50</v>
      </c>
      <c r="CM53" s="29" t="str">
        <v>Detroit</v>
      </c>
      <c r="CN53" s="31" t="str">
        <v>NY Islanders</v>
      </c>
      <c r="CO53" s="28">
        <v>50</v>
      </c>
      <c r="CP53" s="29" t="str">
        <v>St. Louis</v>
      </c>
      <c r="CQ53" s="31" t="str">
        <v>Winnipeg</v>
      </c>
      <c r="EB53" s="28">
        <v>50</v>
      </c>
      <c r="EC53" s="29" t="str">
        <v>NY Islanders</v>
      </c>
      <c r="ED53" s="31" t="str">
        <v>Vancouver</v>
      </c>
      <c r="EF53" s="29" t="s">
        <v>214</v>
      </c>
      <c r="EG53" s="29">
        <f ca="1">EM44</f>
        <v>10.71</v>
      </c>
      <c r="EV53" s="28">
        <v>42</v>
      </c>
      <c r="EW53" s="29">
        <v>7</v>
      </c>
      <c r="EX53" s="29">
        <v>7</v>
      </c>
      <c r="EY53" s="29">
        <v>7</v>
      </c>
      <c r="EZ53" s="29">
        <v>11</v>
      </c>
      <c r="FA53" s="29">
        <v>5</v>
      </c>
      <c r="FB53" s="29">
        <v>22</v>
      </c>
      <c r="FC53" s="29">
        <v>11</v>
      </c>
      <c r="FD53" s="29">
        <v>20</v>
      </c>
      <c r="FE53" s="29">
        <v>18</v>
      </c>
      <c r="FF53" s="29">
        <v>22</v>
      </c>
      <c r="FG53" s="29">
        <v>14</v>
      </c>
      <c r="FH53" s="29">
        <v>7</v>
      </c>
      <c r="FI53" s="29">
        <v>14</v>
      </c>
      <c r="FJ53" s="29">
        <v>7</v>
      </c>
      <c r="FK53" s="29">
        <v>6</v>
      </c>
      <c r="FL53" s="31">
        <v>6</v>
      </c>
      <c r="FR53" s="29">
        <v>51</v>
      </c>
      <c r="FS53" s="29" t="str">
        <v>Vancouver</v>
      </c>
    </row>
    <row r="54" spans="44:175">
      <c r="AR54" s="28">
        <v>51</v>
      </c>
      <c r="AS54" s="29" t="str">
        <v>Ottawa</v>
      </c>
      <c r="AT54" s="29" t="str">
        <v>Detroit</v>
      </c>
      <c r="AU54" s="29" t="str">
        <v>Washington</v>
      </c>
      <c r="AV54" s="31" t="str">
        <v>Pittsburgh</v>
      </c>
      <c r="AW54" s="28">
        <v>51</v>
      </c>
      <c r="AX54" s="29" t="str">
        <v>Minnesota</v>
      </c>
      <c r="AY54" s="29" t="str">
        <v>Chicago</v>
      </c>
      <c r="AZ54" s="29" t="str">
        <v>Vancouver</v>
      </c>
      <c r="BA54" s="31" t="str">
        <v>Anaheim</v>
      </c>
      <c r="CL54" s="28">
        <v>51</v>
      </c>
      <c r="CM54" s="29" t="str">
        <v>Detroit</v>
      </c>
      <c r="CN54" s="31" t="str">
        <v>NY Islanders</v>
      </c>
      <c r="CO54" s="28">
        <v>51</v>
      </c>
      <c r="CP54" s="29" t="str">
        <v>Minnesota</v>
      </c>
      <c r="CQ54" s="31" t="str">
        <v>Anaheim</v>
      </c>
      <c r="EB54" s="28">
        <v>51</v>
      </c>
      <c r="EC54" s="29" t="str">
        <v>NY Islanders</v>
      </c>
      <c r="ED54" s="31" t="str">
        <v>Chicago</v>
      </c>
      <c r="EF54" s="29" t="s">
        <v>211</v>
      </c>
      <c r="EG54" s="29">
        <f ca="1">EN44</f>
        <v>7.94</v>
      </c>
      <c r="EV54" s="28">
        <v>43</v>
      </c>
      <c r="EW54" s="29">
        <v>7</v>
      </c>
      <c r="EX54" s="29">
        <v>7</v>
      </c>
      <c r="EY54" s="29">
        <v>7</v>
      </c>
      <c r="EZ54" s="29">
        <v>11</v>
      </c>
      <c r="FA54" s="29">
        <v>5</v>
      </c>
      <c r="FB54" s="29">
        <v>22</v>
      </c>
      <c r="FC54" s="29">
        <v>11</v>
      </c>
      <c r="FD54" s="29">
        <v>20</v>
      </c>
      <c r="FE54" s="29">
        <v>18</v>
      </c>
      <c r="FF54" s="29">
        <v>22</v>
      </c>
      <c r="FG54" s="29">
        <v>14</v>
      </c>
      <c r="FH54" s="29">
        <v>7</v>
      </c>
      <c r="FI54" s="29">
        <v>14</v>
      </c>
      <c r="FJ54" s="29">
        <v>7</v>
      </c>
      <c r="FK54" s="29">
        <v>6</v>
      </c>
      <c r="FL54" s="31">
        <v>6</v>
      </c>
      <c r="FR54" s="29">
        <v>52</v>
      </c>
      <c r="FS54" s="29" t="str">
        <v>Vancouver</v>
      </c>
    </row>
    <row r="55" spans="44:175">
      <c r="AR55" s="28">
        <v>52</v>
      </c>
      <c r="AS55" s="29" t="str">
        <v>Ottawa</v>
      </c>
      <c r="AT55" s="29" t="str">
        <v>Detroit</v>
      </c>
      <c r="AU55" s="29" t="str">
        <v>Washington</v>
      </c>
      <c r="AV55" s="31" t="str">
        <v>NY Rangers</v>
      </c>
      <c r="AW55" s="28">
        <v>52</v>
      </c>
      <c r="AX55" s="29" t="str">
        <v>St. Louis</v>
      </c>
      <c r="AY55" s="29" t="str">
        <v>Nashville</v>
      </c>
      <c r="AZ55" s="29" t="str">
        <v>Vancouver</v>
      </c>
      <c r="BA55" s="31" t="str">
        <v>Anaheim</v>
      </c>
      <c r="CL55" s="28">
        <v>52</v>
      </c>
      <c r="CM55" s="29" t="str">
        <v>Detroit</v>
      </c>
      <c r="CN55" s="31" t="str">
        <v>NY Islanders</v>
      </c>
      <c r="CO55" s="28">
        <v>52</v>
      </c>
      <c r="CP55" s="29" t="str">
        <v>St. Louis</v>
      </c>
      <c r="CQ55" s="31" t="str">
        <v>Calgary</v>
      </c>
      <c r="EB55" s="28">
        <v>52</v>
      </c>
      <c r="EC55" s="29" t="str">
        <v>NY Islanders</v>
      </c>
      <c r="ED55" s="31" t="str">
        <v>Chicago</v>
      </c>
      <c r="EF55" s="29" t="s">
        <v>205</v>
      </c>
      <c r="EG55" s="29">
        <f ca="1">EO44</f>
        <v>14.85</v>
      </c>
      <c r="EV55" s="28">
        <v>44</v>
      </c>
      <c r="EW55" s="29">
        <v>4</v>
      </c>
      <c r="EX55" s="29">
        <v>8</v>
      </c>
      <c r="EY55" s="29">
        <v>23</v>
      </c>
      <c r="EZ55" s="29">
        <v>6</v>
      </c>
      <c r="FA55" s="29">
        <v>20</v>
      </c>
      <c r="FB55" s="29">
        <v>5</v>
      </c>
      <c r="FC55" s="29">
        <v>4</v>
      </c>
      <c r="FD55" s="29">
        <v>11</v>
      </c>
      <c r="FE55" s="29">
        <v>7</v>
      </c>
      <c r="FF55" s="29">
        <v>5</v>
      </c>
      <c r="FG55" s="29">
        <v>11</v>
      </c>
      <c r="FH55" s="29">
        <v>4</v>
      </c>
      <c r="FI55" s="29">
        <v>20</v>
      </c>
      <c r="FJ55" s="29">
        <v>6</v>
      </c>
      <c r="FK55" s="29">
        <v>14</v>
      </c>
      <c r="FL55" s="31">
        <v>12</v>
      </c>
      <c r="FR55" s="29">
        <v>53</v>
      </c>
      <c r="FS55" s="29" t="str">
        <v>Chicago</v>
      </c>
    </row>
    <row r="56" spans="44:175">
      <c r="AR56" s="28">
        <v>53</v>
      </c>
      <c r="AS56" s="29" t="str">
        <v>Montreal</v>
      </c>
      <c r="AT56" s="29" t="str">
        <v>Tampa Bay</v>
      </c>
      <c r="AU56" s="29" t="str">
        <v>NY Islanders</v>
      </c>
      <c r="AV56" s="31" t="str">
        <v>Pittsburgh</v>
      </c>
      <c r="AW56" s="28">
        <v>53</v>
      </c>
      <c r="AX56" s="29" t="str">
        <v>Minnesota</v>
      </c>
      <c r="AY56" s="29" t="str">
        <v>Chicago</v>
      </c>
      <c r="AZ56" s="29" t="str">
        <v>Vancouver</v>
      </c>
      <c r="BA56" s="31" t="str">
        <v>Anaheim</v>
      </c>
      <c r="CL56" s="28">
        <v>53</v>
      </c>
      <c r="CM56" s="29" t="str">
        <v>Detroit</v>
      </c>
      <c r="CN56" s="31" t="str">
        <v>NY Islanders</v>
      </c>
      <c r="CO56" s="28">
        <v>53</v>
      </c>
      <c r="CP56" s="29" t="str">
        <v>Minnesota</v>
      </c>
      <c r="CQ56" s="31" t="str">
        <v>Anaheim</v>
      </c>
      <c r="EB56" s="28">
        <v>53</v>
      </c>
      <c r="EC56" s="29" t="str">
        <v>Detroit</v>
      </c>
      <c r="ED56" s="31" t="str">
        <v>Winnipeg</v>
      </c>
      <c r="EF56" s="29" t="s">
        <v>200</v>
      </c>
      <c r="EG56" s="29">
        <f ca="1">EP44</f>
        <v>10.87</v>
      </c>
      <c r="EV56" s="28">
        <v>45</v>
      </c>
      <c r="EW56" s="29">
        <v>6</v>
      </c>
      <c r="EX56" s="29">
        <v>5</v>
      </c>
      <c r="EY56" s="29">
        <v>22</v>
      </c>
      <c r="EZ56" s="29">
        <v>4</v>
      </c>
      <c r="FA56" s="29">
        <v>18</v>
      </c>
      <c r="FB56" s="29">
        <v>4</v>
      </c>
      <c r="FC56" s="29">
        <v>9</v>
      </c>
      <c r="FD56" s="29">
        <v>13</v>
      </c>
      <c r="FE56" s="29">
        <v>5</v>
      </c>
      <c r="FF56" s="29">
        <v>17</v>
      </c>
      <c r="FG56" s="29">
        <v>13</v>
      </c>
      <c r="FH56" s="29">
        <v>25</v>
      </c>
      <c r="FI56" s="29">
        <v>7</v>
      </c>
      <c r="FJ56" s="29">
        <v>7</v>
      </c>
      <c r="FK56" s="29">
        <v>6</v>
      </c>
      <c r="FL56" s="31">
        <v>11</v>
      </c>
      <c r="FR56" s="29">
        <v>54</v>
      </c>
      <c r="FS56" s="29" t="str">
        <v>Washington</v>
      </c>
    </row>
    <row r="57" spans="44:175">
      <c r="AR57" s="28">
        <v>54</v>
      </c>
      <c r="AS57" s="29" t="str">
        <v>Ottawa</v>
      </c>
      <c r="AT57" s="29" t="str">
        <v>Detroit</v>
      </c>
      <c r="AU57" s="29" t="str">
        <v>NY Islanders</v>
      </c>
      <c r="AV57" s="31" t="str">
        <v>Pittsburgh</v>
      </c>
      <c r="AW57" s="28">
        <v>54</v>
      </c>
      <c r="AX57" s="29" t="str">
        <v>St. Louis</v>
      </c>
      <c r="AY57" s="29" t="str">
        <v>Chicago</v>
      </c>
      <c r="AZ57" s="29" t="str">
        <v>Vancouver</v>
      </c>
      <c r="BA57" s="31" t="str">
        <v>Anaheim</v>
      </c>
      <c r="CL57" s="28">
        <v>54</v>
      </c>
      <c r="CM57" s="29" t="str">
        <v>Detroit</v>
      </c>
      <c r="CN57" s="31" t="str">
        <v>NY Islanders</v>
      </c>
      <c r="CO57" s="28">
        <v>54</v>
      </c>
      <c r="CP57" s="29" t="str">
        <v>Minnesota</v>
      </c>
      <c r="CQ57" s="31" t="str">
        <v>Calgary</v>
      </c>
      <c r="EB57" s="28">
        <v>54</v>
      </c>
      <c r="EC57" s="29" t="str">
        <v>Washington</v>
      </c>
      <c r="ED57" s="31" t="str">
        <v>Anaheim</v>
      </c>
      <c r="EF57" s="29" t="s">
        <v>206</v>
      </c>
      <c r="EG57" s="29">
        <f ca="1">EQ44</f>
        <v>10.35</v>
      </c>
      <c r="EV57" s="28">
        <v>46</v>
      </c>
      <c r="EW57" s="29">
        <v>20</v>
      </c>
      <c r="EX57" s="29">
        <v>11</v>
      </c>
      <c r="EY57" s="29">
        <v>14</v>
      </c>
      <c r="EZ57" s="29">
        <v>6</v>
      </c>
      <c r="FA57" s="29">
        <v>12</v>
      </c>
      <c r="FB57" s="29">
        <v>4</v>
      </c>
      <c r="FC57" s="29">
        <v>6</v>
      </c>
      <c r="FD57" s="29">
        <v>5</v>
      </c>
      <c r="FE57" s="29">
        <v>6</v>
      </c>
      <c r="FF57" s="29">
        <v>17</v>
      </c>
      <c r="FG57" s="29">
        <v>6</v>
      </c>
      <c r="FH57" s="29">
        <v>22</v>
      </c>
      <c r="FI57" s="29">
        <v>7</v>
      </c>
      <c r="FJ57" s="29">
        <v>13</v>
      </c>
      <c r="FK57" s="29">
        <v>4</v>
      </c>
      <c r="FL57" s="31">
        <v>11</v>
      </c>
      <c r="FR57" s="29">
        <v>55</v>
      </c>
      <c r="FS57" s="29" t="str">
        <v>St. Louis</v>
      </c>
    </row>
    <row r="58" spans="44:175">
      <c r="AR58" s="28">
        <v>55</v>
      </c>
      <c r="AS58" s="29" t="str">
        <v>Montreal</v>
      </c>
      <c r="AT58" s="29" t="str">
        <v>Tampa Bay</v>
      </c>
      <c r="AU58" s="29" t="str">
        <v>Washington</v>
      </c>
      <c r="AV58" s="31" t="str">
        <v>Pittsburgh</v>
      </c>
      <c r="AW58" s="28">
        <v>55</v>
      </c>
      <c r="AX58" s="29" t="str">
        <v>Minnesota</v>
      </c>
      <c r="AY58" s="29" t="str">
        <v>Nashville</v>
      </c>
      <c r="AZ58" s="29" t="str">
        <v>Vancouver</v>
      </c>
      <c r="BA58" s="31" t="str">
        <v>Winnipeg</v>
      </c>
      <c r="CL58" s="28">
        <v>55</v>
      </c>
      <c r="CM58" s="29" t="str">
        <v>Montreal</v>
      </c>
      <c r="CN58" s="31" t="str">
        <v>NY Islanders</v>
      </c>
      <c r="CO58" s="28">
        <v>55</v>
      </c>
      <c r="CP58" s="29" t="str">
        <v>Minnesota</v>
      </c>
      <c r="CQ58" s="31" t="str">
        <v>Calgary</v>
      </c>
      <c r="EB58" s="28">
        <v>55</v>
      </c>
      <c r="EC58" s="29" t="str">
        <v>Washington</v>
      </c>
      <c r="ED58" s="31" t="str">
        <v>Anaheim</v>
      </c>
      <c r="EF58" s="29" t="s">
        <v>208</v>
      </c>
      <c r="EG58" s="29">
        <f ca="1">ER44</f>
        <v>13.23</v>
      </c>
      <c r="EV58" s="28">
        <v>47</v>
      </c>
      <c r="EW58" s="29">
        <v>6</v>
      </c>
      <c r="EX58" s="29">
        <v>10</v>
      </c>
      <c r="EY58" s="29">
        <v>20</v>
      </c>
      <c r="EZ58" s="29">
        <v>17</v>
      </c>
      <c r="FA58" s="29">
        <v>7</v>
      </c>
      <c r="FB58" s="29">
        <v>4</v>
      </c>
      <c r="FC58" s="29">
        <v>5</v>
      </c>
      <c r="FD58" s="29">
        <v>11</v>
      </c>
      <c r="FE58" s="29">
        <v>7</v>
      </c>
      <c r="FF58" s="29">
        <v>14</v>
      </c>
      <c r="FG58" s="29">
        <v>10</v>
      </c>
      <c r="FH58" s="29">
        <v>22</v>
      </c>
      <c r="FI58" s="29">
        <v>6</v>
      </c>
      <c r="FJ58" s="29">
        <v>5</v>
      </c>
      <c r="FK58" s="29">
        <v>4</v>
      </c>
      <c r="FL58" s="31">
        <v>12</v>
      </c>
      <c r="FR58" s="29">
        <v>56</v>
      </c>
      <c r="FS58" s="29" t="str">
        <v>St. Louis</v>
      </c>
    </row>
    <row r="59" spans="44:175">
      <c r="AR59" s="28">
        <v>56</v>
      </c>
      <c r="AS59" s="29" t="str">
        <v>Montreal</v>
      </c>
      <c r="AT59" s="29" t="str">
        <v>Tampa Bay</v>
      </c>
      <c r="AU59" s="29" t="str">
        <v>Washington</v>
      </c>
      <c r="AV59" s="31" t="str">
        <v>Pittsburgh</v>
      </c>
      <c r="AW59" s="28">
        <v>56</v>
      </c>
      <c r="AX59" s="29" t="str">
        <v>Minnesota</v>
      </c>
      <c r="AY59" s="29" t="str">
        <v>Nashville</v>
      </c>
      <c r="AZ59" s="29" t="str">
        <v>Vancouver</v>
      </c>
      <c r="BA59" s="31" t="str">
        <v>Winnipeg</v>
      </c>
      <c r="CL59" s="28">
        <v>56</v>
      </c>
      <c r="CM59" s="29" t="str">
        <v>Montreal</v>
      </c>
      <c r="CN59" s="31" t="str">
        <v>NY Islanders</v>
      </c>
      <c r="CO59" s="28">
        <v>56</v>
      </c>
      <c r="CP59" s="29" t="str">
        <v>Nashville</v>
      </c>
      <c r="CQ59" s="31" t="str">
        <v>Winnipeg</v>
      </c>
      <c r="EB59" s="28">
        <v>56</v>
      </c>
      <c r="EC59" s="29" t="str">
        <v>Washington</v>
      </c>
      <c r="ED59" s="31" t="str">
        <v>Vancouver</v>
      </c>
      <c r="EF59" s="29" t="s">
        <v>202</v>
      </c>
      <c r="EG59" s="29">
        <f ca="1">ES44</f>
        <v>9.14</v>
      </c>
      <c r="EV59" s="28">
        <v>48</v>
      </c>
      <c r="EW59" s="29">
        <v>6</v>
      </c>
      <c r="EX59" s="29">
        <v>10</v>
      </c>
      <c r="EY59" s="29">
        <v>20</v>
      </c>
      <c r="EZ59" s="29">
        <v>17</v>
      </c>
      <c r="FA59" s="29">
        <v>7</v>
      </c>
      <c r="FB59" s="29">
        <v>4</v>
      </c>
      <c r="FC59" s="29">
        <v>5</v>
      </c>
      <c r="FD59" s="29">
        <v>11</v>
      </c>
      <c r="FE59" s="29">
        <v>7</v>
      </c>
      <c r="FF59" s="29">
        <v>14</v>
      </c>
      <c r="FG59" s="29">
        <v>10</v>
      </c>
      <c r="FH59" s="29">
        <v>22</v>
      </c>
      <c r="FI59" s="29">
        <v>6</v>
      </c>
      <c r="FJ59" s="29">
        <v>5</v>
      </c>
      <c r="FK59" s="29">
        <v>4</v>
      </c>
      <c r="FL59" s="31">
        <v>12</v>
      </c>
      <c r="FR59" s="29">
        <v>57</v>
      </c>
      <c r="FS59" s="29" t="str">
        <v>St. Louis</v>
      </c>
    </row>
    <row r="60" spans="44:175">
      <c r="AR60" s="28">
        <v>57</v>
      </c>
      <c r="AS60" s="29" t="str">
        <v>Montreal</v>
      </c>
      <c r="AT60" s="29" t="str">
        <v>Detroit</v>
      </c>
      <c r="AU60" s="29" t="str">
        <v>Washington</v>
      </c>
      <c r="AV60" s="31" t="str">
        <v>NY Rangers</v>
      </c>
      <c r="AW60" s="28">
        <v>57</v>
      </c>
      <c r="AX60" s="29" t="str">
        <v>Minnesota</v>
      </c>
      <c r="AY60" s="29" t="str">
        <v>Chicago</v>
      </c>
      <c r="AZ60" s="29" t="str">
        <v>Vancouver</v>
      </c>
      <c r="BA60" s="31" t="str">
        <v>Anaheim</v>
      </c>
      <c r="CL60" s="28">
        <v>57</v>
      </c>
      <c r="CM60" s="29" t="str">
        <v>Detroit</v>
      </c>
      <c r="CN60" s="31" t="str">
        <v>Washington</v>
      </c>
      <c r="CO60" s="28">
        <v>57</v>
      </c>
      <c r="CP60" s="29" t="str">
        <v>Nashville</v>
      </c>
      <c r="CQ60" s="31" t="str">
        <v>Vancouver</v>
      </c>
      <c r="EB60" s="28">
        <v>57</v>
      </c>
      <c r="EC60" s="29" t="str">
        <v>Washington</v>
      </c>
      <c r="ED60" s="31" t="str">
        <v>Vancouver</v>
      </c>
      <c r="EF60" s="29" t="s">
        <v>210</v>
      </c>
      <c r="EG60" s="29">
        <f ca="1">ET44</f>
        <v>8.94</v>
      </c>
      <c r="EV60" s="28">
        <v>49</v>
      </c>
      <c r="EW60" s="29">
        <v>13</v>
      </c>
      <c r="EX60" s="29">
        <v>12</v>
      </c>
      <c r="EY60" s="29">
        <v>23</v>
      </c>
      <c r="EZ60" s="29">
        <v>21</v>
      </c>
      <c r="FA60" s="29">
        <v>7</v>
      </c>
      <c r="FB60" s="29">
        <v>5</v>
      </c>
      <c r="FC60" s="29">
        <v>7</v>
      </c>
      <c r="FD60" s="29">
        <v>6</v>
      </c>
      <c r="FE60" s="29">
        <v>6</v>
      </c>
      <c r="FF60" s="29">
        <v>26</v>
      </c>
      <c r="FG60" s="29">
        <v>11</v>
      </c>
      <c r="FH60" s="29">
        <v>18</v>
      </c>
      <c r="FI60" s="29">
        <v>6</v>
      </c>
      <c r="FJ60" s="29">
        <v>5</v>
      </c>
      <c r="FK60" s="29">
        <v>7</v>
      </c>
      <c r="FL60" s="31">
        <v>11</v>
      </c>
      <c r="FR60" s="29">
        <v>58</v>
      </c>
      <c r="FS60" s="29" t="str">
        <v>St. Louis</v>
      </c>
    </row>
    <row r="61" spans="44:175">
      <c r="AR61" s="28">
        <v>58</v>
      </c>
      <c r="AS61" s="29" t="str">
        <v>Ottawa</v>
      </c>
      <c r="AT61" s="29" t="str">
        <v>Detroit</v>
      </c>
      <c r="AU61" s="29" t="str">
        <v>Washington</v>
      </c>
      <c r="AV61" s="31" t="str">
        <v>NY Rangers</v>
      </c>
      <c r="AW61" s="28">
        <v>58</v>
      </c>
      <c r="AX61" s="29" t="str">
        <v>Minnesota</v>
      </c>
      <c r="AY61" s="29" t="str">
        <v>Nashville</v>
      </c>
      <c r="AZ61" s="29" t="str">
        <v>Vancouver</v>
      </c>
      <c r="BA61" s="31" t="str">
        <v>Winnipeg</v>
      </c>
      <c r="CL61" s="28">
        <v>58</v>
      </c>
      <c r="CM61" s="29" t="str">
        <v>Detroit</v>
      </c>
      <c r="CN61" s="31" t="str">
        <v>NY Islanders</v>
      </c>
      <c r="CO61" s="28">
        <v>58</v>
      </c>
      <c r="CP61" s="29" t="str">
        <v>Nashville</v>
      </c>
      <c r="CQ61" s="31" t="str">
        <v>Calgary</v>
      </c>
      <c r="EB61" s="28">
        <v>58</v>
      </c>
      <c r="EC61" s="29" t="str">
        <v>Washington</v>
      </c>
      <c r="ED61" s="31" t="str">
        <v>Vancouver</v>
      </c>
      <c r="EF61" s="29" t="s">
        <v>212</v>
      </c>
      <c r="EG61" s="29">
        <f ca="1">EU44</f>
        <v>11.71</v>
      </c>
      <c r="EV61" s="28">
        <v>50</v>
      </c>
      <c r="EW61" s="29">
        <v>11</v>
      </c>
      <c r="EX61" s="29">
        <v>12</v>
      </c>
      <c r="EY61" s="29">
        <v>21</v>
      </c>
      <c r="EZ61" s="29">
        <v>7</v>
      </c>
      <c r="FA61" s="29">
        <v>21</v>
      </c>
      <c r="FB61" s="29">
        <v>4</v>
      </c>
      <c r="FC61" s="29">
        <v>6</v>
      </c>
      <c r="FD61" s="29">
        <v>4</v>
      </c>
      <c r="FE61" s="29">
        <v>7</v>
      </c>
      <c r="FF61" s="29">
        <v>21</v>
      </c>
      <c r="FG61" s="29">
        <v>10</v>
      </c>
      <c r="FH61" s="29">
        <v>19</v>
      </c>
      <c r="FI61" s="29">
        <v>6</v>
      </c>
      <c r="FJ61" s="29">
        <v>5</v>
      </c>
      <c r="FK61" s="29">
        <v>5</v>
      </c>
      <c r="FL61" s="31">
        <v>13</v>
      </c>
      <c r="FR61" s="29">
        <v>59</v>
      </c>
      <c r="FS61" s="29" t="str">
        <v>Nashville</v>
      </c>
    </row>
    <row r="62" spans="44:175">
      <c r="AR62" s="28">
        <v>59</v>
      </c>
      <c r="AS62" s="29" t="str">
        <v>Ottawa</v>
      </c>
      <c r="AT62" s="29" t="str">
        <v>Tampa Bay</v>
      </c>
      <c r="AU62" s="29" t="str">
        <v>Washington</v>
      </c>
      <c r="AV62" s="31" t="str">
        <v>Pittsburgh</v>
      </c>
      <c r="AW62" s="28">
        <v>59</v>
      </c>
      <c r="AX62" s="29" t="str">
        <v>Minnesota</v>
      </c>
      <c r="AY62" s="29" t="str">
        <v>Chicago</v>
      </c>
      <c r="AZ62" s="29" t="str">
        <v>Calgary</v>
      </c>
      <c r="BA62" s="31" t="str">
        <v>Winnipeg</v>
      </c>
      <c r="CL62" s="28">
        <v>59</v>
      </c>
      <c r="CM62" s="29" t="str">
        <v>Detroit</v>
      </c>
      <c r="CN62" s="31" t="str">
        <v>Washington</v>
      </c>
      <c r="CO62" s="28">
        <v>59</v>
      </c>
      <c r="CP62" s="29" t="str">
        <v>Nashville</v>
      </c>
      <c r="CQ62" s="31" t="str">
        <v>Winnipeg</v>
      </c>
      <c r="EB62" s="28">
        <v>59</v>
      </c>
      <c r="EC62" s="29" t="str">
        <v>Washington</v>
      </c>
      <c r="ED62" s="31" t="str">
        <v>Winnipeg</v>
      </c>
      <c r="EV62" s="28">
        <v>51</v>
      </c>
      <c r="EW62" s="29">
        <v>5</v>
      </c>
      <c r="EX62" s="29">
        <v>5</v>
      </c>
      <c r="EY62" s="29">
        <v>22</v>
      </c>
      <c r="EZ62" s="29">
        <v>6</v>
      </c>
      <c r="FA62" s="29">
        <v>19</v>
      </c>
      <c r="FB62" s="29">
        <v>6</v>
      </c>
      <c r="FC62" s="29">
        <v>9</v>
      </c>
      <c r="FD62" s="29">
        <v>11</v>
      </c>
      <c r="FE62" s="29">
        <v>7</v>
      </c>
      <c r="FF62" s="29">
        <v>24</v>
      </c>
      <c r="FG62" s="29">
        <v>10</v>
      </c>
      <c r="FH62" s="29">
        <v>13</v>
      </c>
      <c r="FI62" s="29">
        <v>6</v>
      </c>
      <c r="FJ62" s="29">
        <v>5</v>
      </c>
      <c r="FK62" s="29">
        <v>7</v>
      </c>
      <c r="FL62" s="31">
        <v>21</v>
      </c>
      <c r="FR62" s="29">
        <v>60</v>
      </c>
      <c r="FS62" s="29" t="str">
        <v>NY Islanders</v>
      </c>
    </row>
    <row r="63" spans="44:175">
      <c r="AR63" s="28">
        <v>60</v>
      </c>
      <c r="AS63" s="29" t="str">
        <v>Ottawa</v>
      </c>
      <c r="AT63" s="29" t="str">
        <v>Detroit</v>
      </c>
      <c r="AU63" s="29" t="str">
        <v>NY Islanders</v>
      </c>
      <c r="AV63" s="31" t="str">
        <v>Pittsburgh</v>
      </c>
      <c r="AW63" s="28">
        <v>60</v>
      </c>
      <c r="AX63" s="29" t="str">
        <v>Minnesota</v>
      </c>
      <c r="AY63" s="29" t="str">
        <v>Chicago</v>
      </c>
      <c r="AZ63" s="29" t="str">
        <v>Calgary</v>
      </c>
      <c r="BA63" s="31" t="str">
        <v>Anaheim</v>
      </c>
      <c r="CL63" s="28">
        <v>60</v>
      </c>
      <c r="CM63" s="29" t="str">
        <v>Ottawa</v>
      </c>
      <c r="CN63" s="31" t="str">
        <v>Washington</v>
      </c>
      <c r="CO63" s="28">
        <v>60</v>
      </c>
      <c r="CP63" s="29" t="str">
        <v>St. Louis</v>
      </c>
      <c r="CQ63" s="31" t="str">
        <v>Vancouver</v>
      </c>
      <c r="EB63" s="28">
        <v>60</v>
      </c>
      <c r="EC63" s="29" t="str">
        <v>Washington</v>
      </c>
      <c r="ED63" s="31" t="str">
        <v>Winnipeg</v>
      </c>
      <c r="EV63" s="28">
        <v>52</v>
      </c>
      <c r="EW63" s="29">
        <v>6</v>
      </c>
      <c r="EX63" s="29">
        <v>11</v>
      </c>
      <c r="EY63" s="29">
        <v>22</v>
      </c>
      <c r="EZ63" s="29">
        <v>7</v>
      </c>
      <c r="FA63" s="29">
        <v>21</v>
      </c>
      <c r="FB63" s="29">
        <v>5</v>
      </c>
      <c r="FC63" s="29">
        <v>7</v>
      </c>
      <c r="FD63" s="29">
        <v>13</v>
      </c>
      <c r="FE63" s="29">
        <v>6</v>
      </c>
      <c r="FF63" s="29">
        <v>12</v>
      </c>
      <c r="FG63" s="29">
        <v>5</v>
      </c>
      <c r="FH63" s="29">
        <v>6</v>
      </c>
      <c r="FI63" s="29">
        <v>18</v>
      </c>
      <c r="FJ63" s="29">
        <v>24</v>
      </c>
      <c r="FK63" s="29">
        <v>6</v>
      </c>
      <c r="FL63" s="31">
        <v>11</v>
      </c>
      <c r="FR63" s="29">
        <v>61</v>
      </c>
      <c r="FS63" s="29" t="str">
        <v>Anaheim</v>
      </c>
    </row>
    <row r="64" spans="44:175">
      <c r="AR64" s="28">
        <v>61</v>
      </c>
      <c r="AS64" s="29" t="str">
        <v>Ottawa</v>
      </c>
      <c r="AT64" s="29" t="str">
        <v>Detroit</v>
      </c>
      <c r="AU64" s="29" t="str">
        <v>Washington</v>
      </c>
      <c r="AV64" s="31" t="str">
        <v>Pittsburgh</v>
      </c>
      <c r="AW64" s="28">
        <v>61</v>
      </c>
      <c r="AX64" s="29" t="str">
        <v>St. Louis</v>
      </c>
      <c r="AY64" s="29" t="str">
        <v>Chicago</v>
      </c>
      <c r="AZ64" s="29" t="str">
        <v>Vancouver</v>
      </c>
      <c r="BA64" s="31" t="str">
        <v>Anaheim</v>
      </c>
      <c r="CL64" s="28">
        <v>61</v>
      </c>
      <c r="CM64" s="29" t="str">
        <v>Ottawa</v>
      </c>
      <c r="CN64" s="31" t="str">
        <v>Washington</v>
      </c>
      <c r="CO64" s="28">
        <v>61</v>
      </c>
      <c r="CP64" s="29" t="str">
        <v>St. Louis</v>
      </c>
      <c r="CQ64" s="31" t="str">
        <v>Anaheim</v>
      </c>
      <c r="EB64" s="28">
        <v>61</v>
      </c>
      <c r="EC64" s="29" t="str">
        <v>Washington</v>
      </c>
      <c r="ED64" s="31" t="str">
        <v>Winnipeg</v>
      </c>
      <c r="EV64" s="28">
        <v>53</v>
      </c>
      <c r="EW64" s="29">
        <v>6</v>
      </c>
      <c r="EX64" s="29">
        <v>11</v>
      </c>
      <c r="EY64" s="29">
        <v>22</v>
      </c>
      <c r="EZ64" s="29">
        <v>7</v>
      </c>
      <c r="FA64" s="29">
        <v>21</v>
      </c>
      <c r="FB64" s="29">
        <v>5</v>
      </c>
      <c r="FC64" s="29">
        <v>7</v>
      </c>
      <c r="FD64" s="29">
        <v>13</v>
      </c>
      <c r="FE64" s="29">
        <v>6</v>
      </c>
      <c r="FF64" s="29">
        <v>12</v>
      </c>
      <c r="FG64" s="29">
        <v>5</v>
      </c>
      <c r="FH64" s="29">
        <v>6</v>
      </c>
      <c r="FI64" s="29">
        <v>18</v>
      </c>
      <c r="FJ64" s="29">
        <v>24</v>
      </c>
      <c r="FK64" s="29">
        <v>6</v>
      </c>
      <c r="FL64" s="31">
        <v>11</v>
      </c>
      <c r="FR64" s="29">
        <v>62</v>
      </c>
      <c r="FS64" s="29" t="str">
        <v>Anaheim</v>
      </c>
    </row>
    <row r="65" spans="44:175">
      <c r="AR65" s="28">
        <v>62</v>
      </c>
      <c r="AS65" s="29" t="str">
        <v>Ottawa</v>
      </c>
      <c r="AT65" s="29" t="str">
        <v>Tampa Bay</v>
      </c>
      <c r="AU65" s="29" t="str">
        <v>NY Islanders</v>
      </c>
      <c r="AV65" s="31" t="str">
        <v>Pittsburgh</v>
      </c>
      <c r="AW65" s="28">
        <v>62</v>
      </c>
      <c r="AX65" s="29" t="str">
        <v>St. Louis</v>
      </c>
      <c r="AY65" s="29" t="str">
        <v>Nashville</v>
      </c>
      <c r="AZ65" s="29" t="str">
        <v>Vancouver</v>
      </c>
      <c r="BA65" s="31" t="str">
        <v>Anaheim</v>
      </c>
      <c r="CL65" s="28">
        <v>62</v>
      </c>
      <c r="CM65" s="29" t="str">
        <v>Tampa Bay</v>
      </c>
      <c r="CN65" s="31" t="str">
        <v>NY Islanders</v>
      </c>
      <c r="CO65" s="28">
        <v>62</v>
      </c>
      <c r="CP65" s="29" t="str">
        <v>Nashville</v>
      </c>
      <c r="CQ65" s="31" t="str">
        <v>Calgary</v>
      </c>
      <c r="EB65" s="28">
        <v>62</v>
      </c>
      <c r="EC65" s="29" t="str">
        <v>Detroit</v>
      </c>
      <c r="ED65" s="31" t="str">
        <v>Winnipeg</v>
      </c>
      <c r="EV65" s="28">
        <v>54</v>
      </c>
      <c r="EW65" s="29">
        <v>27</v>
      </c>
      <c r="EX65" s="29">
        <v>5</v>
      </c>
      <c r="EY65" s="29">
        <v>15</v>
      </c>
      <c r="EZ65" s="29">
        <v>7</v>
      </c>
      <c r="FA65" s="29">
        <v>14</v>
      </c>
      <c r="FB65" s="29">
        <v>5</v>
      </c>
      <c r="FC65" s="29">
        <v>9</v>
      </c>
      <c r="FD65" s="29">
        <v>7</v>
      </c>
      <c r="FE65" s="29">
        <v>5</v>
      </c>
      <c r="FF65" s="29">
        <v>17</v>
      </c>
      <c r="FG65" s="29">
        <v>11</v>
      </c>
      <c r="FH65" s="29">
        <v>7</v>
      </c>
      <c r="FI65" s="29">
        <v>27</v>
      </c>
      <c r="FJ65" s="29">
        <v>7</v>
      </c>
      <c r="FK65" s="29">
        <v>7</v>
      </c>
      <c r="FL65" s="31">
        <v>12</v>
      </c>
      <c r="FR65" s="29">
        <v>63</v>
      </c>
      <c r="FS65" s="29" t="str">
        <v>Washington</v>
      </c>
    </row>
    <row r="66" spans="44:175">
      <c r="AR66" s="28">
        <v>63</v>
      </c>
      <c r="AS66" s="29" t="str">
        <v>Ottawa</v>
      </c>
      <c r="AT66" s="29" t="str">
        <v>Detroit</v>
      </c>
      <c r="AU66" s="29" t="str">
        <v>NY Islanders</v>
      </c>
      <c r="AV66" s="31" t="str">
        <v>Pittsburgh</v>
      </c>
      <c r="AW66" s="28">
        <v>63</v>
      </c>
      <c r="AX66" s="29" t="str">
        <v>Minnesota</v>
      </c>
      <c r="AY66" s="29" t="str">
        <v>Chicago</v>
      </c>
      <c r="AZ66" s="29" t="str">
        <v>Vancouver</v>
      </c>
      <c r="BA66" s="31" t="str">
        <v>Anaheim</v>
      </c>
      <c r="CL66" s="28">
        <v>63</v>
      </c>
      <c r="CM66" s="29" t="str">
        <v>Detroit</v>
      </c>
      <c r="CN66" s="31" t="str">
        <v>Washington</v>
      </c>
      <c r="CO66" s="28">
        <v>63</v>
      </c>
      <c r="CP66" s="29" t="str">
        <v>Minnesota</v>
      </c>
      <c r="CQ66" s="31" t="str">
        <v>Winnipeg</v>
      </c>
      <c r="EB66" s="28">
        <v>63</v>
      </c>
      <c r="EC66" s="29" t="str">
        <v>Washington</v>
      </c>
      <c r="ED66" s="31" t="str">
        <v>Chicago</v>
      </c>
      <c r="EV66" s="28">
        <v>55</v>
      </c>
      <c r="EW66" s="29">
        <v>5</v>
      </c>
      <c r="EX66" s="29">
        <v>11</v>
      </c>
      <c r="EY66" s="29">
        <v>6</v>
      </c>
      <c r="EZ66" s="29">
        <v>24</v>
      </c>
      <c r="FA66" s="29">
        <v>6</v>
      </c>
      <c r="FB66" s="29">
        <v>17</v>
      </c>
      <c r="FC66" s="29">
        <v>6</v>
      </c>
      <c r="FD66" s="29">
        <v>10</v>
      </c>
      <c r="FE66" s="29">
        <v>7</v>
      </c>
      <c r="FF66" s="29">
        <v>11</v>
      </c>
      <c r="FG66" s="29">
        <v>5</v>
      </c>
      <c r="FH66" s="29">
        <v>6</v>
      </c>
      <c r="FI66" s="29">
        <v>10</v>
      </c>
      <c r="FJ66" s="29">
        <v>23</v>
      </c>
      <c r="FK66" s="29">
        <v>5</v>
      </c>
      <c r="FL66" s="31">
        <v>16</v>
      </c>
      <c r="FR66" s="29">
        <v>64</v>
      </c>
      <c r="FS66" s="29" t="str">
        <v>Washington</v>
      </c>
    </row>
    <row r="67" spans="44:175">
      <c r="AR67" s="28">
        <v>64</v>
      </c>
      <c r="AS67" s="29" t="str">
        <v>Ottawa</v>
      </c>
      <c r="AT67" s="29" t="str">
        <v>Detroit</v>
      </c>
      <c r="AU67" s="29" t="str">
        <v>Washington</v>
      </c>
      <c r="AV67" s="31" t="str">
        <v>Pittsburgh</v>
      </c>
      <c r="AW67" s="28">
        <v>64</v>
      </c>
      <c r="AX67" s="29" t="str">
        <v>St. Louis</v>
      </c>
      <c r="AY67" s="29" t="str">
        <v>Nashville</v>
      </c>
      <c r="AZ67" s="29" t="str">
        <v>Vancouver</v>
      </c>
      <c r="BA67" s="31" t="str">
        <v>Anaheim</v>
      </c>
      <c r="CL67" s="28">
        <v>64</v>
      </c>
      <c r="CM67" s="29" t="str">
        <v>Detroit</v>
      </c>
      <c r="CN67" s="31" t="str">
        <v>NY Islanders</v>
      </c>
      <c r="CO67" s="28">
        <v>64</v>
      </c>
      <c r="CP67" s="29" t="str">
        <v>St. Louis</v>
      </c>
      <c r="CQ67" s="31" t="str">
        <v>Anaheim</v>
      </c>
      <c r="EB67" s="28">
        <v>64</v>
      </c>
      <c r="EC67" s="29" t="str">
        <v>Detroit</v>
      </c>
      <c r="ED67" s="31" t="str">
        <v>Nashville</v>
      </c>
      <c r="EV67" s="28">
        <v>56</v>
      </c>
      <c r="EW67" s="29">
        <v>6</v>
      </c>
      <c r="EX67" s="29">
        <v>10</v>
      </c>
      <c r="EY67" s="29">
        <v>7</v>
      </c>
      <c r="EZ67" s="29">
        <v>13</v>
      </c>
      <c r="FA67" s="29">
        <v>7</v>
      </c>
      <c r="FB67" s="29">
        <v>18</v>
      </c>
      <c r="FC67" s="29">
        <v>6</v>
      </c>
      <c r="FD67" s="29">
        <v>23</v>
      </c>
      <c r="FE67" s="29">
        <v>4</v>
      </c>
      <c r="FF67" s="29">
        <v>18</v>
      </c>
      <c r="FG67" s="29">
        <v>11</v>
      </c>
      <c r="FH67" s="29">
        <v>7</v>
      </c>
      <c r="FI67" s="29">
        <v>18</v>
      </c>
      <c r="FJ67" s="29">
        <v>5</v>
      </c>
      <c r="FK67" s="29">
        <v>4</v>
      </c>
      <c r="FL67" s="31">
        <v>11</v>
      </c>
      <c r="FR67" s="29">
        <v>65</v>
      </c>
      <c r="FS67" s="29" t="str">
        <v>NY Islanders</v>
      </c>
    </row>
    <row r="68" spans="44:175">
      <c r="AR68" s="28">
        <v>65</v>
      </c>
      <c r="AS68" s="29" t="str">
        <v>Ottawa</v>
      </c>
      <c r="AT68" s="29" t="str">
        <v>Detroit</v>
      </c>
      <c r="AU68" s="29" t="str">
        <v>Washington</v>
      </c>
      <c r="AV68" s="31" t="str">
        <v>NY Rangers</v>
      </c>
      <c r="AW68" s="28">
        <v>65</v>
      </c>
      <c r="AX68" s="29" t="str">
        <v>St. Louis</v>
      </c>
      <c r="AY68" s="29" t="str">
        <v>Nashville</v>
      </c>
      <c r="AZ68" s="29" t="str">
        <v>Vancouver</v>
      </c>
      <c r="BA68" s="31" t="str">
        <v>Anaheim</v>
      </c>
      <c r="CL68" s="28">
        <v>65</v>
      </c>
      <c r="CM68" s="29" t="str">
        <v>Detroit</v>
      </c>
      <c r="CN68" s="31" t="str">
        <v>NY Islanders</v>
      </c>
      <c r="CO68" s="28">
        <v>65</v>
      </c>
      <c r="CP68" s="29" t="str">
        <v>Chicago</v>
      </c>
      <c r="CQ68" s="31" t="str">
        <v>Calgary</v>
      </c>
      <c r="EB68" s="28">
        <v>65</v>
      </c>
      <c r="EC68" s="29" t="str">
        <v>NY Rangers</v>
      </c>
      <c r="ED68" s="31" t="str">
        <v>Chicago</v>
      </c>
      <c r="EV68" s="28">
        <v>57</v>
      </c>
      <c r="EW68" s="29">
        <v>6</v>
      </c>
      <c r="EX68" s="29">
        <v>14</v>
      </c>
      <c r="EY68" s="29">
        <v>5</v>
      </c>
      <c r="EZ68" s="29">
        <v>12</v>
      </c>
      <c r="FA68" s="29">
        <v>6</v>
      </c>
      <c r="FB68" s="29">
        <v>24</v>
      </c>
      <c r="FC68" s="29">
        <v>7</v>
      </c>
      <c r="FD68" s="29">
        <v>19</v>
      </c>
      <c r="FE68" s="29">
        <v>7</v>
      </c>
      <c r="FF68" s="29">
        <v>6</v>
      </c>
      <c r="FG68" s="29">
        <v>10</v>
      </c>
      <c r="FH68" s="29">
        <v>6</v>
      </c>
      <c r="FI68" s="29">
        <v>20</v>
      </c>
      <c r="FJ68" s="29">
        <v>6</v>
      </c>
      <c r="FK68" s="29">
        <v>22</v>
      </c>
      <c r="FL68" s="31">
        <v>14</v>
      </c>
      <c r="FR68" s="29">
        <v>66</v>
      </c>
      <c r="FS68" s="29" t="str">
        <v>Chicago</v>
      </c>
    </row>
    <row r="69" spans="44:175">
      <c r="AR69" s="28">
        <v>66</v>
      </c>
      <c r="AS69" s="29" t="str">
        <v>Montreal</v>
      </c>
      <c r="AT69" s="29" t="str">
        <v>Detroit</v>
      </c>
      <c r="AU69" s="29" t="str">
        <v>NY Islanders</v>
      </c>
      <c r="AV69" s="31" t="str">
        <v>Pittsburgh</v>
      </c>
      <c r="AW69" s="28">
        <v>66</v>
      </c>
      <c r="AX69" s="29" t="str">
        <v>Minnesota</v>
      </c>
      <c r="AY69" s="29" t="str">
        <v>Chicago</v>
      </c>
      <c r="AZ69" s="29" t="str">
        <v>Vancouver</v>
      </c>
      <c r="BA69" s="31" t="str">
        <v>Anaheim</v>
      </c>
      <c r="CL69" s="28">
        <v>66</v>
      </c>
      <c r="CM69" s="29" t="str">
        <v>Detroit</v>
      </c>
      <c r="CN69" s="31" t="str">
        <v>NY Islanders</v>
      </c>
      <c r="CO69" s="28">
        <v>66</v>
      </c>
      <c r="CP69" s="29" t="str">
        <v>Chicago</v>
      </c>
      <c r="CQ69" s="31" t="str">
        <v>Winnipeg</v>
      </c>
      <c r="EB69" s="28">
        <v>66</v>
      </c>
      <c r="EC69" s="29" t="str">
        <v>Washington</v>
      </c>
      <c r="ED69" s="31" t="str">
        <v>Chicago</v>
      </c>
      <c r="EV69" s="28">
        <v>58</v>
      </c>
      <c r="EW69" s="29">
        <v>6</v>
      </c>
      <c r="EX69" s="29">
        <v>14</v>
      </c>
      <c r="EY69" s="29">
        <v>5</v>
      </c>
      <c r="EZ69" s="29">
        <v>12</v>
      </c>
      <c r="FA69" s="29">
        <v>6</v>
      </c>
      <c r="FB69" s="29">
        <v>24</v>
      </c>
      <c r="FC69" s="29">
        <v>7</v>
      </c>
      <c r="FD69" s="29">
        <v>19</v>
      </c>
      <c r="FE69" s="29">
        <v>7</v>
      </c>
      <c r="FF69" s="29">
        <v>6</v>
      </c>
      <c r="FG69" s="29">
        <v>10</v>
      </c>
      <c r="FH69" s="29">
        <v>6</v>
      </c>
      <c r="FI69" s="29">
        <v>20</v>
      </c>
      <c r="FJ69" s="29">
        <v>6</v>
      </c>
      <c r="FK69" s="29">
        <v>22</v>
      </c>
      <c r="FL69" s="31">
        <v>14</v>
      </c>
      <c r="FR69" s="29">
        <v>67</v>
      </c>
      <c r="FS69" s="29" t="str">
        <v>Chicago</v>
      </c>
    </row>
    <row r="70" spans="44:175">
      <c r="AR70" s="28">
        <v>67</v>
      </c>
      <c r="AS70" s="29" t="str">
        <v>Ottawa</v>
      </c>
      <c r="AT70" s="29" t="str">
        <v>Detroit</v>
      </c>
      <c r="AU70" s="29" t="str">
        <v>Washington</v>
      </c>
      <c r="AV70" s="31" t="str">
        <v>NY Rangers</v>
      </c>
      <c r="AW70" s="28">
        <v>67</v>
      </c>
      <c r="AX70" s="29" t="str">
        <v>Minnesota</v>
      </c>
      <c r="AY70" s="29" t="str">
        <v>Chicago</v>
      </c>
      <c r="AZ70" s="29" t="str">
        <v>Vancouver</v>
      </c>
      <c r="BA70" s="31" t="str">
        <v>Anaheim</v>
      </c>
      <c r="CL70" s="28">
        <v>67</v>
      </c>
      <c r="CM70" s="29" t="str">
        <v>Detroit</v>
      </c>
      <c r="CN70" s="31" t="str">
        <v>NY Islanders</v>
      </c>
      <c r="CO70" s="28">
        <v>67</v>
      </c>
      <c r="CP70" s="29" t="str">
        <v>St. Louis</v>
      </c>
      <c r="CQ70" s="31" t="str">
        <v>Anaheim</v>
      </c>
      <c r="EB70" s="28">
        <v>67</v>
      </c>
      <c r="EC70" s="29" t="str">
        <v>Washington</v>
      </c>
      <c r="ED70" s="31" t="str">
        <v>Chicago</v>
      </c>
      <c r="EV70" s="28">
        <v>59</v>
      </c>
      <c r="EW70" s="29">
        <v>7</v>
      </c>
      <c r="EX70" s="29">
        <v>13</v>
      </c>
      <c r="EY70" s="29">
        <v>7</v>
      </c>
      <c r="EZ70" s="29">
        <v>6</v>
      </c>
      <c r="FA70" s="29">
        <v>18</v>
      </c>
      <c r="FB70" s="29">
        <v>25</v>
      </c>
      <c r="FC70" s="29">
        <v>7</v>
      </c>
      <c r="FD70" s="29">
        <v>14</v>
      </c>
      <c r="FE70" s="29">
        <v>7</v>
      </c>
      <c r="FF70" s="29">
        <v>23</v>
      </c>
      <c r="FG70" s="29">
        <v>13</v>
      </c>
      <c r="FH70" s="29">
        <v>6</v>
      </c>
      <c r="FI70" s="29">
        <v>15</v>
      </c>
      <c r="FJ70" s="29">
        <v>7</v>
      </c>
      <c r="FK70" s="29">
        <v>5</v>
      </c>
      <c r="FL70" s="31">
        <v>11</v>
      </c>
      <c r="FR70" s="29">
        <v>68</v>
      </c>
      <c r="FS70" s="29" t="str">
        <v>Anaheim</v>
      </c>
    </row>
    <row r="71" spans="44:175">
      <c r="AR71" s="28">
        <v>68</v>
      </c>
      <c r="AS71" s="29" t="str">
        <v>Ottawa</v>
      </c>
      <c r="AT71" s="29" t="str">
        <v>Detroit</v>
      </c>
      <c r="AU71" s="29" t="str">
        <v>Washington</v>
      </c>
      <c r="AV71" s="31" t="str">
        <v>NY Rangers</v>
      </c>
      <c r="AW71" s="28">
        <v>68</v>
      </c>
      <c r="AX71" s="29" t="str">
        <v>St. Louis</v>
      </c>
      <c r="AY71" s="29" t="str">
        <v>Nashville</v>
      </c>
      <c r="AZ71" s="29" t="str">
        <v>Vancouver</v>
      </c>
      <c r="BA71" s="31" t="str">
        <v>Anaheim</v>
      </c>
      <c r="CL71" s="28">
        <v>68</v>
      </c>
      <c r="CM71" s="29" t="str">
        <v>Detroit</v>
      </c>
      <c r="CN71" s="31" t="str">
        <v>NY Islanders</v>
      </c>
      <c r="CO71" s="28">
        <v>68</v>
      </c>
      <c r="CP71" s="29" t="str">
        <v>St. Louis</v>
      </c>
      <c r="CQ71" s="31" t="str">
        <v>Anaheim</v>
      </c>
      <c r="EB71" s="28">
        <v>68</v>
      </c>
      <c r="EC71" s="29" t="str">
        <v>Washington</v>
      </c>
      <c r="ED71" s="31" t="str">
        <v>Anaheim</v>
      </c>
      <c r="EV71" s="28">
        <v>60</v>
      </c>
      <c r="EW71" s="29">
        <v>13</v>
      </c>
      <c r="EX71" s="29">
        <v>5</v>
      </c>
      <c r="EY71" s="29">
        <v>20</v>
      </c>
      <c r="EZ71" s="29">
        <v>18</v>
      </c>
      <c r="FA71" s="29">
        <v>7</v>
      </c>
      <c r="FB71" s="29">
        <v>5</v>
      </c>
      <c r="FC71" s="29">
        <v>9</v>
      </c>
      <c r="FD71" s="29">
        <v>7</v>
      </c>
      <c r="FE71" s="29">
        <v>6</v>
      </c>
      <c r="FF71" s="29">
        <v>12</v>
      </c>
      <c r="FG71" s="29">
        <v>22</v>
      </c>
      <c r="FH71" s="29">
        <v>7</v>
      </c>
      <c r="FI71" s="29">
        <v>16</v>
      </c>
      <c r="FJ71" s="29">
        <v>5</v>
      </c>
      <c r="FK71" s="29">
        <v>5</v>
      </c>
      <c r="FL71" s="31">
        <v>11</v>
      </c>
      <c r="FR71" s="29">
        <v>69</v>
      </c>
      <c r="FS71" s="29" t="str">
        <v>Vancouver</v>
      </c>
    </row>
    <row r="72" spans="44:175">
      <c r="AR72" s="28">
        <v>69</v>
      </c>
      <c r="AS72" s="29" t="str">
        <v>Ottawa</v>
      </c>
      <c r="AT72" s="29" t="str">
        <v>Detroit</v>
      </c>
      <c r="AU72" s="29" t="str">
        <v>NY Islanders</v>
      </c>
      <c r="AV72" s="31" t="str">
        <v>NY Rangers</v>
      </c>
      <c r="AW72" s="28">
        <v>69</v>
      </c>
      <c r="AX72" s="29" t="str">
        <v>Minnesota</v>
      </c>
      <c r="AY72" s="29" t="str">
        <v>Chicago</v>
      </c>
      <c r="AZ72" s="29" t="str">
        <v>Vancouver</v>
      </c>
      <c r="BA72" s="31" t="str">
        <v>Anaheim</v>
      </c>
      <c r="CL72" s="28">
        <v>69</v>
      </c>
      <c r="CM72" s="29" t="str">
        <v>Tampa Bay</v>
      </c>
      <c r="CN72" s="31" t="str">
        <v>Washington</v>
      </c>
      <c r="CO72" s="28">
        <v>69</v>
      </c>
      <c r="CP72" s="29" t="str">
        <v>Nashville</v>
      </c>
      <c r="CQ72" s="31" t="str">
        <v>Anaheim</v>
      </c>
      <c r="EB72" s="28">
        <v>69</v>
      </c>
      <c r="EC72" s="29" t="str">
        <v>Washington</v>
      </c>
      <c r="ED72" s="31" t="str">
        <v>Anaheim</v>
      </c>
      <c r="EV72" s="28">
        <v>61</v>
      </c>
      <c r="EW72" s="29">
        <v>15</v>
      </c>
      <c r="EX72" s="29">
        <v>11</v>
      </c>
      <c r="EY72" s="29">
        <v>7</v>
      </c>
      <c r="EZ72" s="29">
        <v>4</v>
      </c>
      <c r="FA72" s="29">
        <v>10</v>
      </c>
      <c r="FB72" s="29">
        <v>22</v>
      </c>
      <c r="FC72" s="29">
        <v>6</v>
      </c>
      <c r="FD72" s="29">
        <v>4</v>
      </c>
      <c r="FE72" s="29">
        <v>5</v>
      </c>
      <c r="FF72" s="29">
        <v>4</v>
      </c>
      <c r="FG72" s="29">
        <v>6</v>
      </c>
      <c r="FH72" s="29">
        <v>7</v>
      </c>
      <c r="FI72" s="29">
        <v>26</v>
      </c>
      <c r="FJ72" s="29">
        <v>13</v>
      </c>
      <c r="FK72" s="29">
        <v>18</v>
      </c>
      <c r="FL72" s="31">
        <v>12</v>
      </c>
      <c r="FR72" s="29">
        <v>70</v>
      </c>
      <c r="FS72" s="29" t="str">
        <v>Washington</v>
      </c>
    </row>
    <row r="73" spans="44:175">
      <c r="AR73" s="28">
        <v>70</v>
      </c>
      <c r="AS73" s="29" t="str">
        <v>Montreal</v>
      </c>
      <c r="AT73" s="29" t="str">
        <v>Tampa Bay</v>
      </c>
      <c r="AU73" s="29" t="str">
        <v>NY Islanders</v>
      </c>
      <c r="AV73" s="31" t="str">
        <v>NY Rangers</v>
      </c>
      <c r="AW73" s="28">
        <v>70</v>
      </c>
      <c r="AX73" s="29" t="str">
        <v>Minnesota</v>
      </c>
      <c r="AY73" s="29" t="str">
        <v>Nashville</v>
      </c>
      <c r="AZ73" s="29" t="str">
        <v>Calgary</v>
      </c>
      <c r="BA73" s="31" t="str">
        <v>Anaheim</v>
      </c>
      <c r="CL73" s="28">
        <v>70</v>
      </c>
      <c r="CM73" s="29" t="str">
        <v>Ottawa</v>
      </c>
      <c r="CN73" s="31" t="str">
        <v>Washington</v>
      </c>
      <c r="CO73" s="28">
        <v>70</v>
      </c>
      <c r="CP73" s="29" t="str">
        <v>Chicago</v>
      </c>
      <c r="CQ73" s="31" t="str">
        <v>Anaheim</v>
      </c>
      <c r="EB73" s="28">
        <v>70</v>
      </c>
      <c r="EC73" s="29" t="str">
        <v>Washington</v>
      </c>
      <c r="ED73" s="31" t="str">
        <v>Anaheim</v>
      </c>
      <c r="EV73" s="28">
        <v>62</v>
      </c>
      <c r="EW73" s="29">
        <v>7</v>
      </c>
      <c r="EX73" s="29">
        <v>11</v>
      </c>
      <c r="EY73" s="29">
        <v>24</v>
      </c>
      <c r="EZ73" s="29">
        <v>7</v>
      </c>
      <c r="FA73" s="29">
        <v>19</v>
      </c>
      <c r="FB73" s="29">
        <v>6</v>
      </c>
      <c r="FC73" s="29">
        <v>7</v>
      </c>
      <c r="FD73" s="29">
        <v>12</v>
      </c>
      <c r="FE73" s="29">
        <v>6</v>
      </c>
      <c r="FF73" s="29">
        <v>14</v>
      </c>
      <c r="FG73" s="29">
        <v>6</v>
      </c>
      <c r="FH73" s="29">
        <v>7</v>
      </c>
      <c r="FI73" s="29">
        <v>16</v>
      </c>
      <c r="FJ73" s="29">
        <v>25</v>
      </c>
      <c r="FK73" s="29">
        <v>7</v>
      </c>
      <c r="FL73" s="31">
        <v>10</v>
      </c>
      <c r="FR73" s="29">
        <v>71</v>
      </c>
      <c r="FS73" s="29" t="str">
        <v>Anaheim</v>
      </c>
    </row>
    <row r="74" spans="44:175">
      <c r="AR74" s="28">
        <v>71</v>
      </c>
      <c r="AS74" s="29" t="str">
        <v>Ottawa</v>
      </c>
      <c r="AT74" s="29" t="str">
        <v>Detroit</v>
      </c>
      <c r="AU74" s="29" t="str">
        <v>Washington</v>
      </c>
      <c r="AV74" s="31" t="str">
        <v>Pittsburgh</v>
      </c>
      <c r="AW74" s="28">
        <v>71</v>
      </c>
      <c r="AX74" s="29" t="str">
        <v>Minnesota</v>
      </c>
      <c r="AY74" s="29" t="str">
        <v>Nashville</v>
      </c>
      <c r="AZ74" s="29" t="str">
        <v>Vancouver</v>
      </c>
      <c r="BA74" s="31" t="str">
        <v>Anaheim</v>
      </c>
      <c r="CL74" s="28">
        <v>71</v>
      </c>
      <c r="CM74" s="29" t="str">
        <v>Ottawa</v>
      </c>
      <c r="CN74" s="31" t="str">
        <v>Washington</v>
      </c>
      <c r="CO74" s="28">
        <v>71</v>
      </c>
      <c r="CP74" s="29" t="str">
        <v>St. Louis</v>
      </c>
      <c r="CQ74" s="31" t="str">
        <v>Vancouver</v>
      </c>
      <c r="EB74" s="28">
        <v>71</v>
      </c>
      <c r="EC74" s="29" t="str">
        <v>Tampa Bay</v>
      </c>
      <c r="ED74" s="31" t="str">
        <v>Anaheim</v>
      </c>
      <c r="EV74" s="28">
        <v>63</v>
      </c>
      <c r="EW74" s="29">
        <v>7</v>
      </c>
      <c r="EX74" s="29">
        <v>11</v>
      </c>
      <c r="EY74" s="29">
        <v>24</v>
      </c>
      <c r="EZ74" s="29">
        <v>7</v>
      </c>
      <c r="FA74" s="29">
        <v>19</v>
      </c>
      <c r="FB74" s="29">
        <v>6</v>
      </c>
      <c r="FC74" s="29">
        <v>7</v>
      </c>
      <c r="FD74" s="29">
        <v>12</v>
      </c>
      <c r="FE74" s="29">
        <v>6</v>
      </c>
      <c r="FF74" s="29">
        <v>14</v>
      </c>
      <c r="FG74" s="29">
        <v>6</v>
      </c>
      <c r="FH74" s="29">
        <v>7</v>
      </c>
      <c r="FI74" s="29">
        <v>16</v>
      </c>
      <c r="FJ74" s="29">
        <v>25</v>
      </c>
      <c r="FK74" s="29">
        <v>7</v>
      </c>
      <c r="FL74" s="31">
        <v>10</v>
      </c>
      <c r="FR74" s="29">
        <v>72</v>
      </c>
      <c r="FS74" s="29" t="str">
        <v>Anaheim</v>
      </c>
    </row>
    <row r="75" spans="44:175">
      <c r="AR75" s="28">
        <v>72</v>
      </c>
      <c r="AS75" s="29" t="str">
        <v>Montreal</v>
      </c>
      <c r="AT75" s="29" t="str">
        <v>Tampa Bay</v>
      </c>
      <c r="AU75" s="29" t="str">
        <v>NY Islanders</v>
      </c>
      <c r="AV75" s="31" t="str">
        <v>NY Rangers</v>
      </c>
      <c r="AW75" s="28">
        <v>72</v>
      </c>
      <c r="AX75" s="29" t="str">
        <v>Minnesota</v>
      </c>
      <c r="AY75" s="29" t="str">
        <v>Nashville</v>
      </c>
      <c r="AZ75" s="29" t="str">
        <v>Vancouver</v>
      </c>
      <c r="BA75" s="31" t="str">
        <v>Anaheim</v>
      </c>
      <c r="CL75" s="28">
        <v>72</v>
      </c>
      <c r="CM75" s="29" t="str">
        <v>Ottawa</v>
      </c>
      <c r="CN75" s="31" t="str">
        <v>NY Islanders</v>
      </c>
      <c r="CO75" s="28">
        <v>72</v>
      </c>
      <c r="CP75" s="29" t="str">
        <v>Chicago</v>
      </c>
      <c r="CQ75" s="31" t="str">
        <v>Calgary</v>
      </c>
      <c r="EB75" s="28">
        <v>72</v>
      </c>
      <c r="EC75" s="29" t="str">
        <v>Montreal</v>
      </c>
      <c r="ED75" s="31" t="str">
        <v>Anaheim</v>
      </c>
      <c r="EV75" s="28">
        <v>64</v>
      </c>
      <c r="EW75" s="29">
        <v>13</v>
      </c>
      <c r="EX75" s="29">
        <v>9</v>
      </c>
      <c r="EY75" s="29">
        <v>7</v>
      </c>
      <c r="EZ75" s="29">
        <v>19</v>
      </c>
      <c r="FA75" s="29">
        <v>5</v>
      </c>
      <c r="FB75" s="29">
        <v>24</v>
      </c>
      <c r="FC75" s="29">
        <v>5</v>
      </c>
      <c r="FD75" s="29">
        <v>6</v>
      </c>
      <c r="FE75" s="29">
        <v>7</v>
      </c>
      <c r="FF75" s="29">
        <v>6</v>
      </c>
      <c r="FG75" s="29">
        <v>7</v>
      </c>
      <c r="FH75" s="29">
        <v>6</v>
      </c>
      <c r="FI75" s="29">
        <v>15</v>
      </c>
      <c r="FJ75" s="29">
        <v>25</v>
      </c>
      <c r="FK75" s="29">
        <v>13</v>
      </c>
      <c r="FL75" s="31">
        <v>11</v>
      </c>
      <c r="FR75" s="29">
        <v>73</v>
      </c>
      <c r="FS75" s="29" t="str">
        <v>Tampa Bay</v>
      </c>
    </row>
    <row r="76" spans="44:175">
      <c r="AR76" s="28">
        <v>73</v>
      </c>
      <c r="AS76" s="29" t="str">
        <v>Montreal</v>
      </c>
      <c r="AT76" s="29" t="str">
        <v>Tampa Bay</v>
      </c>
      <c r="AU76" s="29" t="str">
        <v>NY Islanders</v>
      </c>
      <c r="AV76" s="31" t="str">
        <v>NY Rangers</v>
      </c>
      <c r="AW76" s="28">
        <v>73</v>
      </c>
      <c r="AX76" s="29" t="str">
        <v>Minnesota</v>
      </c>
      <c r="AY76" s="29" t="str">
        <v>Chicago</v>
      </c>
      <c r="AZ76" s="29" t="str">
        <v>Vancouver</v>
      </c>
      <c r="BA76" s="31" t="str">
        <v>Anaheim</v>
      </c>
      <c r="CL76" s="28">
        <v>73</v>
      </c>
      <c r="CM76" s="29" t="str">
        <v>Ottawa</v>
      </c>
      <c r="CN76" s="31" t="str">
        <v>Washington</v>
      </c>
      <c r="CO76" s="28">
        <v>73</v>
      </c>
      <c r="CP76" s="29" t="str">
        <v>Chicago</v>
      </c>
      <c r="CQ76" s="31" t="str">
        <v>Calgary</v>
      </c>
      <c r="EB76" s="28">
        <v>73</v>
      </c>
      <c r="EC76" s="29" t="str">
        <v>Montreal</v>
      </c>
      <c r="ED76" s="31" t="str">
        <v>Anaheim</v>
      </c>
      <c r="EV76" s="28">
        <v>65</v>
      </c>
      <c r="EW76" s="29">
        <v>6</v>
      </c>
      <c r="EX76" s="29">
        <v>7</v>
      </c>
      <c r="EY76" s="29">
        <v>22</v>
      </c>
      <c r="EZ76" s="29">
        <v>14</v>
      </c>
      <c r="FA76" s="29">
        <v>5</v>
      </c>
      <c r="FB76" s="29">
        <v>6</v>
      </c>
      <c r="FC76" s="29">
        <v>11</v>
      </c>
      <c r="FD76" s="29">
        <v>10</v>
      </c>
      <c r="FE76" s="29">
        <v>6</v>
      </c>
      <c r="FF76" s="29">
        <v>19</v>
      </c>
      <c r="FG76" s="29">
        <v>12</v>
      </c>
      <c r="FH76" s="29">
        <v>23</v>
      </c>
      <c r="FI76" s="29">
        <v>4</v>
      </c>
      <c r="FJ76" s="29">
        <v>6</v>
      </c>
      <c r="FK76" s="29">
        <v>6</v>
      </c>
      <c r="FL76" s="31">
        <v>11</v>
      </c>
      <c r="FR76" s="29">
        <v>74</v>
      </c>
      <c r="FS76" s="29" t="str">
        <v>Chicago</v>
      </c>
    </row>
    <row r="77" spans="44:175">
      <c r="AR77" s="28">
        <v>74</v>
      </c>
      <c r="AS77" s="29" t="str">
        <v>Montreal</v>
      </c>
      <c r="AT77" s="29" t="str">
        <v>Detroit</v>
      </c>
      <c r="AU77" s="29" t="str">
        <v>Washington</v>
      </c>
      <c r="AV77" s="31" t="str">
        <v>NY Rangers</v>
      </c>
      <c r="AW77" s="28">
        <v>74</v>
      </c>
      <c r="AX77" s="29" t="str">
        <v>St. Louis</v>
      </c>
      <c r="AY77" s="29" t="str">
        <v>Chicago</v>
      </c>
      <c r="AZ77" s="29" t="str">
        <v>Calgary</v>
      </c>
      <c r="BA77" s="31" t="str">
        <v>Anaheim</v>
      </c>
      <c r="CL77" s="28">
        <v>74</v>
      </c>
      <c r="CM77" s="29" t="str">
        <v>Ottawa</v>
      </c>
      <c r="CN77" s="31" t="str">
        <v>NY Islanders</v>
      </c>
      <c r="CO77" s="28">
        <v>74</v>
      </c>
      <c r="CP77" s="29" t="str">
        <v>Chicago</v>
      </c>
      <c r="CQ77" s="31" t="str">
        <v>Winnipeg</v>
      </c>
      <c r="EB77" s="28">
        <v>74</v>
      </c>
      <c r="EC77" s="29" t="str">
        <v>Washington</v>
      </c>
      <c r="ED77" s="31" t="str">
        <v>Winnipeg</v>
      </c>
      <c r="EV77" s="28">
        <v>66</v>
      </c>
      <c r="EW77" s="29">
        <v>13</v>
      </c>
      <c r="EX77" s="29">
        <v>13</v>
      </c>
      <c r="EY77" s="29">
        <v>19</v>
      </c>
      <c r="EZ77" s="29">
        <v>7</v>
      </c>
      <c r="FA77" s="29">
        <v>26</v>
      </c>
      <c r="FB77" s="29">
        <v>6</v>
      </c>
      <c r="FC77" s="29">
        <v>7</v>
      </c>
      <c r="FD77" s="29">
        <v>7</v>
      </c>
      <c r="FE77" s="29">
        <v>6</v>
      </c>
      <c r="FF77" s="29">
        <v>12</v>
      </c>
      <c r="FG77" s="29">
        <v>24</v>
      </c>
      <c r="FH77" s="29">
        <v>7</v>
      </c>
      <c r="FI77" s="29">
        <v>16</v>
      </c>
      <c r="FJ77" s="29">
        <v>7</v>
      </c>
      <c r="FK77" s="29">
        <v>5</v>
      </c>
      <c r="FL77" s="31">
        <v>11</v>
      </c>
      <c r="FR77" s="29">
        <v>75</v>
      </c>
      <c r="FS77" s="29" t="str">
        <v>Minnesota</v>
      </c>
    </row>
    <row r="78" spans="44:175">
      <c r="AR78" s="28">
        <v>75</v>
      </c>
      <c r="AS78" s="29" t="str">
        <v>Ottawa</v>
      </c>
      <c r="AT78" s="29" t="str">
        <v>Detroit</v>
      </c>
      <c r="AU78" s="29" t="str">
        <v>Washington</v>
      </c>
      <c r="AV78" s="31" t="str">
        <v>Pittsburgh</v>
      </c>
      <c r="AW78" s="28">
        <v>75</v>
      </c>
      <c r="AX78" s="29" t="str">
        <v>Minnesota</v>
      </c>
      <c r="AY78" s="29" t="str">
        <v>Chicago</v>
      </c>
      <c r="AZ78" s="29" t="str">
        <v>Vancouver</v>
      </c>
      <c r="BA78" s="31" t="str">
        <v>Anaheim</v>
      </c>
      <c r="CL78" s="28">
        <v>75</v>
      </c>
      <c r="CM78" s="29" t="str">
        <v>Detroit</v>
      </c>
      <c r="CN78" s="31" t="str">
        <v>Washington</v>
      </c>
      <c r="CO78" s="28">
        <v>75</v>
      </c>
      <c r="CP78" s="29" t="str">
        <v>St. Louis</v>
      </c>
      <c r="CQ78" s="31" t="str">
        <v>Anaheim</v>
      </c>
      <c r="EB78" s="28">
        <v>75</v>
      </c>
      <c r="EC78" s="29" t="str">
        <v>Washington</v>
      </c>
      <c r="ED78" s="31" t="str">
        <v>Winnipeg</v>
      </c>
      <c r="EV78" s="28">
        <v>67</v>
      </c>
      <c r="EW78" s="29">
        <v>4</v>
      </c>
      <c r="EX78" s="29">
        <v>11</v>
      </c>
      <c r="EY78" s="29">
        <v>21</v>
      </c>
      <c r="EZ78" s="29">
        <v>6</v>
      </c>
      <c r="FA78" s="29">
        <v>19</v>
      </c>
      <c r="FB78" s="29">
        <v>4</v>
      </c>
      <c r="FC78" s="29">
        <v>6</v>
      </c>
      <c r="FD78" s="29">
        <v>10</v>
      </c>
      <c r="FE78" s="29">
        <v>10</v>
      </c>
      <c r="FF78" s="29">
        <v>19</v>
      </c>
      <c r="FG78" s="29">
        <v>12</v>
      </c>
      <c r="FH78" s="29">
        <v>7</v>
      </c>
      <c r="FI78" s="29">
        <v>17</v>
      </c>
      <c r="FJ78" s="29">
        <v>7</v>
      </c>
      <c r="FK78" s="29">
        <v>4</v>
      </c>
      <c r="FL78" s="31">
        <v>5</v>
      </c>
      <c r="FR78" s="29">
        <v>76</v>
      </c>
      <c r="FS78" s="29" t="str">
        <v>NY Islanders</v>
      </c>
    </row>
    <row r="79" spans="44:175">
      <c r="AR79" s="28">
        <v>76</v>
      </c>
      <c r="AS79" s="29" t="str">
        <v>Ottawa</v>
      </c>
      <c r="AT79" s="29" t="str">
        <v>Detroit</v>
      </c>
      <c r="AU79" s="29" t="str">
        <v>Washington</v>
      </c>
      <c r="AV79" s="31" t="str">
        <v>NY Rangers</v>
      </c>
      <c r="AW79" s="28">
        <v>76</v>
      </c>
      <c r="AX79" s="29" t="str">
        <v>St. Louis</v>
      </c>
      <c r="AY79" s="29" t="str">
        <v>Chicago</v>
      </c>
      <c r="AZ79" s="29" t="str">
        <v>Vancouver</v>
      </c>
      <c r="BA79" s="31" t="str">
        <v>Anaheim</v>
      </c>
      <c r="CL79" s="28">
        <v>76</v>
      </c>
      <c r="CM79" s="29" t="str">
        <v>Tampa Bay</v>
      </c>
      <c r="CN79" s="31" t="str">
        <v>NY Islanders</v>
      </c>
      <c r="CO79" s="28">
        <v>76</v>
      </c>
      <c r="CP79" s="29" t="str">
        <v>Minnesota</v>
      </c>
      <c r="CQ79" s="31" t="str">
        <v>Anaheim</v>
      </c>
      <c r="EB79" s="28">
        <v>76</v>
      </c>
      <c r="EC79" s="29" t="str">
        <v>Washington</v>
      </c>
      <c r="ED79" s="31" t="str">
        <v>Winnipeg</v>
      </c>
      <c r="EV79" s="28">
        <v>68</v>
      </c>
      <c r="EW79" s="29">
        <v>4</v>
      </c>
      <c r="EX79" s="29">
        <v>11</v>
      </c>
      <c r="EY79" s="29">
        <v>21</v>
      </c>
      <c r="EZ79" s="29">
        <v>6</v>
      </c>
      <c r="FA79" s="29">
        <v>19</v>
      </c>
      <c r="FB79" s="29">
        <v>4</v>
      </c>
      <c r="FC79" s="29">
        <v>6</v>
      </c>
      <c r="FD79" s="29">
        <v>10</v>
      </c>
      <c r="FE79" s="29">
        <v>10</v>
      </c>
      <c r="FF79" s="29">
        <v>19</v>
      </c>
      <c r="FG79" s="29">
        <v>12</v>
      </c>
      <c r="FH79" s="29">
        <v>7</v>
      </c>
      <c r="FI79" s="29">
        <v>17</v>
      </c>
      <c r="FJ79" s="29">
        <v>7</v>
      </c>
      <c r="FK79" s="29">
        <v>4</v>
      </c>
      <c r="FL79" s="31">
        <v>5</v>
      </c>
      <c r="FR79" s="29">
        <v>77</v>
      </c>
      <c r="FS79" s="29" t="str">
        <v>Anaheim</v>
      </c>
    </row>
    <row r="80" spans="44:175">
      <c r="AR80" s="28">
        <v>77</v>
      </c>
      <c r="AS80" s="29" t="str">
        <v>Ottawa</v>
      </c>
      <c r="AT80" s="29" t="str">
        <v>Detroit</v>
      </c>
      <c r="AU80" s="29" t="str">
        <v>Washington</v>
      </c>
      <c r="AV80" s="31" t="str">
        <v>Pittsburgh</v>
      </c>
      <c r="AW80" s="28">
        <v>77</v>
      </c>
      <c r="AX80" s="29" t="str">
        <v>St. Louis</v>
      </c>
      <c r="AY80" s="29" t="str">
        <v>Chicago</v>
      </c>
      <c r="AZ80" s="29" t="str">
        <v>Vancouver</v>
      </c>
      <c r="BA80" s="31" t="str">
        <v>Anaheim</v>
      </c>
      <c r="CL80" s="28">
        <v>77</v>
      </c>
      <c r="CM80" s="29" t="str">
        <v>Detroit</v>
      </c>
      <c r="CN80" s="31" t="str">
        <v>Washington</v>
      </c>
      <c r="CO80" s="28">
        <v>77</v>
      </c>
      <c r="CP80" s="29" t="str">
        <v>Nashville</v>
      </c>
      <c r="CQ80" s="31" t="str">
        <v>Winnipeg</v>
      </c>
      <c r="EB80" s="28">
        <v>77</v>
      </c>
      <c r="EC80" s="29" t="str">
        <v>Detroit</v>
      </c>
      <c r="ED80" s="31" t="str">
        <v>Minnesota</v>
      </c>
      <c r="EV80" s="28">
        <v>69</v>
      </c>
      <c r="EW80" s="29">
        <v>7</v>
      </c>
      <c r="EX80" s="29">
        <v>13</v>
      </c>
      <c r="EY80" s="29">
        <v>15</v>
      </c>
      <c r="EZ80" s="29">
        <v>6</v>
      </c>
      <c r="FA80" s="29">
        <v>23</v>
      </c>
      <c r="FB80" s="29">
        <v>4</v>
      </c>
      <c r="FC80" s="29">
        <v>7</v>
      </c>
      <c r="FD80" s="29">
        <v>14</v>
      </c>
      <c r="FE80" s="29">
        <v>7</v>
      </c>
      <c r="FF80" s="29">
        <v>8</v>
      </c>
      <c r="FG80" s="29">
        <v>5</v>
      </c>
      <c r="FH80" s="29">
        <v>14</v>
      </c>
      <c r="FI80" s="29">
        <v>7</v>
      </c>
      <c r="FJ80" s="29">
        <v>14</v>
      </c>
      <c r="FK80" s="29">
        <v>4</v>
      </c>
      <c r="FL80" s="31">
        <v>24</v>
      </c>
      <c r="FR80" s="29">
        <v>78</v>
      </c>
      <c r="FS80" s="29" t="str">
        <v>Anaheim</v>
      </c>
    </row>
    <row r="81" spans="44:175">
      <c r="AR81" s="28">
        <v>78</v>
      </c>
      <c r="AS81" s="29" t="str">
        <v>Ottawa</v>
      </c>
      <c r="AT81" s="29" t="str">
        <v>Detroit</v>
      </c>
      <c r="AU81" s="29" t="str">
        <v>Washington</v>
      </c>
      <c r="AV81" s="31" t="str">
        <v>Pittsburgh</v>
      </c>
      <c r="AW81" s="28">
        <v>78</v>
      </c>
      <c r="AX81" s="29" t="str">
        <v>St. Louis</v>
      </c>
      <c r="AY81" s="29" t="str">
        <v>Chicago</v>
      </c>
      <c r="AZ81" s="29" t="str">
        <v>Vancouver</v>
      </c>
      <c r="BA81" s="31" t="str">
        <v>Anaheim</v>
      </c>
      <c r="CL81" s="28">
        <v>78</v>
      </c>
      <c r="CM81" s="29" t="str">
        <v>Detroit</v>
      </c>
      <c r="CN81" s="31" t="str">
        <v>Washington</v>
      </c>
      <c r="CO81" s="28">
        <v>78</v>
      </c>
      <c r="CP81" s="29" t="str">
        <v>Chicago</v>
      </c>
      <c r="CQ81" s="31" t="str">
        <v>Calgary</v>
      </c>
      <c r="EB81" s="28">
        <v>78</v>
      </c>
      <c r="EC81" s="29" t="str">
        <v>Washington</v>
      </c>
      <c r="ED81" s="31" t="str">
        <v>Vancouver</v>
      </c>
      <c r="EV81" s="28">
        <v>70</v>
      </c>
      <c r="EW81" s="29">
        <v>18</v>
      </c>
      <c r="EX81" s="29">
        <v>7</v>
      </c>
      <c r="EY81" s="29">
        <v>6</v>
      </c>
      <c r="EZ81" s="29">
        <v>6</v>
      </c>
      <c r="FA81" s="29">
        <v>12</v>
      </c>
      <c r="FB81" s="29">
        <v>21</v>
      </c>
      <c r="FC81" s="29">
        <v>11</v>
      </c>
      <c r="FD81" s="29">
        <v>5</v>
      </c>
      <c r="FE81" s="29">
        <v>14</v>
      </c>
      <c r="FF81" s="29">
        <v>12</v>
      </c>
      <c r="FG81" s="29">
        <v>22</v>
      </c>
      <c r="FH81" s="29">
        <v>7</v>
      </c>
      <c r="FI81" s="29">
        <v>21</v>
      </c>
      <c r="FJ81" s="29">
        <v>6</v>
      </c>
      <c r="FK81" s="29">
        <v>7</v>
      </c>
      <c r="FL81" s="31">
        <v>7</v>
      </c>
      <c r="FR81" s="29">
        <v>79</v>
      </c>
      <c r="FS81" s="29" t="str">
        <v>Ottawa</v>
      </c>
    </row>
    <row r="82" spans="44:175">
      <c r="AR82" s="28">
        <v>79</v>
      </c>
      <c r="AS82" s="29" t="str">
        <v>Ottawa</v>
      </c>
      <c r="AT82" s="29" t="str">
        <v>Detroit</v>
      </c>
      <c r="AU82" s="29" t="str">
        <v>Washington</v>
      </c>
      <c r="AV82" s="31" t="str">
        <v>Pittsburgh</v>
      </c>
      <c r="AW82" s="28">
        <v>79</v>
      </c>
      <c r="AX82" s="29" t="str">
        <v>St. Louis</v>
      </c>
      <c r="AY82" s="29" t="str">
        <v>Chicago</v>
      </c>
      <c r="AZ82" s="29" t="str">
        <v>Calgary</v>
      </c>
      <c r="BA82" s="31" t="str">
        <v>Anaheim</v>
      </c>
      <c r="CL82" s="28">
        <v>79</v>
      </c>
      <c r="CM82" s="29" t="str">
        <v>Detroit</v>
      </c>
      <c r="CN82" s="31" t="str">
        <v>NY Islanders</v>
      </c>
      <c r="CO82" s="28">
        <v>79</v>
      </c>
      <c r="CP82" s="29" t="str">
        <v>St. Louis</v>
      </c>
      <c r="CQ82" s="31" t="str">
        <v>Winnipeg</v>
      </c>
      <c r="EB82" s="28">
        <v>79</v>
      </c>
      <c r="EC82" s="29" t="str">
        <v>Washington</v>
      </c>
      <c r="ED82" s="31" t="str">
        <v>Vancouver</v>
      </c>
      <c r="EV82" s="28">
        <v>71</v>
      </c>
      <c r="EW82" s="29">
        <v>6</v>
      </c>
      <c r="EX82" s="29">
        <v>5</v>
      </c>
      <c r="EY82" s="29">
        <v>21</v>
      </c>
      <c r="EZ82" s="29">
        <v>7</v>
      </c>
      <c r="FA82" s="29">
        <v>20</v>
      </c>
      <c r="FB82" s="29">
        <v>5</v>
      </c>
      <c r="FC82" s="29">
        <v>9</v>
      </c>
      <c r="FD82" s="29">
        <v>12</v>
      </c>
      <c r="FE82" s="29">
        <v>7</v>
      </c>
      <c r="FF82" s="29">
        <v>23</v>
      </c>
      <c r="FG82" s="29">
        <v>11</v>
      </c>
      <c r="FH82" s="29">
        <v>4</v>
      </c>
      <c r="FI82" s="29">
        <v>15</v>
      </c>
      <c r="FJ82" s="29">
        <v>5</v>
      </c>
      <c r="FK82" s="29">
        <v>5</v>
      </c>
      <c r="FL82" s="31">
        <v>11</v>
      </c>
      <c r="FR82" s="29">
        <v>80</v>
      </c>
      <c r="FS82" s="29" t="str">
        <v>Washington</v>
      </c>
    </row>
    <row r="83" spans="44:175">
      <c r="AR83" s="28">
        <v>80</v>
      </c>
      <c r="AS83" s="29" t="str">
        <v>Montreal</v>
      </c>
      <c r="AT83" s="29" t="str">
        <v>Detroit</v>
      </c>
      <c r="AU83" s="29" t="str">
        <v>NY Islanders</v>
      </c>
      <c r="AV83" s="31" t="str">
        <v>NY Rangers</v>
      </c>
      <c r="AW83" s="28">
        <v>80</v>
      </c>
      <c r="AX83" s="29" t="str">
        <v>Minnesota</v>
      </c>
      <c r="AY83" s="29" t="str">
        <v>Nashville</v>
      </c>
      <c r="AZ83" s="29" t="str">
        <v>Calgary</v>
      </c>
      <c r="BA83" s="31" t="str">
        <v>Anaheim</v>
      </c>
      <c r="CL83" s="28">
        <v>80</v>
      </c>
      <c r="CM83" s="29" t="str">
        <v>Montreal</v>
      </c>
      <c r="CN83" s="31" t="str">
        <v>Washington</v>
      </c>
      <c r="CO83" s="28">
        <v>80</v>
      </c>
      <c r="CP83" s="29" t="str">
        <v>Chicago</v>
      </c>
      <c r="CQ83" s="31" t="str">
        <v>Anaheim</v>
      </c>
      <c r="EB83" s="28">
        <v>80</v>
      </c>
      <c r="EC83" s="29" t="str">
        <v>NY Islanders</v>
      </c>
      <c r="ED83" s="31" t="str">
        <v>Minnesota</v>
      </c>
      <c r="EV83" s="28">
        <v>72</v>
      </c>
      <c r="EW83" s="29">
        <v>6</v>
      </c>
      <c r="EX83" s="29">
        <v>7</v>
      </c>
      <c r="EY83" s="29">
        <v>23</v>
      </c>
      <c r="EZ83" s="29">
        <v>6</v>
      </c>
      <c r="FA83" s="29">
        <v>12</v>
      </c>
      <c r="FB83" s="29">
        <v>7</v>
      </c>
      <c r="FC83" s="29">
        <v>11</v>
      </c>
      <c r="FD83" s="29">
        <v>17</v>
      </c>
      <c r="FE83" s="29">
        <v>5</v>
      </c>
      <c r="FF83" s="29">
        <v>6</v>
      </c>
      <c r="FG83" s="29">
        <v>10</v>
      </c>
      <c r="FH83" s="29">
        <v>13</v>
      </c>
      <c r="FI83" s="29">
        <v>6</v>
      </c>
      <c r="FJ83" s="29">
        <v>5</v>
      </c>
      <c r="FK83" s="29">
        <v>18</v>
      </c>
      <c r="FL83" s="31">
        <v>26</v>
      </c>
      <c r="FR83" s="29">
        <v>81</v>
      </c>
      <c r="FS83" s="29" t="str">
        <v>Washington</v>
      </c>
    </row>
    <row r="84" spans="44:175">
      <c r="AR84" s="28">
        <v>81</v>
      </c>
      <c r="AS84" s="29" t="str">
        <v>Montreal</v>
      </c>
      <c r="AT84" s="29" t="str">
        <v>Detroit</v>
      </c>
      <c r="AU84" s="29" t="str">
        <v>Washington</v>
      </c>
      <c r="AV84" s="31" t="str">
        <v>Pittsburgh</v>
      </c>
      <c r="AW84" s="28">
        <v>81</v>
      </c>
      <c r="AX84" s="29" t="str">
        <v>St. Louis</v>
      </c>
      <c r="AY84" s="29" t="str">
        <v>Nashville</v>
      </c>
      <c r="AZ84" s="29" t="str">
        <v>Vancouver</v>
      </c>
      <c r="BA84" s="31" t="str">
        <v>Anaheim</v>
      </c>
      <c r="CL84" s="28">
        <v>81</v>
      </c>
      <c r="CM84" s="29" t="str">
        <v>Detroit</v>
      </c>
      <c r="CN84" s="31" t="str">
        <v>Washington</v>
      </c>
      <c r="CO84" s="28">
        <v>81</v>
      </c>
      <c r="CP84" s="29" t="str">
        <v>St. Louis</v>
      </c>
      <c r="CQ84" s="31" t="str">
        <v>Anaheim</v>
      </c>
      <c r="EB84" s="28">
        <v>81</v>
      </c>
      <c r="EC84" s="29" t="str">
        <v>Washington</v>
      </c>
      <c r="ED84" s="31" t="str">
        <v>Anaheim</v>
      </c>
      <c r="EV84" s="28">
        <v>73</v>
      </c>
      <c r="EW84" s="29">
        <v>6</v>
      </c>
      <c r="EX84" s="29">
        <v>7</v>
      </c>
      <c r="EY84" s="29">
        <v>23</v>
      </c>
      <c r="EZ84" s="29">
        <v>6</v>
      </c>
      <c r="FA84" s="29">
        <v>12</v>
      </c>
      <c r="FB84" s="29">
        <v>7</v>
      </c>
      <c r="FC84" s="29">
        <v>11</v>
      </c>
      <c r="FD84" s="29">
        <v>17</v>
      </c>
      <c r="FE84" s="29">
        <v>5</v>
      </c>
      <c r="FF84" s="29">
        <v>6</v>
      </c>
      <c r="FG84" s="29">
        <v>10</v>
      </c>
      <c r="FH84" s="29">
        <v>13</v>
      </c>
      <c r="FI84" s="29">
        <v>6</v>
      </c>
      <c r="FJ84" s="29">
        <v>5</v>
      </c>
      <c r="FK84" s="29">
        <v>18</v>
      </c>
      <c r="FL84" s="31">
        <v>26</v>
      </c>
      <c r="FR84" s="29">
        <v>82</v>
      </c>
      <c r="FS84" s="29" t="str">
        <v>Washington</v>
      </c>
    </row>
    <row r="85" spans="44:175">
      <c r="AR85" s="28">
        <v>82</v>
      </c>
      <c r="AS85" s="29" t="str">
        <v>Ottawa</v>
      </c>
      <c r="AT85" s="29" t="str">
        <v>Detroit</v>
      </c>
      <c r="AU85" s="29" t="str">
        <v>NY Islanders</v>
      </c>
      <c r="AV85" s="31" t="str">
        <v>Pittsburgh</v>
      </c>
      <c r="AW85" s="28">
        <v>82</v>
      </c>
      <c r="AX85" s="29" t="str">
        <v>St. Louis</v>
      </c>
      <c r="AY85" s="29" t="str">
        <v>Nashville</v>
      </c>
      <c r="AZ85" s="29" t="str">
        <v>Calgary</v>
      </c>
      <c r="BA85" s="31" t="str">
        <v>Anaheim</v>
      </c>
      <c r="CL85" s="28">
        <v>82</v>
      </c>
      <c r="CM85" s="29" t="str">
        <v>Detroit</v>
      </c>
      <c r="CN85" s="31" t="str">
        <v>NY Islanders</v>
      </c>
      <c r="CO85" s="28">
        <v>82</v>
      </c>
      <c r="CP85" s="29" t="str">
        <v>Chicago</v>
      </c>
      <c r="CQ85" s="31" t="str">
        <v>Vancouver</v>
      </c>
      <c r="EB85" s="28">
        <v>82</v>
      </c>
      <c r="EC85" s="29" t="str">
        <v>Washington</v>
      </c>
      <c r="ED85" s="31" t="str">
        <v>Anaheim</v>
      </c>
      <c r="EV85" s="28">
        <v>74</v>
      </c>
      <c r="EW85" s="29">
        <v>15</v>
      </c>
      <c r="EX85" s="29">
        <v>12</v>
      </c>
      <c r="EY85" s="29">
        <v>23</v>
      </c>
      <c r="EZ85" s="29">
        <v>7</v>
      </c>
      <c r="FA85" s="29">
        <v>11</v>
      </c>
      <c r="FB85" s="29">
        <v>7</v>
      </c>
      <c r="FC85" s="29">
        <v>7</v>
      </c>
      <c r="FD85" s="29">
        <v>7</v>
      </c>
      <c r="FE85" s="29">
        <v>7</v>
      </c>
      <c r="FF85" s="29">
        <v>4</v>
      </c>
      <c r="FG85" s="29">
        <v>6</v>
      </c>
      <c r="FH85" s="29">
        <v>7</v>
      </c>
      <c r="FI85" s="29">
        <v>27</v>
      </c>
      <c r="FJ85" s="29">
        <v>11</v>
      </c>
      <c r="FK85" s="29">
        <v>16</v>
      </c>
      <c r="FL85" s="31">
        <v>13</v>
      </c>
      <c r="FR85" s="29">
        <v>83</v>
      </c>
      <c r="FS85" s="29" t="str">
        <v>Washington</v>
      </c>
    </row>
    <row r="86" spans="44:175">
      <c r="AR86" s="28">
        <v>83</v>
      </c>
      <c r="AS86" s="29" t="str">
        <v>Ottawa</v>
      </c>
      <c r="AT86" s="29" t="str">
        <v>Detroit</v>
      </c>
      <c r="AU86" s="29" t="str">
        <v>NY Islanders</v>
      </c>
      <c r="AV86" s="31" t="str">
        <v>NY Rangers</v>
      </c>
      <c r="AW86" s="28">
        <v>83</v>
      </c>
      <c r="AX86" s="29" t="str">
        <v>Minnesota</v>
      </c>
      <c r="AY86" s="29" t="str">
        <v>Nashville</v>
      </c>
      <c r="AZ86" s="29" t="str">
        <v>Calgary</v>
      </c>
      <c r="BA86" s="31" t="str">
        <v>Anaheim</v>
      </c>
      <c r="CL86" s="28">
        <v>83</v>
      </c>
      <c r="CM86" s="29" t="str">
        <v>Detroit</v>
      </c>
      <c r="CN86" s="31" t="str">
        <v>Washington</v>
      </c>
      <c r="CO86" s="28">
        <v>83</v>
      </c>
      <c r="CP86" s="29" t="str">
        <v>Nashville</v>
      </c>
      <c r="CQ86" s="31" t="str">
        <v>Anaheim</v>
      </c>
      <c r="EB86" s="28">
        <v>83</v>
      </c>
      <c r="EC86" s="29" t="str">
        <v>Washington</v>
      </c>
      <c r="ED86" s="31" t="str">
        <v>Vancouver</v>
      </c>
      <c r="EV86" s="28">
        <v>75</v>
      </c>
      <c r="EW86" s="29">
        <v>4</v>
      </c>
      <c r="EX86" s="29">
        <v>6</v>
      </c>
      <c r="EY86" s="29">
        <v>6</v>
      </c>
      <c r="EZ86" s="29">
        <v>6</v>
      </c>
      <c r="FA86" s="29">
        <v>12</v>
      </c>
      <c r="FB86" s="29">
        <v>21</v>
      </c>
      <c r="FC86" s="29">
        <v>10</v>
      </c>
      <c r="FD86" s="29">
        <v>15</v>
      </c>
      <c r="FE86" s="29">
        <v>7</v>
      </c>
      <c r="FF86" s="29">
        <v>6</v>
      </c>
      <c r="FG86" s="29">
        <v>13</v>
      </c>
      <c r="FH86" s="29">
        <v>22</v>
      </c>
      <c r="FI86" s="29">
        <v>5</v>
      </c>
      <c r="FJ86" s="29">
        <v>7</v>
      </c>
      <c r="FK86" s="29">
        <v>19</v>
      </c>
      <c r="FL86" s="31">
        <v>11</v>
      </c>
      <c r="FR86" s="29">
        <v>84</v>
      </c>
      <c r="FS86" s="29" t="str">
        <v>Tampa Bay</v>
      </c>
    </row>
    <row r="87" spans="44:175">
      <c r="AR87" s="28">
        <v>84</v>
      </c>
      <c r="AS87" s="29" t="str">
        <v>Ottawa</v>
      </c>
      <c r="AT87" s="29" t="str">
        <v>Detroit</v>
      </c>
      <c r="AU87" s="29" t="str">
        <v>NY Islanders</v>
      </c>
      <c r="AV87" s="31" t="str">
        <v>NY Rangers</v>
      </c>
      <c r="AW87" s="28">
        <v>84</v>
      </c>
      <c r="AX87" s="29" t="str">
        <v>Minnesota</v>
      </c>
      <c r="AY87" s="29" t="str">
        <v>Nashville</v>
      </c>
      <c r="AZ87" s="29" t="str">
        <v>Calgary</v>
      </c>
      <c r="BA87" s="31" t="str">
        <v>Anaheim</v>
      </c>
      <c r="CL87" s="28">
        <v>84</v>
      </c>
      <c r="CM87" s="29" t="str">
        <v>Detroit</v>
      </c>
      <c r="CN87" s="31" t="str">
        <v>Washington</v>
      </c>
      <c r="CO87" s="28">
        <v>84</v>
      </c>
      <c r="CP87" s="29" t="str">
        <v>Minnesota</v>
      </c>
      <c r="CQ87" s="31" t="str">
        <v>Anaheim</v>
      </c>
      <c r="EB87" s="28">
        <v>84</v>
      </c>
      <c r="EC87" s="29" t="str">
        <v>Ottawa</v>
      </c>
      <c r="ED87" s="31" t="str">
        <v>Vancouver</v>
      </c>
      <c r="EV87" s="28">
        <v>76</v>
      </c>
      <c r="EW87" s="29">
        <v>6</v>
      </c>
      <c r="EX87" s="29">
        <v>7</v>
      </c>
      <c r="EY87" s="29">
        <v>22</v>
      </c>
      <c r="EZ87" s="29">
        <v>4</v>
      </c>
      <c r="FA87" s="29">
        <v>18</v>
      </c>
      <c r="FB87" s="29">
        <v>5</v>
      </c>
      <c r="FC87" s="29">
        <v>11</v>
      </c>
      <c r="FD87" s="29">
        <v>13</v>
      </c>
      <c r="FE87" s="29">
        <v>5</v>
      </c>
      <c r="FF87" s="29">
        <v>26</v>
      </c>
      <c r="FG87" s="29">
        <v>13</v>
      </c>
      <c r="FH87" s="29">
        <v>20</v>
      </c>
      <c r="FI87" s="29">
        <v>6</v>
      </c>
      <c r="FJ87" s="29">
        <v>6</v>
      </c>
      <c r="FK87" s="29">
        <v>6</v>
      </c>
      <c r="FL87" s="31">
        <v>12</v>
      </c>
      <c r="FR87" s="29">
        <v>85</v>
      </c>
      <c r="FS87" s="29" t="str">
        <v>Tampa Bay</v>
      </c>
    </row>
    <row r="88" spans="44:175">
      <c r="AR88" s="28">
        <v>85</v>
      </c>
      <c r="AS88" s="29" t="str">
        <v>Ottawa</v>
      </c>
      <c r="AT88" s="29" t="str">
        <v>Detroit</v>
      </c>
      <c r="AU88" s="29" t="str">
        <v>NY Islanders</v>
      </c>
      <c r="AV88" s="31" t="str">
        <v>Pittsburgh</v>
      </c>
      <c r="AW88" s="28">
        <v>85</v>
      </c>
      <c r="AX88" s="29" t="str">
        <v>St. Louis</v>
      </c>
      <c r="AY88" s="29" t="str">
        <v>Chicago</v>
      </c>
      <c r="AZ88" s="29" t="str">
        <v>Vancouver</v>
      </c>
      <c r="BA88" s="31" t="str">
        <v>Winnipeg</v>
      </c>
      <c r="CL88" s="28">
        <v>85</v>
      </c>
      <c r="CM88" s="29" t="str">
        <v>Tampa Bay</v>
      </c>
      <c r="CN88" s="31" t="str">
        <v>Washington</v>
      </c>
      <c r="CO88" s="28">
        <v>85</v>
      </c>
      <c r="CP88" s="29" t="str">
        <v>Chicago</v>
      </c>
      <c r="CQ88" s="31" t="str">
        <v>Vancouver</v>
      </c>
      <c r="EB88" s="28">
        <v>85</v>
      </c>
      <c r="EC88" s="29" t="str">
        <v>Ottawa</v>
      </c>
      <c r="ED88" s="31" t="str">
        <v>Vancouver</v>
      </c>
      <c r="EV88" s="28">
        <v>77</v>
      </c>
      <c r="EW88" s="29">
        <v>12</v>
      </c>
      <c r="EX88" s="29">
        <v>7</v>
      </c>
      <c r="EY88" s="29">
        <v>19</v>
      </c>
      <c r="EZ88" s="29">
        <v>7</v>
      </c>
      <c r="FA88" s="29">
        <v>18</v>
      </c>
      <c r="FB88" s="29">
        <v>6</v>
      </c>
      <c r="FC88" s="29">
        <v>11</v>
      </c>
      <c r="FD88" s="29">
        <v>5</v>
      </c>
      <c r="FE88" s="29">
        <v>9</v>
      </c>
      <c r="FF88" s="29">
        <v>22</v>
      </c>
      <c r="FG88" s="29">
        <v>12</v>
      </c>
      <c r="FH88" s="29">
        <v>6</v>
      </c>
      <c r="FI88" s="29">
        <v>17</v>
      </c>
      <c r="FJ88" s="29">
        <v>7</v>
      </c>
      <c r="FK88" s="29">
        <v>5</v>
      </c>
      <c r="FL88" s="31">
        <v>5</v>
      </c>
      <c r="FR88" s="29">
        <v>86</v>
      </c>
      <c r="FS88" s="29" t="str">
        <v>Minnesota</v>
      </c>
    </row>
    <row r="89" spans="44:175">
      <c r="AR89" s="28">
        <v>86</v>
      </c>
      <c r="AS89" s="29" t="str">
        <v>Ottawa</v>
      </c>
      <c r="AT89" s="29" t="str">
        <v>Detroit</v>
      </c>
      <c r="AU89" s="29" t="str">
        <v>NY Islanders</v>
      </c>
      <c r="AV89" s="31" t="str">
        <v>NY Rangers</v>
      </c>
      <c r="AW89" s="28">
        <v>86</v>
      </c>
      <c r="AX89" s="29" t="str">
        <v>St. Louis</v>
      </c>
      <c r="AY89" s="29" t="str">
        <v>Nashville</v>
      </c>
      <c r="AZ89" s="29" t="str">
        <v>Calgary</v>
      </c>
      <c r="BA89" s="31" t="str">
        <v>Anaheim</v>
      </c>
      <c r="CL89" s="28">
        <v>86</v>
      </c>
      <c r="CM89" s="29" t="str">
        <v>Ottawa</v>
      </c>
      <c r="CN89" s="31" t="str">
        <v>NY Islanders</v>
      </c>
      <c r="CO89" s="28">
        <v>86</v>
      </c>
      <c r="CP89" s="29" t="str">
        <v>Chicago</v>
      </c>
      <c r="CQ89" s="31" t="str">
        <v>Vancouver</v>
      </c>
      <c r="EB89" s="28">
        <v>86</v>
      </c>
      <c r="EC89" s="29" t="str">
        <v>Ottawa</v>
      </c>
      <c r="ED89" s="31" t="str">
        <v>Minnesota</v>
      </c>
      <c r="EV89" s="28">
        <v>78</v>
      </c>
      <c r="EW89" s="29">
        <v>12</v>
      </c>
      <c r="EX89" s="29">
        <v>7</v>
      </c>
      <c r="EY89" s="29">
        <v>19</v>
      </c>
      <c r="EZ89" s="29">
        <v>7</v>
      </c>
      <c r="FA89" s="29">
        <v>18</v>
      </c>
      <c r="FB89" s="29">
        <v>6</v>
      </c>
      <c r="FC89" s="29">
        <v>11</v>
      </c>
      <c r="FD89" s="29">
        <v>5</v>
      </c>
      <c r="FE89" s="29">
        <v>9</v>
      </c>
      <c r="FF89" s="29">
        <v>22</v>
      </c>
      <c r="FG89" s="29">
        <v>12</v>
      </c>
      <c r="FH89" s="29">
        <v>6</v>
      </c>
      <c r="FI89" s="29">
        <v>17</v>
      </c>
      <c r="FJ89" s="29">
        <v>7</v>
      </c>
      <c r="FK89" s="29">
        <v>5</v>
      </c>
      <c r="FL89" s="31">
        <v>5</v>
      </c>
      <c r="FR89" s="29">
        <v>87</v>
      </c>
      <c r="FS89" s="29" t="str">
        <v>Washington</v>
      </c>
    </row>
    <row r="90" spans="44:175">
      <c r="AR90" s="28">
        <v>87</v>
      </c>
      <c r="AS90" s="29" t="str">
        <v>Ottawa</v>
      </c>
      <c r="AT90" s="29" t="str">
        <v>Detroit</v>
      </c>
      <c r="AU90" s="29" t="str">
        <v>Washington</v>
      </c>
      <c r="AV90" s="31" t="str">
        <v>Pittsburgh</v>
      </c>
      <c r="AW90" s="28">
        <v>87</v>
      </c>
      <c r="AX90" s="29" t="str">
        <v>St. Louis</v>
      </c>
      <c r="AY90" s="29" t="str">
        <v>Nashville</v>
      </c>
      <c r="AZ90" s="29" t="str">
        <v>Calgary</v>
      </c>
      <c r="BA90" s="31" t="str">
        <v>Anaheim</v>
      </c>
      <c r="CL90" s="28">
        <v>87</v>
      </c>
      <c r="CM90" s="29" t="str">
        <v>Tampa Bay</v>
      </c>
      <c r="CN90" s="31" t="str">
        <v>Washington</v>
      </c>
      <c r="CO90" s="28">
        <v>87</v>
      </c>
      <c r="CP90" s="29" t="str">
        <v>Chicago</v>
      </c>
      <c r="CQ90" s="31" t="str">
        <v>Winnipeg</v>
      </c>
      <c r="EB90" s="28">
        <v>87</v>
      </c>
      <c r="EC90" s="29" t="str">
        <v>NY Islanders</v>
      </c>
      <c r="ED90" s="31" t="str">
        <v>Winnipeg</v>
      </c>
      <c r="EV90" s="28">
        <v>79</v>
      </c>
      <c r="EW90" s="29">
        <v>7</v>
      </c>
      <c r="EX90" s="29">
        <v>6</v>
      </c>
      <c r="EY90" s="29">
        <v>24</v>
      </c>
      <c r="EZ90" s="29">
        <v>19</v>
      </c>
      <c r="FA90" s="29">
        <v>7</v>
      </c>
      <c r="FB90" s="29">
        <v>6</v>
      </c>
      <c r="FC90" s="29">
        <v>10</v>
      </c>
      <c r="FD90" s="29">
        <v>12</v>
      </c>
      <c r="FE90" s="29">
        <v>6</v>
      </c>
      <c r="FF90" s="29">
        <v>13</v>
      </c>
      <c r="FG90" s="29">
        <v>7</v>
      </c>
      <c r="FH90" s="29">
        <v>7</v>
      </c>
      <c r="FI90" s="29">
        <v>21</v>
      </c>
      <c r="FJ90" s="29">
        <v>28</v>
      </c>
      <c r="FK90" s="29">
        <v>6</v>
      </c>
      <c r="FL90" s="31">
        <v>13</v>
      </c>
      <c r="FR90" s="29">
        <v>88</v>
      </c>
      <c r="FS90" s="29" t="str">
        <v>Chicago</v>
      </c>
    </row>
    <row r="91" spans="44:175">
      <c r="AR91" s="28">
        <v>88</v>
      </c>
      <c r="AS91" s="29" t="str">
        <v>Montreal</v>
      </c>
      <c r="AT91" s="29" t="str">
        <v>Detroit</v>
      </c>
      <c r="AU91" s="29" t="str">
        <v>NY Islanders</v>
      </c>
      <c r="AV91" s="31" t="str">
        <v>Pittsburgh</v>
      </c>
      <c r="AW91" s="28">
        <v>88</v>
      </c>
      <c r="AX91" s="29" t="str">
        <v>St. Louis</v>
      </c>
      <c r="AY91" s="29" t="str">
        <v>Nashville</v>
      </c>
      <c r="AZ91" s="29" t="str">
        <v>Calgary</v>
      </c>
      <c r="BA91" s="31" t="str">
        <v>Anaheim</v>
      </c>
      <c r="CL91" s="28">
        <v>88</v>
      </c>
      <c r="CM91" s="29" t="str">
        <v>Tampa Bay</v>
      </c>
      <c r="CN91" s="31" t="str">
        <v>Washington</v>
      </c>
      <c r="CO91" s="28">
        <v>88</v>
      </c>
      <c r="CP91" s="29" t="str">
        <v>Nashville</v>
      </c>
      <c r="CQ91" s="31" t="str">
        <v>Vancouver</v>
      </c>
      <c r="EB91" s="28">
        <v>88</v>
      </c>
      <c r="EC91" s="29" t="str">
        <v>Washington</v>
      </c>
      <c r="ED91" s="31" t="str">
        <v>Winnipeg</v>
      </c>
      <c r="EV91" s="28">
        <v>80</v>
      </c>
      <c r="EW91" s="29">
        <v>12</v>
      </c>
      <c r="EX91" s="29">
        <v>8</v>
      </c>
      <c r="EY91" s="29">
        <v>17</v>
      </c>
      <c r="EZ91" s="29">
        <v>6</v>
      </c>
      <c r="FA91" s="29">
        <v>26</v>
      </c>
      <c r="FB91" s="29">
        <v>7</v>
      </c>
      <c r="FC91" s="29">
        <v>4</v>
      </c>
      <c r="FD91" s="29">
        <v>5</v>
      </c>
      <c r="FE91" s="29">
        <v>6</v>
      </c>
      <c r="FF91" s="29">
        <v>26</v>
      </c>
      <c r="FG91" s="29">
        <v>6</v>
      </c>
      <c r="FH91" s="29">
        <v>18</v>
      </c>
      <c r="FI91" s="29">
        <v>6</v>
      </c>
      <c r="FJ91" s="29">
        <v>11</v>
      </c>
      <c r="FK91" s="29">
        <v>7</v>
      </c>
      <c r="FL91" s="31">
        <v>11</v>
      </c>
      <c r="FR91" s="29">
        <v>89</v>
      </c>
      <c r="FS91" s="29" t="str">
        <v>Detroit</v>
      </c>
    </row>
    <row r="92" spans="44:175">
      <c r="AR92" s="28">
        <v>89</v>
      </c>
      <c r="AS92" s="29" t="str">
        <v>Ottawa</v>
      </c>
      <c r="AT92" s="29" t="str">
        <v>Tampa Bay</v>
      </c>
      <c r="AU92" s="29" t="str">
        <v>NY Islanders</v>
      </c>
      <c r="AV92" s="31" t="str">
        <v>Pittsburgh</v>
      </c>
      <c r="AW92" s="28">
        <v>89</v>
      </c>
      <c r="AX92" s="29" t="str">
        <v>St. Louis</v>
      </c>
      <c r="AY92" s="29" t="str">
        <v>Chicago</v>
      </c>
      <c r="AZ92" s="29" t="str">
        <v>Calgary</v>
      </c>
      <c r="BA92" s="31" t="str">
        <v>Anaheim</v>
      </c>
      <c r="CL92" s="28">
        <v>89</v>
      </c>
      <c r="CM92" s="29" t="str">
        <v>Tampa Bay</v>
      </c>
      <c r="CN92" s="31" t="str">
        <v>NY Islanders</v>
      </c>
      <c r="CO92" s="28">
        <v>89</v>
      </c>
      <c r="CP92" s="29" t="str">
        <v>St. Louis</v>
      </c>
      <c r="CQ92" s="31" t="str">
        <v>Anaheim</v>
      </c>
      <c r="EB92" s="28">
        <v>89</v>
      </c>
      <c r="EC92" s="29" t="str">
        <v>NY Islanders</v>
      </c>
      <c r="ED92" s="31" t="str">
        <v>Winnipeg</v>
      </c>
      <c r="EV92" s="28">
        <v>81</v>
      </c>
      <c r="EW92" s="29">
        <v>5</v>
      </c>
      <c r="EX92" s="29">
        <v>11</v>
      </c>
      <c r="EY92" s="29">
        <v>23</v>
      </c>
      <c r="EZ92" s="29">
        <v>18</v>
      </c>
      <c r="FA92" s="29">
        <v>7</v>
      </c>
      <c r="FB92" s="29">
        <v>5</v>
      </c>
      <c r="FC92" s="29">
        <v>6</v>
      </c>
      <c r="FD92" s="29">
        <v>9</v>
      </c>
      <c r="FE92" s="29">
        <v>6</v>
      </c>
      <c r="FF92" s="29">
        <v>6</v>
      </c>
      <c r="FG92" s="29">
        <v>7</v>
      </c>
      <c r="FH92" s="29">
        <v>16</v>
      </c>
      <c r="FI92" s="29">
        <v>6</v>
      </c>
      <c r="FJ92" s="29">
        <v>11</v>
      </c>
      <c r="FK92" s="29">
        <v>21</v>
      </c>
      <c r="FL92" s="31">
        <v>11</v>
      </c>
      <c r="FR92" s="29">
        <v>90</v>
      </c>
      <c r="FS92" s="29" t="str">
        <v>Detroit</v>
      </c>
    </row>
    <row r="93" spans="44:175">
      <c r="AR93" s="28">
        <v>90</v>
      </c>
      <c r="AS93" s="29" t="str">
        <v>Montreal</v>
      </c>
      <c r="AT93" s="29" t="str">
        <v>Tampa Bay</v>
      </c>
      <c r="AU93" s="29" t="str">
        <v>Washington</v>
      </c>
      <c r="AV93" s="31" t="str">
        <v>NY Rangers</v>
      </c>
      <c r="AW93" s="28">
        <v>90</v>
      </c>
      <c r="AX93" s="29" t="str">
        <v>Minnesota</v>
      </c>
      <c r="AY93" s="29" t="str">
        <v>Chicago</v>
      </c>
      <c r="AZ93" s="29" t="str">
        <v>Calgary</v>
      </c>
      <c r="BA93" s="31" t="str">
        <v>Anaheim</v>
      </c>
      <c r="CL93" s="28">
        <v>90</v>
      </c>
      <c r="CM93" s="29" t="str">
        <v>Tampa Bay</v>
      </c>
      <c r="CN93" s="31" t="str">
        <v>Washington</v>
      </c>
      <c r="CO93" s="28">
        <v>90</v>
      </c>
      <c r="CP93" s="29" t="str">
        <v>Chicago</v>
      </c>
      <c r="CQ93" s="31" t="str">
        <v>Calgary</v>
      </c>
      <c r="EB93" s="28">
        <v>90</v>
      </c>
      <c r="EC93" s="29" t="str">
        <v>Washington</v>
      </c>
      <c r="ED93" s="31" t="str">
        <v>Vancouver</v>
      </c>
      <c r="EV93" s="28">
        <v>82</v>
      </c>
      <c r="EW93" s="29">
        <v>4</v>
      </c>
      <c r="EX93" s="29">
        <v>8</v>
      </c>
      <c r="EY93" s="29">
        <v>17</v>
      </c>
      <c r="EZ93" s="29">
        <v>20</v>
      </c>
      <c r="FA93" s="29">
        <v>5</v>
      </c>
      <c r="FB93" s="29">
        <v>7</v>
      </c>
      <c r="FC93" s="29">
        <v>4</v>
      </c>
      <c r="FD93" s="29">
        <v>8</v>
      </c>
      <c r="FE93" s="29">
        <v>12</v>
      </c>
      <c r="FF93" s="29">
        <v>10</v>
      </c>
      <c r="FG93" s="29">
        <v>15</v>
      </c>
      <c r="FH93" s="29">
        <v>22</v>
      </c>
      <c r="FI93" s="29">
        <v>6</v>
      </c>
      <c r="FJ93" s="29">
        <v>7</v>
      </c>
      <c r="FK93" s="29">
        <v>6</v>
      </c>
      <c r="FL93" s="31">
        <v>5</v>
      </c>
      <c r="FR93" s="29">
        <v>91</v>
      </c>
      <c r="FS93" s="29" t="str">
        <v>Chicago</v>
      </c>
    </row>
    <row r="94" spans="44:175">
      <c r="AR94" s="28">
        <v>91</v>
      </c>
      <c r="AS94" s="29" t="str">
        <v>Ottawa</v>
      </c>
      <c r="AT94" s="29" t="str">
        <v>Tampa Bay</v>
      </c>
      <c r="AU94" s="29" t="str">
        <v>Washington</v>
      </c>
      <c r="AV94" s="31" t="str">
        <v>Pittsburgh</v>
      </c>
      <c r="AW94" s="28">
        <v>91</v>
      </c>
      <c r="AX94" s="29" t="str">
        <v>St. Louis</v>
      </c>
      <c r="AY94" s="29" t="str">
        <v>Nashville</v>
      </c>
      <c r="AZ94" s="29" t="str">
        <v>Vancouver</v>
      </c>
      <c r="BA94" s="31" t="str">
        <v>Anaheim</v>
      </c>
      <c r="CL94" s="28">
        <v>91</v>
      </c>
      <c r="CM94" s="29" t="str">
        <v>Detroit</v>
      </c>
      <c r="CN94" s="31" t="str">
        <v>Washington</v>
      </c>
      <c r="CO94" s="28">
        <v>91</v>
      </c>
      <c r="CP94" s="29" t="str">
        <v>Chicago</v>
      </c>
      <c r="CQ94" s="31" t="str">
        <v>Anaheim</v>
      </c>
      <c r="EB94" s="28">
        <v>91</v>
      </c>
      <c r="EC94" s="29" t="str">
        <v>Washington</v>
      </c>
      <c r="ED94" s="31" t="str">
        <v>Vancouver</v>
      </c>
      <c r="EV94" s="28">
        <v>83</v>
      </c>
      <c r="EW94" s="29">
        <v>4</v>
      </c>
      <c r="EX94" s="29">
        <v>8</v>
      </c>
      <c r="EY94" s="29">
        <v>17</v>
      </c>
      <c r="EZ94" s="29">
        <v>20</v>
      </c>
      <c r="FA94" s="29">
        <v>5</v>
      </c>
      <c r="FB94" s="29">
        <v>7</v>
      </c>
      <c r="FC94" s="29">
        <v>4</v>
      </c>
      <c r="FD94" s="29">
        <v>8</v>
      </c>
      <c r="FE94" s="29">
        <v>12</v>
      </c>
      <c r="FF94" s="29">
        <v>10</v>
      </c>
      <c r="FG94" s="29">
        <v>15</v>
      </c>
      <c r="FH94" s="29">
        <v>22</v>
      </c>
      <c r="FI94" s="29">
        <v>6</v>
      </c>
      <c r="FJ94" s="29">
        <v>7</v>
      </c>
      <c r="FK94" s="29">
        <v>6</v>
      </c>
      <c r="FL94" s="31">
        <v>5</v>
      </c>
      <c r="FR94" s="29">
        <v>92</v>
      </c>
      <c r="FS94" s="29" t="str">
        <v>Calgary</v>
      </c>
    </row>
    <row r="95" spans="44:175">
      <c r="AR95" s="28">
        <v>92</v>
      </c>
      <c r="AS95" s="29" t="str">
        <v>Ottawa</v>
      </c>
      <c r="AT95" s="29" t="str">
        <v>Detroit</v>
      </c>
      <c r="AU95" s="29" t="str">
        <v>Washington</v>
      </c>
      <c r="AV95" s="31" t="str">
        <v>NY Rangers</v>
      </c>
      <c r="AW95" s="28">
        <v>92</v>
      </c>
      <c r="AX95" s="29" t="str">
        <v>Minnesota</v>
      </c>
      <c r="AY95" s="29" t="str">
        <v>Nashville</v>
      </c>
      <c r="AZ95" s="29" t="str">
        <v>Vancouver</v>
      </c>
      <c r="BA95" s="31" t="str">
        <v>Winnipeg</v>
      </c>
      <c r="CL95" s="28">
        <v>92</v>
      </c>
      <c r="CM95" s="29" t="str">
        <v>Tampa Bay</v>
      </c>
      <c r="CN95" s="31" t="str">
        <v>Washington</v>
      </c>
      <c r="CO95" s="28">
        <v>92</v>
      </c>
      <c r="CP95" s="29" t="str">
        <v>Nashville</v>
      </c>
      <c r="CQ95" s="31" t="str">
        <v>Winnipeg</v>
      </c>
      <c r="EB95" s="28">
        <v>92</v>
      </c>
      <c r="EC95" s="29" t="str">
        <v>NY Islanders</v>
      </c>
      <c r="ED95" s="31" t="str">
        <v>Chicago</v>
      </c>
      <c r="EV95" s="28">
        <v>84</v>
      </c>
      <c r="EW95" s="29">
        <v>12</v>
      </c>
      <c r="EX95" s="29">
        <v>12</v>
      </c>
      <c r="EY95" s="29">
        <v>26</v>
      </c>
      <c r="EZ95" s="29">
        <v>6</v>
      </c>
      <c r="FA95" s="29">
        <v>18</v>
      </c>
      <c r="FB95" s="29">
        <v>7</v>
      </c>
      <c r="FC95" s="29">
        <v>7</v>
      </c>
      <c r="FD95" s="29">
        <v>7</v>
      </c>
      <c r="FE95" s="29">
        <v>7</v>
      </c>
      <c r="FF95" s="29">
        <v>4</v>
      </c>
      <c r="FG95" s="29">
        <v>23</v>
      </c>
      <c r="FH95" s="29">
        <v>16</v>
      </c>
      <c r="FI95" s="29">
        <v>6</v>
      </c>
      <c r="FJ95" s="29">
        <v>6</v>
      </c>
      <c r="FK95" s="29">
        <v>10</v>
      </c>
      <c r="FL95" s="31">
        <v>13</v>
      </c>
      <c r="FR95" s="29">
        <v>93</v>
      </c>
      <c r="FS95" s="29" t="str">
        <v>Anaheim</v>
      </c>
    </row>
    <row r="96" spans="44:175">
      <c r="AR96" s="28">
        <v>93</v>
      </c>
      <c r="AS96" s="29" t="str">
        <v>Ottawa</v>
      </c>
      <c r="AT96" s="29" t="str">
        <v>Tampa Bay</v>
      </c>
      <c r="AU96" s="29" t="str">
        <v>Washington</v>
      </c>
      <c r="AV96" s="31" t="str">
        <v>Pittsburgh</v>
      </c>
      <c r="AW96" s="28">
        <v>93</v>
      </c>
      <c r="AX96" s="29" t="str">
        <v>Minnesota</v>
      </c>
      <c r="AY96" s="29" t="str">
        <v>Nashville</v>
      </c>
      <c r="AZ96" s="29" t="str">
        <v>Vancouver</v>
      </c>
      <c r="BA96" s="31" t="str">
        <v>Winnipeg</v>
      </c>
      <c r="CL96" s="28">
        <v>93</v>
      </c>
      <c r="CM96" s="29" t="str">
        <v>Tampa Bay</v>
      </c>
      <c r="CN96" s="31" t="str">
        <v>Washington</v>
      </c>
      <c r="CO96" s="28">
        <v>93</v>
      </c>
      <c r="CP96" s="29" t="str">
        <v>Chicago</v>
      </c>
      <c r="CQ96" s="31" t="str">
        <v>Anaheim</v>
      </c>
      <c r="EB96" s="28">
        <v>93</v>
      </c>
      <c r="EC96" s="29" t="str">
        <v>NY Islanders</v>
      </c>
      <c r="ED96" s="31" t="str">
        <v>Anaheim</v>
      </c>
      <c r="EV96" s="28">
        <v>85</v>
      </c>
      <c r="EW96" s="29">
        <v>6</v>
      </c>
      <c r="EX96" s="29">
        <v>9</v>
      </c>
      <c r="EY96" s="29">
        <v>23</v>
      </c>
      <c r="EZ96" s="29">
        <v>4</v>
      </c>
      <c r="FA96" s="29">
        <v>14</v>
      </c>
      <c r="FB96" s="29">
        <v>7</v>
      </c>
      <c r="FC96" s="29">
        <v>5</v>
      </c>
      <c r="FD96" s="29">
        <v>11</v>
      </c>
      <c r="FE96" s="29">
        <v>4</v>
      </c>
      <c r="FF96" s="29">
        <v>6</v>
      </c>
      <c r="FG96" s="29">
        <v>5</v>
      </c>
      <c r="FH96" s="29">
        <v>4</v>
      </c>
      <c r="FI96" s="29">
        <v>12</v>
      </c>
      <c r="FJ96" s="29">
        <v>11</v>
      </c>
      <c r="FK96" s="29">
        <v>23</v>
      </c>
      <c r="FL96" s="31">
        <v>8</v>
      </c>
      <c r="FR96" s="29">
        <v>94</v>
      </c>
      <c r="FS96" s="29" t="str">
        <v>Tampa Bay</v>
      </c>
    </row>
    <row r="97" spans="44:175">
      <c r="AR97" s="28">
        <v>94</v>
      </c>
      <c r="AS97" s="29" t="str">
        <v>Ottawa</v>
      </c>
      <c r="AT97" s="29" t="str">
        <v>Detroit</v>
      </c>
      <c r="AU97" s="29" t="str">
        <v>Washington</v>
      </c>
      <c r="AV97" s="31" t="str">
        <v>Pittsburgh</v>
      </c>
      <c r="AW97" s="28">
        <v>94</v>
      </c>
      <c r="AX97" s="29" t="str">
        <v>Minnesota</v>
      </c>
      <c r="AY97" s="29" t="str">
        <v>Nashville</v>
      </c>
      <c r="AZ97" s="29" t="str">
        <v>Vancouver</v>
      </c>
      <c r="BA97" s="31" t="str">
        <v>Anaheim</v>
      </c>
      <c r="CL97" s="28">
        <v>94</v>
      </c>
      <c r="CM97" s="29" t="str">
        <v>Ottawa</v>
      </c>
      <c r="CN97" s="31" t="str">
        <v>Washington</v>
      </c>
      <c r="CO97" s="28">
        <v>94</v>
      </c>
      <c r="CP97" s="29" t="str">
        <v>Nashville</v>
      </c>
      <c r="CQ97" s="31" t="str">
        <v>Vancouver</v>
      </c>
      <c r="EB97" s="28">
        <v>94</v>
      </c>
      <c r="EC97" s="29" t="str">
        <v>Washington</v>
      </c>
      <c r="ED97" s="31" t="str">
        <v>Anaheim</v>
      </c>
      <c r="EV97" s="28">
        <v>86</v>
      </c>
      <c r="EW97" s="29">
        <v>7</v>
      </c>
      <c r="EX97" s="29">
        <v>13</v>
      </c>
      <c r="EY97" s="29">
        <v>7</v>
      </c>
      <c r="EZ97" s="29">
        <v>6</v>
      </c>
      <c r="FA97" s="29">
        <v>14</v>
      </c>
      <c r="FB97" s="29">
        <v>22</v>
      </c>
      <c r="FC97" s="29">
        <v>7</v>
      </c>
      <c r="FD97" s="29">
        <v>11</v>
      </c>
      <c r="FE97" s="29">
        <v>4</v>
      </c>
      <c r="FF97" s="29">
        <v>11</v>
      </c>
      <c r="FG97" s="29">
        <v>4</v>
      </c>
      <c r="FH97" s="29">
        <v>4</v>
      </c>
      <c r="FI97" s="29">
        <v>15</v>
      </c>
      <c r="FJ97" s="29">
        <v>22</v>
      </c>
      <c r="FK97" s="29">
        <v>5</v>
      </c>
      <c r="FL97" s="31">
        <v>8</v>
      </c>
      <c r="FR97" s="29">
        <v>95</v>
      </c>
      <c r="FS97" s="29" t="str">
        <v>Anaheim</v>
      </c>
    </row>
    <row r="98" spans="44:175">
      <c r="AR98" s="28">
        <v>95</v>
      </c>
      <c r="AS98" s="29" t="str">
        <v>Ottawa</v>
      </c>
      <c r="AT98" s="29" t="str">
        <v>Detroit</v>
      </c>
      <c r="AU98" s="29" t="str">
        <v>Washington</v>
      </c>
      <c r="AV98" s="31" t="str">
        <v>Pittsburgh</v>
      </c>
      <c r="AW98" s="28">
        <v>95</v>
      </c>
      <c r="AX98" s="29" t="str">
        <v>Minnesota</v>
      </c>
      <c r="AY98" s="29" t="str">
        <v>Nashville</v>
      </c>
      <c r="AZ98" s="29" t="str">
        <v>Vancouver</v>
      </c>
      <c r="BA98" s="31" t="str">
        <v>Anaheim</v>
      </c>
      <c r="CL98" s="28">
        <v>95</v>
      </c>
      <c r="CM98" s="29" t="str">
        <v>Tampa Bay</v>
      </c>
      <c r="CN98" s="31" t="str">
        <v>NY Islanders</v>
      </c>
      <c r="CO98" s="28">
        <v>95</v>
      </c>
      <c r="CP98" s="29" t="str">
        <v>Minnesota</v>
      </c>
      <c r="CQ98" s="31" t="str">
        <v>Vancouver</v>
      </c>
      <c r="EB98" s="28">
        <v>95</v>
      </c>
      <c r="EC98" s="29" t="str">
        <v>Washington</v>
      </c>
      <c r="ED98" s="31" t="str">
        <v>Winnipeg</v>
      </c>
      <c r="EV98" s="28">
        <v>87</v>
      </c>
      <c r="EW98" s="29">
        <v>25</v>
      </c>
      <c r="EX98" s="29">
        <v>6</v>
      </c>
      <c r="EY98" s="29">
        <v>15</v>
      </c>
      <c r="EZ98" s="29">
        <v>11</v>
      </c>
      <c r="FA98" s="29">
        <v>5</v>
      </c>
      <c r="FB98" s="29">
        <v>5</v>
      </c>
      <c r="FC98" s="29">
        <v>10</v>
      </c>
      <c r="FD98" s="29">
        <v>7</v>
      </c>
      <c r="FE98" s="29">
        <v>5</v>
      </c>
      <c r="FF98" s="29">
        <v>7</v>
      </c>
      <c r="FG98" s="29">
        <v>10</v>
      </c>
      <c r="FH98" s="29">
        <v>4</v>
      </c>
      <c r="FI98" s="29">
        <v>13</v>
      </c>
      <c r="FJ98" s="29">
        <v>5</v>
      </c>
      <c r="FK98" s="29">
        <v>23</v>
      </c>
      <c r="FL98" s="31">
        <v>9</v>
      </c>
      <c r="FR98" s="29">
        <v>96</v>
      </c>
      <c r="FS98" s="29" t="str">
        <v>Tampa Bay</v>
      </c>
    </row>
    <row r="99" spans="44:175">
      <c r="AR99" s="28">
        <v>96</v>
      </c>
      <c r="AS99" s="29" t="str">
        <v>Ottawa</v>
      </c>
      <c r="AT99" s="29" t="str">
        <v>Detroit</v>
      </c>
      <c r="AU99" s="29" t="str">
        <v>Washington</v>
      </c>
      <c r="AV99" s="31" t="str">
        <v>NY Rangers</v>
      </c>
      <c r="AW99" s="28">
        <v>96</v>
      </c>
      <c r="AX99" s="29" t="str">
        <v>St. Louis</v>
      </c>
      <c r="AY99" s="29" t="str">
        <v>Nashville</v>
      </c>
      <c r="AZ99" s="29" t="str">
        <v>Calgary</v>
      </c>
      <c r="BA99" s="31" t="str">
        <v>Winnipeg</v>
      </c>
      <c r="CL99" s="28">
        <v>96</v>
      </c>
      <c r="CM99" s="29" t="str">
        <v>Detroit</v>
      </c>
      <c r="CN99" s="31" t="str">
        <v>NY Islanders</v>
      </c>
      <c r="CO99" s="28">
        <v>96</v>
      </c>
      <c r="CP99" s="29" t="str">
        <v>Chicago</v>
      </c>
      <c r="CQ99" s="31" t="str">
        <v>Calgary</v>
      </c>
      <c r="EB99" s="28">
        <v>96</v>
      </c>
      <c r="EC99" s="29" t="str">
        <v>Washington</v>
      </c>
      <c r="ED99" s="31" t="str">
        <v>Vancouver</v>
      </c>
      <c r="EV99" s="28">
        <v>88</v>
      </c>
      <c r="EW99" s="29">
        <v>25</v>
      </c>
      <c r="EX99" s="29">
        <v>6</v>
      </c>
      <c r="EY99" s="29">
        <v>15</v>
      </c>
      <c r="EZ99" s="29">
        <v>11</v>
      </c>
      <c r="FA99" s="29">
        <v>5</v>
      </c>
      <c r="FB99" s="29">
        <v>5</v>
      </c>
      <c r="FC99" s="29">
        <v>10</v>
      </c>
      <c r="FD99" s="29">
        <v>7</v>
      </c>
      <c r="FE99" s="29">
        <v>5</v>
      </c>
      <c r="FF99" s="29">
        <v>7</v>
      </c>
      <c r="FG99" s="29">
        <v>10</v>
      </c>
      <c r="FH99" s="29">
        <v>4</v>
      </c>
      <c r="FI99" s="29">
        <v>13</v>
      </c>
      <c r="FJ99" s="29">
        <v>5</v>
      </c>
      <c r="FK99" s="29">
        <v>23</v>
      </c>
      <c r="FL99" s="31">
        <v>9</v>
      </c>
      <c r="FR99" s="29">
        <v>97</v>
      </c>
      <c r="FS99" s="29" t="str">
        <v>Vancouver</v>
      </c>
    </row>
    <row r="100" spans="44:175">
      <c r="AR100" s="28">
        <v>97</v>
      </c>
      <c r="AS100" s="29" t="str">
        <v>Ottawa</v>
      </c>
      <c r="AT100" s="29" t="str">
        <v>Detroit</v>
      </c>
      <c r="AU100" s="29" t="str">
        <v>Washington</v>
      </c>
      <c r="AV100" s="31" t="str">
        <v>Pittsburgh</v>
      </c>
      <c r="AW100" s="28">
        <v>97</v>
      </c>
      <c r="AX100" s="29" t="str">
        <v>St. Louis</v>
      </c>
      <c r="AY100" s="29" t="str">
        <v>Nashville</v>
      </c>
      <c r="AZ100" s="29" t="str">
        <v>Calgary</v>
      </c>
      <c r="BA100" s="31" t="str">
        <v>Winnipeg</v>
      </c>
      <c r="CL100" s="28">
        <v>97</v>
      </c>
      <c r="CM100" s="29" t="str">
        <v>Detroit</v>
      </c>
      <c r="CN100" s="31" t="str">
        <v>NY Islanders</v>
      </c>
      <c r="CO100" s="28">
        <v>97</v>
      </c>
      <c r="CP100" s="29" t="str">
        <v>Minnesota</v>
      </c>
      <c r="CQ100" s="31" t="str">
        <v>Vancouver</v>
      </c>
      <c r="EB100" s="28">
        <v>97</v>
      </c>
      <c r="EC100" s="29" t="str">
        <v>Washington</v>
      </c>
      <c r="ED100" s="31" t="str">
        <v>Vancouver</v>
      </c>
      <c r="EV100" s="28">
        <v>89</v>
      </c>
      <c r="EW100" s="29">
        <v>14</v>
      </c>
      <c r="EX100" s="29">
        <v>5</v>
      </c>
      <c r="EY100" s="29">
        <v>21</v>
      </c>
      <c r="EZ100" s="29">
        <v>7</v>
      </c>
      <c r="FA100" s="29">
        <v>21</v>
      </c>
      <c r="FB100" s="29">
        <v>5</v>
      </c>
      <c r="FC100" s="29">
        <v>9</v>
      </c>
      <c r="FD100" s="29">
        <v>7</v>
      </c>
      <c r="FE100" s="29">
        <v>5</v>
      </c>
      <c r="FF100" s="29">
        <v>12</v>
      </c>
      <c r="FG100" s="29">
        <v>7</v>
      </c>
      <c r="FH100" s="29">
        <v>6</v>
      </c>
      <c r="FI100" s="29">
        <v>13</v>
      </c>
      <c r="FJ100" s="29">
        <v>20</v>
      </c>
      <c r="FK100" s="29">
        <v>6</v>
      </c>
      <c r="FL100" s="31">
        <v>24</v>
      </c>
      <c r="FR100" s="29">
        <v>98</v>
      </c>
      <c r="FS100" s="29" t="str">
        <v>Anaheim</v>
      </c>
    </row>
    <row r="101" spans="44:175">
      <c r="AR101" s="28">
        <v>98</v>
      </c>
      <c r="AS101" s="29" t="str">
        <v>Montreal</v>
      </c>
      <c r="AT101" s="29" t="str">
        <v>Detroit</v>
      </c>
      <c r="AU101" s="29" t="str">
        <v>Washington</v>
      </c>
      <c r="AV101" s="31" t="str">
        <v>NY Rangers</v>
      </c>
      <c r="AW101" s="28">
        <v>98</v>
      </c>
      <c r="AX101" s="29" t="str">
        <v>Minnesota</v>
      </c>
      <c r="AY101" s="29" t="str">
        <v>Nashville</v>
      </c>
      <c r="AZ101" s="29" t="str">
        <v>Calgary</v>
      </c>
      <c r="BA101" s="31" t="str">
        <v>Winnipeg</v>
      </c>
      <c r="CL101" s="28">
        <v>98</v>
      </c>
      <c r="CM101" s="29" t="str">
        <v>Detroit</v>
      </c>
      <c r="CN101" s="31" t="str">
        <v>Washington</v>
      </c>
      <c r="CO101" s="28">
        <v>98</v>
      </c>
      <c r="CP101" s="29" t="str">
        <v>Minnesota</v>
      </c>
      <c r="CQ101" s="31" t="str">
        <v>Vancouver</v>
      </c>
      <c r="EB101" s="28">
        <v>98</v>
      </c>
      <c r="EC101" s="29" t="str">
        <v>Washington</v>
      </c>
      <c r="ED101" s="31" t="str">
        <v>Anaheim</v>
      </c>
      <c r="EV101" s="28">
        <v>90</v>
      </c>
      <c r="EW101" s="29">
        <v>5</v>
      </c>
      <c r="EX101" s="29">
        <v>7</v>
      </c>
      <c r="EY101" s="29">
        <v>21</v>
      </c>
      <c r="EZ101" s="29">
        <v>7</v>
      </c>
      <c r="FA101" s="29">
        <v>13</v>
      </c>
      <c r="FB101" s="29">
        <v>7</v>
      </c>
      <c r="FC101" s="29">
        <v>11</v>
      </c>
      <c r="FD101" s="29">
        <v>15</v>
      </c>
      <c r="FE101" s="29">
        <v>14</v>
      </c>
      <c r="FF101" s="29">
        <v>20</v>
      </c>
      <c r="FG101" s="29">
        <v>12</v>
      </c>
      <c r="FH101" s="29">
        <v>6</v>
      </c>
      <c r="FI101" s="29">
        <v>26</v>
      </c>
      <c r="FJ101" s="29">
        <v>5</v>
      </c>
      <c r="FK101" s="29">
        <v>6</v>
      </c>
      <c r="FL101" s="31">
        <v>7</v>
      </c>
      <c r="FR101" s="29">
        <v>99</v>
      </c>
      <c r="FS101" s="29" t="str">
        <v>Anaheim</v>
      </c>
    </row>
    <row r="102" spans="44:175">
      <c r="AR102" s="28">
        <v>99</v>
      </c>
      <c r="AS102" s="29" t="str">
        <v>Ottawa</v>
      </c>
      <c r="AT102" s="29" t="str">
        <v>Detroit</v>
      </c>
      <c r="AU102" s="29" t="str">
        <v>Washington</v>
      </c>
      <c r="AV102" s="31" t="str">
        <v>Pittsburgh</v>
      </c>
      <c r="AW102" s="28">
        <v>99</v>
      </c>
      <c r="AX102" s="29" t="str">
        <v>St. Louis</v>
      </c>
      <c r="AY102" s="29" t="str">
        <v>Chicago</v>
      </c>
      <c r="AZ102" s="29" t="str">
        <v>Vancouver</v>
      </c>
      <c r="BA102" s="31" t="str">
        <v>Anaheim</v>
      </c>
      <c r="CL102" s="28">
        <v>99</v>
      </c>
      <c r="CM102" s="29" t="str">
        <v>Montreal</v>
      </c>
      <c r="CN102" s="31" t="str">
        <v>Washington</v>
      </c>
      <c r="CO102" s="28">
        <v>99</v>
      </c>
      <c r="CP102" s="29" t="str">
        <v>Chicago</v>
      </c>
      <c r="CQ102" s="31" t="str">
        <v>Vancouver</v>
      </c>
      <c r="EB102" s="28">
        <v>99</v>
      </c>
      <c r="EC102" s="29" t="str">
        <v>Ottawa</v>
      </c>
      <c r="ED102" s="31" t="str">
        <v>Minnesota</v>
      </c>
      <c r="EV102" s="28">
        <v>91</v>
      </c>
      <c r="EW102" s="29">
        <v>4</v>
      </c>
      <c r="EX102" s="29">
        <v>5</v>
      </c>
      <c r="EY102" s="29">
        <v>5</v>
      </c>
      <c r="EZ102" s="29">
        <v>7</v>
      </c>
      <c r="FA102" s="29">
        <v>22</v>
      </c>
      <c r="FB102" s="29">
        <v>14</v>
      </c>
      <c r="FC102" s="29">
        <v>9</v>
      </c>
      <c r="FD102" s="29">
        <v>8</v>
      </c>
      <c r="FE102" s="29">
        <v>13</v>
      </c>
      <c r="FF102" s="29">
        <v>25</v>
      </c>
      <c r="FG102" s="29">
        <v>7</v>
      </c>
      <c r="FH102" s="29">
        <v>7</v>
      </c>
      <c r="FI102" s="29">
        <v>19</v>
      </c>
      <c r="FJ102" s="29">
        <v>14</v>
      </c>
      <c r="FK102" s="29">
        <v>7</v>
      </c>
      <c r="FL102" s="31">
        <v>6</v>
      </c>
      <c r="FR102" s="29">
        <v>100</v>
      </c>
      <c r="FS102" s="29" t="str">
        <v>Chicago</v>
      </c>
    </row>
    <row r="103" spans="44:175" ht="15.75" thickBot="1">
      <c r="AR103" s="27">
        <v>100</v>
      </c>
      <c r="AS103" s="32" t="str">
        <v>Ottawa</v>
      </c>
      <c r="AT103" s="32" t="str">
        <v>Detroit</v>
      </c>
      <c r="AU103" s="32" t="str">
        <v>Washington</v>
      </c>
      <c r="AV103" s="33" t="str">
        <v>NY Rangers</v>
      </c>
      <c r="AW103" s="27">
        <v>100</v>
      </c>
      <c r="AX103" s="32" t="str">
        <v>St. Louis</v>
      </c>
      <c r="AY103" s="32" t="str">
        <v>Chicago</v>
      </c>
      <c r="AZ103" s="32" t="str">
        <v>Vancouver</v>
      </c>
      <c r="BA103" s="33" t="str">
        <v>Anaheim</v>
      </c>
      <c r="CL103" s="27">
        <v>100</v>
      </c>
      <c r="CM103" s="32" t="str">
        <v>Detroit</v>
      </c>
      <c r="CN103" s="33" t="str">
        <v>Washington</v>
      </c>
      <c r="CO103" s="27">
        <v>100</v>
      </c>
      <c r="CP103" s="32" t="str">
        <v>Minnesota</v>
      </c>
      <c r="CQ103" s="33" t="str">
        <v>Anaheim</v>
      </c>
      <c r="EB103" s="28">
        <v>100</v>
      </c>
      <c r="EC103" s="29" t="str">
        <v>Detroit</v>
      </c>
      <c r="ED103" s="31" t="str">
        <v>Chicago</v>
      </c>
      <c r="EV103" s="28">
        <v>92</v>
      </c>
      <c r="EW103" s="29">
        <v>7</v>
      </c>
      <c r="EX103" s="29">
        <v>15</v>
      </c>
      <c r="EY103" s="29">
        <v>11</v>
      </c>
      <c r="EZ103" s="29">
        <v>24</v>
      </c>
      <c r="FA103" s="29">
        <v>5</v>
      </c>
      <c r="FB103" s="29">
        <v>7</v>
      </c>
      <c r="FC103" s="29">
        <v>4</v>
      </c>
      <c r="FD103" s="29">
        <v>12</v>
      </c>
      <c r="FE103" s="29">
        <v>21</v>
      </c>
      <c r="FF103" s="29">
        <v>26</v>
      </c>
      <c r="FG103" s="29">
        <v>7</v>
      </c>
      <c r="FH103" s="29">
        <v>11</v>
      </c>
      <c r="FI103" s="29">
        <v>4</v>
      </c>
      <c r="FJ103" s="29">
        <v>13</v>
      </c>
      <c r="FK103" s="29">
        <v>6</v>
      </c>
      <c r="FL103" s="31">
        <v>7</v>
      </c>
      <c r="FR103" s="29">
        <v>101</v>
      </c>
      <c r="FS103" s="29" t="str">
        <v>Winnipeg</v>
      </c>
    </row>
    <row r="104" spans="44:175">
      <c r="EB104" s="28">
        <v>101</v>
      </c>
      <c r="EC104" s="29" t="str">
        <v>Detroit</v>
      </c>
      <c r="ED104" s="31" t="str">
        <v>Chicago</v>
      </c>
      <c r="EV104" s="28">
        <v>93</v>
      </c>
      <c r="EW104" s="29">
        <v>7</v>
      </c>
      <c r="EX104" s="29">
        <v>15</v>
      </c>
      <c r="EY104" s="29">
        <v>11</v>
      </c>
      <c r="EZ104" s="29">
        <v>24</v>
      </c>
      <c r="FA104" s="29">
        <v>5</v>
      </c>
      <c r="FB104" s="29">
        <v>7</v>
      </c>
      <c r="FC104" s="29">
        <v>4</v>
      </c>
      <c r="FD104" s="29">
        <v>12</v>
      </c>
      <c r="FE104" s="29">
        <v>21</v>
      </c>
      <c r="FF104" s="29">
        <v>26</v>
      </c>
      <c r="FG104" s="29">
        <v>7</v>
      </c>
      <c r="FH104" s="29">
        <v>11</v>
      </c>
      <c r="FI104" s="29">
        <v>4</v>
      </c>
      <c r="FJ104" s="29">
        <v>13</v>
      </c>
      <c r="FK104" s="29">
        <v>6</v>
      </c>
      <c r="FL104" s="31">
        <v>7</v>
      </c>
      <c r="FR104" s="29">
        <v>102</v>
      </c>
      <c r="FS104" s="29" t="str">
        <v>Washington</v>
      </c>
    </row>
    <row r="105" spans="44:175">
      <c r="EB105" s="28">
        <v>102</v>
      </c>
      <c r="EC105" s="29" t="str">
        <v>NY Islanders</v>
      </c>
      <c r="ED105" s="31" t="str">
        <v>Anaheim</v>
      </c>
      <c r="EV105" s="28">
        <v>94</v>
      </c>
      <c r="EW105" s="29">
        <v>7</v>
      </c>
      <c r="EX105" s="29">
        <v>10</v>
      </c>
      <c r="EY105" s="29">
        <v>7</v>
      </c>
      <c r="EZ105" s="29">
        <v>17</v>
      </c>
      <c r="FA105" s="29">
        <v>7</v>
      </c>
      <c r="FB105" s="29">
        <v>22</v>
      </c>
      <c r="FC105" s="29">
        <v>4</v>
      </c>
      <c r="FD105" s="29">
        <v>12</v>
      </c>
      <c r="FE105" s="29">
        <v>7</v>
      </c>
      <c r="FF105" s="29">
        <v>7</v>
      </c>
      <c r="FG105" s="29">
        <v>6</v>
      </c>
      <c r="FH105" s="29">
        <v>7</v>
      </c>
      <c r="FI105" s="29">
        <v>21</v>
      </c>
      <c r="FJ105" s="29">
        <v>10</v>
      </c>
      <c r="FK105" s="29">
        <v>15</v>
      </c>
      <c r="FL105" s="31">
        <v>13</v>
      </c>
      <c r="FR105" s="29">
        <v>103</v>
      </c>
      <c r="FS105" s="29" t="str">
        <v>Tampa Bay</v>
      </c>
    </row>
    <row r="106" spans="44:175">
      <c r="EB106" s="28">
        <v>103</v>
      </c>
      <c r="EC106" s="29" t="str">
        <v>Washington</v>
      </c>
      <c r="ED106" s="31" t="str">
        <v>Calgary</v>
      </c>
      <c r="EV106" s="28">
        <v>95</v>
      </c>
      <c r="EW106" s="29">
        <v>4</v>
      </c>
      <c r="EX106" s="29">
        <v>6</v>
      </c>
      <c r="EY106" s="29">
        <v>19</v>
      </c>
      <c r="EZ106" s="29">
        <v>14</v>
      </c>
      <c r="FA106" s="29">
        <v>5</v>
      </c>
      <c r="FB106" s="29">
        <v>5</v>
      </c>
      <c r="FC106" s="29">
        <v>10</v>
      </c>
      <c r="FD106" s="29">
        <v>9</v>
      </c>
      <c r="FE106" s="29">
        <v>7</v>
      </c>
      <c r="FF106" s="29">
        <v>6</v>
      </c>
      <c r="FG106" s="29">
        <v>4</v>
      </c>
      <c r="FH106" s="29">
        <v>7</v>
      </c>
      <c r="FI106" s="29">
        <v>26</v>
      </c>
      <c r="FJ106" s="29">
        <v>10</v>
      </c>
      <c r="FK106" s="29">
        <v>19</v>
      </c>
      <c r="FL106" s="31">
        <v>13</v>
      </c>
      <c r="FR106" s="29">
        <v>104</v>
      </c>
      <c r="FS106" s="29" t="str">
        <v>Tampa Bay</v>
      </c>
    </row>
    <row r="107" spans="44:175">
      <c r="EB107" s="28">
        <v>104</v>
      </c>
      <c r="EC107" s="29" t="str">
        <v>Washington</v>
      </c>
      <c r="ED107" s="31" t="str">
        <v>Anaheim</v>
      </c>
      <c r="EV107" s="28">
        <v>96</v>
      </c>
      <c r="EW107" s="29">
        <v>10</v>
      </c>
      <c r="EX107" s="29">
        <v>6</v>
      </c>
      <c r="EY107" s="29">
        <v>20</v>
      </c>
      <c r="EZ107" s="29">
        <v>6</v>
      </c>
      <c r="FA107" s="29">
        <v>17</v>
      </c>
      <c r="FB107" s="29">
        <v>6</v>
      </c>
      <c r="FC107" s="29">
        <v>10</v>
      </c>
      <c r="FD107" s="29">
        <v>4</v>
      </c>
      <c r="FE107" s="29">
        <v>6</v>
      </c>
      <c r="FF107" s="29">
        <v>21</v>
      </c>
      <c r="FG107" s="29">
        <v>7</v>
      </c>
      <c r="FH107" s="29">
        <v>14</v>
      </c>
      <c r="FI107" s="29">
        <v>7</v>
      </c>
      <c r="FJ107" s="29">
        <v>12</v>
      </c>
      <c r="FK107" s="29">
        <v>6</v>
      </c>
      <c r="FL107" s="31">
        <v>18</v>
      </c>
      <c r="FR107" s="29">
        <v>105</v>
      </c>
      <c r="FS107" s="29" t="str">
        <v>NY Islanders</v>
      </c>
    </row>
    <row r="108" spans="44:175">
      <c r="EB108" s="28">
        <v>105</v>
      </c>
      <c r="EC108" s="29" t="str">
        <v>Tampa Bay</v>
      </c>
      <c r="ED108" s="31" t="str">
        <v>Chicago</v>
      </c>
      <c r="EV108" s="28">
        <v>97</v>
      </c>
      <c r="EW108" s="29">
        <v>6</v>
      </c>
      <c r="EX108" s="29">
        <v>7</v>
      </c>
      <c r="EY108" s="29">
        <v>24</v>
      </c>
      <c r="EZ108" s="29">
        <v>6</v>
      </c>
      <c r="FA108" s="29">
        <v>20</v>
      </c>
      <c r="FB108" s="29">
        <v>6</v>
      </c>
      <c r="FC108" s="29">
        <v>11</v>
      </c>
      <c r="FD108" s="29">
        <v>13</v>
      </c>
      <c r="FE108" s="29">
        <v>6</v>
      </c>
      <c r="FF108" s="29">
        <v>24</v>
      </c>
      <c r="FG108" s="29">
        <v>7</v>
      </c>
      <c r="FH108" s="29">
        <v>19</v>
      </c>
      <c r="FI108" s="29">
        <v>7</v>
      </c>
      <c r="FJ108" s="29">
        <v>12</v>
      </c>
      <c r="FK108" s="29">
        <v>5</v>
      </c>
      <c r="FL108" s="31">
        <v>11</v>
      </c>
      <c r="FR108" s="29">
        <v>106</v>
      </c>
      <c r="FS108" s="29" t="str">
        <v>Detroit</v>
      </c>
    </row>
    <row r="109" spans="44:175">
      <c r="EB109" s="28">
        <v>106</v>
      </c>
      <c r="EC109" s="29" t="str">
        <v>Tampa Bay</v>
      </c>
      <c r="ED109" s="31" t="str">
        <v>Nashville</v>
      </c>
      <c r="EV109" s="28">
        <v>98</v>
      </c>
      <c r="EW109" s="29">
        <v>6</v>
      </c>
      <c r="EX109" s="29">
        <v>7</v>
      </c>
      <c r="EY109" s="29">
        <v>24</v>
      </c>
      <c r="EZ109" s="29">
        <v>6</v>
      </c>
      <c r="FA109" s="29">
        <v>20</v>
      </c>
      <c r="FB109" s="29">
        <v>6</v>
      </c>
      <c r="FC109" s="29">
        <v>11</v>
      </c>
      <c r="FD109" s="29">
        <v>13</v>
      </c>
      <c r="FE109" s="29">
        <v>6</v>
      </c>
      <c r="FF109" s="29">
        <v>24</v>
      </c>
      <c r="FG109" s="29">
        <v>7</v>
      </c>
      <c r="FH109" s="29">
        <v>19</v>
      </c>
      <c r="FI109" s="29">
        <v>7</v>
      </c>
      <c r="FJ109" s="29">
        <v>12</v>
      </c>
      <c r="FK109" s="29">
        <v>5</v>
      </c>
      <c r="FL109" s="31">
        <v>11</v>
      </c>
      <c r="FR109" s="29">
        <v>107</v>
      </c>
      <c r="FS109" s="29" t="str">
        <v>Washington</v>
      </c>
    </row>
    <row r="110" spans="44:175">
      <c r="EB110" s="28">
        <v>107</v>
      </c>
      <c r="EC110" s="29" t="str">
        <v>Washington</v>
      </c>
      <c r="ED110" s="31" t="str">
        <v>Vancouver</v>
      </c>
      <c r="EV110" s="28">
        <v>99</v>
      </c>
      <c r="EW110" s="29">
        <v>12</v>
      </c>
      <c r="EX110" s="29">
        <v>10</v>
      </c>
      <c r="EY110" s="29">
        <v>17</v>
      </c>
      <c r="EZ110" s="29">
        <v>7</v>
      </c>
      <c r="FA110" s="29">
        <v>25</v>
      </c>
      <c r="FB110" s="29">
        <v>6</v>
      </c>
      <c r="FC110" s="29">
        <v>6</v>
      </c>
      <c r="FD110" s="29">
        <v>7</v>
      </c>
      <c r="FE110" s="29">
        <v>10</v>
      </c>
      <c r="FF110" s="29">
        <v>22</v>
      </c>
      <c r="FG110" s="29">
        <v>11</v>
      </c>
      <c r="FH110" s="29">
        <v>7</v>
      </c>
      <c r="FI110" s="29">
        <v>16</v>
      </c>
      <c r="FJ110" s="29">
        <v>6</v>
      </c>
      <c r="FK110" s="29">
        <v>7</v>
      </c>
      <c r="FL110" s="31">
        <v>5</v>
      </c>
      <c r="FR110" s="29">
        <v>108</v>
      </c>
      <c r="FS110" s="29" t="str">
        <v>Anaheim</v>
      </c>
    </row>
    <row r="111" spans="44:175">
      <c r="EB111" s="28">
        <v>108</v>
      </c>
      <c r="EC111" s="29" t="str">
        <v>Washington</v>
      </c>
      <c r="ED111" s="31" t="str">
        <v>Vancouver</v>
      </c>
      <c r="EV111" s="28">
        <v>100</v>
      </c>
      <c r="EW111" s="29">
        <v>6</v>
      </c>
      <c r="EX111" s="29">
        <v>8</v>
      </c>
      <c r="EY111" s="29">
        <v>4</v>
      </c>
      <c r="EZ111" s="29">
        <v>11</v>
      </c>
      <c r="FA111" s="29">
        <v>5</v>
      </c>
      <c r="FB111" s="29">
        <v>21</v>
      </c>
      <c r="FC111" s="29">
        <v>4</v>
      </c>
      <c r="FD111" s="29">
        <v>19</v>
      </c>
      <c r="FE111" s="29">
        <v>13</v>
      </c>
      <c r="FF111" s="29">
        <v>24</v>
      </c>
      <c r="FG111" s="29">
        <v>12</v>
      </c>
      <c r="FH111" s="29">
        <v>7</v>
      </c>
      <c r="FI111" s="29">
        <v>20</v>
      </c>
      <c r="FJ111" s="29">
        <v>6</v>
      </c>
      <c r="FK111" s="29">
        <v>5</v>
      </c>
      <c r="FL111" s="31">
        <v>7</v>
      </c>
      <c r="FR111" s="29">
        <v>109</v>
      </c>
      <c r="FS111" s="29" t="str">
        <v>Anaheim</v>
      </c>
    </row>
    <row r="112" spans="44:175" ht="15.75" thickBot="1">
      <c r="EB112" s="28">
        <v>109</v>
      </c>
      <c r="EC112" s="29" t="str">
        <v>Washington</v>
      </c>
      <c r="ED112" s="31" t="str">
        <v>Vancouver</v>
      </c>
      <c r="EV112" s="27" t="s">
        <v>192</v>
      </c>
      <c r="EW112" s="32">
        <f ca="1">AVERAGE(EW12:EW111)</f>
        <v>8.65</v>
      </c>
      <c r="EX112" s="32">
        <f t="shared" ref="EX112:FL112" ca="1" si="158">AVERAGE(EX12:EX111)</f>
        <v>8.7200000000000006</v>
      </c>
      <c r="EY112" s="32">
        <f t="shared" ca="1" si="158"/>
        <v>16.010000000000002</v>
      </c>
      <c r="EZ112" s="32">
        <f t="shared" ca="1" si="158"/>
        <v>9.74</v>
      </c>
      <c r="FA112" s="32">
        <f t="shared" ca="1" si="158"/>
        <v>13.18</v>
      </c>
      <c r="FB112" s="32">
        <f t="shared" ca="1" si="158"/>
        <v>10.06</v>
      </c>
      <c r="FC112" s="32">
        <f t="shared" ca="1" si="158"/>
        <v>7.68</v>
      </c>
      <c r="FD112" s="32">
        <f t="shared" ca="1" si="158"/>
        <v>10.71</v>
      </c>
      <c r="FE112" s="32">
        <f t="shared" ca="1" si="158"/>
        <v>7.94</v>
      </c>
      <c r="FF112" s="32">
        <f t="shared" ca="1" si="158"/>
        <v>14.85</v>
      </c>
      <c r="FG112" s="32">
        <f t="shared" ca="1" si="158"/>
        <v>10.87</v>
      </c>
      <c r="FH112" s="32">
        <f t="shared" ca="1" si="158"/>
        <v>10.35</v>
      </c>
      <c r="FI112" s="32">
        <f t="shared" ca="1" si="158"/>
        <v>13.23</v>
      </c>
      <c r="FJ112" s="32">
        <f t="shared" ca="1" si="158"/>
        <v>9.14</v>
      </c>
      <c r="FK112" s="32">
        <f t="shared" ca="1" si="158"/>
        <v>8.94</v>
      </c>
      <c r="FL112" s="33">
        <f t="shared" ca="1" si="158"/>
        <v>11.71</v>
      </c>
      <c r="FR112" s="29">
        <v>110</v>
      </c>
      <c r="FS112" s="29" t="str">
        <v>Anaheim</v>
      </c>
    </row>
    <row r="113" spans="132:175">
      <c r="EB113" s="28">
        <v>110</v>
      </c>
      <c r="EC113" s="29" t="str">
        <v>NY Islanders</v>
      </c>
      <c r="ED113" s="31" t="str">
        <v>Vancouver</v>
      </c>
      <c r="FR113" s="29">
        <v>111</v>
      </c>
      <c r="FS113" s="29" t="str">
        <v>Anaheim</v>
      </c>
    </row>
    <row r="114" spans="132:175">
      <c r="EB114" s="28">
        <v>111</v>
      </c>
      <c r="EC114" s="29" t="str">
        <v>Washington</v>
      </c>
      <c r="ED114" s="31" t="str">
        <v>Nashville</v>
      </c>
      <c r="FR114" s="29">
        <v>112</v>
      </c>
      <c r="FS114" s="29" t="str">
        <v>Chicago</v>
      </c>
    </row>
    <row r="115" spans="132:175">
      <c r="EB115" s="28">
        <v>112</v>
      </c>
      <c r="EC115" s="29" t="str">
        <v>Washington</v>
      </c>
      <c r="ED115" s="31" t="str">
        <v>Chicago</v>
      </c>
      <c r="FR115" s="29">
        <v>113</v>
      </c>
      <c r="FS115" s="29" t="str">
        <v>Winnipeg</v>
      </c>
    </row>
    <row r="116" spans="132:175">
      <c r="EB116" s="28">
        <v>113</v>
      </c>
      <c r="EC116" s="29" t="str">
        <v>NY Islanders</v>
      </c>
      <c r="ED116" s="31" t="str">
        <v>Anaheim</v>
      </c>
      <c r="FR116" s="29">
        <v>114</v>
      </c>
      <c r="FS116" s="29" t="str">
        <v>Winnipeg</v>
      </c>
    </row>
    <row r="117" spans="132:175">
      <c r="EB117" s="28">
        <v>114</v>
      </c>
      <c r="EC117" s="29" t="str">
        <v>Montreal</v>
      </c>
      <c r="ED117" s="31" t="str">
        <v>Chicago</v>
      </c>
      <c r="FR117" s="29">
        <v>115</v>
      </c>
      <c r="FS117" s="29" t="str">
        <v>Chicago</v>
      </c>
    </row>
    <row r="118" spans="132:175">
      <c r="EB118" s="28">
        <v>115</v>
      </c>
      <c r="EC118" s="29" t="str">
        <v>Washington</v>
      </c>
      <c r="ED118" s="31" t="str">
        <v>Anaheim</v>
      </c>
      <c r="FR118" s="29">
        <v>116</v>
      </c>
      <c r="FS118" s="29" t="str">
        <v>Ottawa</v>
      </c>
    </row>
    <row r="119" spans="132:175">
      <c r="EB119" s="28">
        <v>116</v>
      </c>
      <c r="EC119" s="29" t="str">
        <v>NY Islanders</v>
      </c>
      <c r="ED119" s="31" t="str">
        <v>Anaheim</v>
      </c>
      <c r="FR119" s="29">
        <v>117</v>
      </c>
      <c r="FS119" s="29" t="str">
        <v>Montreal</v>
      </c>
    </row>
    <row r="120" spans="132:175">
      <c r="EB120" s="28">
        <v>117</v>
      </c>
      <c r="EC120" s="29" t="str">
        <v>NY Islanders</v>
      </c>
      <c r="ED120" s="31" t="str">
        <v>Anaheim</v>
      </c>
      <c r="FR120" s="29">
        <v>118</v>
      </c>
      <c r="FS120" s="29" t="str">
        <v>Washington</v>
      </c>
    </row>
    <row r="121" spans="132:175">
      <c r="EB121" s="28">
        <v>118</v>
      </c>
      <c r="EC121" s="29" t="str">
        <v>Detroit</v>
      </c>
      <c r="ED121" s="31" t="str">
        <v>Anaheim</v>
      </c>
      <c r="FR121" s="29">
        <v>119</v>
      </c>
      <c r="FS121" s="29" t="str">
        <v>Washington</v>
      </c>
    </row>
    <row r="122" spans="132:175">
      <c r="EB122" s="28">
        <v>119</v>
      </c>
      <c r="EC122" s="29" t="str">
        <v>Detroit</v>
      </c>
      <c r="ED122" s="31" t="str">
        <v>St. Louis</v>
      </c>
      <c r="FR122" s="29">
        <v>120</v>
      </c>
      <c r="FS122" s="29" t="str">
        <v>Minnesota</v>
      </c>
    </row>
    <row r="123" spans="132:175">
      <c r="EB123" s="28">
        <v>120</v>
      </c>
      <c r="EC123" s="29" t="str">
        <v>Washington</v>
      </c>
      <c r="ED123" s="31" t="str">
        <v>Anaheim</v>
      </c>
      <c r="FR123" s="29">
        <v>121</v>
      </c>
      <c r="FS123" s="29" t="str">
        <v>Chicago</v>
      </c>
    </row>
    <row r="124" spans="132:175">
      <c r="EB124" s="28">
        <v>121</v>
      </c>
      <c r="EC124" s="29" t="str">
        <v>NY Islanders</v>
      </c>
      <c r="ED124" s="31" t="str">
        <v>Anaheim</v>
      </c>
      <c r="FR124" s="29">
        <v>122</v>
      </c>
      <c r="FS124" s="29" t="str">
        <v>Detroit</v>
      </c>
    </row>
    <row r="125" spans="132:175">
      <c r="EB125" s="28">
        <v>122</v>
      </c>
      <c r="EC125" s="29" t="str">
        <v>NY Islanders</v>
      </c>
      <c r="ED125" s="31" t="str">
        <v>Anaheim</v>
      </c>
      <c r="FR125" s="29">
        <v>123</v>
      </c>
      <c r="FS125" s="29" t="str">
        <v>Chicago</v>
      </c>
    </row>
    <row r="126" spans="132:175">
      <c r="EB126" s="28">
        <v>123</v>
      </c>
      <c r="EC126" s="29" t="str">
        <v>Ottawa</v>
      </c>
      <c r="ED126" s="31" t="str">
        <v>Minnesota</v>
      </c>
      <c r="FR126" s="29">
        <v>124</v>
      </c>
      <c r="FS126" s="29" t="str">
        <v>Chicago</v>
      </c>
    </row>
    <row r="127" spans="132:175">
      <c r="EB127" s="28">
        <v>124</v>
      </c>
      <c r="EC127" s="29" t="str">
        <v>Ottawa</v>
      </c>
      <c r="ED127" s="31" t="str">
        <v>Minnesota</v>
      </c>
      <c r="FR127" s="29">
        <v>125</v>
      </c>
      <c r="FS127" s="29" t="str">
        <v>Washington</v>
      </c>
    </row>
    <row r="128" spans="132:175">
      <c r="EB128" s="28">
        <v>125</v>
      </c>
      <c r="EC128" s="29" t="str">
        <v>NY Islanders</v>
      </c>
      <c r="ED128" s="31" t="str">
        <v>Chicago</v>
      </c>
      <c r="FR128" s="29">
        <v>126</v>
      </c>
      <c r="FS128" s="29" t="str">
        <v>Chicago</v>
      </c>
    </row>
    <row r="129" spans="132:175">
      <c r="EB129" s="28">
        <v>126</v>
      </c>
      <c r="EC129" s="29" t="str">
        <v>NY Islanders</v>
      </c>
      <c r="ED129" s="31" t="str">
        <v>Vancouver</v>
      </c>
      <c r="FR129" s="29">
        <v>127</v>
      </c>
      <c r="FS129" s="29" t="str">
        <v>Vancouver</v>
      </c>
    </row>
    <row r="130" spans="132:175">
      <c r="EB130" s="28">
        <v>127</v>
      </c>
      <c r="EC130" s="29" t="str">
        <v>NY Islanders</v>
      </c>
      <c r="ED130" s="31" t="str">
        <v>Chicago</v>
      </c>
      <c r="FR130" s="29">
        <v>128</v>
      </c>
      <c r="FS130" s="29" t="str">
        <v>Winnipeg</v>
      </c>
    </row>
    <row r="131" spans="132:175">
      <c r="EB131" s="28">
        <v>128</v>
      </c>
      <c r="EC131" s="29" t="str">
        <v>NY Islanders</v>
      </c>
      <c r="ED131" s="31" t="str">
        <v>Chicago</v>
      </c>
      <c r="FR131" s="29">
        <v>129</v>
      </c>
      <c r="FS131" s="29" t="str">
        <v>Winnipeg</v>
      </c>
    </row>
    <row r="132" spans="132:175">
      <c r="EB132" s="28">
        <v>129</v>
      </c>
      <c r="EC132" s="29" t="str">
        <v>Tampa Bay</v>
      </c>
      <c r="ED132" s="31" t="str">
        <v>Anaheim</v>
      </c>
      <c r="FR132" s="29">
        <v>130</v>
      </c>
      <c r="FS132" s="29" t="str">
        <v>Chicago</v>
      </c>
    </row>
    <row r="133" spans="132:175">
      <c r="EB133" s="28">
        <v>130</v>
      </c>
      <c r="EC133" s="29" t="str">
        <v>Washington</v>
      </c>
      <c r="ED133" s="31" t="str">
        <v>Anaheim</v>
      </c>
      <c r="FR133" s="29">
        <v>131</v>
      </c>
      <c r="FS133" s="29" t="str">
        <v>Washington</v>
      </c>
    </row>
    <row r="134" spans="132:175">
      <c r="EB134" s="28">
        <v>131</v>
      </c>
      <c r="EC134" s="29" t="str">
        <v>Washington</v>
      </c>
      <c r="ED134" s="31" t="str">
        <v>Anaheim</v>
      </c>
      <c r="FR134" s="29">
        <v>132</v>
      </c>
      <c r="FS134" s="29" t="str">
        <v>Tampa Bay</v>
      </c>
    </row>
    <row r="135" spans="132:175">
      <c r="EB135" s="28">
        <v>132</v>
      </c>
      <c r="EC135" s="29" t="str">
        <v>Washington</v>
      </c>
      <c r="ED135" s="31" t="str">
        <v>Anaheim</v>
      </c>
      <c r="FR135" s="29">
        <v>133</v>
      </c>
      <c r="FS135" s="29" t="str">
        <v>Anaheim</v>
      </c>
    </row>
    <row r="136" spans="132:175">
      <c r="EB136" s="28">
        <v>133</v>
      </c>
      <c r="EC136" s="29" t="str">
        <v>Washington</v>
      </c>
      <c r="ED136" s="31" t="str">
        <v>Nashville</v>
      </c>
      <c r="FR136" s="29">
        <v>134</v>
      </c>
      <c r="FS136" s="29" t="str">
        <v>Anaheim</v>
      </c>
    </row>
    <row r="137" spans="132:175">
      <c r="EB137" s="28">
        <v>134</v>
      </c>
      <c r="EC137" s="29" t="str">
        <v>Washington</v>
      </c>
      <c r="ED137" s="31" t="str">
        <v>Chicago</v>
      </c>
      <c r="FR137" s="29">
        <v>135</v>
      </c>
      <c r="FS137" s="29" t="str">
        <v>Minnesota</v>
      </c>
    </row>
    <row r="138" spans="132:175">
      <c r="EB138" s="28">
        <v>135</v>
      </c>
      <c r="EC138" s="29" t="str">
        <v>NY Islanders</v>
      </c>
      <c r="ED138" s="31" t="str">
        <v>Chicago</v>
      </c>
      <c r="FR138" s="29">
        <v>136</v>
      </c>
      <c r="FS138" s="29" t="str">
        <v>Washington</v>
      </c>
    </row>
    <row r="139" spans="132:175">
      <c r="EB139" s="28">
        <v>136</v>
      </c>
      <c r="EC139" s="29" t="str">
        <v>NY Islanders</v>
      </c>
      <c r="ED139" s="31" t="str">
        <v>Chicago</v>
      </c>
      <c r="FR139" s="29">
        <v>137</v>
      </c>
      <c r="FS139" s="29" t="str">
        <v>Vancouver</v>
      </c>
    </row>
    <row r="140" spans="132:175">
      <c r="EB140" s="28">
        <v>137</v>
      </c>
      <c r="EC140" s="29" t="str">
        <v>Washington</v>
      </c>
      <c r="ED140" s="31" t="str">
        <v>Winnipeg</v>
      </c>
      <c r="FR140" s="29">
        <v>138</v>
      </c>
      <c r="FS140" s="29" t="str">
        <v>Vancouver</v>
      </c>
    </row>
    <row r="141" spans="132:175">
      <c r="EB141" s="28">
        <v>138</v>
      </c>
      <c r="EC141" s="29" t="str">
        <v>Washington</v>
      </c>
      <c r="ED141" s="31" t="str">
        <v>Anaheim</v>
      </c>
      <c r="FR141" s="29">
        <v>139</v>
      </c>
      <c r="FS141" s="29" t="str">
        <v>Winnipeg</v>
      </c>
    </row>
    <row r="142" spans="132:175">
      <c r="EB142" s="28">
        <v>139</v>
      </c>
      <c r="EC142" s="29" t="str">
        <v>NY Islanders</v>
      </c>
      <c r="ED142" s="31" t="str">
        <v>Anaheim</v>
      </c>
      <c r="FR142" s="29">
        <v>140</v>
      </c>
      <c r="FS142" s="29" t="str">
        <v>Minnesota</v>
      </c>
    </row>
    <row r="143" spans="132:175">
      <c r="EB143" s="28">
        <v>140</v>
      </c>
      <c r="EC143" s="29" t="str">
        <v>NY Islanders</v>
      </c>
      <c r="ED143" s="31" t="str">
        <v>Anaheim</v>
      </c>
      <c r="FR143" s="29">
        <v>141</v>
      </c>
      <c r="FS143" s="29" t="str">
        <v>Vancouver</v>
      </c>
    </row>
    <row r="144" spans="132:175">
      <c r="EB144" s="28">
        <v>141</v>
      </c>
      <c r="EC144" s="29" t="str">
        <v>NY Islanders</v>
      </c>
      <c r="ED144" s="31" t="str">
        <v>Chicago</v>
      </c>
      <c r="FR144" s="29">
        <v>142</v>
      </c>
      <c r="FS144" s="29" t="str">
        <v>Chicago</v>
      </c>
    </row>
    <row r="145" spans="132:175">
      <c r="EB145" s="28">
        <v>142</v>
      </c>
      <c r="EC145" s="29" t="str">
        <v>Detroit</v>
      </c>
      <c r="ED145" s="31" t="str">
        <v>Anaheim</v>
      </c>
      <c r="FR145" s="29">
        <v>143</v>
      </c>
      <c r="FS145" s="29" t="str">
        <v>Chicago</v>
      </c>
    </row>
    <row r="146" spans="132:175">
      <c r="EB146" s="28">
        <v>143</v>
      </c>
      <c r="EC146" s="29" t="str">
        <v>Washington</v>
      </c>
      <c r="ED146" s="31" t="str">
        <v>Minnesota</v>
      </c>
      <c r="FR146" s="29">
        <v>144</v>
      </c>
      <c r="FS146" s="29" t="str">
        <v>Calgary</v>
      </c>
    </row>
    <row r="147" spans="132:175">
      <c r="EB147" s="28">
        <v>144</v>
      </c>
      <c r="EC147" s="29" t="str">
        <v>Washington</v>
      </c>
      <c r="ED147" s="31" t="str">
        <v>Minnesota</v>
      </c>
      <c r="FR147" s="29">
        <v>145</v>
      </c>
      <c r="FS147" s="29" t="str">
        <v>Anaheim</v>
      </c>
    </row>
    <row r="148" spans="132:175">
      <c r="EB148" s="28">
        <v>145</v>
      </c>
      <c r="EC148" s="29" t="str">
        <v>Washington</v>
      </c>
      <c r="ED148" s="31" t="str">
        <v>Calgary</v>
      </c>
      <c r="FR148" s="29">
        <v>146</v>
      </c>
      <c r="FS148" s="29" t="str">
        <v>Anaheim</v>
      </c>
    </row>
    <row r="149" spans="132:175">
      <c r="EB149" s="28">
        <v>146</v>
      </c>
      <c r="EC149" s="29" t="str">
        <v>NY Islanders</v>
      </c>
      <c r="ED149" s="31" t="str">
        <v>Anaheim</v>
      </c>
      <c r="FR149" s="29">
        <v>147</v>
      </c>
      <c r="FS149" s="29" t="str">
        <v>Ottawa</v>
      </c>
    </row>
    <row r="150" spans="132:175">
      <c r="EB150" s="28">
        <v>147</v>
      </c>
      <c r="EC150" s="29" t="str">
        <v>Detroit</v>
      </c>
      <c r="ED150" s="31" t="str">
        <v>Anaheim</v>
      </c>
      <c r="FR150" s="29">
        <v>148</v>
      </c>
      <c r="FS150" s="29" t="str">
        <v>Ottawa</v>
      </c>
    </row>
    <row r="151" spans="132:175">
      <c r="EB151" s="28">
        <v>148</v>
      </c>
      <c r="EC151" s="29" t="str">
        <v>Detroit</v>
      </c>
      <c r="ED151" s="31" t="str">
        <v>Anaheim</v>
      </c>
      <c r="FR151" s="29">
        <v>149</v>
      </c>
      <c r="FS151" s="29" t="str">
        <v>Detroit</v>
      </c>
    </row>
    <row r="152" spans="132:175">
      <c r="EB152" s="28">
        <v>149</v>
      </c>
      <c r="EC152" s="29" t="str">
        <v>Detroit</v>
      </c>
      <c r="ED152" s="31" t="str">
        <v>Anaheim</v>
      </c>
      <c r="FR152" s="29">
        <v>150</v>
      </c>
      <c r="FS152" s="29" t="str">
        <v>Winnipeg</v>
      </c>
    </row>
    <row r="153" spans="132:175">
      <c r="EB153" s="28">
        <v>150</v>
      </c>
      <c r="EC153" s="29" t="str">
        <v>Detroit</v>
      </c>
      <c r="ED153" s="31" t="str">
        <v>Anaheim</v>
      </c>
      <c r="FR153" s="29">
        <v>151</v>
      </c>
      <c r="FS153" s="29" t="str">
        <v>Chicago</v>
      </c>
    </row>
    <row r="154" spans="132:175">
      <c r="EB154" s="28">
        <v>151</v>
      </c>
      <c r="EC154" s="29" t="str">
        <v>Tampa Bay</v>
      </c>
      <c r="ED154" s="31" t="str">
        <v>St. Louis</v>
      </c>
      <c r="FR154" s="29">
        <v>152</v>
      </c>
      <c r="FS154" s="29" t="str">
        <v>Minnesota</v>
      </c>
    </row>
    <row r="155" spans="132:175">
      <c r="EB155" s="28">
        <v>152</v>
      </c>
      <c r="EC155" s="29" t="str">
        <v>Washington</v>
      </c>
      <c r="ED155" s="31" t="str">
        <v>Vancouver</v>
      </c>
      <c r="FR155" s="29">
        <v>153</v>
      </c>
      <c r="FS155" s="29" t="str">
        <v>Minnesota</v>
      </c>
    </row>
    <row r="156" spans="132:175">
      <c r="EB156" s="28">
        <v>153</v>
      </c>
      <c r="EC156" s="29" t="str">
        <v>Montreal</v>
      </c>
      <c r="ED156" s="31" t="str">
        <v>Vancouver</v>
      </c>
      <c r="FR156" s="29">
        <v>154</v>
      </c>
      <c r="FS156" s="29" t="str">
        <v>Winnipeg</v>
      </c>
    </row>
    <row r="157" spans="132:175">
      <c r="EB157" s="28">
        <v>154</v>
      </c>
      <c r="EC157" s="29" t="str">
        <v>Tampa Bay</v>
      </c>
      <c r="ED157" s="31" t="str">
        <v>Anaheim</v>
      </c>
      <c r="FR157" s="29">
        <v>155</v>
      </c>
      <c r="FS157" s="29" t="str">
        <v>Washington</v>
      </c>
    </row>
    <row r="158" spans="132:175">
      <c r="EB158" s="28">
        <v>155</v>
      </c>
      <c r="EC158" s="29" t="str">
        <v>NY Islanders</v>
      </c>
      <c r="ED158" s="31" t="str">
        <v>Vancouver</v>
      </c>
      <c r="FR158" s="29">
        <v>156</v>
      </c>
      <c r="FS158" s="29" t="str">
        <v>Washington</v>
      </c>
    </row>
    <row r="159" spans="132:175">
      <c r="EB159" s="28">
        <v>156</v>
      </c>
      <c r="EC159" s="29" t="str">
        <v>NY Islanders</v>
      </c>
      <c r="ED159" s="31" t="str">
        <v>Vancouver</v>
      </c>
      <c r="FR159" s="29">
        <v>157</v>
      </c>
      <c r="FS159" s="29" t="str">
        <v>Washington</v>
      </c>
    </row>
    <row r="160" spans="132:175">
      <c r="EB160" s="28">
        <v>157</v>
      </c>
      <c r="EC160" s="29" t="str">
        <v>Washington</v>
      </c>
      <c r="ED160" s="31" t="str">
        <v>Chicago</v>
      </c>
      <c r="FR160" s="29">
        <v>158</v>
      </c>
      <c r="FS160" s="29" t="str">
        <v>Minnesota</v>
      </c>
    </row>
    <row r="161" spans="132:175">
      <c r="EB161" s="28">
        <v>158</v>
      </c>
      <c r="EC161" s="29" t="str">
        <v>Washington</v>
      </c>
      <c r="ED161" s="31" t="str">
        <v>Minnesota</v>
      </c>
      <c r="FR161" s="29">
        <v>159</v>
      </c>
      <c r="FS161" s="29" t="str">
        <v>Anaheim</v>
      </c>
    </row>
    <row r="162" spans="132:175">
      <c r="EB162" s="28">
        <v>159</v>
      </c>
      <c r="EC162" s="29" t="str">
        <v>Tampa Bay</v>
      </c>
      <c r="ED162" s="31" t="str">
        <v>Vancouver</v>
      </c>
      <c r="FR162" s="29">
        <v>160</v>
      </c>
      <c r="FS162" s="29" t="str">
        <v>Washington</v>
      </c>
    </row>
    <row r="163" spans="132:175">
      <c r="EB163" s="28">
        <v>160</v>
      </c>
      <c r="EC163" s="29" t="str">
        <v>Detroit</v>
      </c>
      <c r="ED163" s="31" t="str">
        <v>Winnipeg</v>
      </c>
      <c r="FR163" s="29">
        <v>161</v>
      </c>
      <c r="FS163" s="29" t="str">
        <v>Ottawa</v>
      </c>
    </row>
    <row r="164" spans="132:175">
      <c r="EB164" s="28">
        <v>161</v>
      </c>
      <c r="EC164" s="29" t="str">
        <v>Washington</v>
      </c>
      <c r="ED164" s="31" t="str">
        <v>Anaheim</v>
      </c>
      <c r="FR164" s="29">
        <v>162</v>
      </c>
      <c r="FS164" s="29" t="str">
        <v>Ottawa</v>
      </c>
    </row>
    <row r="165" spans="132:175">
      <c r="EB165" s="28">
        <v>162</v>
      </c>
      <c r="EC165" s="29" t="str">
        <v>Washington</v>
      </c>
      <c r="ED165" s="31" t="str">
        <v>Chicago</v>
      </c>
      <c r="FR165" s="29">
        <v>163</v>
      </c>
      <c r="FS165" s="29" t="str">
        <v>Tampa Bay</v>
      </c>
    </row>
    <row r="166" spans="132:175">
      <c r="EB166" s="28">
        <v>163</v>
      </c>
      <c r="EC166" s="29" t="str">
        <v>Washington</v>
      </c>
      <c r="ED166" s="31" t="str">
        <v>Anaheim</v>
      </c>
      <c r="FR166" s="29">
        <v>164</v>
      </c>
      <c r="FS166" s="29" t="str">
        <v>Washington</v>
      </c>
    </row>
    <row r="167" spans="132:175">
      <c r="EB167" s="28">
        <v>164</v>
      </c>
      <c r="EC167" s="29" t="str">
        <v>Washington</v>
      </c>
      <c r="ED167" s="31" t="str">
        <v>Anaheim</v>
      </c>
      <c r="FR167" s="29">
        <v>165</v>
      </c>
      <c r="FS167" s="29" t="str">
        <v>Minnesota</v>
      </c>
    </row>
    <row r="168" spans="132:175">
      <c r="EB168" s="28">
        <v>165</v>
      </c>
      <c r="EC168" s="29" t="str">
        <v>Detroit</v>
      </c>
      <c r="ED168" s="31" t="str">
        <v>Calgary</v>
      </c>
      <c r="FR168" s="29">
        <v>166</v>
      </c>
      <c r="FS168" s="29" t="str">
        <v>Anaheim</v>
      </c>
    </row>
    <row r="169" spans="132:175">
      <c r="EB169" s="28">
        <v>166</v>
      </c>
      <c r="EC169" s="29" t="str">
        <v>Washington</v>
      </c>
      <c r="ED169" s="31" t="str">
        <v>Chicago</v>
      </c>
      <c r="FR169" s="29">
        <v>167</v>
      </c>
      <c r="FS169" s="29" t="str">
        <v>Anaheim</v>
      </c>
    </row>
    <row r="170" spans="132:175">
      <c r="EB170" s="28">
        <v>167</v>
      </c>
      <c r="EC170" s="29" t="str">
        <v>Washington</v>
      </c>
      <c r="ED170" s="31" t="str">
        <v>Winnipeg</v>
      </c>
      <c r="FR170" s="29">
        <v>168</v>
      </c>
      <c r="FS170" s="29" t="str">
        <v>Washington</v>
      </c>
    </row>
    <row r="171" spans="132:175">
      <c r="EB171" s="28">
        <v>168</v>
      </c>
      <c r="EC171" s="29" t="str">
        <v>Washington</v>
      </c>
      <c r="ED171" s="31" t="str">
        <v>Winnipeg</v>
      </c>
      <c r="FR171" s="29">
        <v>169</v>
      </c>
      <c r="FS171" s="29" t="str">
        <v>Washington</v>
      </c>
    </row>
    <row r="172" spans="132:175">
      <c r="EB172" s="28">
        <v>169</v>
      </c>
      <c r="EC172" s="29" t="str">
        <v>Washington</v>
      </c>
      <c r="ED172" s="31" t="str">
        <v>Chicago</v>
      </c>
      <c r="FR172" s="29">
        <v>170</v>
      </c>
      <c r="FS172" s="29" t="str">
        <v>Chicago</v>
      </c>
    </row>
    <row r="173" spans="132:175">
      <c r="EB173" s="28">
        <v>170</v>
      </c>
      <c r="EC173" s="29" t="str">
        <v>Detroit</v>
      </c>
      <c r="ED173" s="31" t="str">
        <v>Vancouver</v>
      </c>
      <c r="FR173" s="29">
        <v>171</v>
      </c>
      <c r="FS173" s="29" t="str">
        <v>NY Islanders</v>
      </c>
    </row>
    <row r="174" spans="132:175">
      <c r="EB174" s="28">
        <v>171</v>
      </c>
      <c r="EC174" s="29" t="str">
        <v>Washington</v>
      </c>
      <c r="ED174" s="31" t="str">
        <v>Vancouver</v>
      </c>
      <c r="FR174" s="29">
        <v>172</v>
      </c>
      <c r="FS174" s="29" t="str">
        <v>Tampa Bay</v>
      </c>
    </row>
    <row r="175" spans="132:175">
      <c r="EB175" s="28">
        <v>172</v>
      </c>
      <c r="EC175" s="29" t="str">
        <v>Washington</v>
      </c>
      <c r="ED175" s="31" t="str">
        <v>Vancouver</v>
      </c>
      <c r="FR175" s="29">
        <v>173</v>
      </c>
      <c r="FS175" s="29" t="str">
        <v>Anaheim</v>
      </c>
    </row>
    <row r="176" spans="132:175">
      <c r="EB176" s="28">
        <v>173</v>
      </c>
      <c r="EC176" s="29" t="str">
        <v>NY Islanders</v>
      </c>
      <c r="ED176" s="31" t="str">
        <v>Nashville</v>
      </c>
      <c r="FR176" s="29">
        <v>174</v>
      </c>
      <c r="FS176" s="29" t="str">
        <v>NY Rangers</v>
      </c>
    </row>
    <row r="177" spans="132:175">
      <c r="EB177" s="28">
        <v>174</v>
      </c>
      <c r="EC177" s="29" t="str">
        <v>Tampa Bay</v>
      </c>
      <c r="ED177" s="31" t="str">
        <v>Anaheim</v>
      </c>
      <c r="FR177" s="29">
        <v>175</v>
      </c>
      <c r="FS177" s="29" t="str">
        <v>Anaheim</v>
      </c>
    </row>
    <row r="178" spans="132:175">
      <c r="EB178" s="28">
        <v>175</v>
      </c>
      <c r="EC178" s="29" t="str">
        <v>Washington</v>
      </c>
      <c r="ED178" s="31" t="str">
        <v>Vancouver</v>
      </c>
      <c r="FR178" s="29">
        <v>176</v>
      </c>
      <c r="FS178" s="29" t="str">
        <v>Anaheim</v>
      </c>
    </row>
    <row r="179" spans="132:175">
      <c r="EB179" s="28">
        <v>176</v>
      </c>
      <c r="EC179" s="29" t="str">
        <v>Washington</v>
      </c>
      <c r="ED179" s="31" t="str">
        <v>Chicago</v>
      </c>
      <c r="FR179" s="29">
        <v>177</v>
      </c>
      <c r="FS179" s="29" t="str">
        <v>Tampa Bay</v>
      </c>
    </row>
    <row r="180" spans="132:175">
      <c r="EB180" s="28">
        <v>177</v>
      </c>
      <c r="EC180" s="29" t="str">
        <v>Washington</v>
      </c>
      <c r="ED180" s="31" t="str">
        <v>Chicago</v>
      </c>
      <c r="FR180" s="29">
        <v>178</v>
      </c>
      <c r="FS180" s="29" t="str">
        <v>Washington</v>
      </c>
    </row>
    <row r="181" spans="132:175">
      <c r="EB181" s="28">
        <v>178</v>
      </c>
      <c r="EC181" s="29" t="str">
        <v>Washington</v>
      </c>
      <c r="ED181" s="31" t="str">
        <v>Winnipeg</v>
      </c>
      <c r="FR181" s="29">
        <v>179</v>
      </c>
      <c r="FS181" s="29" t="str">
        <v>Vancouver</v>
      </c>
    </row>
    <row r="182" spans="132:175">
      <c r="EB182" s="28">
        <v>179</v>
      </c>
      <c r="EC182" s="29" t="str">
        <v>Detroit</v>
      </c>
      <c r="ED182" s="31" t="str">
        <v>Chicago</v>
      </c>
      <c r="FR182" s="29">
        <v>180</v>
      </c>
      <c r="FS182" s="29" t="str">
        <v>Vancouver</v>
      </c>
    </row>
    <row r="183" spans="132:175">
      <c r="EB183" s="28">
        <v>180</v>
      </c>
      <c r="EC183" s="29" t="str">
        <v>Ottawa</v>
      </c>
      <c r="ED183" s="31" t="str">
        <v>St. Louis</v>
      </c>
      <c r="FR183" s="29">
        <v>181</v>
      </c>
      <c r="FS183" s="29" t="str">
        <v>Washington</v>
      </c>
    </row>
    <row r="184" spans="132:175">
      <c r="EB184" s="28">
        <v>181</v>
      </c>
      <c r="EC184" s="29" t="str">
        <v>Washington</v>
      </c>
      <c r="ED184" s="31" t="str">
        <v>Anaheim</v>
      </c>
      <c r="FR184" s="29">
        <v>182</v>
      </c>
      <c r="FS184" s="29" t="str">
        <v>Anaheim</v>
      </c>
    </row>
    <row r="185" spans="132:175">
      <c r="EB185" s="28">
        <v>182</v>
      </c>
      <c r="EC185" s="29" t="str">
        <v>Detroit</v>
      </c>
      <c r="ED185" s="31" t="str">
        <v>Anaheim</v>
      </c>
      <c r="FR185" s="29">
        <v>183</v>
      </c>
      <c r="FS185" s="29" t="str">
        <v>Washington</v>
      </c>
    </row>
    <row r="186" spans="132:175">
      <c r="EB186" s="28">
        <v>183</v>
      </c>
      <c r="EC186" s="29" t="str">
        <v>Detroit</v>
      </c>
      <c r="ED186" s="31" t="str">
        <v>Winnipeg</v>
      </c>
      <c r="FR186" s="29">
        <v>184</v>
      </c>
      <c r="FS186" s="29" t="str">
        <v>Washington</v>
      </c>
    </row>
    <row r="187" spans="132:175">
      <c r="EB187" s="28">
        <v>184</v>
      </c>
      <c r="EC187" s="29" t="str">
        <v>Washington</v>
      </c>
      <c r="ED187" s="31" t="str">
        <v>Anaheim</v>
      </c>
      <c r="FR187" s="29">
        <v>185</v>
      </c>
      <c r="FS187" s="29" t="str">
        <v>Vancouver</v>
      </c>
    </row>
    <row r="188" spans="132:175">
      <c r="EB188" s="28">
        <v>185</v>
      </c>
      <c r="EC188" s="29" t="str">
        <v>Washington</v>
      </c>
      <c r="ED188" s="31" t="str">
        <v>Winnipeg</v>
      </c>
      <c r="FR188" s="29">
        <v>186</v>
      </c>
      <c r="FS188" s="29" t="str">
        <v>Washington</v>
      </c>
    </row>
    <row r="189" spans="132:175">
      <c r="EB189" s="28">
        <v>186</v>
      </c>
      <c r="EC189" s="29" t="str">
        <v>NY Islanders</v>
      </c>
      <c r="ED189" s="31" t="str">
        <v>Winnipeg</v>
      </c>
      <c r="FR189" s="29">
        <v>187</v>
      </c>
      <c r="FS189" s="29" t="str">
        <v>Washington</v>
      </c>
    </row>
    <row r="190" spans="132:175">
      <c r="EB190" s="28">
        <v>187</v>
      </c>
      <c r="EC190" s="29" t="str">
        <v>Washington</v>
      </c>
      <c r="ED190" s="31" t="str">
        <v>Calgary</v>
      </c>
      <c r="FR190" s="29">
        <v>188</v>
      </c>
      <c r="FS190" s="29" t="str">
        <v>Washington</v>
      </c>
    </row>
    <row r="191" spans="132:175">
      <c r="EB191" s="28">
        <v>188</v>
      </c>
      <c r="EC191" s="29" t="str">
        <v>Tampa Bay</v>
      </c>
      <c r="ED191" s="31" t="str">
        <v>Calgary</v>
      </c>
      <c r="FR191" s="29">
        <v>189</v>
      </c>
      <c r="FS191" s="29" t="str">
        <v>Vancouver</v>
      </c>
    </row>
    <row r="192" spans="132:175">
      <c r="EB192" s="28">
        <v>189</v>
      </c>
      <c r="EC192" s="29" t="str">
        <v>Washington</v>
      </c>
      <c r="ED192" s="31" t="str">
        <v>Nashville</v>
      </c>
      <c r="FR192" s="29">
        <v>190</v>
      </c>
      <c r="FS192" s="29" t="str">
        <v>Nashville</v>
      </c>
    </row>
    <row r="193" spans="132:175">
      <c r="EB193" s="28">
        <v>190</v>
      </c>
      <c r="EC193" s="29" t="str">
        <v>Washington</v>
      </c>
      <c r="ED193" s="31" t="str">
        <v>Anaheim</v>
      </c>
      <c r="FR193" s="29">
        <v>191</v>
      </c>
      <c r="FS193" s="29" t="str">
        <v>Nashville</v>
      </c>
    </row>
    <row r="194" spans="132:175">
      <c r="EB194" s="28">
        <v>191</v>
      </c>
      <c r="EC194" s="29" t="str">
        <v>Detroit</v>
      </c>
      <c r="ED194" s="31" t="str">
        <v>Anaheim</v>
      </c>
      <c r="FR194" s="29">
        <v>192</v>
      </c>
      <c r="FS194" s="29" t="str">
        <v>Washington</v>
      </c>
    </row>
    <row r="195" spans="132:175">
      <c r="EB195" s="28">
        <v>192</v>
      </c>
      <c r="EC195" s="29" t="str">
        <v>Washington</v>
      </c>
      <c r="ED195" s="31" t="str">
        <v>Chicago</v>
      </c>
      <c r="FR195" s="29">
        <v>193</v>
      </c>
      <c r="FS195" s="29" t="str">
        <v>Washington</v>
      </c>
    </row>
    <row r="196" spans="132:175">
      <c r="EB196" s="28">
        <v>193</v>
      </c>
      <c r="EC196" s="29" t="str">
        <v>Tampa Bay</v>
      </c>
      <c r="ED196" s="31" t="str">
        <v>Vancouver</v>
      </c>
      <c r="FR196" s="29">
        <v>194</v>
      </c>
      <c r="FS196" s="29" t="str">
        <v>St. Louis</v>
      </c>
    </row>
    <row r="197" spans="132:175">
      <c r="EB197" s="28">
        <v>194</v>
      </c>
      <c r="EC197" s="29" t="str">
        <v>Tampa Bay</v>
      </c>
      <c r="ED197" s="31" t="str">
        <v>Vancouver</v>
      </c>
      <c r="FR197" s="29">
        <v>195</v>
      </c>
      <c r="FS197" s="29" t="str">
        <v>Nashville</v>
      </c>
    </row>
    <row r="198" spans="132:175">
      <c r="EB198" s="28">
        <v>195</v>
      </c>
      <c r="EC198" s="29" t="str">
        <v>Washington</v>
      </c>
      <c r="ED198" s="31" t="str">
        <v>Anaheim</v>
      </c>
      <c r="FR198" s="29">
        <v>196</v>
      </c>
      <c r="FS198" s="29" t="str">
        <v>Vancouver</v>
      </c>
    </row>
    <row r="199" spans="132:175">
      <c r="EB199" s="28">
        <v>196</v>
      </c>
      <c r="EC199" s="29" t="str">
        <v>Washington</v>
      </c>
      <c r="ED199" s="31" t="str">
        <v>Anaheim</v>
      </c>
      <c r="FR199" s="29">
        <v>197</v>
      </c>
      <c r="FS199" s="29" t="str">
        <v>Nashville</v>
      </c>
    </row>
    <row r="200" spans="132:175">
      <c r="EB200" s="28">
        <v>197</v>
      </c>
      <c r="EC200" s="29" t="str">
        <v>NY Islanders</v>
      </c>
      <c r="ED200" s="31" t="str">
        <v>Anaheim</v>
      </c>
      <c r="FR200" s="29">
        <v>198</v>
      </c>
      <c r="FS200" s="29" t="str">
        <v>Nashville</v>
      </c>
    </row>
    <row r="201" spans="132:175">
      <c r="EB201" s="28">
        <v>198</v>
      </c>
      <c r="EC201" s="29" t="str">
        <v>NY Islanders</v>
      </c>
      <c r="ED201" s="31" t="str">
        <v>Anaheim</v>
      </c>
      <c r="FR201" s="29">
        <v>199</v>
      </c>
      <c r="FS201" s="29" t="str">
        <v>Anaheim</v>
      </c>
    </row>
    <row r="202" spans="132:175">
      <c r="EB202" s="28">
        <v>199</v>
      </c>
      <c r="EC202" s="29" t="str">
        <v>Washington</v>
      </c>
      <c r="ED202" s="31" t="str">
        <v>Vancouver</v>
      </c>
      <c r="FR202" s="29">
        <v>200</v>
      </c>
      <c r="FS202" s="29" t="str">
        <v>Chicago</v>
      </c>
    </row>
    <row r="203" spans="132:175">
      <c r="EB203" s="28">
        <v>200</v>
      </c>
      <c r="EC203" s="29" t="str">
        <v>Washington</v>
      </c>
      <c r="ED203" s="31" t="str">
        <v>Chicago</v>
      </c>
      <c r="FR203" s="29">
        <v>201</v>
      </c>
      <c r="FS203" s="29" t="str">
        <v>Chicago</v>
      </c>
    </row>
    <row r="204" spans="132:175">
      <c r="EB204" s="28">
        <v>201</v>
      </c>
      <c r="EC204" s="29" t="str">
        <v>Tampa Bay</v>
      </c>
      <c r="ED204" s="31" t="str">
        <v>Minnesota</v>
      </c>
      <c r="FR204" s="29">
        <v>202</v>
      </c>
      <c r="FS204" s="29" t="str">
        <v>Detroit</v>
      </c>
    </row>
    <row r="205" spans="132:175">
      <c r="EB205" s="28">
        <v>202</v>
      </c>
      <c r="EC205" s="29" t="str">
        <v>Washington</v>
      </c>
      <c r="ED205" s="31" t="str">
        <v>Nashville</v>
      </c>
      <c r="FR205" s="29">
        <v>203</v>
      </c>
      <c r="FS205" s="29" t="str">
        <v>Detroit</v>
      </c>
    </row>
    <row r="206" spans="132:175">
      <c r="EB206" s="28">
        <v>203</v>
      </c>
      <c r="EC206" s="29" t="str">
        <v>Washington</v>
      </c>
      <c r="ED206" s="31" t="str">
        <v>Nashville</v>
      </c>
      <c r="FR206" s="29">
        <v>204</v>
      </c>
      <c r="FS206" s="29" t="str">
        <v>Ottawa</v>
      </c>
    </row>
    <row r="207" spans="132:175">
      <c r="EB207" s="28">
        <v>204</v>
      </c>
      <c r="EC207" s="29" t="str">
        <v>Washington</v>
      </c>
      <c r="ED207" s="31" t="str">
        <v>Minnesota</v>
      </c>
      <c r="FR207" s="29">
        <v>205</v>
      </c>
      <c r="FS207" s="29" t="str">
        <v>NY Islanders</v>
      </c>
    </row>
    <row r="208" spans="132:175">
      <c r="EB208" s="28">
        <v>205</v>
      </c>
      <c r="EC208" s="29" t="str">
        <v>Washington</v>
      </c>
      <c r="ED208" s="31" t="str">
        <v>Anaheim</v>
      </c>
      <c r="FR208" s="29">
        <v>206</v>
      </c>
      <c r="FS208" s="29" t="str">
        <v>Anaheim</v>
      </c>
    </row>
    <row r="209" spans="132:175">
      <c r="EB209" s="28">
        <v>206</v>
      </c>
      <c r="EC209" s="29" t="str">
        <v>Washington</v>
      </c>
      <c r="ED209" s="31" t="str">
        <v>Minnesota</v>
      </c>
      <c r="FR209" s="29">
        <v>207</v>
      </c>
      <c r="FS209" s="29" t="str">
        <v>Chicago</v>
      </c>
    </row>
    <row r="210" spans="132:175">
      <c r="EB210" s="28">
        <v>207</v>
      </c>
      <c r="EC210" s="29" t="str">
        <v>Washington</v>
      </c>
      <c r="ED210" s="31" t="str">
        <v>Calgary</v>
      </c>
      <c r="FR210" s="29">
        <v>208</v>
      </c>
      <c r="FS210" s="29" t="str">
        <v>Chicago</v>
      </c>
    </row>
    <row r="211" spans="132:175">
      <c r="EB211" s="28">
        <v>208</v>
      </c>
      <c r="EC211" s="29" t="str">
        <v>Washington</v>
      </c>
      <c r="ED211" s="31" t="str">
        <v>Calgary</v>
      </c>
      <c r="FR211" s="29">
        <v>209</v>
      </c>
      <c r="FS211" s="29" t="str">
        <v>NY Islanders</v>
      </c>
    </row>
    <row r="212" spans="132:175">
      <c r="EB212" s="28">
        <v>209</v>
      </c>
      <c r="EC212" s="29" t="str">
        <v>NY Islanders</v>
      </c>
      <c r="ED212" s="31" t="str">
        <v>Anaheim</v>
      </c>
      <c r="FR212" s="29">
        <v>210</v>
      </c>
      <c r="FS212" s="29" t="str">
        <v>Detroit</v>
      </c>
    </row>
    <row r="213" spans="132:175">
      <c r="EB213" s="28">
        <v>210</v>
      </c>
      <c r="EC213" s="29" t="str">
        <v>Washington</v>
      </c>
      <c r="ED213" s="31" t="str">
        <v>Nashville</v>
      </c>
      <c r="FR213" s="29">
        <v>211</v>
      </c>
      <c r="FS213" s="29" t="str">
        <v>Anaheim</v>
      </c>
    </row>
    <row r="214" spans="132:175">
      <c r="EB214" s="28">
        <v>211</v>
      </c>
      <c r="EC214" s="29" t="str">
        <v>Washington</v>
      </c>
      <c r="ED214" s="31" t="str">
        <v>Chicago</v>
      </c>
      <c r="FR214" s="29">
        <v>212</v>
      </c>
      <c r="FS214" s="29" t="str">
        <v>NY Islanders</v>
      </c>
    </row>
    <row r="215" spans="132:175">
      <c r="EB215" s="28">
        <v>212</v>
      </c>
      <c r="EC215" s="29" t="str">
        <v>Washington</v>
      </c>
      <c r="ED215" s="31" t="str">
        <v>Nashville</v>
      </c>
      <c r="FR215" s="29">
        <v>213</v>
      </c>
      <c r="FS215" s="29" t="str">
        <v>NY Islanders</v>
      </c>
    </row>
    <row r="216" spans="132:175">
      <c r="EB216" s="28">
        <v>213</v>
      </c>
      <c r="EC216" s="29" t="str">
        <v>Washington</v>
      </c>
      <c r="ED216" s="31" t="str">
        <v>Anaheim</v>
      </c>
      <c r="FR216" s="29">
        <v>214</v>
      </c>
      <c r="FS216" s="29" t="str">
        <v>NY Islanders</v>
      </c>
    </row>
    <row r="217" spans="132:175">
      <c r="EB217" s="28">
        <v>214</v>
      </c>
      <c r="EC217" s="29" t="str">
        <v>Washington</v>
      </c>
      <c r="ED217" s="31" t="str">
        <v>Winnipeg</v>
      </c>
      <c r="FR217" s="29">
        <v>215</v>
      </c>
      <c r="FS217" s="29" t="str">
        <v>Chicago</v>
      </c>
    </row>
    <row r="218" spans="132:175">
      <c r="EB218" s="28">
        <v>215</v>
      </c>
      <c r="EC218" s="29" t="str">
        <v>Washington</v>
      </c>
      <c r="ED218" s="31" t="str">
        <v>St. Louis</v>
      </c>
      <c r="FR218" s="29">
        <v>216</v>
      </c>
      <c r="FS218" s="29" t="str">
        <v>Vancouver</v>
      </c>
    </row>
    <row r="219" spans="132:175">
      <c r="EB219" s="28">
        <v>216</v>
      </c>
      <c r="EC219" s="29" t="str">
        <v>Washington</v>
      </c>
      <c r="ED219" s="31" t="str">
        <v>St. Louis</v>
      </c>
      <c r="FR219" s="29">
        <v>217</v>
      </c>
      <c r="FS219" s="29" t="str">
        <v>Washington</v>
      </c>
    </row>
    <row r="220" spans="132:175">
      <c r="EB220" s="28">
        <v>217</v>
      </c>
      <c r="EC220" s="29" t="str">
        <v>Ottawa</v>
      </c>
      <c r="ED220" s="31" t="str">
        <v>Nashville</v>
      </c>
      <c r="FR220" s="29">
        <v>218</v>
      </c>
      <c r="FS220" s="29" t="str">
        <v>Washington</v>
      </c>
    </row>
    <row r="221" spans="132:175">
      <c r="EB221" s="28">
        <v>218</v>
      </c>
      <c r="EC221" s="29" t="str">
        <v>Washington</v>
      </c>
      <c r="ED221" s="31" t="str">
        <v>Winnipeg</v>
      </c>
      <c r="FR221" s="29">
        <v>219</v>
      </c>
      <c r="FS221" s="29" t="str">
        <v>Washington</v>
      </c>
    </row>
    <row r="222" spans="132:175">
      <c r="EB222" s="28">
        <v>219</v>
      </c>
      <c r="EC222" s="29" t="str">
        <v>Detroit</v>
      </c>
      <c r="ED222" s="31" t="str">
        <v>Anaheim</v>
      </c>
      <c r="FR222" s="29">
        <v>220</v>
      </c>
      <c r="FS222" s="29" t="str">
        <v>Chicago</v>
      </c>
    </row>
    <row r="223" spans="132:175">
      <c r="EB223" s="28">
        <v>220</v>
      </c>
      <c r="EC223" s="29" t="str">
        <v>Washington</v>
      </c>
      <c r="ED223" s="31" t="str">
        <v>Winnipeg</v>
      </c>
      <c r="FR223" s="29">
        <v>221</v>
      </c>
      <c r="FS223" s="29" t="str">
        <v>Washington</v>
      </c>
    </row>
    <row r="224" spans="132:175">
      <c r="EB224" s="28">
        <v>221</v>
      </c>
      <c r="EC224" s="29" t="str">
        <v>Washington</v>
      </c>
      <c r="ED224" s="31" t="str">
        <v>Minnesota</v>
      </c>
      <c r="FR224" s="29">
        <v>222</v>
      </c>
      <c r="FS224" s="29" t="str">
        <v>Washington</v>
      </c>
    </row>
    <row r="225" spans="132:175">
      <c r="EB225" s="28">
        <v>222</v>
      </c>
      <c r="EC225" s="29" t="str">
        <v>Ottawa</v>
      </c>
      <c r="ED225" s="31" t="str">
        <v>Minnesota</v>
      </c>
      <c r="FR225" s="29">
        <v>223</v>
      </c>
      <c r="FS225" s="29" t="str">
        <v>Montreal</v>
      </c>
    </row>
    <row r="226" spans="132:175">
      <c r="EB226" s="28">
        <v>223</v>
      </c>
      <c r="EC226" s="29" t="str">
        <v>Tampa Bay</v>
      </c>
      <c r="ED226" s="31" t="str">
        <v>Winnipeg</v>
      </c>
      <c r="FR226" s="29">
        <v>224</v>
      </c>
      <c r="FS226" s="29" t="str">
        <v>Nashville</v>
      </c>
    </row>
    <row r="227" spans="132:175">
      <c r="EB227" s="28">
        <v>224</v>
      </c>
      <c r="EC227" s="29" t="str">
        <v>NY Islanders</v>
      </c>
      <c r="ED227" s="31" t="str">
        <v>Anaheim</v>
      </c>
      <c r="FR227" s="29">
        <v>225</v>
      </c>
      <c r="FS227" s="29" t="str">
        <v>Anaheim</v>
      </c>
    </row>
    <row r="228" spans="132:175">
      <c r="EB228" s="28">
        <v>225</v>
      </c>
      <c r="EC228" s="29" t="str">
        <v>Washington</v>
      </c>
      <c r="ED228" s="31" t="str">
        <v>Minnesota</v>
      </c>
      <c r="FR228" s="29">
        <v>226</v>
      </c>
      <c r="FS228" s="29" t="str">
        <v>Vancouver</v>
      </c>
    </row>
    <row r="229" spans="132:175">
      <c r="EB229" s="28">
        <v>226</v>
      </c>
      <c r="EC229" s="29" t="str">
        <v>Washington</v>
      </c>
      <c r="ED229" s="31" t="str">
        <v>Winnipeg</v>
      </c>
      <c r="FR229" s="29">
        <v>227</v>
      </c>
      <c r="FS229" s="29" t="str">
        <v>Vancouver</v>
      </c>
    </row>
    <row r="230" spans="132:175">
      <c r="EB230" s="28">
        <v>227</v>
      </c>
      <c r="EC230" s="29" t="str">
        <v>Washington</v>
      </c>
      <c r="ED230" s="31" t="str">
        <v>Winnipeg</v>
      </c>
      <c r="FR230" s="29">
        <v>228</v>
      </c>
      <c r="FS230" s="29" t="str">
        <v>Tampa Bay</v>
      </c>
    </row>
    <row r="231" spans="132:175">
      <c r="EB231" s="28">
        <v>228</v>
      </c>
      <c r="EC231" s="29" t="str">
        <v>Washington</v>
      </c>
      <c r="ED231" s="31" t="str">
        <v>Vancouver</v>
      </c>
      <c r="FR231" s="29">
        <v>229</v>
      </c>
      <c r="FS231" s="29" t="str">
        <v>Winnipeg</v>
      </c>
    </row>
    <row r="232" spans="132:175">
      <c r="EB232" s="28">
        <v>229</v>
      </c>
      <c r="EC232" s="29" t="str">
        <v>Washington</v>
      </c>
      <c r="ED232" s="31" t="str">
        <v>Vancouver</v>
      </c>
      <c r="FR232" s="29">
        <v>230</v>
      </c>
      <c r="FS232" s="29" t="str">
        <v>Washington</v>
      </c>
    </row>
    <row r="233" spans="132:175">
      <c r="EB233" s="28">
        <v>230</v>
      </c>
      <c r="EC233" s="29" t="str">
        <v>Ottawa</v>
      </c>
      <c r="ED233" s="31" t="str">
        <v>Vancouver</v>
      </c>
      <c r="FR233" s="29">
        <v>231</v>
      </c>
      <c r="FS233" s="29" t="str">
        <v>Minnesota</v>
      </c>
    </row>
    <row r="234" spans="132:175">
      <c r="EB234" s="28">
        <v>231</v>
      </c>
      <c r="EC234" s="29" t="str">
        <v>Washington</v>
      </c>
      <c r="ED234" s="31" t="str">
        <v>Nashville</v>
      </c>
      <c r="FR234" s="29">
        <v>232</v>
      </c>
      <c r="FS234" s="29" t="str">
        <v>Minnesota</v>
      </c>
    </row>
    <row r="235" spans="132:175">
      <c r="EB235" s="28">
        <v>232</v>
      </c>
      <c r="EC235" s="29" t="str">
        <v>NY Islanders</v>
      </c>
      <c r="ED235" s="31" t="str">
        <v>Vancouver</v>
      </c>
      <c r="FR235" s="29">
        <v>233</v>
      </c>
      <c r="FS235" s="29" t="str">
        <v>Anaheim</v>
      </c>
    </row>
    <row r="236" spans="132:175">
      <c r="EB236" s="28">
        <v>233</v>
      </c>
      <c r="EC236" s="29" t="str">
        <v>Washington</v>
      </c>
      <c r="ED236" s="31" t="str">
        <v>Anaheim</v>
      </c>
      <c r="FR236" s="29">
        <v>234</v>
      </c>
      <c r="FS236" s="29" t="str">
        <v>Anaheim</v>
      </c>
    </row>
    <row r="237" spans="132:175">
      <c r="EB237" s="28">
        <v>234</v>
      </c>
      <c r="EC237" s="29" t="str">
        <v>Washington</v>
      </c>
      <c r="ED237" s="31" t="str">
        <v>Anaheim</v>
      </c>
      <c r="FR237" s="29">
        <v>235</v>
      </c>
      <c r="FS237" s="29" t="str">
        <v>Washington</v>
      </c>
    </row>
    <row r="238" spans="132:175">
      <c r="EB238" s="28">
        <v>235</v>
      </c>
      <c r="EC238" s="29" t="str">
        <v>Washington</v>
      </c>
      <c r="ED238" s="31" t="str">
        <v>Anaheim</v>
      </c>
      <c r="FR238" s="29">
        <v>236</v>
      </c>
      <c r="FS238" s="29" t="str">
        <v>Tampa Bay</v>
      </c>
    </row>
    <row r="239" spans="132:175">
      <c r="EB239" s="28">
        <v>236</v>
      </c>
      <c r="EC239" s="29" t="str">
        <v>Washington</v>
      </c>
      <c r="ED239" s="31" t="str">
        <v>Winnipeg</v>
      </c>
      <c r="FR239" s="29">
        <v>237</v>
      </c>
      <c r="FS239" s="29" t="str">
        <v>Tampa Bay</v>
      </c>
    </row>
    <row r="240" spans="132:175">
      <c r="EB240" s="28">
        <v>237</v>
      </c>
      <c r="EC240" s="29" t="str">
        <v>Washington</v>
      </c>
      <c r="ED240" s="31" t="str">
        <v>Anaheim</v>
      </c>
      <c r="FR240" s="29">
        <v>238</v>
      </c>
      <c r="FS240" s="29" t="str">
        <v>Washington</v>
      </c>
    </row>
    <row r="241" spans="132:175">
      <c r="EB241" s="28">
        <v>238</v>
      </c>
      <c r="EC241" s="29" t="str">
        <v>Detroit</v>
      </c>
      <c r="ED241" s="31" t="str">
        <v>Vancouver</v>
      </c>
      <c r="FR241" s="29">
        <v>239</v>
      </c>
      <c r="FS241" s="29" t="str">
        <v>Anaheim</v>
      </c>
    </row>
    <row r="242" spans="132:175">
      <c r="EB242" s="28">
        <v>239</v>
      </c>
      <c r="EC242" s="29" t="str">
        <v>Detroit</v>
      </c>
      <c r="ED242" s="31" t="str">
        <v>Vancouver</v>
      </c>
      <c r="FR242" s="29">
        <v>240</v>
      </c>
      <c r="FS242" s="29" t="str">
        <v>Minnesota</v>
      </c>
    </row>
    <row r="243" spans="132:175">
      <c r="EB243" s="28">
        <v>240</v>
      </c>
      <c r="EC243" s="29" t="str">
        <v>Washington</v>
      </c>
      <c r="ED243" s="31" t="str">
        <v>Vancouver</v>
      </c>
      <c r="FR243" s="29">
        <v>241</v>
      </c>
      <c r="FS243" s="29" t="str">
        <v>Minnesota</v>
      </c>
    </row>
    <row r="244" spans="132:175">
      <c r="EB244" s="28">
        <v>241</v>
      </c>
      <c r="EC244" s="29" t="str">
        <v>Tampa Bay</v>
      </c>
      <c r="ED244" s="31" t="str">
        <v>Vancouver</v>
      </c>
      <c r="FR244" s="29">
        <v>242</v>
      </c>
      <c r="FS244" s="29" t="str">
        <v>Anaheim</v>
      </c>
    </row>
    <row r="245" spans="132:175">
      <c r="EB245" s="28">
        <v>242</v>
      </c>
      <c r="EC245" s="29" t="str">
        <v>Washington</v>
      </c>
      <c r="ED245" s="31" t="str">
        <v>Anaheim</v>
      </c>
      <c r="FR245" s="29">
        <v>243</v>
      </c>
      <c r="FS245" s="29" t="str">
        <v>Ottawa</v>
      </c>
    </row>
    <row r="246" spans="132:175">
      <c r="EB246" s="28">
        <v>243</v>
      </c>
      <c r="EC246" s="29" t="str">
        <v>Washington</v>
      </c>
      <c r="ED246" s="31" t="str">
        <v>Anaheim</v>
      </c>
      <c r="FR246" s="29">
        <v>244</v>
      </c>
      <c r="FS246" s="29" t="str">
        <v>St. Louis</v>
      </c>
    </row>
    <row r="247" spans="132:175">
      <c r="EB247" s="28">
        <v>244</v>
      </c>
      <c r="EC247" s="29" t="str">
        <v>Washington</v>
      </c>
      <c r="ED247" s="31" t="str">
        <v>Anaheim</v>
      </c>
      <c r="FR247" s="29">
        <v>245</v>
      </c>
      <c r="FS247" s="29" t="str">
        <v>Vancouver</v>
      </c>
    </row>
    <row r="248" spans="132:175">
      <c r="EB248" s="28">
        <v>245</v>
      </c>
      <c r="EC248" s="29" t="str">
        <v>Washington</v>
      </c>
      <c r="ED248" s="31" t="str">
        <v>Anaheim</v>
      </c>
      <c r="FR248" s="29">
        <v>246</v>
      </c>
      <c r="FS248" s="29" t="str">
        <v>Vancouver</v>
      </c>
    </row>
    <row r="249" spans="132:175">
      <c r="EB249" s="28">
        <v>246</v>
      </c>
      <c r="EC249" s="29" t="str">
        <v>Washington</v>
      </c>
      <c r="ED249" s="31" t="str">
        <v>Nashville</v>
      </c>
      <c r="FR249" s="29">
        <v>247</v>
      </c>
      <c r="FS249" s="29" t="str">
        <v>Winnipeg</v>
      </c>
    </row>
    <row r="250" spans="132:175">
      <c r="EB250" s="28">
        <v>247</v>
      </c>
      <c r="EC250" s="29" t="str">
        <v>Montreal</v>
      </c>
      <c r="ED250" s="31" t="str">
        <v>Calgary</v>
      </c>
      <c r="FR250" s="29">
        <v>248</v>
      </c>
      <c r="FS250" s="29" t="str">
        <v>St. Louis</v>
      </c>
    </row>
    <row r="251" spans="132:175">
      <c r="EB251" s="28">
        <v>248</v>
      </c>
      <c r="EC251" s="29" t="str">
        <v>Detroit</v>
      </c>
      <c r="ED251" s="31" t="str">
        <v>Chicago</v>
      </c>
      <c r="FR251" s="29">
        <v>249</v>
      </c>
      <c r="FS251" s="29" t="str">
        <v>Anaheim</v>
      </c>
    </row>
    <row r="252" spans="132:175">
      <c r="EB252" s="28">
        <v>249</v>
      </c>
      <c r="EC252" s="29" t="str">
        <v>Detroit</v>
      </c>
      <c r="ED252" s="31" t="str">
        <v>Chicago</v>
      </c>
      <c r="FR252" s="29">
        <v>250</v>
      </c>
      <c r="FS252" s="29" t="str">
        <v>NY Islanders</v>
      </c>
    </row>
    <row r="253" spans="132:175">
      <c r="EB253" s="28">
        <v>250</v>
      </c>
      <c r="EC253" s="29" t="str">
        <v>Washington</v>
      </c>
      <c r="ED253" s="31" t="str">
        <v>Calgary</v>
      </c>
      <c r="FR253" s="29">
        <v>251</v>
      </c>
      <c r="FS253" s="29" t="str">
        <v>Anaheim</v>
      </c>
    </row>
    <row r="254" spans="132:175">
      <c r="EB254" s="28">
        <v>251</v>
      </c>
      <c r="EC254" s="29" t="str">
        <v>Washington</v>
      </c>
      <c r="ED254" s="31" t="str">
        <v>Chicago</v>
      </c>
      <c r="FR254" s="29">
        <v>252</v>
      </c>
      <c r="FS254" s="29" t="str">
        <v>Minnesota</v>
      </c>
    </row>
    <row r="255" spans="132:175">
      <c r="EB255" s="28">
        <v>252</v>
      </c>
      <c r="EC255" s="29" t="str">
        <v>Washington</v>
      </c>
      <c r="ED255" s="31" t="str">
        <v>Chicago</v>
      </c>
      <c r="FR255" s="29">
        <v>253</v>
      </c>
      <c r="FS255" s="29" t="str">
        <v>Anaheim</v>
      </c>
    </row>
    <row r="256" spans="132:175">
      <c r="EB256" s="28">
        <v>253</v>
      </c>
      <c r="EC256" s="29" t="str">
        <v>Detroit</v>
      </c>
      <c r="ED256" s="31" t="str">
        <v>Vancouver</v>
      </c>
      <c r="FR256" s="29">
        <v>254</v>
      </c>
      <c r="FS256" s="29" t="str">
        <v>Nashville</v>
      </c>
    </row>
    <row r="257" spans="132:175">
      <c r="EB257" s="28">
        <v>254</v>
      </c>
      <c r="EC257" s="29" t="str">
        <v>Detroit</v>
      </c>
      <c r="ED257" s="31" t="str">
        <v>Vancouver</v>
      </c>
      <c r="FR257" s="29">
        <v>255</v>
      </c>
      <c r="FS257" s="29" t="str">
        <v>Nashville</v>
      </c>
    </row>
    <row r="258" spans="132:175">
      <c r="EB258" s="28">
        <v>255</v>
      </c>
      <c r="EC258" s="29" t="str">
        <v>Washington</v>
      </c>
      <c r="ED258" s="31" t="str">
        <v>Chicago</v>
      </c>
      <c r="FR258" s="29">
        <v>256</v>
      </c>
      <c r="FS258" s="29" t="str">
        <v>Washington</v>
      </c>
    </row>
    <row r="259" spans="132:175">
      <c r="EB259" s="28">
        <v>256</v>
      </c>
      <c r="EC259" s="29" t="str">
        <v>Washington</v>
      </c>
      <c r="ED259" s="31" t="str">
        <v>Calgary</v>
      </c>
      <c r="FR259" s="29">
        <v>257</v>
      </c>
      <c r="FS259" s="29" t="str">
        <v>Vancouver</v>
      </c>
    </row>
    <row r="260" spans="132:175">
      <c r="EB260" s="28">
        <v>257</v>
      </c>
      <c r="EC260" s="29" t="str">
        <v>Washington</v>
      </c>
      <c r="ED260" s="31" t="str">
        <v>Winnipeg</v>
      </c>
      <c r="FR260" s="29">
        <v>258</v>
      </c>
      <c r="FS260" s="29" t="str">
        <v>Vancouver</v>
      </c>
    </row>
    <row r="261" spans="132:175">
      <c r="EB261" s="28">
        <v>258</v>
      </c>
      <c r="EC261" s="29" t="str">
        <v>Washington</v>
      </c>
      <c r="ED261" s="31" t="str">
        <v>Nashville</v>
      </c>
      <c r="FR261" s="29">
        <v>259</v>
      </c>
      <c r="FS261" s="29" t="str">
        <v>Detroit</v>
      </c>
    </row>
    <row r="262" spans="132:175">
      <c r="EB262" s="28">
        <v>259</v>
      </c>
      <c r="EC262" s="29" t="str">
        <v>Washington</v>
      </c>
      <c r="ED262" s="31" t="str">
        <v>Nashville</v>
      </c>
      <c r="FR262" s="29">
        <v>260</v>
      </c>
      <c r="FS262" s="29" t="str">
        <v>Washington</v>
      </c>
    </row>
    <row r="263" spans="132:175">
      <c r="EB263" s="28">
        <v>260</v>
      </c>
      <c r="EC263" s="29" t="str">
        <v>Tampa Bay</v>
      </c>
      <c r="ED263" s="31" t="str">
        <v>Nashville</v>
      </c>
      <c r="FR263" s="29">
        <v>261</v>
      </c>
      <c r="FS263" s="29" t="str">
        <v>Minnesota</v>
      </c>
    </row>
    <row r="264" spans="132:175">
      <c r="EB264" s="28">
        <v>261</v>
      </c>
      <c r="EC264" s="29" t="str">
        <v>NY Islanders</v>
      </c>
      <c r="ED264" s="31" t="str">
        <v>Calgary</v>
      </c>
      <c r="FR264" s="29">
        <v>262</v>
      </c>
      <c r="FS264" s="29" t="str">
        <v>Winnipeg</v>
      </c>
    </row>
    <row r="265" spans="132:175">
      <c r="EB265" s="28">
        <v>262</v>
      </c>
      <c r="EC265" s="29" t="str">
        <v>Washington</v>
      </c>
      <c r="ED265" s="31" t="str">
        <v>St. Louis</v>
      </c>
      <c r="FR265" s="29">
        <v>263</v>
      </c>
      <c r="FS265" s="29" t="str">
        <v>Anaheim</v>
      </c>
    </row>
    <row r="266" spans="132:175">
      <c r="EB266" s="28">
        <v>263</v>
      </c>
      <c r="EC266" s="29" t="str">
        <v>Tampa Bay</v>
      </c>
      <c r="ED266" s="31" t="str">
        <v>Vancouver</v>
      </c>
      <c r="FR266" s="29">
        <v>264</v>
      </c>
      <c r="FS266" s="29" t="str">
        <v>Winnipeg</v>
      </c>
    </row>
    <row r="267" spans="132:175">
      <c r="EB267" s="28">
        <v>264</v>
      </c>
      <c r="EC267" s="29" t="str">
        <v>NY Islanders</v>
      </c>
      <c r="ED267" s="31" t="str">
        <v>Chicago</v>
      </c>
      <c r="FR267" s="29">
        <v>265</v>
      </c>
      <c r="FS267" s="29" t="str">
        <v>Anaheim</v>
      </c>
    </row>
    <row r="268" spans="132:175">
      <c r="EB268" s="28">
        <v>265</v>
      </c>
      <c r="EC268" s="29" t="str">
        <v>Detroit</v>
      </c>
      <c r="ED268" s="31" t="str">
        <v>Minnesota</v>
      </c>
      <c r="FR268" s="29">
        <v>266</v>
      </c>
      <c r="FS268" s="29" t="str">
        <v>Nashville</v>
      </c>
    </row>
    <row r="269" spans="132:175">
      <c r="EB269" s="28">
        <v>266</v>
      </c>
      <c r="EC269" s="29" t="str">
        <v>Tampa Bay</v>
      </c>
      <c r="ED269" s="31" t="str">
        <v>Vancouver</v>
      </c>
      <c r="FR269" s="29">
        <v>267</v>
      </c>
      <c r="FS269" s="29" t="str">
        <v>Minnesota</v>
      </c>
    </row>
    <row r="270" spans="132:175">
      <c r="EB270" s="28">
        <v>267</v>
      </c>
      <c r="EC270" s="29" t="str">
        <v>Washington</v>
      </c>
      <c r="ED270" s="31" t="str">
        <v>Anaheim</v>
      </c>
      <c r="FR270" s="29">
        <v>268</v>
      </c>
      <c r="FS270" s="29" t="str">
        <v>Minnesota</v>
      </c>
    </row>
    <row r="271" spans="132:175">
      <c r="EB271" s="28">
        <v>268</v>
      </c>
      <c r="EC271" s="29" t="str">
        <v>Detroit</v>
      </c>
      <c r="ED271" s="31" t="str">
        <v>Anaheim</v>
      </c>
      <c r="FR271" s="29">
        <v>269</v>
      </c>
      <c r="FS271" s="29" t="str">
        <v>Calgary</v>
      </c>
    </row>
    <row r="272" spans="132:175">
      <c r="EB272" s="28">
        <v>269</v>
      </c>
      <c r="EC272" s="29" t="str">
        <v>Detroit</v>
      </c>
      <c r="ED272" s="31" t="str">
        <v>Anaheim</v>
      </c>
      <c r="FR272" s="29">
        <v>270</v>
      </c>
      <c r="FS272" s="29" t="str">
        <v>Calgary</v>
      </c>
    </row>
    <row r="273" spans="132:175">
      <c r="EB273" s="28">
        <v>270</v>
      </c>
      <c r="EC273" s="29" t="str">
        <v>Washington</v>
      </c>
      <c r="ED273" s="31" t="str">
        <v>Vancouver</v>
      </c>
      <c r="FR273" s="29">
        <v>271</v>
      </c>
      <c r="FS273" s="29" t="str">
        <v>St. Louis</v>
      </c>
    </row>
    <row r="274" spans="132:175">
      <c r="EB274" s="28">
        <v>271</v>
      </c>
      <c r="EC274" s="29" t="str">
        <v>Washington</v>
      </c>
      <c r="ED274" s="31" t="str">
        <v>Anaheim</v>
      </c>
      <c r="FR274" s="29">
        <v>272</v>
      </c>
      <c r="FS274" s="29" t="str">
        <v>NY Islanders</v>
      </c>
    </row>
    <row r="275" spans="132:175">
      <c r="EB275" s="28">
        <v>272</v>
      </c>
      <c r="EC275" s="29" t="str">
        <v>Washington</v>
      </c>
      <c r="ED275" s="31" t="str">
        <v>Winnipeg</v>
      </c>
      <c r="FR275" s="29">
        <v>273</v>
      </c>
      <c r="FS275" s="29" t="str">
        <v>NY Islanders</v>
      </c>
    </row>
    <row r="276" spans="132:175">
      <c r="EB276" s="28">
        <v>273</v>
      </c>
      <c r="EC276" s="29" t="str">
        <v>Ottawa</v>
      </c>
      <c r="ED276" s="31" t="str">
        <v>Vancouver</v>
      </c>
      <c r="FR276" s="29">
        <v>274</v>
      </c>
      <c r="FS276" s="29" t="str">
        <v>Anaheim</v>
      </c>
    </row>
    <row r="277" spans="132:175">
      <c r="EB277" s="28">
        <v>274</v>
      </c>
      <c r="EC277" s="29" t="str">
        <v>Ottawa</v>
      </c>
      <c r="ED277" s="31" t="str">
        <v>Vancouver</v>
      </c>
      <c r="FR277" s="29">
        <v>275</v>
      </c>
      <c r="FS277" s="29" t="str">
        <v>Washington</v>
      </c>
    </row>
    <row r="278" spans="132:175">
      <c r="EB278" s="28">
        <v>275</v>
      </c>
      <c r="EC278" s="29" t="str">
        <v>Detroit</v>
      </c>
      <c r="ED278" s="31" t="str">
        <v>St. Louis</v>
      </c>
      <c r="FR278" s="29">
        <v>276</v>
      </c>
      <c r="FS278" s="29" t="str">
        <v>Winnipeg</v>
      </c>
    </row>
    <row r="279" spans="132:175">
      <c r="EB279" s="28">
        <v>276</v>
      </c>
      <c r="EC279" s="29" t="str">
        <v>NY Islanders</v>
      </c>
      <c r="ED279" s="31" t="str">
        <v>St. Louis</v>
      </c>
      <c r="FR279" s="29">
        <v>277</v>
      </c>
      <c r="FS279" s="29" t="str">
        <v>Chicago</v>
      </c>
    </row>
    <row r="280" spans="132:175">
      <c r="EB280" s="28">
        <v>277</v>
      </c>
      <c r="EC280" s="29" t="str">
        <v>NY Islanders</v>
      </c>
      <c r="ED280" s="31" t="str">
        <v>Chicago</v>
      </c>
      <c r="FR280" s="29">
        <v>278</v>
      </c>
      <c r="FS280" s="29" t="str">
        <v>Vancouver</v>
      </c>
    </row>
    <row r="281" spans="132:175">
      <c r="EB281" s="28">
        <v>278</v>
      </c>
      <c r="EC281" s="29" t="str">
        <v>Washington</v>
      </c>
      <c r="ED281" s="31" t="str">
        <v>Anaheim</v>
      </c>
      <c r="FR281" s="29">
        <v>279</v>
      </c>
      <c r="FS281" s="29" t="str">
        <v>Anaheim</v>
      </c>
    </row>
    <row r="282" spans="132:175">
      <c r="EB282" s="28">
        <v>279</v>
      </c>
      <c r="EC282" s="29" t="str">
        <v>Washington</v>
      </c>
      <c r="ED282" s="31" t="str">
        <v>Anaheim</v>
      </c>
      <c r="FR282" s="29">
        <v>280</v>
      </c>
      <c r="FS282" s="29" t="str">
        <v>Washington</v>
      </c>
    </row>
    <row r="283" spans="132:175">
      <c r="EB283" s="28">
        <v>280</v>
      </c>
      <c r="EC283" s="29" t="str">
        <v>Washington</v>
      </c>
      <c r="ED283" s="31" t="str">
        <v>Anaheim</v>
      </c>
      <c r="FR283" s="29">
        <v>281</v>
      </c>
      <c r="FS283" s="29" t="str">
        <v>Winnipeg</v>
      </c>
    </row>
    <row r="284" spans="132:175">
      <c r="EB284" s="28">
        <v>281</v>
      </c>
      <c r="EC284" s="29" t="str">
        <v>Washington</v>
      </c>
      <c r="ED284" s="31" t="str">
        <v>Vancouver</v>
      </c>
      <c r="FR284" s="29">
        <v>282</v>
      </c>
      <c r="FS284" s="29" t="str">
        <v>Anaheim</v>
      </c>
    </row>
    <row r="285" spans="132:175">
      <c r="EB285" s="28">
        <v>282</v>
      </c>
      <c r="EC285" s="29" t="str">
        <v>Washington</v>
      </c>
      <c r="ED285" s="31" t="str">
        <v>Vancouver</v>
      </c>
      <c r="FR285" s="29">
        <v>283</v>
      </c>
      <c r="FS285" s="29" t="str">
        <v>Washington</v>
      </c>
    </row>
    <row r="286" spans="132:175">
      <c r="EB286" s="28">
        <v>283</v>
      </c>
      <c r="EC286" s="29" t="str">
        <v>Washington</v>
      </c>
      <c r="ED286" s="31" t="str">
        <v>Chicago</v>
      </c>
      <c r="FR286" s="29">
        <v>284</v>
      </c>
      <c r="FS286" s="29" t="str">
        <v>NY Islanders</v>
      </c>
    </row>
    <row r="287" spans="132:175">
      <c r="EB287" s="28">
        <v>284</v>
      </c>
      <c r="EC287" s="29" t="str">
        <v>Washington</v>
      </c>
      <c r="ED287" s="31" t="str">
        <v>Chicago</v>
      </c>
      <c r="FR287" s="29">
        <v>285</v>
      </c>
      <c r="FS287" s="29" t="str">
        <v>Chicago</v>
      </c>
    </row>
    <row r="288" spans="132:175">
      <c r="EB288" s="28">
        <v>285</v>
      </c>
      <c r="EC288" s="29" t="str">
        <v>Washington</v>
      </c>
      <c r="ED288" s="31" t="str">
        <v>Nashville</v>
      </c>
      <c r="FR288" s="29">
        <v>286</v>
      </c>
      <c r="FS288" s="29" t="str">
        <v>Nashville</v>
      </c>
    </row>
    <row r="289" spans="132:175">
      <c r="EB289" s="28">
        <v>286</v>
      </c>
      <c r="EC289" s="29" t="str">
        <v>Washington</v>
      </c>
      <c r="ED289" s="31" t="str">
        <v>Anaheim</v>
      </c>
      <c r="FR289" s="29">
        <v>287</v>
      </c>
      <c r="FS289" s="29" t="str">
        <v>Ottawa</v>
      </c>
    </row>
    <row r="290" spans="132:175">
      <c r="EB290" s="28">
        <v>287</v>
      </c>
      <c r="EC290" s="29" t="str">
        <v>Washington</v>
      </c>
      <c r="ED290" s="31" t="str">
        <v>Chicago</v>
      </c>
      <c r="FR290" s="29">
        <v>288</v>
      </c>
      <c r="FS290" s="29" t="str">
        <v>Chicago</v>
      </c>
    </row>
    <row r="291" spans="132:175">
      <c r="EB291" s="28">
        <v>288</v>
      </c>
      <c r="EC291" s="29" t="str">
        <v>Washington</v>
      </c>
      <c r="ED291" s="31" t="str">
        <v>Chicago</v>
      </c>
      <c r="FR291" s="29">
        <v>289</v>
      </c>
      <c r="FS291" s="29" t="str">
        <v>Chicago</v>
      </c>
    </row>
    <row r="292" spans="132:175">
      <c r="EB292" s="28">
        <v>289</v>
      </c>
      <c r="EC292" s="29" t="str">
        <v>Washington</v>
      </c>
      <c r="ED292" s="31" t="str">
        <v>Chicago</v>
      </c>
      <c r="FR292" s="29">
        <v>290</v>
      </c>
      <c r="FS292" s="29" t="str">
        <v>NY Islanders</v>
      </c>
    </row>
    <row r="293" spans="132:175">
      <c r="EB293" s="28">
        <v>290</v>
      </c>
      <c r="EC293" s="29" t="str">
        <v>Washington</v>
      </c>
      <c r="ED293" s="31" t="str">
        <v>Minnesota</v>
      </c>
      <c r="FR293" s="29">
        <v>291</v>
      </c>
      <c r="FS293" s="29" t="str">
        <v>Anaheim</v>
      </c>
    </row>
    <row r="294" spans="132:175">
      <c r="EB294" s="28">
        <v>291</v>
      </c>
      <c r="EC294" s="29" t="str">
        <v>Washington</v>
      </c>
      <c r="ED294" s="31" t="str">
        <v>Nashville</v>
      </c>
      <c r="FR294" s="29">
        <v>292</v>
      </c>
      <c r="FS294" s="29" t="str">
        <v>Chicago</v>
      </c>
    </row>
    <row r="295" spans="132:175">
      <c r="EB295" s="28">
        <v>292</v>
      </c>
      <c r="EC295" s="29" t="str">
        <v>Tampa Bay</v>
      </c>
      <c r="ED295" s="31" t="str">
        <v>Winnipeg</v>
      </c>
      <c r="FR295" s="29">
        <v>293</v>
      </c>
      <c r="FS295" s="29" t="str">
        <v>Nashville</v>
      </c>
    </row>
    <row r="296" spans="132:175">
      <c r="EB296" s="28">
        <v>293</v>
      </c>
      <c r="EC296" s="29" t="str">
        <v>Washington</v>
      </c>
      <c r="ED296" s="31" t="str">
        <v>Chicago</v>
      </c>
      <c r="FR296" s="29">
        <v>294</v>
      </c>
      <c r="FS296" s="29" t="str">
        <v>Washington</v>
      </c>
    </row>
    <row r="297" spans="132:175">
      <c r="EB297" s="28">
        <v>294</v>
      </c>
      <c r="EC297" s="29" t="str">
        <v>Washington</v>
      </c>
      <c r="ED297" s="31" t="str">
        <v>Anaheim</v>
      </c>
      <c r="FR297" s="29">
        <v>295</v>
      </c>
      <c r="FS297" s="29" t="str">
        <v>Winnipeg</v>
      </c>
    </row>
    <row r="298" spans="132:175">
      <c r="EB298" s="28">
        <v>295</v>
      </c>
      <c r="EC298" s="29" t="str">
        <v>Detroit</v>
      </c>
      <c r="ED298" s="31" t="str">
        <v>St. Louis</v>
      </c>
      <c r="FR298" s="29">
        <v>296</v>
      </c>
      <c r="FS298" s="29" t="str">
        <v>Tampa Bay</v>
      </c>
    </row>
    <row r="299" spans="132:175">
      <c r="EB299" s="28">
        <v>296</v>
      </c>
      <c r="EC299" s="29" t="str">
        <v>Washington</v>
      </c>
      <c r="ED299" s="31" t="str">
        <v>Winnipeg</v>
      </c>
      <c r="FR299" s="29">
        <v>297</v>
      </c>
      <c r="FS299" s="29" t="str">
        <v>Anaheim</v>
      </c>
    </row>
    <row r="300" spans="132:175">
      <c r="EB300" s="28">
        <v>297</v>
      </c>
      <c r="EC300" s="29" t="str">
        <v>Washington</v>
      </c>
      <c r="ED300" s="31" t="str">
        <v>Winnipeg</v>
      </c>
      <c r="FR300" s="29">
        <v>298</v>
      </c>
      <c r="FS300" s="29" t="str">
        <v>Anaheim</v>
      </c>
    </row>
    <row r="301" spans="132:175">
      <c r="EB301" s="28">
        <v>298</v>
      </c>
      <c r="EC301" s="29" t="str">
        <v>Washington</v>
      </c>
      <c r="ED301" s="31" t="str">
        <v>Winnipeg</v>
      </c>
      <c r="FR301" s="29">
        <v>299</v>
      </c>
      <c r="FS301" s="29" t="str">
        <v>Winnipeg</v>
      </c>
    </row>
    <row r="302" spans="132:175">
      <c r="EB302" s="28">
        <v>299</v>
      </c>
      <c r="EC302" s="29" t="str">
        <v>Washington</v>
      </c>
      <c r="ED302" s="31" t="str">
        <v>Vancouver</v>
      </c>
      <c r="FR302" s="29">
        <v>300</v>
      </c>
      <c r="FS302" s="29" t="str">
        <v>Winnipeg</v>
      </c>
    </row>
    <row r="303" spans="132:175">
      <c r="EB303" s="28">
        <v>300</v>
      </c>
      <c r="EC303" s="29" t="str">
        <v>Washington</v>
      </c>
      <c r="ED303" s="31" t="str">
        <v>Chicago</v>
      </c>
      <c r="FR303" s="29">
        <v>301</v>
      </c>
      <c r="FS303" s="29" t="str">
        <v>Chicago</v>
      </c>
    </row>
    <row r="304" spans="132:175">
      <c r="EB304" s="28">
        <v>301</v>
      </c>
      <c r="EC304" s="29" t="str">
        <v>Washington</v>
      </c>
      <c r="ED304" s="31" t="str">
        <v>Nashville</v>
      </c>
      <c r="FR304" s="29">
        <v>302</v>
      </c>
      <c r="FS304" s="29" t="str">
        <v>Nashville</v>
      </c>
    </row>
    <row r="305" spans="132:175">
      <c r="EB305" s="28">
        <v>302</v>
      </c>
      <c r="EC305" s="29" t="str">
        <v>Detroit</v>
      </c>
      <c r="ED305" s="31" t="str">
        <v>Winnipeg</v>
      </c>
      <c r="FR305" s="29">
        <v>303</v>
      </c>
      <c r="FS305" s="29" t="str">
        <v>Nashville</v>
      </c>
    </row>
    <row r="306" spans="132:175">
      <c r="EB306" s="28">
        <v>303</v>
      </c>
      <c r="EC306" s="29" t="str">
        <v>Washington</v>
      </c>
      <c r="ED306" s="31" t="str">
        <v>Calgary</v>
      </c>
      <c r="FR306" s="29">
        <v>304</v>
      </c>
      <c r="FS306" s="29" t="str">
        <v>Anaheim</v>
      </c>
    </row>
    <row r="307" spans="132:175">
      <c r="EB307" s="28">
        <v>304</v>
      </c>
      <c r="EC307" s="29" t="str">
        <v>Washington</v>
      </c>
      <c r="ED307" s="31" t="str">
        <v>Anaheim</v>
      </c>
      <c r="FR307" s="29">
        <v>305</v>
      </c>
      <c r="FS307" s="29" t="str">
        <v>Anaheim</v>
      </c>
    </row>
    <row r="308" spans="132:175">
      <c r="EB308" s="28">
        <v>305</v>
      </c>
      <c r="EC308" s="29" t="str">
        <v>NY Islanders</v>
      </c>
      <c r="ED308" s="31" t="str">
        <v>Calgary</v>
      </c>
      <c r="FR308" s="29">
        <v>306</v>
      </c>
      <c r="FS308" s="29" t="str">
        <v>Ottawa</v>
      </c>
    </row>
    <row r="309" spans="132:175">
      <c r="EB309" s="28">
        <v>306</v>
      </c>
      <c r="EC309" s="29" t="str">
        <v>Tampa Bay</v>
      </c>
      <c r="ED309" s="31" t="str">
        <v>Vancouver</v>
      </c>
      <c r="FR309" s="29">
        <v>307</v>
      </c>
      <c r="FS309" s="29" t="str">
        <v>Nashville</v>
      </c>
    </row>
    <row r="310" spans="132:175">
      <c r="EB310" s="28">
        <v>307</v>
      </c>
      <c r="EC310" s="29" t="str">
        <v>Washington</v>
      </c>
      <c r="ED310" s="31" t="str">
        <v>Anaheim</v>
      </c>
      <c r="FR310" s="29">
        <v>308</v>
      </c>
      <c r="FS310" s="29" t="str">
        <v>Nashville</v>
      </c>
    </row>
    <row r="311" spans="132:175">
      <c r="EB311" s="28">
        <v>308</v>
      </c>
      <c r="EC311" s="29" t="str">
        <v>Washington</v>
      </c>
      <c r="ED311" s="31" t="str">
        <v>St. Louis</v>
      </c>
      <c r="FR311" s="29">
        <v>309</v>
      </c>
      <c r="FS311" s="29" t="str">
        <v>Anaheim</v>
      </c>
    </row>
    <row r="312" spans="132:175">
      <c r="EB312" s="28">
        <v>309</v>
      </c>
      <c r="EC312" s="29" t="str">
        <v>Washington</v>
      </c>
      <c r="ED312" s="31" t="str">
        <v>Vancouver</v>
      </c>
      <c r="FR312" s="29">
        <v>310</v>
      </c>
      <c r="FS312" s="29" t="str">
        <v>Winnipeg</v>
      </c>
    </row>
    <row r="313" spans="132:175">
      <c r="EB313" s="28">
        <v>310</v>
      </c>
      <c r="EC313" s="29" t="str">
        <v>Washington</v>
      </c>
      <c r="ED313" s="31" t="str">
        <v>Anaheim</v>
      </c>
      <c r="FR313" s="29">
        <v>311</v>
      </c>
      <c r="FS313" s="29" t="str">
        <v>Detroit</v>
      </c>
    </row>
    <row r="314" spans="132:175">
      <c r="EB314" s="28">
        <v>311</v>
      </c>
      <c r="EC314" s="29" t="str">
        <v>Washington</v>
      </c>
      <c r="ED314" s="31" t="str">
        <v>Anaheim</v>
      </c>
      <c r="FR314" s="29">
        <v>312</v>
      </c>
      <c r="FS314" s="29" t="str">
        <v>Washington</v>
      </c>
    </row>
    <row r="315" spans="132:175">
      <c r="EB315" s="28">
        <v>312</v>
      </c>
      <c r="EC315" s="29" t="str">
        <v>Washington</v>
      </c>
      <c r="ED315" s="31" t="str">
        <v>St. Louis</v>
      </c>
      <c r="FR315" s="29">
        <v>313</v>
      </c>
      <c r="FS315" s="29" t="str">
        <v>Washington</v>
      </c>
    </row>
    <row r="316" spans="132:175">
      <c r="EB316" s="28">
        <v>313</v>
      </c>
      <c r="EC316" s="29" t="str">
        <v>Washington</v>
      </c>
      <c r="ED316" s="31" t="str">
        <v>Chicago</v>
      </c>
      <c r="FR316" s="29">
        <v>314</v>
      </c>
      <c r="FS316" s="29" t="str">
        <v>Winnipeg</v>
      </c>
    </row>
    <row r="317" spans="132:175">
      <c r="EB317" s="28">
        <v>314</v>
      </c>
      <c r="EC317" s="29" t="str">
        <v>Washington</v>
      </c>
      <c r="ED317" s="31" t="str">
        <v>Vancouver</v>
      </c>
      <c r="FR317" s="29">
        <v>315</v>
      </c>
      <c r="FS317" s="29" t="str">
        <v>Anaheim</v>
      </c>
    </row>
    <row r="318" spans="132:175">
      <c r="EB318" s="28">
        <v>315</v>
      </c>
      <c r="EC318" s="29" t="str">
        <v>Detroit</v>
      </c>
      <c r="ED318" s="31" t="str">
        <v>Vancouver</v>
      </c>
      <c r="FR318" s="29">
        <v>316</v>
      </c>
      <c r="FS318" s="29" t="str">
        <v>Chicago</v>
      </c>
    </row>
    <row r="319" spans="132:175">
      <c r="EB319" s="28">
        <v>316</v>
      </c>
      <c r="EC319" s="29" t="str">
        <v>Washington</v>
      </c>
      <c r="ED319" s="31" t="str">
        <v>Vancouver</v>
      </c>
      <c r="FR319" s="29">
        <v>317</v>
      </c>
      <c r="FS319" s="29" t="str">
        <v>Washington</v>
      </c>
    </row>
    <row r="320" spans="132:175">
      <c r="EB320" s="28">
        <v>317</v>
      </c>
      <c r="EC320" s="29" t="str">
        <v>NY Islanders</v>
      </c>
      <c r="ED320" s="31" t="str">
        <v>Calgary</v>
      </c>
      <c r="FR320" s="29">
        <v>318</v>
      </c>
      <c r="FS320" s="29" t="str">
        <v>Anaheim</v>
      </c>
    </row>
    <row r="321" spans="132:175">
      <c r="EB321" s="28">
        <v>318</v>
      </c>
      <c r="EC321" s="29" t="str">
        <v>Washington</v>
      </c>
      <c r="ED321" s="31" t="str">
        <v>Chicago</v>
      </c>
      <c r="FR321" s="29">
        <v>319</v>
      </c>
      <c r="FS321" s="29" t="str">
        <v>Anaheim</v>
      </c>
    </row>
    <row r="322" spans="132:175">
      <c r="EB322" s="28">
        <v>319</v>
      </c>
      <c r="EC322" s="29" t="str">
        <v>Detroit</v>
      </c>
      <c r="ED322" s="31" t="str">
        <v>Nashville</v>
      </c>
      <c r="FR322" s="29">
        <v>320</v>
      </c>
      <c r="FS322" s="29" t="str">
        <v>Vancouver</v>
      </c>
    </row>
    <row r="323" spans="132:175">
      <c r="EB323" s="28">
        <v>320</v>
      </c>
      <c r="EC323" s="29" t="str">
        <v>Washington</v>
      </c>
      <c r="ED323" s="31" t="str">
        <v>St. Louis</v>
      </c>
      <c r="FR323" s="29">
        <v>321</v>
      </c>
      <c r="FS323" s="29" t="str">
        <v>Tampa Bay</v>
      </c>
    </row>
    <row r="324" spans="132:175">
      <c r="EB324" s="28">
        <v>321</v>
      </c>
      <c r="EC324" s="29" t="str">
        <v>NY Islanders</v>
      </c>
      <c r="ED324" s="31" t="str">
        <v>Minnesota</v>
      </c>
      <c r="FR324" s="29">
        <v>322</v>
      </c>
      <c r="FS324" s="29" t="str">
        <v>Tampa Bay</v>
      </c>
    </row>
    <row r="325" spans="132:175">
      <c r="EB325" s="28">
        <v>322</v>
      </c>
      <c r="EC325" s="29" t="str">
        <v>Detroit</v>
      </c>
      <c r="ED325" s="31" t="str">
        <v>Anaheim</v>
      </c>
      <c r="FR325" s="29">
        <v>323</v>
      </c>
      <c r="FS325" s="29" t="str">
        <v>Washington</v>
      </c>
    </row>
    <row r="326" spans="132:175">
      <c r="EB326" s="28">
        <v>323</v>
      </c>
      <c r="EC326" s="29" t="str">
        <v>Detroit</v>
      </c>
      <c r="ED326" s="31" t="str">
        <v>Anaheim</v>
      </c>
      <c r="FR326" s="29">
        <v>324</v>
      </c>
      <c r="FS326" s="29" t="str">
        <v>NY Islanders</v>
      </c>
    </row>
    <row r="327" spans="132:175">
      <c r="EB327" s="28">
        <v>324</v>
      </c>
      <c r="EC327" s="29" t="str">
        <v>Washington</v>
      </c>
      <c r="ED327" s="31" t="str">
        <v>Chicago</v>
      </c>
      <c r="FR327" s="29">
        <v>325</v>
      </c>
      <c r="FS327" s="29" t="str">
        <v>Anaheim</v>
      </c>
    </row>
    <row r="328" spans="132:175">
      <c r="EB328" s="28">
        <v>325</v>
      </c>
      <c r="EC328" s="29" t="str">
        <v>Tampa Bay</v>
      </c>
      <c r="ED328" s="31" t="str">
        <v>Vancouver</v>
      </c>
      <c r="FR328" s="29">
        <v>326</v>
      </c>
      <c r="FS328" s="29" t="str">
        <v>Minnesota</v>
      </c>
    </row>
    <row r="329" spans="132:175">
      <c r="EB329" s="28">
        <v>326</v>
      </c>
      <c r="EC329" s="29" t="str">
        <v>Washington</v>
      </c>
      <c r="ED329" s="31" t="str">
        <v>Chicago</v>
      </c>
      <c r="FR329" s="29">
        <v>327</v>
      </c>
      <c r="FS329" s="29" t="str">
        <v>Vancouver</v>
      </c>
    </row>
    <row r="330" spans="132:175">
      <c r="EB330" s="28">
        <v>327</v>
      </c>
      <c r="EC330" s="29" t="str">
        <v>Washington</v>
      </c>
      <c r="ED330" s="31" t="str">
        <v>Minnesota</v>
      </c>
      <c r="FR330" s="29">
        <v>328</v>
      </c>
      <c r="FS330" s="29" t="str">
        <v>Calgary</v>
      </c>
    </row>
    <row r="331" spans="132:175">
      <c r="EB331" s="28">
        <v>328</v>
      </c>
      <c r="EC331" s="29" t="str">
        <v>Washington</v>
      </c>
      <c r="ED331" s="31" t="str">
        <v>Vancouver</v>
      </c>
      <c r="FR331" s="29">
        <v>329</v>
      </c>
      <c r="FS331" s="29" t="str">
        <v>Detroit</v>
      </c>
    </row>
    <row r="332" spans="132:175">
      <c r="EB332" s="28">
        <v>329</v>
      </c>
      <c r="EC332" s="29" t="str">
        <v>Ottawa</v>
      </c>
      <c r="ED332" s="31" t="str">
        <v>Minnesota</v>
      </c>
      <c r="FR332" s="29">
        <v>330</v>
      </c>
      <c r="FS332" s="29" t="str">
        <v>St. Louis</v>
      </c>
    </row>
    <row r="333" spans="132:175">
      <c r="EB333" s="28">
        <v>330</v>
      </c>
      <c r="EC333" s="29" t="str">
        <v>Washington</v>
      </c>
      <c r="ED333" s="31" t="str">
        <v>Anaheim</v>
      </c>
      <c r="FR333" s="29">
        <v>331</v>
      </c>
      <c r="FS333" s="29" t="str">
        <v>St. Louis</v>
      </c>
    </row>
    <row r="334" spans="132:175">
      <c r="EB334" s="28">
        <v>331</v>
      </c>
      <c r="EC334" s="29" t="str">
        <v>Detroit</v>
      </c>
      <c r="ED334" s="31" t="str">
        <v>Winnipeg</v>
      </c>
      <c r="FR334" s="29">
        <v>332</v>
      </c>
      <c r="FS334" s="29" t="str">
        <v>Anaheim</v>
      </c>
    </row>
    <row r="335" spans="132:175">
      <c r="EB335" s="28">
        <v>332</v>
      </c>
      <c r="EC335" s="29" t="str">
        <v>Detroit</v>
      </c>
      <c r="ED335" s="31" t="str">
        <v>Winnipeg</v>
      </c>
      <c r="FR335" s="29">
        <v>333</v>
      </c>
      <c r="FS335" s="29" t="str">
        <v>Anaheim</v>
      </c>
    </row>
    <row r="336" spans="132:175">
      <c r="EB336" s="28">
        <v>333</v>
      </c>
      <c r="EC336" s="29" t="str">
        <v>Washington</v>
      </c>
      <c r="ED336" s="31" t="str">
        <v>Anaheim</v>
      </c>
      <c r="FR336" s="29">
        <v>334</v>
      </c>
      <c r="FS336" s="29" t="str">
        <v>Anaheim</v>
      </c>
    </row>
    <row r="337" spans="132:175">
      <c r="EB337" s="28">
        <v>334</v>
      </c>
      <c r="EC337" s="29" t="str">
        <v>Detroit</v>
      </c>
      <c r="ED337" s="31" t="str">
        <v>Nashville</v>
      </c>
      <c r="FR337" s="29">
        <v>335</v>
      </c>
      <c r="FS337" s="29" t="str">
        <v>Anaheim</v>
      </c>
    </row>
    <row r="338" spans="132:175">
      <c r="EB338" s="28">
        <v>335</v>
      </c>
      <c r="EC338" s="29" t="str">
        <v>Washington</v>
      </c>
      <c r="ED338" s="31" t="str">
        <v>Chicago</v>
      </c>
      <c r="FR338" s="29">
        <v>336</v>
      </c>
      <c r="FS338" s="29" t="str">
        <v>Anaheim</v>
      </c>
    </row>
    <row r="339" spans="132:175">
      <c r="EB339" s="28">
        <v>336</v>
      </c>
      <c r="EC339" s="29" t="str">
        <v>Washington</v>
      </c>
      <c r="ED339" s="31" t="str">
        <v>Anaheim</v>
      </c>
      <c r="FR339" s="29">
        <v>337</v>
      </c>
      <c r="FS339" s="29" t="str">
        <v>Anaheim</v>
      </c>
    </row>
    <row r="340" spans="132:175">
      <c r="EB340" s="28">
        <v>337</v>
      </c>
      <c r="EC340" s="29" t="str">
        <v>NY Islanders</v>
      </c>
      <c r="ED340" s="31" t="str">
        <v>Nashville</v>
      </c>
      <c r="FR340" s="29">
        <v>338</v>
      </c>
      <c r="FS340" s="29" t="str">
        <v>Vancouver</v>
      </c>
    </row>
    <row r="341" spans="132:175">
      <c r="EB341" s="28">
        <v>338</v>
      </c>
      <c r="EC341" s="29" t="str">
        <v>Washington</v>
      </c>
      <c r="ED341" s="31" t="str">
        <v>Minnesota</v>
      </c>
      <c r="FR341" s="29">
        <v>339</v>
      </c>
      <c r="FS341" s="29" t="str">
        <v>Vancouver</v>
      </c>
    </row>
    <row r="342" spans="132:175">
      <c r="EB342" s="28">
        <v>339</v>
      </c>
      <c r="EC342" s="29" t="str">
        <v>NY Islanders</v>
      </c>
      <c r="ED342" s="31" t="str">
        <v>Chicago</v>
      </c>
      <c r="FR342" s="29">
        <v>340</v>
      </c>
      <c r="FS342" s="29" t="str">
        <v>Washington</v>
      </c>
    </row>
    <row r="343" spans="132:175">
      <c r="EB343" s="28">
        <v>340</v>
      </c>
      <c r="EC343" s="29" t="str">
        <v>Detroit</v>
      </c>
      <c r="ED343" s="31" t="str">
        <v>Vancouver</v>
      </c>
      <c r="FR343" s="29">
        <v>341</v>
      </c>
      <c r="FS343" s="29" t="str">
        <v>Vancouver</v>
      </c>
    </row>
    <row r="344" spans="132:175">
      <c r="EB344" s="28">
        <v>341</v>
      </c>
      <c r="EC344" s="29" t="str">
        <v>NY Islanders</v>
      </c>
      <c r="ED344" s="31" t="str">
        <v>Vancouver</v>
      </c>
      <c r="FR344" s="29">
        <v>342</v>
      </c>
      <c r="FS344" s="29" t="str">
        <v>Detroit</v>
      </c>
    </row>
    <row r="345" spans="132:175">
      <c r="EB345" s="28">
        <v>342</v>
      </c>
      <c r="EC345" s="29" t="str">
        <v>Washington</v>
      </c>
      <c r="ED345" s="31" t="str">
        <v>Anaheim</v>
      </c>
      <c r="FR345" s="29">
        <v>343</v>
      </c>
      <c r="FS345" s="29" t="str">
        <v>Washington</v>
      </c>
    </row>
    <row r="346" spans="132:175">
      <c r="EB346" s="28">
        <v>343</v>
      </c>
      <c r="EC346" s="29" t="str">
        <v>Washington</v>
      </c>
      <c r="ED346" s="31" t="str">
        <v>Anaheim</v>
      </c>
      <c r="FR346" s="29">
        <v>344</v>
      </c>
      <c r="FS346" s="29" t="str">
        <v>Washington</v>
      </c>
    </row>
    <row r="347" spans="132:175">
      <c r="EB347" s="28">
        <v>344</v>
      </c>
      <c r="EC347" s="29" t="str">
        <v>Tampa Bay</v>
      </c>
      <c r="ED347" s="31" t="str">
        <v>Vancouver</v>
      </c>
      <c r="FR347" s="29">
        <v>345</v>
      </c>
      <c r="FS347" s="29" t="str">
        <v>Nashville</v>
      </c>
    </row>
    <row r="348" spans="132:175">
      <c r="EB348" s="28">
        <v>345</v>
      </c>
      <c r="EC348" s="29" t="str">
        <v>Tampa Bay</v>
      </c>
      <c r="ED348" s="31" t="str">
        <v>Vancouver</v>
      </c>
      <c r="FR348" s="29">
        <v>346</v>
      </c>
      <c r="FS348" s="29" t="str">
        <v>Montreal</v>
      </c>
    </row>
    <row r="349" spans="132:175">
      <c r="EB349" s="28">
        <v>346</v>
      </c>
      <c r="EC349" s="29" t="str">
        <v>Washington</v>
      </c>
      <c r="ED349" s="31" t="str">
        <v>Vancouver</v>
      </c>
      <c r="FR349" s="29">
        <v>347</v>
      </c>
      <c r="FS349" s="29" t="str">
        <v>Vancouver</v>
      </c>
    </row>
    <row r="350" spans="132:175">
      <c r="EB350" s="28">
        <v>347</v>
      </c>
      <c r="EC350" s="29" t="str">
        <v>Detroit</v>
      </c>
      <c r="ED350" s="31" t="str">
        <v>Minnesota</v>
      </c>
      <c r="FR350" s="29">
        <v>348</v>
      </c>
      <c r="FS350" s="29" t="str">
        <v>Winnipeg</v>
      </c>
    </row>
    <row r="351" spans="132:175">
      <c r="EB351" s="28">
        <v>348</v>
      </c>
      <c r="EC351" s="29" t="str">
        <v>Tampa Bay</v>
      </c>
      <c r="ED351" s="31" t="str">
        <v>Anaheim</v>
      </c>
      <c r="FR351" s="29">
        <v>349</v>
      </c>
      <c r="FS351" s="29" t="str">
        <v>Winnipeg</v>
      </c>
    </row>
    <row r="352" spans="132:175">
      <c r="EB352" s="28">
        <v>349</v>
      </c>
      <c r="EC352" s="29" t="str">
        <v>Tampa Bay</v>
      </c>
      <c r="ED352" s="31" t="str">
        <v>Nashville</v>
      </c>
      <c r="FR352" s="29">
        <v>350</v>
      </c>
      <c r="FS352" s="29" t="str">
        <v>Calgary</v>
      </c>
    </row>
    <row r="353" spans="132:175">
      <c r="EB353" s="28">
        <v>350</v>
      </c>
      <c r="EC353" s="29" t="str">
        <v>Tampa Bay</v>
      </c>
      <c r="ED353" s="31" t="str">
        <v>Nashville</v>
      </c>
      <c r="FR353" s="29">
        <v>351</v>
      </c>
      <c r="FS353" s="29" t="str">
        <v>Nashville</v>
      </c>
    </row>
    <row r="354" spans="132:175">
      <c r="EB354" s="28">
        <v>351</v>
      </c>
      <c r="EC354" s="29" t="str">
        <v>Washington</v>
      </c>
      <c r="ED354" s="31" t="str">
        <v>Chicago</v>
      </c>
      <c r="FR354" s="29">
        <v>352</v>
      </c>
      <c r="FS354" s="29" t="str">
        <v>Winnipeg</v>
      </c>
    </row>
    <row r="355" spans="132:175">
      <c r="EB355" s="28">
        <v>352</v>
      </c>
      <c r="EC355" s="29" t="str">
        <v>Washington</v>
      </c>
      <c r="ED355" s="31" t="str">
        <v>Chicago</v>
      </c>
      <c r="FR355" s="29">
        <v>353</v>
      </c>
      <c r="FS355" s="29" t="str">
        <v>NY Islanders</v>
      </c>
    </row>
    <row r="356" spans="132:175">
      <c r="EB356" s="28">
        <v>353</v>
      </c>
      <c r="EC356" s="29" t="str">
        <v>Washington</v>
      </c>
      <c r="ED356" s="31" t="str">
        <v>St. Louis</v>
      </c>
      <c r="FR356" s="29">
        <v>354</v>
      </c>
      <c r="FS356" s="29" t="str">
        <v>NY Islanders</v>
      </c>
    </row>
    <row r="357" spans="132:175">
      <c r="EB357" s="28">
        <v>354</v>
      </c>
      <c r="EC357" s="29" t="str">
        <v>Washington</v>
      </c>
      <c r="ED357" s="31" t="str">
        <v>Calgary</v>
      </c>
      <c r="FR357" s="29">
        <v>355</v>
      </c>
      <c r="FS357" s="29" t="str">
        <v>St. Louis</v>
      </c>
    </row>
    <row r="358" spans="132:175">
      <c r="EB358" s="28">
        <v>355</v>
      </c>
      <c r="EC358" s="29" t="str">
        <v>Washington</v>
      </c>
      <c r="ED358" s="31" t="str">
        <v>Calgary</v>
      </c>
      <c r="FR358" s="29">
        <v>356</v>
      </c>
      <c r="FS358" s="29" t="str">
        <v>Vancouver</v>
      </c>
    </row>
    <row r="359" spans="132:175">
      <c r="EB359" s="28">
        <v>356</v>
      </c>
      <c r="EC359" s="29" t="str">
        <v>NY Islanders</v>
      </c>
      <c r="ED359" s="31" t="str">
        <v>Anaheim</v>
      </c>
      <c r="FR359" s="29">
        <v>357</v>
      </c>
      <c r="FS359" s="29" t="str">
        <v>Washington</v>
      </c>
    </row>
    <row r="360" spans="132:175">
      <c r="EB360" s="28">
        <v>357</v>
      </c>
      <c r="EC360" s="29" t="str">
        <v>Washington</v>
      </c>
      <c r="ED360" s="31" t="str">
        <v>Anaheim</v>
      </c>
      <c r="FR360" s="29">
        <v>358</v>
      </c>
      <c r="FS360" s="29" t="str">
        <v>Anaheim</v>
      </c>
    </row>
    <row r="361" spans="132:175">
      <c r="EB361" s="28">
        <v>358</v>
      </c>
      <c r="EC361" s="29" t="str">
        <v>NY Islanders</v>
      </c>
      <c r="ED361" s="31" t="str">
        <v>Anaheim</v>
      </c>
      <c r="FR361" s="29">
        <v>359</v>
      </c>
      <c r="FS361" s="29" t="str">
        <v>Anaheim</v>
      </c>
    </row>
    <row r="362" spans="132:175">
      <c r="EB362" s="28">
        <v>359</v>
      </c>
      <c r="EC362" s="29" t="str">
        <v>Washington</v>
      </c>
      <c r="ED362" s="31" t="str">
        <v>Calgary</v>
      </c>
      <c r="FR362" s="29">
        <v>360</v>
      </c>
      <c r="FS362" s="29" t="str">
        <v>Minnesota</v>
      </c>
    </row>
    <row r="363" spans="132:175">
      <c r="EB363" s="28">
        <v>360</v>
      </c>
      <c r="EC363" s="29" t="str">
        <v>Montreal</v>
      </c>
      <c r="ED363" s="31" t="str">
        <v>Vancouver</v>
      </c>
      <c r="FR363" s="29">
        <v>361</v>
      </c>
      <c r="FS363" s="29" t="str">
        <v>Winnipeg</v>
      </c>
    </row>
    <row r="364" spans="132:175">
      <c r="EB364" s="28">
        <v>361</v>
      </c>
      <c r="EC364" s="29" t="str">
        <v>Washington</v>
      </c>
      <c r="ED364" s="31" t="str">
        <v>Calgary</v>
      </c>
      <c r="FR364" s="29">
        <v>362</v>
      </c>
      <c r="FS364" s="29" t="str">
        <v>Chicago</v>
      </c>
    </row>
    <row r="365" spans="132:175">
      <c r="EB365" s="28">
        <v>362</v>
      </c>
      <c r="EC365" s="29" t="str">
        <v>Washington</v>
      </c>
      <c r="ED365" s="31" t="str">
        <v>Anaheim</v>
      </c>
      <c r="FR365" s="29">
        <v>363</v>
      </c>
      <c r="FS365" s="29" t="str">
        <v>NY Islanders</v>
      </c>
    </row>
    <row r="366" spans="132:175">
      <c r="EB366" s="28">
        <v>363</v>
      </c>
      <c r="EC366" s="29" t="str">
        <v>NY Islanders</v>
      </c>
      <c r="ED366" s="31" t="str">
        <v>Anaheim</v>
      </c>
      <c r="FR366" s="29">
        <v>364</v>
      </c>
      <c r="FS366" s="29" t="str">
        <v>NY Islanders</v>
      </c>
    </row>
    <row r="367" spans="132:175">
      <c r="EB367" s="28">
        <v>364</v>
      </c>
      <c r="EC367" s="29" t="str">
        <v>Washington</v>
      </c>
      <c r="ED367" s="31" t="str">
        <v>Winnipeg</v>
      </c>
      <c r="FR367" s="29">
        <v>365</v>
      </c>
      <c r="FS367" s="29" t="str">
        <v>Washington</v>
      </c>
    </row>
    <row r="368" spans="132:175">
      <c r="EB368" s="28">
        <v>365</v>
      </c>
      <c r="EC368" s="29" t="str">
        <v>Washington</v>
      </c>
      <c r="ED368" s="31" t="str">
        <v>Anaheim</v>
      </c>
      <c r="FR368" s="29">
        <v>366</v>
      </c>
      <c r="FS368" s="29" t="str">
        <v>Minnesota</v>
      </c>
    </row>
    <row r="369" spans="132:175">
      <c r="EB369" s="28">
        <v>366</v>
      </c>
      <c r="EC369" s="29" t="str">
        <v>Washington</v>
      </c>
      <c r="ED369" s="31" t="str">
        <v>Winnipeg</v>
      </c>
      <c r="FR369" s="29">
        <v>367</v>
      </c>
      <c r="FS369" s="29" t="str">
        <v>NY Islanders</v>
      </c>
    </row>
    <row r="370" spans="132:175">
      <c r="EB370" s="28">
        <v>367</v>
      </c>
      <c r="EC370" s="29" t="str">
        <v>Washington</v>
      </c>
      <c r="ED370" s="31" t="str">
        <v>Winnipeg</v>
      </c>
      <c r="FR370" s="29">
        <v>368</v>
      </c>
      <c r="FS370" s="29" t="str">
        <v>Washington</v>
      </c>
    </row>
    <row r="371" spans="132:175">
      <c r="EB371" s="28">
        <v>368</v>
      </c>
      <c r="EC371" s="29" t="str">
        <v>Detroit</v>
      </c>
      <c r="ED371" s="31" t="str">
        <v>Chicago</v>
      </c>
      <c r="FR371" s="29">
        <v>369</v>
      </c>
      <c r="FS371" s="29" t="str">
        <v>Anaheim</v>
      </c>
    </row>
    <row r="372" spans="132:175">
      <c r="EB372" s="28">
        <v>369</v>
      </c>
      <c r="EC372" s="29" t="str">
        <v>Detroit</v>
      </c>
      <c r="ED372" s="31" t="str">
        <v>Minnesota</v>
      </c>
      <c r="FR372" s="29">
        <v>370</v>
      </c>
      <c r="FS372" s="29" t="str">
        <v>Nashville</v>
      </c>
    </row>
    <row r="373" spans="132:175">
      <c r="EB373" s="28">
        <v>370</v>
      </c>
      <c r="EC373" s="29" t="str">
        <v>Washington</v>
      </c>
      <c r="ED373" s="31" t="str">
        <v>Chicago</v>
      </c>
      <c r="FR373" s="29">
        <v>371</v>
      </c>
      <c r="FS373" s="29" t="str">
        <v>NY Islanders</v>
      </c>
    </row>
    <row r="374" spans="132:175">
      <c r="EB374" s="28">
        <v>371</v>
      </c>
      <c r="EC374" s="29" t="str">
        <v>Washington</v>
      </c>
      <c r="ED374" s="31" t="str">
        <v>Chicago</v>
      </c>
      <c r="FR374" s="29">
        <v>372</v>
      </c>
      <c r="FS374" s="29" t="str">
        <v>NY Islanders</v>
      </c>
    </row>
    <row r="375" spans="132:175">
      <c r="EB375" s="28">
        <v>372</v>
      </c>
      <c r="EC375" s="29" t="str">
        <v>NY Rangers</v>
      </c>
      <c r="ED375" s="31" t="str">
        <v>Anaheim</v>
      </c>
      <c r="FR375" s="29">
        <v>373</v>
      </c>
      <c r="FS375" s="29" t="str">
        <v>Anaheim</v>
      </c>
    </row>
    <row r="376" spans="132:175">
      <c r="EB376" s="28">
        <v>373</v>
      </c>
      <c r="EC376" s="29" t="str">
        <v>Ottawa</v>
      </c>
      <c r="ED376" s="31" t="str">
        <v>Anaheim</v>
      </c>
      <c r="FR376" s="29">
        <v>374</v>
      </c>
      <c r="FS376" s="29" t="str">
        <v>Detroit</v>
      </c>
    </row>
    <row r="377" spans="132:175">
      <c r="EB377" s="28">
        <v>374</v>
      </c>
      <c r="EC377" s="29" t="str">
        <v>Washington</v>
      </c>
      <c r="ED377" s="31" t="str">
        <v>Winnipeg</v>
      </c>
      <c r="FR377" s="29">
        <v>375</v>
      </c>
      <c r="FS377" s="29" t="str">
        <v>Calgary</v>
      </c>
    </row>
    <row r="378" spans="132:175">
      <c r="EB378" s="28">
        <v>375</v>
      </c>
      <c r="EC378" s="29" t="str">
        <v>NY Islanders</v>
      </c>
      <c r="ED378" s="31" t="str">
        <v>Anaheim</v>
      </c>
      <c r="FR378" s="29">
        <v>376</v>
      </c>
      <c r="FS378" s="29" t="str">
        <v>Ottawa</v>
      </c>
    </row>
    <row r="379" spans="132:175">
      <c r="EB379" s="28">
        <v>376</v>
      </c>
      <c r="EC379" s="29" t="str">
        <v>NY Islanders</v>
      </c>
      <c r="ED379" s="31" t="str">
        <v>Anaheim</v>
      </c>
      <c r="FR379" s="29">
        <v>377</v>
      </c>
      <c r="FS379" s="29" t="str">
        <v>Ottawa</v>
      </c>
    </row>
    <row r="380" spans="132:175">
      <c r="EB380" s="28">
        <v>377</v>
      </c>
      <c r="EC380" s="29" t="str">
        <v>Montreal</v>
      </c>
      <c r="ED380" s="31" t="str">
        <v>Anaheim</v>
      </c>
      <c r="FR380" s="29">
        <v>378</v>
      </c>
      <c r="FS380" s="29" t="str">
        <v>Calgary</v>
      </c>
    </row>
    <row r="381" spans="132:175">
      <c r="EB381" s="28">
        <v>378</v>
      </c>
      <c r="EC381" s="29" t="str">
        <v>NY Islanders</v>
      </c>
      <c r="ED381" s="31" t="str">
        <v>Nashville</v>
      </c>
      <c r="FR381" s="29">
        <v>379</v>
      </c>
      <c r="FS381" s="29" t="str">
        <v>Anaheim</v>
      </c>
    </row>
    <row r="382" spans="132:175">
      <c r="EB382" s="28">
        <v>379</v>
      </c>
      <c r="EC382" s="29" t="str">
        <v>Washington</v>
      </c>
      <c r="ED382" s="31" t="str">
        <v>Vancouver</v>
      </c>
      <c r="FR382" s="29">
        <v>380</v>
      </c>
      <c r="FS382" s="29" t="str">
        <v>Chicago</v>
      </c>
    </row>
    <row r="383" spans="132:175">
      <c r="EB383" s="28">
        <v>380</v>
      </c>
      <c r="EC383" s="29" t="str">
        <v>Detroit</v>
      </c>
      <c r="ED383" s="31" t="str">
        <v>Anaheim</v>
      </c>
      <c r="FR383" s="29">
        <v>381</v>
      </c>
      <c r="FS383" s="29" t="str">
        <v>Anaheim</v>
      </c>
    </row>
    <row r="384" spans="132:175">
      <c r="EB384" s="28">
        <v>381</v>
      </c>
      <c r="EC384" s="29" t="str">
        <v>Detroit</v>
      </c>
      <c r="ED384" s="31" t="str">
        <v>Anaheim</v>
      </c>
      <c r="FR384" s="29">
        <v>382</v>
      </c>
      <c r="FS384" s="29" t="str">
        <v>Anaheim</v>
      </c>
    </row>
    <row r="385" spans="132:175">
      <c r="EB385" s="28">
        <v>382</v>
      </c>
      <c r="EC385" s="29" t="str">
        <v>Washington</v>
      </c>
      <c r="ED385" s="31" t="str">
        <v>Nashville</v>
      </c>
      <c r="FR385" s="29">
        <v>383</v>
      </c>
      <c r="FS385" s="29" t="str">
        <v>Washington</v>
      </c>
    </row>
    <row r="386" spans="132:175">
      <c r="EB386" s="28">
        <v>383</v>
      </c>
      <c r="EC386" s="29" t="str">
        <v>NY Islanders</v>
      </c>
      <c r="ED386" s="31" t="str">
        <v>Calgary</v>
      </c>
      <c r="FR386" s="29">
        <v>384</v>
      </c>
      <c r="FS386" s="29" t="str">
        <v>Washington</v>
      </c>
    </row>
    <row r="387" spans="132:175">
      <c r="EB387" s="28">
        <v>384</v>
      </c>
      <c r="EC387" s="29" t="str">
        <v>Ottawa</v>
      </c>
      <c r="ED387" s="31" t="str">
        <v>Chicago</v>
      </c>
      <c r="FR387" s="29">
        <v>385</v>
      </c>
      <c r="FS387" s="29" t="str">
        <v>NY Islanders</v>
      </c>
    </row>
    <row r="388" spans="132:175">
      <c r="EB388" s="28">
        <v>385</v>
      </c>
      <c r="EC388" s="29" t="str">
        <v>Detroit</v>
      </c>
      <c r="ED388" s="31" t="str">
        <v>Chicago</v>
      </c>
      <c r="FR388" s="29">
        <v>386</v>
      </c>
      <c r="FS388" s="29" t="str">
        <v>NY Islanders</v>
      </c>
    </row>
    <row r="389" spans="132:175">
      <c r="EB389" s="28">
        <v>386</v>
      </c>
      <c r="EC389" s="29" t="str">
        <v>Washington</v>
      </c>
      <c r="ED389" s="31" t="str">
        <v>Minnesota</v>
      </c>
      <c r="FR389" s="29">
        <v>387</v>
      </c>
      <c r="FS389" s="29" t="str">
        <v>Vancouver</v>
      </c>
    </row>
    <row r="390" spans="132:175">
      <c r="EB390" s="28">
        <v>387</v>
      </c>
      <c r="EC390" s="29" t="str">
        <v>Washington</v>
      </c>
      <c r="ED390" s="31" t="str">
        <v>Vancouver</v>
      </c>
      <c r="FR390" s="29">
        <v>388</v>
      </c>
      <c r="FS390" s="29" t="str">
        <v>Calgary</v>
      </c>
    </row>
    <row r="391" spans="132:175">
      <c r="EB391" s="28">
        <v>388</v>
      </c>
      <c r="EC391" s="29" t="str">
        <v>NY Islanders</v>
      </c>
      <c r="ED391" s="31" t="str">
        <v>Chicago</v>
      </c>
      <c r="FR391" s="29">
        <v>389</v>
      </c>
      <c r="FS391" s="29" t="str">
        <v>Anaheim</v>
      </c>
    </row>
    <row r="392" spans="132:175">
      <c r="EB392" s="28">
        <v>389</v>
      </c>
      <c r="EC392" s="29" t="str">
        <v>Washington</v>
      </c>
      <c r="ED392" s="31" t="str">
        <v>Winnipeg</v>
      </c>
      <c r="FR392" s="29">
        <v>390</v>
      </c>
      <c r="FS392" s="29" t="str">
        <v>Anaheim</v>
      </c>
    </row>
    <row r="393" spans="132:175">
      <c r="EB393" s="28">
        <v>390</v>
      </c>
      <c r="EC393" s="29" t="str">
        <v>Washington</v>
      </c>
      <c r="ED393" s="31" t="str">
        <v>Winnipeg</v>
      </c>
      <c r="FR393" s="29">
        <v>391</v>
      </c>
      <c r="FS393" s="29" t="str">
        <v>Nashville</v>
      </c>
    </row>
    <row r="394" spans="132:175">
      <c r="EB394" s="28">
        <v>391</v>
      </c>
      <c r="EC394" s="29" t="str">
        <v>Washington</v>
      </c>
      <c r="ED394" s="31" t="str">
        <v>Anaheim</v>
      </c>
      <c r="FR394" s="29">
        <v>392</v>
      </c>
      <c r="FS394" s="29" t="str">
        <v>Washington</v>
      </c>
    </row>
    <row r="395" spans="132:175">
      <c r="EB395" s="28">
        <v>392</v>
      </c>
      <c r="EC395" s="29" t="str">
        <v>Washington</v>
      </c>
      <c r="ED395" s="31" t="str">
        <v>Anaheim</v>
      </c>
      <c r="FR395" s="29">
        <v>393</v>
      </c>
      <c r="FS395" s="29" t="str">
        <v>Anaheim</v>
      </c>
    </row>
    <row r="396" spans="132:175">
      <c r="EB396" s="28">
        <v>393</v>
      </c>
      <c r="EC396" s="29" t="str">
        <v>Washington</v>
      </c>
      <c r="ED396" s="31" t="str">
        <v>Nashville</v>
      </c>
      <c r="FR396" s="29">
        <v>394</v>
      </c>
      <c r="FS396" s="29" t="str">
        <v>Washington</v>
      </c>
    </row>
    <row r="397" spans="132:175">
      <c r="EB397" s="28">
        <v>394</v>
      </c>
      <c r="EC397" s="29" t="str">
        <v>Washington</v>
      </c>
      <c r="ED397" s="31" t="str">
        <v>Winnipeg</v>
      </c>
      <c r="FR397" s="29">
        <v>395</v>
      </c>
      <c r="FS397" s="29" t="str">
        <v>Washington</v>
      </c>
    </row>
    <row r="398" spans="132:175">
      <c r="EB398" s="28">
        <v>395</v>
      </c>
      <c r="EC398" s="29" t="str">
        <v>Washington</v>
      </c>
      <c r="ED398" s="31" t="str">
        <v>Winnipeg</v>
      </c>
      <c r="FR398" s="29">
        <v>396</v>
      </c>
      <c r="FS398" s="29" t="str">
        <v>NY Islanders</v>
      </c>
    </row>
    <row r="399" spans="132:175">
      <c r="EB399" s="28">
        <v>396</v>
      </c>
      <c r="EC399" s="29" t="str">
        <v>Tampa Bay</v>
      </c>
      <c r="ED399" s="31" t="str">
        <v>Chicago</v>
      </c>
      <c r="FR399" s="29">
        <v>397</v>
      </c>
      <c r="FS399" s="29" t="str">
        <v>Vancouver</v>
      </c>
    </row>
    <row r="400" spans="132:175">
      <c r="EB400" s="28">
        <v>397</v>
      </c>
      <c r="EC400" s="29" t="str">
        <v>Washington</v>
      </c>
      <c r="ED400" s="31" t="str">
        <v>St. Louis</v>
      </c>
      <c r="FR400" s="29">
        <v>398</v>
      </c>
      <c r="FS400" s="29" t="str">
        <v>Anaheim</v>
      </c>
    </row>
    <row r="401" spans="132:175">
      <c r="EB401" s="28">
        <v>398</v>
      </c>
      <c r="EC401" s="29" t="str">
        <v>Washington</v>
      </c>
      <c r="ED401" s="31" t="str">
        <v>Chicago</v>
      </c>
      <c r="FR401" s="29">
        <v>399</v>
      </c>
      <c r="FS401" s="29" t="str">
        <v>Chicago</v>
      </c>
    </row>
    <row r="402" spans="132:175">
      <c r="EB402" s="28">
        <v>399</v>
      </c>
      <c r="EC402" s="29" t="str">
        <v>Tampa Bay</v>
      </c>
      <c r="ED402" s="31" t="str">
        <v>Anaheim</v>
      </c>
      <c r="FR402" s="29">
        <v>400</v>
      </c>
      <c r="FS402" s="29" t="str">
        <v>Tampa Bay</v>
      </c>
    </row>
    <row r="403" spans="132:175">
      <c r="EB403" s="28">
        <v>400</v>
      </c>
      <c r="EC403" s="29" t="str">
        <v>Tampa Bay</v>
      </c>
      <c r="ED403" s="31" t="str">
        <v>Anaheim</v>
      </c>
      <c r="FR403" s="29">
        <v>401</v>
      </c>
      <c r="FS403" s="29" t="str">
        <v>Chicago</v>
      </c>
    </row>
    <row r="404" spans="132:175">
      <c r="EB404" s="28">
        <v>401</v>
      </c>
      <c r="EC404" s="29" t="str">
        <v>Ottawa</v>
      </c>
      <c r="ED404" s="31" t="str">
        <v>Winnipeg</v>
      </c>
      <c r="FR404" s="29">
        <v>402</v>
      </c>
      <c r="FS404" s="29" t="str">
        <v>Chicago</v>
      </c>
    </row>
    <row r="405" spans="132:175">
      <c r="EB405" s="28">
        <v>402</v>
      </c>
      <c r="EC405" s="29" t="str">
        <v>Detroit</v>
      </c>
      <c r="ED405" s="31" t="str">
        <v>Nashville</v>
      </c>
      <c r="FR405" s="29">
        <v>403</v>
      </c>
      <c r="FS405" s="29" t="str">
        <v>Tampa Bay</v>
      </c>
    </row>
    <row r="406" spans="132:175">
      <c r="EB406" s="28">
        <v>403</v>
      </c>
      <c r="EC406" s="29" t="str">
        <v>Washington</v>
      </c>
      <c r="ED406" s="31" t="str">
        <v>Vancouver</v>
      </c>
      <c r="FR406" s="29">
        <v>404</v>
      </c>
      <c r="FS406" s="29" t="str">
        <v>Tampa Bay</v>
      </c>
    </row>
    <row r="407" spans="132:175">
      <c r="EB407" s="28">
        <v>404</v>
      </c>
      <c r="EC407" s="29" t="str">
        <v>NY Islanders</v>
      </c>
      <c r="ED407" s="31" t="str">
        <v>Chicago</v>
      </c>
      <c r="FR407" s="29">
        <v>405</v>
      </c>
      <c r="FS407" s="29" t="str">
        <v>Winnipeg</v>
      </c>
    </row>
    <row r="408" spans="132:175">
      <c r="EB408" s="28">
        <v>405</v>
      </c>
      <c r="EC408" s="29" t="str">
        <v>NY Islanders</v>
      </c>
      <c r="ED408" s="31" t="str">
        <v>Chicago</v>
      </c>
      <c r="FR408" s="29">
        <v>406</v>
      </c>
      <c r="FS408" s="29" t="str">
        <v>Minnesota</v>
      </c>
    </row>
    <row r="409" spans="132:175">
      <c r="EB409" s="28">
        <v>406</v>
      </c>
      <c r="EC409" s="29" t="str">
        <v>Tampa Bay</v>
      </c>
      <c r="ED409" s="31" t="str">
        <v>Vancouver</v>
      </c>
      <c r="FR409" s="29">
        <v>407</v>
      </c>
      <c r="FS409" s="29" t="str">
        <v>Detroit</v>
      </c>
    </row>
    <row r="410" spans="132:175">
      <c r="EB410" s="28">
        <v>407</v>
      </c>
      <c r="EC410" s="29" t="str">
        <v>Detroit</v>
      </c>
      <c r="ED410" s="31" t="str">
        <v>Nashville</v>
      </c>
      <c r="FR410" s="29">
        <v>408</v>
      </c>
      <c r="FS410" s="29" t="str">
        <v>Washington</v>
      </c>
    </row>
    <row r="411" spans="132:175">
      <c r="EB411" s="28">
        <v>408</v>
      </c>
      <c r="EC411" s="29" t="str">
        <v>Washington</v>
      </c>
      <c r="ED411" s="31" t="str">
        <v>Anaheim</v>
      </c>
      <c r="FR411" s="29">
        <v>409</v>
      </c>
      <c r="FS411" s="29" t="str">
        <v>Washington</v>
      </c>
    </row>
    <row r="412" spans="132:175">
      <c r="EB412" s="28">
        <v>409</v>
      </c>
      <c r="EC412" s="29" t="str">
        <v>NY Rangers</v>
      </c>
      <c r="ED412" s="31" t="str">
        <v>Nashville</v>
      </c>
      <c r="FR412" s="29">
        <v>410</v>
      </c>
      <c r="FS412" s="29" t="str">
        <v>NY Islanders</v>
      </c>
    </row>
    <row r="413" spans="132:175">
      <c r="EB413" s="28">
        <v>410</v>
      </c>
      <c r="EC413" s="29" t="str">
        <v>NY Rangers</v>
      </c>
      <c r="ED413" s="31" t="str">
        <v>Nashville</v>
      </c>
      <c r="FR413" s="29">
        <v>411</v>
      </c>
      <c r="FS413" s="29" t="str">
        <v>Anaheim</v>
      </c>
    </row>
    <row r="414" spans="132:175">
      <c r="EB414" s="28">
        <v>411</v>
      </c>
      <c r="EC414" s="29" t="str">
        <v>Washington</v>
      </c>
      <c r="ED414" s="31" t="str">
        <v>Calgary</v>
      </c>
      <c r="FR414" s="29">
        <v>412</v>
      </c>
      <c r="FS414" s="29" t="str">
        <v>Washington</v>
      </c>
    </row>
    <row r="415" spans="132:175">
      <c r="EB415" s="28">
        <v>412</v>
      </c>
      <c r="EC415" s="29" t="str">
        <v>Detroit</v>
      </c>
      <c r="ED415" s="31" t="str">
        <v>Anaheim</v>
      </c>
      <c r="FR415" s="29">
        <v>413</v>
      </c>
      <c r="FS415" s="29" t="str">
        <v>Calgary</v>
      </c>
    </row>
    <row r="416" spans="132:175">
      <c r="EB416" s="28">
        <v>413</v>
      </c>
      <c r="EC416" s="29" t="str">
        <v>Washington</v>
      </c>
      <c r="ED416" s="31" t="str">
        <v>Chicago</v>
      </c>
      <c r="FR416" s="29">
        <v>414</v>
      </c>
      <c r="FS416" s="29" t="str">
        <v>Calgary</v>
      </c>
    </row>
    <row r="417" spans="132:175">
      <c r="EB417" s="28">
        <v>414</v>
      </c>
      <c r="EC417" s="29" t="str">
        <v>Ottawa</v>
      </c>
      <c r="ED417" s="31" t="str">
        <v>Anaheim</v>
      </c>
      <c r="FR417" s="29">
        <v>415</v>
      </c>
      <c r="FS417" s="29" t="str">
        <v>NY Islanders</v>
      </c>
    </row>
    <row r="418" spans="132:175">
      <c r="EB418" s="28">
        <v>415</v>
      </c>
      <c r="EC418" s="29" t="str">
        <v>Ottawa</v>
      </c>
      <c r="ED418" s="31" t="str">
        <v>Anaheim</v>
      </c>
      <c r="FR418" s="29">
        <v>416</v>
      </c>
      <c r="FS418" s="29" t="str">
        <v>Washington</v>
      </c>
    </row>
    <row r="419" spans="132:175">
      <c r="EB419" s="28">
        <v>416</v>
      </c>
      <c r="EC419" s="29" t="str">
        <v>Washington</v>
      </c>
      <c r="ED419" s="31" t="str">
        <v>Minnesota</v>
      </c>
      <c r="FR419" s="29">
        <v>417</v>
      </c>
      <c r="FS419" s="29" t="str">
        <v>Winnipeg</v>
      </c>
    </row>
    <row r="420" spans="132:175">
      <c r="EB420" s="28">
        <v>417</v>
      </c>
      <c r="EC420" s="29" t="str">
        <v>NY Islanders</v>
      </c>
      <c r="ED420" s="31" t="str">
        <v>Anaheim</v>
      </c>
      <c r="FR420" s="29">
        <v>418</v>
      </c>
      <c r="FS420" s="29" t="str">
        <v>Anaheim</v>
      </c>
    </row>
    <row r="421" spans="132:175">
      <c r="EB421" s="28">
        <v>418</v>
      </c>
      <c r="EC421" s="29" t="str">
        <v>Washington</v>
      </c>
      <c r="ED421" s="31" t="str">
        <v>Nashville</v>
      </c>
      <c r="FR421" s="29">
        <v>419</v>
      </c>
      <c r="FS421" s="29" t="str">
        <v>Anaheim</v>
      </c>
    </row>
    <row r="422" spans="132:175">
      <c r="EB422" s="28">
        <v>419</v>
      </c>
      <c r="EC422" s="29" t="str">
        <v>NY Islanders</v>
      </c>
      <c r="ED422" s="31" t="str">
        <v>Anaheim</v>
      </c>
      <c r="FR422" s="29">
        <v>420</v>
      </c>
      <c r="FS422" s="29" t="str">
        <v>Washington</v>
      </c>
    </row>
    <row r="423" spans="132:175">
      <c r="EB423" s="28">
        <v>420</v>
      </c>
      <c r="EC423" s="29" t="str">
        <v>NY Islanders</v>
      </c>
      <c r="ED423" s="31" t="str">
        <v>Anaheim</v>
      </c>
      <c r="FR423" s="29">
        <v>421</v>
      </c>
      <c r="FS423" s="29" t="str">
        <v>Vancouver</v>
      </c>
    </row>
    <row r="424" spans="132:175">
      <c r="EB424" s="28">
        <v>421</v>
      </c>
      <c r="EC424" s="29" t="str">
        <v>Tampa Bay</v>
      </c>
      <c r="ED424" s="31" t="str">
        <v>Winnipeg</v>
      </c>
      <c r="FR424" s="29">
        <v>422</v>
      </c>
      <c r="FS424" s="29" t="str">
        <v>Washington</v>
      </c>
    </row>
    <row r="425" spans="132:175">
      <c r="EB425" s="28">
        <v>422</v>
      </c>
      <c r="EC425" s="29" t="str">
        <v>NY Islanders</v>
      </c>
      <c r="ED425" s="31" t="str">
        <v>Chicago</v>
      </c>
      <c r="FR425" s="29">
        <v>423</v>
      </c>
      <c r="FS425" s="29" t="str">
        <v>Vancouver</v>
      </c>
    </row>
    <row r="426" spans="132:175">
      <c r="EB426" s="28">
        <v>423</v>
      </c>
      <c r="EC426" s="29" t="str">
        <v>Detroit</v>
      </c>
      <c r="ED426" s="31" t="str">
        <v>Calgary</v>
      </c>
      <c r="FR426" s="29">
        <v>424</v>
      </c>
      <c r="FS426" s="29" t="str">
        <v>Vancouver</v>
      </c>
    </row>
    <row r="427" spans="132:175">
      <c r="EB427" s="28">
        <v>424</v>
      </c>
      <c r="EC427" s="29" t="str">
        <v>NY Islanders</v>
      </c>
      <c r="ED427" s="31" t="str">
        <v>Vancouver</v>
      </c>
      <c r="FR427" s="29">
        <v>425</v>
      </c>
      <c r="FS427" s="29" t="str">
        <v>Chicago</v>
      </c>
    </row>
    <row r="428" spans="132:175">
      <c r="EB428" s="28">
        <v>425</v>
      </c>
      <c r="EC428" s="29" t="str">
        <v>NY Islanders</v>
      </c>
      <c r="ED428" s="31" t="str">
        <v>Vancouver</v>
      </c>
      <c r="FR428" s="29">
        <v>426</v>
      </c>
      <c r="FS428" s="29" t="str">
        <v>Washington</v>
      </c>
    </row>
    <row r="429" spans="132:175">
      <c r="EB429" s="28">
        <v>426</v>
      </c>
      <c r="EC429" s="29" t="str">
        <v>Tampa Bay</v>
      </c>
      <c r="ED429" s="31" t="str">
        <v>Vancouver</v>
      </c>
      <c r="FR429" s="29">
        <v>427</v>
      </c>
      <c r="FS429" s="29" t="str">
        <v>Montreal</v>
      </c>
    </row>
    <row r="430" spans="132:175">
      <c r="EB430" s="28">
        <v>427</v>
      </c>
      <c r="EC430" s="29" t="str">
        <v>Detroit</v>
      </c>
      <c r="ED430" s="31" t="str">
        <v>Anaheim</v>
      </c>
      <c r="FR430" s="29">
        <v>428</v>
      </c>
      <c r="FS430" s="29" t="str">
        <v>Minnesota</v>
      </c>
    </row>
    <row r="431" spans="132:175">
      <c r="EB431" s="28">
        <v>428</v>
      </c>
      <c r="EC431" s="29" t="str">
        <v>NY Islanders</v>
      </c>
      <c r="ED431" s="31" t="str">
        <v>Anaheim</v>
      </c>
      <c r="FR431" s="29">
        <v>429</v>
      </c>
      <c r="FS431" s="29" t="str">
        <v>Minnesota</v>
      </c>
    </row>
    <row r="432" spans="132:175">
      <c r="EB432" s="28">
        <v>429</v>
      </c>
      <c r="EC432" s="29" t="str">
        <v>Washington</v>
      </c>
      <c r="ED432" s="31" t="str">
        <v>Anaheim</v>
      </c>
      <c r="FR432" s="29">
        <v>430</v>
      </c>
      <c r="FS432" s="29" t="str">
        <v>Anaheim</v>
      </c>
    </row>
    <row r="433" spans="132:175">
      <c r="EB433" s="28">
        <v>430</v>
      </c>
      <c r="EC433" s="29" t="str">
        <v>Washington</v>
      </c>
      <c r="ED433" s="31" t="str">
        <v>Anaheim</v>
      </c>
      <c r="FR433" s="29">
        <v>431</v>
      </c>
      <c r="FS433" s="29" t="str">
        <v>Washington</v>
      </c>
    </row>
    <row r="434" spans="132:175">
      <c r="EB434" s="28">
        <v>431</v>
      </c>
      <c r="EC434" s="29" t="str">
        <v>Detroit</v>
      </c>
      <c r="ED434" s="31" t="str">
        <v>Anaheim</v>
      </c>
      <c r="FR434" s="29">
        <v>432</v>
      </c>
      <c r="FS434" s="29" t="str">
        <v>Minnesota</v>
      </c>
    </row>
    <row r="435" spans="132:175">
      <c r="EB435" s="28">
        <v>432</v>
      </c>
      <c r="EC435" s="29" t="str">
        <v>NY Rangers</v>
      </c>
      <c r="ED435" s="31" t="str">
        <v>Vancouver</v>
      </c>
      <c r="FR435" s="29">
        <v>433</v>
      </c>
      <c r="FS435" s="29" t="str">
        <v>Tampa Bay</v>
      </c>
    </row>
    <row r="436" spans="132:175">
      <c r="EB436" s="28">
        <v>433</v>
      </c>
      <c r="EC436" s="29" t="str">
        <v>Washington</v>
      </c>
      <c r="ED436" s="31" t="str">
        <v>Anaheim</v>
      </c>
      <c r="FR436" s="29">
        <v>434</v>
      </c>
      <c r="FS436" s="29" t="str">
        <v>Tampa Bay</v>
      </c>
    </row>
    <row r="437" spans="132:175">
      <c r="EB437" s="28">
        <v>434</v>
      </c>
      <c r="EC437" s="29" t="str">
        <v>Tampa Bay</v>
      </c>
      <c r="ED437" s="31" t="str">
        <v>Anaheim</v>
      </c>
      <c r="FR437" s="29">
        <v>435</v>
      </c>
      <c r="FS437" s="29" t="str">
        <v>Washington</v>
      </c>
    </row>
    <row r="438" spans="132:175">
      <c r="EB438" s="28">
        <v>435</v>
      </c>
      <c r="EC438" s="29" t="str">
        <v>Washington</v>
      </c>
      <c r="ED438" s="31" t="str">
        <v>Winnipeg</v>
      </c>
      <c r="FR438" s="29">
        <v>436</v>
      </c>
      <c r="FS438" s="29" t="str">
        <v>Minnesota</v>
      </c>
    </row>
    <row r="439" spans="132:175">
      <c r="EB439" s="28">
        <v>436</v>
      </c>
      <c r="EC439" s="29" t="str">
        <v>Washington</v>
      </c>
      <c r="ED439" s="31" t="str">
        <v>Anaheim</v>
      </c>
      <c r="FR439" s="29">
        <v>437</v>
      </c>
      <c r="FS439" s="29" t="str">
        <v>Minnesota</v>
      </c>
    </row>
    <row r="440" spans="132:175">
      <c r="EB440" s="28">
        <v>437</v>
      </c>
      <c r="EC440" s="29" t="str">
        <v>Washington</v>
      </c>
      <c r="ED440" s="31" t="str">
        <v>Calgary</v>
      </c>
      <c r="FR440" s="29">
        <v>438</v>
      </c>
      <c r="FS440" s="29" t="str">
        <v>Montreal</v>
      </c>
    </row>
    <row r="441" spans="132:175">
      <c r="EB441" s="28">
        <v>438</v>
      </c>
      <c r="EC441" s="29" t="str">
        <v>Detroit</v>
      </c>
      <c r="ED441" s="31" t="str">
        <v>Vancouver</v>
      </c>
      <c r="FR441" s="29">
        <v>439</v>
      </c>
      <c r="FS441" s="29" t="str">
        <v>Vancouver</v>
      </c>
    </row>
    <row r="442" spans="132:175">
      <c r="EB442" s="28">
        <v>439</v>
      </c>
      <c r="EC442" s="29" t="str">
        <v>Washington</v>
      </c>
      <c r="ED442" s="31" t="str">
        <v>Anaheim</v>
      </c>
      <c r="FR442" s="29">
        <v>440</v>
      </c>
      <c r="FS442" s="29" t="str">
        <v>Anaheim</v>
      </c>
    </row>
    <row r="443" spans="132:175">
      <c r="EB443" s="28">
        <v>440</v>
      </c>
      <c r="EC443" s="29" t="str">
        <v>Washington</v>
      </c>
      <c r="ED443" s="31" t="str">
        <v>Anaheim</v>
      </c>
      <c r="FR443" s="29">
        <v>441</v>
      </c>
      <c r="FS443" s="29" t="str">
        <v>Vancouver</v>
      </c>
    </row>
    <row r="444" spans="132:175">
      <c r="EB444" s="28">
        <v>441</v>
      </c>
      <c r="EC444" s="29" t="str">
        <v>Washington</v>
      </c>
      <c r="ED444" s="31" t="str">
        <v>Chicago</v>
      </c>
      <c r="FR444" s="29">
        <v>442</v>
      </c>
      <c r="FS444" s="29" t="str">
        <v>Washington</v>
      </c>
    </row>
    <row r="445" spans="132:175">
      <c r="EB445" s="28">
        <v>442</v>
      </c>
      <c r="EC445" s="29" t="str">
        <v>NY Islanders</v>
      </c>
      <c r="ED445" s="31" t="str">
        <v>Winnipeg</v>
      </c>
      <c r="FR445" s="29">
        <v>443</v>
      </c>
      <c r="FS445" s="29" t="str">
        <v>Anaheim</v>
      </c>
    </row>
    <row r="446" spans="132:175">
      <c r="EB446" s="28">
        <v>443</v>
      </c>
      <c r="EC446" s="29" t="str">
        <v>NY Islanders</v>
      </c>
      <c r="ED446" s="31" t="str">
        <v>Winnipeg</v>
      </c>
      <c r="FR446" s="29">
        <v>444</v>
      </c>
      <c r="FS446" s="29" t="str">
        <v>Anaheim</v>
      </c>
    </row>
    <row r="447" spans="132:175">
      <c r="EB447" s="28">
        <v>444</v>
      </c>
      <c r="EC447" s="29" t="str">
        <v>Washington</v>
      </c>
      <c r="ED447" s="31" t="str">
        <v>St. Louis</v>
      </c>
      <c r="FR447" s="29">
        <v>445</v>
      </c>
      <c r="FS447" s="29" t="str">
        <v>Anaheim</v>
      </c>
    </row>
    <row r="448" spans="132:175">
      <c r="EB448" s="28">
        <v>445</v>
      </c>
      <c r="EC448" s="29" t="str">
        <v>Washington</v>
      </c>
      <c r="ED448" s="31" t="str">
        <v>Calgary</v>
      </c>
      <c r="FR448" s="29">
        <v>446</v>
      </c>
      <c r="FS448" s="29" t="str">
        <v>Calgary</v>
      </c>
    </row>
    <row r="449" spans="132:175">
      <c r="EB449" s="28">
        <v>446</v>
      </c>
      <c r="EC449" s="29" t="str">
        <v>Washington</v>
      </c>
      <c r="ED449" s="31" t="str">
        <v>Chicago</v>
      </c>
      <c r="FR449" s="29">
        <v>447</v>
      </c>
      <c r="FS449" s="29" t="str">
        <v>NY Islanders</v>
      </c>
    </row>
    <row r="450" spans="132:175">
      <c r="EB450" s="28">
        <v>447</v>
      </c>
      <c r="EC450" s="29" t="str">
        <v>Tampa Bay</v>
      </c>
      <c r="ED450" s="31" t="str">
        <v>Minnesota</v>
      </c>
      <c r="FR450" s="29">
        <v>448</v>
      </c>
      <c r="FS450" s="29" t="str">
        <v>Tampa Bay</v>
      </c>
    </row>
    <row r="451" spans="132:175">
      <c r="EB451" s="28">
        <v>448</v>
      </c>
      <c r="EC451" s="29" t="str">
        <v>Tampa Bay</v>
      </c>
      <c r="ED451" s="31" t="str">
        <v>Minnesota</v>
      </c>
      <c r="FR451" s="29">
        <v>449</v>
      </c>
      <c r="FS451" s="29" t="str">
        <v>Tampa Bay</v>
      </c>
    </row>
    <row r="452" spans="132:175">
      <c r="EB452" s="28">
        <v>449</v>
      </c>
      <c r="EC452" s="29" t="str">
        <v>NY Islanders</v>
      </c>
      <c r="ED452" s="31" t="str">
        <v>Minnesota</v>
      </c>
      <c r="FR452" s="29">
        <v>450</v>
      </c>
      <c r="FS452" s="29" t="str">
        <v>Chicago</v>
      </c>
    </row>
    <row r="453" spans="132:175">
      <c r="EB453" s="28">
        <v>450</v>
      </c>
      <c r="EC453" s="29" t="str">
        <v>Washington</v>
      </c>
      <c r="ED453" s="31" t="str">
        <v>Chicago</v>
      </c>
      <c r="FR453" s="29">
        <v>451</v>
      </c>
      <c r="FS453" s="29" t="str">
        <v>NY Islanders</v>
      </c>
    </row>
    <row r="454" spans="132:175">
      <c r="EB454" s="28">
        <v>451</v>
      </c>
      <c r="EC454" s="29" t="str">
        <v>Washington</v>
      </c>
      <c r="ED454" s="31" t="str">
        <v>Minnesota</v>
      </c>
      <c r="FR454" s="29">
        <v>452</v>
      </c>
      <c r="FS454" s="29" t="str">
        <v>Nashville</v>
      </c>
    </row>
    <row r="455" spans="132:175">
      <c r="EB455" s="28">
        <v>452</v>
      </c>
      <c r="EC455" s="29" t="str">
        <v>Montreal</v>
      </c>
      <c r="ED455" s="31" t="str">
        <v>Vancouver</v>
      </c>
      <c r="FR455" s="29">
        <v>453</v>
      </c>
      <c r="FS455" s="29" t="str">
        <v>Washington</v>
      </c>
    </row>
    <row r="456" spans="132:175">
      <c r="EB456" s="28">
        <v>453</v>
      </c>
      <c r="EC456" s="29" t="str">
        <v>Montreal</v>
      </c>
      <c r="ED456" s="31" t="str">
        <v>Vancouver</v>
      </c>
      <c r="FR456" s="29">
        <v>454</v>
      </c>
      <c r="FS456" s="29" t="str">
        <v>Washington</v>
      </c>
    </row>
    <row r="457" spans="132:175">
      <c r="EB457" s="28">
        <v>454</v>
      </c>
      <c r="EC457" s="29" t="str">
        <v>Montreal</v>
      </c>
      <c r="ED457" s="31" t="str">
        <v>Anaheim</v>
      </c>
      <c r="FR457" s="29">
        <v>455</v>
      </c>
      <c r="FS457" s="29" t="str">
        <v>Calgary</v>
      </c>
    </row>
    <row r="458" spans="132:175">
      <c r="EB458" s="28">
        <v>455</v>
      </c>
      <c r="EC458" s="29" t="str">
        <v>NY Islanders</v>
      </c>
      <c r="ED458" s="31" t="str">
        <v>Calgary</v>
      </c>
      <c r="FR458" s="29">
        <v>456</v>
      </c>
      <c r="FS458" s="29" t="str">
        <v>Calgary</v>
      </c>
    </row>
    <row r="459" spans="132:175">
      <c r="EB459" s="28">
        <v>456</v>
      </c>
      <c r="EC459" s="29" t="str">
        <v>Washington</v>
      </c>
      <c r="ED459" s="31" t="str">
        <v>Calgary</v>
      </c>
      <c r="FR459" s="29">
        <v>457</v>
      </c>
      <c r="FS459" s="29" t="str">
        <v>NY Islanders</v>
      </c>
    </row>
    <row r="460" spans="132:175">
      <c r="EB460" s="28">
        <v>457</v>
      </c>
      <c r="EC460" s="29" t="str">
        <v>Washington</v>
      </c>
      <c r="ED460" s="31" t="str">
        <v>St. Louis</v>
      </c>
      <c r="FR460" s="29">
        <v>458</v>
      </c>
      <c r="FS460" s="29" t="str">
        <v>Chicago</v>
      </c>
    </row>
    <row r="461" spans="132:175">
      <c r="EB461" s="28">
        <v>458</v>
      </c>
      <c r="EC461" s="29" t="str">
        <v>NY Islanders</v>
      </c>
      <c r="ED461" s="31" t="str">
        <v>Vancouver</v>
      </c>
      <c r="FR461" s="29">
        <v>459</v>
      </c>
      <c r="FS461" s="29" t="str">
        <v>Chicago</v>
      </c>
    </row>
    <row r="462" spans="132:175">
      <c r="EB462" s="28">
        <v>459</v>
      </c>
      <c r="EC462" s="29" t="str">
        <v>Washington</v>
      </c>
      <c r="ED462" s="31" t="str">
        <v>Nashville</v>
      </c>
      <c r="FR462" s="29">
        <v>460</v>
      </c>
      <c r="FS462" s="29" t="str">
        <v>Anaheim</v>
      </c>
    </row>
    <row r="463" spans="132:175">
      <c r="EB463" s="28">
        <v>460</v>
      </c>
      <c r="EC463" s="29" t="str">
        <v>Tampa Bay</v>
      </c>
      <c r="ED463" s="31" t="str">
        <v>Winnipeg</v>
      </c>
      <c r="FR463" s="29">
        <v>461</v>
      </c>
      <c r="FS463" s="29" t="str">
        <v>Vancouver</v>
      </c>
    </row>
    <row r="464" spans="132:175">
      <c r="EB464" s="28">
        <v>461</v>
      </c>
      <c r="EC464" s="29" t="str">
        <v>Washington</v>
      </c>
      <c r="ED464" s="31" t="str">
        <v>Vancouver</v>
      </c>
      <c r="FR464" s="29">
        <v>462</v>
      </c>
      <c r="FS464" s="29" t="str">
        <v>Washington</v>
      </c>
    </row>
    <row r="465" spans="132:175">
      <c r="EB465" s="28">
        <v>462</v>
      </c>
      <c r="EC465" s="29" t="str">
        <v>Washington</v>
      </c>
      <c r="ED465" s="31" t="str">
        <v>Vancouver</v>
      </c>
      <c r="FR465" s="29">
        <v>463</v>
      </c>
      <c r="FS465" s="29" t="str">
        <v>Vancouver</v>
      </c>
    </row>
    <row r="466" spans="132:175">
      <c r="EB466" s="28">
        <v>463</v>
      </c>
      <c r="EC466" s="29" t="str">
        <v>Detroit</v>
      </c>
      <c r="ED466" s="31" t="str">
        <v>Calgary</v>
      </c>
      <c r="FR466" s="29">
        <v>464</v>
      </c>
      <c r="FS466" s="29" t="str">
        <v>Vancouver</v>
      </c>
    </row>
    <row r="467" spans="132:175">
      <c r="EB467" s="28">
        <v>464</v>
      </c>
      <c r="EC467" s="29" t="str">
        <v>NY Islanders</v>
      </c>
      <c r="ED467" s="31" t="str">
        <v>Minnesota</v>
      </c>
      <c r="FR467" s="29">
        <v>465</v>
      </c>
      <c r="FS467" s="29" t="str">
        <v>Detroit</v>
      </c>
    </row>
    <row r="468" spans="132:175">
      <c r="EB468" s="28">
        <v>465</v>
      </c>
      <c r="EC468" s="29" t="str">
        <v>Washington</v>
      </c>
      <c r="ED468" s="31" t="str">
        <v>Anaheim</v>
      </c>
      <c r="FR468" s="29">
        <v>466</v>
      </c>
      <c r="FS468" s="29" t="str">
        <v>Winnipeg</v>
      </c>
    </row>
    <row r="469" spans="132:175">
      <c r="EB469" s="28">
        <v>466</v>
      </c>
      <c r="EC469" s="29" t="str">
        <v>Detroit</v>
      </c>
      <c r="ED469" s="31" t="str">
        <v>St. Louis</v>
      </c>
      <c r="FR469" s="29">
        <v>467</v>
      </c>
      <c r="FS469" s="29" t="str">
        <v>NY Islanders</v>
      </c>
    </row>
    <row r="470" spans="132:175">
      <c r="EB470" s="28">
        <v>467</v>
      </c>
      <c r="EC470" s="29" t="str">
        <v>Detroit</v>
      </c>
      <c r="ED470" s="31" t="str">
        <v>St. Louis</v>
      </c>
      <c r="FR470" s="29">
        <v>468</v>
      </c>
      <c r="FS470" s="29" t="str">
        <v>NY Islanders</v>
      </c>
    </row>
    <row r="471" spans="132:175">
      <c r="EB471" s="28">
        <v>468</v>
      </c>
      <c r="EC471" s="29" t="str">
        <v>Ottawa</v>
      </c>
      <c r="ED471" s="31" t="str">
        <v>Winnipeg</v>
      </c>
      <c r="FR471" s="29">
        <v>469</v>
      </c>
      <c r="FS471" s="29" t="str">
        <v>Tampa Bay</v>
      </c>
    </row>
    <row r="472" spans="132:175">
      <c r="EB472" s="28">
        <v>469</v>
      </c>
      <c r="EC472" s="29" t="str">
        <v>Washington</v>
      </c>
      <c r="ED472" s="31" t="str">
        <v>Vancouver</v>
      </c>
      <c r="FR472" s="29">
        <v>470</v>
      </c>
      <c r="FS472" s="29" t="str">
        <v>Detroit</v>
      </c>
    </row>
    <row r="473" spans="132:175">
      <c r="EB473" s="28">
        <v>470</v>
      </c>
      <c r="EC473" s="29" t="str">
        <v>NY Islanders</v>
      </c>
      <c r="ED473" s="31" t="str">
        <v>Chicago</v>
      </c>
      <c r="FR473" s="29">
        <v>471</v>
      </c>
      <c r="FS473" s="29" t="str">
        <v>Nashville</v>
      </c>
    </row>
    <row r="474" spans="132:175">
      <c r="EB474" s="28">
        <v>471</v>
      </c>
      <c r="EC474" s="29" t="str">
        <v>Washington</v>
      </c>
      <c r="ED474" s="31" t="str">
        <v>Winnipeg</v>
      </c>
      <c r="FR474" s="29">
        <v>472</v>
      </c>
      <c r="FS474" s="29" t="str">
        <v>St. Louis</v>
      </c>
    </row>
    <row r="475" spans="132:175">
      <c r="EB475" s="28">
        <v>472</v>
      </c>
      <c r="EC475" s="29" t="str">
        <v>Washington</v>
      </c>
      <c r="ED475" s="31" t="str">
        <v>Anaheim</v>
      </c>
      <c r="FR475" s="29">
        <v>473</v>
      </c>
      <c r="FS475" s="29" t="str">
        <v>Vancouver</v>
      </c>
    </row>
    <row r="476" spans="132:175">
      <c r="EB476" s="28">
        <v>473</v>
      </c>
      <c r="EC476" s="29" t="str">
        <v>Tampa Bay</v>
      </c>
      <c r="ED476" s="31" t="str">
        <v>Chicago</v>
      </c>
      <c r="FR476" s="29">
        <v>474</v>
      </c>
      <c r="FS476" s="29" t="str">
        <v>Chicago</v>
      </c>
    </row>
    <row r="477" spans="132:175">
      <c r="EB477" s="28">
        <v>474</v>
      </c>
      <c r="EC477" s="29" t="str">
        <v>Washington</v>
      </c>
      <c r="ED477" s="31" t="str">
        <v>Nashville</v>
      </c>
      <c r="FR477" s="29">
        <v>475</v>
      </c>
      <c r="FS477" s="29" t="str">
        <v>Detroit</v>
      </c>
    </row>
    <row r="478" spans="132:175">
      <c r="EB478" s="28">
        <v>475</v>
      </c>
      <c r="EC478" s="29" t="str">
        <v>Detroit</v>
      </c>
      <c r="ED478" s="31" t="str">
        <v>Nashville</v>
      </c>
      <c r="FR478" s="29">
        <v>476</v>
      </c>
      <c r="FS478" s="29" t="str">
        <v>Washington</v>
      </c>
    </row>
    <row r="479" spans="132:175">
      <c r="EB479" s="28">
        <v>476</v>
      </c>
      <c r="EC479" s="29" t="str">
        <v>Washington</v>
      </c>
      <c r="ED479" s="31" t="str">
        <v>Vancouver</v>
      </c>
      <c r="FR479" s="29">
        <v>477</v>
      </c>
      <c r="FS479" s="29" t="str">
        <v>Washington</v>
      </c>
    </row>
    <row r="480" spans="132:175">
      <c r="EB480" s="28">
        <v>477</v>
      </c>
      <c r="EC480" s="29" t="str">
        <v>Tampa Bay</v>
      </c>
      <c r="ED480" s="31" t="str">
        <v>Vancouver</v>
      </c>
      <c r="FR480" s="29">
        <v>478</v>
      </c>
      <c r="FS480" s="29" t="str">
        <v>Nashville</v>
      </c>
    </row>
    <row r="481" spans="132:175">
      <c r="EB481" s="28">
        <v>478</v>
      </c>
      <c r="EC481" s="29" t="str">
        <v>Washington</v>
      </c>
      <c r="ED481" s="31" t="str">
        <v>Vancouver</v>
      </c>
      <c r="FR481" s="29">
        <v>479</v>
      </c>
      <c r="FS481" s="29" t="str">
        <v>NY Islanders</v>
      </c>
    </row>
    <row r="482" spans="132:175">
      <c r="EB482" s="28">
        <v>479</v>
      </c>
      <c r="EC482" s="29" t="str">
        <v>Washington</v>
      </c>
      <c r="ED482" s="31" t="str">
        <v>Anaheim</v>
      </c>
      <c r="FR482" s="29">
        <v>480</v>
      </c>
      <c r="FS482" s="29" t="str">
        <v>Tampa Bay</v>
      </c>
    </row>
    <row r="483" spans="132:175">
      <c r="EB483" s="28">
        <v>480</v>
      </c>
      <c r="EC483" s="29" t="str">
        <v>Washington</v>
      </c>
      <c r="ED483" s="31" t="str">
        <v>Anaheim</v>
      </c>
      <c r="FR483" s="29">
        <v>481</v>
      </c>
      <c r="FS483" s="29" t="str">
        <v>Anaheim</v>
      </c>
    </row>
    <row r="484" spans="132:175">
      <c r="EB484" s="28">
        <v>481</v>
      </c>
      <c r="EC484" s="29" t="str">
        <v>Washington</v>
      </c>
      <c r="ED484" s="31" t="str">
        <v>Chicago</v>
      </c>
      <c r="FR484" s="29">
        <v>482</v>
      </c>
      <c r="FS484" s="29" t="str">
        <v>Anaheim</v>
      </c>
    </row>
    <row r="485" spans="132:175">
      <c r="EB485" s="28">
        <v>482</v>
      </c>
      <c r="EC485" s="29" t="str">
        <v>Detroit</v>
      </c>
      <c r="ED485" s="31" t="str">
        <v>St. Louis</v>
      </c>
      <c r="FR485" s="29">
        <v>483</v>
      </c>
      <c r="FS485" s="29" t="str">
        <v>Vancouver</v>
      </c>
    </row>
    <row r="486" spans="132:175">
      <c r="EB486" s="28">
        <v>483</v>
      </c>
      <c r="EC486" s="29" t="str">
        <v>Detroit</v>
      </c>
      <c r="ED486" s="31" t="str">
        <v>Calgary</v>
      </c>
      <c r="FR486" s="29">
        <v>484</v>
      </c>
      <c r="FS486" s="29" t="str">
        <v>Calgary</v>
      </c>
    </row>
    <row r="487" spans="132:175">
      <c r="EB487" s="28">
        <v>484</v>
      </c>
      <c r="EC487" s="29" t="str">
        <v>NY Islanders</v>
      </c>
      <c r="ED487" s="31" t="str">
        <v>Anaheim</v>
      </c>
      <c r="FR487" s="29">
        <v>485</v>
      </c>
      <c r="FS487" s="29" t="str">
        <v>Ottawa</v>
      </c>
    </row>
    <row r="488" spans="132:175">
      <c r="EB488" s="28">
        <v>485</v>
      </c>
      <c r="EC488" s="29" t="str">
        <v>NY Islanders</v>
      </c>
      <c r="ED488" s="31" t="str">
        <v>Vancouver</v>
      </c>
      <c r="FR488" s="29">
        <v>486</v>
      </c>
      <c r="FS488" s="29" t="str">
        <v>Winnipeg</v>
      </c>
    </row>
    <row r="489" spans="132:175">
      <c r="EB489" s="28">
        <v>486</v>
      </c>
      <c r="EC489" s="29" t="str">
        <v>Washington</v>
      </c>
      <c r="ED489" s="31" t="str">
        <v>Anaheim</v>
      </c>
      <c r="FR489" s="29">
        <v>487</v>
      </c>
      <c r="FS489" s="29" t="str">
        <v>Winnipeg</v>
      </c>
    </row>
    <row r="490" spans="132:175">
      <c r="EB490" s="28">
        <v>487</v>
      </c>
      <c r="EC490" s="29" t="str">
        <v>Washington</v>
      </c>
      <c r="ED490" s="31" t="str">
        <v>Winnipeg</v>
      </c>
      <c r="FR490" s="29">
        <v>488</v>
      </c>
      <c r="FS490" s="29" t="str">
        <v>Detroit</v>
      </c>
    </row>
    <row r="491" spans="132:175">
      <c r="EB491" s="28">
        <v>488</v>
      </c>
      <c r="EC491" s="29" t="str">
        <v>Washington</v>
      </c>
      <c r="ED491" s="31" t="str">
        <v>Anaheim</v>
      </c>
      <c r="FR491" s="29">
        <v>489</v>
      </c>
      <c r="FS491" s="29" t="str">
        <v>Chicago</v>
      </c>
    </row>
    <row r="492" spans="132:175">
      <c r="EB492" s="28">
        <v>489</v>
      </c>
      <c r="EC492" s="29" t="str">
        <v>Washington</v>
      </c>
      <c r="ED492" s="31" t="str">
        <v>Anaheim</v>
      </c>
      <c r="FR492" s="29">
        <v>490</v>
      </c>
      <c r="FS492" s="29" t="str">
        <v>Washington</v>
      </c>
    </row>
    <row r="493" spans="132:175">
      <c r="EB493" s="28">
        <v>490</v>
      </c>
      <c r="EC493" s="29" t="str">
        <v>Washington</v>
      </c>
      <c r="ED493" s="31" t="str">
        <v>Anaheim</v>
      </c>
      <c r="FR493" s="29">
        <v>491</v>
      </c>
      <c r="FS493" s="29" t="str">
        <v>Minnesota</v>
      </c>
    </row>
    <row r="494" spans="132:175">
      <c r="EB494" s="28">
        <v>491</v>
      </c>
      <c r="EC494" s="29" t="str">
        <v>NY Islanders</v>
      </c>
      <c r="ED494" s="31" t="str">
        <v>Chicago</v>
      </c>
      <c r="FR494" s="29">
        <v>492</v>
      </c>
      <c r="FS494" s="29" t="str">
        <v>Minnesota</v>
      </c>
    </row>
    <row r="495" spans="132:175">
      <c r="EB495" s="28">
        <v>492</v>
      </c>
      <c r="EC495" s="29" t="str">
        <v>Washington</v>
      </c>
      <c r="ED495" s="31" t="str">
        <v>Minnesota</v>
      </c>
      <c r="FR495" s="29">
        <v>493</v>
      </c>
      <c r="FS495" s="29" t="str">
        <v>Calgary</v>
      </c>
    </row>
    <row r="496" spans="132:175">
      <c r="EB496" s="28">
        <v>493</v>
      </c>
      <c r="EC496" s="29" t="str">
        <v>Detroit</v>
      </c>
      <c r="ED496" s="31" t="str">
        <v>St. Louis</v>
      </c>
      <c r="FR496" s="29">
        <v>494</v>
      </c>
      <c r="FS496" s="29" t="str">
        <v>Calgary</v>
      </c>
    </row>
    <row r="497" spans="132:175">
      <c r="EB497" s="28">
        <v>494</v>
      </c>
      <c r="EC497" s="29" t="str">
        <v>Washington</v>
      </c>
      <c r="ED497" s="31" t="str">
        <v>Anaheim</v>
      </c>
      <c r="FR497" s="29">
        <v>495</v>
      </c>
      <c r="FS497" s="29" t="str">
        <v>Tampa Bay</v>
      </c>
    </row>
    <row r="498" spans="132:175">
      <c r="EB498" s="28">
        <v>495</v>
      </c>
      <c r="EC498" s="29" t="str">
        <v>Detroit</v>
      </c>
      <c r="ED498" s="31" t="str">
        <v>Anaheim</v>
      </c>
      <c r="FR498" s="29">
        <v>496</v>
      </c>
      <c r="FS498" s="29" t="str">
        <v>Detroit</v>
      </c>
    </row>
    <row r="499" spans="132:175">
      <c r="EB499" s="28">
        <v>496</v>
      </c>
      <c r="EC499" s="29" t="str">
        <v>Detroit</v>
      </c>
      <c r="ED499" s="31" t="str">
        <v>Anaheim</v>
      </c>
      <c r="FR499" s="29">
        <v>497</v>
      </c>
      <c r="FS499" s="29" t="str">
        <v>Detroit</v>
      </c>
    </row>
    <row r="500" spans="132:175">
      <c r="EB500" s="28">
        <v>497</v>
      </c>
      <c r="EC500" s="29" t="str">
        <v>Washington</v>
      </c>
      <c r="ED500" s="31" t="str">
        <v>Vancouver</v>
      </c>
      <c r="FR500" s="29">
        <v>498</v>
      </c>
      <c r="FS500" s="29" t="str">
        <v>Anaheim</v>
      </c>
    </row>
    <row r="501" spans="132:175">
      <c r="EB501" s="28">
        <v>498</v>
      </c>
      <c r="EC501" s="29" t="str">
        <v>Washington</v>
      </c>
      <c r="ED501" s="31" t="str">
        <v>Vancouver</v>
      </c>
      <c r="FR501" s="29">
        <v>499</v>
      </c>
      <c r="FS501" s="29" t="str">
        <v>Chicago</v>
      </c>
    </row>
    <row r="502" spans="132:175">
      <c r="EB502" s="28">
        <v>499</v>
      </c>
      <c r="EC502" s="29" t="str">
        <v>Washington</v>
      </c>
      <c r="ED502" s="31" t="str">
        <v>Anaheim</v>
      </c>
      <c r="FR502" s="29">
        <v>500</v>
      </c>
      <c r="FS502" s="29" t="str">
        <v>Tampa Bay</v>
      </c>
    </row>
    <row r="503" spans="132:175" ht="15.75" thickBot="1">
      <c r="EB503" s="27">
        <v>500</v>
      </c>
      <c r="EC503" s="32" t="str">
        <v>Washington</v>
      </c>
      <c r="ED503" s="33" t="str">
        <v>Vancouver</v>
      </c>
    </row>
  </sheetData>
  <sortState ref="ET12:EU41">
    <sortCondition descending="1" ref="EU12:EU41"/>
  </sortState>
  <mergeCells count="63">
    <mergeCell ref="EG11:EK11"/>
    <mergeCell ref="EM11:EQ11"/>
    <mergeCell ref="AR2:AV2"/>
    <mergeCell ref="AW2:BA2"/>
    <mergeCell ref="CL2:CN2"/>
    <mergeCell ref="CO2:CQ2"/>
    <mergeCell ref="CE2:CH2"/>
    <mergeCell ref="EC2:ED2"/>
    <mergeCell ref="Y15:AB15"/>
    <mergeCell ref="AC15:AF15"/>
    <mergeCell ref="AG15:AJ15"/>
    <mergeCell ref="M2:P2"/>
    <mergeCell ref="Q2:T2"/>
    <mergeCell ref="U2:X2"/>
    <mergeCell ref="Y2:AB2"/>
    <mergeCell ref="AK15:AN15"/>
    <mergeCell ref="M1:AN1"/>
    <mergeCell ref="M14:AN14"/>
    <mergeCell ref="BG1:CH1"/>
    <mergeCell ref="BG2:BJ2"/>
    <mergeCell ref="BK2:BN2"/>
    <mergeCell ref="BO2:BR2"/>
    <mergeCell ref="BS2:BV2"/>
    <mergeCell ref="BW2:BZ2"/>
    <mergeCell ref="CA2:CD2"/>
    <mergeCell ref="AC2:AF2"/>
    <mergeCell ref="AG2:AJ2"/>
    <mergeCell ref="AK2:AN2"/>
    <mergeCell ref="M15:P15"/>
    <mergeCell ref="Q15:T15"/>
    <mergeCell ref="U15:X15"/>
    <mergeCell ref="BG14:CH14"/>
    <mergeCell ref="BG15:BJ15"/>
    <mergeCell ref="BK15:BN15"/>
    <mergeCell ref="BO15:BR15"/>
    <mergeCell ref="BS15:BV15"/>
    <mergeCell ref="BW15:BZ15"/>
    <mergeCell ref="CA15:CD15"/>
    <mergeCell ref="CE15:CH15"/>
    <mergeCell ref="CW1:DX1"/>
    <mergeCell ref="CW2:CZ2"/>
    <mergeCell ref="DA2:DD2"/>
    <mergeCell ref="DE2:DH2"/>
    <mergeCell ref="DI2:DL2"/>
    <mergeCell ref="DM2:DP2"/>
    <mergeCell ref="DQ2:DT2"/>
    <mergeCell ref="DU2:DX2"/>
    <mergeCell ref="CW14:DX14"/>
    <mergeCell ref="CW15:CZ15"/>
    <mergeCell ref="DA15:DD15"/>
    <mergeCell ref="DE15:DH15"/>
    <mergeCell ref="DI15:DL15"/>
    <mergeCell ref="DM15:DP15"/>
    <mergeCell ref="DQ15:DT15"/>
    <mergeCell ref="DU15:DX15"/>
    <mergeCell ref="EM1:FN1"/>
    <mergeCell ref="EM2:EP2"/>
    <mergeCell ref="EQ2:EU2"/>
    <mergeCell ref="EV2:EY2"/>
    <mergeCell ref="EZ2:FC2"/>
    <mergeCell ref="FD2:FG2"/>
    <mergeCell ref="FH2:FK2"/>
    <mergeCell ref="FL2:FN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882"/>
  <sheetViews>
    <sheetView topLeftCell="A858" workbookViewId="0">
      <selection sqref="A1:I882"/>
    </sheetView>
  </sheetViews>
  <sheetFormatPr defaultRowHeight="15"/>
  <cols>
    <col min="1" max="1" width="20.42578125" bestFit="1" customWidth="1"/>
    <col min="8" max="8" width="9.140625" style="84"/>
  </cols>
  <sheetData>
    <row r="1" spans="1:9">
      <c r="A1" t="s">
        <v>1213</v>
      </c>
      <c r="B1" t="s">
        <v>175</v>
      </c>
      <c r="C1" t="s">
        <v>319</v>
      </c>
      <c r="D1" t="s">
        <v>1214</v>
      </c>
      <c r="E1" t="s">
        <v>1215</v>
      </c>
      <c r="F1" t="s">
        <v>1216</v>
      </c>
      <c r="G1" t="s">
        <v>1217</v>
      </c>
      <c r="H1" t="s">
        <v>1211</v>
      </c>
      <c r="I1" t="s">
        <v>270</v>
      </c>
    </row>
    <row r="2" spans="1:9">
      <c r="A2" t="s">
        <v>321</v>
      </c>
      <c r="B2" t="s">
        <v>196</v>
      </c>
      <c r="C2">
        <v>86</v>
      </c>
      <c r="D2">
        <v>656</v>
      </c>
      <c r="E2">
        <v>0.13109756097560976</v>
      </c>
      <c r="F2">
        <v>14.22</v>
      </c>
      <c r="G2">
        <v>113.76</v>
      </c>
      <c r="H2" s="84">
        <v>14.913658536585368</v>
      </c>
      <c r="I2">
        <v>1</v>
      </c>
    </row>
    <row r="3" spans="1:9">
      <c r="A3" t="s">
        <v>322</v>
      </c>
      <c r="B3" t="s">
        <v>198</v>
      </c>
      <c r="C3">
        <v>84</v>
      </c>
      <c r="D3">
        <v>600</v>
      </c>
      <c r="E3">
        <v>0.14000000000000001</v>
      </c>
      <c r="F3">
        <v>9.52</v>
      </c>
      <c r="G3">
        <v>69.658536585365852</v>
      </c>
      <c r="H3" s="84">
        <v>9.7521951219512193</v>
      </c>
      <c r="I3">
        <v>5</v>
      </c>
    </row>
    <row r="4" spans="1:9">
      <c r="A4" t="s">
        <v>178</v>
      </c>
      <c r="B4" t="s">
        <v>178</v>
      </c>
      <c r="C4" t="s">
        <v>178</v>
      </c>
      <c r="D4" t="s">
        <v>178</v>
      </c>
      <c r="E4" t="s">
        <v>178</v>
      </c>
      <c r="F4" t="s">
        <v>178</v>
      </c>
      <c r="G4" t="s">
        <v>178</v>
      </c>
      <c r="H4" s="84" t="s">
        <v>178</v>
      </c>
      <c r="I4" t="s">
        <v>178</v>
      </c>
    </row>
    <row r="5" spans="1:9">
      <c r="A5" t="s">
        <v>178</v>
      </c>
      <c r="B5" t="s">
        <v>178</v>
      </c>
      <c r="C5" t="s">
        <v>178</v>
      </c>
      <c r="D5" t="s">
        <v>178</v>
      </c>
      <c r="E5" t="s">
        <v>178</v>
      </c>
      <c r="F5" t="s">
        <v>178</v>
      </c>
      <c r="G5" t="s">
        <v>178</v>
      </c>
      <c r="H5" s="84" t="s">
        <v>178</v>
      </c>
      <c r="I5" t="s">
        <v>178</v>
      </c>
    </row>
    <row r="6" spans="1:9">
      <c r="A6" t="s">
        <v>178</v>
      </c>
      <c r="B6" t="s">
        <v>178</v>
      </c>
      <c r="C6" t="s">
        <v>178</v>
      </c>
      <c r="D6" t="s">
        <v>178</v>
      </c>
      <c r="E6" t="s">
        <v>178</v>
      </c>
      <c r="F6" t="s">
        <v>178</v>
      </c>
      <c r="G6" t="s">
        <v>178</v>
      </c>
      <c r="H6" s="84" t="s">
        <v>178</v>
      </c>
      <c r="I6" t="s">
        <v>178</v>
      </c>
    </row>
    <row r="7" spans="1:9">
      <c r="A7" t="s">
        <v>178</v>
      </c>
      <c r="B7" t="s">
        <v>178</v>
      </c>
      <c r="C7" t="s">
        <v>178</v>
      </c>
      <c r="D7" t="s">
        <v>178</v>
      </c>
      <c r="E7" t="s">
        <v>178</v>
      </c>
      <c r="F7" t="s">
        <v>178</v>
      </c>
      <c r="G7" t="s">
        <v>178</v>
      </c>
      <c r="H7" s="84" t="s">
        <v>178</v>
      </c>
      <c r="I7" t="s">
        <v>178</v>
      </c>
    </row>
    <row r="8" spans="1:9">
      <c r="A8" t="s">
        <v>178</v>
      </c>
      <c r="B8" t="s">
        <v>178</v>
      </c>
      <c r="C8" t="s">
        <v>178</v>
      </c>
      <c r="D8" t="s">
        <v>178</v>
      </c>
      <c r="E8" t="s">
        <v>178</v>
      </c>
      <c r="F8" t="s">
        <v>178</v>
      </c>
      <c r="G8" t="s">
        <v>178</v>
      </c>
      <c r="H8" s="84" t="s">
        <v>178</v>
      </c>
      <c r="I8" t="s">
        <v>178</v>
      </c>
    </row>
    <row r="9" spans="1:9">
      <c r="A9" t="s">
        <v>329</v>
      </c>
      <c r="B9" t="s">
        <v>206</v>
      </c>
      <c r="C9">
        <v>76</v>
      </c>
      <c r="D9">
        <v>642</v>
      </c>
      <c r="E9">
        <v>0.11838006230529595</v>
      </c>
      <c r="F9">
        <v>9.99</v>
      </c>
      <c r="G9">
        <v>78.214390243902443</v>
      </c>
      <c r="H9" s="84">
        <v>9.2590243902439031</v>
      </c>
      <c r="I9">
        <v>6</v>
      </c>
    </row>
    <row r="10" spans="1:9">
      <c r="A10" t="s">
        <v>178</v>
      </c>
      <c r="B10" t="s">
        <v>178</v>
      </c>
      <c r="C10" t="s">
        <v>178</v>
      </c>
      <c r="D10" t="s">
        <v>178</v>
      </c>
      <c r="E10" t="s">
        <v>178</v>
      </c>
      <c r="F10" t="s">
        <v>178</v>
      </c>
      <c r="G10" t="s">
        <v>178</v>
      </c>
      <c r="H10" s="84" t="s">
        <v>178</v>
      </c>
      <c r="I10" t="s">
        <v>178</v>
      </c>
    </row>
    <row r="11" spans="1:9">
      <c r="A11" t="s">
        <v>178</v>
      </c>
      <c r="B11" t="s">
        <v>178</v>
      </c>
      <c r="C11" t="s">
        <v>178</v>
      </c>
      <c r="D11" t="s">
        <v>178</v>
      </c>
      <c r="E11" t="s">
        <v>178</v>
      </c>
      <c r="F11" t="s">
        <v>178</v>
      </c>
      <c r="G11" t="s">
        <v>178</v>
      </c>
      <c r="H11" s="84" t="s">
        <v>178</v>
      </c>
      <c r="I11" t="s">
        <v>178</v>
      </c>
    </row>
    <row r="12" spans="1:9">
      <c r="A12" t="s">
        <v>333</v>
      </c>
      <c r="B12" t="s">
        <v>200</v>
      </c>
      <c r="C12">
        <v>73</v>
      </c>
      <c r="D12">
        <v>660</v>
      </c>
      <c r="E12">
        <v>0.11060606060606061</v>
      </c>
      <c r="F12">
        <v>11.28</v>
      </c>
      <c r="G12">
        <v>90.790243902439016</v>
      </c>
      <c r="H12" s="84">
        <v>10.041951219512194</v>
      </c>
      <c r="I12">
        <v>4</v>
      </c>
    </row>
    <row r="13" spans="1:9">
      <c r="A13" t="s">
        <v>334</v>
      </c>
      <c r="B13" t="s">
        <v>206</v>
      </c>
      <c r="C13">
        <v>73</v>
      </c>
      <c r="D13">
        <v>642</v>
      </c>
      <c r="E13">
        <v>0.11370716510903427</v>
      </c>
      <c r="F13">
        <v>9.99</v>
      </c>
      <c r="G13">
        <v>78.214390243902443</v>
      </c>
      <c r="H13" s="84">
        <v>8.8935365853658546</v>
      </c>
      <c r="I13">
        <v>7</v>
      </c>
    </row>
    <row r="14" spans="1:9">
      <c r="A14" t="s">
        <v>178</v>
      </c>
      <c r="B14" t="s">
        <v>178</v>
      </c>
      <c r="C14" t="s">
        <v>178</v>
      </c>
      <c r="D14" t="s">
        <v>178</v>
      </c>
      <c r="E14" t="s">
        <v>178</v>
      </c>
      <c r="F14" t="s">
        <v>178</v>
      </c>
      <c r="G14" t="s">
        <v>178</v>
      </c>
      <c r="H14" s="84" t="s">
        <v>178</v>
      </c>
      <c r="I14" t="s">
        <v>178</v>
      </c>
    </row>
    <row r="15" spans="1:9">
      <c r="A15" t="s">
        <v>178</v>
      </c>
      <c r="B15" t="s">
        <v>178</v>
      </c>
      <c r="C15" t="s">
        <v>178</v>
      </c>
      <c r="D15" t="s">
        <v>178</v>
      </c>
      <c r="E15" t="s">
        <v>178</v>
      </c>
      <c r="F15" t="s">
        <v>178</v>
      </c>
      <c r="G15" t="s">
        <v>178</v>
      </c>
      <c r="H15" s="84" t="s">
        <v>178</v>
      </c>
      <c r="I15" t="s">
        <v>178</v>
      </c>
    </row>
    <row r="16" spans="1:9">
      <c r="A16" t="s">
        <v>178</v>
      </c>
      <c r="B16" t="s">
        <v>178</v>
      </c>
      <c r="C16" t="s">
        <v>178</v>
      </c>
      <c r="D16" t="s">
        <v>178</v>
      </c>
      <c r="E16" t="s">
        <v>178</v>
      </c>
      <c r="F16" t="s">
        <v>178</v>
      </c>
      <c r="G16" t="s">
        <v>178</v>
      </c>
      <c r="H16" s="84" t="s">
        <v>178</v>
      </c>
      <c r="I16" t="s">
        <v>178</v>
      </c>
    </row>
    <row r="17" spans="1:9">
      <c r="A17" t="s">
        <v>178</v>
      </c>
      <c r="B17" t="s">
        <v>178</v>
      </c>
      <c r="C17" t="s">
        <v>178</v>
      </c>
      <c r="D17" t="s">
        <v>178</v>
      </c>
      <c r="E17" t="s">
        <v>178</v>
      </c>
      <c r="F17" t="s">
        <v>178</v>
      </c>
      <c r="G17" t="s">
        <v>178</v>
      </c>
      <c r="H17" s="84" t="s">
        <v>178</v>
      </c>
      <c r="I17" t="s">
        <v>178</v>
      </c>
    </row>
    <row r="18" spans="1:9">
      <c r="A18" t="s">
        <v>341</v>
      </c>
      <c r="B18" t="s">
        <v>198</v>
      </c>
      <c r="C18">
        <v>70</v>
      </c>
      <c r="D18">
        <v>600</v>
      </c>
      <c r="E18">
        <v>0.11666666666666667</v>
      </c>
      <c r="F18">
        <v>9.52</v>
      </c>
      <c r="G18">
        <v>69.658536585365852</v>
      </c>
      <c r="H18" s="84">
        <v>8.126829268292683</v>
      </c>
      <c r="I18">
        <v>17</v>
      </c>
    </row>
    <row r="19" spans="1:9">
      <c r="A19" t="s">
        <v>342</v>
      </c>
      <c r="B19" t="s">
        <v>205</v>
      </c>
      <c r="C19">
        <v>70</v>
      </c>
      <c r="D19">
        <v>613</v>
      </c>
      <c r="E19">
        <v>0.11419249592169657</v>
      </c>
      <c r="F19">
        <v>15.26</v>
      </c>
      <c r="G19">
        <v>114.07780487804878</v>
      </c>
      <c r="H19" s="84">
        <v>13.026829268292683</v>
      </c>
      <c r="I19">
        <v>2</v>
      </c>
    </row>
    <row r="20" spans="1:9">
      <c r="A20" t="s">
        <v>343</v>
      </c>
      <c r="B20" t="s">
        <v>203</v>
      </c>
      <c r="C20">
        <v>69</v>
      </c>
      <c r="D20">
        <v>659</v>
      </c>
      <c r="E20">
        <v>0.1047040971168437</v>
      </c>
      <c r="F20">
        <v>8.52</v>
      </c>
      <c r="G20">
        <v>68.471707317073168</v>
      </c>
      <c r="H20" s="84">
        <v>7.1692682926829265</v>
      </c>
      <c r="I20">
        <v>28</v>
      </c>
    </row>
    <row r="21" spans="1:9">
      <c r="A21" t="s">
        <v>178</v>
      </c>
      <c r="B21" t="s">
        <v>178</v>
      </c>
      <c r="C21" t="s">
        <v>178</v>
      </c>
      <c r="D21" t="s">
        <v>178</v>
      </c>
      <c r="E21" t="s">
        <v>178</v>
      </c>
      <c r="F21" t="s">
        <v>178</v>
      </c>
      <c r="G21" t="s">
        <v>178</v>
      </c>
      <c r="H21" s="84" t="s">
        <v>178</v>
      </c>
      <c r="I21" t="s">
        <v>178</v>
      </c>
    </row>
    <row r="22" spans="1:9">
      <c r="A22" t="s">
        <v>178</v>
      </c>
      <c r="B22" t="s">
        <v>178</v>
      </c>
      <c r="C22" t="s">
        <v>178</v>
      </c>
      <c r="D22" t="s">
        <v>178</v>
      </c>
      <c r="E22" t="s">
        <v>178</v>
      </c>
      <c r="F22" t="s">
        <v>178</v>
      </c>
      <c r="G22" t="s">
        <v>178</v>
      </c>
      <c r="H22" s="84" t="s">
        <v>178</v>
      </c>
      <c r="I22" t="s">
        <v>178</v>
      </c>
    </row>
    <row r="23" spans="1:9">
      <c r="A23" t="s">
        <v>347</v>
      </c>
      <c r="B23" t="s">
        <v>209</v>
      </c>
      <c r="C23">
        <v>66</v>
      </c>
      <c r="D23">
        <v>630</v>
      </c>
      <c r="E23">
        <v>0.10476190476190476</v>
      </c>
      <c r="F23">
        <v>9.65</v>
      </c>
      <c r="G23">
        <v>74.140243902439025</v>
      </c>
      <c r="H23" s="84">
        <v>7.7670731707317078</v>
      </c>
      <c r="I23">
        <v>19</v>
      </c>
    </row>
    <row r="24" spans="1:9">
      <c r="A24" t="s">
        <v>348</v>
      </c>
      <c r="B24" t="s">
        <v>202</v>
      </c>
      <c r="C24">
        <v>66</v>
      </c>
      <c r="D24">
        <v>601</v>
      </c>
      <c r="E24">
        <v>0.10981697171381032</v>
      </c>
      <c r="F24">
        <v>8.74</v>
      </c>
      <c r="G24">
        <v>64.057804878048785</v>
      </c>
      <c r="H24" s="84">
        <v>7.0346341463414639</v>
      </c>
      <c r="I24">
        <v>31</v>
      </c>
    </row>
    <row r="25" spans="1:9">
      <c r="A25" t="s">
        <v>349</v>
      </c>
      <c r="B25" t="s">
        <v>214</v>
      </c>
      <c r="C25">
        <v>66</v>
      </c>
      <c r="D25">
        <v>619</v>
      </c>
      <c r="E25">
        <v>0.10662358642972536</v>
      </c>
      <c r="F25">
        <v>11.03</v>
      </c>
      <c r="G25">
        <v>83.263048780487807</v>
      </c>
      <c r="H25" s="84">
        <v>8.8778048780487797</v>
      </c>
      <c r="I25">
        <v>8</v>
      </c>
    </row>
    <row r="26" spans="1:9">
      <c r="A26" t="s">
        <v>178</v>
      </c>
      <c r="B26" t="s">
        <v>178</v>
      </c>
      <c r="C26" t="s">
        <v>178</v>
      </c>
      <c r="D26" t="s">
        <v>178</v>
      </c>
      <c r="E26" t="s">
        <v>178</v>
      </c>
      <c r="F26" t="s">
        <v>178</v>
      </c>
      <c r="G26" t="s">
        <v>178</v>
      </c>
      <c r="H26" s="84" t="s">
        <v>178</v>
      </c>
      <c r="I26" t="s">
        <v>178</v>
      </c>
    </row>
    <row r="27" spans="1:9">
      <c r="A27" t="s">
        <v>351</v>
      </c>
      <c r="B27" t="s">
        <v>209</v>
      </c>
      <c r="C27">
        <v>65</v>
      </c>
      <c r="D27">
        <v>630</v>
      </c>
      <c r="E27">
        <v>0.10317460317460317</v>
      </c>
      <c r="F27">
        <v>9.65</v>
      </c>
      <c r="G27">
        <v>74.140243902439025</v>
      </c>
      <c r="H27" s="84">
        <v>7.649390243902439</v>
      </c>
      <c r="I27">
        <v>21</v>
      </c>
    </row>
    <row r="28" spans="1:9">
      <c r="A28" t="s">
        <v>178</v>
      </c>
      <c r="B28" t="s">
        <v>178</v>
      </c>
      <c r="C28" t="s">
        <v>178</v>
      </c>
      <c r="D28" t="s">
        <v>178</v>
      </c>
      <c r="E28" t="s">
        <v>178</v>
      </c>
      <c r="F28" t="s">
        <v>178</v>
      </c>
      <c r="G28" t="s">
        <v>178</v>
      </c>
      <c r="H28" s="84" t="s">
        <v>178</v>
      </c>
      <c r="I28" t="s">
        <v>178</v>
      </c>
    </row>
    <row r="29" spans="1:9">
      <c r="A29" t="s">
        <v>178</v>
      </c>
      <c r="B29" t="s">
        <v>178</v>
      </c>
      <c r="C29" t="s">
        <v>178</v>
      </c>
      <c r="D29" t="s">
        <v>178</v>
      </c>
      <c r="E29" t="s">
        <v>178</v>
      </c>
      <c r="F29" t="s">
        <v>178</v>
      </c>
      <c r="G29" t="s">
        <v>178</v>
      </c>
      <c r="H29" s="84" t="s">
        <v>178</v>
      </c>
      <c r="I29" t="s">
        <v>178</v>
      </c>
    </row>
    <row r="30" spans="1:9">
      <c r="A30" t="s">
        <v>354</v>
      </c>
      <c r="B30" t="s">
        <v>214</v>
      </c>
      <c r="C30">
        <v>64</v>
      </c>
      <c r="D30">
        <v>619</v>
      </c>
      <c r="E30">
        <v>0.10339256865912763</v>
      </c>
      <c r="F30">
        <v>11.03</v>
      </c>
      <c r="G30">
        <v>83.263048780487807</v>
      </c>
      <c r="H30" s="84">
        <v>8.6087804878048786</v>
      </c>
      <c r="I30">
        <v>14</v>
      </c>
    </row>
    <row r="31" spans="1:9">
      <c r="A31" t="s">
        <v>355</v>
      </c>
      <c r="B31" t="s">
        <v>200</v>
      </c>
      <c r="C31">
        <v>64</v>
      </c>
      <c r="D31">
        <v>660</v>
      </c>
      <c r="E31">
        <v>9.696969696969697E-2</v>
      </c>
      <c r="F31">
        <v>11.28</v>
      </c>
      <c r="G31">
        <v>90.790243902439016</v>
      </c>
      <c r="H31" s="84">
        <v>8.8039024390243892</v>
      </c>
      <c r="I31">
        <v>10</v>
      </c>
    </row>
    <row r="32" spans="1:9">
      <c r="A32" t="s">
        <v>178</v>
      </c>
      <c r="B32" t="s">
        <v>178</v>
      </c>
      <c r="C32" t="s">
        <v>178</v>
      </c>
      <c r="D32" t="s">
        <v>178</v>
      </c>
      <c r="E32" t="s">
        <v>178</v>
      </c>
      <c r="F32" t="s">
        <v>178</v>
      </c>
      <c r="G32" t="s">
        <v>178</v>
      </c>
      <c r="H32" s="84" t="s">
        <v>178</v>
      </c>
      <c r="I32" t="s">
        <v>178</v>
      </c>
    </row>
    <row r="33" spans="1:9">
      <c r="A33" t="s">
        <v>358</v>
      </c>
      <c r="B33" t="s">
        <v>202</v>
      </c>
      <c r="C33">
        <v>64</v>
      </c>
      <c r="D33">
        <v>601</v>
      </c>
      <c r="E33">
        <v>0.1064891846921797</v>
      </c>
      <c r="F33">
        <v>8.74</v>
      </c>
      <c r="G33">
        <v>64.057804878048785</v>
      </c>
      <c r="H33" s="84">
        <v>6.8214634146341471</v>
      </c>
      <c r="I33">
        <v>35</v>
      </c>
    </row>
    <row r="34" spans="1:9">
      <c r="A34" t="s">
        <v>359</v>
      </c>
      <c r="B34" t="s">
        <v>214</v>
      </c>
      <c r="C34">
        <v>64</v>
      </c>
      <c r="D34">
        <v>619</v>
      </c>
      <c r="E34">
        <v>0.10339256865912763</v>
      </c>
      <c r="F34">
        <v>11.03</v>
      </c>
      <c r="G34">
        <v>83.263048780487807</v>
      </c>
      <c r="H34" s="84">
        <v>8.6087804878048786</v>
      </c>
      <c r="I34">
        <v>14</v>
      </c>
    </row>
    <row r="35" spans="1:9">
      <c r="A35" t="s">
        <v>178</v>
      </c>
      <c r="B35" t="s">
        <v>178</v>
      </c>
      <c r="C35" t="s">
        <v>178</v>
      </c>
      <c r="D35" t="s">
        <v>178</v>
      </c>
      <c r="E35" t="s">
        <v>178</v>
      </c>
      <c r="F35" t="s">
        <v>178</v>
      </c>
      <c r="G35" t="s">
        <v>178</v>
      </c>
      <c r="H35" s="84" t="s">
        <v>178</v>
      </c>
      <c r="I35" t="s">
        <v>178</v>
      </c>
    </row>
    <row r="36" spans="1:9">
      <c r="A36" t="s">
        <v>361</v>
      </c>
      <c r="B36" t="s">
        <v>200</v>
      </c>
      <c r="C36">
        <v>63</v>
      </c>
      <c r="D36">
        <v>660</v>
      </c>
      <c r="E36">
        <v>9.5454545454545459E-2</v>
      </c>
      <c r="F36">
        <v>11.28</v>
      </c>
      <c r="G36">
        <v>90.790243902439016</v>
      </c>
      <c r="H36" s="84">
        <v>8.6663414634146338</v>
      </c>
      <c r="I36">
        <v>13</v>
      </c>
    </row>
    <row r="37" spans="1:9">
      <c r="A37" t="s">
        <v>178</v>
      </c>
      <c r="B37" t="s">
        <v>178</v>
      </c>
      <c r="C37" t="s">
        <v>178</v>
      </c>
      <c r="D37" t="s">
        <v>178</v>
      </c>
      <c r="E37" t="s">
        <v>178</v>
      </c>
      <c r="F37" t="s">
        <v>178</v>
      </c>
      <c r="G37" t="s">
        <v>178</v>
      </c>
      <c r="H37" s="84" t="s">
        <v>178</v>
      </c>
      <c r="I37" t="s">
        <v>178</v>
      </c>
    </row>
    <row r="38" spans="1:9">
      <c r="A38" t="s">
        <v>363</v>
      </c>
      <c r="B38" t="s">
        <v>206</v>
      </c>
      <c r="C38">
        <v>63</v>
      </c>
      <c r="D38">
        <v>642</v>
      </c>
      <c r="E38">
        <v>9.8130841121495324E-2</v>
      </c>
      <c r="F38">
        <v>9.99</v>
      </c>
      <c r="G38">
        <v>78.214390243902443</v>
      </c>
      <c r="H38" s="84">
        <v>7.6752439024390249</v>
      </c>
      <c r="I38">
        <v>20</v>
      </c>
    </row>
    <row r="39" spans="1:9">
      <c r="A39" t="s">
        <v>178</v>
      </c>
      <c r="B39" t="s">
        <v>178</v>
      </c>
      <c r="C39" t="s">
        <v>178</v>
      </c>
      <c r="D39" t="s">
        <v>178</v>
      </c>
      <c r="E39" t="s">
        <v>178</v>
      </c>
      <c r="F39" t="s">
        <v>178</v>
      </c>
      <c r="G39" t="s">
        <v>178</v>
      </c>
      <c r="H39" s="84" t="s">
        <v>178</v>
      </c>
      <c r="I39" t="s">
        <v>178</v>
      </c>
    </row>
    <row r="40" spans="1:9">
      <c r="A40" t="s">
        <v>366</v>
      </c>
      <c r="B40" t="s">
        <v>210</v>
      </c>
      <c r="C40">
        <v>62</v>
      </c>
      <c r="D40">
        <v>594</v>
      </c>
      <c r="E40">
        <v>0.10437710437710437</v>
      </c>
      <c r="F40">
        <v>9.11</v>
      </c>
      <c r="G40">
        <v>65.991951219512188</v>
      </c>
      <c r="H40" s="84">
        <v>6.8880487804878037</v>
      </c>
      <c r="I40">
        <v>33</v>
      </c>
    </row>
    <row r="41" spans="1:9">
      <c r="A41" t="s">
        <v>178</v>
      </c>
      <c r="B41" t="s">
        <v>178</v>
      </c>
      <c r="C41" t="s">
        <v>178</v>
      </c>
      <c r="D41" t="s">
        <v>178</v>
      </c>
      <c r="E41" t="s">
        <v>178</v>
      </c>
      <c r="F41" t="s">
        <v>178</v>
      </c>
      <c r="G41" t="s">
        <v>178</v>
      </c>
      <c r="H41" s="84" t="s">
        <v>178</v>
      </c>
      <c r="I41" t="s">
        <v>178</v>
      </c>
    </row>
    <row r="42" spans="1:9">
      <c r="A42" t="s">
        <v>178</v>
      </c>
      <c r="B42" t="s">
        <v>178</v>
      </c>
      <c r="C42" t="s">
        <v>178</v>
      </c>
      <c r="D42" t="s">
        <v>178</v>
      </c>
      <c r="E42" t="s">
        <v>178</v>
      </c>
      <c r="F42" t="s">
        <v>178</v>
      </c>
      <c r="G42" t="s">
        <v>178</v>
      </c>
      <c r="H42" s="84" t="s">
        <v>178</v>
      </c>
      <c r="I42" t="s">
        <v>178</v>
      </c>
    </row>
    <row r="43" spans="1:9">
      <c r="A43" t="s">
        <v>369</v>
      </c>
      <c r="B43" t="s">
        <v>212</v>
      </c>
      <c r="C43">
        <v>62</v>
      </c>
      <c r="D43">
        <v>608</v>
      </c>
      <c r="E43">
        <v>0.10197368421052631</v>
      </c>
      <c r="F43">
        <v>11.03</v>
      </c>
      <c r="G43">
        <v>81.783414634146339</v>
      </c>
      <c r="H43" s="84">
        <v>8.3397560975609757</v>
      </c>
      <c r="I43">
        <v>16</v>
      </c>
    </row>
    <row r="44" spans="1:9">
      <c r="A44" t="s">
        <v>178</v>
      </c>
      <c r="B44" t="s">
        <v>178</v>
      </c>
      <c r="C44" t="s">
        <v>178</v>
      </c>
      <c r="D44" t="s">
        <v>178</v>
      </c>
      <c r="E44" t="s">
        <v>178</v>
      </c>
      <c r="F44" t="s">
        <v>178</v>
      </c>
      <c r="G44" t="s">
        <v>178</v>
      </c>
      <c r="H44" s="84" t="s">
        <v>178</v>
      </c>
      <c r="I44" t="s">
        <v>178</v>
      </c>
    </row>
    <row r="45" spans="1:9">
      <c r="A45" t="s">
        <v>178</v>
      </c>
      <c r="B45" t="s">
        <v>178</v>
      </c>
      <c r="C45" t="s">
        <v>178</v>
      </c>
      <c r="D45" t="s">
        <v>178</v>
      </c>
      <c r="E45" t="s">
        <v>178</v>
      </c>
      <c r="F45" t="s">
        <v>178</v>
      </c>
      <c r="G45" t="s">
        <v>178</v>
      </c>
      <c r="H45" s="84" t="s">
        <v>178</v>
      </c>
      <c r="I45" t="s">
        <v>178</v>
      </c>
    </row>
    <row r="46" spans="1:9">
      <c r="A46" t="s">
        <v>372</v>
      </c>
      <c r="B46" t="s">
        <v>202</v>
      </c>
      <c r="C46">
        <v>61</v>
      </c>
      <c r="D46">
        <v>601</v>
      </c>
      <c r="E46">
        <v>0.10149750415973377</v>
      </c>
      <c r="F46">
        <v>8.74</v>
      </c>
      <c r="G46">
        <v>64.057804878048785</v>
      </c>
      <c r="H46" s="84">
        <v>6.501707317073171</v>
      </c>
      <c r="I46">
        <v>38</v>
      </c>
    </row>
    <row r="47" spans="1:9">
      <c r="A47" t="s">
        <v>373</v>
      </c>
      <c r="B47" t="s">
        <v>210</v>
      </c>
      <c r="C47">
        <v>61</v>
      </c>
      <c r="D47">
        <v>594</v>
      </c>
      <c r="E47">
        <v>0.1026936026936027</v>
      </c>
      <c r="F47">
        <v>9.11</v>
      </c>
      <c r="G47">
        <v>65.991951219512188</v>
      </c>
      <c r="H47" s="84">
        <v>6.7769512195121946</v>
      </c>
      <c r="I47">
        <v>36</v>
      </c>
    </row>
    <row r="48" spans="1:9">
      <c r="A48" t="s">
        <v>178</v>
      </c>
      <c r="B48" t="s">
        <v>178</v>
      </c>
      <c r="C48" t="s">
        <v>178</v>
      </c>
      <c r="D48" t="s">
        <v>178</v>
      </c>
      <c r="E48" t="s">
        <v>178</v>
      </c>
      <c r="F48" t="s">
        <v>178</v>
      </c>
      <c r="G48" t="s">
        <v>178</v>
      </c>
      <c r="H48" s="84" t="s">
        <v>178</v>
      </c>
      <c r="I48" t="s">
        <v>178</v>
      </c>
    </row>
    <row r="49" spans="1:9">
      <c r="A49" t="s">
        <v>375</v>
      </c>
      <c r="B49" t="s">
        <v>203</v>
      </c>
      <c r="C49">
        <v>60</v>
      </c>
      <c r="D49">
        <v>659</v>
      </c>
      <c r="E49">
        <v>9.1047040971168433E-2</v>
      </c>
      <c r="F49">
        <v>8.52</v>
      </c>
      <c r="G49">
        <v>68.471707317073168</v>
      </c>
      <c r="H49" s="84">
        <v>6.234146341463414</v>
      </c>
      <c r="I49">
        <v>50</v>
      </c>
    </row>
    <row r="50" spans="1:9">
      <c r="A50" t="s">
        <v>178</v>
      </c>
      <c r="B50" t="s">
        <v>178</v>
      </c>
      <c r="C50" t="s">
        <v>178</v>
      </c>
      <c r="D50" t="s">
        <v>178</v>
      </c>
      <c r="E50" t="s">
        <v>178</v>
      </c>
      <c r="F50" t="s">
        <v>178</v>
      </c>
      <c r="G50" t="s">
        <v>178</v>
      </c>
      <c r="H50" s="84" t="s">
        <v>178</v>
      </c>
      <c r="I50" t="s">
        <v>178</v>
      </c>
    </row>
    <row r="51" spans="1:9">
      <c r="A51" t="s">
        <v>178</v>
      </c>
      <c r="B51" t="s">
        <v>178</v>
      </c>
      <c r="C51" t="s">
        <v>178</v>
      </c>
      <c r="D51" t="s">
        <v>178</v>
      </c>
      <c r="E51" t="s">
        <v>178</v>
      </c>
      <c r="F51" t="s">
        <v>178</v>
      </c>
      <c r="G51" t="s">
        <v>178</v>
      </c>
      <c r="H51" s="84" t="s">
        <v>178</v>
      </c>
      <c r="I51" t="s">
        <v>178</v>
      </c>
    </row>
    <row r="52" spans="1:9">
      <c r="A52" t="s">
        <v>178</v>
      </c>
      <c r="B52" t="s">
        <v>178</v>
      </c>
      <c r="C52" t="s">
        <v>178</v>
      </c>
      <c r="D52" t="s">
        <v>178</v>
      </c>
      <c r="E52" t="s">
        <v>178</v>
      </c>
      <c r="F52" t="s">
        <v>178</v>
      </c>
      <c r="G52" t="s">
        <v>178</v>
      </c>
      <c r="H52" s="84" t="s">
        <v>178</v>
      </c>
      <c r="I52" t="s">
        <v>178</v>
      </c>
    </row>
    <row r="53" spans="1:9">
      <c r="A53" t="s">
        <v>178</v>
      </c>
      <c r="B53" t="s">
        <v>178</v>
      </c>
      <c r="C53" t="s">
        <v>178</v>
      </c>
      <c r="D53" t="s">
        <v>178</v>
      </c>
      <c r="E53" t="s">
        <v>178</v>
      </c>
      <c r="F53" t="s">
        <v>178</v>
      </c>
      <c r="G53" t="s">
        <v>178</v>
      </c>
      <c r="H53" s="84" t="s">
        <v>178</v>
      </c>
      <c r="I53" t="s">
        <v>178</v>
      </c>
    </row>
    <row r="54" spans="1:9">
      <c r="A54" t="s">
        <v>178</v>
      </c>
      <c r="B54" t="s">
        <v>178</v>
      </c>
      <c r="C54" t="s">
        <v>178</v>
      </c>
      <c r="D54" t="s">
        <v>178</v>
      </c>
      <c r="E54" t="s">
        <v>178</v>
      </c>
      <c r="F54" t="s">
        <v>178</v>
      </c>
      <c r="G54" t="s">
        <v>178</v>
      </c>
      <c r="H54" s="84" t="s">
        <v>178</v>
      </c>
      <c r="I54" t="s">
        <v>178</v>
      </c>
    </row>
    <row r="55" spans="1:9">
      <c r="A55" t="s">
        <v>178</v>
      </c>
      <c r="B55" t="s">
        <v>178</v>
      </c>
      <c r="C55" t="s">
        <v>178</v>
      </c>
      <c r="D55" t="s">
        <v>178</v>
      </c>
      <c r="E55" t="s">
        <v>178</v>
      </c>
      <c r="F55" t="s">
        <v>178</v>
      </c>
      <c r="G55" t="s">
        <v>178</v>
      </c>
      <c r="H55" s="84" t="s">
        <v>178</v>
      </c>
      <c r="I55" t="s">
        <v>178</v>
      </c>
    </row>
    <row r="56" spans="1:9">
      <c r="A56" t="s">
        <v>382</v>
      </c>
      <c r="B56" t="s">
        <v>200</v>
      </c>
      <c r="C56">
        <v>58</v>
      </c>
      <c r="D56">
        <v>660</v>
      </c>
      <c r="E56">
        <v>8.7878787878787876E-2</v>
      </c>
      <c r="F56">
        <v>11.28</v>
      </c>
      <c r="G56">
        <v>90.790243902439016</v>
      </c>
      <c r="H56" s="84">
        <v>7.9785365853658528</v>
      </c>
      <c r="I56">
        <v>18</v>
      </c>
    </row>
    <row r="57" spans="1:9">
      <c r="A57" t="s">
        <v>178</v>
      </c>
      <c r="B57" t="s">
        <v>178</v>
      </c>
      <c r="C57" t="s">
        <v>178</v>
      </c>
      <c r="D57" t="s">
        <v>178</v>
      </c>
      <c r="E57" t="s">
        <v>178</v>
      </c>
      <c r="F57" t="s">
        <v>178</v>
      </c>
      <c r="G57" t="s">
        <v>178</v>
      </c>
      <c r="H57" s="84" t="s">
        <v>178</v>
      </c>
      <c r="I57" t="s">
        <v>178</v>
      </c>
    </row>
    <row r="58" spans="1:9">
      <c r="A58" t="s">
        <v>178</v>
      </c>
      <c r="B58" t="s">
        <v>178</v>
      </c>
      <c r="C58" t="s">
        <v>178</v>
      </c>
      <c r="D58" t="s">
        <v>178</v>
      </c>
      <c r="E58" t="s">
        <v>178</v>
      </c>
      <c r="F58" t="s">
        <v>178</v>
      </c>
      <c r="G58" t="s">
        <v>178</v>
      </c>
      <c r="H58" s="84" t="s">
        <v>178</v>
      </c>
      <c r="I58" t="s">
        <v>178</v>
      </c>
    </row>
    <row r="59" spans="1:9">
      <c r="A59" t="s">
        <v>178</v>
      </c>
      <c r="B59" t="s">
        <v>178</v>
      </c>
      <c r="C59" t="s">
        <v>178</v>
      </c>
      <c r="D59" t="s">
        <v>178</v>
      </c>
      <c r="E59" t="s">
        <v>178</v>
      </c>
      <c r="F59" t="s">
        <v>178</v>
      </c>
      <c r="G59" t="s">
        <v>178</v>
      </c>
      <c r="H59" s="84" t="s">
        <v>178</v>
      </c>
      <c r="I59" t="s">
        <v>178</v>
      </c>
    </row>
    <row r="60" spans="1:9">
      <c r="A60" t="s">
        <v>178</v>
      </c>
      <c r="B60" t="s">
        <v>178</v>
      </c>
      <c r="C60" t="s">
        <v>178</v>
      </c>
      <c r="D60" t="s">
        <v>178</v>
      </c>
      <c r="E60" t="s">
        <v>178</v>
      </c>
      <c r="F60" t="s">
        <v>178</v>
      </c>
      <c r="G60" t="s">
        <v>178</v>
      </c>
      <c r="H60" s="84" t="s">
        <v>178</v>
      </c>
      <c r="I60" t="s">
        <v>178</v>
      </c>
    </row>
    <row r="61" spans="1:9">
      <c r="A61" t="s">
        <v>387</v>
      </c>
      <c r="B61" t="s">
        <v>209</v>
      </c>
      <c r="C61">
        <v>56</v>
      </c>
      <c r="D61">
        <v>630</v>
      </c>
      <c r="E61">
        <v>8.8888888888888892E-2</v>
      </c>
      <c r="F61">
        <v>9.65</v>
      </c>
      <c r="G61">
        <v>74.140243902439025</v>
      </c>
      <c r="H61" s="84">
        <v>6.5902439024390249</v>
      </c>
      <c r="I61">
        <v>37</v>
      </c>
    </row>
    <row r="62" spans="1:9">
      <c r="A62" t="s">
        <v>178</v>
      </c>
      <c r="B62" t="s">
        <v>178</v>
      </c>
      <c r="C62" t="s">
        <v>178</v>
      </c>
      <c r="D62" t="s">
        <v>178</v>
      </c>
      <c r="E62" t="s">
        <v>178</v>
      </c>
      <c r="F62" t="s">
        <v>178</v>
      </c>
      <c r="G62" t="s">
        <v>178</v>
      </c>
      <c r="H62" s="84" t="s">
        <v>178</v>
      </c>
      <c r="I62" t="s">
        <v>178</v>
      </c>
    </row>
    <row r="63" spans="1:9">
      <c r="A63" t="s">
        <v>178</v>
      </c>
      <c r="B63" t="s">
        <v>178</v>
      </c>
      <c r="C63" t="s">
        <v>178</v>
      </c>
      <c r="D63" t="s">
        <v>178</v>
      </c>
      <c r="E63" t="s">
        <v>178</v>
      </c>
      <c r="F63" t="s">
        <v>178</v>
      </c>
      <c r="G63" t="s">
        <v>178</v>
      </c>
      <c r="H63" s="84" t="s">
        <v>178</v>
      </c>
      <c r="I63" t="s">
        <v>178</v>
      </c>
    </row>
    <row r="64" spans="1:9">
      <c r="A64" t="s">
        <v>178</v>
      </c>
      <c r="B64" t="s">
        <v>178</v>
      </c>
      <c r="C64" t="s">
        <v>178</v>
      </c>
      <c r="D64" t="s">
        <v>178</v>
      </c>
      <c r="E64" t="s">
        <v>178</v>
      </c>
      <c r="F64" t="s">
        <v>178</v>
      </c>
      <c r="G64" t="s">
        <v>178</v>
      </c>
      <c r="H64" s="84" t="s">
        <v>178</v>
      </c>
      <c r="I64" t="s">
        <v>178</v>
      </c>
    </row>
    <row r="65" spans="1:9">
      <c r="A65" t="s">
        <v>178</v>
      </c>
      <c r="B65" t="s">
        <v>178</v>
      </c>
      <c r="C65" t="s">
        <v>178</v>
      </c>
      <c r="D65" t="s">
        <v>178</v>
      </c>
      <c r="E65" t="s">
        <v>178</v>
      </c>
      <c r="F65" t="s">
        <v>178</v>
      </c>
      <c r="G65" t="s">
        <v>178</v>
      </c>
      <c r="H65" s="84" t="s">
        <v>178</v>
      </c>
      <c r="I65" t="s">
        <v>178</v>
      </c>
    </row>
    <row r="66" spans="1:9">
      <c r="A66" t="s">
        <v>392</v>
      </c>
      <c r="B66" t="s">
        <v>205</v>
      </c>
      <c r="C66">
        <v>55</v>
      </c>
      <c r="D66">
        <v>613</v>
      </c>
      <c r="E66">
        <v>8.9722675367047311E-2</v>
      </c>
      <c r="F66">
        <v>15.26</v>
      </c>
      <c r="G66">
        <v>114.07780487804878</v>
      </c>
      <c r="H66" s="84">
        <v>10.235365853658537</v>
      </c>
      <c r="I66">
        <v>3</v>
      </c>
    </row>
    <row r="67" spans="1:9">
      <c r="A67" t="s">
        <v>393</v>
      </c>
      <c r="B67" t="s">
        <v>200</v>
      </c>
      <c r="C67">
        <v>55</v>
      </c>
      <c r="D67">
        <v>660</v>
      </c>
      <c r="E67">
        <v>8.3333333333333329E-2</v>
      </c>
      <c r="F67">
        <v>11.28</v>
      </c>
      <c r="G67">
        <v>90.790243902439016</v>
      </c>
      <c r="H67" s="84">
        <v>7.5658536585365841</v>
      </c>
      <c r="I67">
        <v>22</v>
      </c>
    </row>
    <row r="68" spans="1:9">
      <c r="A68" t="s">
        <v>178</v>
      </c>
      <c r="B68" t="s">
        <v>178</v>
      </c>
      <c r="C68" t="s">
        <v>178</v>
      </c>
      <c r="D68" t="s">
        <v>178</v>
      </c>
      <c r="E68" t="s">
        <v>178</v>
      </c>
      <c r="F68" t="s">
        <v>178</v>
      </c>
      <c r="G68" t="s">
        <v>178</v>
      </c>
      <c r="H68" s="84" t="s">
        <v>178</v>
      </c>
      <c r="I68" t="s">
        <v>178</v>
      </c>
    </row>
    <row r="69" spans="1:9">
      <c r="A69" t="s">
        <v>178</v>
      </c>
      <c r="B69" t="s">
        <v>178</v>
      </c>
      <c r="C69" t="s">
        <v>178</v>
      </c>
      <c r="D69" t="s">
        <v>178</v>
      </c>
      <c r="E69" t="s">
        <v>178</v>
      </c>
      <c r="F69" t="s">
        <v>178</v>
      </c>
      <c r="G69" t="s">
        <v>178</v>
      </c>
      <c r="H69" s="84" t="s">
        <v>178</v>
      </c>
      <c r="I69" t="s">
        <v>178</v>
      </c>
    </row>
    <row r="70" spans="1:9">
      <c r="A70" t="s">
        <v>396</v>
      </c>
      <c r="B70" t="s">
        <v>203</v>
      </c>
      <c r="C70">
        <v>55</v>
      </c>
      <c r="D70">
        <v>659</v>
      </c>
      <c r="E70">
        <v>8.3459787556904405E-2</v>
      </c>
      <c r="F70">
        <v>8.52</v>
      </c>
      <c r="G70">
        <v>68.471707317073168</v>
      </c>
      <c r="H70" s="84">
        <v>5.7146341463414636</v>
      </c>
      <c r="I70">
        <v>60</v>
      </c>
    </row>
    <row r="71" spans="1:9">
      <c r="A71" t="s">
        <v>178</v>
      </c>
      <c r="B71" t="s">
        <v>178</v>
      </c>
      <c r="C71" t="s">
        <v>178</v>
      </c>
      <c r="D71" t="s">
        <v>178</v>
      </c>
      <c r="E71" t="s">
        <v>178</v>
      </c>
      <c r="F71" t="s">
        <v>178</v>
      </c>
      <c r="G71" t="s">
        <v>178</v>
      </c>
      <c r="H71" s="84" t="s">
        <v>178</v>
      </c>
      <c r="I71" t="s">
        <v>178</v>
      </c>
    </row>
    <row r="72" spans="1:9">
      <c r="A72" t="s">
        <v>398</v>
      </c>
      <c r="B72" t="s">
        <v>214</v>
      </c>
      <c r="C72">
        <v>54</v>
      </c>
      <c r="D72">
        <v>619</v>
      </c>
      <c r="E72">
        <v>8.723747980613894E-2</v>
      </c>
      <c r="F72">
        <v>11.03</v>
      </c>
      <c r="G72">
        <v>83.263048780487807</v>
      </c>
      <c r="H72" s="84">
        <v>7.2636585365853668</v>
      </c>
      <c r="I72">
        <v>25</v>
      </c>
    </row>
    <row r="73" spans="1:9">
      <c r="A73" t="s">
        <v>399</v>
      </c>
      <c r="B73" t="s">
        <v>212</v>
      </c>
      <c r="C73">
        <v>54</v>
      </c>
      <c r="D73">
        <v>608</v>
      </c>
      <c r="E73">
        <v>8.8815789473684209E-2</v>
      </c>
      <c r="F73">
        <v>11.03</v>
      </c>
      <c r="G73">
        <v>81.783414634146339</v>
      </c>
      <c r="H73" s="84">
        <v>7.2636585365853659</v>
      </c>
      <c r="I73">
        <v>26</v>
      </c>
    </row>
    <row r="74" spans="1:9">
      <c r="A74" t="s">
        <v>178</v>
      </c>
      <c r="B74" t="s">
        <v>178</v>
      </c>
      <c r="C74" t="s">
        <v>178</v>
      </c>
      <c r="D74" t="s">
        <v>178</v>
      </c>
      <c r="E74" t="s">
        <v>178</v>
      </c>
      <c r="F74" t="s">
        <v>178</v>
      </c>
      <c r="G74" t="s">
        <v>178</v>
      </c>
      <c r="H74" s="84" t="s">
        <v>178</v>
      </c>
      <c r="I74" t="s">
        <v>178</v>
      </c>
    </row>
    <row r="75" spans="1:9">
      <c r="A75" t="s">
        <v>178</v>
      </c>
      <c r="B75" t="s">
        <v>178</v>
      </c>
      <c r="C75" t="s">
        <v>178</v>
      </c>
      <c r="D75" t="s">
        <v>178</v>
      </c>
      <c r="E75" t="s">
        <v>178</v>
      </c>
      <c r="F75" t="s">
        <v>178</v>
      </c>
      <c r="G75" t="s">
        <v>178</v>
      </c>
      <c r="H75" s="84" t="s">
        <v>178</v>
      </c>
      <c r="I75" t="s">
        <v>178</v>
      </c>
    </row>
    <row r="76" spans="1:9">
      <c r="A76" t="s">
        <v>402</v>
      </c>
      <c r="B76" t="s">
        <v>209</v>
      </c>
      <c r="C76">
        <v>54</v>
      </c>
      <c r="D76">
        <v>630</v>
      </c>
      <c r="E76">
        <v>8.5714285714285715E-2</v>
      </c>
      <c r="F76">
        <v>9.65</v>
      </c>
      <c r="G76">
        <v>74.140243902439025</v>
      </c>
      <c r="H76" s="84">
        <v>6.3548780487804875</v>
      </c>
      <c r="I76">
        <v>42</v>
      </c>
    </row>
    <row r="77" spans="1:9">
      <c r="A77" t="s">
        <v>403</v>
      </c>
      <c r="B77" t="s">
        <v>198</v>
      </c>
      <c r="C77">
        <v>54</v>
      </c>
      <c r="D77">
        <v>600</v>
      </c>
      <c r="E77">
        <v>0.09</v>
      </c>
      <c r="F77">
        <v>9.52</v>
      </c>
      <c r="G77">
        <v>69.658536585365852</v>
      </c>
      <c r="H77" s="84">
        <v>6.2692682926829262</v>
      </c>
      <c r="I77">
        <v>49</v>
      </c>
    </row>
    <row r="78" spans="1:9">
      <c r="A78" t="s">
        <v>178</v>
      </c>
      <c r="B78" t="s">
        <v>178</v>
      </c>
      <c r="C78" t="s">
        <v>178</v>
      </c>
      <c r="D78" t="s">
        <v>178</v>
      </c>
      <c r="E78" t="s">
        <v>178</v>
      </c>
      <c r="F78" t="s">
        <v>178</v>
      </c>
      <c r="G78" t="s">
        <v>178</v>
      </c>
      <c r="H78" s="84" t="s">
        <v>178</v>
      </c>
      <c r="I78" t="s">
        <v>178</v>
      </c>
    </row>
    <row r="79" spans="1:9">
      <c r="A79" t="s">
        <v>178</v>
      </c>
      <c r="B79" t="s">
        <v>178</v>
      </c>
      <c r="C79" t="s">
        <v>178</v>
      </c>
      <c r="D79" t="s">
        <v>178</v>
      </c>
      <c r="E79" t="s">
        <v>178</v>
      </c>
      <c r="F79" t="s">
        <v>178</v>
      </c>
      <c r="G79" t="s">
        <v>178</v>
      </c>
      <c r="H79" s="84" t="s">
        <v>178</v>
      </c>
      <c r="I79" t="s">
        <v>178</v>
      </c>
    </row>
    <row r="80" spans="1:9">
      <c r="A80" t="s">
        <v>406</v>
      </c>
      <c r="B80" t="s">
        <v>202</v>
      </c>
      <c r="C80">
        <v>52</v>
      </c>
      <c r="D80">
        <v>601</v>
      </c>
      <c r="E80">
        <v>8.6522462562396013E-2</v>
      </c>
      <c r="F80">
        <v>8.74</v>
      </c>
      <c r="G80">
        <v>64.057804878048785</v>
      </c>
      <c r="H80" s="84">
        <v>5.5424390243902444</v>
      </c>
      <c r="I80">
        <v>61</v>
      </c>
    </row>
    <row r="81" spans="1:9">
      <c r="A81" t="s">
        <v>407</v>
      </c>
      <c r="B81" t="s">
        <v>203</v>
      </c>
      <c r="C81">
        <v>52</v>
      </c>
      <c r="D81">
        <v>659</v>
      </c>
      <c r="E81">
        <v>7.8907435508345974E-2</v>
      </c>
      <c r="F81">
        <v>8.52</v>
      </c>
      <c r="G81">
        <v>68.471707317073168</v>
      </c>
      <c r="H81" s="84">
        <v>5.4029268292682922</v>
      </c>
      <c r="I81">
        <v>63</v>
      </c>
    </row>
    <row r="82" spans="1:9">
      <c r="A82" t="s">
        <v>408</v>
      </c>
      <c r="B82" t="s">
        <v>210</v>
      </c>
      <c r="C82">
        <v>52</v>
      </c>
      <c r="D82">
        <v>594</v>
      </c>
      <c r="E82">
        <v>8.7542087542087546E-2</v>
      </c>
      <c r="F82">
        <v>9.11</v>
      </c>
      <c r="G82">
        <v>65.991951219512188</v>
      </c>
      <c r="H82" s="84">
        <v>5.7770731707317067</v>
      </c>
      <c r="I82">
        <v>57</v>
      </c>
    </row>
    <row r="83" spans="1:9">
      <c r="A83" t="s">
        <v>409</v>
      </c>
      <c r="B83" t="s">
        <v>212</v>
      </c>
      <c r="C83">
        <v>52</v>
      </c>
      <c r="D83">
        <v>608</v>
      </c>
      <c r="E83">
        <v>8.5526315789473686E-2</v>
      </c>
      <c r="F83">
        <v>11.03</v>
      </c>
      <c r="G83">
        <v>81.783414634146339</v>
      </c>
      <c r="H83" s="84">
        <v>6.9946341463414639</v>
      </c>
      <c r="I83">
        <v>32</v>
      </c>
    </row>
    <row r="84" spans="1:9">
      <c r="A84" t="s">
        <v>410</v>
      </c>
      <c r="B84" t="s">
        <v>203</v>
      </c>
      <c r="C84">
        <v>52</v>
      </c>
      <c r="D84">
        <v>659</v>
      </c>
      <c r="E84">
        <v>7.8907435508345974E-2</v>
      </c>
      <c r="F84">
        <v>8.52</v>
      </c>
      <c r="G84">
        <v>68.471707317073168</v>
      </c>
      <c r="H84" s="84">
        <v>5.4029268292682922</v>
      </c>
      <c r="I84">
        <v>63</v>
      </c>
    </row>
    <row r="85" spans="1:9">
      <c r="A85" t="s">
        <v>411</v>
      </c>
      <c r="B85" t="s">
        <v>196</v>
      </c>
      <c r="C85">
        <v>51</v>
      </c>
      <c r="D85">
        <v>656</v>
      </c>
      <c r="E85">
        <v>7.774390243902439E-2</v>
      </c>
      <c r="F85">
        <v>14.22</v>
      </c>
      <c r="G85">
        <v>113.76</v>
      </c>
      <c r="H85" s="84">
        <v>8.8441463414634143</v>
      </c>
      <c r="I85">
        <v>9</v>
      </c>
    </row>
    <row r="86" spans="1:9">
      <c r="A86" t="s">
        <v>412</v>
      </c>
      <c r="B86" t="s">
        <v>198</v>
      </c>
      <c r="C86">
        <v>51</v>
      </c>
      <c r="D86">
        <v>600</v>
      </c>
      <c r="E86">
        <v>8.5000000000000006E-2</v>
      </c>
      <c r="F86">
        <v>9.52</v>
      </c>
      <c r="G86">
        <v>69.658536585365852</v>
      </c>
      <c r="H86" s="84">
        <v>5.9209756097560975</v>
      </c>
      <c r="I86">
        <v>56</v>
      </c>
    </row>
    <row r="87" spans="1:9">
      <c r="A87" t="s">
        <v>178</v>
      </c>
      <c r="B87" t="s">
        <v>178</v>
      </c>
      <c r="C87" t="s">
        <v>178</v>
      </c>
      <c r="D87" t="s">
        <v>178</v>
      </c>
      <c r="E87" t="s">
        <v>178</v>
      </c>
      <c r="F87" t="s">
        <v>178</v>
      </c>
      <c r="G87" t="s">
        <v>178</v>
      </c>
      <c r="H87" s="84" t="s">
        <v>178</v>
      </c>
      <c r="I87" t="s">
        <v>178</v>
      </c>
    </row>
    <row r="88" spans="1:9">
      <c r="A88" t="s">
        <v>414</v>
      </c>
      <c r="B88" t="s">
        <v>196</v>
      </c>
      <c r="C88">
        <v>50</v>
      </c>
      <c r="D88">
        <v>656</v>
      </c>
      <c r="E88">
        <v>7.621951219512195E-2</v>
      </c>
      <c r="F88">
        <v>14.22</v>
      </c>
      <c r="G88">
        <v>113.76</v>
      </c>
      <c r="H88" s="84">
        <v>8.6707317073170742</v>
      </c>
      <c r="I88">
        <v>12</v>
      </c>
    </row>
    <row r="89" spans="1:9">
      <c r="A89" t="s">
        <v>178</v>
      </c>
      <c r="B89" t="s">
        <v>178</v>
      </c>
      <c r="C89" t="s">
        <v>178</v>
      </c>
      <c r="D89" t="s">
        <v>178</v>
      </c>
      <c r="E89" t="s">
        <v>178</v>
      </c>
      <c r="F89" t="s">
        <v>178</v>
      </c>
      <c r="G89" t="s">
        <v>178</v>
      </c>
      <c r="H89" s="84" t="s">
        <v>178</v>
      </c>
      <c r="I89" t="s">
        <v>178</v>
      </c>
    </row>
    <row r="90" spans="1:9">
      <c r="A90" t="s">
        <v>178</v>
      </c>
      <c r="B90" t="s">
        <v>178</v>
      </c>
      <c r="C90" t="s">
        <v>178</v>
      </c>
      <c r="D90" t="s">
        <v>178</v>
      </c>
      <c r="E90" t="s">
        <v>178</v>
      </c>
      <c r="F90" t="s">
        <v>178</v>
      </c>
      <c r="G90" t="s">
        <v>178</v>
      </c>
      <c r="H90" s="84" t="s">
        <v>178</v>
      </c>
      <c r="I90" t="s">
        <v>178</v>
      </c>
    </row>
    <row r="91" spans="1:9">
      <c r="A91" t="s">
        <v>417</v>
      </c>
      <c r="B91" t="s">
        <v>203</v>
      </c>
      <c r="C91">
        <v>49</v>
      </c>
      <c r="D91">
        <v>659</v>
      </c>
      <c r="E91">
        <v>7.4355083459787558E-2</v>
      </c>
      <c r="F91">
        <v>8.52</v>
      </c>
      <c r="G91">
        <v>68.471707317073168</v>
      </c>
      <c r="H91" s="84">
        <v>5.0912195121951216</v>
      </c>
      <c r="I91">
        <v>72</v>
      </c>
    </row>
    <row r="92" spans="1:9">
      <c r="A92" t="s">
        <v>418</v>
      </c>
      <c r="B92" t="s">
        <v>210</v>
      </c>
      <c r="C92">
        <v>49</v>
      </c>
      <c r="D92">
        <v>594</v>
      </c>
      <c r="E92">
        <v>8.2491582491582491E-2</v>
      </c>
      <c r="F92">
        <v>9.11</v>
      </c>
      <c r="G92">
        <v>65.991951219512188</v>
      </c>
      <c r="H92" s="84">
        <v>5.4437804878048777</v>
      </c>
      <c r="I92">
        <v>62</v>
      </c>
    </row>
    <row r="93" spans="1:9">
      <c r="A93" t="s">
        <v>178</v>
      </c>
      <c r="B93" t="s">
        <v>178</v>
      </c>
      <c r="C93" t="s">
        <v>178</v>
      </c>
      <c r="D93" t="s">
        <v>178</v>
      </c>
      <c r="E93" t="s">
        <v>178</v>
      </c>
      <c r="F93" t="s">
        <v>178</v>
      </c>
      <c r="G93" t="s">
        <v>178</v>
      </c>
      <c r="H93" s="84" t="s">
        <v>178</v>
      </c>
      <c r="I93" t="s">
        <v>178</v>
      </c>
    </row>
    <row r="94" spans="1:9">
      <c r="A94" t="s">
        <v>178</v>
      </c>
      <c r="B94" t="s">
        <v>178</v>
      </c>
      <c r="C94" t="s">
        <v>178</v>
      </c>
      <c r="D94" t="s">
        <v>178</v>
      </c>
      <c r="E94" t="s">
        <v>178</v>
      </c>
      <c r="F94" t="s">
        <v>178</v>
      </c>
      <c r="G94" t="s">
        <v>178</v>
      </c>
      <c r="H94" s="84" t="s">
        <v>178</v>
      </c>
      <c r="I94" t="s">
        <v>178</v>
      </c>
    </row>
    <row r="95" spans="1:9">
      <c r="A95" t="s">
        <v>421</v>
      </c>
      <c r="B95" t="s">
        <v>212</v>
      </c>
      <c r="C95">
        <v>48</v>
      </c>
      <c r="D95">
        <v>608</v>
      </c>
      <c r="E95">
        <v>7.8947368421052627E-2</v>
      </c>
      <c r="F95">
        <v>11.03</v>
      </c>
      <c r="G95">
        <v>81.783414634146339</v>
      </c>
      <c r="H95" s="84">
        <v>6.4565853658536581</v>
      </c>
      <c r="I95">
        <v>40</v>
      </c>
    </row>
    <row r="96" spans="1:9">
      <c r="A96" t="s">
        <v>422</v>
      </c>
      <c r="B96" t="s">
        <v>214</v>
      </c>
      <c r="C96">
        <v>48</v>
      </c>
      <c r="D96">
        <v>619</v>
      </c>
      <c r="E96">
        <v>7.7544426494345717E-2</v>
      </c>
      <c r="F96">
        <v>11.03</v>
      </c>
      <c r="G96">
        <v>83.263048780487807</v>
      </c>
      <c r="H96" s="84">
        <v>6.4565853658536589</v>
      </c>
      <c r="I96">
        <v>39</v>
      </c>
    </row>
    <row r="97" spans="1:9">
      <c r="A97" t="s">
        <v>178</v>
      </c>
      <c r="B97" t="s">
        <v>178</v>
      </c>
      <c r="C97" t="s">
        <v>178</v>
      </c>
      <c r="D97" t="s">
        <v>178</v>
      </c>
      <c r="E97" t="s">
        <v>178</v>
      </c>
      <c r="F97" t="s">
        <v>178</v>
      </c>
      <c r="G97" t="s">
        <v>178</v>
      </c>
      <c r="H97" s="84" t="s">
        <v>178</v>
      </c>
      <c r="I97" t="s">
        <v>178</v>
      </c>
    </row>
    <row r="98" spans="1:9">
      <c r="A98" t="s">
        <v>178</v>
      </c>
      <c r="B98" t="s">
        <v>178</v>
      </c>
      <c r="C98" t="s">
        <v>178</v>
      </c>
      <c r="D98" t="s">
        <v>178</v>
      </c>
      <c r="E98" t="s">
        <v>178</v>
      </c>
      <c r="F98" t="s">
        <v>178</v>
      </c>
      <c r="G98" t="s">
        <v>178</v>
      </c>
      <c r="H98" s="84" t="s">
        <v>178</v>
      </c>
      <c r="I98" t="s">
        <v>178</v>
      </c>
    </row>
    <row r="99" spans="1:9">
      <c r="A99" t="s">
        <v>178</v>
      </c>
      <c r="B99" t="s">
        <v>178</v>
      </c>
      <c r="C99" t="s">
        <v>178</v>
      </c>
      <c r="D99" t="s">
        <v>178</v>
      </c>
      <c r="E99" t="s">
        <v>178</v>
      </c>
      <c r="F99" t="s">
        <v>178</v>
      </c>
      <c r="G99" t="s">
        <v>178</v>
      </c>
      <c r="H99" s="84" t="s">
        <v>178</v>
      </c>
      <c r="I99" t="s">
        <v>178</v>
      </c>
    </row>
    <row r="100" spans="1:9">
      <c r="A100" t="s">
        <v>178</v>
      </c>
      <c r="B100" t="s">
        <v>178</v>
      </c>
      <c r="C100" t="s">
        <v>178</v>
      </c>
      <c r="D100" t="s">
        <v>178</v>
      </c>
      <c r="E100" t="s">
        <v>178</v>
      </c>
      <c r="F100" t="s">
        <v>178</v>
      </c>
      <c r="G100" t="s">
        <v>178</v>
      </c>
      <c r="H100" s="84" t="s">
        <v>178</v>
      </c>
      <c r="I100" t="s">
        <v>178</v>
      </c>
    </row>
    <row r="101" spans="1:9">
      <c r="A101" t="s">
        <v>178</v>
      </c>
      <c r="B101" t="s">
        <v>178</v>
      </c>
      <c r="C101" t="s">
        <v>178</v>
      </c>
      <c r="D101" t="s">
        <v>178</v>
      </c>
      <c r="E101" t="s">
        <v>178</v>
      </c>
      <c r="F101" t="s">
        <v>178</v>
      </c>
      <c r="G101" t="s">
        <v>178</v>
      </c>
      <c r="H101" s="84" t="s">
        <v>178</v>
      </c>
      <c r="I101" t="s">
        <v>178</v>
      </c>
    </row>
    <row r="102" spans="1:9">
      <c r="A102" t="s">
        <v>428</v>
      </c>
      <c r="B102" t="s">
        <v>205</v>
      </c>
      <c r="C102">
        <v>47</v>
      </c>
      <c r="D102">
        <v>613</v>
      </c>
      <c r="E102">
        <v>7.6672104404567704E-2</v>
      </c>
      <c r="F102">
        <v>15.26</v>
      </c>
      <c r="G102">
        <v>114.07780487804878</v>
      </c>
      <c r="H102" s="84">
        <v>8.7465853658536599</v>
      </c>
      <c r="I102">
        <v>11</v>
      </c>
    </row>
    <row r="103" spans="1:9">
      <c r="A103" t="s">
        <v>178</v>
      </c>
      <c r="B103" t="s">
        <v>178</v>
      </c>
      <c r="C103" t="s">
        <v>178</v>
      </c>
      <c r="D103" t="s">
        <v>178</v>
      </c>
      <c r="E103" t="s">
        <v>178</v>
      </c>
      <c r="F103" t="s">
        <v>178</v>
      </c>
      <c r="G103" t="s">
        <v>178</v>
      </c>
      <c r="H103" s="84" t="s">
        <v>178</v>
      </c>
      <c r="I103" t="s">
        <v>178</v>
      </c>
    </row>
    <row r="104" spans="1:9">
      <c r="A104" t="s">
        <v>178</v>
      </c>
      <c r="B104" t="s">
        <v>178</v>
      </c>
      <c r="C104" t="s">
        <v>178</v>
      </c>
      <c r="D104" t="s">
        <v>178</v>
      </c>
      <c r="E104" t="s">
        <v>178</v>
      </c>
      <c r="F104" t="s">
        <v>178</v>
      </c>
      <c r="G104" t="s">
        <v>178</v>
      </c>
      <c r="H104" s="84" t="s">
        <v>178</v>
      </c>
      <c r="I104" t="s">
        <v>178</v>
      </c>
    </row>
    <row r="105" spans="1:9">
      <c r="A105" t="s">
        <v>178</v>
      </c>
      <c r="B105" t="s">
        <v>178</v>
      </c>
      <c r="C105" t="s">
        <v>178</v>
      </c>
      <c r="D105" t="s">
        <v>178</v>
      </c>
      <c r="E105" t="s">
        <v>178</v>
      </c>
      <c r="F105" t="s">
        <v>178</v>
      </c>
      <c r="G105" t="s">
        <v>178</v>
      </c>
      <c r="H105" s="84" t="s">
        <v>178</v>
      </c>
      <c r="I105" t="s">
        <v>178</v>
      </c>
    </row>
    <row r="106" spans="1:9">
      <c r="A106" t="s">
        <v>178</v>
      </c>
      <c r="B106" t="s">
        <v>178</v>
      </c>
      <c r="C106" t="s">
        <v>178</v>
      </c>
      <c r="D106" t="s">
        <v>178</v>
      </c>
      <c r="E106" t="s">
        <v>178</v>
      </c>
      <c r="F106" t="s">
        <v>178</v>
      </c>
      <c r="G106" t="s">
        <v>178</v>
      </c>
      <c r="H106" s="84" t="s">
        <v>178</v>
      </c>
      <c r="I106" t="s">
        <v>178</v>
      </c>
    </row>
    <row r="107" spans="1:9">
      <c r="A107" t="s">
        <v>433</v>
      </c>
      <c r="B107" t="s">
        <v>200</v>
      </c>
      <c r="C107">
        <v>46</v>
      </c>
      <c r="D107">
        <v>660</v>
      </c>
      <c r="E107">
        <v>6.9696969696969702E-2</v>
      </c>
      <c r="F107">
        <v>11.28</v>
      </c>
      <c r="G107">
        <v>90.790243902439016</v>
      </c>
      <c r="H107" s="84">
        <v>6.3278048780487808</v>
      </c>
      <c r="I107">
        <v>43</v>
      </c>
    </row>
    <row r="108" spans="1:9">
      <c r="A108" t="s">
        <v>178</v>
      </c>
      <c r="B108" t="s">
        <v>178</v>
      </c>
      <c r="C108" t="s">
        <v>178</v>
      </c>
      <c r="D108" t="s">
        <v>178</v>
      </c>
      <c r="E108" t="s">
        <v>178</v>
      </c>
      <c r="F108" t="s">
        <v>178</v>
      </c>
      <c r="G108" t="s">
        <v>178</v>
      </c>
      <c r="H108" s="84" t="s">
        <v>178</v>
      </c>
      <c r="I108" t="s">
        <v>178</v>
      </c>
    </row>
    <row r="109" spans="1:9">
      <c r="A109" t="s">
        <v>178</v>
      </c>
      <c r="B109" t="s">
        <v>178</v>
      </c>
      <c r="C109" t="s">
        <v>178</v>
      </c>
      <c r="D109" t="s">
        <v>178</v>
      </c>
      <c r="E109" t="s">
        <v>178</v>
      </c>
      <c r="F109" t="s">
        <v>178</v>
      </c>
      <c r="G109" t="s">
        <v>178</v>
      </c>
      <c r="H109" s="84" t="s">
        <v>178</v>
      </c>
      <c r="I109" t="s">
        <v>178</v>
      </c>
    </row>
    <row r="110" spans="1:9">
      <c r="A110" t="s">
        <v>436</v>
      </c>
      <c r="B110" t="s">
        <v>214</v>
      </c>
      <c r="C110">
        <v>46</v>
      </c>
      <c r="D110">
        <v>619</v>
      </c>
      <c r="E110">
        <v>7.4313408723747976E-2</v>
      </c>
      <c r="F110">
        <v>11.03</v>
      </c>
      <c r="G110">
        <v>83.263048780487807</v>
      </c>
      <c r="H110" s="84">
        <v>6.187560975609756</v>
      </c>
      <c r="I110">
        <v>51</v>
      </c>
    </row>
    <row r="111" spans="1:9">
      <c r="A111" t="s">
        <v>178</v>
      </c>
      <c r="B111" t="s">
        <v>178</v>
      </c>
      <c r="C111" t="s">
        <v>178</v>
      </c>
      <c r="D111" t="s">
        <v>178</v>
      </c>
      <c r="E111" t="s">
        <v>178</v>
      </c>
      <c r="F111" t="s">
        <v>178</v>
      </c>
      <c r="G111" t="s">
        <v>178</v>
      </c>
      <c r="H111" s="84" t="s">
        <v>178</v>
      </c>
      <c r="I111" t="s">
        <v>178</v>
      </c>
    </row>
    <row r="112" spans="1:9">
      <c r="A112" t="s">
        <v>438</v>
      </c>
      <c r="B112" t="s">
        <v>203</v>
      </c>
      <c r="C112">
        <v>46</v>
      </c>
      <c r="D112">
        <v>659</v>
      </c>
      <c r="E112">
        <v>6.9802731411229141E-2</v>
      </c>
      <c r="F112">
        <v>8.52</v>
      </c>
      <c r="G112">
        <v>68.471707317073168</v>
      </c>
      <c r="H112" s="84">
        <v>4.779512195121951</v>
      </c>
      <c r="I112">
        <v>79</v>
      </c>
    </row>
    <row r="113" spans="1:9">
      <c r="A113" t="s">
        <v>439</v>
      </c>
      <c r="B113" t="s">
        <v>200</v>
      </c>
      <c r="C113">
        <v>46</v>
      </c>
      <c r="D113">
        <v>660</v>
      </c>
      <c r="E113">
        <v>6.9696969696969702E-2</v>
      </c>
      <c r="F113">
        <v>11.28</v>
      </c>
      <c r="G113">
        <v>90.790243902439016</v>
      </c>
      <c r="H113" s="84">
        <v>6.3278048780487808</v>
      </c>
      <c r="I113">
        <v>43</v>
      </c>
    </row>
    <row r="114" spans="1:9">
      <c r="A114" t="s">
        <v>440</v>
      </c>
      <c r="B114" t="s">
        <v>203</v>
      </c>
      <c r="C114">
        <v>45</v>
      </c>
      <c r="D114">
        <v>659</v>
      </c>
      <c r="E114">
        <v>6.8285280728376321E-2</v>
      </c>
      <c r="F114">
        <v>8.52</v>
      </c>
      <c r="G114">
        <v>68.471707317073168</v>
      </c>
      <c r="H114" s="84">
        <v>4.6756097560975602</v>
      </c>
      <c r="I114">
        <v>84</v>
      </c>
    </row>
    <row r="115" spans="1:9">
      <c r="A115" t="s">
        <v>178</v>
      </c>
      <c r="B115" t="s">
        <v>178</v>
      </c>
      <c r="C115" t="s">
        <v>178</v>
      </c>
      <c r="D115" t="s">
        <v>178</v>
      </c>
      <c r="E115" t="s">
        <v>178</v>
      </c>
      <c r="F115" t="s">
        <v>178</v>
      </c>
      <c r="G115" t="s">
        <v>178</v>
      </c>
      <c r="H115" s="84" t="s">
        <v>178</v>
      </c>
      <c r="I115" t="s">
        <v>178</v>
      </c>
    </row>
    <row r="116" spans="1:9">
      <c r="A116" t="s">
        <v>442</v>
      </c>
      <c r="B116" t="s">
        <v>202</v>
      </c>
      <c r="C116">
        <v>45</v>
      </c>
      <c r="D116">
        <v>601</v>
      </c>
      <c r="E116">
        <v>7.4875207986688855E-2</v>
      </c>
      <c r="F116">
        <v>8.74</v>
      </c>
      <c r="G116">
        <v>64.057804878048785</v>
      </c>
      <c r="H116" s="84">
        <v>4.7963414634146346</v>
      </c>
      <c r="I116">
        <v>78</v>
      </c>
    </row>
    <row r="117" spans="1:9">
      <c r="A117" t="s">
        <v>178</v>
      </c>
      <c r="B117" t="s">
        <v>178</v>
      </c>
      <c r="C117" t="s">
        <v>178</v>
      </c>
      <c r="D117" t="s">
        <v>178</v>
      </c>
      <c r="E117" t="s">
        <v>178</v>
      </c>
      <c r="F117" t="s">
        <v>178</v>
      </c>
      <c r="G117" t="s">
        <v>178</v>
      </c>
      <c r="H117" s="84" t="s">
        <v>178</v>
      </c>
      <c r="I117" t="s">
        <v>178</v>
      </c>
    </row>
    <row r="118" spans="1:9">
      <c r="A118" t="s">
        <v>444</v>
      </c>
      <c r="B118" t="s">
        <v>210</v>
      </c>
      <c r="C118">
        <v>45</v>
      </c>
      <c r="D118">
        <v>594</v>
      </c>
      <c r="E118">
        <v>7.575757575757576E-2</v>
      </c>
      <c r="F118">
        <v>9.11</v>
      </c>
      <c r="G118">
        <v>65.991951219512188</v>
      </c>
      <c r="H118" s="84">
        <v>4.9993902439024387</v>
      </c>
      <c r="I118">
        <v>74</v>
      </c>
    </row>
    <row r="119" spans="1:9">
      <c r="A119" t="s">
        <v>445</v>
      </c>
      <c r="B119" t="s">
        <v>209</v>
      </c>
      <c r="C119">
        <v>44</v>
      </c>
      <c r="D119">
        <v>630</v>
      </c>
      <c r="E119">
        <v>6.9841269841269843E-2</v>
      </c>
      <c r="F119">
        <v>9.65</v>
      </c>
      <c r="G119">
        <v>74.140243902439025</v>
      </c>
      <c r="H119" s="84">
        <v>5.1780487804878046</v>
      </c>
      <c r="I119">
        <v>69</v>
      </c>
    </row>
    <row r="120" spans="1:9">
      <c r="A120" t="s">
        <v>446</v>
      </c>
      <c r="B120" t="s">
        <v>200</v>
      </c>
      <c r="C120">
        <v>44</v>
      </c>
      <c r="D120">
        <v>660</v>
      </c>
      <c r="E120">
        <v>6.6666666666666666E-2</v>
      </c>
      <c r="F120">
        <v>11.28</v>
      </c>
      <c r="G120">
        <v>90.790243902439016</v>
      </c>
      <c r="H120" s="84">
        <v>6.0526829268292675</v>
      </c>
      <c r="I120">
        <v>53</v>
      </c>
    </row>
    <row r="121" spans="1:9">
      <c r="A121" t="s">
        <v>447</v>
      </c>
      <c r="B121" t="s">
        <v>209</v>
      </c>
      <c r="C121">
        <v>44</v>
      </c>
      <c r="D121">
        <v>630</v>
      </c>
      <c r="E121">
        <v>6.9841269841269843E-2</v>
      </c>
      <c r="F121">
        <v>9.65</v>
      </c>
      <c r="G121">
        <v>74.140243902439025</v>
      </c>
      <c r="H121" s="84">
        <v>5.1780487804878046</v>
      </c>
      <c r="I121">
        <v>69</v>
      </c>
    </row>
    <row r="122" spans="1:9">
      <c r="A122" t="s">
        <v>178</v>
      </c>
      <c r="B122" t="s">
        <v>178</v>
      </c>
      <c r="C122" t="s">
        <v>178</v>
      </c>
      <c r="D122" t="s">
        <v>178</v>
      </c>
      <c r="E122" t="s">
        <v>178</v>
      </c>
      <c r="F122" t="s">
        <v>178</v>
      </c>
      <c r="G122" t="s">
        <v>178</v>
      </c>
      <c r="H122" s="84" t="s">
        <v>178</v>
      </c>
      <c r="I122" t="s">
        <v>178</v>
      </c>
    </row>
    <row r="123" spans="1:9">
      <c r="A123" t="s">
        <v>449</v>
      </c>
      <c r="B123" t="s">
        <v>200</v>
      </c>
      <c r="C123">
        <v>44</v>
      </c>
      <c r="D123">
        <v>660</v>
      </c>
      <c r="E123">
        <v>6.6666666666666666E-2</v>
      </c>
      <c r="F123">
        <v>11.28</v>
      </c>
      <c r="G123">
        <v>90.790243902439016</v>
      </c>
      <c r="H123" s="84">
        <v>6.0526829268292675</v>
      </c>
      <c r="I123">
        <v>53</v>
      </c>
    </row>
    <row r="124" spans="1:9">
      <c r="A124" t="s">
        <v>178</v>
      </c>
      <c r="B124" t="s">
        <v>178</v>
      </c>
      <c r="C124" t="s">
        <v>178</v>
      </c>
      <c r="D124" t="s">
        <v>178</v>
      </c>
      <c r="E124" t="s">
        <v>178</v>
      </c>
      <c r="F124" t="s">
        <v>178</v>
      </c>
      <c r="G124" t="s">
        <v>178</v>
      </c>
      <c r="H124" s="84" t="s">
        <v>178</v>
      </c>
      <c r="I124" t="s">
        <v>178</v>
      </c>
    </row>
    <row r="125" spans="1:9">
      <c r="A125" t="s">
        <v>178</v>
      </c>
      <c r="B125" t="s">
        <v>178</v>
      </c>
      <c r="C125" t="s">
        <v>178</v>
      </c>
      <c r="D125" t="s">
        <v>178</v>
      </c>
      <c r="E125" t="s">
        <v>178</v>
      </c>
      <c r="F125" t="s">
        <v>178</v>
      </c>
      <c r="G125" t="s">
        <v>178</v>
      </c>
      <c r="H125" s="84" t="s">
        <v>178</v>
      </c>
      <c r="I125" t="s">
        <v>178</v>
      </c>
    </row>
    <row r="126" spans="1:9">
      <c r="A126" t="s">
        <v>178</v>
      </c>
      <c r="B126" t="s">
        <v>178</v>
      </c>
      <c r="C126" t="s">
        <v>178</v>
      </c>
      <c r="D126" t="s">
        <v>178</v>
      </c>
      <c r="E126" t="s">
        <v>178</v>
      </c>
      <c r="F126" t="s">
        <v>178</v>
      </c>
      <c r="G126" t="s">
        <v>178</v>
      </c>
      <c r="H126" s="84" t="s">
        <v>178</v>
      </c>
      <c r="I126" t="s">
        <v>178</v>
      </c>
    </row>
    <row r="127" spans="1:9">
      <c r="A127" t="s">
        <v>178</v>
      </c>
      <c r="B127" t="s">
        <v>178</v>
      </c>
      <c r="C127" t="s">
        <v>178</v>
      </c>
      <c r="D127" t="s">
        <v>178</v>
      </c>
      <c r="E127" t="s">
        <v>178</v>
      </c>
      <c r="F127" t="s">
        <v>178</v>
      </c>
      <c r="G127" t="s">
        <v>178</v>
      </c>
      <c r="H127" s="84" t="s">
        <v>178</v>
      </c>
      <c r="I127" t="s">
        <v>178</v>
      </c>
    </row>
    <row r="128" spans="1:9">
      <c r="A128" t="s">
        <v>454</v>
      </c>
      <c r="B128" t="s">
        <v>196</v>
      </c>
      <c r="C128">
        <v>43</v>
      </c>
      <c r="D128">
        <v>656</v>
      </c>
      <c r="E128">
        <v>6.5548780487804881E-2</v>
      </c>
      <c r="F128">
        <v>14.22</v>
      </c>
      <c r="G128">
        <v>113.76</v>
      </c>
      <c r="H128" s="84">
        <v>7.456829268292684</v>
      </c>
      <c r="I128">
        <v>23</v>
      </c>
    </row>
    <row r="129" spans="1:9">
      <c r="A129" t="s">
        <v>178</v>
      </c>
      <c r="B129" t="s">
        <v>178</v>
      </c>
      <c r="C129" t="s">
        <v>178</v>
      </c>
      <c r="D129" t="s">
        <v>178</v>
      </c>
      <c r="E129" t="s">
        <v>178</v>
      </c>
      <c r="F129" t="s">
        <v>178</v>
      </c>
      <c r="G129" t="s">
        <v>178</v>
      </c>
      <c r="H129" s="84" t="s">
        <v>178</v>
      </c>
      <c r="I129" t="s">
        <v>178</v>
      </c>
    </row>
    <row r="130" spans="1:9">
      <c r="A130" t="s">
        <v>456</v>
      </c>
      <c r="B130" t="s">
        <v>210</v>
      </c>
      <c r="C130">
        <v>43</v>
      </c>
      <c r="D130">
        <v>594</v>
      </c>
      <c r="E130">
        <v>7.2390572390572394E-2</v>
      </c>
      <c r="F130">
        <v>9.11</v>
      </c>
      <c r="G130">
        <v>65.991951219512188</v>
      </c>
      <c r="H130" s="84">
        <v>4.7771951219512196</v>
      </c>
      <c r="I130">
        <v>80</v>
      </c>
    </row>
    <row r="131" spans="1:9">
      <c r="A131" t="s">
        <v>457</v>
      </c>
      <c r="B131" t="s">
        <v>202</v>
      </c>
      <c r="C131">
        <v>43</v>
      </c>
      <c r="D131">
        <v>601</v>
      </c>
      <c r="E131">
        <v>7.1547420965058242E-2</v>
      </c>
      <c r="F131">
        <v>8.74</v>
      </c>
      <c r="G131">
        <v>64.057804878048785</v>
      </c>
      <c r="H131" s="84">
        <v>4.5831707317073178</v>
      </c>
      <c r="I131">
        <v>88</v>
      </c>
    </row>
    <row r="132" spans="1:9">
      <c r="A132" t="s">
        <v>178</v>
      </c>
      <c r="B132" t="s">
        <v>178</v>
      </c>
      <c r="C132" t="s">
        <v>178</v>
      </c>
      <c r="D132" t="s">
        <v>178</v>
      </c>
      <c r="E132" t="s">
        <v>178</v>
      </c>
      <c r="F132" t="s">
        <v>178</v>
      </c>
      <c r="G132" t="s">
        <v>178</v>
      </c>
      <c r="H132" s="84" t="s">
        <v>178</v>
      </c>
      <c r="I132" t="s">
        <v>178</v>
      </c>
    </row>
    <row r="133" spans="1:9">
      <c r="A133" t="s">
        <v>178</v>
      </c>
      <c r="B133" t="s">
        <v>178</v>
      </c>
      <c r="C133" t="s">
        <v>178</v>
      </c>
      <c r="D133" t="s">
        <v>178</v>
      </c>
      <c r="E133" t="s">
        <v>178</v>
      </c>
      <c r="F133" t="s">
        <v>178</v>
      </c>
      <c r="G133" t="s">
        <v>178</v>
      </c>
      <c r="H133" s="84" t="s">
        <v>178</v>
      </c>
      <c r="I133" t="s">
        <v>178</v>
      </c>
    </row>
    <row r="134" spans="1:9">
      <c r="A134" t="s">
        <v>178</v>
      </c>
      <c r="B134" t="s">
        <v>178</v>
      </c>
      <c r="C134" t="s">
        <v>178</v>
      </c>
      <c r="D134" t="s">
        <v>178</v>
      </c>
      <c r="E134" t="s">
        <v>178</v>
      </c>
      <c r="F134" t="s">
        <v>178</v>
      </c>
      <c r="G134" t="s">
        <v>178</v>
      </c>
      <c r="H134" s="84" t="s">
        <v>178</v>
      </c>
      <c r="I134" t="s">
        <v>178</v>
      </c>
    </row>
    <row r="135" spans="1:9">
      <c r="A135" t="s">
        <v>178</v>
      </c>
      <c r="B135" t="s">
        <v>178</v>
      </c>
      <c r="C135" t="s">
        <v>178</v>
      </c>
      <c r="D135" t="s">
        <v>178</v>
      </c>
      <c r="E135" t="s">
        <v>178</v>
      </c>
      <c r="F135" t="s">
        <v>178</v>
      </c>
      <c r="G135" t="s">
        <v>178</v>
      </c>
      <c r="H135" s="84" t="s">
        <v>178</v>
      </c>
      <c r="I135" t="s">
        <v>178</v>
      </c>
    </row>
    <row r="136" spans="1:9">
      <c r="A136" t="s">
        <v>178</v>
      </c>
      <c r="B136" t="s">
        <v>178</v>
      </c>
      <c r="C136" t="s">
        <v>178</v>
      </c>
      <c r="D136" t="s">
        <v>178</v>
      </c>
      <c r="E136" t="s">
        <v>178</v>
      </c>
      <c r="F136" t="s">
        <v>178</v>
      </c>
      <c r="G136" t="s">
        <v>178</v>
      </c>
      <c r="H136" s="84" t="s">
        <v>178</v>
      </c>
      <c r="I136" t="s">
        <v>178</v>
      </c>
    </row>
    <row r="137" spans="1:9">
      <c r="A137" t="s">
        <v>178</v>
      </c>
      <c r="B137" t="s">
        <v>178</v>
      </c>
      <c r="C137" t="s">
        <v>178</v>
      </c>
      <c r="D137" t="s">
        <v>178</v>
      </c>
      <c r="E137" t="s">
        <v>178</v>
      </c>
      <c r="F137" t="s">
        <v>178</v>
      </c>
      <c r="G137" t="s">
        <v>178</v>
      </c>
      <c r="H137" s="84" t="s">
        <v>178</v>
      </c>
      <c r="I137" t="s">
        <v>178</v>
      </c>
    </row>
    <row r="138" spans="1:9">
      <c r="A138" t="s">
        <v>464</v>
      </c>
      <c r="B138" t="s">
        <v>196</v>
      </c>
      <c r="C138">
        <v>42</v>
      </c>
      <c r="D138">
        <v>656</v>
      </c>
      <c r="E138">
        <v>6.402439024390244E-2</v>
      </c>
      <c r="F138">
        <v>14.22</v>
      </c>
      <c r="G138">
        <v>113.76</v>
      </c>
      <c r="H138" s="84">
        <v>7.2834146341463422</v>
      </c>
      <c r="I138">
        <v>24</v>
      </c>
    </row>
    <row r="139" spans="1:9">
      <c r="A139" t="s">
        <v>465</v>
      </c>
      <c r="B139" t="s">
        <v>210</v>
      </c>
      <c r="C139">
        <v>42</v>
      </c>
      <c r="D139">
        <v>594</v>
      </c>
      <c r="E139">
        <v>7.0707070707070704E-2</v>
      </c>
      <c r="F139">
        <v>9.11</v>
      </c>
      <c r="G139">
        <v>65.991951219512188</v>
      </c>
      <c r="H139" s="84">
        <v>4.6660975609756088</v>
      </c>
      <c r="I139">
        <v>85</v>
      </c>
    </row>
    <row r="140" spans="1:9">
      <c r="A140" t="s">
        <v>178</v>
      </c>
      <c r="B140" t="s">
        <v>178</v>
      </c>
      <c r="C140" t="s">
        <v>178</v>
      </c>
      <c r="D140" t="s">
        <v>178</v>
      </c>
      <c r="E140" t="s">
        <v>178</v>
      </c>
      <c r="F140" t="s">
        <v>178</v>
      </c>
      <c r="G140" t="s">
        <v>178</v>
      </c>
      <c r="H140" s="84" t="s">
        <v>178</v>
      </c>
      <c r="I140" t="s">
        <v>178</v>
      </c>
    </row>
    <row r="141" spans="1:9">
      <c r="A141" t="s">
        <v>178</v>
      </c>
      <c r="B141" t="s">
        <v>178</v>
      </c>
      <c r="C141" t="s">
        <v>178</v>
      </c>
      <c r="D141" t="s">
        <v>178</v>
      </c>
      <c r="E141" t="s">
        <v>178</v>
      </c>
      <c r="F141" t="s">
        <v>178</v>
      </c>
      <c r="G141" t="s">
        <v>178</v>
      </c>
      <c r="H141" s="84" t="s">
        <v>178</v>
      </c>
      <c r="I141" t="s">
        <v>178</v>
      </c>
    </row>
    <row r="142" spans="1:9">
      <c r="A142" t="s">
        <v>468</v>
      </c>
      <c r="B142" t="s">
        <v>210</v>
      </c>
      <c r="C142">
        <v>41</v>
      </c>
      <c r="D142">
        <v>594</v>
      </c>
      <c r="E142">
        <v>6.9023569023569029E-2</v>
      </c>
      <c r="F142">
        <v>9.11</v>
      </c>
      <c r="G142">
        <v>65.991951219512188</v>
      </c>
      <c r="H142" s="84">
        <v>4.5549999999999997</v>
      </c>
      <c r="I142">
        <v>90</v>
      </c>
    </row>
    <row r="143" spans="1:9">
      <c r="A143" t="s">
        <v>469</v>
      </c>
      <c r="B143" t="s">
        <v>196</v>
      </c>
      <c r="C143">
        <v>41</v>
      </c>
      <c r="D143">
        <v>656</v>
      </c>
      <c r="E143">
        <v>6.25E-2</v>
      </c>
      <c r="F143">
        <v>14.22</v>
      </c>
      <c r="G143">
        <v>113.76</v>
      </c>
      <c r="H143" s="84">
        <v>7.11</v>
      </c>
      <c r="I143">
        <v>29</v>
      </c>
    </row>
    <row r="144" spans="1:9">
      <c r="A144" t="s">
        <v>178</v>
      </c>
      <c r="B144" t="s">
        <v>178</v>
      </c>
      <c r="C144" t="s">
        <v>178</v>
      </c>
      <c r="D144" t="s">
        <v>178</v>
      </c>
      <c r="E144" t="s">
        <v>178</v>
      </c>
      <c r="F144" t="s">
        <v>178</v>
      </c>
      <c r="G144" t="s">
        <v>178</v>
      </c>
      <c r="H144" s="84" t="s">
        <v>178</v>
      </c>
      <c r="I144" t="s">
        <v>178</v>
      </c>
    </row>
    <row r="145" spans="1:9">
      <c r="A145" t="s">
        <v>178</v>
      </c>
      <c r="B145" t="s">
        <v>178</v>
      </c>
      <c r="C145" t="s">
        <v>178</v>
      </c>
      <c r="D145" t="s">
        <v>178</v>
      </c>
      <c r="E145" t="s">
        <v>178</v>
      </c>
      <c r="F145" t="s">
        <v>178</v>
      </c>
      <c r="G145" t="s">
        <v>178</v>
      </c>
      <c r="H145" s="84" t="s">
        <v>178</v>
      </c>
      <c r="I145" t="s">
        <v>178</v>
      </c>
    </row>
    <row r="146" spans="1:9">
      <c r="A146" t="s">
        <v>472</v>
      </c>
      <c r="B146" t="s">
        <v>196</v>
      </c>
      <c r="C146">
        <v>41</v>
      </c>
      <c r="D146">
        <v>656</v>
      </c>
      <c r="E146">
        <v>6.25E-2</v>
      </c>
      <c r="F146">
        <v>14.22</v>
      </c>
      <c r="G146">
        <v>113.76</v>
      </c>
      <c r="H146" s="84">
        <v>7.11</v>
      </c>
      <c r="I146">
        <v>29</v>
      </c>
    </row>
    <row r="147" spans="1:9">
      <c r="A147" t="s">
        <v>178</v>
      </c>
      <c r="B147" t="s">
        <v>178</v>
      </c>
      <c r="C147" t="s">
        <v>178</v>
      </c>
      <c r="D147" t="s">
        <v>178</v>
      </c>
      <c r="E147" t="s">
        <v>178</v>
      </c>
      <c r="F147" t="s">
        <v>178</v>
      </c>
      <c r="G147" t="s">
        <v>178</v>
      </c>
      <c r="H147" s="84" t="s">
        <v>178</v>
      </c>
      <c r="I147" t="s">
        <v>178</v>
      </c>
    </row>
    <row r="148" spans="1:9">
      <c r="A148" t="s">
        <v>474</v>
      </c>
      <c r="B148" t="s">
        <v>198</v>
      </c>
      <c r="C148">
        <v>41</v>
      </c>
      <c r="D148">
        <v>600</v>
      </c>
      <c r="E148">
        <v>6.8333333333333329E-2</v>
      </c>
      <c r="F148">
        <v>9.52</v>
      </c>
      <c r="G148">
        <v>69.658536585365852</v>
      </c>
      <c r="H148" s="84">
        <v>4.76</v>
      </c>
      <c r="I148">
        <v>81</v>
      </c>
    </row>
    <row r="149" spans="1:9">
      <c r="A149" t="s">
        <v>178</v>
      </c>
      <c r="B149" t="s">
        <v>178</v>
      </c>
      <c r="C149" t="s">
        <v>178</v>
      </c>
      <c r="D149" t="s">
        <v>178</v>
      </c>
      <c r="E149" t="s">
        <v>178</v>
      </c>
      <c r="F149" t="s">
        <v>178</v>
      </c>
      <c r="G149" t="s">
        <v>178</v>
      </c>
      <c r="H149" s="84" t="s">
        <v>178</v>
      </c>
      <c r="I149" t="s">
        <v>178</v>
      </c>
    </row>
    <row r="150" spans="1:9">
      <c r="A150" t="s">
        <v>178</v>
      </c>
      <c r="B150" t="s">
        <v>178</v>
      </c>
      <c r="C150" t="s">
        <v>178</v>
      </c>
      <c r="D150" t="s">
        <v>178</v>
      </c>
      <c r="E150" t="s">
        <v>178</v>
      </c>
      <c r="F150" t="s">
        <v>178</v>
      </c>
      <c r="G150" t="s">
        <v>178</v>
      </c>
      <c r="H150" s="84" t="s">
        <v>178</v>
      </c>
      <c r="I150" t="s">
        <v>178</v>
      </c>
    </row>
    <row r="151" spans="1:9">
      <c r="A151" t="s">
        <v>178</v>
      </c>
      <c r="B151" t="s">
        <v>178</v>
      </c>
      <c r="C151" t="s">
        <v>178</v>
      </c>
      <c r="D151" t="s">
        <v>178</v>
      </c>
      <c r="E151" t="s">
        <v>178</v>
      </c>
      <c r="F151" t="s">
        <v>178</v>
      </c>
      <c r="G151" t="s">
        <v>178</v>
      </c>
      <c r="H151" s="84" t="s">
        <v>178</v>
      </c>
      <c r="I151" t="s">
        <v>178</v>
      </c>
    </row>
    <row r="152" spans="1:9">
      <c r="A152" t="s">
        <v>478</v>
      </c>
      <c r="B152" t="s">
        <v>198</v>
      </c>
      <c r="C152">
        <v>40</v>
      </c>
      <c r="D152">
        <v>600</v>
      </c>
      <c r="E152">
        <v>6.6666666666666666E-2</v>
      </c>
      <c r="F152">
        <v>9.52</v>
      </c>
      <c r="G152">
        <v>69.658536585365852</v>
      </c>
      <c r="H152" s="84">
        <v>4.6439024390243899</v>
      </c>
      <c r="I152">
        <v>86</v>
      </c>
    </row>
    <row r="153" spans="1:9">
      <c r="A153" t="s">
        <v>178</v>
      </c>
      <c r="B153" t="s">
        <v>178</v>
      </c>
      <c r="C153" t="s">
        <v>178</v>
      </c>
      <c r="D153" t="s">
        <v>178</v>
      </c>
      <c r="E153" t="s">
        <v>178</v>
      </c>
      <c r="F153" t="s">
        <v>178</v>
      </c>
      <c r="G153" t="s">
        <v>178</v>
      </c>
      <c r="H153" s="84" t="s">
        <v>178</v>
      </c>
      <c r="I153" t="s">
        <v>178</v>
      </c>
    </row>
    <row r="154" spans="1:9">
      <c r="A154" t="s">
        <v>178</v>
      </c>
      <c r="B154" t="s">
        <v>178</v>
      </c>
      <c r="C154" t="s">
        <v>178</v>
      </c>
      <c r="D154" t="s">
        <v>178</v>
      </c>
      <c r="E154" t="s">
        <v>178</v>
      </c>
      <c r="F154" t="s">
        <v>178</v>
      </c>
      <c r="G154" t="s">
        <v>178</v>
      </c>
      <c r="H154" s="84" t="s">
        <v>178</v>
      </c>
      <c r="I154" t="s">
        <v>178</v>
      </c>
    </row>
    <row r="155" spans="1:9">
      <c r="A155" t="s">
        <v>178</v>
      </c>
      <c r="B155" t="s">
        <v>178</v>
      </c>
      <c r="C155" t="s">
        <v>178</v>
      </c>
      <c r="D155" t="s">
        <v>178</v>
      </c>
      <c r="E155" t="s">
        <v>178</v>
      </c>
      <c r="F155" t="s">
        <v>178</v>
      </c>
      <c r="G155" t="s">
        <v>178</v>
      </c>
      <c r="H155" s="84" t="s">
        <v>178</v>
      </c>
      <c r="I155" t="s">
        <v>178</v>
      </c>
    </row>
    <row r="156" spans="1:9">
      <c r="A156" t="s">
        <v>178</v>
      </c>
      <c r="B156" t="s">
        <v>178</v>
      </c>
      <c r="C156" t="s">
        <v>178</v>
      </c>
      <c r="D156" t="s">
        <v>178</v>
      </c>
      <c r="E156" t="s">
        <v>178</v>
      </c>
      <c r="F156" t="s">
        <v>178</v>
      </c>
      <c r="G156" t="s">
        <v>178</v>
      </c>
      <c r="H156" s="84" t="s">
        <v>178</v>
      </c>
      <c r="I156" t="s">
        <v>178</v>
      </c>
    </row>
    <row r="157" spans="1:9">
      <c r="A157" t="s">
        <v>178</v>
      </c>
      <c r="B157" t="s">
        <v>178</v>
      </c>
      <c r="C157" t="s">
        <v>178</v>
      </c>
      <c r="D157" t="s">
        <v>178</v>
      </c>
      <c r="E157" t="s">
        <v>178</v>
      </c>
      <c r="F157" t="s">
        <v>178</v>
      </c>
      <c r="G157" t="s">
        <v>178</v>
      </c>
      <c r="H157" s="84" t="s">
        <v>178</v>
      </c>
      <c r="I157" t="s">
        <v>178</v>
      </c>
    </row>
    <row r="158" spans="1:9">
      <c r="A158" t="s">
        <v>178</v>
      </c>
      <c r="B158" t="s">
        <v>178</v>
      </c>
      <c r="C158" t="s">
        <v>178</v>
      </c>
      <c r="D158" t="s">
        <v>178</v>
      </c>
      <c r="E158" t="s">
        <v>178</v>
      </c>
      <c r="F158" t="s">
        <v>178</v>
      </c>
      <c r="G158" t="s">
        <v>178</v>
      </c>
      <c r="H158" s="84" t="s">
        <v>178</v>
      </c>
      <c r="I158" t="s">
        <v>178</v>
      </c>
    </row>
    <row r="159" spans="1:9">
      <c r="A159" t="s">
        <v>485</v>
      </c>
      <c r="B159" t="s">
        <v>212</v>
      </c>
      <c r="C159">
        <v>39</v>
      </c>
      <c r="D159">
        <v>608</v>
      </c>
      <c r="E159">
        <v>6.4144736842105268E-2</v>
      </c>
      <c r="F159">
        <v>11.03</v>
      </c>
      <c r="G159">
        <v>81.783414634146339</v>
      </c>
      <c r="H159" s="84">
        <v>5.2459756097560977</v>
      </c>
      <c r="I159">
        <v>68</v>
      </c>
    </row>
    <row r="160" spans="1:9">
      <c r="A160" t="s">
        <v>486</v>
      </c>
      <c r="B160" t="s">
        <v>206</v>
      </c>
      <c r="C160">
        <v>39</v>
      </c>
      <c r="D160">
        <v>642</v>
      </c>
      <c r="E160">
        <v>6.0747663551401869E-2</v>
      </c>
      <c r="F160">
        <v>9.99</v>
      </c>
      <c r="G160">
        <v>78.214390243902443</v>
      </c>
      <c r="H160" s="84">
        <v>4.7513414634146347</v>
      </c>
      <c r="I160">
        <v>82</v>
      </c>
    </row>
    <row r="161" spans="1:9">
      <c r="A161" t="s">
        <v>178</v>
      </c>
      <c r="B161" t="s">
        <v>178</v>
      </c>
      <c r="C161" t="s">
        <v>178</v>
      </c>
      <c r="D161" t="s">
        <v>178</v>
      </c>
      <c r="E161" t="s">
        <v>178</v>
      </c>
      <c r="F161" t="s">
        <v>178</v>
      </c>
      <c r="G161" t="s">
        <v>178</v>
      </c>
      <c r="H161" s="84" t="s">
        <v>178</v>
      </c>
      <c r="I161" t="s">
        <v>178</v>
      </c>
    </row>
    <row r="162" spans="1:9">
      <c r="A162" t="s">
        <v>488</v>
      </c>
      <c r="B162" t="s">
        <v>209</v>
      </c>
      <c r="C162">
        <v>39</v>
      </c>
      <c r="D162">
        <v>630</v>
      </c>
      <c r="E162">
        <v>6.1904761904761907E-2</v>
      </c>
      <c r="F162">
        <v>9.65</v>
      </c>
      <c r="G162">
        <v>74.140243902439025</v>
      </c>
      <c r="H162" s="84">
        <v>4.5896341463414636</v>
      </c>
      <c r="I162">
        <v>87</v>
      </c>
    </row>
    <row r="163" spans="1:9">
      <c r="A163" t="s">
        <v>489</v>
      </c>
      <c r="B163" t="s">
        <v>205</v>
      </c>
      <c r="C163">
        <v>39</v>
      </c>
      <c r="D163">
        <v>613</v>
      </c>
      <c r="E163">
        <v>6.3621533442088096E-2</v>
      </c>
      <c r="F163">
        <v>15.26</v>
      </c>
      <c r="G163">
        <v>114.07780487804878</v>
      </c>
      <c r="H163" s="84">
        <v>7.2578048780487814</v>
      </c>
      <c r="I163">
        <v>27</v>
      </c>
    </row>
    <row r="164" spans="1:9">
      <c r="A164" t="s">
        <v>178</v>
      </c>
      <c r="B164" t="s">
        <v>178</v>
      </c>
      <c r="C164" t="s">
        <v>178</v>
      </c>
      <c r="D164" t="s">
        <v>178</v>
      </c>
      <c r="E164" t="s">
        <v>178</v>
      </c>
      <c r="F164" t="s">
        <v>178</v>
      </c>
      <c r="G164" t="s">
        <v>178</v>
      </c>
      <c r="H164" s="84" t="s">
        <v>178</v>
      </c>
      <c r="I164" t="s">
        <v>178</v>
      </c>
    </row>
    <row r="165" spans="1:9">
      <c r="A165" t="s">
        <v>178</v>
      </c>
      <c r="B165" t="s">
        <v>178</v>
      </c>
      <c r="C165" t="s">
        <v>178</v>
      </c>
      <c r="D165" t="s">
        <v>178</v>
      </c>
      <c r="E165" t="s">
        <v>178</v>
      </c>
      <c r="F165" t="s">
        <v>178</v>
      </c>
      <c r="G165" t="s">
        <v>178</v>
      </c>
      <c r="H165" s="84" t="s">
        <v>178</v>
      </c>
      <c r="I165" t="s">
        <v>178</v>
      </c>
    </row>
    <row r="166" spans="1:9">
      <c r="A166" t="s">
        <v>492</v>
      </c>
      <c r="B166" t="s">
        <v>202</v>
      </c>
      <c r="C166">
        <v>38</v>
      </c>
      <c r="D166">
        <v>601</v>
      </c>
      <c r="E166">
        <v>6.3227953410981697E-2</v>
      </c>
      <c r="F166">
        <v>8.74</v>
      </c>
      <c r="G166">
        <v>64.057804878048785</v>
      </c>
      <c r="H166" s="84">
        <v>4.0502439024390249</v>
      </c>
      <c r="I166">
        <v>97</v>
      </c>
    </row>
    <row r="167" spans="1:9">
      <c r="A167" t="s">
        <v>178</v>
      </c>
      <c r="B167" t="s">
        <v>178</v>
      </c>
      <c r="C167" t="s">
        <v>178</v>
      </c>
      <c r="D167" t="s">
        <v>178</v>
      </c>
      <c r="E167" t="s">
        <v>178</v>
      </c>
      <c r="F167" t="s">
        <v>178</v>
      </c>
      <c r="G167" t="s">
        <v>178</v>
      </c>
      <c r="H167" s="84" t="s">
        <v>178</v>
      </c>
      <c r="I167" t="s">
        <v>178</v>
      </c>
    </row>
    <row r="168" spans="1:9">
      <c r="A168" t="s">
        <v>178</v>
      </c>
      <c r="B168" t="s">
        <v>178</v>
      </c>
      <c r="C168" t="s">
        <v>178</v>
      </c>
      <c r="D168" t="s">
        <v>178</v>
      </c>
      <c r="E168" t="s">
        <v>178</v>
      </c>
      <c r="F168" t="s">
        <v>178</v>
      </c>
      <c r="G168" t="s">
        <v>178</v>
      </c>
      <c r="H168" s="84" t="s">
        <v>178</v>
      </c>
      <c r="I168" t="s">
        <v>178</v>
      </c>
    </row>
    <row r="169" spans="1:9">
      <c r="A169" t="s">
        <v>178</v>
      </c>
      <c r="B169" t="s">
        <v>178</v>
      </c>
      <c r="C169" t="s">
        <v>178</v>
      </c>
      <c r="D169" t="s">
        <v>178</v>
      </c>
      <c r="E169" t="s">
        <v>178</v>
      </c>
      <c r="F169" t="s">
        <v>178</v>
      </c>
      <c r="G169" t="s">
        <v>178</v>
      </c>
      <c r="H169" s="84" t="s">
        <v>178</v>
      </c>
      <c r="I169" t="s">
        <v>178</v>
      </c>
    </row>
    <row r="170" spans="1:9">
      <c r="A170" t="s">
        <v>496</v>
      </c>
      <c r="B170" t="s">
        <v>212</v>
      </c>
      <c r="C170">
        <v>38</v>
      </c>
      <c r="D170">
        <v>608</v>
      </c>
      <c r="E170">
        <v>6.25E-2</v>
      </c>
      <c r="F170">
        <v>11.03</v>
      </c>
      <c r="G170">
        <v>81.783414634146339</v>
      </c>
      <c r="H170" s="84">
        <v>5.1114634146341462</v>
      </c>
      <c r="I170">
        <v>71</v>
      </c>
    </row>
    <row r="171" spans="1:9">
      <c r="A171" t="s">
        <v>178</v>
      </c>
      <c r="B171" t="s">
        <v>178</v>
      </c>
      <c r="C171" t="s">
        <v>178</v>
      </c>
      <c r="D171" t="s">
        <v>178</v>
      </c>
      <c r="E171" t="s">
        <v>178</v>
      </c>
      <c r="F171" t="s">
        <v>178</v>
      </c>
      <c r="G171" t="s">
        <v>178</v>
      </c>
      <c r="H171" s="84" t="s">
        <v>178</v>
      </c>
      <c r="I171" t="s">
        <v>178</v>
      </c>
    </row>
    <row r="172" spans="1:9">
      <c r="A172" t="s">
        <v>178</v>
      </c>
      <c r="B172" t="s">
        <v>178</v>
      </c>
      <c r="C172" t="s">
        <v>178</v>
      </c>
      <c r="D172" t="s">
        <v>178</v>
      </c>
      <c r="E172" t="s">
        <v>178</v>
      </c>
      <c r="F172" t="s">
        <v>178</v>
      </c>
      <c r="G172" t="s">
        <v>178</v>
      </c>
      <c r="H172" s="84" t="s">
        <v>178</v>
      </c>
      <c r="I172" t="s">
        <v>178</v>
      </c>
    </row>
    <row r="173" spans="1:9">
      <c r="A173" t="s">
        <v>178</v>
      </c>
      <c r="B173" t="s">
        <v>178</v>
      </c>
      <c r="C173" t="s">
        <v>178</v>
      </c>
      <c r="D173" t="s">
        <v>178</v>
      </c>
      <c r="E173" t="s">
        <v>178</v>
      </c>
      <c r="F173" t="s">
        <v>178</v>
      </c>
      <c r="G173" t="s">
        <v>178</v>
      </c>
      <c r="H173" s="84" t="s">
        <v>178</v>
      </c>
      <c r="I173" t="s">
        <v>178</v>
      </c>
    </row>
    <row r="174" spans="1:9">
      <c r="A174" t="s">
        <v>500</v>
      </c>
      <c r="B174" t="s">
        <v>202</v>
      </c>
      <c r="C174">
        <v>37</v>
      </c>
      <c r="D174">
        <v>601</v>
      </c>
      <c r="E174">
        <v>6.156405990016639E-2</v>
      </c>
      <c r="F174">
        <v>8.74</v>
      </c>
      <c r="G174">
        <v>64.057804878048785</v>
      </c>
      <c r="H174" s="84">
        <v>3.943658536585366</v>
      </c>
      <c r="I174">
        <v>102</v>
      </c>
    </row>
    <row r="175" spans="1:9">
      <c r="A175" t="s">
        <v>501</v>
      </c>
      <c r="B175" t="s">
        <v>196</v>
      </c>
      <c r="C175">
        <v>37</v>
      </c>
      <c r="D175">
        <v>656</v>
      </c>
      <c r="E175">
        <v>5.6402439024390245E-2</v>
      </c>
      <c r="F175">
        <v>14.22</v>
      </c>
      <c r="G175">
        <v>113.76</v>
      </c>
      <c r="H175" s="84">
        <v>6.4163414634146347</v>
      </c>
      <c r="I175">
        <v>41</v>
      </c>
    </row>
    <row r="176" spans="1:9">
      <c r="A176" t="s">
        <v>178</v>
      </c>
      <c r="B176" t="s">
        <v>178</v>
      </c>
      <c r="C176" t="s">
        <v>178</v>
      </c>
      <c r="D176" t="s">
        <v>178</v>
      </c>
      <c r="E176" t="s">
        <v>178</v>
      </c>
      <c r="F176" t="s">
        <v>178</v>
      </c>
      <c r="G176" t="s">
        <v>178</v>
      </c>
      <c r="H176" s="84" t="s">
        <v>178</v>
      </c>
      <c r="I176" t="s">
        <v>178</v>
      </c>
    </row>
    <row r="177" spans="1:9">
      <c r="A177" t="s">
        <v>503</v>
      </c>
      <c r="B177" t="s">
        <v>205</v>
      </c>
      <c r="C177">
        <v>37</v>
      </c>
      <c r="D177">
        <v>613</v>
      </c>
      <c r="E177">
        <v>6.0358890701468187E-2</v>
      </c>
      <c r="F177">
        <v>15.26</v>
      </c>
      <c r="G177">
        <v>114.07780487804878</v>
      </c>
      <c r="H177" s="84">
        <v>6.8856097560975611</v>
      </c>
      <c r="I177">
        <v>34</v>
      </c>
    </row>
    <row r="178" spans="1:9">
      <c r="A178" t="s">
        <v>178</v>
      </c>
      <c r="B178" t="s">
        <v>178</v>
      </c>
      <c r="C178" t="s">
        <v>178</v>
      </c>
      <c r="D178" t="s">
        <v>178</v>
      </c>
      <c r="E178" t="s">
        <v>178</v>
      </c>
      <c r="F178" t="s">
        <v>178</v>
      </c>
      <c r="G178" t="s">
        <v>178</v>
      </c>
      <c r="H178" s="84" t="s">
        <v>178</v>
      </c>
      <c r="I178" t="s">
        <v>178</v>
      </c>
    </row>
    <row r="179" spans="1:9">
      <c r="A179" t="s">
        <v>505</v>
      </c>
      <c r="B179" t="s">
        <v>212</v>
      </c>
      <c r="C179">
        <v>37</v>
      </c>
      <c r="D179">
        <v>608</v>
      </c>
      <c r="E179">
        <v>6.0855263157894739E-2</v>
      </c>
      <c r="F179">
        <v>11.03</v>
      </c>
      <c r="G179">
        <v>81.783414634146339</v>
      </c>
      <c r="H179" s="84">
        <v>4.9769512195121948</v>
      </c>
      <c r="I179">
        <v>75</v>
      </c>
    </row>
    <row r="180" spans="1:9">
      <c r="A180" t="s">
        <v>178</v>
      </c>
      <c r="B180" t="s">
        <v>178</v>
      </c>
      <c r="C180" t="s">
        <v>178</v>
      </c>
      <c r="D180" t="s">
        <v>178</v>
      </c>
      <c r="E180" t="s">
        <v>178</v>
      </c>
      <c r="F180" t="s">
        <v>178</v>
      </c>
      <c r="G180" t="s">
        <v>178</v>
      </c>
      <c r="H180" s="84" t="s">
        <v>178</v>
      </c>
      <c r="I180" t="s">
        <v>178</v>
      </c>
    </row>
    <row r="181" spans="1:9">
      <c r="A181" t="s">
        <v>178</v>
      </c>
      <c r="B181" t="s">
        <v>178</v>
      </c>
      <c r="C181" t="s">
        <v>178</v>
      </c>
      <c r="D181" t="s">
        <v>178</v>
      </c>
      <c r="E181" t="s">
        <v>178</v>
      </c>
      <c r="F181" t="s">
        <v>178</v>
      </c>
      <c r="G181" t="s">
        <v>178</v>
      </c>
      <c r="H181" s="84" t="s">
        <v>178</v>
      </c>
      <c r="I181" t="s">
        <v>178</v>
      </c>
    </row>
    <row r="182" spans="1:9">
      <c r="A182" t="s">
        <v>178</v>
      </c>
      <c r="B182" t="s">
        <v>178</v>
      </c>
      <c r="C182" t="s">
        <v>178</v>
      </c>
      <c r="D182" t="s">
        <v>178</v>
      </c>
      <c r="E182" t="s">
        <v>178</v>
      </c>
      <c r="F182" t="s">
        <v>178</v>
      </c>
      <c r="G182" t="s">
        <v>178</v>
      </c>
      <c r="H182" s="84" t="s">
        <v>178</v>
      </c>
      <c r="I182" t="s">
        <v>178</v>
      </c>
    </row>
    <row r="183" spans="1:9">
      <c r="A183" t="s">
        <v>509</v>
      </c>
      <c r="B183" t="s">
        <v>206</v>
      </c>
      <c r="C183">
        <v>36</v>
      </c>
      <c r="D183">
        <v>642</v>
      </c>
      <c r="E183">
        <v>5.6074766355140186E-2</v>
      </c>
      <c r="F183">
        <v>9.99</v>
      </c>
      <c r="G183">
        <v>78.214390243902443</v>
      </c>
      <c r="H183" s="84">
        <v>4.3858536585365853</v>
      </c>
      <c r="I183">
        <v>91</v>
      </c>
    </row>
    <row r="184" spans="1:9">
      <c r="A184" t="s">
        <v>510</v>
      </c>
      <c r="B184" t="s">
        <v>209</v>
      </c>
      <c r="C184">
        <v>36</v>
      </c>
      <c r="D184">
        <v>630</v>
      </c>
      <c r="E184">
        <v>5.7142857142857141E-2</v>
      </c>
      <c r="F184">
        <v>9.65</v>
      </c>
      <c r="G184">
        <v>74.140243902439025</v>
      </c>
      <c r="H184" s="84">
        <v>4.2365853658536583</v>
      </c>
      <c r="I184">
        <v>95</v>
      </c>
    </row>
    <row r="185" spans="1:9">
      <c r="A185" t="s">
        <v>178</v>
      </c>
      <c r="B185" t="s">
        <v>178</v>
      </c>
      <c r="C185" t="s">
        <v>178</v>
      </c>
      <c r="D185" t="s">
        <v>178</v>
      </c>
      <c r="E185" t="s">
        <v>178</v>
      </c>
      <c r="F185" t="s">
        <v>178</v>
      </c>
      <c r="G185" t="s">
        <v>178</v>
      </c>
      <c r="H185" s="84" t="s">
        <v>178</v>
      </c>
      <c r="I185" t="s">
        <v>178</v>
      </c>
    </row>
    <row r="186" spans="1:9">
      <c r="A186" t="s">
        <v>512</v>
      </c>
      <c r="B186" t="s">
        <v>212</v>
      </c>
      <c r="C186">
        <v>36</v>
      </c>
      <c r="D186">
        <v>608</v>
      </c>
      <c r="E186">
        <v>5.921052631578947E-2</v>
      </c>
      <c r="F186">
        <v>11.03</v>
      </c>
      <c r="G186">
        <v>81.783414634146339</v>
      </c>
      <c r="H186" s="84">
        <v>4.8424390243902433</v>
      </c>
      <c r="I186">
        <v>77</v>
      </c>
    </row>
    <row r="187" spans="1:9">
      <c r="A187" t="s">
        <v>178</v>
      </c>
      <c r="B187" t="s">
        <v>178</v>
      </c>
      <c r="C187" t="s">
        <v>178</v>
      </c>
      <c r="D187" t="s">
        <v>178</v>
      </c>
      <c r="E187" t="s">
        <v>178</v>
      </c>
      <c r="F187" t="s">
        <v>178</v>
      </c>
      <c r="G187" t="s">
        <v>178</v>
      </c>
      <c r="H187" s="84" t="s">
        <v>178</v>
      </c>
      <c r="I187" t="s">
        <v>178</v>
      </c>
    </row>
    <row r="188" spans="1:9">
      <c r="A188" t="s">
        <v>178</v>
      </c>
      <c r="B188" t="s">
        <v>178</v>
      </c>
      <c r="C188" t="s">
        <v>178</v>
      </c>
      <c r="D188" t="s">
        <v>178</v>
      </c>
      <c r="E188" t="s">
        <v>178</v>
      </c>
      <c r="F188" t="s">
        <v>178</v>
      </c>
      <c r="G188" t="s">
        <v>178</v>
      </c>
      <c r="H188" s="84" t="s">
        <v>178</v>
      </c>
      <c r="I188" t="s">
        <v>178</v>
      </c>
    </row>
    <row r="189" spans="1:9">
      <c r="A189" t="s">
        <v>515</v>
      </c>
      <c r="B189" t="s">
        <v>214</v>
      </c>
      <c r="C189">
        <v>36</v>
      </c>
      <c r="D189">
        <v>619</v>
      </c>
      <c r="E189">
        <v>5.8158319870759291E-2</v>
      </c>
      <c r="F189">
        <v>11.03</v>
      </c>
      <c r="G189">
        <v>83.263048780487807</v>
      </c>
      <c r="H189" s="84">
        <v>4.8424390243902442</v>
      </c>
      <c r="I189">
        <v>76</v>
      </c>
    </row>
    <row r="190" spans="1:9">
      <c r="A190" t="s">
        <v>178</v>
      </c>
      <c r="B190" t="s">
        <v>178</v>
      </c>
      <c r="C190" t="s">
        <v>178</v>
      </c>
      <c r="D190" t="s">
        <v>178</v>
      </c>
      <c r="E190" t="s">
        <v>178</v>
      </c>
      <c r="F190" t="s">
        <v>178</v>
      </c>
      <c r="G190" t="s">
        <v>178</v>
      </c>
      <c r="H190" s="84" t="s">
        <v>178</v>
      </c>
      <c r="I190" t="s">
        <v>178</v>
      </c>
    </row>
    <row r="191" spans="1:9">
      <c r="A191" t="s">
        <v>178</v>
      </c>
      <c r="B191" t="s">
        <v>178</v>
      </c>
      <c r="C191" t="s">
        <v>178</v>
      </c>
      <c r="D191" t="s">
        <v>178</v>
      </c>
      <c r="E191" t="s">
        <v>178</v>
      </c>
      <c r="F191" t="s">
        <v>178</v>
      </c>
      <c r="G191" t="s">
        <v>178</v>
      </c>
      <c r="H191" s="84" t="s">
        <v>178</v>
      </c>
      <c r="I191" t="s">
        <v>178</v>
      </c>
    </row>
    <row r="192" spans="1:9">
      <c r="A192" t="s">
        <v>178</v>
      </c>
      <c r="B192" t="s">
        <v>178</v>
      </c>
      <c r="C192" t="s">
        <v>178</v>
      </c>
      <c r="D192" t="s">
        <v>178</v>
      </c>
      <c r="E192" t="s">
        <v>178</v>
      </c>
      <c r="F192" t="s">
        <v>178</v>
      </c>
      <c r="G192" t="s">
        <v>178</v>
      </c>
      <c r="H192" s="84" t="s">
        <v>178</v>
      </c>
      <c r="I192" t="s">
        <v>178</v>
      </c>
    </row>
    <row r="193" spans="1:9">
      <c r="A193" t="s">
        <v>178</v>
      </c>
      <c r="B193" t="s">
        <v>178</v>
      </c>
      <c r="C193" t="s">
        <v>178</v>
      </c>
      <c r="D193" t="s">
        <v>178</v>
      </c>
      <c r="E193" t="s">
        <v>178</v>
      </c>
      <c r="F193" t="s">
        <v>178</v>
      </c>
      <c r="G193" t="s">
        <v>178</v>
      </c>
      <c r="H193" s="84" t="s">
        <v>178</v>
      </c>
      <c r="I193" t="s">
        <v>178</v>
      </c>
    </row>
    <row r="194" spans="1:9">
      <c r="A194" t="s">
        <v>520</v>
      </c>
      <c r="B194" t="s">
        <v>196</v>
      </c>
      <c r="C194">
        <v>35</v>
      </c>
      <c r="D194">
        <v>656</v>
      </c>
      <c r="E194">
        <v>5.3353658536585365E-2</v>
      </c>
      <c r="F194">
        <v>14.22</v>
      </c>
      <c r="G194">
        <v>113.76</v>
      </c>
      <c r="H194" s="84">
        <v>6.0695121951219511</v>
      </c>
      <c r="I194">
        <v>52</v>
      </c>
    </row>
    <row r="195" spans="1:9">
      <c r="A195" t="s">
        <v>521</v>
      </c>
      <c r="B195" t="s">
        <v>212</v>
      </c>
      <c r="C195">
        <v>35</v>
      </c>
      <c r="D195">
        <v>608</v>
      </c>
      <c r="E195">
        <v>5.7565789473684209E-2</v>
      </c>
      <c r="F195">
        <v>11.03</v>
      </c>
      <c r="G195">
        <v>81.783414634146339</v>
      </c>
      <c r="H195" s="84">
        <v>4.7079268292682928</v>
      </c>
      <c r="I195">
        <v>83</v>
      </c>
    </row>
    <row r="196" spans="1:9">
      <c r="A196" t="s">
        <v>522</v>
      </c>
      <c r="B196" t="s">
        <v>203</v>
      </c>
      <c r="C196">
        <v>35</v>
      </c>
      <c r="D196">
        <v>659</v>
      </c>
      <c r="E196">
        <v>5.3110773899848251E-2</v>
      </c>
      <c r="F196">
        <v>8.52</v>
      </c>
      <c r="G196">
        <v>68.471707317073168</v>
      </c>
      <c r="H196" s="84">
        <v>3.6365853658536582</v>
      </c>
      <c r="I196">
        <v>109</v>
      </c>
    </row>
    <row r="197" spans="1:9">
      <c r="A197" t="s">
        <v>178</v>
      </c>
      <c r="B197" t="s">
        <v>178</v>
      </c>
      <c r="C197" t="s">
        <v>178</v>
      </c>
      <c r="D197" t="s">
        <v>178</v>
      </c>
      <c r="E197" t="s">
        <v>178</v>
      </c>
      <c r="F197" t="s">
        <v>178</v>
      </c>
      <c r="G197" t="s">
        <v>178</v>
      </c>
      <c r="H197" s="84" t="s">
        <v>178</v>
      </c>
      <c r="I197" t="s">
        <v>178</v>
      </c>
    </row>
    <row r="198" spans="1:9">
      <c r="A198" t="s">
        <v>178</v>
      </c>
      <c r="B198" t="s">
        <v>178</v>
      </c>
      <c r="C198" t="s">
        <v>178</v>
      </c>
      <c r="D198" t="s">
        <v>178</v>
      </c>
      <c r="E198" t="s">
        <v>178</v>
      </c>
      <c r="F198" t="s">
        <v>178</v>
      </c>
      <c r="G198" t="s">
        <v>178</v>
      </c>
      <c r="H198" s="84" t="s">
        <v>178</v>
      </c>
      <c r="I198" t="s">
        <v>178</v>
      </c>
    </row>
    <row r="199" spans="1:9">
      <c r="A199" t="s">
        <v>525</v>
      </c>
      <c r="B199" t="s">
        <v>202</v>
      </c>
      <c r="C199">
        <v>34</v>
      </c>
      <c r="D199">
        <v>601</v>
      </c>
      <c r="E199">
        <v>5.6572379367720464E-2</v>
      </c>
      <c r="F199">
        <v>8.74</v>
      </c>
      <c r="G199">
        <v>64.057804878048785</v>
      </c>
      <c r="H199" s="84">
        <v>3.6239024390243904</v>
      </c>
      <c r="I199">
        <v>111</v>
      </c>
    </row>
    <row r="200" spans="1:9">
      <c r="A200" t="s">
        <v>526</v>
      </c>
      <c r="B200" t="s">
        <v>209</v>
      </c>
      <c r="C200">
        <v>34</v>
      </c>
      <c r="D200">
        <v>630</v>
      </c>
      <c r="E200">
        <v>5.3968253968253971E-2</v>
      </c>
      <c r="F200">
        <v>9.65</v>
      </c>
      <c r="G200">
        <v>74.140243902439025</v>
      </c>
      <c r="H200" s="84">
        <v>4.0012195121951217</v>
      </c>
      <c r="I200">
        <v>100</v>
      </c>
    </row>
    <row r="201" spans="1:9">
      <c r="A201" t="s">
        <v>178</v>
      </c>
      <c r="B201" t="s">
        <v>178</v>
      </c>
      <c r="C201" t="s">
        <v>178</v>
      </c>
      <c r="D201" t="s">
        <v>178</v>
      </c>
      <c r="E201" t="s">
        <v>178</v>
      </c>
      <c r="F201" t="s">
        <v>178</v>
      </c>
      <c r="G201" t="s">
        <v>178</v>
      </c>
      <c r="H201" s="84" t="s">
        <v>178</v>
      </c>
      <c r="I201" t="s">
        <v>178</v>
      </c>
    </row>
    <row r="202" spans="1:9">
      <c r="A202" t="s">
        <v>178</v>
      </c>
      <c r="B202" t="s">
        <v>178</v>
      </c>
      <c r="C202" t="s">
        <v>178</v>
      </c>
      <c r="D202" t="s">
        <v>178</v>
      </c>
      <c r="E202" t="s">
        <v>178</v>
      </c>
      <c r="F202" t="s">
        <v>178</v>
      </c>
      <c r="G202" t="s">
        <v>178</v>
      </c>
      <c r="H202" s="84" t="s">
        <v>178</v>
      </c>
      <c r="I202" t="s">
        <v>178</v>
      </c>
    </row>
    <row r="203" spans="1:9">
      <c r="A203" t="s">
        <v>529</v>
      </c>
      <c r="B203" t="s">
        <v>214</v>
      </c>
      <c r="C203">
        <v>34</v>
      </c>
      <c r="D203">
        <v>619</v>
      </c>
      <c r="E203">
        <v>5.492730210016155E-2</v>
      </c>
      <c r="F203">
        <v>11.03</v>
      </c>
      <c r="G203">
        <v>83.263048780487807</v>
      </c>
      <c r="H203" s="84">
        <v>4.5734146341463413</v>
      </c>
      <c r="I203">
        <v>89</v>
      </c>
    </row>
    <row r="204" spans="1:9">
      <c r="A204" t="s">
        <v>530</v>
      </c>
      <c r="B204" t="s">
        <v>205</v>
      </c>
      <c r="C204">
        <v>34</v>
      </c>
      <c r="D204">
        <v>613</v>
      </c>
      <c r="E204">
        <v>5.5464926590538338E-2</v>
      </c>
      <c r="F204">
        <v>15.26</v>
      </c>
      <c r="G204">
        <v>114.07780487804878</v>
      </c>
      <c r="H204" s="84">
        <v>6.3273170731707316</v>
      </c>
      <c r="I204">
        <v>45</v>
      </c>
    </row>
    <row r="205" spans="1:9">
      <c r="A205" t="s">
        <v>531</v>
      </c>
      <c r="B205" t="s">
        <v>205</v>
      </c>
      <c r="C205">
        <v>34</v>
      </c>
      <c r="D205">
        <v>613</v>
      </c>
      <c r="E205">
        <v>5.5464926590538338E-2</v>
      </c>
      <c r="F205">
        <v>15.26</v>
      </c>
      <c r="G205">
        <v>114.07780487804878</v>
      </c>
      <c r="H205" s="84">
        <v>6.3273170731707316</v>
      </c>
      <c r="I205">
        <v>45</v>
      </c>
    </row>
    <row r="206" spans="1:9">
      <c r="A206" t="s">
        <v>532</v>
      </c>
      <c r="B206" t="s">
        <v>205</v>
      </c>
      <c r="C206">
        <v>34</v>
      </c>
      <c r="D206">
        <v>613</v>
      </c>
      <c r="E206">
        <v>5.5464926590538338E-2</v>
      </c>
      <c r="F206">
        <v>15.26</v>
      </c>
      <c r="G206">
        <v>114.07780487804878</v>
      </c>
      <c r="H206" s="84">
        <v>6.3273170731707316</v>
      </c>
      <c r="I206">
        <v>45</v>
      </c>
    </row>
    <row r="207" spans="1:9">
      <c r="A207" t="s">
        <v>533</v>
      </c>
      <c r="B207" t="s">
        <v>198</v>
      </c>
      <c r="C207">
        <v>34</v>
      </c>
      <c r="D207">
        <v>600</v>
      </c>
      <c r="E207">
        <v>5.6666666666666664E-2</v>
      </c>
      <c r="F207">
        <v>9.52</v>
      </c>
      <c r="G207">
        <v>69.658536585365852</v>
      </c>
      <c r="H207" s="84">
        <v>3.9473170731707312</v>
      </c>
      <c r="I207">
        <v>101</v>
      </c>
    </row>
    <row r="208" spans="1:9">
      <c r="A208" t="s">
        <v>178</v>
      </c>
      <c r="B208" t="s">
        <v>178</v>
      </c>
      <c r="C208" t="s">
        <v>178</v>
      </c>
      <c r="D208" t="s">
        <v>178</v>
      </c>
      <c r="E208" t="s">
        <v>178</v>
      </c>
      <c r="F208" t="s">
        <v>178</v>
      </c>
      <c r="G208" t="s">
        <v>178</v>
      </c>
      <c r="H208" s="84" t="s">
        <v>178</v>
      </c>
      <c r="I208" t="s">
        <v>178</v>
      </c>
    </row>
    <row r="209" spans="1:9">
      <c r="A209" t="s">
        <v>535</v>
      </c>
      <c r="B209" t="s">
        <v>205</v>
      </c>
      <c r="C209">
        <v>34</v>
      </c>
      <c r="D209">
        <v>613</v>
      </c>
      <c r="E209">
        <v>5.5464926590538338E-2</v>
      </c>
      <c r="F209">
        <v>15.26</v>
      </c>
      <c r="G209">
        <v>114.07780487804878</v>
      </c>
      <c r="H209" s="84">
        <v>6.3273170731707316</v>
      </c>
      <c r="I209">
        <v>45</v>
      </c>
    </row>
    <row r="210" spans="1:9">
      <c r="A210" t="s">
        <v>178</v>
      </c>
      <c r="B210" t="s">
        <v>178</v>
      </c>
      <c r="C210" t="s">
        <v>178</v>
      </c>
      <c r="D210" t="s">
        <v>178</v>
      </c>
      <c r="E210" t="s">
        <v>178</v>
      </c>
      <c r="F210" t="s">
        <v>178</v>
      </c>
      <c r="G210" t="s">
        <v>178</v>
      </c>
      <c r="H210" s="84" t="s">
        <v>178</v>
      </c>
      <c r="I210" t="s">
        <v>178</v>
      </c>
    </row>
    <row r="211" spans="1:9">
      <c r="A211" t="s">
        <v>178</v>
      </c>
      <c r="B211" t="s">
        <v>178</v>
      </c>
      <c r="C211" t="s">
        <v>178</v>
      </c>
      <c r="D211" t="s">
        <v>178</v>
      </c>
      <c r="E211" t="s">
        <v>178</v>
      </c>
      <c r="F211" t="s">
        <v>178</v>
      </c>
      <c r="G211" t="s">
        <v>178</v>
      </c>
      <c r="H211" s="84" t="s">
        <v>178</v>
      </c>
      <c r="I211" t="s">
        <v>178</v>
      </c>
    </row>
    <row r="212" spans="1:9">
      <c r="A212" t="s">
        <v>538</v>
      </c>
      <c r="B212" t="s">
        <v>209</v>
      </c>
      <c r="C212">
        <v>33</v>
      </c>
      <c r="D212">
        <v>630</v>
      </c>
      <c r="E212">
        <v>5.2380952380952382E-2</v>
      </c>
      <c r="F212">
        <v>9.65</v>
      </c>
      <c r="G212">
        <v>74.140243902439025</v>
      </c>
      <c r="H212" s="84">
        <v>3.8835365853658539</v>
      </c>
      <c r="I212">
        <v>103</v>
      </c>
    </row>
    <row r="213" spans="1:9">
      <c r="A213" t="s">
        <v>539</v>
      </c>
      <c r="B213" t="s">
        <v>198</v>
      </c>
      <c r="C213">
        <v>33</v>
      </c>
      <c r="D213">
        <v>600</v>
      </c>
      <c r="E213">
        <v>5.5E-2</v>
      </c>
      <c r="F213">
        <v>9.52</v>
      </c>
      <c r="G213">
        <v>69.658536585365852</v>
      </c>
      <c r="H213" s="84">
        <v>3.8312195121951218</v>
      </c>
      <c r="I213">
        <v>104</v>
      </c>
    </row>
    <row r="214" spans="1:9">
      <c r="A214" t="s">
        <v>540</v>
      </c>
      <c r="B214" t="s">
        <v>196</v>
      </c>
      <c r="C214">
        <v>33</v>
      </c>
      <c r="D214">
        <v>656</v>
      </c>
      <c r="E214">
        <v>5.0304878048780491E-2</v>
      </c>
      <c r="F214">
        <v>14.22</v>
      </c>
      <c r="G214">
        <v>113.76</v>
      </c>
      <c r="H214" s="84">
        <v>5.7226829268292692</v>
      </c>
      <c r="I214">
        <v>59</v>
      </c>
    </row>
    <row r="215" spans="1:9">
      <c r="A215" t="s">
        <v>178</v>
      </c>
      <c r="B215" t="s">
        <v>178</v>
      </c>
      <c r="C215" t="s">
        <v>178</v>
      </c>
      <c r="D215" t="s">
        <v>178</v>
      </c>
      <c r="E215" t="s">
        <v>178</v>
      </c>
      <c r="F215" t="s">
        <v>178</v>
      </c>
      <c r="G215" t="s">
        <v>178</v>
      </c>
      <c r="H215" s="84" t="s">
        <v>178</v>
      </c>
      <c r="I215" t="s">
        <v>178</v>
      </c>
    </row>
    <row r="216" spans="1:9">
      <c r="A216" t="s">
        <v>542</v>
      </c>
      <c r="B216" t="s">
        <v>206</v>
      </c>
      <c r="C216">
        <v>33</v>
      </c>
      <c r="D216">
        <v>642</v>
      </c>
      <c r="E216">
        <v>5.1401869158878503E-2</v>
      </c>
      <c r="F216">
        <v>9.99</v>
      </c>
      <c r="G216">
        <v>78.214390243902443</v>
      </c>
      <c r="H216" s="84">
        <v>4.0203658536585367</v>
      </c>
      <c r="I216">
        <v>98</v>
      </c>
    </row>
    <row r="217" spans="1:9">
      <c r="A217" t="s">
        <v>178</v>
      </c>
      <c r="B217" t="s">
        <v>178</v>
      </c>
      <c r="C217" t="s">
        <v>178</v>
      </c>
      <c r="D217" t="s">
        <v>178</v>
      </c>
      <c r="E217" t="s">
        <v>178</v>
      </c>
      <c r="F217" t="s">
        <v>178</v>
      </c>
      <c r="G217" t="s">
        <v>178</v>
      </c>
      <c r="H217" s="84" t="s">
        <v>178</v>
      </c>
      <c r="I217" t="s">
        <v>178</v>
      </c>
    </row>
    <row r="218" spans="1:9">
      <c r="A218" t="s">
        <v>178</v>
      </c>
      <c r="B218" t="s">
        <v>178</v>
      </c>
      <c r="C218" t="s">
        <v>178</v>
      </c>
      <c r="D218" t="s">
        <v>178</v>
      </c>
      <c r="E218" t="s">
        <v>178</v>
      </c>
      <c r="F218" t="s">
        <v>178</v>
      </c>
      <c r="G218" t="s">
        <v>178</v>
      </c>
      <c r="H218" s="84" t="s">
        <v>178</v>
      </c>
      <c r="I218" t="s">
        <v>178</v>
      </c>
    </row>
    <row r="219" spans="1:9">
      <c r="A219" t="s">
        <v>178</v>
      </c>
      <c r="B219" t="s">
        <v>178</v>
      </c>
      <c r="C219" t="s">
        <v>178</v>
      </c>
      <c r="D219" t="s">
        <v>178</v>
      </c>
      <c r="E219" t="s">
        <v>178</v>
      </c>
      <c r="F219" t="s">
        <v>178</v>
      </c>
      <c r="G219" t="s">
        <v>178</v>
      </c>
      <c r="H219" s="84" t="s">
        <v>178</v>
      </c>
      <c r="I219" t="s">
        <v>178</v>
      </c>
    </row>
    <row r="220" spans="1:9">
      <c r="A220" t="s">
        <v>546</v>
      </c>
      <c r="B220" t="s">
        <v>203</v>
      </c>
      <c r="C220">
        <v>33</v>
      </c>
      <c r="D220">
        <v>659</v>
      </c>
      <c r="E220">
        <v>5.007587253414264E-2</v>
      </c>
      <c r="F220">
        <v>8.52</v>
      </c>
      <c r="G220">
        <v>68.471707317073168</v>
      </c>
      <c r="H220" s="84">
        <v>3.428780487804878</v>
      </c>
      <c r="I220">
        <v>117</v>
      </c>
    </row>
    <row r="221" spans="1:9">
      <c r="A221" t="s">
        <v>547</v>
      </c>
      <c r="B221" t="s">
        <v>206</v>
      </c>
      <c r="C221">
        <v>33</v>
      </c>
      <c r="D221">
        <v>642</v>
      </c>
      <c r="E221">
        <v>5.1401869158878503E-2</v>
      </c>
      <c r="F221">
        <v>9.99</v>
      </c>
      <c r="G221">
        <v>78.214390243902443</v>
      </c>
      <c r="H221" s="84">
        <v>4.0203658536585367</v>
      </c>
      <c r="I221">
        <v>98</v>
      </c>
    </row>
    <row r="222" spans="1:9">
      <c r="A222" t="s">
        <v>178</v>
      </c>
      <c r="B222" t="s">
        <v>178</v>
      </c>
      <c r="C222" t="s">
        <v>178</v>
      </c>
      <c r="D222" t="s">
        <v>178</v>
      </c>
      <c r="E222" t="s">
        <v>178</v>
      </c>
      <c r="F222" t="s">
        <v>178</v>
      </c>
      <c r="G222" t="s">
        <v>178</v>
      </c>
      <c r="H222" s="84" t="s">
        <v>178</v>
      </c>
      <c r="I222" t="s">
        <v>178</v>
      </c>
    </row>
    <row r="223" spans="1:9">
      <c r="A223" t="s">
        <v>178</v>
      </c>
      <c r="B223" t="s">
        <v>178</v>
      </c>
      <c r="C223" t="s">
        <v>178</v>
      </c>
      <c r="D223" t="s">
        <v>178</v>
      </c>
      <c r="E223" t="s">
        <v>178</v>
      </c>
      <c r="F223" t="s">
        <v>178</v>
      </c>
      <c r="G223" t="s">
        <v>178</v>
      </c>
      <c r="H223" s="84" t="s">
        <v>178</v>
      </c>
      <c r="I223" t="s">
        <v>178</v>
      </c>
    </row>
    <row r="224" spans="1:9">
      <c r="A224" t="s">
        <v>178</v>
      </c>
      <c r="B224" t="s">
        <v>178</v>
      </c>
      <c r="C224" t="s">
        <v>178</v>
      </c>
      <c r="D224" t="s">
        <v>178</v>
      </c>
      <c r="E224" t="s">
        <v>178</v>
      </c>
      <c r="F224" t="s">
        <v>178</v>
      </c>
      <c r="G224" t="s">
        <v>178</v>
      </c>
      <c r="H224" s="84" t="s">
        <v>178</v>
      </c>
      <c r="I224" t="s">
        <v>178</v>
      </c>
    </row>
    <row r="225" spans="1:9">
      <c r="A225" t="s">
        <v>178</v>
      </c>
      <c r="B225" t="s">
        <v>178</v>
      </c>
      <c r="C225" t="s">
        <v>178</v>
      </c>
      <c r="D225" t="s">
        <v>178</v>
      </c>
      <c r="E225" t="s">
        <v>178</v>
      </c>
      <c r="F225" t="s">
        <v>178</v>
      </c>
      <c r="G225" t="s">
        <v>178</v>
      </c>
      <c r="H225" s="84" t="s">
        <v>178</v>
      </c>
      <c r="I225" t="s">
        <v>178</v>
      </c>
    </row>
    <row r="226" spans="1:9">
      <c r="A226" t="s">
        <v>178</v>
      </c>
      <c r="B226" t="s">
        <v>178</v>
      </c>
      <c r="C226" t="s">
        <v>178</v>
      </c>
      <c r="D226" t="s">
        <v>178</v>
      </c>
      <c r="E226" t="s">
        <v>178</v>
      </c>
      <c r="F226" t="s">
        <v>178</v>
      </c>
      <c r="G226" t="s">
        <v>178</v>
      </c>
      <c r="H226" s="84" t="s">
        <v>178</v>
      </c>
      <c r="I226" t="s">
        <v>178</v>
      </c>
    </row>
    <row r="227" spans="1:9">
      <c r="A227" t="s">
        <v>178</v>
      </c>
      <c r="B227" t="s">
        <v>178</v>
      </c>
      <c r="C227" t="s">
        <v>178</v>
      </c>
      <c r="D227" t="s">
        <v>178</v>
      </c>
      <c r="E227" t="s">
        <v>178</v>
      </c>
      <c r="F227" t="s">
        <v>178</v>
      </c>
      <c r="G227" t="s">
        <v>178</v>
      </c>
      <c r="H227" s="84" t="s">
        <v>178</v>
      </c>
      <c r="I227" t="s">
        <v>178</v>
      </c>
    </row>
    <row r="228" spans="1:9">
      <c r="A228" t="s">
        <v>554</v>
      </c>
      <c r="B228" t="s">
        <v>205</v>
      </c>
      <c r="C228">
        <v>32</v>
      </c>
      <c r="D228">
        <v>613</v>
      </c>
      <c r="E228">
        <v>5.2202283849918436E-2</v>
      </c>
      <c r="F228">
        <v>15.26</v>
      </c>
      <c r="G228">
        <v>114.07780487804878</v>
      </c>
      <c r="H228" s="84">
        <v>5.9551219512195122</v>
      </c>
      <c r="I228">
        <v>55</v>
      </c>
    </row>
    <row r="229" spans="1:9">
      <c r="A229" t="s">
        <v>178</v>
      </c>
      <c r="B229" t="s">
        <v>178</v>
      </c>
      <c r="C229" t="s">
        <v>178</v>
      </c>
      <c r="D229" t="s">
        <v>178</v>
      </c>
      <c r="E229" t="s">
        <v>178</v>
      </c>
      <c r="F229" t="s">
        <v>178</v>
      </c>
      <c r="G229" t="s">
        <v>178</v>
      </c>
      <c r="H229" s="84" t="s">
        <v>178</v>
      </c>
      <c r="I229" t="s">
        <v>178</v>
      </c>
    </row>
    <row r="230" spans="1:9">
      <c r="A230" t="s">
        <v>556</v>
      </c>
      <c r="B230" t="s">
        <v>209</v>
      </c>
      <c r="C230">
        <v>31</v>
      </c>
      <c r="D230">
        <v>630</v>
      </c>
      <c r="E230">
        <v>4.9206349206349205E-2</v>
      </c>
      <c r="F230">
        <v>9.65</v>
      </c>
      <c r="G230">
        <v>74.140243902439025</v>
      </c>
      <c r="H230" s="84">
        <v>3.6481707317073169</v>
      </c>
      <c r="I230">
        <v>108</v>
      </c>
    </row>
    <row r="231" spans="1:9">
      <c r="A231" t="s">
        <v>178</v>
      </c>
      <c r="B231" t="s">
        <v>178</v>
      </c>
      <c r="C231" t="s">
        <v>178</v>
      </c>
      <c r="D231" t="s">
        <v>178</v>
      </c>
      <c r="E231" t="s">
        <v>178</v>
      </c>
      <c r="F231" t="s">
        <v>178</v>
      </c>
      <c r="G231" t="s">
        <v>178</v>
      </c>
      <c r="H231" s="84" t="s">
        <v>178</v>
      </c>
      <c r="I231" t="s">
        <v>178</v>
      </c>
    </row>
    <row r="232" spans="1:9">
      <c r="A232" t="s">
        <v>558</v>
      </c>
      <c r="B232" t="s">
        <v>196</v>
      </c>
      <c r="C232">
        <v>31</v>
      </c>
      <c r="D232">
        <v>656</v>
      </c>
      <c r="E232">
        <v>4.725609756097561E-2</v>
      </c>
      <c r="F232">
        <v>14.22</v>
      </c>
      <c r="G232">
        <v>113.76</v>
      </c>
      <c r="H232" s="84">
        <v>5.3758536585365855</v>
      </c>
      <c r="I232">
        <v>67</v>
      </c>
    </row>
    <row r="233" spans="1:9">
      <c r="A233" t="s">
        <v>178</v>
      </c>
      <c r="B233" t="s">
        <v>178</v>
      </c>
      <c r="C233" t="s">
        <v>178</v>
      </c>
      <c r="D233" t="s">
        <v>178</v>
      </c>
      <c r="E233" t="s">
        <v>178</v>
      </c>
      <c r="F233" t="s">
        <v>178</v>
      </c>
      <c r="G233" t="s">
        <v>178</v>
      </c>
      <c r="H233" s="84" t="s">
        <v>178</v>
      </c>
      <c r="I233" t="s">
        <v>178</v>
      </c>
    </row>
    <row r="234" spans="1:9">
      <c r="A234" t="s">
        <v>560</v>
      </c>
      <c r="B234" t="s">
        <v>212</v>
      </c>
      <c r="C234">
        <v>31</v>
      </c>
      <c r="D234">
        <v>608</v>
      </c>
      <c r="E234">
        <v>5.0986842105263157E-2</v>
      </c>
      <c r="F234">
        <v>11.03</v>
      </c>
      <c r="G234">
        <v>81.783414634146339</v>
      </c>
      <c r="H234" s="84">
        <v>4.1698780487804878</v>
      </c>
      <c r="I234">
        <v>96</v>
      </c>
    </row>
    <row r="235" spans="1:9">
      <c r="A235" t="s">
        <v>178</v>
      </c>
      <c r="B235" t="s">
        <v>178</v>
      </c>
      <c r="C235" t="s">
        <v>178</v>
      </c>
      <c r="D235" t="s">
        <v>178</v>
      </c>
      <c r="E235" t="s">
        <v>178</v>
      </c>
      <c r="F235" t="s">
        <v>178</v>
      </c>
      <c r="G235" t="s">
        <v>178</v>
      </c>
      <c r="H235" s="84" t="s">
        <v>178</v>
      </c>
      <c r="I235" t="s">
        <v>178</v>
      </c>
    </row>
    <row r="236" spans="1:9">
      <c r="A236" t="s">
        <v>562</v>
      </c>
      <c r="B236" t="s">
        <v>205</v>
      </c>
      <c r="C236">
        <v>31</v>
      </c>
      <c r="D236">
        <v>613</v>
      </c>
      <c r="E236">
        <v>5.0570962479608482E-2</v>
      </c>
      <c r="F236">
        <v>15.26</v>
      </c>
      <c r="G236">
        <v>114.07780487804878</v>
      </c>
      <c r="H236" s="84">
        <v>5.769024390243902</v>
      </c>
      <c r="I236">
        <v>58</v>
      </c>
    </row>
    <row r="237" spans="1:9">
      <c r="A237" t="s">
        <v>563</v>
      </c>
      <c r="B237" t="s">
        <v>210</v>
      </c>
      <c r="C237">
        <v>31</v>
      </c>
      <c r="D237">
        <v>594</v>
      </c>
      <c r="E237">
        <v>5.2188552188552187E-2</v>
      </c>
      <c r="F237">
        <v>9.11</v>
      </c>
      <c r="G237">
        <v>65.991951219512188</v>
      </c>
      <c r="H237" s="84">
        <v>3.4440243902439018</v>
      </c>
      <c r="I237">
        <v>116</v>
      </c>
    </row>
    <row r="238" spans="1:9">
      <c r="A238" t="s">
        <v>178</v>
      </c>
      <c r="B238" t="s">
        <v>178</v>
      </c>
      <c r="C238" t="s">
        <v>178</v>
      </c>
      <c r="D238" t="s">
        <v>178</v>
      </c>
      <c r="E238" t="s">
        <v>178</v>
      </c>
      <c r="F238" t="s">
        <v>178</v>
      </c>
      <c r="G238" t="s">
        <v>178</v>
      </c>
      <c r="H238" s="84" t="s">
        <v>178</v>
      </c>
      <c r="I238" t="s">
        <v>178</v>
      </c>
    </row>
    <row r="239" spans="1:9">
      <c r="A239" t="s">
        <v>565</v>
      </c>
      <c r="B239" t="s">
        <v>206</v>
      </c>
      <c r="C239">
        <v>31</v>
      </c>
      <c r="D239">
        <v>642</v>
      </c>
      <c r="E239">
        <v>4.8286604361370715E-2</v>
      </c>
      <c r="F239">
        <v>9.99</v>
      </c>
      <c r="G239">
        <v>78.214390243902443</v>
      </c>
      <c r="H239" s="84">
        <v>3.7767073170731709</v>
      </c>
      <c r="I239">
        <v>106</v>
      </c>
    </row>
    <row r="240" spans="1:9">
      <c r="A240" t="s">
        <v>566</v>
      </c>
      <c r="B240" t="s">
        <v>202</v>
      </c>
      <c r="C240">
        <v>31</v>
      </c>
      <c r="D240">
        <v>601</v>
      </c>
      <c r="E240">
        <v>5.1580698835274545E-2</v>
      </c>
      <c r="F240">
        <v>8.74</v>
      </c>
      <c r="G240">
        <v>64.057804878048785</v>
      </c>
      <c r="H240" s="84">
        <v>3.3041463414634151</v>
      </c>
      <c r="I240">
        <v>120</v>
      </c>
    </row>
    <row r="241" spans="1:9">
      <c r="A241" t="s">
        <v>178</v>
      </c>
      <c r="B241" t="s">
        <v>178</v>
      </c>
      <c r="C241" t="s">
        <v>178</v>
      </c>
      <c r="D241" t="s">
        <v>178</v>
      </c>
      <c r="E241" t="s">
        <v>178</v>
      </c>
      <c r="F241" t="s">
        <v>178</v>
      </c>
      <c r="G241" t="s">
        <v>178</v>
      </c>
      <c r="H241" s="84" t="s">
        <v>178</v>
      </c>
      <c r="I241" t="s">
        <v>178</v>
      </c>
    </row>
    <row r="242" spans="1:9">
      <c r="A242" t="s">
        <v>568</v>
      </c>
      <c r="B242" t="s">
        <v>198</v>
      </c>
      <c r="C242">
        <v>31</v>
      </c>
      <c r="D242">
        <v>600</v>
      </c>
      <c r="E242">
        <v>5.1666666666666666E-2</v>
      </c>
      <c r="F242">
        <v>9.52</v>
      </c>
      <c r="G242">
        <v>69.658536585365852</v>
      </c>
      <c r="H242" s="84">
        <v>3.5990243902439025</v>
      </c>
      <c r="I242">
        <v>112</v>
      </c>
    </row>
    <row r="243" spans="1:9">
      <c r="A243" t="s">
        <v>178</v>
      </c>
      <c r="B243" t="s">
        <v>178</v>
      </c>
      <c r="C243" t="s">
        <v>178</v>
      </c>
      <c r="D243" t="s">
        <v>178</v>
      </c>
      <c r="E243" t="s">
        <v>178</v>
      </c>
      <c r="F243" t="s">
        <v>178</v>
      </c>
      <c r="G243" t="s">
        <v>178</v>
      </c>
      <c r="H243" s="84" t="s">
        <v>178</v>
      </c>
      <c r="I243" t="s">
        <v>178</v>
      </c>
    </row>
    <row r="244" spans="1:9">
      <c r="A244" t="s">
        <v>178</v>
      </c>
      <c r="B244" t="s">
        <v>178</v>
      </c>
      <c r="C244" t="s">
        <v>178</v>
      </c>
      <c r="D244" t="s">
        <v>178</v>
      </c>
      <c r="E244" t="s">
        <v>178</v>
      </c>
      <c r="F244" t="s">
        <v>178</v>
      </c>
      <c r="G244" t="s">
        <v>178</v>
      </c>
      <c r="H244" s="84" t="s">
        <v>178</v>
      </c>
      <c r="I244" t="s">
        <v>178</v>
      </c>
    </row>
    <row r="245" spans="1:9">
      <c r="A245" t="s">
        <v>178</v>
      </c>
      <c r="B245" t="s">
        <v>178</v>
      </c>
      <c r="C245" t="s">
        <v>178</v>
      </c>
      <c r="D245" t="s">
        <v>178</v>
      </c>
      <c r="E245" t="s">
        <v>178</v>
      </c>
      <c r="F245" t="s">
        <v>178</v>
      </c>
      <c r="G245" t="s">
        <v>178</v>
      </c>
      <c r="H245" s="84" t="s">
        <v>178</v>
      </c>
      <c r="I245" t="s">
        <v>178</v>
      </c>
    </row>
    <row r="246" spans="1:9">
      <c r="A246" t="s">
        <v>178</v>
      </c>
      <c r="B246" t="s">
        <v>178</v>
      </c>
      <c r="C246" t="s">
        <v>178</v>
      </c>
      <c r="D246" t="s">
        <v>178</v>
      </c>
      <c r="E246" t="s">
        <v>178</v>
      </c>
      <c r="F246" t="s">
        <v>178</v>
      </c>
      <c r="G246" t="s">
        <v>178</v>
      </c>
      <c r="H246" s="84" t="s">
        <v>178</v>
      </c>
      <c r="I246" t="s">
        <v>178</v>
      </c>
    </row>
    <row r="247" spans="1:9">
      <c r="A247" t="s">
        <v>573</v>
      </c>
      <c r="B247" t="s">
        <v>205</v>
      </c>
      <c r="C247">
        <v>29</v>
      </c>
      <c r="D247">
        <v>613</v>
      </c>
      <c r="E247">
        <v>4.730831973898858E-2</v>
      </c>
      <c r="F247">
        <v>15.26</v>
      </c>
      <c r="G247">
        <v>114.07780487804878</v>
      </c>
      <c r="H247" s="84">
        <v>5.3968292682926826</v>
      </c>
      <c r="I247">
        <v>65</v>
      </c>
    </row>
    <row r="248" spans="1:9">
      <c r="A248" t="s">
        <v>178</v>
      </c>
      <c r="B248" t="s">
        <v>178</v>
      </c>
      <c r="C248" t="s">
        <v>178</v>
      </c>
      <c r="D248" t="s">
        <v>178</v>
      </c>
      <c r="E248" t="s">
        <v>178</v>
      </c>
      <c r="F248" t="s">
        <v>178</v>
      </c>
      <c r="G248" t="s">
        <v>178</v>
      </c>
      <c r="H248" s="84" t="s">
        <v>178</v>
      </c>
      <c r="I248" t="s">
        <v>178</v>
      </c>
    </row>
    <row r="249" spans="1:9">
      <c r="A249" t="s">
        <v>178</v>
      </c>
      <c r="B249" t="s">
        <v>178</v>
      </c>
      <c r="C249" t="s">
        <v>178</v>
      </c>
      <c r="D249" t="s">
        <v>178</v>
      </c>
      <c r="E249" t="s">
        <v>178</v>
      </c>
      <c r="F249" t="s">
        <v>178</v>
      </c>
      <c r="G249" t="s">
        <v>178</v>
      </c>
      <c r="H249" s="84" t="s">
        <v>178</v>
      </c>
      <c r="I249" t="s">
        <v>178</v>
      </c>
    </row>
    <row r="250" spans="1:9">
      <c r="A250" t="s">
        <v>178</v>
      </c>
      <c r="B250" t="s">
        <v>178</v>
      </c>
      <c r="C250" t="s">
        <v>178</v>
      </c>
      <c r="D250" t="s">
        <v>178</v>
      </c>
      <c r="E250" t="s">
        <v>178</v>
      </c>
      <c r="F250" t="s">
        <v>178</v>
      </c>
      <c r="G250" t="s">
        <v>178</v>
      </c>
      <c r="H250" s="84" t="s">
        <v>178</v>
      </c>
      <c r="I250" t="s">
        <v>178</v>
      </c>
    </row>
    <row r="251" spans="1:9">
      <c r="A251" t="s">
        <v>178</v>
      </c>
      <c r="B251" t="s">
        <v>178</v>
      </c>
      <c r="C251" t="s">
        <v>178</v>
      </c>
      <c r="D251" t="s">
        <v>178</v>
      </c>
      <c r="E251" t="s">
        <v>178</v>
      </c>
      <c r="F251" t="s">
        <v>178</v>
      </c>
      <c r="G251" t="s">
        <v>178</v>
      </c>
      <c r="H251" s="84" t="s">
        <v>178</v>
      </c>
      <c r="I251" t="s">
        <v>178</v>
      </c>
    </row>
    <row r="252" spans="1:9">
      <c r="A252" t="s">
        <v>578</v>
      </c>
      <c r="B252" t="s">
        <v>205</v>
      </c>
      <c r="C252">
        <v>29</v>
      </c>
      <c r="D252">
        <v>613</v>
      </c>
      <c r="E252">
        <v>4.730831973898858E-2</v>
      </c>
      <c r="F252">
        <v>15.26</v>
      </c>
      <c r="G252">
        <v>114.07780487804878</v>
      </c>
      <c r="H252" s="84">
        <v>5.3968292682926826</v>
      </c>
      <c r="I252">
        <v>65</v>
      </c>
    </row>
    <row r="253" spans="1:9">
      <c r="A253" t="s">
        <v>178</v>
      </c>
      <c r="B253" t="s">
        <v>178</v>
      </c>
      <c r="C253" t="s">
        <v>178</v>
      </c>
      <c r="D253" t="s">
        <v>178</v>
      </c>
      <c r="E253" t="s">
        <v>178</v>
      </c>
      <c r="F253" t="s">
        <v>178</v>
      </c>
      <c r="G253" t="s">
        <v>178</v>
      </c>
      <c r="H253" s="84" t="s">
        <v>178</v>
      </c>
      <c r="I253" t="s">
        <v>178</v>
      </c>
    </row>
    <row r="254" spans="1:9">
      <c r="A254" t="s">
        <v>580</v>
      </c>
      <c r="B254" t="s">
        <v>202</v>
      </c>
      <c r="C254">
        <v>28</v>
      </c>
      <c r="D254">
        <v>601</v>
      </c>
      <c r="E254">
        <v>4.6589018302828619E-2</v>
      </c>
      <c r="F254">
        <v>8.74</v>
      </c>
      <c r="G254">
        <v>64.057804878048785</v>
      </c>
      <c r="H254" s="84">
        <v>2.9843902439024395</v>
      </c>
      <c r="I254">
        <v>132</v>
      </c>
    </row>
    <row r="255" spans="1:9">
      <c r="A255" t="s">
        <v>178</v>
      </c>
      <c r="B255" t="s">
        <v>178</v>
      </c>
      <c r="C255" t="s">
        <v>178</v>
      </c>
      <c r="D255" t="s">
        <v>178</v>
      </c>
      <c r="E255" t="s">
        <v>178</v>
      </c>
      <c r="F255" t="s">
        <v>178</v>
      </c>
      <c r="G255" t="s">
        <v>178</v>
      </c>
      <c r="H255" s="84" t="s">
        <v>178</v>
      </c>
      <c r="I255" t="s">
        <v>178</v>
      </c>
    </row>
    <row r="256" spans="1:9">
      <c r="A256" t="s">
        <v>178</v>
      </c>
      <c r="B256" t="s">
        <v>178</v>
      </c>
      <c r="C256" t="s">
        <v>178</v>
      </c>
      <c r="D256" t="s">
        <v>178</v>
      </c>
      <c r="E256" t="s">
        <v>178</v>
      </c>
      <c r="F256" t="s">
        <v>178</v>
      </c>
      <c r="G256" t="s">
        <v>178</v>
      </c>
      <c r="H256" s="84" t="s">
        <v>178</v>
      </c>
      <c r="I256" t="s">
        <v>178</v>
      </c>
    </row>
    <row r="257" spans="1:9">
      <c r="A257" t="s">
        <v>583</v>
      </c>
      <c r="B257" t="s">
        <v>210</v>
      </c>
      <c r="C257">
        <v>28</v>
      </c>
      <c r="D257">
        <v>594</v>
      </c>
      <c r="E257">
        <v>4.7138047138047139E-2</v>
      </c>
      <c r="F257">
        <v>9.11</v>
      </c>
      <c r="G257">
        <v>65.991951219512188</v>
      </c>
      <c r="H257" s="84">
        <v>3.1107317073170728</v>
      </c>
      <c r="I257">
        <v>126</v>
      </c>
    </row>
    <row r="258" spans="1:9">
      <c r="A258" t="s">
        <v>178</v>
      </c>
      <c r="B258" t="s">
        <v>178</v>
      </c>
      <c r="C258" t="s">
        <v>178</v>
      </c>
      <c r="D258" t="s">
        <v>178</v>
      </c>
      <c r="E258" t="s">
        <v>178</v>
      </c>
      <c r="F258" t="s">
        <v>178</v>
      </c>
      <c r="G258" t="s">
        <v>178</v>
      </c>
      <c r="H258" s="84" t="s">
        <v>178</v>
      </c>
      <c r="I258" t="s">
        <v>178</v>
      </c>
    </row>
    <row r="259" spans="1:9">
      <c r="A259" t="s">
        <v>585</v>
      </c>
      <c r="B259" t="s">
        <v>210</v>
      </c>
      <c r="C259">
        <v>28</v>
      </c>
      <c r="D259">
        <v>594</v>
      </c>
      <c r="E259">
        <v>4.7138047138047139E-2</v>
      </c>
      <c r="F259">
        <v>9.11</v>
      </c>
      <c r="G259">
        <v>65.991951219512188</v>
      </c>
      <c r="H259" s="84">
        <v>3.1107317073170728</v>
      </c>
      <c r="I259">
        <v>126</v>
      </c>
    </row>
    <row r="260" spans="1:9">
      <c r="A260" t="s">
        <v>178</v>
      </c>
      <c r="B260" t="s">
        <v>178</v>
      </c>
      <c r="C260" t="s">
        <v>178</v>
      </c>
      <c r="D260" t="s">
        <v>178</v>
      </c>
      <c r="E260" t="s">
        <v>178</v>
      </c>
      <c r="F260" t="s">
        <v>178</v>
      </c>
      <c r="G260" t="s">
        <v>178</v>
      </c>
      <c r="H260" s="84" t="s">
        <v>178</v>
      </c>
      <c r="I260" t="s">
        <v>178</v>
      </c>
    </row>
    <row r="261" spans="1:9">
      <c r="A261" t="s">
        <v>587</v>
      </c>
      <c r="B261" t="s">
        <v>198</v>
      </c>
      <c r="C261">
        <v>28</v>
      </c>
      <c r="D261">
        <v>600</v>
      </c>
      <c r="E261">
        <v>4.6666666666666669E-2</v>
      </c>
      <c r="F261">
        <v>9.52</v>
      </c>
      <c r="G261">
        <v>69.658536585365852</v>
      </c>
      <c r="H261" s="84">
        <v>3.2507317073170734</v>
      </c>
      <c r="I261">
        <v>123</v>
      </c>
    </row>
    <row r="262" spans="1:9">
      <c r="A262" t="s">
        <v>178</v>
      </c>
      <c r="B262" t="s">
        <v>178</v>
      </c>
      <c r="C262" t="s">
        <v>178</v>
      </c>
      <c r="D262" t="s">
        <v>178</v>
      </c>
      <c r="E262" t="s">
        <v>178</v>
      </c>
      <c r="F262" t="s">
        <v>178</v>
      </c>
      <c r="G262" t="s">
        <v>178</v>
      </c>
      <c r="H262" s="84" t="s">
        <v>178</v>
      </c>
      <c r="I262" t="s">
        <v>178</v>
      </c>
    </row>
    <row r="263" spans="1:9">
      <c r="A263" t="s">
        <v>589</v>
      </c>
      <c r="B263" t="s">
        <v>206</v>
      </c>
      <c r="C263">
        <v>27</v>
      </c>
      <c r="D263">
        <v>642</v>
      </c>
      <c r="E263">
        <v>4.2056074766355138E-2</v>
      </c>
      <c r="F263">
        <v>9.99</v>
      </c>
      <c r="G263">
        <v>78.214390243902443</v>
      </c>
      <c r="H263" s="84">
        <v>3.2893902439024392</v>
      </c>
      <c r="I263">
        <v>122</v>
      </c>
    </row>
    <row r="264" spans="1:9">
      <c r="A264" t="s">
        <v>178</v>
      </c>
      <c r="B264" t="s">
        <v>178</v>
      </c>
      <c r="C264" t="s">
        <v>178</v>
      </c>
      <c r="D264" t="s">
        <v>178</v>
      </c>
      <c r="E264" t="s">
        <v>178</v>
      </c>
      <c r="F264" t="s">
        <v>178</v>
      </c>
      <c r="G264" t="s">
        <v>178</v>
      </c>
      <c r="H264" s="84" t="s">
        <v>178</v>
      </c>
      <c r="I264" t="s">
        <v>178</v>
      </c>
    </row>
    <row r="265" spans="1:9">
      <c r="A265" t="s">
        <v>178</v>
      </c>
      <c r="B265" t="s">
        <v>178</v>
      </c>
      <c r="C265" t="s">
        <v>178</v>
      </c>
      <c r="D265" t="s">
        <v>178</v>
      </c>
      <c r="E265" t="s">
        <v>178</v>
      </c>
      <c r="F265" t="s">
        <v>178</v>
      </c>
      <c r="G265" t="s">
        <v>178</v>
      </c>
      <c r="H265" s="84" t="s">
        <v>178</v>
      </c>
      <c r="I265" t="s">
        <v>178</v>
      </c>
    </row>
    <row r="266" spans="1:9">
      <c r="A266" t="s">
        <v>592</v>
      </c>
      <c r="B266" t="s">
        <v>205</v>
      </c>
      <c r="C266">
        <v>27</v>
      </c>
      <c r="D266">
        <v>613</v>
      </c>
      <c r="E266">
        <v>4.4045676998368678E-2</v>
      </c>
      <c r="F266">
        <v>15.26</v>
      </c>
      <c r="G266">
        <v>114.07780487804878</v>
      </c>
      <c r="H266" s="84">
        <v>5.0246341463414632</v>
      </c>
      <c r="I266">
        <v>73</v>
      </c>
    </row>
    <row r="267" spans="1:9">
      <c r="A267" t="s">
        <v>593</v>
      </c>
      <c r="B267" t="s">
        <v>203</v>
      </c>
      <c r="C267">
        <v>27</v>
      </c>
      <c r="D267">
        <v>659</v>
      </c>
      <c r="E267">
        <v>4.09711684370258E-2</v>
      </c>
      <c r="F267">
        <v>8.52</v>
      </c>
      <c r="G267">
        <v>68.471707317073168</v>
      </c>
      <c r="H267" s="84">
        <v>2.8053658536585369</v>
      </c>
      <c r="I267">
        <v>136</v>
      </c>
    </row>
    <row r="268" spans="1:9">
      <c r="A268" t="s">
        <v>594</v>
      </c>
      <c r="B268" t="s">
        <v>200</v>
      </c>
      <c r="C268">
        <v>27</v>
      </c>
      <c r="D268">
        <v>660</v>
      </c>
      <c r="E268">
        <v>4.0909090909090909E-2</v>
      </c>
      <c r="F268">
        <v>11.28</v>
      </c>
      <c r="G268">
        <v>90.790243902439016</v>
      </c>
      <c r="H268" s="84">
        <v>3.7141463414634144</v>
      </c>
      <c r="I268">
        <v>107</v>
      </c>
    </row>
    <row r="269" spans="1:9">
      <c r="A269" t="s">
        <v>178</v>
      </c>
      <c r="B269" t="s">
        <v>178</v>
      </c>
      <c r="C269" t="s">
        <v>178</v>
      </c>
      <c r="D269" t="s">
        <v>178</v>
      </c>
      <c r="E269" t="s">
        <v>178</v>
      </c>
      <c r="F269" t="s">
        <v>178</v>
      </c>
      <c r="G269" t="s">
        <v>178</v>
      </c>
      <c r="H269" s="84" t="s">
        <v>178</v>
      </c>
      <c r="I269" t="s">
        <v>178</v>
      </c>
    </row>
    <row r="270" spans="1:9">
      <c r="A270" t="s">
        <v>178</v>
      </c>
      <c r="B270" t="s">
        <v>178</v>
      </c>
      <c r="C270" t="s">
        <v>178</v>
      </c>
      <c r="D270" t="s">
        <v>178</v>
      </c>
      <c r="E270" t="s">
        <v>178</v>
      </c>
      <c r="F270" t="s">
        <v>178</v>
      </c>
      <c r="G270" t="s">
        <v>178</v>
      </c>
      <c r="H270" s="84" t="s">
        <v>178</v>
      </c>
      <c r="I270" t="s">
        <v>178</v>
      </c>
    </row>
    <row r="271" spans="1:9">
      <c r="A271" t="s">
        <v>597</v>
      </c>
      <c r="B271" t="s">
        <v>198</v>
      </c>
      <c r="C271">
        <v>27</v>
      </c>
      <c r="D271">
        <v>600</v>
      </c>
      <c r="E271">
        <v>4.4999999999999998E-2</v>
      </c>
      <c r="F271">
        <v>9.52</v>
      </c>
      <c r="G271">
        <v>69.658536585365852</v>
      </c>
      <c r="H271" s="84">
        <v>3.1346341463414631</v>
      </c>
      <c r="I271">
        <v>124</v>
      </c>
    </row>
    <row r="272" spans="1:9">
      <c r="A272" t="s">
        <v>598</v>
      </c>
      <c r="B272" t="s">
        <v>214</v>
      </c>
      <c r="C272">
        <v>27</v>
      </c>
      <c r="D272">
        <v>619</v>
      </c>
      <c r="E272">
        <v>4.361873990306947E-2</v>
      </c>
      <c r="F272">
        <v>11.03</v>
      </c>
      <c r="G272">
        <v>83.263048780487807</v>
      </c>
      <c r="H272" s="84">
        <v>3.6318292682926834</v>
      </c>
      <c r="I272">
        <v>110</v>
      </c>
    </row>
    <row r="273" spans="1:9">
      <c r="A273" t="s">
        <v>178</v>
      </c>
      <c r="B273" t="s">
        <v>178</v>
      </c>
      <c r="C273" t="s">
        <v>178</v>
      </c>
      <c r="D273" t="s">
        <v>178</v>
      </c>
      <c r="E273" t="s">
        <v>178</v>
      </c>
      <c r="F273" t="s">
        <v>178</v>
      </c>
      <c r="G273" t="s">
        <v>178</v>
      </c>
      <c r="H273" s="84" t="s">
        <v>178</v>
      </c>
      <c r="I273" t="s">
        <v>178</v>
      </c>
    </row>
    <row r="274" spans="1:9">
      <c r="A274" t="s">
        <v>178</v>
      </c>
      <c r="B274" t="s">
        <v>178</v>
      </c>
      <c r="C274" t="s">
        <v>178</v>
      </c>
      <c r="D274" t="s">
        <v>178</v>
      </c>
      <c r="E274" t="s">
        <v>178</v>
      </c>
      <c r="F274" t="s">
        <v>178</v>
      </c>
      <c r="G274" t="s">
        <v>178</v>
      </c>
      <c r="H274" s="84" t="s">
        <v>178</v>
      </c>
      <c r="I274" t="s">
        <v>178</v>
      </c>
    </row>
    <row r="275" spans="1:9">
      <c r="A275" t="s">
        <v>178</v>
      </c>
      <c r="B275" t="s">
        <v>178</v>
      </c>
      <c r="C275" t="s">
        <v>178</v>
      </c>
      <c r="D275" t="s">
        <v>178</v>
      </c>
      <c r="E275" t="s">
        <v>178</v>
      </c>
      <c r="F275" t="s">
        <v>178</v>
      </c>
      <c r="G275" t="s">
        <v>178</v>
      </c>
      <c r="H275" s="84" t="s">
        <v>178</v>
      </c>
      <c r="I275" t="s">
        <v>178</v>
      </c>
    </row>
    <row r="276" spans="1:9">
      <c r="A276" t="s">
        <v>178</v>
      </c>
      <c r="B276" t="s">
        <v>178</v>
      </c>
      <c r="C276" t="s">
        <v>178</v>
      </c>
      <c r="D276" t="s">
        <v>178</v>
      </c>
      <c r="E276" t="s">
        <v>178</v>
      </c>
      <c r="F276" t="s">
        <v>178</v>
      </c>
      <c r="G276" t="s">
        <v>178</v>
      </c>
      <c r="H276" s="84" t="s">
        <v>178</v>
      </c>
      <c r="I276" t="s">
        <v>178</v>
      </c>
    </row>
    <row r="277" spans="1:9">
      <c r="A277" t="s">
        <v>178</v>
      </c>
      <c r="B277" t="s">
        <v>178</v>
      </c>
      <c r="C277" t="s">
        <v>178</v>
      </c>
      <c r="D277" t="s">
        <v>178</v>
      </c>
      <c r="E277" t="s">
        <v>178</v>
      </c>
      <c r="F277" t="s">
        <v>178</v>
      </c>
      <c r="G277" t="s">
        <v>178</v>
      </c>
      <c r="H277" s="84" t="s">
        <v>178</v>
      </c>
      <c r="I277" t="s">
        <v>178</v>
      </c>
    </row>
    <row r="278" spans="1:9">
      <c r="A278" t="s">
        <v>178</v>
      </c>
      <c r="B278" t="s">
        <v>178</v>
      </c>
      <c r="C278" t="s">
        <v>178</v>
      </c>
      <c r="D278" t="s">
        <v>178</v>
      </c>
      <c r="E278" t="s">
        <v>178</v>
      </c>
      <c r="F278" t="s">
        <v>178</v>
      </c>
      <c r="G278" t="s">
        <v>178</v>
      </c>
      <c r="H278" s="84" t="s">
        <v>178</v>
      </c>
      <c r="I278" t="s">
        <v>178</v>
      </c>
    </row>
    <row r="279" spans="1:9">
      <c r="A279" t="s">
        <v>178</v>
      </c>
      <c r="B279" t="s">
        <v>178</v>
      </c>
      <c r="C279" t="s">
        <v>178</v>
      </c>
      <c r="D279" t="s">
        <v>178</v>
      </c>
      <c r="E279" t="s">
        <v>178</v>
      </c>
      <c r="F279" t="s">
        <v>178</v>
      </c>
      <c r="G279" t="s">
        <v>178</v>
      </c>
      <c r="H279" s="84" t="s">
        <v>178</v>
      </c>
      <c r="I279" t="s">
        <v>178</v>
      </c>
    </row>
    <row r="280" spans="1:9">
      <c r="A280" t="s">
        <v>606</v>
      </c>
      <c r="B280" t="s">
        <v>214</v>
      </c>
      <c r="C280">
        <v>26</v>
      </c>
      <c r="D280">
        <v>619</v>
      </c>
      <c r="E280">
        <v>4.2003231017770599E-2</v>
      </c>
      <c r="F280">
        <v>11.03</v>
      </c>
      <c r="G280">
        <v>83.263048780487807</v>
      </c>
      <c r="H280" s="84">
        <v>3.4973170731707319</v>
      </c>
      <c r="I280">
        <v>113</v>
      </c>
    </row>
    <row r="281" spans="1:9">
      <c r="A281" t="s">
        <v>607</v>
      </c>
      <c r="B281" t="s">
        <v>212</v>
      </c>
      <c r="C281">
        <v>26</v>
      </c>
      <c r="D281">
        <v>608</v>
      </c>
      <c r="E281">
        <v>4.2763157894736843E-2</v>
      </c>
      <c r="F281">
        <v>11.03</v>
      </c>
      <c r="G281">
        <v>81.783414634146339</v>
      </c>
      <c r="H281" s="84">
        <v>3.4973170731707319</v>
      </c>
      <c r="I281">
        <v>113</v>
      </c>
    </row>
    <row r="282" spans="1:9">
      <c r="A282" t="s">
        <v>178</v>
      </c>
      <c r="B282" t="s">
        <v>178</v>
      </c>
      <c r="C282" t="s">
        <v>178</v>
      </c>
      <c r="D282" t="s">
        <v>178</v>
      </c>
      <c r="E282" t="s">
        <v>178</v>
      </c>
      <c r="F282" t="s">
        <v>178</v>
      </c>
      <c r="G282" t="s">
        <v>178</v>
      </c>
      <c r="H282" s="84" t="s">
        <v>178</v>
      </c>
      <c r="I282" t="s">
        <v>178</v>
      </c>
    </row>
    <row r="283" spans="1:9">
      <c r="A283" t="s">
        <v>609</v>
      </c>
      <c r="B283" t="s">
        <v>202</v>
      </c>
      <c r="C283">
        <v>26</v>
      </c>
      <c r="D283">
        <v>601</v>
      </c>
      <c r="E283">
        <v>4.3261231281198007E-2</v>
      </c>
      <c r="F283">
        <v>8.74</v>
      </c>
      <c r="G283">
        <v>64.057804878048785</v>
      </c>
      <c r="H283" s="84">
        <v>2.7712195121951222</v>
      </c>
      <c r="I283">
        <v>139</v>
      </c>
    </row>
    <row r="284" spans="1:9">
      <c r="A284" t="s">
        <v>610</v>
      </c>
      <c r="B284" t="s">
        <v>203</v>
      </c>
      <c r="C284">
        <v>26</v>
      </c>
      <c r="D284">
        <v>659</v>
      </c>
      <c r="E284">
        <v>3.9453717754172987E-2</v>
      </c>
      <c r="F284">
        <v>8.52</v>
      </c>
      <c r="G284">
        <v>68.471707317073168</v>
      </c>
      <c r="H284" s="84">
        <v>2.7014634146341461</v>
      </c>
      <c r="I284">
        <v>140</v>
      </c>
    </row>
    <row r="285" spans="1:9">
      <c r="A285" t="s">
        <v>178</v>
      </c>
      <c r="B285" t="s">
        <v>178</v>
      </c>
      <c r="C285" t="s">
        <v>178</v>
      </c>
      <c r="D285" t="s">
        <v>178</v>
      </c>
      <c r="E285" t="s">
        <v>178</v>
      </c>
      <c r="F285" t="s">
        <v>178</v>
      </c>
      <c r="G285" t="s">
        <v>178</v>
      </c>
      <c r="H285" s="84" t="s">
        <v>178</v>
      </c>
      <c r="I285" t="s">
        <v>178</v>
      </c>
    </row>
    <row r="286" spans="1:9">
      <c r="A286" t="s">
        <v>178</v>
      </c>
      <c r="B286" t="s">
        <v>178</v>
      </c>
      <c r="C286" t="s">
        <v>178</v>
      </c>
      <c r="D286" t="s">
        <v>178</v>
      </c>
      <c r="E286" t="s">
        <v>178</v>
      </c>
      <c r="F286" t="s">
        <v>178</v>
      </c>
      <c r="G286" t="s">
        <v>178</v>
      </c>
      <c r="H286" s="84" t="s">
        <v>178</v>
      </c>
      <c r="I286" t="s">
        <v>178</v>
      </c>
    </row>
    <row r="287" spans="1:9">
      <c r="A287" t="s">
        <v>178</v>
      </c>
      <c r="B287" t="s">
        <v>178</v>
      </c>
      <c r="C287" t="s">
        <v>178</v>
      </c>
      <c r="D287" t="s">
        <v>178</v>
      </c>
      <c r="E287" t="s">
        <v>178</v>
      </c>
      <c r="F287" t="s">
        <v>178</v>
      </c>
      <c r="G287" t="s">
        <v>178</v>
      </c>
      <c r="H287" s="84" t="s">
        <v>178</v>
      </c>
      <c r="I287" t="s">
        <v>178</v>
      </c>
    </row>
    <row r="288" spans="1:9">
      <c r="A288" t="s">
        <v>614</v>
      </c>
      <c r="B288" t="s">
        <v>212</v>
      </c>
      <c r="C288">
        <v>25</v>
      </c>
      <c r="D288">
        <v>608</v>
      </c>
      <c r="E288">
        <v>4.1118421052631582E-2</v>
      </c>
      <c r="F288">
        <v>11.03</v>
      </c>
      <c r="G288">
        <v>81.783414634146339</v>
      </c>
      <c r="H288" s="84">
        <v>3.3628048780487805</v>
      </c>
      <c r="I288">
        <v>118</v>
      </c>
    </row>
    <row r="289" spans="1:9">
      <c r="A289" t="s">
        <v>178</v>
      </c>
      <c r="B289" t="s">
        <v>178</v>
      </c>
      <c r="C289" t="s">
        <v>178</v>
      </c>
      <c r="D289" t="s">
        <v>178</v>
      </c>
      <c r="E289" t="s">
        <v>178</v>
      </c>
      <c r="F289" t="s">
        <v>178</v>
      </c>
      <c r="G289" t="s">
        <v>178</v>
      </c>
      <c r="H289" s="84" t="s">
        <v>178</v>
      </c>
      <c r="I289" t="s">
        <v>178</v>
      </c>
    </row>
    <row r="290" spans="1:9">
      <c r="A290" t="s">
        <v>616</v>
      </c>
      <c r="B290" t="s">
        <v>206</v>
      </c>
      <c r="C290">
        <v>25</v>
      </c>
      <c r="D290">
        <v>642</v>
      </c>
      <c r="E290">
        <v>3.8940809968847349E-2</v>
      </c>
      <c r="F290">
        <v>9.99</v>
      </c>
      <c r="G290">
        <v>78.214390243902443</v>
      </c>
      <c r="H290" s="84">
        <v>3.0457317073170733</v>
      </c>
      <c r="I290">
        <v>130</v>
      </c>
    </row>
    <row r="291" spans="1:9">
      <c r="A291" t="s">
        <v>617</v>
      </c>
      <c r="B291" t="s">
        <v>206</v>
      </c>
      <c r="C291">
        <v>25</v>
      </c>
      <c r="D291">
        <v>642</v>
      </c>
      <c r="E291">
        <v>3.8940809968847349E-2</v>
      </c>
      <c r="F291">
        <v>9.99</v>
      </c>
      <c r="G291">
        <v>78.214390243902443</v>
      </c>
      <c r="H291" s="84">
        <v>3.0457317073170733</v>
      </c>
      <c r="I291">
        <v>130</v>
      </c>
    </row>
    <row r="292" spans="1:9">
      <c r="A292" t="s">
        <v>178</v>
      </c>
      <c r="B292" t="s">
        <v>178</v>
      </c>
      <c r="C292" t="s">
        <v>178</v>
      </c>
      <c r="D292" t="s">
        <v>178</v>
      </c>
      <c r="E292" t="s">
        <v>178</v>
      </c>
      <c r="F292" t="s">
        <v>178</v>
      </c>
      <c r="G292" t="s">
        <v>178</v>
      </c>
      <c r="H292" s="84" t="s">
        <v>178</v>
      </c>
      <c r="I292" t="s">
        <v>178</v>
      </c>
    </row>
    <row r="293" spans="1:9">
      <c r="A293" t="s">
        <v>178</v>
      </c>
      <c r="B293" t="s">
        <v>178</v>
      </c>
      <c r="C293" t="s">
        <v>178</v>
      </c>
      <c r="D293" t="s">
        <v>178</v>
      </c>
      <c r="E293" t="s">
        <v>178</v>
      </c>
      <c r="F293" t="s">
        <v>178</v>
      </c>
      <c r="G293" t="s">
        <v>178</v>
      </c>
      <c r="H293" s="84" t="s">
        <v>178</v>
      </c>
      <c r="I293" t="s">
        <v>178</v>
      </c>
    </row>
    <row r="294" spans="1:9">
      <c r="A294" t="s">
        <v>178</v>
      </c>
      <c r="B294" t="s">
        <v>178</v>
      </c>
      <c r="C294" t="s">
        <v>178</v>
      </c>
      <c r="D294" t="s">
        <v>178</v>
      </c>
      <c r="E294" t="s">
        <v>178</v>
      </c>
      <c r="F294" t="s">
        <v>178</v>
      </c>
      <c r="G294" t="s">
        <v>178</v>
      </c>
      <c r="H294" s="84" t="s">
        <v>178</v>
      </c>
      <c r="I294" t="s">
        <v>178</v>
      </c>
    </row>
    <row r="295" spans="1:9">
      <c r="A295" t="s">
        <v>621</v>
      </c>
      <c r="B295" t="s">
        <v>209</v>
      </c>
      <c r="C295">
        <v>25</v>
      </c>
      <c r="D295">
        <v>630</v>
      </c>
      <c r="E295">
        <v>3.968253968253968E-2</v>
      </c>
      <c r="F295">
        <v>9.65</v>
      </c>
      <c r="G295">
        <v>74.140243902439025</v>
      </c>
      <c r="H295" s="84">
        <v>2.9420731707317072</v>
      </c>
      <c r="I295">
        <v>133</v>
      </c>
    </row>
    <row r="296" spans="1:9">
      <c r="A296" t="s">
        <v>178</v>
      </c>
      <c r="B296" t="s">
        <v>178</v>
      </c>
      <c r="C296" t="s">
        <v>178</v>
      </c>
      <c r="D296" t="s">
        <v>178</v>
      </c>
      <c r="E296" t="s">
        <v>178</v>
      </c>
      <c r="F296" t="s">
        <v>178</v>
      </c>
      <c r="G296" t="s">
        <v>178</v>
      </c>
      <c r="H296" s="84" t="s">
        <v>178</v>
      </c>
      <c r="I296" t="s">
        <v>178</v>
      </c>
    </row>
    <row r="297" spans="1:9">
      <c r="A297" t="s">
        <v>178</v>
      </c>
      <c r="B297" t="s">
        <v>178</v>
      </c>
      <c r="C297" t="s">
        <v>178</v>
      </c>
      <c r="D297" t="s">
        <v>178</v>
      </c>
      <c r="E297" t="s">
        <v>178</v>
      </c>
      <c r="F297" t="s">
        <v>178</v>
      </c>
      <c r="G297" t="s">
        <v>178</v>
      </c>
      <c r="H297" s="84" t="s">
        <v>178</v>
      </c>
      <c r="I297" t="s">
        <v>178</v>
      </c>
    </row>
    <row r="298" spans="1:9">
      <c r="A298" t="s">
        <v>178</v>
      </c>
      <c r="B298" t="s">
        <v>178</v>
      </c>
      <c r="C298" t="s">
        <v>178</v>
      </c>
      <c r="D298" t="s">
        <v>178</v>
      </c>
      <c r="E298" t="s">
        <v>178</v>
      </c>
      <c r="F298" t="s">
        <v>178</v>
      </c>
      <c r="G298" t="s">
        <v>178</v>
      </c>
      <c r="H298" s="84" t="s">
        <v>178</v>
      </c>
      <c r="I298" t="s">
        <v>178</v>
      </c>
    </row>
    <row r="299" spans="1:9">
      <c r="A299" t="s">
        <v>178</v>
      </c>
      <c r="B299" t="s">
        <v>178</v>
      </c>
      <c r="C299" t="s">
        <v>178</v>
      </c>
      <c r="D299" t="s">
        <v>178</v>
      </c>
      <c r="E299" t="s">
        <v>178</v>
      </c>
      <c r="F299" t="s">
        <v>178</v>
      </c>
      <c r="G299" t="s">
        <v>178</v>
      </c>
      <c r="H299" s="84" t="s">
        <v>178</v>
      </c>
      <c r="I299" t="s">
        <v>178</v>
      </c>
    </row>
    <row r="300" spans="1:9">
      <c r="A300" t="s">
        <v>178</v>
      </c>
      <c r="B300" t="s">
        <v>178</v>
      </c>
      <c r="C300" t="s">
        <v>178</v>
      </c>
      <c r="D300" t="s">
        <v>178</v>
      </c>
      <c r="E300" t="s">
        <v>178</v>
      </c>
      <c r="F300" t="s">
        <v>178</v>
      </c>
      <c r="G300" t="s">
        <v>178</v>
      </c>
      <c r="H300" s="84" t="s">
        <v>178</v>
      </c>
      <c r="I300" t="s">
        <v>178</v>
      </c>
    </row>
    <row r="301" spans="1:9">
      <c r="A301" t="s">
        <v>178</v>
      </c>
      <c r="B301" t="s">
        <v>178</v>
      </c>
      <c r="C301" t="s">
        <v>178</v>
      </c>
      <c r="D301" t="s">
        <v>178</v>
      </c>
      <c r="E301" t="s">
        <v>178</v>
      </c>
      <c r="F301" t="s">
        <v>178</v>
      </c>
      <c r="G301" t="s">
        <v>178</v>
      </c>
      <c r="H301" s="84" t="s">
        <v>178</v>
      </c>
      <c r="I301" t="s">
        <v>178</v>
      </c>
    </row>
    <row r="302" spans="1:9">
      <c r="A302" t="s">
        <v>178</v>
      </c>
      <c r="B302" t="s">
        <v>178</v>
      </c>
      <c r="C302" t="s">
        <v>178</v>
      </c>
      <c r="D302" t="s">
        <v>178</v>
      </c>
      <c r="E302" t="s">
        <v>178</v>
      </c>
      <c r="F302" t="s">
        <v>178</v>
      </c>
      <c r="G302" t="s">
        <v>178</v>
      </c>
      <c r="H302" s="84" t="s">
        <v>178</v>
      </c>
      <c r="I302" t="s">
        <v>178</v>
      </c>
    </row>
    <row r="303" spans="1:9">
      <c r="A303" t="s">
        <v>178</v>
      </c>
      <c r="B303" t="s">
        <v>178</v>
      </c>
      <c r="C303" t="s">
        <v>178</v>
      </c>
      <c r="D303" t="s">
        <v>178</v>
      </c>
      <c r="E303" t="s">
        <v>178</v>
      </c>
      <c r="F303" t="s">
        <v>178</v>
      </c>
      <c r="G303" t="s">
        <v>178</v>
      </c>
      <c r="H303" s="84" t="s">
        <v>178</v>
      </c>
      <c r="I303" t="s">
        <v>178</v>
      </c>
    </row>
    <row r="304" spans="1:9">
      <c r="A304" t="s">
        <v>178</v>
      </c>
      <c r="B304" t="s">
        <v>178</v>
      </c>
      <c r="C304" t="s">
        <v>178</v>
      </c>
      <c r="D304" t="s">
        <v>178</v>
      </c>
      <c r="E304" t="s">
        <v>178</v>
      </c>
      <c r="F304" t="s">
        <v>178</v>
      </c>
      <c r="G304" t="s">
        <v>178</v>
      </c>
      <c r="H304" s="84" t="s">
        <v>178</v>
      </c>
      <c r="I304" t="s">
        <v>178</v>
      </c>
    </row>
    <row r="305" spans="1:9">
      <c r="A305" t="s">
        <v>178</v>
      </c>
      <c r="B305" t="s">
        <v>178</v>
      </c>
      <c r="C305" t="s">
        <v>178</v>
      </c>
      <c r="D305" t="s">
        <v>178</v>
      </c>
      <c r="E305" t="s">
        <v>178</v>
      </c>
      <c r="F305" t="s">
        <v>178</v>
      </c>
      <c r="G305" t="s">
        <v>178</v>
      </c>
      <c r="H305" s="84" t="s">
        <v>178</v>
      </c>
      <c r="I305" t="s">
        <v>178</v>
      </c>
    </row>
    <row r="306" spans="1:9">
      <c r="A306" t="s">
        <v>178</v>
      </c>
      <c r="B306" t="s">
        <v>178</v>
      </c>
      <c r="C306" t="s">
        <v>178</v>
      </c>
      <c r="D306" t="s">
        <v>178</v>
      </c>
      <c r="E306" t="s">
        <v>178</v>
      </c>
      <c r="F306" t="s">
        <v>178</v>
      </c>
      <c r="G306" t="s">
        <v>178</v>
      </c>
      <c r="H306" s="84" t="s">
        <v>178</v>
      </c>
      <c r="I306" t="s">
        <v>178</v>
      </c>
    </row>
    <row r="307" spans="1:9">
      <c r="A307" t="s">
        <v>633</v>
      </c>
      <c r="B307" t="s">
        <v>206</v>
      </c>
      <c r="C307">
        <v>24</v>
      </c>
      <c r="D307">
        <v>642</v>
      </c>
      <c r="E307">
        <v>3.7383177570093455E-2</v>
      </c>
      <c r="F307">
        <v>9.99</v>
      </c>
      <c r="G307">
        <v>78.214390243902443</v>
      </c>
      <c r="H307" s="84">
        <v>2.9239024390243902</v>
      </c>
      <c r="I307">
        <v>134</v>
      </c>
    </row>
    <row r="308" spans="1:9">
      <c r="A308" t="s">
        <v>178</v>
      </c>
      <c r="B308" t="s">
        <v>178</v>
      </c>
      <c r="C308" t="s">
        <v>178</v>
      </c>
      <c r="D308" t="s">
        <v>178</v>
      </c>
      <c r="E308" t="s">
        <v>178</v>
      </c>
      <c r="F308" t="s">
        <v>178</v>
      </c>
      <c r="G308" t="s">
        <v>178</v>
      </c>
      <c r="H308" s="84" t="s">
        <v>178</v>
      </c>
      <c r="I308" t="s">
        <v>178</v>
      </c>
    </row>
    <row r="309" spans="1:9">
      <c r="A309" t="s">
        <v>178</v>
      </c>
      <c r="B309" t="s">
        <v>178</v>
      </c>
      <c r="C309" t="s">
        <v>178</v>
      </c>
      <c r="D309" t="s">
        <v>178</v>
      </c>
      <c r="E309" t="s">
        <v>178</v>
      </c>
      <c r="F309" t="s">
        <v>178</v>
      </c>
      <c r="G309" t="s">
        <v>178</v>
      </c>
      <c r="H309" s="84" t="s">
        <v>178</v>
      </c>
      <c r="I309" t="s">
        <v>178</v>
      </c>
    </row>
    <row r="310" spans="1:9">
      <c r="A310" t="s">
        <v>636</v>
      </c>
      <c r="B310" t="s">
        <v>212</v>
      </c>
      <c r="C310">
        <v>23</v>
      </c>
      <c r="D310">
        <v>608</v>
      </c>
      <c r="E310">
        <v>3.7828947368421052E-2</v>
      </c>
      <c r="F310">
        <v>11.03</v>
      </c>
      <c r="G310">
        <v>81.783414634146339</v>
      </c>
      <c r="H310" s="84">
        <v>3.093780487804878</v>
      </c>
      <c r="I310">
        <v>128</v>
      </c>
    </row>
    <row r="311" spans="1:9">
      <c r="A311" t="s">
        <v>637</v>
      </c>
      <c r="B311" t="s">
        <v>210</v>
      </c>
      <c r="C311">
        <v>23</v>
      </c>
      <c r="D311">
        <v>594</v>
      </c>
      <c r="E311">
        <v>3.8720538720538718E-2</v>
      </c>
      <c r="F311">
        <v>9.11</v>
      </c>
      <c r="G311">
        <v>65.991951219512188</v>
      </c>
      <c r="H311" s="84">
        <v>2.5552439024390239</v>
      </c>
      <c r="I311">
        <v>147</v>
      </c>
    </row>
    <row r="312" spans="1:9">
      <c r="A312" t="s">
        <v>638</v>
      </c>
      <c r="B312" t="s">
        <v>206</v>
      </c>
      <c r="C312">
        <v>23</v>
      </c>
      <c r="D312">
        <v>642</v>
      </c>
      <c r="E312">
        <v>3.5825545171339561E-2</v>
      </c>
      <c r="F312">
        <v>9.99</v>
      </c>
      <c r="G312">
        <v>78.214390243902443</v>
      </c>
      <c r="H312" s="84">
        <v>2.802073170731707</v>
      </c>
      <c r="I312">
        <v>137</v>
      </c>
    </row>
    <row r="313" spans="1:9">
      <c r="A313" t="s">
        <v>178</v>
      </c>
      <c r="B313" t="s">
        <v>178</v>
      </c>
      <c r="C313" t="s">
        <v>178</v>
      </c>
      <c r="D313" t="s">
        <v>178</v>
      </c>
      <c r="E313" t="s">
        <v>178</v>
      </c>
      <c r="F313" t="s">
        <v>178</v>
      </c>
      <c r="G313" t="s">
        <v>178</v>
      </c>
      <c r="H313" s="84" t="s">
        <v>178</v>
      </c>
      <c r="I313" t="s">
        <v>178</v>
      </c>
    </row>
    <row r="314" spans="1:9">
      <c r="A314" t="s">
        <v>178</v>
      </c>
      <c r="B314" t="s">
        <v>178</v>
      </c>
      <c r="C314" t="s">
        <v>178</v>
      </c>
      <c r="D314" t="s">
        <v>178</v>
      </c>
      <c r="E314" t="s">
        <v>178</v>
      </c>
      <c r="F314" t="s">
        <v>178</v>
      </c>
      <c r="G314" t="s">
        <v>178</v>
      </c>
      <c r="H314" s="84" t="s">
        <v>178</v>
      </c>
      <c r="I314" t="s">
        <v>178</v>
      </c>
    </row>
    <row r="315" spans="1:9">
      <c r="A315" t="s">
        <v>641</v>
      </c>
      <c r="B315" t="s">
        <v>205</v>
      </c>
      <c r="C315">
        <v>23</v>
      </c>
      <c r="D315">
        <v>613</v>
      </c>
      <c r="E315">
        <v>3.7520391517128875E-2</v>
      </c>
      <c r="F315">
        <v>15.26</v>
      </c>
      <c r="G315">
        <v>114.07780487804878</v>
      </c>
      <c r="H315" s="84">
        <v>4.2802439024390244</v>
      </c>
      <c r="I315">
        <v>92</v>
      </c>
    </row>
    <row r="316" spans="1:9">
      <c r="A316" t="s">
        <v>178</v>
      </c>
      <c r="B316" t="s">
        <v>178</v>
      </c>
      <c r="C316" t="s">
        <v>178</v>
      </c>
      <c r="D316" t="s">
        <v>178</v>
      </c>
      <c r="E316" t="s">
        <v>178</v>
      </c>
      <c r="F316" t="s">
        <v>178</v>
      </c>
      <c r="G316" t="s">
        <v>178</v>
      </c>
      <c r="H316" s="84" t="s">
        <v>178</v>
      </c>
      <c r="I316" t="s">
        <v>178</v>
      </c>
    </row>
    <row r="317" spans="1:9">
      <c r="A317" t="s">
        <v>643</v>
      </c>
      <c r="B317" t="s">
        <v>203</v>
      </c>
      <c r="C317">
        <v>23</v>
      </c>
      <c r="D317">
        <v>659</v>
      </c>
      <c r="E317">
        <v>3.490136570561457E-2</v>
      </c>
      <c r="F317">
        <v>8.52</v>
      </c>
      <c r="G317">
        <v>68.471707317073168</v>
      </c>
      <c r="H317" s="84">
        <v>2.3897560975609755</v>
      </c>
      <c r="I317">
        <v>154</v>
      </c>
    </row>
    <row r="318" spans="1:9">
      <c r="A318" t="s">
        <v>644</v>
      </c>
      <c r="B318" t="s">
        <v>205</v>
      </c>
      <c r="C318">
        <v>23</v>
      </c>
      <c r="D318">
        <v>613</v>
      </c>
      <c r="E318">
        <v>3.7520391517128875E-2</v>
      </c>
      <c r="F318">
        <v>15.26</v>
      </c>
      <c r="G318">
        <v>114.07780487804878</v>
      </c>
      <c r="H318" s="84">
        <v>4.2802439024390244</v>
      </c>
      <c r="I318">
        <v>92</v>
      </c>
    </row>
    <row r="319" spans="1:9">
      <c r="A319" t="s">
        <v>178</v>
      </c>
      <c r="B319" t="s">
        <v>178</v>
      </c>
      <c r="C319" t="s">
        <v>178</v>
      </c>
      <c r="D319" t="s">
        <v>178</v>
      </c>
      <c r="E319" t="s">
        <v>178</v>
      </c>
      <c r="F319" t="s">
        <v>178</v>
      </c>
      <c r="G319" t="s">
        <v>178</v>
      </c>
      <c r="H319" s="84" t="s">
        <v>178</v>
      </c>
      <c r="I319" t="s">
        <v>178</v>
      </c>
    </row>
    <row r="320" spans="1:9">
      <c r="A320" t="s">
        <v>178</v>
      </c>
      <c r="B320" t="s">
        <v>178</v>
      </c>
      <c r="C320" t="s">
        <v>178</v>
      </c>
      <c r="D320" t="s">
        <v>178</v>
      </c>
      <c r="E320" t="s">
        <v>178</v>
      </c>
      <c r="F320" t="s">
        <v>178</v>
      </c>
      <c r="G320" t="s">
        <v>178</v>
      </c>
      <c r="H320" s="84" t="s">
        <v>178</v>
      </c>
      <c r="I320" t="s">
        <v>178</v>
      </c>
    </row>
    <row r="321" spans="1:9">
      <c r="A321" t="s">
        <v>647</v>
      </c>
      <c r="B321" t="s">
        <v>214</v>
      </c>
      <c r="C321">
        <v>23</v>
      </c>
      <c r="D321">
        <v>619</v>
      </c>
      <c r="E321">
        <v>3.7156704361873988E-2</v>
      </c>
      <c r="F321">
        <v>11.03</v>
      </c>
      <c r="G321">
        <v>83.263048780487807</v>
      </c>
      <c r="H321" s="84">
        <v>3.093780487804878</v>
      </c>
      <c r="I321">
        <v>128</v>
      </c>
    </row>
    <row r="322" spans="1:9">
      <c r="A322" t="s">
        <v>648</v>
      </c>
      <c r="B322" t="s">
        <v>205</v>
      </c>
      <c r="C322">
        <v>23</v>
      </c>
      <c r="D322">
        <v>613</v>
      </c>
      <c r="E322">
        <v>3.7520391517128875E-2</v>
      </c>
      <c r="F322">
        <v>15.26</v>
      </c>
      <c r="G322">
        <v>114.07780487804878</v>
      </c>
      <c r="H322" s="84">
        <v>4.2802439024390244</v>
      </c>
      <c r="I322">
        <v>92</v>
      </c>
    </row>
    <row r="323" spans="1:9">
      <c r="A323" t="s">
        <v>649</v>
      </c>
      <c r="B323" t="s">
        <v>210</v>
      </c>
      <c r="C323">
        <v>23</v>
      </c>
      <c r="D323">
        <v>594</v>
      </c>
      <c r="E323">
        <v>3.8720538720538718E-2</v>
      </c>
      <c r="F323">
        <v>9.11</v>
      </c>
      <c r="G323">
        <v>65.991951219512188</v>
      </c>
      <c r="H323" s="84">
        <v>2.5552439024390239</v>
      </c>
      <c r="I323">
        <v>147</v>
      </c>
    </row>
    <row r="324" spans="1:9">
      <c r="A324" t="s">
        <v>178</v>
      </c>
      <c r="B324" t="s">
        <v>178</v>
      </c>
      <c r="C324" t="s">
        <v>178</v>
      </c>
      <c r="D324" t="s">
        <v>178</v>
      </c>
      <c r="E324" t="s">
        <v>178</v>
      </c>
      <c r="F324" t="s">
        <v>178</v>
      </c>
      <c r="G324" t="s">
        <v>178</v>
      </c>
      <c r="H324" s="84" t="s">
        <v>178</v>
      </c>
      <c r="I324" t="s">
        <v>178</v>
      </c>
    </row>
    <row r="325" spans="1:9">
      <c r="A325" t="s">
        <v>178</v>
      </c>
      <c r="B325" t="s">
        <v>178</v>
      </c>
      <c r="C325" t="s">
        <v>178</v>
      </c>
      <c r="D325" t="s">
        <v>178</v>
      </c>
      <c r="E325" t="s">
        <v>178</v>
      </c>
      <c r="F325" t="s">
        <v>178</v>
      </c>
      <c r="G325" t="s">
        <v>178</v>
      </c>
      <c r="H325" s="84" t="s">
        <v>178</v>
      </c>
      <c r="I325" t="s">
        <v>178</v>
      </c>
    </row>
    <row r="326" spans="1:9">
      <c r="A326" t="s">
        <v>178</v>
      </c>
      <c r="B326" t="s">
        <v>178</v>
      </c>
      <c r="C326" t="s">
        <v>178</v>
      </c>
      <c r="D326" t="s">
        <v>178</v>
      </c>
      <c r="E326" t="s">
        <v>178</v>
      </c>
      <c r="F326" t="s">
        <v>178</v>
      </c>
      <c r="G326" t="s">
        <v>178</v>
      </c>
      <c r="H326" s="84" t="s">
        <v>178</v>
      </c>
      <c r="I326" t="s">
        <v>178</v>
      </c>
    </row>
    <row r="327" spans="1:9">
      <c r="A327" t="s">
        <v>653</v>
      </c>
      <c r="B327" t="s">
        <v>196</v>
      </c>
      <c r="C327">
        <v>22</v>
      </c>
      <c r="D327">
        <v>656</v>
      </c>
      <c r="E327">
        <v>3.3536585365853661E-2</v>
      </c>
      <c r="F327">
        <v>14.22</v>
      </c>
      <c r="G327">
        <v>113.76</v>
      </c>
      <c r="H327" s="84">
        <v>3.8151219512195125</v>
      </c>
      <c r="I327">
        <v>105</v>
      </c>
    </row>
    <row r="328" spans="1:9">
      <c r="A328" t="s">
        <v>178</v>
      </c>
      <c r="B328" t="s">
        <v>178</v>
      </c>
      <c r="C328" t="s">
        <v>178</v>
      </c>
      <c r="D328" t="s">
        <v>178</v>
      </c>
      <c r="E328" t="s">
        <v>178</v>
      </c>
      <c r="F328" t="s">
        <v>178</v>
      </c>
      <c r="G328" t="s">
        <v>178</v>
      </c>
      <c r="H328" s="84" t="s">
        <v>178</v>
      </c>
      <c r="I328" t="s">
        <v>178</v>
      </c>
    </row>
    <row r="329" spans="1:9">
      <c r="A329" t="s">
        <v>178</v>
      </c>
      <c r="B329" t="s">
        <v>178</v>
      </c>
      <c r="C329" t="s">
        <v>178</v>
      </c>
      <c r="D329" t="s">
        <v>178</v>
      </c>
      <c r="E329" t="s">
        <v>178</v>
      </c>
      <c r="F329" t="s">
        <v>178</v>
      </c>
      <c r="G329" t="s">
        <v>178</v>
      </c>
      <c r="H329" s="84" t="s">
        <v>178</v>
      </c>
      <c r="I329" t="s">
        <v>178</v>
      </c>
    </row>
    <row r="330" spans="1:9">
      <c r="A330" t="s">
        <v>178</v>
      </c>
      <c r="B330" t="s">
        <v>178</v>
      </c>
      <c r="C330" t="s">
        <v>178</v>
      </c>
      <c r="D330" t="s">
        <v>178</v>
      </c>
      <c r="E330" t="s">
        <v>178</v>
      </c>
      <c r="F330" t="s">
        <v>178</v>
      </c>
      <c r="G330" t="s">
        <v>178</v>
      </c>
      <c r="H330" s="84" t="s">
        <v>178</v>
      </c>
      <c r="I330" t="s">
        <v>178</v>
      </c>
    </row>
    <row r="331" spans="1:9">
      <c r="A331" t="s">
        <v>657</v>
      </c>
      <c r="B331" t="s">
        <v>210</v>
      </c>
      <c r="C331">
        <v>22</v>
      </c>
      <c r="D331">
        <v>594</v>
      </c>
      <c r="E331">
        <v>3.7037037037037035E-2</v>
      </c>
      <c r="F331">
        <v>9.11</v>
      </c>
      <c r="G331">
        <v>65.991951219512188</v>
      </c>
      <c r="H331" s="84">
        <v>2.4441463414634144</v>
      </c>
      <c r="I331">
        <v>150</v>
      </c>
    </row>
    <row r="332" spans="1:9">
      <c r="A332" t="s">
        <v>178</v>
      </c>
      <c r="B332" t="s">
        <v>178</v>
      </c>
      <c r="C332" t="s">
        <v>178</v>
      </c>
      <c r="D332" t="s">
        <v>178</v>
      </c>
      <c r="E332" t="s">
        <v>178</v>
      </c>
      <c r="F332" t="s">
        <v>178</v>
      </c>
      <c r="G332" t="s">
        <v>178</v>
      </c>
      <c r="H332" s="84" t="s">
        <v>178</v>
      </c>
      <c r="I332" t="s">
        <v>178</v>
      </c>
    </row>
    <row r="333" spans="1:9">
      <c r="A333" t="s">
        <v>178</v>
      </c>
      <c r="B333" t="s">
        <v>178</v>
      </c>
      <c r="C333" t="s">
        <v>178</v>
      </c>
      <c r="D333" t="s">
        <v>178</v>
      </c>
      <c r="E333" t="s">
        <v>178</v>
      </c>
      <c r="F333" t="s">
        <v>178</v>
      </c>
      <c r="G333" t="s">
        <v>178</v>
      </c>
      <c r="H333" s="84" t="s">
        <v>178</v>
      </c>
      <c r="I333" t="s">
        <v>178</v>
      </c>
    </row>
    <row r="334" spans="1:9">
      <c r="A334" t="s">
        <v>178</v>
      </c>
      <c r="B334" t="s">
        <v>178</v>
      </c>
      <c r="C334" t="s">
        <v>178</v>
      </c>
      <c r="D334" t="s">
        <v>178</v>
      </c>
      <c r="E334" t="s">
        <v>178</v>
      </c>
      <c r="F334" t="s">
        <v>178</v>
      </c>
      <c r="G334" t="s">
        <v>178</v>
      </c>
      <c r="H334" s="84" t="s">
        <v>178</v>
      </c>
      <c r="I334" t="s">
        <v>178</v>
      </c>
    </row>
    <row r="335" spans="1:9">
      <c r="A335" t="s">
        <v>178</v>
      </c>
      <c r="B335" t="s">
        <v>178</v>
      </c>
      <c r="C335" t="s">
        <v>178</v>
      </c>
      <c r="D335" t="s">
        <v>178</v>
      </c>
      <c r="E335" t="s">
        <v>178</v>
      </c>
      <c r="F335" t="s">
        <v>178</v>
      </c>
      <c r="G335" t="s">
        <v>178</v>
      </c>
      <c r="H335" s="84" t="s">
        <v>178</v>
      </c>
      <c r="I335" t="s">
        <v>178</v>
      </c>
    </row>
    <row r="336" spans="1:9">
      <c r="A336" t="s">
        <v>662</v>
      </c>
      <c r="B336" t="s">
        <v>209</v>
      </c>
      <c r="C336">
        <v>22</v>
      </c>
      <c r="D336">
        <v>630</v>
      </c>
      <c r="E336">
        <v>3.4920634920634921E-2</v>
      </c>
      <c r="F336">
        <v>9.65</v>
      </c>
      <c r="G336">
        <v>74.140243902439025</v>
      </c>
      <c r="H336" s="84">
        <v>2.5890243902439023</v>
      </c>
      <c r="I336">
        <v>142</v>
      </c>
    </row>
    <row r="337" spans="1:9">
      <c r="A337" t="s">
        <v>178</v>
      </c>
      <c r="B337" t="s">
        <v>178</v>
      </c>
      <c r="C337" t="s">
        <v>178</v>
      </c>
      <c r="D337" t="s">
        <v>178</v>
      </c>
      <c r="E337" t="s">
        <v>178</v>
      </c>
      <c r="F337" t="s">
        <v>178</v>
      </c>
      <c r="G337" t="s">
        <v>178</v>
      </c>
      <c r="H337" s="84" t="s">
        <v>178</v>
      </c>
      <c r="I337" t="s">
        <v>178</v>
      </c>
    </row>
    <row r="338" spans="1:9">
      <c r="A338" t="s">
        <v>664</v>
      </c>
      <c r="B338" t="s">
        <v>206</v>
      </c>
      <c r="C338">
        <v>21</v>
      </c>
      <c r="D338">
        <v>642</v>
      </c>
      <c r="E338">
        <v>3.2710280373831772E-2</v>
      </c>
      <c r="F338">
        <v>9.99</v>
      </c>
      <c r="G338">
        <v>78.214390243902443</v>
      </c>
      <c r="H338" s="84">
        <v>2.5584146341463412</v>
      </c>
      <c r="I338">
        <v>143</v>
      </c>
    </row>
    <row r="339" spans="1:9">
      <c r="A339" t="s">
        <v>178</v>
      </c>
      <c r="B339" t="s">
        <v>178</v>
      </c>
      <c r="C339" t="s">
        <v>178</v>
      </c>
      <c r="D339" t="s">
        <v>178</v>
      </c>
      <c r="E339" t="s">
        <v>178</v>
      </c>
      <c r="F339" t="s">
        <v>178</v>
      </c>
      <c r="G339" t="s">
        <v>178</v>
      </c>
      <c r="H339" s="84" t="s">
        <v>178</v>
      </c>
      <c r="I339" t="s">
        <v>178</v>
      </c>
    </row>
    <row r="340" spans="1:9">
      <c r="A340" t="s">
        <v>666</v>
      </c>
      <c r="B340" t="s">
        <v>214</v>
      </c>
      <c r="C340">
        <v>21</v>
      </c>
      <c r="D340">
        <v>619</v>
      </c>
      <c r="E340">
        <v>3.3925686591276254E-2</v>
      </c>
      <c r="F340">
        <v>11.03</v>
      </c>
      <c r="G340">
        <v>83.263048780487807</v>
      </c>
      <c r="H340" s="84">
        <v>2.824756097560976</v>
      </c>
      <c r="I340">
        <v>135</v>
      </c>
    </row>
    <row r="341" spans="1:9">
      <c r="A341" t="s">
        <v>178</v>
      </c>
      <c r="B341" t="s">
        <v>178</v>
      </c>
      <c r="C341" t="s">
        <v>178</v>
      </c>
      <c r="D341" t="s">
        <v>178</v>
      </c>
      <c r="E341" t="s">
        <v>178</v>
      </c>
      <c r="F341" t="s">
        <v>178</v>
      </c>
      <c r="G341" t="s">
        <v>178</v>
      </c>
      <c r="H341" s="84" t="s">
        <v>178</v>
      </c>
      <c r="I341" t="s">
        <v>178</v>
      </c>
    </row>
    <row r="342" spans="1:9">
      <c r="A342" t="s">
        <v>178</v>
      </c>
      <c r="B342" t="s">
        <v>178</v>
      </c>
      <c r="C342" t="s">
        <v>178</v>
      </c>
      <c r="D342" t="s">
        <v>178</v>
      </c>
      <c r="E342" t="s">
        <v>178</v>
      </c>
      <c r="F342" t="s">
        <v>178</v>
      </c>
      <c r="G342" t="s">
        <v>178</v>
      </c>
      <c r="H342" s="84" t="s">
        <v>178</v>
      </c>
      <c r="I342" t="s">
        <v>178</v>
      </c>
    </row>
    <row r="343" spans="1:9">
      <c r="A343" t="s">
        <v>178</v>
      </c>
      <c r="B343" t="s">
        <v>178</v>
      </c>
      <c r="C343" t="s">
        <v>178</v>
      </c>
      <c r="D343" t="s">
        <v>178</v>
      </c>
      <c r="E343" t="s">
        <v>178</v>
      </c>
      <c r="F343" t="s">
        <v>178</v>
      </c>
      <c r="G343" t="s">
        <v>178</v>
      </c>
      <c r="H343" s="84" t="s">
        <v>178</v>
      </c>
      <c r="I343" t="s">
        <v>178</v>
      </c>
    </row>
    <row r="344" spans="1:9">
      <c r="A344" t="s">
        <v>670</v>
      </c>
      <c r="B344" t="s">
        <v>206</v>
      </c>
      <c r="C344">
        <v>21</v>
      </c>
      <c r="D344">
        <v>642</v>
      </c>
      <c r="E344">
        <v>3.2710280373831772E-2</v>
      </c>
      <c r="F344">
        <v>9.99</v>
      </c>
      <c r="G344">
        <v>78.214390243902443</v>
      </c>
      <c r="H344" s="84">
        <v>2.5584146341463412</v>
      </c>
      <c r="I344">
        <v>143</v>
      </c>
    </row>
    <row r="345" spans="1:9">
      <c r="A345" t="s">
        <v>178</v>
      </c>
      <c r="B345" t="s">
        <v>178</v>
      </c>
      <c r="C345" t="s">
        <v>178</v>
      </c>
      <c r="D345" t="s">
        <v>178</v>
      </c>
      <c r="E345" t="s">
        <v>178</v>
      </c>
      <c r="F345" t="s">
        <v>178</v>
      </c>
      <c r="G345" t="s">
        <v>178</v>
      </c>
      <c r="H345" s="84" t="s">
        <v>178</v>
      </c>
      <c r="I345" t="s">
        <v>178</v>
      </c>
    </row>
    <row r="346" spans="1:9">
      <c r="A346" t="s">
        <v>178</v>
      </c>
      <c r="B346" t="s">
        <v>178</v>
      </c>
      <c r="C346" t="s">
        <v>178</v>
      </c>
      <c r="D346" t="s">
        <v>178</v>
      </c>
      <c r="E346" t="s">
        <v>178</v>
      </c>
      <c r="F346" t="s">
        <v>178</v>
      </c>
      <c r="G346" t="s">
        <v>178</v>
      </c>
      <c r="H346" s="84" t="s">
        <v>178</v>
      </c>
      <c r="I346" t="s">
        <v>178</v>
      </c>
    </row>
    <row r="347" spans="1:9">
      <c r="A347" t="s">
        <v>178</v>
      </c>
      <c r="B347" t="s">
        <v>178</v>
      </c>
      <c r="C347" t="s">
        <v>178</v>
      </c>
      <c r="D347" t="s">
        <v>178</v>
      </c>
      <c r="E347" t="s">
        <v>178</v>
      </c>
      <c r="F347" t="s">
        <v>178</v>
      </c>
      <c r="G347" t="s">
        <v>178</v>
      </c>
      <c r="H347" s="84" t="s">
        <v>178</v>
      </c>
      <c r="I347" t="s">
        <v>178</v>
      </c>
    </row>
    <row r="348" spans="1:9">
      <c r="A348" t="s">
        <v>178</v>
      </c>
      <c r="B348" t="s">
        <v>178</v>
      </c>
      <c r="C348" t="s">
        <v>178</v>
      </c>
      <c r="D348" t="s">
        <v>178</v>
      </c>
      <c r="E348" t="s">
        <v>178</v>
      </c>
      <c r="F348" t="s">
        <v>178</v>
      </c>
      <c r="G348" t="s">
        <v>178</v>
      </c>
      <c r="H348" s="84" t="s">
        <v>178</v>
      </c>
      <c r="I348" t="s">
        <v>178</v>
      </c>
    </row>
    <row r="349" spans="1:9">
      <c r="A349" t="s">
        <v>675</v>
      </c>
      <c r="B349" t="s">
        <v>203</v>
      </c>
      <c r="C349">
        <v>20</v>
      </c>
      <c r="D349">
        <v>659</v>
      </c>
      <c r="E349">
        <v>3.0349013657056147E-2</v>
      </c>
      <c r="F349">
        <v>8.52</v>
      </c>
      <c r="G349">
        <v>68.471707317073168</v>
      </c>
      <c r="H349" s="84">
        <v>2.0780487804878049</v>
      </c>
      <c r="I349">
        <v>163</v>
      </c>
    </row>
    <row r="350" spans="1:9">
      <c r="A350" t="s">
        <v>178</v>
      </c>
      <c r="B350" t="s">
        <v>178</v>
      </c>
      <c r="C350" t="s">
        <v>178</v>
      </c>
      <c r="D350" t="s">
        <v>178</v>
      </c>
      <c r="E350" t="s">
        <v>178</v>
      </c>
      <c r="F350" t="s">
        <v>178</v>
      </c>
      <c r="G350" t="s">
        <v>178</v>
      </c>
      <c r="H350" s="84" t="s">
        <v>178</v>
      </c>
      <c r="I350" t="s">
        <v>178</v>
      </c>
    </row>
    <row r="351" spans="1:9">
      <c r="A351" t="s">
        <v>178</v>
      </c>
      <c r="B351" t="s">
        <v>178</v>
      </c>
      <c r="C351" t="s">
        <v>178</v>
      </c>
      <c r="D351" t="s">
        <v>178</v>
      </c>
      <c r="E351" t="s">
        <v>178</v>
      </c>
      <c r="F351" t="s">
        <v>178</v>
      </c>
      <c r="G351" t="s">
        <v>178</v>
      </c>
      <c r="H351" s="84" t="s">
        <v>178</v>
      </c>
      <c r="I351" t="s">
        <v>178</v>
      </c>
    </row>
    <row r="352" spans="1:9">
      <c r="A352" t="s">
        <v>178</v>
      </c>
      <c r="B352" t="s">
        <v>178</v>
      </c>
      <c r="C352" t="s">
        <v>178</v>
      </c>
      <c r="D352" t="s">
        <v>178</v>
      </c>
      <c r="E352" t="s">
        <v>178</v>
      </c>
      <c r="F352" t="s">
        <v>178</v>
      </c>
      <c r="G352" t="s">
        <v>178</v>
      </c>
      <c r="H352" s="84" t="s">
        <v>178</v>
      </c>
      <c r="I352" t="s">
        <v>178</v>
      </c>
    </row>
    <row r="353" spans="1:9">
      <c r="A353" t="s">
        <v>679</v>
      </c>
      <c r="B353" t="s">
        <v>203</v>
      </c>
      <c r="C353">
        <v>20</v>
      </c>
      <c r="D353">
        <v>659</v>
      </c>
      <c r="E353">
        <v>3.0349013657056147E-2</v>
      </c>
      <c r="F353">
        <v>8.52</v>
      </c>
      <c r="G353">
        <v>68.471707317073168</v>
      </c>
      <c r="H353" s="84">
        <v>2.0780487804878049</v>
      </c>
      <c r="I353">
        <v>163</v>
      </c>
    </row>
    <row r="354" spans="1:9">
      <c r="A354" t="s">
        <v>178</v>
      </c>
      <c r="B354" t="s">
        <v>178</v>
      </c>
      <c r="C354" t="s">
        <v>178</v>
      </c>
      <c r="D354" t="s">
        <v>178</v>
      </c>
      <c r="E354" t="s">
        <v>178</v>
      </c>
      <c r="F354" t="s">
        <v>178</v>
      </c>
      <c r="G354" t="s">
        <v>178</v>
      </c>
      <c r="H354" s="84" t="s">
        <v>178</v>
      </c>
      <c r="I354" t="s">
        <v>178</v>
      </c>
    </row>
    <row r="355" spans="1:9">
      <c r="A355" t="s">
        <v>178</v>
      </c>
      <c r="B355" t="s">
        <v>178</v>
      </c>
      <c r="C355" t="s">
        <v>178</v>
      </c>
      <c r="D355" t="s">
        <v>178</v>
      </c>
      <c r="E355" t="s">
        <v>178</v>
      </c>
      <c r="F355" t="s">
        <v>178</v>
      </c>
      <c r="G355" t="s">
        <v>178</v>
      </c>
      <c r="H355" s="84" t="s">
        <v>178</v>
      </c>
      <c r="I355" t="s">
        <v>178</v>
      </c>
    </row>
    <row r="356" spans="1:9">
      <c r="A356" t="s">
        <v>682</v>
      </c>
      <c r="B356" t="s">
        <v>206</v>
      </c>
      <c r="C356">
        <v>20</v>
      </c>
      <c r="D356">
        <v>642</v>
      </c>
      <c r="E356">
        <v>3.1152647975077882E-2</v>
      </c>
      <c r="F356">
        <v>9.99</v>
      </c>
      <c r="G356">
        <v>78.214390243902443</v>
      </c>
      <c r="H356" s="84">
        <v>2.4365853658536585</v>
      </c>
      <c r="I356">
        <v>151</v>
      </c>
    </row>
    <row r="357" spans="1:9">
      <c r="A357" t="s">
        <v>178</v>
      </c>
      <c r="B357" t="s">
        <v>178</v>
      </c>
      <c r="C357" t="s">
        <v>178</v>
      </c>
      <c r="D357" t="s">
        <v>178</v>
      </c>
      <c r="E357" t="s">
        <v>178</v>
      </c>
      <c r="F357" t="s">
        <v>178</v>
      </c>
      <c r="G357" t="s">
        <v>178</v>
      </c>
      <c r="H357" s="84" t="s">
        <v>178</v>
      </c>
      <c r="I357" t="s">
        <v>178</v>
      </c>
    </row>
    <row r="358" spans="1:9">
      <c r="A358" t="s">
        <v>178</v>
      </c>
      <c r="B358" t="s">
        <v>178</v>
      </c>
      <c r="C358" t="s">
        <v>178</v>
      </c>
      <c r="D358" t="s">
        <v>178</v>
      </c>
      <c r="E358" t="s">
        <v>178</v>
      </c>
      <c r="F358" t="s">
        <v>178</v>
      </c>
      <c r="G358" t="s">
        <v>178</v>
      </c>
      <c r="H358" s="84" t="s">
        <v>178</v>
      </c>
      <c r="I358" t="s">
        <v>178</v>
      </c>
    </row>
    <row r="359" spans="1:9">
      <c r="A359" t="s">
        <v>178</v>
      </c>
      <c r="B359" t="s">
        <v>178</v>
      </c>
      <c r="C359" t="s">
        <v>178</v>
      </c>
      <c r="D359" t="s">
        <v>178</v>
      </c>
      <c r="E359" t="s">
        <v>178</v>
      </c>
      <c r="F359" t="s">
        <v>178</v>
      </c>
      <c r="G359" t="s">
        <v>178</v>
      </c>
      <c r="H359" s="84" t="s">
        <v>178</v>
      </c>
      <c r="I359" t="s">
        <v>178</v>
      </c>
    </row>
    <row r="360" spans="1:9">
      <c r="A360" t="s">
        <v>178</v>
      </c>
      <c r="B360" t="s">
        <v>178</v>
      </c>
      <c r="C360" t="s">
        <v>178</v>
      </c>
      <c r="D360" t="s">
        <v>178</v>
      </c>
      <c r="E360" t="s">
        <v>178</v>
      </c>
      <c r="F360" t="s">
        <v>178</v>
      </c>
      <c r="G360" t="s">
        <v>178</v>
      </c>
      <c r="H360" s="84" t="s">
        <v>178</v>
      </c>
      <c r="I360" t="s">
        <v>178</v>
      </c>
    </row>
    <row r="361" spans="1:9">
      <c r="A361" t="s">
        <v>178</v>
      </c>
      <c r="B361" t="s">
        <v>178</v>
      </c>
      <c r="C361" t="s">
        <v>178</v>
      </c>
      <c r="D361" t="s">
        <v>178</v>
      </c>
      <c r="E361" t="s">
        <v>178</v>
      </c>
      <c r="F361" t="s">
        <v>178</v>
      </c>
      <c r="G361" t="s">
        <v>178</v>
      </c>
      <c r="H361" s="84" t="s">
        <v>178</v>
      </c>
      <c r="I361" t="s">
        <v>178</v>
      </c>
    </row>
    <row r="362" spans="1:9">
      <c r="A362" t="s">
        <v>688</v>
      </c>
      <c r="B362" t="s">
        <v>196</v>
      </c>
      <c r="C362">
        <v>20</v>
      </c>
      <c r="D362">
        <v>656</v>
      </c>
      <c r="E362">
        <v>3.048780487804878E-2</v>
      </c>
      <c r="F362">
        <v>14.22</v>
      </c>
      <c r="G362">
        <v>113.76</v>
      </c>
      <c r="H362" s="84">
        <v>3.4682926829268292</v>
      </c>
      <c r="I362">
        <v>115</v>
      </c>
    </row>
    <row r="363" spans="1:9">
      <c r="A363" t="s">
        <v>689</v>
      </c>
      <c r="B363" t="s">
        <v>212</v>
      </c>
      <c r="C363">
        <v>20</v>
      </c>
      <c r="D363">
        <v>608</v>
      </c>
      <c r="E363">
        <v>3.2894736842105261E-2</v>
      </c>
      <c r="F363">
        <v>11.03</v>
      </c>
      <c r="G363">
        <v>81.783414634146339</v>
      </c>
      <c r="H363" s="84">
        <v>2.6902439024390241</v>
      </c>
      <c r="I363">
        <v>141</v>
      </c>
    </row>
    <row r="364" spans="1:9">
      <c r="A364" t="s">
        <v>690</v>
      </c>
      <c r="B364" t="s">
        <v>198</v>
      </c>
      <c r="C364">
        <v>20</v>
      </c>
      <c r="D364">
        <v>600</v>
      </c>
      <c r="E364">
        <v>3.3333333333333333E-2</v>
      </c>
      <c r="F364">
        <v>9.52</v>
      </c>
      <c r="G364">
        <v>69.658536585365852</v>
      </c>
      <c r="H364" s="84">
        <v>2.321951219512195</v>
      </c>
      <c r="I364">
        <v>155</v>
      </c>
    </row>
    <row r="365" spans="1:9">
      <c r="A365" t="s">
        <v>691</v>
      </c>
      <c r="B365" t="s">
        <v>203</v>
      </c>
      <c r="C365">
        <v>20</v>
      </c>
      <c r="D365">
        <v>659</v>
      </c>
      <c r="E365">
        <v>3.0349013657056147E-2</v>
      </c>
      <c r="F365">
        <v>8.52</v>
      </c>
      <c r="G365">
        <v>68.471707317073168</v>
      </c>
      <c r="H365" s="84">
        <v>2.0780487804878049</v>
      </c>
      <c r="I365">
        <v>163</v>
      </c>
    </row>
    <row r="366" spans="1:9">
      <c r="A366" t="s">
        <v>178</v>
      </c>
      <c r="B366" t="s">
        <v>178</v>
      </c>
      <c r="C366" t="s">
        <v>178</v>
      </c>
      <c r="D366" t="s">
        <v>178</v>
      </c>
      <c r="E366" t="s">
        <v>178</v>
      </c>
      <c r="F366" t="s">
        <v>178</v>
      </c>
      <c r="G366" t="s">
        <v>178</v>
      </c>
      <c r="H366" s="84" t="s">
        <v>178</v>
      </c>
      <c r="I366" t="s">
        <v>178</v>
      </c>
    </row>
    <row r="367" spans="1:9">
      <c r="A367" t="s">
        <v>178</v>
      </c>
      <c r="B367" t="s">
        <v>178</v>
      </c>
      <c r="C367" t="s">
        <v>178</v>
      </c>
      <c r="D367" t="s">
        <v>178</v>
      </c>
      <c r="E367" t="s">
        <v>178</v>
      </c>
      <c r="F367" t="s">
        <v>178</v>
      </c>
      <c r="G367" t="s">
        <v>178</v>
      </c>
      <c r="H367" s="84" t="s">
        <v>178</v>
      </c>
      <c r="I367" t="s">
        <v>178</v>
      </c>
    </row>
    <row r="368" spans="1:9">
      <c r="A368" t="s">
        <v>178</v>
      </c>
      <c r="B368" t="s">
        <v>178</v>
      </c>
      <c r="C368" t="s">
        <v>178</v>
      </c>
      <c r="D368" t="s">
        <v>178</v>
      </c>
      <c r="E368" t="s">
        <v>178</v>
      </c>
      <c r="F368" t="s">
        <v>178</v>
      </c>
      <c r="G368" t="s">
        <v>178</v>
      </c>
      <c r="H368" s="84" t="s">
        <v>178</v>
      </c>
      <c r="I368" t="s">
        <v>178</v>
      </c>
    </row>
    <row r="369" spans="1:9">
      <c r="A369" t="s">
        <v>178</v>
      </c>
      <c r="B369" t="s">
        <v>178</v>
      </c>
      <c r="C369" t="s">
        <v>178</v>
      </c>
      <c r="D369" t="s">
        <v>178</v>
      </c>
      <c r="E369" t="s">
        <v>178</v>
      </c>
      <c r="F369" t="s">
        <v>178</v>
      </c>
      <c r="G369" t="s">
        <v>178</v>
      </c>
      <c r="H369" s="84" t="s">
        <v>178</v>
      </c>
      <c r="I369" t="s">
        <v>178</v>
      </c>
    </row>
    <row r="370" spans="1:9">
      <c r="A370" t="s">
        <v>178</v>
      </c>
      <c r="B370" t="s">
        <v>178</v>
      </c>
      <c r="C370" t="s">
        <v>178</v>
      </c>
      <c r="D370" t="s">
        <v>178</v>
      </c>
      <c r="E370" t="s">
        <v>178</v>
      </c>
      <c r="F370" t="s">
        <v>178</v>
      </c>
      <c r="G370" t="s">
        <v>178</v>
      </c>
      <c r="H370" s="84" t="s">
        <v>178</v>
      </c>
      <c r="I370" t="s">
        <v>178</v>
      </c>
    </row>
    <row r="371" spans="1:9">
      <c r="A371" t="s">
        <v>178</v>
      </c>
      <c r="B371" t="s">
        <v>178</v>
      </c>
      <c r="C371" t="s">
        <v>178</v>
      </c>
      <c r="D371" t="s">
        <v>178</v>
      </c>
      <c r="E371" t="s">
        <v>178</v>
      </c>
      <c r="F371" t="s">
        <v>178</v>
      </c>
      <c r="G371" t="s">
        <v>178</v>
      </c>
      <c r="H371" s="84" t="s">
        <v>178</v>
      </c>
      <c r="I371" t="s">
        <v>178</v>
      </c>
    </row>
    <row r="372" spans="1:9">
      <c r="A372" t="s">
        <v>178</v>
      </c>
      <c r="B372" t="s">
        <v>178</v>
      </c>
      <c r="C372" t="s">
        <v>178</v>
      </c>
      <c r="D372" t="s">
        <v>178</v>
      </c>
      <c r="E372" t="s">
        <v>178</v>
      </c>
      <c r="F372" t="s">
        <v>178</v>
      </c>
      <c r="G372" t="s">
        <v>178</v>
      </c>
      <c r="H372" s="84" t="s">
        <v>178</v>
      </c>
      <c r="I372" t="s">
        <v>178</v>
      </c>
    </row>
    <row r="373" spans="1:9">
      <c r="A373" t="s">
        <v>699</v>
      </c>
      <c r="B373" t="s">
        <v>196</v>
      </c>
      <c r="C373">
        <v>19</v>
      </c>
      <c r="D373">
        <v>656</v>
      </c>
      <c r="E373">
        <v>2.8963414634146343E-2</v>
      </c>
      <c r="F373">
        <v>14.22</v>
      </c>
      <c r="G373">
        <v>113.76</v>
      </c>
      <c r="H373" s="84">
        <v>3.2948780487804883</v>
      </c>
      <c r="I373">
        <v>121</v>
      </c>
    </row>
    <row r="374" spans="1:9">
      <c r="A374" t="s">
        <v>700</v>
      </c>
      <c r="B374" t="s">
        <v>212</v>
      </c>
      <c r="C374">
        <v>19</v>
      </c>
      <c r="D374">
        <v>608</v>
      </c>
      <c r="E374">
        <v>3.125E-2</v>
      </c>
      <c r="F374">
        <v>11.03</v>
      </c>
      <c r="G374">
        <v>81.783414634146339</v>
      </c>
      <c r="H374" s="84">
        <v>2.5557317073170731</v>
      </c>
      <c r="I374">
        <v>145</v>
      </c>
    </row>
    <row r="375" spans="1:9">
      <c r="A375" t="s">
        <v>701</v>
      </c>
      <c r="B375" t="s">
        <v>214</v>
      </c>
      <c r="C375">
        <v>19</v>
      </c>
      <c r="D375">
        <v>619</v>
      </c>
      <c r="E375">
        <v>3.0694668820678513E-2</v>
      </c>
      <c r="F375">
        <v>11.03</v>
      </c>
      <c r="G375">
        <v>83.263048780487807</v>
      </c>
      <c r="H375" s="84">
        <v>2.5557317073170731</v>
      </c>
      <c r="I375">
        <v>145</v>
      </c>
    </row>
    <row r="376" spans="1:9">
      <c r="A376" t="s">
        <v>178</v>
      </c>
      <c r="B376" t="s">
        <v>178</v>
      </c>
      <c r="C376" t="s">
        <v>178</v>
      </c>
      <c r="D376" t="s">
        <v>178</v>
      </c>
      <c r="E376" t="s">
        <v>178</v>
      </c>
      <c r="F376" t="s">
        <v>178</v>
      </c>
      <c r="G376" t="s">
        <v>178</v>
      </c>
      <c r="H376" s="84" t="s">
        <v>178</v>
      </c>
      <c r="I376" t="s">
        <v>178</v>
      </c>
    </row>
    <row r="377" spans="1:9">
      <c r="A377" t="s">
        <v>703</v>
      </c>
      <c r="B377" t="s">
        <v>202</v>
      </c>
      <c r="C377">
        <v>19</v>
      </c>
      <c r="D377">
        <v>601</v>
      </c>
      <c r="E377">
        <v>3.1613976705490848E-2</v>
      </c>
      <c r="F377">
        <v>8.74</v>
      </c>
      <c r="G377">
        <v>64.057804878048785</v>
      </c>
      <c r="H377" s="84">
        <v>2.0251219512195124</v>
      </c>
      <c r="I377">
        <v>167</v>
      </c>
    </row>
    <row r="378" spans="1:9">
      <c r="A378" t="s">
        <v>178</v>
      </c>
      <c r="B378" t="s">
        <v>178</v>
      </c>
      <c r="C378" t="s">
        <v>178</v>
      </c>
      <c r="D378" t="s">
        <v>178</v>
      </c>
      <c r="E378" t="s">
        <v>178</v>
      </c>
      <c r="F378" t="s">
        <v>178</v>
      </c>
      <c r="G378" t="s">
        <v>178</v>
      </c>
      <c r="H378" s="84" t="s">
        <v>178</v>
      </c>
      <c r="I378" t="s">
        <v>178</v>
      </c>
    </row>
    <row r="379" spans="1:9">
      <c r="A379" t="s">
        <v>178</v>
      </c>
      <c r="B379" t="s">
        <v>178</v>
      </c>
      <c r="C379" t="s">
        <v>178</v>
      </c>
      <c r="D379" t="s">
        <v>178</v>
      </c>
      <c r="E379" t="s">
        <v>178</v>
      </c>
      <c r="F379" t="s">
        <v>178</v>
      </c>
      <c r="G379" t="s">
        <v>178</v>
      </c>
      <c r="H379" s="84" t="s">
        <v>178</v>
      </c>
      <c r="I379" t="s">
        <v>178</v>
      </c>
    </row>
    <row r="380" spans="1:9">
      <c r="A380" t="s">
        <v>178</v>
      </c>
      <c r="B380" t="s">
        <v>178</v>
      </c>
      <c r="C380" t="s">
        <v>178</v>
      </c>
      <c r="D380" t="s">
        <v>178</v>
      </c>
      <c r="E380" t="s">
        <v>178</v>
      </c>
      <c r="F380" t="s">
        <v>178</v>
      </c>
      <c r="G380" t="s">
        <v>178</v>
      </c>
      <c r="H380" s="84" t="s">
        <v>178</v>
      </c>
      <c r="I380" t="s">
        <v>178</v>
      </c>
    </row>
    <row r="381" spans="1:9">
      <c r="A381" t="s">
        <v>707</v>
      </c>
      <c r="B381" t="s">
        <v>203</v>
      </c>
      <c r="C381">
        <v>18</v>
      </c>
      <c r="D381">
        <v>659</v>
      </c>
      <c r="E381">
        <v>2.7314112291350532E-2</v>
      </c>
      <c r="F381">
        <v>8.52</v>
      </c>
      <c r="G381">
        <v>68.471707317073168</v>
      </c>
      <c r="H381" s="84">
        <v>1.8702439024390243</v>
      </c>
      <c r="I381">
        <v>172</v>
      </c>
    </row>
    <row r="382" spans="1:9">
      <c r="A382" t="s">
        <v>178</v>
      </c>
      <c r="B382" t="s">
        <v>178</v>
      </c>
      <c r="C382" t="s">
        <v>178</v>
      </c>
      <c r="D382" t="s">
        <v>178</v>
      </c>
      <c r="E382" t="s">
        <v>178</v>
      </c>
      <c r="F382" t="s">
        <v>178</v>
      </c>
      <c r="G382" t="s">
        <v>178</v>
      </c>
      <c r="H382" s="84" t="s">
        <v>178</v>
      </c>
      <c r="I382" t="s">
        <v>178</v>
      </c>
    </row>
    <row r="383" spans="1:9">
      <c r="A383" t="s">
        <v>178</v>
      </c>
      <c r="B383" t="s">
        <v>178</v>
      </c>
      <c r="C383" t="s">
        <v>178</v>
      </c>
      <c r="D383" t="s">
        <v>178</v>
      </c>
      <c r="E383" t="s">
        <v>178</v>
      </c>
      <c r="F383" t="s">
        <v>178</v>
      </c>
      <c r="G383" t="s">
        <v>178</v>
      </c>
      <c r="H383" s="84" t="s">
        <v>178</v>
      </c>
      <c r="I383" t="s">
        <v>178</v>
      </c>
    </row>
    <row r="384" spans="1:9">
      <c r="A384" t="s">
        <v>710</v>
      </c>
      <c r="B384" t="s">
        <v>205</v>
      </c>
      <c r="C384">
        <v>18</v>
      </c>
      <c r="D384">
        <v>613</v>
      </c>
      <c r="E384">
        <v>2.936378466557912E-2</v>
      </c>
      <c r="F384">
        <v>15.26</v>
      </c>
      <c r="G384">
        <v>114.07780487804878</v>
      </c>
      <c r="H384" s="84">
        <v>3.3497560975609759</v>
      </c>
      <c r="I384">
        <v>119</v>
      </c>
    </row>
    <row r="385" spans="1:9">
      <c r="A385" t="s">
        <v>178</v>
      </c>
      <c r="B385" t="s">
        <v>178</v>
      </c>
      <c r="C385" t="s">
        <v>178</v>
      </c>
      <c r="D385" t="s">
        <v>178</v>
      </c>
      <c r="E385" t="s">
        <v>178</v>
      </c>
      <c r="F385" t="s">
        <v>178</v>
      </c>
      <c r="G385" t="s">
        <v>178</v>
      </c>
      <c r="H385" s="84" t="s">
        <v>178</v>
      </c>
      <c r="I385" t="s">
        <v>178</v>
      </c>
    </row>
    <row r="386" spans="1:9">
      <c r="A386" t="s">
        <v>178</v>
      </c>
      <c r="B386" t="s">
        <v>178</v>
      </c>
      <c r="C386" t="s">
        <v>178</v>
      </c>
      <c r="D386" t="s">
        <v>178</v>
      </c>
      <c r="E386" t="s">
        <v>178</v>
      </c>
      <c r="F386" t="s">
        <v>178</v>
      </c>
      <c r="G386" t="s">
        <v>178</v>
      </c>
      <c r="H386" s="84" t="s">
        <v>178</v>
      </c>
      <c r="I386" t="s">
        <v>178</v>
      </c>
    </row>
    <row r="387" spans="1:9">
      <c r="A387" t="s">
        <v>178</v>
      </c>
      <c r="B387" t="s">
        <v>178</v>
      </c>
      <c r="C387" t="s">
        <v>178</v>
      </c>
      <c r="D387" t="s">
        <v>178</v>
      </c>
      <c r="E387" t="s">
        <v>178</v>
      </c>
      <c r="F387" t="s">
        <v>178</v>
      </c>
      <c r="G387" t="s">
        <v>178</v>
      </c>
      <c r="H387" s="84" t="s">
        <v>178</v>
      </c>
      <c r="I387" t="s">
        <v>178</v>
      </c>
    </row>
    <row r="388" spans="1:9">
      <c r="A388" t="s">
        <v>714</v>
      </c>
      <c r="B388" t="s">
        <v>209</v>
      </c>
      <c r="C388">
        <v>18</v>
      </c>
      <c r="D388">
        <v>630</v>
      </c>
      <c r="E388">
        <v>2.8571428571428571E-2</v>
      </c>
      <c r="F388">
        <v>9.65</v>
      </c>
      <c r="G388">
        <v>74.140243902439025</v>
      </c>
      <c r="H388" s="84">
        <v>2.1182926829268292</v>
      </c>
      <c r="I388">
        <v>159</v>
      </c>
    </row>
    <row r="389" spans="1:9">
      <c r="A389" t="s">
        <v>715</v>
      </c>
      <c r="B389" t="s">
        <v>196</v>
      </c>
      <c r="C389">
        <v>18</v>
      </c>
      <c r="D389">
        <v>656</v>
      </c>
      <c r="E389">
        <v>2.7439024390243903E-2</v>
      </c>
      <c r="F389">
        <v>14.22</v>
      </c>
      <c r="G389">
        <v>113.76</v>
      </c>
      <c r="H389" s="84">
        <v>3.1214634146341464</v>
      </c>
      <c r="I389">
        <v>125</v>
      </c>
    </row>
    <row r="390" spans="1:9">
      <c r="A390" t="s">
        <v>178</v>
      </c>
      <c r="B390" t="s">
        <v>178</v>
      </c>
      <c r="C390" t="s">
        <v>178</v>
      </c>
      <c r="D390" t="s">
        <v>178</v>
      </c>
      <c r="E390" t="s">
        <v>178</v>
      </c>
      <c r="F390" t="s">
        <v>178</v>
      </c>
      <c r="G390" t="s">
        <v>178</v>
      </c>
      <c r="H390" s="84" t="s">
        <v>178</v>
      </c>
      <c r="I390" t="s">
        <v>178</v>
      </c>
    </row>
    <row r="391" spans="1:9">
      <c r="A391" t="s">
        <v>717</v>
      </c>
      <c r="B391" t="s">
        <v>209</v>
      </c>
      <c r="C391">
        <v>18</v>
      </c>
      <c r="D391">
        <v>630</v>
      </c>
      <c r="E391">
        <v>2.8571428571428571E-2</v>
      </c>
      <c r="F391">
        <v>9.65</v>
      </c>
      <c r="G391">
        <v>74.140243902439025</v>
      </c>
      <c r="H391" s="84">
        <v>2.1182926829268292</v>
      </c>
      <c r="I391">
        <v>159</v>
      </c>
    </row>
    <row r="392" spans="1:9">
      <c r="A392" t="s">
        <v>718</v>
      </c>
      <c r="B392" t="s">
        <v>209</v>
      </c>
      <c r="C392">
        <v>18</v>
      </c>
      <c r="D392">
        <v>630</v>
      </c>
      <c r="E392">
        <v>2.8571428571428571E-2</v>
      </c>
      <c r="F392">
        <v>9.65</v>
      </c>
      <c r="G392">
        <v>74.140243902439025</v>
      </c>
      <c r="H392" s="84">
        <v>2.1182926829268292</v>
      </c>
      <c r="I392">
        <v>159</v>
      </c>
    </row>
    <row r="393" spans="1:9">
      <c r="A393" t="s">
        <v>178</v>
      </c>
      <c r="B393" t="s">
        <v>178</v>
      </c>
      <c r="C393" t="s">
        <v>178</v>
      </c>
      <c r="D393" t="s">
        <v>178</v>
      </c>
      <c r="E393" t="s">
        <v>178</v>
      </c>
      <c r="F393" t="s">
        <v>178</v>
      </c>
      <c r="G393" t="s">
        <v>178</v>
      </c>
      <c r="H393" s="84" t="s">
        <v>178</v>
      </c>
      <c r="I393" t="s">
        <v>178</v>
      </c>
    </row>
    <row r="394" spans="1:9">
      <c r="A394" t="s">
        <v>720</v>
      </c>
      <c r="B394" t="s">
        <v>200</v>
      </c>
      <c r="C394">
        <v>18</v>
      </c>
      <c r="D394">
        <v>660</v>
      </c>
      <c r="E394">
        <v>2.7272727272727271E-2</v>
      </c>
      <c r="F394">
        <v>11.28</v>
      </c>
      <c r="G394">
        <v>90.790243902439016</v>
      </c>
      <c r="H394" s="84">
        <v>2.4760975609756093</v>
      </c>
      <c r="I394">
        <v>149</v>
      </c>
    </row>
    <row r="395" spans="1:9">
      <c r="A395" t="s">
        <v>178</v>
      </c>
      <c r="B395" t="s">
        <v>178</v>
      </c>
      <c r="C395" t="s">
        <v>178</v>
      </c>
      <c r="D395" t="s">
        <v>178</v>
      </c>
      <c r="E395" t="s">
        <v>178</v>
      </c>
      <c r="F395" t="s">
        <v>178</v>
      </c>
      <c r="G395" t="s">
        <v>178</v>
      </c>
      <c r="H395" s="84" t="s">
        <v>178</v>
      </c>
      <c r="I395" t="s">
        <v>178</v>
      </c>
    </row>
    <row r="396" spans="1:9">
      <c r="A396" t="s">
        <v>178</v>
      </c>
      <c r="B396" t="s">
        <v>178</v>
      </c>
      <c r="C396" t="s">
        <v>178</v>
      </c>
      <c r="D396" t="s">
        <v>178</v>
      </c>
      <c r="E396" t="s">
        <v>178</v>
      </c>
      <c r="F396" t="s">
        <v>178</v>
      </c>
      <c r="G396" t="s">
        <v>178</v>
      </c>
      <c r="H396" s="84" t="s">
        <v>178</v>
      </c>
      <c r="I396" t="s">
        <v>178</v>
      </c>
    </row>
    <row r="397" spans="1:9">
      <c r="A397" t="s">
        <v>723</v>
      </c>
      <c r="B397" t="s">
        <v>198</v>
      </c>
      <c r="C397">
        <v>17</v>
      </c>
      <c r="D397">
        <v>600</v>
      </c>
      <c r="E397">
        <v>2.8333333333333332E-2</v>
      </c>
      <c r="F397">
        <v>9.52</v>
      </c>
      <c r="G397">
        <v>69.658536585365852</v>
      </c>
      <c r="H397" s="84">
        <v>1.9736585365853656</v>
      </c>
      <c r="I397">
        <v>169</v>
      </c>
    </row>
    <row r="398" spans="1:9">
      <c r="A398" t="s">
        <v>178</v>
      </c>
      <c r="B398" t="s">
        <v>178</v>
      </c>
      <c r="C398" t="s">
        <v>178</v>
      </c>
      <c r="D398" t="s">
        <v>178</v>
      </c>
      <c r="E398" t="s">
        <v>178</v>
      </c>
      <c r="F398" t="s">
        <v>178</v>
      </c>
      <c r="G398" t="s">
        <v>178</v>
      </c>
      <c r="H398" s="84" t="s">
        <v>178</v>
      </c>
      <c r="I398" t="s">
        <v>178</v>
      </c>
    </row>
    <row r="399" spans="1:9">
      <c r="A399" t="s">
        <v>178</v>
      </c>
      <c r="B399" t="s">
        <v>178</v>
      </c>
      <c r="C399" t="s">
        <v>178</v>
      </c>
      <c r="D399" t="s">
        <v>178</v>
      </c>
      <c r="E399" t="s">
        <v>178</v>
      </c>
      <c r="F399" t="s">
        <v>178</v>
      </c>
      <c r="G399" t="s">
        <v>178</v>
      </c>
      <c r="H399" s="84" t="s">
        <v>178</v>
      </c>
      <c r="I399" t="s">
        <v>178</v>
      </c>
    </row>
    <row r="400" spans="1:9">
      <c r="A400" t="s">
        <v>178</v>
      </c>
      <c r="B400" t="s">
        <v>178</v>
      </c>
      <c r="C400" t="s">
        <v>178</v>
      </c>
      <c r="D400" t="s">
        <v>178</v>
      </c>
      <c r="E400" t="s">
        <v>178</v>
      </c>
      <c r="F400" t="s">
        <v>178</v>
      </c>
      <c r="G400" t="s">
        <v>178</v>
      </c>
      <c r="H400" s="84" t="s">
        <v>178</v>
      </c>
      <c r="I400" t="s">
        <v>178</v>
      </c>
    </row>
    <row r="401" spans="1:9">
      <c r="A401" t="s">
        <v>178</v>
      </c>
      <c r="B401" t="s">
        <v>178</v>
      </c>
      <c r="C401" t="s">
        <v>178</v>
      </c>
      <c r="D401" t="s">
        <v>178</v>
      </c>
      <c r="E401" t="s">
        <v>178</v>
      </c>
      <c r="F401" t="s">
        <v>178</v>
      </c>
      <c r="G401" t="s">
        <v>178</v>
      </c>
      <c r="H401" s="84" t="s">
        <v>178</v>
      </c>
      <c r="I401" t="s">
        <v>178</v>
      </c>
    </row>
    <row r="402" spans="1:9">
      <c r="A402" t="s">
        <v>178</v>
      </c>
      <c r="B402" t="s">
        <v>178</v>
      </c>
      <c r="C402" t="s">
        <v>178</v>
      </c>
      <c r="D402" t="s">
        <v>178</v>
      </c>
      <c r="E402" t="s">
        <v>178</v>
      </c>
      <c r="F402" t="s">
        <v>178</v>
      </c>
      <c r="G402" t="s">
        <v>178</v>
      </c>
      <c r="H402" s="84" t="s">
        <v>178</v>
      </c>
      <c r="I402" t="s">
        <v>178</v>
      </c>
    </row>
    <row r="403" spans="1:9">
      <c r="A403" t="s">
        <v>178</v>
      </c>
      <c r="B403" t="s">
        <v>178</v>
      </c>
      <c r="C403" t="s">
        <v>178</v>
      </c>
      <c r="D403" t="s">
        <v>178</v>
      </c>
      <c r="E403" t="s">
        <v>178</v>
      </c>
      <c r="F403" t="s">
        <v>178</v>
      </c>
      <c r="G403" t="s">
        <v>178</v>
      </c>
      <c r="H403" s="84" t="s">
        <v>178</v>
      </c>
      <c r="I403" t="s">
        <v>178</v>
      </c>
    </row>
    <row r="404" spans="1:9">
      <c r="A404" t="s">
        <v>178</v>
      </c>
      <c r="B404" t="s">
        <v>178</v>
      </c>
      <c r="C404" t="s">
        <v>178</v>
      </c>
      <c r="D404" t="s">
        <v>178</v>
      </c>
      <c r="E404" t="s">
        <v>178</v>
      </c>
      <c r="F404" t="s">
        <v>178</v>
      </c>
      <c r="G404" t="s">
        <v>178</v>
      </c>
      <c r="H404" s="84" t="s">
        <v>178</v>
      </c>
      <c r="I404" t="s">
        <v>178</v>
      </c>
    </row>
    <row r="405" spans="1:9">
      <c r="A405" t="s">
        <v>731</v>
      </c>
      <c r="B405" t="s">
        <v>202</v>
      </c>
      <c r="C405">
        <v>17</v>
      </c>
      <c r="D405">
        <v>601</v>
      </c>
      <c r="E405">
        <v>2.8286189683860232E-2</v>
      </c>
      <c r="F405">
        <v>8.74</v>
      </c>
      <c r="G405">
        <v>64.057804878048785</v>
      </c>
      <c r="H405" s="84">
        <v>1.8119512195121952</v>
      </c>
      <c r="I405">
        <v>174</v>
      </c>
    </row>
    <row r="406" spans="1:9">
      <c r="A406" t="s">
        <v>732</v>
      </c>
      <c r="B406" t="s">
        <v>212</v>
      </c>
      <c r="C406">
        <v>17</v>
      </c>
      <c r="D406">
        <v>608</v>
      </c>
      <c r="E406">
        <v>2.7960526315789474E-2</v>
      </c>
      <c r="F406">
        <v>11.03</v>
      </c>
      <c r="G406">
        <v>81.783414634146339</v>
      </c>
      <c r="H406" s="84">
        <v>2.2867073170731707</v>
      </c>
      <c r="I406">
        <v>156</v>
      </c>
    </row>
    <row r="407" spans="1:9">
      <c r="A407" t="s">
        <v>733</v>
      </c>
      <c r="B407" t="s">
        <v>196</v>
      </c>
      <c r="C407">
        <v>16</v>
      </c>
      <c r="D407">
        <v>656</v>
      </c>
      <c r="E407">
        <v>2.4390243902439025E-2</v>
      </c>
      <c r="F407">
        <v>14.22</v>
      </c>
      <c r="G407">
        <v>113.76</v>
      </c>
      <c r="H407" s="84">
        <v>2.7746341463414637</v>
      </c>
      <c r="I407">
        <v>138</v>
      </c>
    </row>
    <row r="408" spans="1:9">
      <c r="A408" t="s">
        <v>178</v>
      </c>
      <c r="B408" t="s">
        <v>178</v>
      </c>
      <c r="C408" t="s">
        <v>178</v>
      </c>
      <c r="D408" t="s">
        <v>178</v>
      </c>
      <c r="E408" t="s">
        <v>178</v>
      </c>
      <c r="F408" t="s">
        <v>178</v>
      </c>
      <c r="G408" t="s">
        <v>178</v>
      </c>
      <c r="H408" s="84" t="s">
        <v>178</v>
      </c>
      <c r="I408" t="s">
        <v>178</v>
      </c>
    </row>
    <row r="409" spans="1:9">
      <c r="A409" t="s">
        <v>178</v>
      </c>
      <c r="B409" t="s">
        <v>178</v>
      </c>
      <c r="C409" t="s">
        <v>178</v>
      </c>
      <c r="D409" t="s">
        <v>178</v>
      </c>
      <c r="E409" t="s">
        <v>178</v>
      </c>
      <c r="F409" t="s">
        <v>178</v>
      </c>
      <c r="G409" t="s">
        <v>178</v>
      </c>
      <c r="H409" s="84" t="s">
        <v>178</v>
      </c>
      <c r="I409" t="s">
        <v>178</v>
      </c>
    </row>
    <row r="410" spans="1:9">
      <c r="A410" t="s">
        <v>178</v>
      </c>
      <c r="B410" t="s">
        <v>178</v>
      </c>
      <c r="C410" t="s">
        <v>178</v>
      </c>
      <c r="D410" t="s">
        <v>178</v>
      </c>
      <c r="E410" t="s">
        <v>178</v>
      </c>
      <c r="F410" t="s">
        <v>178</v>
      </c>
      <c r="G410" t="s">
        <v>178</v>
      </c>
      <c r="H410" s="84" t="s">
        <v>178</v>
      </c>
      <c r="I410" t="s">
        <v>178</v>
      </c>
    </row>
    <row r="411" spans="1:9">
      <c r="A411" t="s">
        <v>178</v>
      </c>
      <c r="B411" t="s">
        <v>178</v>
      </c>
      <c r="C411" t="s">
        <v>178</v>
      </c>
      <c r="D411" t="s">
        <v>178</v>
      </c>
      <c r="E411" t="s">
        <v>178</v>
      </c>
      <c r="F411" t="s">
        <v>178</v>
      </c>
      <c r="G411" t="s">
        <v>178</v>
      </c>
      <c r="H411" s="84" t="s">
        <v>178</v>
      </c>
      <c r="I411" t="s">
        <v>178</v>
      </c>
    </row>
    <row r="412" spans="1:9">
      <c r="A412" t="s">
        <v>738</v>
      </c>
      <c r="B412" t="s">
        <v>206</v>
      </c>
      <c r="C412">
        <v>16</v>
      </c>
      <c r="D412">
        <v>642</v>
      </c>
      <c r="E412">
        <v>2.4922118380062305E-2</v>
      </c>
      <c r="F412">
        <v>9.99</v>
      </c>
      <c r="G412">
        <v>78.214390243902443</v>
      </c>
      <c r="H412" s="84">
        <v>1.9492682926829268</v>
      </c>
      <c r="I412">
        <v>170</v>
      </c>
    </row>
    <row r="413" spans="1:9">
      <c r="A413" t="s">
        <v>178</v>
      </c>
      <c r="B413" t="s">
        <v>178</v>
      </c>
      <c r="C413" t="s">
        <v>178</v>
      </c>
      <c r="D413" t="s">
        <v>178</v>
      </c>
      <c r="E413" t="s">
        <v>178</v>
      </c>
      <c r="F413" t="s">
        <v>178</v>
      </c>
      <c r="G413" t="s">
        <v>178</v>
      </c>
      <c r="H413" s="84" t="s">
        <v>178</v>
      </c>
      <c r="I413" t="s">
        <v>178</v>
      </c>
    </row>
    <row r="414" spans="1:9">
      <c r="A414" t="s">
        <v>178</v>
      </c>
      <c r="B414" t="s">
        <v>178</v>
      </c>
      <c r="C414" t="s">
        <v>178</v>
      </c>
      <c r="D414" t="s">
        <v>178</v>
      </c>
      <c r="E414" t="s">
        <v>178</v>
      </c>
      <c r="F414" t="s">
        <v>178</v>
      </c>
      <c r="G414" t="s">
        <v>178</v>
      </c>
      <c r="H414" s="84" t="s">
        <v>178</v>
      </c>
      <c r="I414" t="s">
        <v>178</v>
      </c>
    </row>
    <row r="415" spans="1:9">
      <c r="A415" t="s">
        <v>178</v>
      </c>
      <c r="B415" t="s">
        <v>178</v>
      </c>
      <c r="C415" t="s">
        <v>178</v>
      </c>
      <c r="D415" t="s">
        <v>178</v>
      </c>
      <c r="E415" t="s">
        <v>178</v>
      </c>
      <c r="F415" t="s">
        <v>178</v>
      </c>
      <c r="G415" t="s">
        <v>178</v>
      </c>
      <c r="H415" s="84" t="s">
        <v>178</v>
      </c>
      <c r="I415" t="s">
        <v>178</v>
      </c>
    </row>
    <row r="416" spans="1:9">
      <c r="A416" t="s">
        <v>742</v>
      </c>
      <c r="B416" t="s">
        <v>212</v>
      </c>
      <c r="C416">
        <v>16</v>
      </c>
      <c r="D416">
        <v>608</v>
      </c>
      <c r="E416">
        <v>2.6315789473684209E-2</v>
      </c>
      <c r="F416">
        <v>11.03</v>
      </c>
      <c r="G416">
        <v>81.783414634146339</v>
      </c>
      <c r="H416" s="84">
        <v>2.1521951219512192</v>
      </c>
      <c r="I416">
        <v>158</v>
      </c>
    </row>
    <row r="417" spans="1:9">
      <c r="A417" t="s">
        <v>178</v>
      </c>
      <c r="B417" t="s">
        <v>178</v>
      </c>
      <c r="C417" t="s">
        <v>178</v>
      </c>
      <c r="D417" t="s">
        <v>178</v>
      </c>
      <c r="E417" t="s">
        <v>178</v>
      </c>
      <c r="F417" t="s">
        <v>178</v>
      </c>
      <c r="G417" t="s">
        <v>178</v>
      </c>
      <c r="H417" s="84" t="s">
        <v>178</v>
      </c>
      <c r="I417" t="s">
        <v>178</v>
      </c>
    </row>
    <row r="418" spans="1:9">
      <c r="A418" t="s">
        <v>178</v>
      </c>
      <c r="B418" t="s">
        <v>178</v>
      </c>
      <c r="C418" t="s">
        <v>178</v>
      </c>
      <c r="D418" t="s">
        <v>178</v>
      </c>
      <c r="E418" t="s">
        <v>178</v>
      </c>
      <c r="F418" t="s">
        <v>178</v>
      </c>
      <c r="G418" t="s">
        <v>178</v>
      </c>
      <c r="H418" s="84" t="s">
        <v>178</v>
      </c>
      <c r="I418" t="s">
        <v>178</v>
      </c>
    </row>
    <row r="419" spans="1:9">
      <c r="A419" t="s">
        <v>178</v>
      </c>
      <c r="B419" t="s">
        <v>178</v>
      </c>
      <c r="C419" t="s">
        <v>178</v>
      </c>
      <c r="D419" t="s">
        <v>178</v>
      </c>
      <c r="E419" t="s">
        <v>178</v>
      </c>
      <c r="F419" t="s">
        <v>178</v>
      </c>
      <c r="G419" t="s">
        <v>178</v>
      </c>
      <c r="H419" s="84" t="s">
        <v>178</v>
      </c>
      <c r="I419" t="s">
        <v>178</v>
      </c>
    </row>
    <row r="420" spans="1:9">
      <c r="A420" t="s">
        <v>178</v>
      </c>
      <c r="B420" t="s">
        <v>178</v>
      </c>
      <c r="C420" t="s">
        <v>178</v>
      </c>
      <c r="D420" t="s">
        <v>178</v>
      </c>
      <c r="E420" t="s">
        <v>178</v>
      </c>
      <c r="F420" t="s">
        <v>178</v>
      </c>
      <c r="G420" t="s">
        <v>178</v>
      </c>
      <c r="H420" s="84" t="s">
        <v>178</v>
      </c>
      <c r="I420" t="s">
        <v>178</v>
      </c>
    </row>
    <row r="421" spans="1:9">
      <c r="A421" t="s">
        <v>178</v>
      </c>
      <c r="B421" t="s">
        <v>178</v>
      </c>
      <c r="C421" t="s">
        <v>178</v>
      </c>
      <c r="D421" t="s">
        <v>178</v>
      </c>
      <c r="E421" t="s">
        <v>178</v>
      </c>
      <c r="F421" t="s">
        <v>178</v>
      </c>
      <c r="G421" t="s">
        <v>178</v>
      </c>
      <c r="H421" s="84" t="s">
        <v>178</v>
      </c>
      <c r="I421" t="s">
        <v>178</v>
      </c>
    </row>
    <row r="422" spans="1:9">
      <c r="A422" t="s">
        <v>178</v>
      </c>
      <c r="B422" t="s">
        <v>178</v>
      </c>
      <c r="C422" t="s">
        <v>178</v>
      </c>
      <c r="D422" t="s">
        <v>178</v>
      </c>
      <c r="E422" t="s">
        <v>178</v>
      </c>
      <c r="F422" t="s">
        <v>178</v>
      </c>
      <c r="G422" t="s">
        <v>178</v>
      </c>
      <c r="H422" s="84" t="s">
        <v>178</v>
      </c>
      <c r="I422" t="s">
        <v>178</v>
      </c>
    </row>
    <row r="423" spans="1:9">
      <c r="A423" t="s">
        <v>178</v>
      </c>
      <c r="B423" t="s">
        <v>178</v>
      </c>
      <c r="C423" t="s">
        <v>178</v>
      </c>
      <c r="D423" t="s">
        <v>178</v>
      </c>
      <c r="E423" t="s">
        <v>178</v>
      </c>
      <c r="F423" t="s">
        <v>178</v>
      </c>
      <c r="G423" t="s">
        <v>178</v>
      </c>
      <c r="H423" s="84" t="s">
        <v>178</v>
      </c>
      <c r="I423" t="s">
        <v>178</v>
      </c>
    </row>
    <row r="424" spans="1:9">
      <c r="A424" t="s">
        <v>178</v>
      </c>
      <c r="B424" t="s">
        <v>178</v>
      </c>
      <c r="C424" t="s">
        <v>178</v>
      </c>
      <c r="D424" t="s">
        <v>178</v>
      </c>
      <c r="E424" t="s">
        <v>178</v>
      </c>
      <c r="F424" t="s">
        <v>178</v>
      </c>
      <c r="G424" t="s">
        <v>178</v>
      </c>
      <c r="H424" s="84" t="s">
        <v>178</v>
      </c>
      <c r="I424" t="s">
        <v>178</v>
      </c>
    </row>
    <row r="425" spans="1:9">
      <c r="A425" t="s">
        <v>178</v>
      </c>
      <c r="B425" t="s">
        <v>178</v>
      </c>
      <c r="C425" t="s">
        <v>178</v>
      </c>
      <c r="D425" t="s">
        <v>178</v>
      </c>
      <c r="E425" t="s">
        <v>178</v>
      </c>
      <c r="F425" t="s">
        <v>178</v>
      </c>
      <c r="G425" t="s">
        <v>178</v>
      </c>
      <c r="H425" s="84" t="s">
        <v>178</v>
      </c>
      <c r="I425" t="s">
        <v>178</v>
      </c>
    </row>
    <row r="426" spans="1:9">
      <c r="A426" t="s">
        <v>178</v>
      </c>
      <c r="B426" t="s">
        <v>178</v>
      </c>
      <c r="C426" t="s">
        <v>178</v>
      </c>
      <c r="D426" t="s">
        <v>178</v>
      </c>
      <c r="E426" t="s">
        <v>178</v>
      </c>
      <c r="F426" t="s">
        <v>178</v>
      </c>
      <c r="G426" t="s">
        <v>178</v>
      </c>
      <c r="H426" s="84" t="s">
        <v>178</v>
      </c>
      <c r="I426" t="s">
        <v>178</v>
      </c>
    </row>
    <row r="427" spans="1:9">
      <c r="A427" t="s">
        <v>753</v>
      </c>
      <c r="B427" t="s">
        <v>200</v>
      </c>
      <c r="C427">
        <v>15</v>
      </c>
      <c r="D427">
        <v>660</v>
      </c>
      <c r="E427">
        <v>2.2727272727272728E-2</v>
      </c>
      <c r="F427">
        <v>11.28</v>
      </c>
      <c r="G427">
        <v>90.790243902439016</v>
      </c>
      <c r="H427" s="84">
        <v>2.0634146341463415</v>
      </c>
      <c r="I427">
        <v>166</v>
      </c>
    </row>
    <row r="428" spans="1:9">
      <c r="A428" t="s">
        <v>754</v>
      </c>
      <c r="B428" t="s">
        <v>209</v>
      </c>
      <c r="C428">
        <v>15</v>
      </c>
      <c r="D428">
        <v>630</v>
      </c>
      <c r="E428">
        <v>2.3809523809523808E-2</v>
      </c>
      <c r="F428">
        <v>9.65</v>
      </c>
      <c r="G428">
        <v>74.140243902439025</v>
      </c>
      <c r="H428" s="84">
        <v>1.7652439024390243</v>
      </c>
      <c r="I428">
        <v>176</v>
      </c>
    </row>
    <row r="429" spans="1:9">
      <c r="A429" t="s">
        <v>755</v>
      </c>
      <c r="B429" t="s">
        <v>214</v>
      </c>
      <c r="C429">
        <v>15</v>
      </c>
      <c r="D429">
        <v>619</v>
      </c>
      <c r="E429">
        <v>2.4232633279483037E-2</v>
      </c>
      <c r="F429">
        <v>11.03</v>
      </c>
      <c r="G429">
        <v>83.263048780487807</v>
      </c>
      <c r="H429" s="84">
        <v>2.0176829268292682</v>
      </c>
      <c r="I429">
        <v>168</v>
      </c>
    </row>
    <row r="430" spans="1:9">
      <c r="A430" t="s">
        <v>178</v>
      </c>
      <c r="B430" t="s">
        <v>178</v>
      </c>
      <c r="C430" t="s">
        <v>178</v>
      </c>
      <c r="D430" t="s">
        <v>178</v>
      </c>
      <c r="E430" t="s">
        <v>178</v>
      </c>
      <c r="F430" t="s">
        <v>178</v>
      </c>
      <c r="G430" t="s">
        <v>178</v>
      </c>
      <c r="H430" s="84" t="s">
        <v>178</v>
      </c>
      <c r="I430" t="s">
        <v>178</v>
      </c>
    </row>
    <row r="431" spans="1:9">
      <c r="A431" t="s">
        <v>178</v>
      </c>
      <c r="B431" t="s">
        <v>178</v>
      </c>
      <c r="C431" t="s">
        <v>178</v>
      </c>
      <c r="D431" t="s">
        <v>178</v>
      </c>
      <c r="E431" t="s">
        <v>178</v>
      </c>
      <c r="F431" t="s">
        <v>178</v>
      </c>
      <c r="G431" t="s">
        <v>178</v>
      </c>
      <c r="H431" s="84" t="s">
        <v>178</v>
      </c>
      <c r="I431" t="s">
        <v>178</v>
      </c>
    </row>
    <row r="432" spans="1:9">
      <c r="A432" t="s">
        <v>758</v>
      </c>
      <c r="B432" t="s">
        <v>212</v>
      </c>
      <c r="C432">
        <v>14</v>
      </c>
      <c r="D432">
        <v>608</v>
      </c>
      <c r="E432">
        <v>2.3026315789473683E-2</v>
      </c>
      <c r="F432">
        <v>11.03</v>
      </c>
      <c r="G432">
        <v>81.783414634146339</v>
      </c>
      <c r="H432" s="84">
        <v>1.883170731707317</v>
      </c>
      <c r="I432">
        <v>171</v>
      </c>
    </row>
    <row r="433" spans="1:9">
      <c r="A433" t="s">
        <v>178</v>
      </c>
      <c r="B433" t="s">
        <v>178</v>
      </c>
      <c r="C433" t="s">
        <v>178</v>
      </c>
      <c r="D433" t="s">
        <v>178</v>
      </c>
      <c r="E433" t="s">
        <v>178</v>
      </c>
      <c r="F433" t="s">
        <v>178</v>
      </c>
      <c r="G433" t="s">
        <v>178</v>
      </c>
      <c r="H433" s="84" t="s">
        <v>178</v>
      </c>
      <c r="I433" t="s">
        <v>178</v>
      </c>
    </row>
    <row r="434" spans="1:9">
      <c r="A434" t="s">
        <v>178</v>
      </c>
      <c r="B434" t="s">
        <v>178</v>
      </c>
      <c r="C434" t="s">
        <v>178</v>
      </c>
      <c r="D434" t="s">
        <v>178</v>
      </c>
      <c r="E434" t="s">
        <v>178</v>
      </c>
      <c r="F434" t="s">
        <v>178</v>
      </c>
      <c r="G434" t="s">
        <v>178</v>
      </c>
      <c r="H434" s="84" t="s">
        <v>178</v>
      </c>
      <c r="I434" t="s">
        <v>178</v>
      </c>
    </row>
    <row r="435" spans="1:9">
      <c r="A435" t="s">
        <v>761</v>
      </c>
      <c r="B435" t="s">
        <v>202</v>
      </c>
      <c r="C435">
        <v>14</v>
      </c>
      <c r="D435">
        <v>601</v>
      </c>
      <c r="E435">
        <v>2.329450915141431E-2</v>
      </c>
      <c r="F435">
        <v>8.74</v>
      </c>
      <c r="G435">
        <v>64.057804878048785</v>
      </c>
      <c r="H435" s="84">
        <v>1.4921951219512197</v>
      </c>
      <c r="I435">
        <v>192</v>
      </c>
    </row>
    <row r="436" spans="1:9">
      <c r="A436" t="s">
        <v>178</v>
      </c>
      <c r="B436" t="s">
        <v>178</v>
      </c>
      <c r="C436" t="s">
        <v>178</v>
      </c>
      <c r="D436" t="s">
        <v>178</v>
      </c>
      <c r="E436" t="s">
        <v>178</v>
      </c>
      <c r="F436" t="s">
        <v>178</v>
      </c>
      <c r="G436" t="s">
        <v>178</v>
      </c>
      <c r="H436" s="84" t="s">
        <v>178</v>
      </c>
      <c r="I436" t="s">
        <v>178</v>
      </c>
    </row>
    <row r="437" spans="1:9">
      <c r="A437" t="s">
        <v>763</v>
      </c>
      <c r="B437" t="s">
        <v>210</v>
      </c>
      <c r="C437">
        <v>14</v>
      </c>
      <c r="D437">
        <v>594</v>
      </c>
      <c r="E437">
        <v>2.3569023569023569E-2</v>
      </c>
      <c r="F437">
        <v>9.11</v>
      </c>
      <c r="G437">
        <v>65.991951219512188</v>
      </c>
      <c r="H437" s="84">
        <v>1.5553658536585364</v>
      </c>
      <c r="I437">
        <v>187</v>
      </c>
    </row>
    <row r="438" spans="1:9">
      <c r="A438" t="s">
        <v>178</v>
      </c>
      <c r="B438" t="s">
        <v>178</v>
      </c>
      <c r="C438" t="s">
        <v>178</v>
      </c>
      <c r="D438" t="s">
        <v>178</v>
      </c>
      <c r="E438" t="s">
        <v>178</v>
      </c>
      <c r="F438" t="s">
        <v>178</v>
      </c>
      <c r="G438" t="s">
        <v>178</v>
      </c>
      <c r="H438" s="84" t="s">
        <v>178</v>
      </c>
      <c r="I438" t="s">
        <v>178</v>
      </c>
    </row>
    <row r="439" spans="1:9">
      <c r="A439" t="s">
        <v>178</v>
      </c>
      <c r="B439" t="s">
        <v>178</v>
      </c>
      <c r="C439" t="s">
        <v>178</v>
      </c>
      <c r="D439" t="s">
        <v>178</v>
      </c>
      <c r="E439" t="s">
        <v>178</v>
      </c>
      <c r="F439" t="s">
        <v>178</v>
      </c>
      <c r="G439" t="s">
        <v>178</v>
      </c>
      <c r="H439" s="84" t="s">
        <v>178</v>
      </c>
      <c r="I439" t="s">
        <v>178</v>
      </c>
    </row>
    <row r="440" spans="1:9">
      <c r="A440" t="s">
        <v>178</v>
      </c>
      <c r="B440" t="s">
        <v>178</v>
      </c>
      <c r="C440" t="s">
        <v>178</v>
      </c>
      <c r="D440" t="s">
        <v>178</v>
      </c>
      <c r="E440" t="s">
        <v>178</v>
      </c>
      <c r="F440" t="s">
        <v>178</v>
      </c>
      <c r="G440" t="s">
        <v>178</v>
      </c>
      <c r="H440" s="84" t="s">
        <v>178</v>
      </c>
      <c r="I440" t="s">
        <v>178</v>
      </c>
    </row>
    <row r="441" spans="1:9">
      <c r="A441" t="s">
        <v>767</v>
      </c>
      <c r="B441" t="s">
        <v>196</v>
      </c>
      <c r="C441">
        <v>14</v>
      </c>
      <c r="D441">
        <v>656</v>
      </c>
      <c r="E441">
        <v>2.1341463414634148E-2</v>
      </c>
      <c r="F441">
        <v>14.22</v>
      </c>
      <c r="G441">
        <v>113.76</v>
      </c>
      <c r="H441" s="84">
        <v>2.4278048780487809</v>
      </c>
      <c r="I441">
        <v>152</v>
      </c>
    </row>
    <row r="442" spans="1:9">
      <c r="A442" t="s">
        <v>768</v>
      </c>
      <c r="B442" t="s">
        <v>206</v>
      </c>
      <c r="C442">
        <v>14</v>
      </c>
      <c r="D442">
        <v>642</v>
      </c>
      <c r="E442">
        <v>2.1806853582554516E-2</v>
      </c>
      <c r="F442">
        <v>9.99</v>
      </c>
      <c r="G442">
        <v>78.214390243902443</v>
      </c>
      <c r="H442" s="84">
        <v>1.7056097560975609</v>
      </c>
      <c r="I442">
        <v>179</v>
      </c>
    </row>
    <row r="443" spans="1:9">
      <c r="A443" t="s">
        <v>178</v>
      </c>
      <c r="B443" t="s">
        <v>178</v>
      </c>
      <c r="C443" t="s">
        <v>178</v>
      </c>
      <c r="D443" t="s">
        <v>178</v>
      </c>
      <c r="E443" t="s">
        <v>178</v>
      </c>
      <c r="F443" t="s">
        <v>178</v>
      </c>
      <c r="G443" t="s">
        <v>178</v>
      </c>
      <c r="H443" s="84" t="s">
        <v>178</v>
      </c>
      <c r="I443" t="s">
        <v>178</v>
      </c>
    </row>
    <row r="444" spans="1:9">
      <c r="A444" t="s">
        <v>770</v>
      </c>
      <c r="B444" t="s">
        <v>210</v>
      </c>
      <c r="C444">
        <v>14</v>
      </c>
      <c r="D444">
        <v>594</v>
      </c>
      <c r="E444">
        <v>2.3569023569023569E-2</v>
      </c>
      <c r="F444">
        <v>9.11</v>
      </c>
      <c r="G444">
        <v>65.991951219512188</v>
      </c>
      <c r="H444" s="84">
        <v>1.5553658536585364</v>
      </c>
      <c r="I444">
        <v>187</v>
      </c>
    </row>
    <row r="445" spans="1:9">
      <c r="A445" t="s">
        <v>178</v>
      </c>
      <c r="B445" t="s">
        <v>178</v>
      </c>
      <c r="C445" t="s">
        <v>178</v>
      </c>
      <c r="D445" t="s">
        <v>178</v>
      </c>
      <c r="E445" t="s">
        <v>178</v>
      </c>
      <c r="F445" t="s">
        <v>178</v>
      </c>
      <c r="G445" t="s">
        <v>178</v>
      </c>
      <c r="H445" s="84" t="s">
        <v>178</v>
      </c>
      <c r="I445" t="s">
        <v>178</v>
      </c>
    </row>
    <row r="446" spans="1:9">
      <c r="A446" t="s">
        <v>178</v>
      </c>
      <c r="B446" t="s">
        <v>178</v>
      </c>
      <c r="C446" t="s">
        <v>178</v>
      </c>
      <c r="D446" t="s">
        <v>178</v>
      </c>
      <c r="E446" t="s">
        <v>178</v>
      </c>
      <c r="F446" t="s">
        <v>178</v>
      </c>
      <c r="G446" t="s">
        <v>178</v>
      </c>
      <c r="H446" s="84" t="s">
        <v>178</v>
      </c>
      <c r="I446" t="s">
        <v>178</v>
      </c>
    </row>
    <row r="447" spans="1:9">
      <c r="A447" t="s">
        <v>178</v>
      </c>
      <c r="B447" t="s">
        <v>178</v>
      </c>
      <c r="C447" t="s">
        <v>178</v>
      </c>
      <c r="D447" t="s">
        <v>178</v>
      </c>
      <c r="E447" t="s">
        <v>178</v>
      </c>
      <c r="F447" t="s">
        <v>178</v>
      </c>
      <c r="G447" t="s">
        <v>178</v>
      </c>
      <c r="H447" s="84" t="s">
        <v>178</v>
      </c>
      <c r="I447" t="s">
        <v>178</v>
      </c>
    </row>
    <row r="448" spans="1:9">
      <c r="A448" t="s">
        <v>178</v>
      </c>
      <c r="B448" t="s">
        <v>178</v>
      </c>
      <c r="C448" t="s">
        <v>178</v>
      </c>
      <c r="D448" t="s">
        <v>178</v>
      </c>
      <c r="E448" t="s">
        <v>178</v>
      </c>
      <c r="F448" t="s">
        <v>178</v>
      </c>
      <c r="G448" t="s">
        <v>178</v>
      </c>
      <c r="H448" s="84" t="s">
        <v>178</v>
      </c>
      <c r="I448" t="s">
        <v>178</v>
      </c>
    </row>
    <row r="449" spans="1:9">
      <c r="A449" t="s">
        <v>178</v>
      </c>
      <c r="B449" t="s">
        <v>178</v>
      </c>
      <c r="C449" t="s">
        <v>178</v>
      </c>
      <c r="D449" t="s">
        <v>178</v>
      </c>
      <c r="E449" t="s">
        <v>178</v>
      </c>
      <c r="F449" t="s">
        <v>178</v>
      </c>
      <c r="G449" t="s">
        <v>178</v>
      </c>
      <c r="H449" s="84" t="s">
        <v>178</v>
      </c>
      <c r="I449" t="s">
        <v>178</v>
      </c>
    </row>
    <row r="450" spans="1:9">
      <c r="A450" t="s">
        <v>776</v>
      </c>
      <c r="B450" t="s">
        <v>203</v>
      </c>
      <c r="C450">
        <v>14</v>
      </c>
      <c r="D450">
        <v>659</v>
      </c>
      <c r="E450">
        <v>2.1244309559939303E-2</v>
      </c>
      <c r="F450">
        <v>8.52</v>
      </c>
      <c r="G450">
        <v>68.471707317073168</v>
      </c>
      <c r="H450" s="84">
        <v>1.4546341463414634</v>
      </c>
      <c r="I450">
        <v>197</v>
      </c>
    </row>
    <row r="451" spans="1:9">
      <c r="A451" t="s">
        <v>777</v>
      </c>
      <c r="B451" t="s">
        <v>198</v>
      </c>
      <c r="C451">
        <v>14</v>
      </c>
      <c r="D451">
        <v>600</v>
      </c>
      <c r="E451">
        <v>2.3333333333333334E-2</v>
      </c>
      <c r="F451">
        <v>9.52</v>
      </c>
      <c r="G451">
        <v>69.658536585365852</v>
      </c>
      <c r="H451" s="84">
        <v>1.6253658536585367</v>
      </c>
      <c r="I451">
        <v>184</v>
      </c>
    </row>
    <row r="452" spans="1:9">
      <c r="A452" t="s">
        <v>178</v>
      </c>
      <c r="B452" t="s">
        <v>178</v>
      </c>
      <c r="C452" t="s">
        <v>178</v>
      </c>
      <c r="D452" t="s">
        <v>178</v>
      </c>
      <c r="E452" t="s">
        <v>178</v>
      </c>
      <c r="F452" t="s">
        <v>178</v>
      </c>
      <c r="G452" t="s">
        <v>178</v>
      </c>
      <c r="H452" s="84" t="s">
        <v>178</v>
      </c>
      <c r="I452" t="s">
        <v>178</v>
      </c>
    </row>
    <row r="453" spans="1:9">
      <c r="A453" t="s">
        <v>178</v>
      </c>
      <c r="B453" t="s">
        <v>178</v>
      </c>
      <c r="C453" t="s">
        <v>178</v>
      </c>
      <c r="D453" t="s">
        <v>178</v>
      </c>
      <c r="E453" t="s">
        <v>178</v>
      </c>
      <c r="F453" t="s">
        <v>178</v>
      </c>
      <c r="G453" t="s">
        <v>178</v>
      </c>
      <c r="H453" s="84" t="s">
        <v>178</v>
      </c>
      <c r="I453" t="s">
        <v>178</v>
      </c>
    </row>
    <row r="454" spans="1:9">
      <c r="A454" t="s">
        <v>780</v>
      </c>
      <c r="B454" t="s">
        <v>196</v>
      </c>
      <c r="C454">
        <v>14</v>
      </c>
      <c r="D454">
        <v>656</v>
      </c>
      <c r="E454">
        <v>2.1341463414634148E-2</v>
      </c>
      <c r="F454">
        <v>14.22</v>
      </c>
      <c r="G454">
        <v>113.76</v>
      </c>
      <c r="H454" s="84">
        <v>2.4278048780487809</v>
      </c>
      <c r="I454">
        <v>152</v>
      </c>
    </row>
    <row r="455" spans="1:9">
      <c r="A455" t="s">
        <v>178</v>
      </c>
      <c r="B455" t="s">
        <v>178</v>
      </c>
      <c r="C455" t="s">
        <v>178</v>
      </c>
      <c r="D455" t="s">
        <v>178</v>
      </c>
      <c r="E455" t="s">
        <v>178</v>
      </c>
      <c r="F455" t="s">
        <v>178</v>
      </c>
      <c r="G455" t="s">
        <v>178</v>
      </c>
      <c r="H455" s="84" t="s">
        <v>178</v>
      </c>
      <c r="I455" t="s">
        <v>178</v>
      </c>
    </row>
    <row r="456" spans="1:9">
      <c r="A456" t="s">
        <v>782</v>
      </c>
      <c r="B456" t="s">
        <v>198</v>
      </c>
      <c r="C456">
        <v>14</v>
      </c>
      <c r="D456">
        <v>600</v>
      </c>
      <c r="E456">
        <v>2.3333333333333334E-2</v>
      </c>
      <c r="F456">
        <v>9.52</v>
      </c>
      <c r="G456">
        <v>69.658536585365852</v>
      </c>
      <c r="H456" s="84">
        <v>1.6253658536585367</v>
      </c>
      <c r="I456">
        <v>184</v>
      </c>
    </row>
    <row r="457" spans="1:9">
      <c r="A457" t="s">
        <v>783</v>
      </c>
      <c r="B457" t="s">
        <v>214</v>
      </c>
      <c r="C457">
        <v>13</v>
      </c>
      <c r="D457">
        <v>619</v>
      </c>
      <c r="E457">
        <v>2.10016155088853E-2</v>
      </c>
      <c r="F457">
        <v>11.03</v>
      </c>
      <c r="G457">
        <v>83.263048780487807</v>
      </c>
      <c r="H457" s="84">
        <v>1.748658536585366</v>
      </c>
      <c r="I457">
        <v>177</v>
      </c>
    </row>
    <row r="458" spans="1:9">
      <c r="A458" t="s">
        <v>178</v>
      </c>
      <c r="B458" t="s">
        <v>178</v>
      </c>
      <c r="C458" t="s">
        <v>178</v>
      </c>
      <c r="D458" t="s">
        <v>178</v>
      </c>
      <c r="E458" t="s">
        <v>178</v>
      </c>
      <c r="F458" t="s">
        <v>178</v>
      </c>
      <c r="G458" t="s">
        <v>178</v>
      </c>
      <c r="H458" s="84" t="s">
        <v>178</v>
      </c>
      <c r="I458" t="s">
        <v>178</v>
      </c>
    </row>
    <row r="459" spans="1:9">
      <c r="A459" t="s">
        <v>178</v>
      </c>
      <c r="B459" t="s">
        <v>178</v>
      </c>
      <c r="C459" t="s">
        <v>178</v>
      </c>
      <c r="D459" t="s">
        <v>178</v>
      </c>
      <c r="E459" t="s">
        <v>178</v>
      </c>
      <c r="F459" t="s">
        <v>178</v>
      </c>
      <c r="G459" t="s">
        <v>178</v>
      </c>
      <c r="H459" s="84" t="s">
        <v>178</v>
      </c>
      <c r="I459" t="s">
        <v>178</v>
      </c>
    </row>
    <row r="460" spans="1:9">
      <c r="A460" t="s">
        <v>178</v>
      </c>
      <c r="B460" t="s">
        <v>178</v>
      </c>
      <c r="C460" t="s">
        <v>178</v>
      </c>
      <c r="D460" t="s">
        <v>178</v>
      </c>
      <c r="E460" t="s">
        <v>178</v>
      </c>
      <c r="F460" t="s">
        <v>178</v>
      </c>
      <c r="G460" t="s">
        <v>178</v>
      </c>
      <c r="H460" s="84" t="s">
        <v>178</v>
      </c>
      <c r="I460" t="s">
        <v>178</v>
      </c>
    </row>
    <row r="461" spans="1:9">
      <c r="A461" t="s">
        <v>178</v>
      </c>
      <c r="B461" t="s">
        <v>178</v>
      </c>
      <c r="C461" t="s">
        <v>178</v>
      </c>
      <c r="D461" t="s">
        <v>178</v>
      </c>
      <c r="E461" t="s">
        <v>178</v>
      </c>
      <c r="F461" t="s">
        <v>178</v>
      </c>
      <c r="G461" t="s">
        <v>178</v>
      </c>
      <c r="H461" s="84" t="s">
        <v>178</v>
      </c>
      <c r="I461" t="s">
        <v>178</v>
      </c>
    </row>
    <row r="462" spans="1:9">
      <c r="A462" t="s">
        <v>178</v>
      </c>
      <c r="B462" t="s">
        <v>178</v>
      </c>
      <c r="C462" t="s">
        <v>178</v>
      </c>
      <c r="D462" t="s">
        <v>178</v>
      </c>
      <c r="E462" t="s">
        <v>178</v>
      </c>
      <c r="F462" t="s">
        <v>178</v>
      </c>
      <c r="G462" t="s">
        <v>178</v>
      </c>
      <c r="H462" s="84" t="s">
        <v>178</v>
      </c>
      <c r="I462" t="s">
        <v>178</v>
      </c>
    </row>
    <row r="463" spans="1:9">
      <c r="A463" t="s">
        <v>178</v>
      </c>
      <c r="B463" t="s">
        <v>178</v>
      </c>
      <c r="C463" t="s">
        <v>178</v>
      </c>
      <c r="D463" t="s">
        <v>178</v>
      </c>
      <c r="E463" t="s">
        <v>178</v>
      </c>
      <c r="F463" t="s">
        <v>178</v>
      </c>
      <c r="G463" t="s">
        <v>178</v>
      </c>
      <c r="H463" s="84" t="s">
        <v>178</v>
      </c>
      <c r="I463" t="s">
        <v>178</v>
      </c>
    </row>
    <row r="464" spans="1:9">
      <c r="A464" t="s">
        <v>178</v>
      </c>
      <c r="B464" t="s">
        <v>178</v>
      </c>
      <c r="C464" t="s">
        <v>178</v>
      </c>
      <c r="D464" t="s">
        <v>178</v>
      </c>
      <c r="E464" t="s">
        <v>178</v>
      </c>
      <c r="F464" t="s">
        <v>178</v>
      </c>
      <c r="G464" t="s">
        <v>178</v>
      </c>
      <c r="H464" s="84" t="s">
        <v>178</v>
      </c>
      <c r="I464" t="s">
        <v>178</v>
      </c>
    </row>
    <row r="465" spans="1:9">
      <c r="A465" t="s">
        <v>791</v>
      </c>
      <c r="B465" t="s">
        <v>209</v>
      </c>
      <c r="C465">
        <v>13</v>
      </c>
      <c r="D465">
        <v>630</v>
      </c>
      <c r="E465">
        <v>2.0634920634920634E-2</v>
      </c>
      <c r="F465">
        <v>9.65</v>
      </c>
      <c r="G465">
        <v>74.140243902439025</v>
      </c>
      <c r="H465" s="84">
        <v>1.5298780487804877</v>
      </c>
      <c r="I465">
        <v>189</v>
      </c>
    </row>
    <row r="466" spans="1:9">
      <c r="A466" t="s">
        <v>178</v>
      </c>
      <c r="B466" t="s">
        <v>178</v>
      </c>
      <c r="C466" t="s">
        <v>178</v>
      </c>
      <c r="D466" t="s">
        <v>178</v>
      </c>
      <c r="E466" t="s">
        <v>178</v>
      </c>
      <c r="F466" t="s">
        <v>178</v>
      </c>
      <c r="G466" t="s">
        <v>178</v>
      </c>
      <c r="H466" s="84" t="s">
        <v>178</v>
      </c>
      <c r="I466" t="s">
        <v>178</v>
      </c>
    </row>
    <row r="467" spans="1:9">
      <c r="A467" t="s">
        <v>178</v>
      </c>
      <c r="B467" t="s">
        <v>178</v>
      </c>
      <c r="C467" t="s">
        <v>178</v>
      </c>
      <c r="D467" t="s">
        <v>178</v>
      </c>
      <c r="E467" t="s">
        <v>178</v>
      </c>
      <c r="F467" t="s">
        <v>178</v>
      </c>
      <c r="G467" t="s">
        <v>178</v>
      </c>
      <c r="H467" s="84" t="s">
        <v>178</v>
      </c>
      <c r="I467" t="s">
        <v>178</v>
      </c>
    </row>
    <row r="468" spans="1:9">
      <c r="A468" t="s">
        <v>794</v>
      </c>
      <c r="B468" t="s">
        <v>209</v>
      </c>
      <c r="C468">
        <v>13</v>
      </c>
      <c r="D468">
        <v>630</v>
      </c>
      <c r="E468">
        <v>2.0634920634920634E-2</v>
      </c>
      <c r="F468">
        <v>9.65</v>
      </c>
      <c r="G468">
        <v>74.140243902439025</v>
      </c>
      <c r="H468" s="84">
        <v>1.5298780487804877</v>
      </c>
      <c r="I468">
        <v>189</v>
      </c>
    </row>
    <row r="469" spans="1:9">
      <c r="A469" t="s">
        <v>178</v>
      </c>
      <c r="B469" t="s">
        <v>178</v>
      </c>
      <c r="C469" t="s">
        <v>178</v>
      </c>
      <c r="D469" t="s">
        <v>178</v>
      </c>
      <c r="E469" t="s">
        <v>178</v>
      </c>
      <c r="F469" t="s">
        <v>178</v>
      </c>
      <c r="G469" t="s">
        <v>178</v>
      </c>
      <c r="H469" s="84" t="s">
        <v>178</v>
      </c>
      <c r="I469" t="s">
        <v>178</v>
      </c>
    </row>
    <row r="470" spans="1:9">
      <c r="A470" t="s">
        <v>178</v>
      </c>
      <c r="B470" t="s">
        <v>178</v>
      </c>
      <c r="C470" t="s">
        <v>178</v>
      </c>
      <c r="D470" t="s">
        <v>178</v>
      </c>
      <c r="E470" t="s">
        <v>178</v>
      </c>
      <c r="F470" t="s">
        <v>178</v>
      </c>
      <c r="G470" t="s">
        <v>178</v>
      </c>
      <c r="H470" s="84" t="s">
        <v>178</v>
      </c>
      <c r="I470" t="s">
        <v>178</v>
      </c>
    </row>
    <row r="471" spans="1:9">
      <c r="A471" t="s">
        <v>178</v>
      </c>
      <c r="B471" t="s">
        <v>178</v>
      </c>
      <c r="C471" t="s">
        <v>178</v>
      </c>
      <c r="D471" t="s">
        <v>178</v>
      </c>
      <c r="E471" t="s">
        <v>178</v>
      </c>
      <c r="F471" t="s">
        <v>178</v>
      </c>
      <c r="G471" t="s">
        <v>178</v>
      </c>
      <c r="H471" s="84" t="s">
        <v>178</v>
      </c>
      <c r="I471" t="s">
        <v>178</v>
      </c>
    </row>
    <row r="472" spans="1:9">
      <c r="A472" t="s">
        <v>798</v>
      </c>
      <c r="B472" t="s">
        <v>202</v>
      </c>
      <c r="C472">
        <v>13</v>
      </c>
      <c r="D472">
        <v>601</v>
      </c>
      <c r="E472">
        <v>2.1630615640599003E-2</v>
      </c>
      <c r="F472">
        <v>8.74</v>
      </c>
      <c r="G472">
        <v>64.057804878048785</v>
      </c>
      <c r="H472" s="84">
        <v>1.3856097560975611</v>
      </c>
      <c r="I472">
        <v>201</v>
      </c>
    </row>
    <row r="473" spans="1:9">
      <c r="A473" t="s">
        <v>799</v>
      </c>
      <c r="B473" t="s">
        <v>212</v>
      </c>
      <c r="C473">
        <v>13</v>
      </c>
      <c r="D473">
        <v>608</v>
      </c>
      <c r="E473">
        <v>2.1381578947368422E-2</v>
      </c>
      <c r="F473">
        <v>11.03</v>
      </c>
      <c r="G473">
        <v>81.783414634146339</v>
      </c>
      <c r="H473" s="84">
        <v>1.748658536585366</v>
      </c>
      <c r="I473">
        <v>177</v>
      </c>
    </row>
    <row r="474" spans="1:9">
      <c r="A474" t="s">
        <v>800</v>
      </c>
      <c r="B474" t="s">
        <v>196</v>
      </c>
      <c r="C474">
        <v>13</v>
      </c>
      <c r="D474">
        <v>656</v>
      </c>
      <c r="E474">
        <v>1.9817073170731708E-2</v>
      </c>
      <c r="F474">
        <v>14.22</v>
      </c>
      <c r="G474">
        <v>113.76</v>
      </c>
      <c r="H474" s="84">
        <v>2.254390243902439</v>
      </c>
      <c r="I474">
        <v>157</v>
      </c>
    </row>
    <row r="475" spans="1:9">
      <c r="A475" t="s">
        <v>801</v>
      </c>
      <c r="B475" t="s">
        <v>210</v>
      </c>
      <c r="C475">
        <v>13</v>
      </c>
      <c r="D475">
        <v>594</v>
      </c>
      <c r="E475">
        <v>2.1885521885521887E-2</v>
      </c>
      <c r="F475">
        <v>9.11</v>
      </c>
      <c r="G475">
        <v>65.991951219512188</v>
      </c>
      <c r="H475" s="84">
        <v>1.4442682926829267</v>
      </c>
      <c r="I475">
        <v>198</v>
      </c>
    </row>
    <row r="476" spans="1:9">
      <c r="A476" t="s">
        <v>178</v>
      </c>
      <c r="B476" t="s">
        <v>178</v>
      </c>
      <c r="C476" t="s">
        <v>178</v>
      </c>
      <c r="D476" t="s">
        <v>178</v>
      </c>
      <c r="E476" t="s">
        <v>178</v>
      </c>
      <c r="F476" t="s">
        <v>178</v>
      </c>
      <c r="G476" t="s">
        <v>178</v>
      </c>
      <c r="H476" s="84" t="s">
        <v>178</v>
      </c>
      <c r="I476" t="s">
        <v>178</v>
      </c>
    </row>
    <row r="477" spans="1:9">
      <c r="A477" t="s">
        <v>178</v>
      </c>
      <c r="B477" t="s">
        <v>178</v>
      </c>
      <c r="C477" t="s">
        <v>178</v>
      </c>
      <c r="D477" t="s">
        <v>178</v>
      </c>
      <c r="E477" t="s">
        <v>178</v>
      </c>
      <c r="F477" t="s">
        <v>178</v>
      </c>
      <c r="G477" t="s">
        <v>178</v>
      </c>
      <c r="H477" s="84" t="s">
        <v>178</v>
      </c>
      <c r="I477" t="s">
        <v>178</v>
      </c>
    </row>
    <row r="478" spans="1:9">
      <c r="A478" t="s">
        <v>804</v>
      </c>
      <c r="B478" t="s">
        <v>200</v>
      </c>
      <c r="C478">
        <v>13</v>
      </c>
      <c r="D478">
        <v>660</v>
      </c>
      <c r="E478">
        <v>1.9696969696969695E-2</v>
      </c>
      <c r="F478">
        <v>11.28</v>
      </c>
      <c r="G478">
        <v>90.790243902439016</v>
      </c>
      <c r="H478" s="84">
        <v>1.7882926829268289</v>
      </c>
      <c r="I478">
        <v>175</v>
      </c>
    </row>
    <row r="479" spans="1:9">
      <c r="A479" t="s">
        <v>805</v>
      </c>
      <c r="B479" t="s">
        <v>209</v>
      </c>
      <c r="C479">
        <v>13</v>
      </c>
      <c r="D479">
        <v>630</v>
      </c>
      <c r="E479">
        <v>2.0634920634920634E-2</v>
      </c>
      <c r="F479">
        <v>9.65</v>
      </c>
      <c r="G479">
        <v>74.140243902439025</v>
      </c>
      <c r="H479" s="84">
        <v>1.5298780487804877</v>
      </c>
      <c r="I479">
        <v>189</v>
      </c>
    </row>
    <row r="480" spans="1:9">
      <c r="A480" t="s">
        <v>178</v>
      </c>
      <c r="B480" t="s">
        <v>178</v>
      </c>
      <c r="C480" t="s">
        <v>178</v>
      </c>
      <c r="D480" t="s">
        <v>178</v>
      </c>
      <c r="E480" t="s">
        <v>178</v>
      </c>
      <c r="F480" t="s">
        <v>178</v>
      </c>
      <c r="G480" t="s">
        <v>178</v>
      </c>
      <c r="H480" s="84" t="s">
        <v>178</v>
      </c>
      <c r="I480" t="s">
        <v>178</v>
      </c>
    </row>
    <row r="481" spans="1:9">
      <c r="A481" t="s">
        <v>807</v>
      </c>
      <c r="B481" t="s">
        <v>214</v>
      </c>
      <c r="C481">
        <v>12</v>
      </c>
      <c r="D481">
        <v>619</v>
      </c>
      <c r="E481">
        <v>1.9386106623586429E-2</v>
      </c>
      <c r="F481">
        <v>11.03</v>
      </c>
      <c r="G481">
        <v>83.263048780487807</v>
      </c>
      <c r="H481" s="84">
        <v>1.6141463414634147</v>
      </c>
      <c r="I481">
        <v>186</v>
      </c>
    </row>
    <row r="482" spans="1:9">
      <c r="A482" t="s">
        <v>178</v>
      </c>
      <c r="B482" t="s">
        <v>178</v>
      </c>
      <c r="C482" t="s">
        <v>178</v>
      </c>
      <c r="D482" t="s">
        <v>178</v>
      </c>
      <c r="E482" t="s">
        <v>178</v>
      </c>
      <c r="F482" t="s">
        <v>178</v>
      </c>
      <c r="G482" t="s">
        <v>178</v>
      </c>
      <c r="H482" s="84" t="s">
        <v>178</v>
      </c>
      <c r="I482" t="s">
        <v>178</v>
      </c>
    </row>
    <row r="483" spans="1:9">
      <c r="A483" t="s">
        <v>178</v>
      </c>
      <c r="B483" t="s">
        <v>178</v>
      </c>
      <c r="C483" t="s">
        <v>178</v>
      </c>
      <c r="D483" t="s">
        <v>178</v>
      </c>
      <c r="E483" t="s">
        <v>178</v>
      </c>
      <c r="F483" t="s">
        <v>178</v>
      </c>
      <c r="G483" t="s">
        <v>178</v>
      </c>
      <c r="H483" s="84" t="s">
        <v>178</v>
      </c>
      <c r="I483" t="s">
        <v>178</v>
      </c>
    </row>
    <row r="484" spans="1:9">
      <c r="A484" t="s">
        <v>178</v>
      </c>
      <c r="B484" t="s">
        <v>178</v>
      </c>
      <c r="C484" t="s">
        <v>178</v>
      </c>
      <c r="D484" t="s">
        <v>178</v>
      </c>
      <c r="E484" t="s">
        <v>178</v>
      </c>
      <c r="F484" t="s">
        <v>178</v>
      </c>
      <c r="G484" t="s">
        <v>178</v>
      </c>
      <c r="H484" s="84" t="s">
        <v>178</v>
      </c>
      <c r="I484" t="s">
        <v>178</v>
      </c>
    </row>
    <row r="485" spans="1:9">
      <c r="A485" t="s">
        <v>811</v>
      </c>
      <c r="B485" t="s">
        <v>206</v>
      </c>
      <c r="C485">
        <v>12</v>
      </c>
      <c r="D485">
        <v>642</v>
      </c>
      <c r="E485">
        <v>1.8691588785046728E-2</v>
      </c>
      <c r="F485">
        <v>9.99</v>
      </c>
      <c r="G485">
        <v>78.214390243902443</v>
      </c>
      <c r="H485" s="84">
        <v>1.4619512195121951</v>
      </c>
      <c r="I485">
        <v>196</v>
      </c>
    </row>
    <row r="486" spans="1:9">
      <c r="A486" t="s">
        <v>178</v>
      </c>
      <c r="B486" t="s">
        <v>178</v>
      </c>
      <c r="C486" t="s">
        <v>178</v>
      </c>
      <c r="D486" t="s">
        <v>178</v>
      </c>
      <c r="E486" t="s">
        <v>178</v>
      </c>
      <c r="F486" t="s">
        <v>178</v>
      </c>
      <c r="G486" t="s">
        <v>178</v>
      </c>
      <c r="H486" s="84" t="s">
        <v>178</v>
      </c>
      <c r="I486" t="s">
        <v>178</v>
      </c>
    </row>
    <row r="487" spans="1:9">
      <c r="A487" t="s">
        <v>178</v>
      </c>
      <c r="B487" t="s">
        <v>178</v>
      </c>
      <c r="C487" t="s">
        <v>178</v>
      </c>
      <c r="D487" t="s">
        <v>178</v>
      </c>
      <c r="E487" t="s">
        <v>178</v>
      </c>
      <c r="F487" t="s">
        <v>178</v>
      </c>
      <c r="G487" t="s">
        <v>178</v>
      </c>
      <c r="H487" s="84" t="s">
        <v>178</v>
      </c>
      <c r="I487" t="s">
        <v>178</v>
      </c>
    </row>
    <row r="488" spans="1:9">
      <c r="A488" t="s">
        <v>814</v>
      </c>
      <c r="B488" t="s">
        <v>200</v>
      </c>
      <c r="C488">
        <v>12</v>
      </c>
      <c r="D488">
        <v>660</v>
      </c>
      <c r="E488">
        <v>1.8181818181818181E-2</v>
      </c>
      <c r="F488">
        <v>11.28</v>
      </c>
      <c r="G488">
        <v>90.790243902439016</v>
      </c>
      <c r="H488" s="84">
        <v>1.6507317073170729</v>
      </c>
      <c r="I488">
        <v>180</v>
      </c>
    </row>
    <row r="489" spans="1:9">
      <c r="A489" t="s">
        <v>178</v>
      </c>
      <c r="B489" t="s">
        <v>178</v>
      </c>
      <c r="C489" t="s">
        <v>178</v>
      </c>
      <c r="D489" t="s">
        <v>178</v>
      </c>
      <c r="E489" t="s">
        <v>178</v>
      </c>
      <c r="F489" t="s">
        <v>178</v>
      </c>
      <c r="G489" t="s">
        <v>178</v>
      </c>
      <c r="H489" s="84" t="s">
        <v>178</v>
      </c>
      <c r="I489" t="s">
        <v>178</v>
      </c>
    </row>
    <row r="490" spans="1:9">
      <c r="A490" t="s">
        <v>178</v>
      </c>
      <c r="B490" t="s">
        <v>178</v>
      </c>
      <c r="C490" t="s">
        <v>178</v>
      </c>
      <c r="D490" t="s">
        <v>178</v>
      </c>
      <c r="E490" t="s">
        <v>178</v>
      </c>
      <c r="F490" t="s">
        <v>178</v>
      </c>
      <c r="G490" t="s">
        <v>178</v>
      </c>
      <c r="H490" s="84" t="s">
        <v>178</v>
      </c>
      <c r="I490" t="s">
        <v>178</v>
      </c>
    </row>
    <row r="491" spans="1:9">
      <c r="A491" t="s">
        <v>817</v>
      </c>
      <c r="B491" t="s">
        <v>198</v>
      </c>
      <c r="C491">
        <v>12</v>
      </c>
      <c r="D491">
        <v>600</v>
      </c>
      <c r="E491">
        <v>0.02</v>
      </c>
      <c r="F491">
        <v>9.52</v>
      </c>
      <c r="G491">
        <v>69.658536585365852</v>
      </c>
      <c r="H491" s="84">
        <v>1.393170731707317</v>
      </c>
      <c r="I491">
        <v>199</v>
      </c>
    </row>
    <row r="492" spans="1:9">
      <c r="A492" t="s">
        <v>178</v>
      </c>
      <c r="B492" t="s">
        <v>178</v>
      </c>
      <c r="C492" t="s">
        <v>178</v>
      </c>
      <c r="D492" t="s">
        <v>178</v>
      </c>
      <c r="E492" t="s">
        <v>178</v>
      </c>
      <c r="F492" t="s">
        <v>178</v>
      </c>
      <c r="G492" t="s">
        <v>178</v>
      </c>
      <c r="H492" s="84" t="s">
        <v>178</v>
      </c>
      <c r="I492" t="s">
        <v>178</v>
      </c>
    </row>
    <row r="493" spans="1:9">
      <c r="A493" t="s">
        <v>178</v>
      </c>
      <c r="B493" t="s">
        <v>178</v>
      </c>
      <c r="C493" t="s">
        <v>178</v>
      </c>
      <c r="D493" t="s">
        <v>178</v>
      </c>
      <c r="E493" t="s">
        <v>178</v>
      </c>
      <c r="F493" t="s">
        <v>178</v>
      </c>
      <c r="G493" t="s">
        <v>178</v>
      </c>
      <c r="H493" s="84" t="s">
        <v>178</v>
      </c>
      <c r="I493" t="s">
        <v>178</v>
      </c>
    </row>
    <row r="494" spans="1:9">
      <c r="A494" t="s">
        <v>178</v>
      </c>
      <c r="B494" t="s">
        <v>178</v>
      </c>
      <c r="C494" t="s">
        <v>178</v>
      </c>
      <c r="D494" t="s">
        <v>178</v>
      </c>
      <c r="E494" t="s">
        <v>178</v>
      </c>
      <c r="F494" t="s">
        <v>178</v>
      </c>
      <c r="G494" t="s">
        <v>178</v>
      </c>
      <c r="H494" s="84" t="s">
        <v>178</v>
      </c>
      <c r="I494" t="s">
        <v>178</v>
      </c>
    </row>
    <row r="495" spans="1:9">
      <c r="A495" t="s">
        <v>178</v>
      </c>
      <c r="B495" t="s">
        <v>178</v>
      </c>
      <c r="C495" t="s">
        <v>178</v>
      </c>
      <c r="D495" t="s">
        <v>178</v>
      </c>
      <c r="E495" t="s">
        <v>178</v>
      </c>
      <c r="F495" t="s">
        <v>178</v>
      </c>
      <c r="G495" t="s">
        <v>178</v>
      </c>
      <c r="H495" s="84" t="s">
        <v>178</v>
      </c>
      <c r="I495" t="s">
        <v>178</v>
      </c>
    </row>
    <row r="496" spans="1:9">
      <c r="A496" t="s">
        <v>822</v>
      </c>
      <c r="B496" t="s">
        <v>196</v>
      </c>
      <c r="C496">
        <v>12</v>
      </c>
      <c r="D496">
        <v>656</v>
      </c>
      <c r="E496">
        <v>1.8292682926829267E-2</v>
      </c>
      <c r="F496">
        <v>14.22</v>
      </c>
      <c r="G496">
        <v>113.76</v>
      </c>
      <c r="H496" s="84">
        <v>2.0809756097560976</v>
      </c>
      <c r="I496">
        <v>162</v>
      </c>
    </row>
    <row r="497" spans="1:9">
      <c r="A497" t="s">
        <v>823</v>
      </c>
      <c r="B497" t="s">
        <v>200</v>
      </c>
      <c r="C497">
        <v>12</v>
      </c>
      <c r="D497">
        <v>660</v>
      </c>
      <c r="E497">
        <v>1.8181818181818181E-2</v>
      </c>
      <c r="F497">
        <v>11.28</v>
      </c>
      <c r="G497">
        <v>90.790243902439016</v>
      </c>
      <c r="H497" s="84">
        <v>1.6507317073170729</v>
      </c>
      <c r="I497">
        <v>180</v>
      </c>
    </row>
    <row r="498" spans="1:9">
      <c r="A498" t="s">
        <v>178</v>
      </c>
      <c r="B498" t="s">
        <v>178</v>
      </c>
      <c r="C498" t="s">
        <v>178</v>
      </c>
      <c r="D498" t="s">
        <v>178</v>
      </c>
      <c r="E498" t="s">
        <v>178</v>
      </c>
      <c r="F498" t="s">
        <v>178</v>
      </c>
      <c r="G498" t="s">
        <v>178</v>
      </c>
      <c r="H498" s="84" t="s">
        <v>178</v>
      </c>
      <c r="I498" t="s">
        <v>178</v>
      </c>
    </row>
    <row r="499" spans="1:9">
      <c r="A499" t="s">
        <v>825</v>
      </c>
      <c r="B499" t="s">
        <v>200</v>
      </c>
      <c r="C499">
        <v>12</v>
      </c>
      <c r="D499">
        <v>660</v>
      </c>
      <c r="E499">
        <v>1.8181818181818181E-2</v>
      </c>
      <c r="F499">
        <v>11.28</v>
      </c>
      <c r="G499">
        <v>90.790243902439016</v>
      </c>
      <c r="H499" s="84">
        <v>1.6507317073170729</v>
      </c>
      <c r="I499">
        <v>180</v>
      </c>
    </row>
    <row r="500" spans="1:9">
      <c r="A500" t="s">
        <v>826</v>
      </c>
      <c r="B500" t="s">
        <v>200</v>
      </c>
      <c r="C500">
        <v>12</v>
      </c>
      <c r="D500">
        <v>660</v>
      </c>
      <c r="E500">
        <v>1.8181818181818181E-2</v>
      </c>
      <c r="F500">
        <v>11.28</v>
      </c>
      <c r="G500">
        <v>90.790243902439016</v>
      </c>
      <c r="H500" s="84">
        <v>1.6507317073170729</v>
      </c>
      <c r="I500">
        <v>180</v>
      </c>
    </row>
    <row r="501" spans="1:9">
      <c r="A501" t="s">
        <v>827</v>
      </c>
      <c r="B501" t="s">
        <v>214</v>
      </c>
      <c r="C501">
        <v>11</v>
      </c>
      <c r="D501">
        <v>619</v>
      </c>
      <c r="E501">
        <v>1.7770597738287562E-2</v>
      </c>
      <c r="F501">
        <v>11.03</v>
      </c>
      <c r="G501">
        <v>83.263048780487807</v>
      </c>
      <c r="H501" s="84">
        <v>1.4796341463414635</v>
      </c>
      <c r="I501">
        <v>194</v>
      </c>
    </row>
    <row r="502" spans="1:9">
      <c r="A502" t="s">
        <v>178</v>
      </c>
      <c r="B502" t="s">
        <v>178</v>
      </c>
      <c r="C502" t="s">
        <v>178</v>
      </c>
      <c r="D502" t="s">
        <v>178</v>
      </c>
      <c r="E502" t="s">
        <v>178</v>
      </c>
      <c r="F502" t="s">
        <v>178</v>
      </c>
      <c r="G502" t="s">
        <v>178</v>
      </c>
      <c r="H502" s="84" t="s">
        <v>178</v>
      </c>
      <c r="I502" t="s">
        <v>178</v>
      </c>
    </row>
    <row r="503" spans="1:9">
      <c r="A503" t="s">
        <v>829</v>
      </c>
      <c r="B503" t="s">
        <v>203</v>
      </c>
      <c r="C503">
        <v>11</v>
      </c>
      <c r="D503">
        <v>659</v>
      </c>
      <c r="E503">
        <v>1.6691957511380879E-2</v>
      </c>
      <c r="F503">
        <v>8.52</v>
      </c>
      <c r="G503">
        <v>68.471707317073168</v>
      </c>
      <c r="H503" s="84">
        <v>1.1429268292682926</v>
      </c>
      <c r="I503">
        <v>215</v>
      </c>
    </row>
    <row r="504" spans="1:9">
      <c r="A504" t="s">
        <v>830</v>
      </c>
      <c r="B504" t="s">
        <v>198</v>
      </c>
      <c r="C504">
        <v>11</v>
      </c>
      <c r="D504">
        <v>600</v>
      </c>
      <c r="E504">
        <v>1.8333333333333333E-2</v>
      </c>
      <c r="F504">
        <v>9.52</v>
      </c>
      <c r="G504">
        <v>69.658536585365852</v>
      </c>
      <c r="H504" s="84">
        <v>1.2770731707317073</v>
      </c>
      <c r="I504">
        <v>208</v>
      </c>
    </row>
    <row r="505" spans="1:9">
      <c r="A505" t="s">
        <v>178</v>
      </c>
      <c r="B505" t="s">
        <v>178</v>
      </c>
      <c r="C505" t="s">
        <v>178</v>
      </c>
      <c r="D505" t="s">
        <v>178</v>
      </c>
      <c r="E505" t="s">
        <v>178</v>
      </c>
      <c r="F505" t="s">
        <v>178</v>
      </c>
      <c r="G505" t="s">
        <v>178</v>
      </c>
      <c r="H505" s="84" t="s">
        <v>178</v>
      </c>
      <c r="I505" t="s">
        <v>178</v>
      </c>
    </row>
    <row r="506" spans="1:9">
      <c r="A506" t="s">
        <v>178</v>
      </c>
      <c r="B506" t="s">
        <v>178</v>
      </c>
      <c r="C506" t="s">
        <v>178</v>
      </c>
      <c r="D506" t="s">
        <v>178</v>
      </c>
      <c r="E506" t="s">
        <v>178</v>
      </c>
      <c r="F506" t="s">
        <v>178</v>
      </c>
      <c r="G506" t="s">
        <v>178</v>
      </c>
      <c r="H506" s="84" t="s">
        <v>178</v>
      </c>
      <c r="I506" t="s">
        <v>178</v>
      </c>
    </row>
    <row r="507" spans="1:9">
      <c r="A507" t="s">
        <v>178</v>
      </c>
      <c r="B507" t="s">
        <v>178</v>
      </c>
      <c r="C507" t="s">
        <v>178</v>
      </c>
      <c r="D507" t="s">
        <v>178</v>
      </c>
      <c r="E507" t="s">
        <v>178</v>
      </c>
      <c r="F507" t="s">
        <v>178</v>
      </c>
      <c r="G507" t="s">
        <v>178</v>
      </c>
      <c r="H507" s="84" t="s">
        <v>178</v>
      </c>
      <c r="I507" t="s">
        <v>178</v>
      </c>
    </row>
    <row r="508" spans="1:9">
      <c r="A508" t="s">
        <v>178</v>
      </c>
      <c r="B508" t="s">
        <v>178</v>
      </c>
      <c r="C508" t="s">
        <v>178</v>
      </c>
      <c r="D508" t="s">
        <v>178</v>
      </c>
      <c r="E508" t="s">
        <v>178</v>
      </c>
      <c r="F508" t="s">
        <v>178</v>
      </c>
      <c r="G508" t="s">
        <v>178</v>
      </c>
      <c r="H508" s="84" t="s">
        <v>178</v>
      </c>
      <c r="I508" t="s">
        <v>178</v>
      </c>
    </row>
    <row r="509" spans="1:9">
      <c r="A509" t="s">
        <v>835</v>
      </c>
      <c r="B509" t="s">
        <v>206</v>
      </c>
      <c r="C509">
        <v>11</v>
      </c>
      <c r="D509">
        <v>642</v>
      </c>
      <c r="E509">
        <v>1.7133956386292833E-2</v>
      </c>
      <c r="F509">
        <v>9.99</v>
      </c>
      <c r="G509">
        <v>78.214390243902443</v>
      </c>
      <c r="H509" s="84">
        <v>1.3401219512195122</v>
      </c>
      <c r="I509">
        <v>205</v>
      </c>
    </row>
    <row r="510" spans="1:9">
      <c r="A510" t="s">
        <v>836</v>
      </c>
      <c r="B510" t="s">
        <v>198</v>
      </c>
      <c r="C510">
        <v>11</v>
      </c>
      <c r="D510">
        <v>600</v>
      </c>
      <c r="E510">
        <v>1.8333333333333333E-2</v>
      </c>
      <c r="F510">
        <v>9.52</v>
      </c>
      <c r="G510">
        <v>69.658536585365852</v>
      </c>
      <c r="H510" s="84">
        <v>1.2770731707317073</v>
      </c>
      <c r="I510">
        <v>208</v>
      </c>
    </row>
    <row r="511" spans="1:9">
      <c r="A511" t="s">
        <v>837</v>
      </c>
      <c r="B511" t="s">
        <v>214</v>
      </c>
      <c r="C511">
        <v>11</v>
      </c>
      <c r="D511">
        <v>619</v>
      </c>
      <c r="E511">
        <v>1.7770597738287562E-2</v>
      </c>
      <c r="F511">
        <v>11.03</v>
      </c>
      <c r="G511">
        <v>83.263048780487807</v>
      </c>
      <c r="H511" s="84">
        <v>1.4796341463414635</v>
      </c>
      <c r="I511">
        <v>194</v>
      </c>
    </row>
    <row r="512" spans="1:9">
      <c r="A512" t="s">
        <v>178</v>
      </c>
      <c r="B512" t="s">
        <v>178</v>
      </c>
      <c r="C512" t="s">
        <v>178</v>
      </c>
      <c r="D512" t="s">
        <v>178</v>
      </c>
      <c r="E512" t="s">
        <v>178</v>
      </c>
      <c r="F512" t="s">
        <v>178</v>
      </c>
      <c r="G512" t="s">
        <v>178</v>
      </c>
      <c r="H512" s="84" t="s">
        <v>178</v>
      </c>
      <c r="I512" t="s">
        <v>178</v>
      </c>
    </row>
    <row r="513" spans="1:9">
      <c r="A513" t="s">
        <v>839</v>
      </c>
      <c r="B513" t="s">
        <v>206</v>
      </c>
      <c r="C513">
        <v>11</v>
      </c>
      <c r="D513">
        <v>642</v>
      </c>
      <c r="E513">
        <v>1.7133956386292833E-2</v>
      </c>
      <c r="F513">
        <v>9.99</v>
      </c>
      <c r="G513">
        <v>78.214390243902443</v>
      </c>
      <c r="H513" s="84">
        <v>1.3401219512195122</v>
      </c>
      <c r="I513">
        <v>205</v>
      </c>
    </row>
    <row r="514" spans="1:9">
      <c r="A514" t="s">
        <v>178</v>
      </c>
      <c r="B514" t="s">
        <v>178</v>
      </c>
      <c r="C514" t="s">
        <v>178</v>
      </c>
      <c r="D514" t="s">
        <v>178</v>
      </c>
      <c r="E514" t="s">
        <v>178</v>
      </c>
      <c r="F514" t="s">
        <v>178</v>
      </c>
      <c r="G514" t="s">
        <v>178</v>
      </c>
      <c r="H514" s="84" t="s">
        <v>178</v>
      </c>
      <c r="I514" t="s">
        <v>178</v>
      </c>
    </row>
    <row r="515" spans="1:9">
      <c r="A515" t="s">
        <v>178</v>
      </c>
      <c r="B515" t="s">
        <v>178</v>
      </c>
      <c r="C515" t="s">
        <v>178</v>
      </c>
      <c r="D515" t="s">
        <v>178</v>
      </c>
      <c r="E515" t="s">
        <v>178</v>
      </c>
      <c r="F515" t="s">
        <v>178</v>
      </c>
      <c r="G515" t="s">
        <v>178</v>
      </c>
      <c r="H515" s="84" t="s">
        <v>178</v>
      </c>
      <c r="I515" t="s">
        <v>178</v>
      </c>
    </row>
    <row r="516" spans="1:9">
      <c r="A516" t="s">
        <v>178</v>
      </c>
      <c r="B516" t="s">
        <v>178</v>
      </c>
      <c r="C516" t="s">
        <v>178</v>
      </c>
      <c r="D516" t="s">
        <v>178</v>
      </c>
      <c r="E516" t="s">
        <v>178</v>
      </c>
      <c r="F516" t="s">
        <v>178</v>
      </c>
      <c r="G516" t="s">
        <v>178</v>
      </c>
      <c r="H516" s="84" t="s">
        <v>178</v>
      </c>
      <c r="I516" t="s">
        <v>178</v>
      </c>
    </row>
    <row r="517" spans="1:9">
      <c r="A517" t="s">
        <v>843</v>
      </c>
      <c r="B517" t="s">
        <v>200</v>
      </c>
      <c r="C517">
        <v>10</v>
      </c>
      <c r="D517">
        <v>660</v>
      </c>
      <c r="E517">
        <v>1.5151515151515152E-2</v>
      </c>
      <c r="F517">
        <v>11.28</v>
      </c>
      <c r="G517">
        <v>90.790243902439016</v>
      </c>
      <c r="H517" s="84">
        <v>1.3756097560975609</v>
      </c>
      <c r="I517">
        <v>202</v>
      </c>
    </row>
    <row r="518" spans="1:9">
      <c r="A518" t="s">
        <v>178</v>
      </c>
      <c r="B518" t="s">
        <v>178</v>
      </c>
      <c r="C518" t="s">
        <v>178</v>
      </c>
      <c r="D518" t="s">
        <v>178</v>
      </c>
      <c r="E518" t="s">
        <v>178</v>
      </c>
      <c r="F518" t="s">
        <v>178</v>
      </c>
      <c r="G518" t="s">
        <v>178</v>
      </c>
      <c r="H518" s="84" t="s">
        <v>178</v>
      </c>
      <c r="I518" t="s">
        <v>178</v>
      </c>
    </row>
    <row r="519" spans="1:9">
      <c r="A519" t="s">
        <v>178</v>
      </c>
      <c r="B519" t="s">
        <v>178</v>
      </c>
      <c r="C519" t="s">
        <v>178</v>
      </c>
      <c r="D519" t="s">
        <v>178</v>
      </c>
      <c r="E519" t="s">
        <v>178</v>
      </c>
      <c r="F519" t="s">
        <v>178</v>
      </c>
      <c r="G519" t="s">
        <v>178</v>
      </c>
      <c r="H519" s="84" t="s">
        <v>178</v>
      </c>
      <c r="I519" t="s">
        <v>178</v>
      </c>
    </row>
    <row r="520" spans="1:9">
      <c r="A520" t="s">
        <v>846</v>
      </c>
      <c r="B520" t="s">
        <v>212</v>
      </c>
      <c r="C520">
        <v>10</v>
      </c>
      <c r="D520">
        <v>608</v>
      </c>
      <c r="E520">
        <v>1.6447368421052631E-2</v>
      </c>
      <c r="F520">
        <v>11.03</v>
      </c>
      <c r="G520">
        <v>81.783414634146339</v>
      </c>
      <c r="H520" s="84">
        <v>1.3451219512195121</v>
      </c>
      <c r="I520">
        <v>203</v>
      </c>
    </row>
    <row r="521" spans="1:9">
      <c r="A521" t="s">
        <v>847</v>
      </c>
      <c r="B521" t="s">
        <v>202</v>
      </c>
      <c r="C521">
        <v>10</v>
      </c>
      <c r="D521">
        <v>601</v>
      </c>
      <c r="E521">
        <v>1.6638935108153077E-2</v>
      </c>
      <c r="F521">
        <v>8.74</v>
      </c>
      <c r="G521">
        <v>64.057804878048785</v>
      </c>
      <c r="H521" s="84">
        <v>1.0658536585365854</v>
      </c>
      <c r="I521">
        <v>219</v>
      </c>
    </row>
    <row r="522" spans="1:9">
      <c r="A522" t="s">
        <v>178</v>
      </c>
      <c r="B522" t="s">
        <v>178</v>
      </c>
      <c r="C522" t="s">
        <v>178</v>
      </c>
      <c r="D522" t="s">
        <v>178</v>
      </c>
      <c r="E522" t="s">
        <v>178</v>
      </c>
      <c r="F522" t="s">
        <v>178</v>
      </c>
      <c r="G522" t="s">
        <v>178</v>
      </c>
      <c r="H522" s="84" t="s">
        <v>178</v>
      </c>
      <c r="I522" t="s">
        <v>178</v>
      </c>
    </row>
    <row r="523" spans="1:9">
      <c r="A523" t="s">
        <v>849</v>
      </c>
      <c r="B523" t="s">
        <v>198</v>
      </c>
      <c r="C523">
        <v>10</v>
      </c>
      <c r="D523">
        <v>600</v>
      </c>
      <c r="E523">
        <v>1.6666666666666666E-2</v>
      </c>
      <c r="F523">
        <v>9.52</v>
      </c>
      <c r="G523">
        <v>69.658536585365852</v>
      </c>
      <c r="H523" s="84">
        <v>1.1609756097560975</v>
      </c>
      <c r="I523">
        <v>214</v>
      </c>
    </row>
    <row r="524" spans="1:9">
      <c r="A524" t="s">
        <v>178</v>
      </c>
      <c r="B524" t="s">
        <v>178</v>
      </c>
      <c r="C524" t="s">
        <v>178</v>
      </c>
      <c r="D524" t="s">
        <v>178</v>
      </c>
      <c r="E524" t="s">
        <v>178</v>
      </c>
      <c r="F524" t="s">
        <v>178</v>
      </c>
      <c r="G524" t="s">
        <v>178</v>
      </c>
      <c r="H524" s="84" t="s">
        <v>178</v>
      </c>
      <c r="I524" t="s">
        <v>178</v>
      </c>
    </row>
    <row r="525" spans="1:9">
      <c r="A525" t="s">
        <v>851</v>
      </c>
      <c r="B525" t="s">
        <v>205</v>
      </c>
      <c r="C525">
        <v>10</v>
      </c>
      <c r="D525">
        <v>613</v>
      </c>
      <c r="E525">
        <v>1.6313213703099509E-2</v>
      </c>
      <c r="F525">
        <v>15.26</v>
      </c>
      <c r="G525">
        <v>114.07780487804878</v>
      </c>
      <c r="H525" s="84">
        <v>1.8609756097560974</v>
      </c>
      <c r="I525">
        <v>173</v>
      </c>
    </row>
    <row r="526" spans="1:9">
      <c r="A526" t="s">
        <v>178</v>
      </c>
      <c r="B526" t="s">
        <v>178</v>
      </c>
      <c r="C526" t="s">
        <v>178</v>
      </c>
      <c r="D526" t="s">
        <v>178</v>
      </c>
      <c r="E526" t="s">
        <v>178</v>
      </c>
      <c r="F526" t="s">
        <v>178</v>
      </c>
      <c r="G526" t="s">
        <v>178</v>
      </c>
      <c r="H526" s="84" t="s">
        <v>178</v>
      </c>
      <c r="I526" t="s">
        <v>178</v>
      </c>
    </row>
    <row r="527" spans="1:9">
      <c r="A527" t="s">
        <v>853</v>
      </c>
      <c r="B527" t="s">
        <v>212</v>
      </c>
      <c r="C527">
        <v>10</v>
      </c>
      <c r="D527">
        <v>608</v>
      </c>
      <c r="E527">
        <v>1.6447368421052631E-2</v>
      </c>
      <c r="F527">
        <v>11.03</v>
      </c>
      <c r="G527">
        <v>81.783414634146339</v>
      </c>
      <c r="H527" s="84">
        <v>1.3451219512195121</v>
      </c>
      <c r="I527">
        <v>203</v>
      </c>
    </row>
    <row r="528" spans="1:9">
      <c r="A528" t="s">
        <v>178</v>
      </c>
      <c r="B528" t="s">
        <v>178</v>
      </c>
      <c r="C528" t="s">
        <v>178</v>
      </c>
      <c r="D528" t="s">
        <v>178</v>
      </c>
      <c r="E528" t="s">
        <v>178</v>
      </c>
      <c r="F528" t="s">
        <v>178</v>
      </c>
      <c r="G528" t="s">
        <v>178</v>
      </c>
      <c r="H528" s="84" t="s">
        <v>178</v>
      </c>
      <c r="I528" t="s">
        <v>178</v>
      </c>
    </row>
    <row r="529" spans="1:9">
      <c r="A529" t="s">
        <v>178</v>
      </c>
      <c r="B529" t="s">
        <v>178</v>
      </c>
      <c r="C529" t="s">
        <v>178</v>
      </c>
      <c r="D529" t="s">
        <v>178</v>
      </c>
      <c r="E529" t="s">
        <v>178</v>
      </c>
      <c r="F529" t="s">
        <v>178</v>
      </c>
      <c r="G529" t="s">
        <v>178</v>
      </c>
      <c r="H529" s="84" t="s">
        <v>178</v>
      </c>
      <c r="I529" t="s">
        <v>178</v>
      </c>
    </row>
    <row r="530" spans="1:9">
      <c r="A530" t="s">
        <v>856</v>
      </c>
      <c r="B530" t="s">
        <v>202</v>
      </c>
      <c r="C530">
        <v>10</v>
      </c>
      <c r="D530">
        <v>601</v>
      </c>
      <c r="E530">
        <v>1.6638935108153077E-2</v>
      </c>
      <c r="F530">
        <v>8.74</v>
      </c>
      <c r="G530">
        <v>64.057804878048785</v>
      </c>
      <c r="H530" s="84">
        <v>1.0658536585365854</v>
      </c>
      <c r="I530">
        <v>219</v>
      </c>
    </row>
    <row r="531" spans="1:9">
      <c r="A531" t="s">
        <v>857</v>
      </c>
      <c r="B531" t="s">
        <v>200</v>
      </c>
      <c r="C531">
        <v>9</v>
      </c>
      <c r="D531">
        <v>660</v>
      </c>
      <c r="E531">
        <v>1.3636363636363636E-2</v>
      </c>
      <c r="F531">
        <v>11.28</v>
      </c>
      <c r="G531">
        <v>90.790243902439016</v>
      </c>
      <c r="H531" s="84">
        <v>1.2380487804878046</v>
      </c>
      <c r="I531">
        <v>210</v>
      </c>
    </row>
    <row r="532" spans="1:9">
      <c r="A532" t="s">
        <v>178</v>
      </c>
      <c r="B532" t="s">
        <v>178</v>
      </c>
      <c r="C532" t="s">
        <v>178</v>
      </c>
      <c r="D532" t="s">
        <v>178</v>
      </c>
      <c r="E532" t="s">
        <v>178</v>
      </c>
      <c r="F532" t="s">
        <v>178</v>
      </c>
      <c r="G532" t="s">
        <v>178</v>
      </c>
      <c r="H532" s="84" t="s">
        <v>178</v>
      </c>
      <c r="I532" t="s">
        <v>178</v>
      </c>
    </row>
    <row r="533" spans="1:9">
      <c r="A533" t="s">
        <v>178</v>
      </c>
      <c r="B533" t="s">
        <v>178</v>
      </c>
      <c r="C533" t="s">
        <v>178</v>
      </c>
      <c r="D533" t="s">
        <v>178</v>
      </c>
      <c r="E533" t="s">
        <v>178</v>
      </c>
      <c r="F533" t="s">
        <v>178</v>
      </c>
      <c r="G533" t="s">
        <v>178</v>
      </c>
      <c r="H533" s="84" t="s">
        <v>178</v>
      </c>
      <c r="I533" t="s">
        <v>178</v>
      </c>
    </row>
    <row r="534" spans="1:9">
      <c r="A534" t="s">
        <v>178</v>
      </c>
      <c r="B534" t="s">
        <v>178</v>
      </c>
      <c r="C534" t="s">
        <v>178</v>
      </c>
      <c r="D534" t="s">
        <v>178</v>
      </c>
      <c r="E534" t="s">
        <v>178</v>
      </c>
      <c r="F534" t="s">
        <v>178</v>
      </c>
      <c r="G534" t="s">
        <v>178</v>
      </c>
      <c r="H534" s="84" t="s">
        <v>178</v>
      </c>
      <c r="I534" t="s">
        <v>178</v>
      </c>
    </row>
    <row r="535" spans="1:9">
      <c r="A535" t="s">
        <v>178</v>
      </c>
      <c r="B535" t="s">
        <v>178</v>
      </c>
      <c r="C535" t="s">
        <v>178</v>
      </c>
      <c r="D535" t="s">
        <v>178</v>
      </c>
      <c r="E535" t="s">
        <v>178</v>
      </c>
      <c r="F535" t="s">
        <v>178</v>
      </c>
      <c r="G535" t="s">
        <v>178</v>
      </c>
      <c r="H535" s="84" t="s">
        <v>178</v>
      </c>
      <c r="I535" t="s">
        <v>178</v>
      </c>
    </row>
    <row r="536" spans="1:9">
      <c r="A536" t="s">
        <v>178</v>
      </c>
      <c r="B536" t="s">
        <v>178</v>
      </c>
      <c r="C536" t="s">
        <v>178</v>
      </c>
      <c r="D536" t="s">
        <v>178</v>
      </c>
      <c r="E536" t="s">
        <v>178</v>
      </c>
      <c r="F536" t="s">
        <v>178</v>
      </c>
      <c r="G536" t="s">
        <v>178</v>
      </c>
      <c r="H536" s="84" t="s">
        <v>178</v>
      </c>
      <c r="I536" t="s">
        <v>178</v>
      </c>
    </row>
    <row r="537" spans="1:9">
      <c r="A537" t="s">
        <v>178</v>
      </c>
      <c r="B537" t="s">
        <v>178</v>
      </c>
      <c r="C537" t="s">
        <v>178</v>
      </c>
      <c r="D537" t="s">
        <v>178</v>
      </c>
      <c r="E537" t="s">
        <v>178</v>
      </c>
      <c r="F537" t="s">
        <v>178</v>
      </c>
      <c r="G537" t="s">
        <v>178</v>
      </c>
      <c r="H537" s="84" t="s">
        <v>178</v>
      </c>
      <c r="I537" t="s">
        <v>178</v>
      </c>
    </row>
    <row r="538" spans="1:9">
      <c r="A538" t="s">
        <v>864</v>
      </c>
      <c r="B538" t="s">
        <v>202</v>
      </c>
      <c r="C538">
        <v>9</v>
      </c>
      <c r="D538">
        <v>601</v>
      </c>
      <c r="E538">
        <v>1.4975041597337771E-2</v>
      </c>
      <c r="F538">
        <v>8.74</v>
      </c>
      <c r="G538">
        <v>64.057804878048785</v>
      </c>
      <c r="H538" s="84">
        <v>0.9592682926829269</v>
      </c>
      <c r="I538">
        <v>224</v>
      </c>
    </row>
    <row r="539" spans="1:9">
      <c r="A539" t="s">
        <v>865</v>
      </c>
      <c r="B539" t="s">
        <v>210</v>
      </c>
      <c r="C539">
        <v>9</v>
      </c>
      <c r="D539">
        <v>594</v>
      </c>
      <c r="E539">
        <v>1.5151515151515152E-2</v>
      </c>
      <c r="F539">
        <v>9.11</v>
      </c>
      <c r="G539">
        <v>65.991951219512188</v>
      </c>
      <c r="H539" s="84">
        <v>0.99987804878048769</v>
      </c>
      <c r="I539">
        <v>222</v>
      </c>
    </row>
    <row r="540" spans="1:9">
      <c r="A540" t="s">
        <v>866</v>
      </c>
      <c r="B540" t="s">
        <v>200</v>
      </c>
      <c r="C540">
        <v>9</v>
      </c>
      <c r="D540">
        <v>660</v>
      </c>
      <c r="E540">
        <v>1.3636363636363636E-2</v>
      </c>
      <c r="F540">
        <v>11.28</v>
      </c>
      <c r="G540">
        <v>90.790243902439016</v>
      </c>
      <c r="H540" s="84">
        <v>1.2380487804878046</v>
      </c>
      <c r="I540">
        <v>210</v>
      </c>
    </row>
    <row r="541" spans="1:9">
      <c r="A541" t="s">
        <v>867</v>
      </c>
      <c r="B541" t="s">
        <v>198</v>
      </c>
      <c r="C541">
        <v>9</v>
      </c>
      <c r="D541">
        <v>600</v>
      </c>
      <c r="E541">
        <v>1.4999999999999999E-2</v>
      </c>
      <c r="F541">
        <v>9.52</v>
      </c>
      <c r="G541">
        <v>69.658536585365852</v>
      </c>
      <c r="H541" s="84">
        <v>1.0448780487804878</v>
      </c>
      <c r="I541">
        <v>221</v>
      </c>
    </row>
    <row r="542" spans="1:9">
      <c r="A542" t="s">
        <v>178</v>
      </c>
      <c r="B542" t="s">
        <v>178</v>
      </c>
      <c r="C542" t="s">
        <v>178</v>
      </c>
      <c r="D542" t="s">
        <v>178</v>
      </c>
      <c r="E542" t="s">
        <v>178</v>
      </c>
      <c r="F542" t="s">
        <v>178</v>
      </c>
      <c r="G542" t="s">
        <v>178</v>
      </c>
      <c r="H542" s="84" t="s">
        <v>178</v>
      </c>
      <c r="I542" t="s">
        <v>178</v>
      </c>
    </row>
    <row r="543" spans="1:9">
      <c r="A543" t="s">
        <v>178</v>
      </c>
      <c r="B543" t="s">
        <v>178</v>
      </c>
      <c r="C543" t="s">
        <v>178</v>
      </c>
      <c r="D543" t="s">
        <v>178</v>
      </c>
      <c r="E543" t="s">
        <v>178</v>
      </c>
      <c r="F543" t="s">
        <v>178</v>
      </c>
      <c r="G543" t="s">
        <v>178</v>
      </c>
      <c r="H543" s="84" t="s">
        <v>178</v>
      </c>
      <c r="I543" t="s">
        <v>178</v>
      </c>
    </row>
    <row r="544" spans="1:9">
      <c r="A544" t="s">
        <v>178</v>
      </c>
      <c r="B544" t="s">
        <v>178</v>
      </c>
      <c r="C544" t="s">
        <v>178</v>
      </c>
      <c r="D544" t="s">
        <v>178</v>
      </c>
      <c r="E544" t="s">
        <v>178</v>
      </c>
      <c r="F544" t="s">
        <v>178</v>
      </c>
      <c r="G544" t="s">
        <v>178</v>
      </c>
      <c r="H544" s="84" t="s">
        <v>178</v>
      </c>
      <c r="I544" t="s">
        <v>178</v>
      </c>
    </row>
    <row r="545" spans="1:9">
      <c r="A545" t="s">
        <v>178</v>
      </c>
      <c r="B545" t="s">
        <v>178</v>
      </c>
      <c r="C545" t="s">
        <v>178</v>
      </c>
      <c r="D545" t="s">
        <v>178</v>
      </c>
      <c r="E545" t="s">
        <v>178</v>
      </c>
      <c r="F545" t="s">
        <v>178</v>
      </c>
      <c r="G545" t="s">
        <v>178</v>
      </c>
      <c r="H545" s="84" t="s">
        <v>178</v>
      </c>
      <c r="I545" t="s">
        <v>178</v>
      </c>
    </row>
    <row r="546" spans="1:9">
      <c r="A546" t="s">
        <v>178</v>
      </c>
      <c r="B546" t="s">
        <v>178</v>
      </c>
      <c r="C546" t="s">
        <v>178</v>
      </c>
      <c r="D546" t="s">
        <v>178</v>
      </c>
      <c r="E546" t="s">
        <v>178</v>
      </c>
      <c r="F546" t="s">
        <v>178</v>
      </c>
      <c r="G546" t="s">
        <v>178</v>
      </c>
      <c r="H546" s="84" t="s">
        <v>178</v>
      </c>
      <c r="I546" t="s">
        <v>178</v>
      </c>
    </row>
    <row r="547" spans="1:9">
      <c r="A547" t="s">
        <v>873</v>
      </c>
      <c r="B547" t="s">
        <v>210</v>
      </c>
      <c r="C547">
        <v>9</v>
      </c>
      <c r="D547">
        <v>594</v>
      </c>
      <c r="E547">
        <v>1.5151515151515152E-2</v>
      </c>
      <c r="F547">
        <v>9.11</v>
      </c>
      <c r="G547">
        <v>65.991951219512188</v>
      </c>
      <c r="H547" s="84">
        <v>0.99987804878048769</v>
      </c>
      <c r="I547">
        <v>222</v>
      </c>
    </row>
    <row r="548" spans="1:9">
      <c r="A548" t="s">
        <v>178</v>
      </c>
      <c r="B548" t="s">
        <v>178</v>
      </c>
      <c r="C548" t="s">
        <v>178</v>
      </c>
      <c r="D548" t="s">
        <v>178</v>
      </c>
      <c r="E548" t="s">
        <v>178</v>
      </c>
      <c r="F548" t="s">
        <v>178</v>
      </c>
      <c r="G548" t="s">
        <v>178</v>
      </c>
      <c r="H548" s="84" t="s">
        <v>178</v>
      </c>
      <c r="I548" t="s">
        <v>178</v>
      </c>
    </row>
    <row r="549" spans="1:9">
      <c r="A549" t="s">
        <v>178</v>
      </c>
      <c r="B549" t="s">
        <v>178</v>
      </c>
      <c r="C549" t="s">
        <v>178</v>
      </c>
      <c r="D549" t="s">
        <v>178</v>
      </c>
      <c r="E549" t="s">
        <v>178</v>
      </c>
      <c r="F549" t="s">
        <v>178</v>
      </c>
      <c r="G549" t="s">
        <v>178</v>
      </c>
      <c r="H549" s="84" t="s">
        <v>178</v>
      </c>
      <c r="I549" t="s">
        <v>178</v>
      </c>
    </row>
    <row r="550" spans="1:9">
      <c r="A550" t="s">
        <v>178</v>
      </c>
      <c r="B550" t="s">
        <v>178</v>
      </c>
      <c r="C550" t="s">
        <v>178</v>
      </c>
      <c r="D550" t="s">
        <v>178</v>
      </c>
      <c r="E550" t="s">
        <v>178</v>
      </c>
      <c r="F550" t="s">
        <v>178</v>
      </c>
      <c r="G550" t="s">
        <v>178</v>
      </c>
      <c r="H550" s="84" t="s">
        <v>178</v>
      </c>
      <c r="I550" t="s">
        <v>178</v>
      </c>
    </row>
    <row r="551" spans="1:9">
      <c r="A551" t="s">
        <v>877</v>
      </c>
      <c r="B551" t="s">
        <v>214</v>
      </c>
      <c r="C551">
        <v>9</v>
      </c>
      <c r="D551">
        <v>619</v>
      </c>
      <c r="E551">
        <v>1.4539579967689823E-2</v>
      </c>
      <c r="F551">
        <v>11.03</v>
      </c>
      <c r="G551">
        <v>83.263048780487807</v>
      </c>
      <c r="H551" s="84">
        <v>1.2106097560975611</v>
      </c>
      <c r="I551">
        <v>213</v>
      </c>
    </row>
    <row r="552" spans="1:9">
      <c r="A552" t="s">
        <v>878</v>
      </c>
      <c r="B552" t="s">
        <v>205</v>
      </c>
      <c r="C552">
        <v>8</v>
      </c>
      <c r="D552">
        <v>613</v>
      </c>
      <c r="E552">
        <v>1.3050570962479609E-2</v>
      </c>
      <c r="F552">
        <v>15.26</v>
      </c>
      <c r="G552">
        <v>114.07780487804878</v>
      </c>
      <c r="H552" s="84">
        <v>1.488780487804878</v>
      </c>
      <c r="I552">
        <v>193</v>
      </c>
    </row>
    <row r="553" spans="1:9">
      <c r="A553" t="s">
        <v>178</v>
      </c>
      <c r="B553" t="s">
        <v>178</v>
      </c>
      <c r="C553" t="s">
        <v>178</v>
      </c>
      <c r="D553" t="s">
        <v>178</v>
      </c>
      <c r="E553" t="s">
        <v>178</v>
      </c>
      <c r="F553" t="s">
        <v>178</v>
      </c>
      <c r="G553" t="s">
        <v>178</v>
      </c>
      <c r="H553" s="84" t="s">
        <v>178</v>
      </c>
      <c r="I553" t="s">
        <v>178</v>
      </c>
    </row>
    <row r="554" spans="1:9">
      <c r="A554" t="s">
        <v>178</v>
      </c>
      <c r="B554" t="s">
        <v>178</v>
      </c>
      <c r="C554" t="s">
        <v>178</v>
      </c>
      <c r="D554" t="s">
        <v>178</v>
      </c>
      <c r="E554" t="s">
        <v>178</v>
      </c>
      <c r="F554" t="s">
        <v>178</v>
      </c>
      <c r="G554" t="s">
        <v>178</v>
      </c>
      <c r="H554" s="84" t="s">
        <v>178</v>
      </c>
      <c r="I554" t="s">
        <v>178</v>
      </c>
    </row>
    <row r="555" spans="1:9">
      <c r="A555" t="s">
        <v>178</v>
      </c>
      <c r="B555" t="s">
        <v>178</v>
      </c>
      <c r="C555" t="s">
        <v>178</v>
      </c>
      <c r="D555" t="s">
        <v>178</v>
      </c>
      <c r="E555" t="s">
        <v>178</v>
      </c>
      <c r="F555" t="s">
        <v>178</v>
      </c>
      <c r="G555" t="s">
        <v>178</v>
      </c>
      <c r="H555" s="84" t="s">
        <v>178</v>
      </c>
      <c r="I555" t="s">
        <v>178</v>
      </c>
    </row>
    <row r="556" spans="1:9">
      <c r="A556" t="s">
        <v>178</v>
      </c>
      <c r="B556" t="s">
        <v>178</v>
      </c>
      <c r="C556" t="s">
        <v>178</v>
      </c>
      <c r="D556" t="s">
        <v>178</v>
      </c>
      <c r="E556" t="s">
        <v>178</v>
      </c>
      <c r="F556" t="s">
        <v>178</v>
      </c>
      <c r="G556" t="s">
        <v>178</v>
      </c>
      <c r="H556" s="84" t="s">
        <v>178</v>
      </c>
      <c r="I556" t="s">
        <v>178</v>
      </c>
    </row>
    <row r="557" spans="1:9">
      <c r="A557" t="s">
        <v>883</v>
      </c>
      <c r="B557" t="s">
        <v>210</v>
      </c>
      <c r="C557">
        <v>8</v>
      </c>
      <c r="D557">
        <v>594</v>
      </c>
      <c r="E557">
        <v>1.3468013468013467E-2</v>
      </c>
      <c r="F557">
        <v>9.11</v>
      </c>
      <c r="G557">
        <v>65.991951219512188</v>
      </c>
      <c r="H557" s="84">
        <v>0.88878048780487795</v>
      </c>
      <c r="I557">
        <v>229</v>
      </c>
    </row>
    <row r="558" spans="1:9">
      <c r="A558" t="s">
        <v>884</v>
      </c>
      <c r="B558" t="s">
        <v>200</v>
      </c>
      <c r="C558">
        <v>8</v>
      </c>
      <c r="D558">
        <v>660</v>
      </c>
      <c r="E558">
        <v>1.2121212121212121E-2</v>
      </c>
      <c r="F558">
        <v>11.28</v>
      </c>
      <c r="G558">
        <v>90.790243902439016</v>
      </c>
      <c r="H558" s="84">
        <v>1.1004878048780486</v>
      </c>
      <c r="I558">
        <v>217</v>
      </c>
    </row>
    <row r="559" spans="1:9">
      <c r="A559" t="s">
        <v>178</v>
      </c>
      <c r="B559" t="s">
        <v>178</v>
      </c>
      <c r="C559" t="s">
        <v>178</v>
      </c>
      <c r="D559" t="s">
        <v>178</v>
      </c>
      <c r="E559" t="s">
        <v>178</v>
      </c>
      <c r="F559" t="s">
        <v>178</v>
      </c>
      <c r="G559" t="s">
        <v>178</v>
      </c>
      <c r="H559" s="84" t="s">
        <v>178</v>
      </c>
      <c r="I559" t="s">
        <v>178</v>
      </c>
    </row>
    <row r="560" spans="1:9">
      <c r="A560" t="s">
        <v>886</v>
      </c>
      <c r="B560" t="s">
        <v>210</v>
      </c>
      <c r="C560">
        <v>8</v>
      </c>
      <c r="D560">
        <v>594</v>
      </c>
      <c r="E560">
        <v>1.3468013468013467E-2</v>
      </c>
      <c r="F560">
        <v>9.11</v>
      </c>
      <c r="G560">
        <v>65.991951219512188</v>
      </c>
      <c r="H560" s="84">
        <v>0.88878048780487795</v>
      </c>
      <c r="I560">
        <v>229</v>
      </c>
    </row>
    <row r="561" spans="1:9">
      <c r="A561" t="s">
        <v>887</v>
      </c>
      <c r="B561" t="s">
        <v>212</v>
      </c>
      <c r="C561">
        <v>8</v>
      </c>
      <c r="D561">
        <v>608</v>
      </c>
      <c r="E561">
        <v>1.3157894736842105E-2</v>
      </c>
      <c r="F561">
        <v>11.03</v>
      </c>
      <c r="G561">
        <v>81.783414634146339</v>
      </c>
      <c r="H561" s="84">
        <v>1.0760975609756096</v>
      </c>
      <c r="I561">
        <v>218</v>
      </c>
    </row>
    <row r="562" spans="1:9">
      <c r="A562" t="s">
        <v>178</v>
      </c>
      <c r="B562" t="s">
        <v>178</v>
      </c>
      <c r="C562" t="s">
        <v>178</v>
      </c>
      <c r="D562" t="s">
        <v>178</v>
      </c>
      <c r="E562" t="s">
        <v>178</v>
      </c>
      <c r="F562" t="s">
        <v>178</v>
      </c>
      <c r="G562" t="s">
        <v>178</v>
      </c>
      <c r="H562" s="84" t="s">
        <v>178</v>
      </c>
      <c r="I562" t="s">
        <v>178</v>
      </c>
    </row>
    <row r="563" spans="1:9">
      <c r="A563" t="s">
        <v>178</v>
      </c>
      <c r="B563" t="s">
        <v>178</v>
      </c>
      <c r="C563" t="s">
        <v>178</v>
      </c>
      <c r="D563" t="s">
        <v>178</v>
      </c>
      <c r="E563" t="s">
        <v>178</v>
      </c>
      <c r="F563" t="s">
        <v>178</v>
      </c>
      <c r="G563" t="s">
        <v>178</v>
      </c>
      <c r="H563" s="84" t="s">
        <v>178</v>
      </c>
      <c r="I563" t="s">
        <v>178</v>
      </c>
    </row>
    <row r="564" spans="1:9">
      <c r="A564" t="s">
        <v>178</v>
      </c>
      <c r="B564" t="s">
        <v>178</v>
      </c>
      <c r="C564" t="s">
        <v>178</v>
      </c>
      <c r="D564" t="s">
        <v>178</v>
      </c>
      <c r="E564" t="s">
        <v>178</v>
      </c>
      <c r="F564" t="s">
        <v>178</v>
      </c>
      <c r="G564" t="s">
        <v>178</v>
      </c>
      <c r="H564" s="84" t="s">
        <v>178</v>
      </c>
      <c r="I564" t="s">
        <v>178</v>
      </c>
    </row>
    <row r="565" spans="1:9">
      <c r="A565" t="s">
        <v>891</v>
      </c>
      <c r="B565" t="s">
        <v>209</v>
      </c>
      <c r="C565">
        <v>8</v>
      </c>
      <c r="D565">
        <v>630</v>
      </c>
      <c r="E565">
        <v>1.2698412698412698E-2</v>
      </c>
      <c r="F565">
        <v>9.65</v>
      </c>
      <c r="G565">
        <v>74.140243902439025</v>
      </c>
      <c r="H565" s="84">
        <v>0.9414634146341464</v>
      </c>
      <c r="I565">
        <v>227</v>
      </c>
    </row>
    <row r="566" spans="1:9">
      <c r="A566" t="s">
        <v>892</v>
      </c>
      <c r="B566" t="s">
        <v>196</v>
      </c>
      <c r="C566">
        <v>8</v>
      </c>
      <c r="D566">
        <v>656</v>
      </c>
      <c r="E566">
        <v>1.2195121951219513E-2</v>
      </c>
      <c r="F566">
        <v>14.22</v>
      </c>
      <c r="G566">
        <v>113.76</v>
      </c>
      <c r="H566" s="84">
        <v>1.3873170731707318</v>
      </c>
      <c r="I566">
        <v>200</v>
      </c>
    </row>
    <row r="567" spans="1:9">
      <c r="A567" t="s">
        <v>178</v>
      </c>
      <c r="B567" t="s">
        <v>178</v>
      </c>
      <c r="C567" t="s">
        <v>178</v>
      </c>
      <c r="D567" t="s">
        <v>178</v>
      </c>
      <c r="E567" t="s">
        <v>178</v>
      </c>
      <c r="F567" t="s">
        <v>178</v>
      </c>
      <c r="G567" t="s">
        <v>178</v>
      </c>
      <c r="H567" s="84" t="s">
        <v>178</v>
      </c>
      <c r="I567" t="s">
        <v>178</v>
      </c>
    </row>
    <row r="568" spans="1:9">
      <c r="A568" t="s">
        <v>894</v>
      </c>
      <c r="B568" t="s">
        <v>209</v>
      </c>
      <c r="C568">
        <v>8</v>
      </c>
      <c r="D568">
        <v>630</v>
      </c>
      <c r="E568">
        <v>1.2698412698412698E-2</v>
      </c>
      <c r="F568">
        <v>9.65</v>
      </c>
      <c r="G568">
        <v>74.140243902439025</v>
      </c>
      <c r="H568" s="84">
        <v>0.9414634146341464</v>
      </c>
      <c r="I568">
        <v>227</v>
      </c>
    </row>
    <row r="569" spans="1:9">
      <c r="A569" t="s">
        <v>178</v>
      </c>
      <c r="B569" t="s">
        <v>178</v>
      </c>
      <c r="C569" t="s">
        <v>178</v>
      </c>
      <c r="D569" t="s">
        <v>178</v>
      </c>
      <c r="E569" t="s">
        <v>178</v>
      </c>
      <c r="F569" t="s">
        <v>178</v>
      </c>
      <c r="G569" t="s">
        <v>178</v>
      </c>
      <c r="H569" s="84" t="s">
        <v>178</v>
      </c>
      <c r="I569" t="s">
        <v>178</v>
      </c>
    </row>
    <row r="570" spans="1:9">
      <c r="A570" t="s">
        <v>896</v>
      </c>
      <c r="B570" t="s">
        <v>202</v>
      </c>
      <c r="C570">
        <v>8</v>
      </c>
      <c r="D570">
        <v>601</v>
      </c>
      <c r="E570">
        <v>1.3311148086522463E-2</v>
      </c>
      <c r="F570">
        <v>8.74</v>
      </c>
      <c r="G570">
        <v>64.057804878048785</v>
      </c>
      <c r="H570" s="84">
        <v>0.85268292682926838</v>
      </c>
      <c r="I570">
        <v>231</v>
      </c>
    </row>
    <row r="571" spans="1:9">
      <c r="A571" t="s">
        <v>178</v>
      </c>
      <c r="B571" t="s">
        <v>178</v>
      </c>
      <c r="C571" t="s">
        <v>178</v>
      </c>
      <c r="D571" t="s">
        <v>178</v>
      </c>
      <c r="E571" t="s">
        <v>178</v>
      </c>
      <c r="F571" t="s">
        <v>178</v>
      </c>
      <c r="G571" t="s">
        <v>178</v>
      </c>
      <c r="H571" s="84" t="s">
        <v>178</v>
      </c>
      <c r="I571" t="s">
        <v>178</v>
      </c>
    </row>
    <row r="572" spans="1:9">
      <c r="A572" t="s">
        <v>178</v>
      </c>
      <c r="B572" t="s">
        <v>178</v>
      </c>
      <c r="C572" t="s">
        <v>178</v>
      </c>
      <c r="D572" t="s">
        <v>178</v>
      </c>
      <c r="E572" t="s">
        <v>178</v>
      </c>
      <c r="F572" t="s">
        <v>178</v>
      </c>
      <c r="G572" t="s">
        <v>178</v>
      </c>
      <c r="H572" s="84" t="s">
        <v>178</v>
      </c>
      <c r="I572" t="s">
        <v>178</v>
      </c>
    </row>
    <row r="573" spans="1:9">
      <c r="A573" t="s">
        <v>178</v>
      </c>
      <c r="B573" t="s">
        <v>178</v>
      </c>
      <c r="C573" t="s">
        <v>178</v>
      </c>
      <c r="D573" t="s">
        <v>178</v>
      </c>
      <c r="E573" t="s">
        <v>178</v>
      </c>
      <c r="F573" t="s">
        <v>178</v>
      </c>
      <c r="G573" t="s">
        <v>178</v>
      </c>
      <c r="H573" s="84" t="s">
        <v>178</v>
      </c>
      <c r="I573" t="s">
        <v>178</v>
      </c>
    </row>
    <row r="574" spans="1:9">
      <c r="A574" t="s">
        <v>900</v>
      </c>
      <c r="B574" t="s">
        <v>205</v>
      </c>
      <c r="C574">
        <v>7</v>
      </c>
      <c r="D574">
        <v>613</v>
      </c>
      <c r="E574">
        <v>1.1419249592169658E-2</v>
      </c>
      <c r="F574">
        <v>15.26</v>
      </c>
      <c r="G574">
        <v>114.07780487804878</v>
      </c>
      <c r="H574" s="84">
        <v>1.3026829268292683</v>
      </c>
      <c r="I574">
        <v>207</v>
      </c>
    </row>
    <row r="575" spans="1:9">
      <c r="A575" t="s">
        <v>901</v>
      </c>
      <c r="B575" t="s">
        <v>198</v>
      </c>
      <c r="C575">
        <v>7</v>
      </c>
      <c r="D575">
        <v>600</v>
      </c>
      <c r="E575">
        <v>1.1666666666666667E-2</v>
      </c>
      <c r="F575">
        <v>9.52</v>
      </c>
      <c r="G575">
        <v>69.658536585365852</v>
      </c>
      <c r="H575" s="84">
        <v>0.81268292682926835</v>
      </c>
      <c r="I575">
        <v>232</v>
      </c>
    </row>
    <row r="576" spans="1:9">
      <c r="A576" t="s">
        <v>902</v>
      </c>
      <c r="B576" t="s">
        <v>214</v>
      </c>
      <c r="C576">
        <v>7</v>
      </c>
      <c r="D576">
        <v>619</v>
      </c>
      <c r="E576">
        <v>1.1308562197092083E-2</v>
      </c>
      <c r="F576">
        <v>11.03</v>
      </c>
      <c r="G576">
        <v>83.263048780487807</v>
      </c>
      <c r="H576" s="84">
        <v>0.94158536585365848</v>
      </c>
      <c r="I576">
        <v>225</v>
      </c>
    </row>
    <row r="577" spans="1:9">
      <c r="A577" t="s">
        <v>178</v>
      </c>
      <c r="B577" t="s">
        <v>178</v>
      </c>
      <c r="C577" t="s">
        <v>178</v>
      </c>
      <c r="D577" t="s">
        <v>178</v>
      </c>
      <c r="E577" t="s">
        <v>178</v>
      </c>
      <c r="F577" t="s">
        <v>178</v>
      </c>
      <c r="G577" t="s">
        <v>178</v>
      </c>
      <c r="H577" s="84" t="s">
        <v>178</v>
      </c>
      <c r="I577" t="s">
        <v>178</v>
      </c>
    </row>
    <row r="578" spans="1:9">
      <c r="A578" t="s">
        <v>178</v>
      </c>
      <c r="B578" t="s">
        <v>178</v>
      </c>
      <c r="C578" t="s">
        <v>178</v>
      </c>
      <c r="D578" t="s">
        <v>178</v>
      </c>
      <c r="E578" t="s">
        <v>178</v>
      </c>
      <c r="F578" t="s">
        <v>178</v>
      </c>
      <c r="G578" t="s">
        <v>178</v>
      </c>
      <c r="H578" s="84" t="s">
        <v>178</v>
      </c>
      <c r="I578" t="s">
        <v>178</v>
      </c>
    </row>
    <row r="579" spans="1:9">
      <c r="A579" t="s">
        <v>905</v>
      </c>
      <c r="B579" t="s">
        <v>198</v>
      </c>
      <c r="C579">
        <v>7</v>
      </c>
      <c r="D579">
        <v>600</v>
      </c>
      <c r="E579">
        <v>1.1666666666666667E-2</v>
      </c>
      <c r="F579">
        <v>9.52</v>
      </c>
      <c r="G579">
        <v>69.658536585365852</v>
      </c>
      <c r="H579" s="84">
        <v>0.81268292682926835</v>
      </c>
      <c r="I579">
        <v>232</v>
      </c>
    </row>
    <row r="580" spans="1:9">
      <c r="A580" t="s">
        <v>178</v>
      </c>
      <c r="B580" t="s">
        <v>178</v>
      </c>
      <c r="C580" t="s">
        <v>178</v>
      </c>
      <c r="D580" t="s">
        <v>178</v>
      </c>
      <c r="E580" t="s">
        <v>178</v>
      </c>
      <c r="F580" t="s">
        <v>178</v>
      </c>
      <c r="G580" t="s">
        <v>178</v>
      </c>
      <c r="H580" s="84" t="s">
        <v>178</v>
      </c>
      <c r="I580" t="s">
        <v>178</v>
      </c>
    </row>
    <row r="581" spans="1:9">
      <c r="A581" t="s">
        <v>178</v>
      </c>
      <c r="B581" t="s">
        <v>178</v>
      </c>
      <c r="C581" t="s">
        <v>178</v>
      </c>
      <c r="D581" t="s">
        <v>178</v>
      </c>
      <c r="E581" t="s">
        <v>178</v>
      </c>
      <c r="F581" t="s">
        <v>178</v>
      </c>
      <c r="G581" t="s">
        <v>178</v>
      </c>
      <c r="H581" s="84" t="s">
        <v>178</v>
      </c>
      <c r="I581" t="s">
        <v>178</v>
      </c>
    </row>
    <row r="582" spans="1:9">
      <c r="A582" t="s">
        <v>908</v>
      </c>
      <c r="B582" t="s">
        <v>212</v>
      </c>
      <c r="C582">
        <v>7</v>
      </c>
      <c r="D582">
        <v>608</v>
      </c>
      <c r="E582">
        <v>1.1513157894736841E-2</v>
      </c>
      <c r="F582">
        <v>11.03</v>
      </c>
      <c r="G582">
        <v>81.783414634146339</v>
      </c>
      <c r="H582" s="84">
        <v>0.94158536585365848</v>
      </c>
      <c r="I582">
        <v>225</v>
      </c>
    </row>
    <row r="583" spans="1:9">
      <c r="A583" t="s">
        <v>178</v>
      </c>
      <c r="B583" t="s">
        <v>178</v>
      </c>
      <c r="C583" t="s">
        <v>178</v>
      </c>
      <c r="D583" t="s">
        <v>178</v>
      </c>
      <c r="E583" t="s">
        <v>178</v>
      </c>
      <c r="F583" t="s">
        <v>178</v>
      </c>
      <c r="G583" t="s">
        <v>178</v>
      </c>
      <c r="H583" s="84" t="s">
        <v>178</v>
      </c>
      <c r="I583" t="s">
        <v>178</v>
      </c>
    </row>
    <row r="584" spans="1:9">
      <c r="A584" t="s">
        <v>910</v>
      </c>
      <c r="B584" t="s">
        <v>196</v>
      </c>
      <c r="C584">
        <v>7</v>
      </c>
      <c r="D584">
        <v>656</v>
      </c>
      <c r="E584">
        <v>1.0670731707317074E-2</v>
      </c>
      <c r="F584">
        <v>14.22</v>
      </c>
      <c r="G584">
        <v>113.76</v>
      </c>
      <c r="H584" s="84">
        <v>1.2139024390243904</v>
      </c>
      <c r="I584">
        <v>212</v>
      </c>
    </row>
    <row r="585" spans="1:9">
      <c r="A585" t="s">
        <v>178</v>
      </c>
      <c r="B585" t="s">
        <v>178</v>
      </c>
      <c r="C585" t="s">
        <v>178</v>
      </c>
      <c r="D585" t="s">
        <v>178</v>
      </c>
      <c r="E585" t="s">
        <v>178</v>
      </c>
      <c r="F585" t="s">
        <v>178</v>
      </c>
      <c r="G585" t="s">
        <v>178</v>
      </c>
      <c r="H585" s="84" t="s">
        <v>178</v>
      </c>
      <c r="I585" t="s">
        <v>178</v>
      </c>
    </row>
    <row r="586" spans="1:9">
      <c r="A586" t="s">
        <v>178</v>
      </c>
      <c r="B586" t="s">
        <v>178</v>
      </c>
      <c r="C586" t="s">
        <v>178</v>
      </c>
      <c r="D586" t="s">
        <v>178</v>
      </c>
      <c r="E586" t="s">
        <v>178</v>
      </c>
      <c r="F586" t="s">
        <v>178</v>
      </c>
      <c r="G586" t="s">
        <v>178</v>
      </c>
      <c r="H586" s="84" t="s">
        <v>178</v>
      </c>
      <c r="I586" t="s">
        <v>178</v>
      </c>
    </row>
    <row r="587" spans="1:9">
      <c r="A587" t="s">
        <v>178</v>
      </c>
      <c r="B587" t="s">
        <v>178</v>
      </c>
      <c r="C587" t="s">
        <v>178</v>
      </c>
      <c r="D587" t="s">
        <v>178</v>
      </c>
      <c r="E587" t="s">
        <v>178</v>
      </c>
      <c r="F587" t="s">
        <v>178</v>
      </c>
      <c r="G587" t="s">
        <v>178</v>
      </c>
      <c r="H587" s="84" t="s">
        <v>178</v>
      </c>
      <c r="I587" t="s">
        <v>178</v>
      </c>
    </row>
    <row r="588" spans="1:9">
      <c r="A588" t="s">
        <v>178</v>
      </c>
      <c r="B588" t="s">
        <v>178</v>
      </c>
      <c r="C588" t="s">
        <v>178</v>
      </c>
      <c r="D588" t="s">
        <v>178</v>
      </c>
      <c r="E588" t="s">
        <v>178</v>
      </c>
      <c r="F588" t="s">
        <v>178</v>
      </c>
      <c r="G588" t="s">
        <v>178</v>
      </c>
      <c r="H588" s="84" t="s">
        <v>178</v>
      </c>
      <c r="I588" t="s">
        <v>178</v>
      </c>
    </row>
    <row r="589" spans="1:9">
      <c r="A589" t="s">
        <v>178</v>
      </c>
      <c r="B589" t="s">
        <v>178</v>
      </c>
      <c r="C589" t="s">
        <v>178</v>
      </c>
      <c r="D589" t="s">
        <v>178</v>
      </c>
      <c r="E589" t="s">
        <v>178</v>
      </c>
      <c r="F589" t="s">
        <v>178</v>
      </c>
      <c r="G589" t="s">
        <v>178</v>
      </c>
      <c r="H589" s="84" t="s">
        <v>178</v>
      </c>
      <c r="I589" t="s">
        <v>178</v>
      </c>
    </row>
    <row r="590" spans="1:9">
      <c r="A590" t="s">
        <v>178</v>
      </c>
      <c r="B590" t="s">
        <v>178</v>
      </c>
      <c r="C590" t="s">
        <v>178</v>
      </c>
      <c r="D590" t="s">
        <v>178</v>
      </c>
      <c r="E590" t="s">
        <v>178</v>
      </c>
      <c r="F590" t="s">
        <v>178</v>
      </c>
      <c r="G590" t="s">
        <v>178</v>
      </c>
      <c r="H590" s="84" t="s">
        <v>178</v>
      </c>
      <c r="I590" t="s">
        <v>178</v>
      </c>
    </row>
    <row r="591" spans="1:9">
      <c r="A591" t="s">
        <v>178</v>
      </c>
      <c r="B591" t="s">
        <v>178</v>
      </c>
      <c r="C591" t="s">
        <v>178</v>
      </c>
      <c r="D591" t="s">
        <v>178</v>
      </c>
      <c r="E591" t="s">
        <v>178</v>
      </c>
      <c r="F591" t="s">
        <v>178</v>
      </c>
      <c r="G591" t="s">
        <v>178</v>
      </c>
      <c r="H591" s="84" t="s">
        <v>178</v>
      </c>
      <c r="I591" t="s">
        <v>178</v>
      </c>
    </row>
    <row r="592" spans="1:9">
      <c r="A592" t="s">
        <v>178</v>
      </c>
      <c r="B592" t="s">
        <v>178</v>
      </c>
      <c r="C592" t="s">
        <v>178</v>
      </c>
      <c r="D592" t="s">
        <v>178</v>
      </c>
      <c r="E592" t="s">
        <v>178</v>
      </c>
      <c r="F592" t="s">
        <v>178</v>
      </c>
      <c r="G592" t="s">
        <v>178</v>
      </c>
      <c r="H592" s="84" t="s">
        <v>178</v>
      </c>
      <c r="I592" t="s">
        <v>178</v>
      </c>
    </row>
    <row r="593" spans="1:9">
      <c r="A593" t="s">
        <v>178</v>
      </c>
      <c r="B593" t="s">
        <v>178</v>
      </c>
      <c r="C593" t="s">
        <v>178</v>
      </c>
      <c r="D593" t="s">
        <v>178</v>
      </c>
      <c r="E593" t="s">
        <v>178</v>
      </c>
      <c r="F593" t="s">
        <v>178</v>
      </c>
      <c r="G593" t="s">
        <v>178</v>
      </c>
      <c r="H593" s="84" t="s">
        <v>178</v>
      </c>
      <c r="I593" t="s">
        <v>178</v>
      </c>
    </row>
    <row r="594" spans="1:9">
      <c r="A594" t="s">
        <v>920</v>
      </c>
      <c r="B594" t="s">
        <v>206</v>
      </c>
      <c r="C594">
        <v>6</v>
      </c>
      <c r="D594">
        <v>642</v>
      </c>
      <c r="E594">
        <v>9.3457943925233638E-3</v>
      </c>
      <c r="F594">
        <v>9.99</v>
      </c>
      <c r="G594">
        <v>78.214390243902443</v>
      </c>
      <c r="H594" s="84">
        <v>0.73097560975609754</v>
      </c>
      <c r="I594">
        <v>234</v>
      </c>
    </row>
    <row r="595" spans="1:9">
      <c r="A595" t="s">
        <v>178</v>
      </c>
      <c r="B595" t="s">
        <v>178</v>
      </c>
      <c r="C595" t="s">
        <v>178</v>
      </c>
      <c r="D595" t="s">
        <v>178</v>
      </c>
      <c r="E595" t="s">
        <v>178</v>
      </c>
      <c r="F595" t="s">
        <v>178</v>
      </c>
      <c r="G595" t="s">
        <v>178</v>
      </c>
      <c r="H595" s="84" t="s">
        <v>178</v>
      </c>
      <c r="I595" t="s">
        <v>178</v>
      </c>
    </row>
    <row r="596" spans="1:9">
      <c r="A596" t="s">
        <v>178</v>
      </c>
      <c r="B596" t="s">
        <v>178</v>
      </c>
      <c r="C596" t="s">
        <v>178</v>
      </c>
      <c r="D596" t="s">
        <v>178</v>
      </c>
      <c r="E596" t="s">
        <v>178</v>
      </c>
      <c r="F596" t="s">
        <v>178</v>
      </c>
      <c r="G596" t="s">
        <v>178</v>
      </c>
      <c r="H596" s="84" t="s">
        <v>178</v>
      </c>
      <c r="I596" t="s">
        <v>178</v>
      </c>
    </row>
    <row r="597" spans="1:9">
      <c r="A597" t="s">
        <v>178</v>
      </c>
      <c r="B597" t="s">
        <v>178</v>
      </c>
      <c r="C597" t="s">
        <v>178</v>
      </c>
      <c r="D597" t="s">
        <v>178</v>
      </c>
      <c r="E597" t="s">
        <v>178</v>
      </c>
      <c r="F597" t="s">
        <v>178</v>
      </c>
      <c r="G597" t="s">
        <v>178</v>
      </c>
      <c r="H597" s="84" t="s">
        <v>178</v>
      </c>
      <c r="I597" t="s">
        <v>178</v>
      </c>
    </row>
    <row r="598" spans="1:9">
      <c r="A598" t="s">
        <v>178</v>
      </c>
      <c r="B598" t="s">
        <v>178</v>
      </c>
      <c r="C598" t="s">
        <v>178</v>
      </c>
      <c r="D598" t="s">
        <v>178</v>
      </c>
      <c r="E598" t="s">
        <v>178</v>
      </c>
      <c r="F598" t="s">
        <v>178</v>
      </c>
      <c r="G598" t="s">
        <v>178</v>
      </c>
      <c r="H598" s="84" t="s">
        <v>178</v>
      </c>
      <c r="I598" t="s">
        <v>178</v>
      </c>
    </row>
    <row r="599" spans="1:9">
      <c r="A599" t="s">
        <v>925</v>
      </c>
      <c r="B599" t="s">
        <v>210</v>
      </c>
      <c r="C599">
        <v>6</v>
      </c>
      <c r="D599">
        <v>594</v>
      </c>
      <c r="E599">
        <v>1.0101010101010102E-2</v>
      </c>
      <c r="F599">
        <v>9.11</v>
      </c>
      <c r="G599">
        <v>65.991951219512188</v>
      </c>
      <c r="H599" s="84">
        <v>0.66658536585365857</v>
      </c>
      <c r="I599">
        <v>236</v>
      </c>
    </row>
    <row r="600" spans="1:9">
      <c r="A600" t="s">
        <v>926</v>
      </c>
      <c r="B600" t="s">
        <v>198</v>
      </c>
      <c r="C600">
        <v>6</v>
      </c>
      <c r="D600">
        <v>600</v>
      </c>
      <c r="E600">
        <v>0.01</v>
      </c>
      <c r="F600">
        <v>9.52</v>
      </c>
      <c r="G600">
        <v>69.658536585365852</v>
      </c>
      <c r="H600" s="84">
        <v>0.69658536585365849</v>
      </c>
      <c r="I600">
        <v>235</v>
      </c>
    </row>
    <row r="601" spans="1:9">
      <c r="A601" t="s">
        <v>927</v>
      </c>
      <c r="B601" t="s">
        <v>203</v>
      </c>
      <c r="C601">
        <v>6</v>
      </c>
      <c r="D601">
        <v>659</v>
      </c>
      <c r="E601">
        <v>9.104704097116844E-3</v>
      </c>
      <c r="F601">
        <v>8.52</v>
      </c>
      <c r="G601">
        <v>68.471707317073168</v>
      </c>
      <c r="H601" s="84">
        <v>0.62341463414634146</v>
      </c>
      <c r="I601">
        <v>237</v>
      </c>
    </row>
    <row r="602" spans="1:9">
      <c r="A602" t="s">
        <v>178</v>
      </c>
      <c r="B602" t="s">
        <v>178</v>
      </c>
      <c r="C602" t="s">
        <v>178</v>
      </c>
      <c r="D602" t="s">
        <v>178</v>
      </c>
      <c r="E602" t="s">
        <v>178</v>
      </c>
      <c r="F602" t="s">
        <v>178</v>
      </c>
      <c r="G602" t="s">
        <v>178</v>
      </c>
      <c r="H602" s="84" t="s">
        <v>178</v>
      </c>
      <c r="I602" t="s">
        <v>178</v>
      </c>
    </row>
    <row r="603" spans="1:9">
      <c r="A603" t="s">
        <v>178</v>
      </c>
      <c r="B603" t="s">
        <v>178</v>
      </c>
      <c r="C603" t="s">
        <v>178</v>
      </c>
      <c r="D603" t="s">
        <v>178</v>
      </c>
      <c r="E603" t="s">
        <v>178</v>
      </c>
      <c r="F603" t="s">
        <v>178</v>
      </c>
      <c r="G603" t="s">
        <v>178</v>
      </c>
      <c r="H603" s="84" t="s">
        <v>178</v>
      </c>
      <c r="I603" t="s">
        <v>178</v>
      </c>
    </row>
    <row r="604" spans="1:9">
      <c r="A604" t="s">
        <v>178</v>
      </c>
      <c r="B604" t="s">
        <v>178</v>
      </c>
      <c r="C604" t="s">
        <v>178</v>
      </c>
      <c r="D604" t="s">
        <v>178</v>
      </c>
      <c r="E604" t="s">
        <v>178</v>
      </c>
      <c r="F604" t="s">
        <v>178</v>
      </c>
      <c r="G604" t="s">
        <v>178</v>
      </c>
      <c r="H604" s="84" t="s">
        <v>178</v>
      </c>
      <c r="I604" t="s">
        <v>178</v>
      </c>
    </row>
    <row r="605" spans="1:9">
      <c r="A605" t="s">
        <v>178</v>
      </c>
      <c r="B605" t="s">
        <v>178</v>
      </c>
      <c r="C605" t="s">
        <v>178</v>
      </c>
      <c r="D605" t="s">
        <v>178</v>
      </c>
      <c r="E605" t="s">
        <v>178</v>
      </c>
      <c r="F605" t="s">
        <v>178</v>
      </c>
      <c r="G605" t="s">
        <v>178</v>
      </c>
      <c r="H605" s="84" t="s">
        <v>178</v>
      </c>
      <c r="I605" t="s">
        <v>178</v>
      </c>
    </row>
    <row r="606" spans="1:9">
      <c r="A606" t="s">
        <v>178</v>
      </c>
      <c r="B606" t="s">
        <v>178</v>
      </c>
      <c r="C606" t="s">
        <v>178</v>
      </c>
      <c r="D606" t="s">
        <v>178</v>
      </c>
      <c r="E606" t="s">
        <v>178</v>
      </c>
      <c r="F606" t="s">
        <v>178</v>
      </c>
      <c r="G606" t="s">
        <v>178</v>
      </c>
      <c r="H606" s="84" t="s">
        <v>178</v>
      </c>
      <c r="I606" t="s">
        <v>178</v>
      </c>
    </row>
    <row r="607" spans="1:9">
      <c r="A607" t="s">
        <v>178</v>
      </c>
      <c r="B607" t="s">
        <v>178</v>
      </c>
      <c r="C607" t="s">
        <v>178</v>
      </c>
      <c r="D607" t="s">
        <v>178</v>
      </c>
      <c r="E607" t="s">
        <v>178</v>
      </c>
      <c r="F607" t="s">
        <v>178</v>
      </c>
      <c r="G607" t="s">
        <v>178</v>
      </c>
      <c r="H607" s="84" t="s">
        <v>178</v>
      </c>
      <c r="I607" t="s">
        <v>178</v>
      </c>
    </row>
    <row r="608" spans="1:9">
      <c r="A608" t="s">
        <v>934</v>
      </c>
      <c r="B608" t="s">
        <v>205</v>
      </c>
      <c r="C608">
        <v>6</v>
      </c>
      <c r="D608">
        <v>613</v>
      </c>
      <c r="E608">
        <v>9.7879282218597055E-3</v>
      </c>
      <c r="F608">
        <v>15.26</v>
      </c>
      <c r="G608">
        <v>114.07780487804878</v>
      </c>
      <c r="H608" s="84">
        <v>1.1165853658536584</v>
      </c>
      <c r="I608">
        <v>216</v>
      </c>
    </row>
    <row r="609" spans="1:9">
      <c r="A609" t="s">
        <v>178</v>
      </c>
      <c r="B609" t="s">
        <v>178</v>
      </c>
      <c r="C609" t="s">
        <v>178</v>
      </c>
      <c r="D609" t="s">
        <v>178</v>
      </c>
      <c r="E609" t="s">
        <v>178</v>
      </c>
      <c r="F609" t="s">
        <v>178</v>
      </c>
      <c r="G609" t="s">
        <v>178</v>
      </c>
      <c r="H609" s="84" t="s">
        <v>178</v>
      </c>
      <c r="I609" t="s">
        <v>178</v>
      </c>
    </row>
    <row r="610" spans="1:9">
      <c r="A610" t="s">
        <v>178</v>
      </c>
      <c r="B610" t="s">
        <v>178</v>
      </c>
      <c r="C610" t="s">
        <v>178</v>
      </c>
      <c r="D610" t="s">
        <v>178</v>
      </c>
      <c r="E610" t="s">
        <v>178</v>
      </c>
      <c r="F610" t="s">
        <v>178</v>
      </c>
      <c r="G610" t="s">
        <v>178</v>
      </c>
      <c r="H610" s="84" t="s">
        <v>178</v>
      </c>
      <c r="I610" t="s">
        <v>178</v>
      </c>
    </row>
    <row r="611" spans="1:9">
      <c r="A611" t="s">
        <v>178</v>
      </c>
      <c r="B611" t="s">
        <v>178</v>
      </c>
      <c r="C611" t="s">
        <v>178</v>
      </c>
      <c r="D611" t="s">
        <v>178</v>
      </c>
      <c r="E611" t="s">
        <v>178</v>
      </c>
      <c r="F611" t="s">
        <v>178</v>
      </c>
      <c r="G611" t="s">
        <v>178</v>
      </c>
      <c r="H611" s="84" t="s">
        <v>178</v>
      </c>
      <c r="I611" t="s">
        <v>178</v>
      </c>
    </row>
    <row r="612" spans="1:9">
      <c r="A612" t="s">
        <v>178</v>
      </c>
      <c r="B612" t="s">
        <v>178</v>
      </c>
      <c r="C612" t="s">
        <v>178</v>
      </c>
      <c r="D612" t="s">
        <v>178</v>
      </c>
      <c r="E612" t="s">
        <v>178</v>
      </c>
      <c r="F612" t="s">
        <v>178</v>
      </c>
      <c r="G612" t="s">
        <v>178</v>
      </c>
      <c r="H612" s="84" t="s">
        <v>178</v>
      </c>
      <c r="I612" t="s">
        <v>178</v>
      </c>
    </row>
    <row r="613" spans="1:9">
      <c r="A613" t="s">
        <v>178</v>
      </c>
      <c r="B613" t="s">
        <v>178</v>
      </c>
      <c r="C613" t="s">
        <v>178</v>
      </c>
      <c r="D613" t="s">
        <v>178</v>
      </c>
      <c r="E613" t="s">
        <v>178</v>
      </c>
      <c r="F613" t="s">
        <v>178</v>
      </c>
      <c r="G613" t="s">
        <v>178</v>
      </c>
      <c r="H613" s="84" t="s">
        <v>178</v>
      </c>
      <c r="I613" t="s">
        <v>178</v>
      </c>
    </row>
    <row r="614" spans="1:9">
      <c r="A614" t="s">
        <v>178</v>
      </c>
      <c r="B614" t="s">
        <v>178</v>
      </c>
      <c r="C614" t="s">
        <v>178</v>
      </c>
      <c r="D614" t="s">
        <v>178</v>
      </c>
      <c r="E614" t="s">
        <v>178</v>
      </c>
      <c r="F614" t="s">
        <v>178</v>
      </c>
      <c r="G614" t="s">
        <v>178</v>
      </c>
      <c r="H614" s="84" t="s">
        <v>178</v>
      </c>
      <c r="I614" t="s">
        <v>178</v>
      </c>
    </row>
    <row r="615" spans="1:9">
      <c r="A615" t="s">
        <v>178</v>
      </c>
      <c r="B615" t="s">
        <v>178</v>
      </c>
      <c r="C615" t="s">
        <v>178</v>
      </c>
      <c r="D615" t="s">
        <v>178</v>
      </c>
      <c r="E615" t="s">
        <v>178</v>
      </c>
      <c r="F615" t="s">
        <v>178</v>
      </c>
      <c r="G615" t="s">
        <v>178</v>
      </c>
      <c r="H615" s="84" t="s">
        <v>178</v>
      </c>
      <c r="I615" t="s">
        <v>178</v>
      </c>
    </row>
    <row r="616" spans="1:9">
      <c r="A616" t="s">
        <v>178</v>
      </c>
      <c r="B616" t="s">
        <v>178</v>
      </c>
      <c r="C616" t="s">
        <v>178</v>
      </c>
      <c r="D616" t="s">
        <v>178</v>
      </c>
      <c r="E616" t="s">
        <v>178</v>
      </c>
      <c r="F616" t="s">
        <v>178</v>
      </c>
      <c r="G616" t="s">
        <v>178</v>
      </c>
      <c r="H616" s="84" t="s">
        <v>178</v>
      </c>
      <c r="I616" t="s">
        <v>178</v>
      </c>
    </row>
    <row r="617" spans="1:9">
      <c r="A617" t="s">
        <v>178</v>
      </c>
      <c r="B617" t="s">
        <v>178</v>
      </c>
      <c r="C617" t="s">
        <v>178</v>
      </c>
      <c r="D617" t="s">
        <v>178</v>
      </c>
      <c r="E617" t="s">
        <v>178</v>
      </c>
      <c r="F617" t="s">
        <v>178</v>
      </c>
      <c r="G617" t="s">
        <v>178</v>
      </c>
      <c r="H617" s="84" t="s">
        <v>178</v>
      </c>
      <c r="I617" t="s">
        <v>178</v>
      </c>
    </row>
    <row r="618" spans="1:9">
      <c r="A618" t="s">
        <v>178</v>
      </c>
      <c r="B618" t="s">
        <v>178</v>
      </c>
      <c r="C618" t="s">
        <v>178</v>
      </c>
      <c r="D618" t="s">
        <v>178</v>
      </c>
      <c r="E618" t="s">
        <v>178</v>
      </c>
      <c r="F618" t="s">
        <v>178</v>
      </c>
      <c r="G618" t="s">
        <v>178</v>
      </c>
      <c r="H618" s="84" t="s">
        <v>178</v>
      </c>
      <c r="I618" t="s">
        <v>178</v>
      </c>
    </row>
    <row r="619" spans="1:9">
      <c r="A619" t="s">
        <v>178</v>
      </c>
      <c r="B619" t="s">
        <v>178</v>
      </c>
      <c r="C619" t="s">
        <v>178</v>
      </c>
      <c r="D619" t="s">
        <v>178</v>
      </c>
      <c r="E619" t="s">
        <v>178</v>
      </c>
      <c r="F619" t="s">
        <v>178</v>
      </c>
      <c r="G619" t="s">
        <v>178</v>
      </c>
      <c r="H619" s="84" t="s">
        <v>178</v>
      </c>
      <c r="I619" t="s">
        <v>178</v>
      </c>
    </row>
    <row r="620" spans="1:9">
      <c r="A620" t="s">
        <v>178</v>
      </c>
      <c r="B620" t="s">
        <v>178</v>
      </c>
      <c r="C620" t="s">
        <v>178</v>
      </c>
      <c r="D620" t="s">
        <v>178</v>
      </c>
      <c r="E620" t="s">
        <v>178</v>
      </c>
      <c r="F620" t="s">
        <v>178</v>
      </c>
      <c r="G620" t="s">
        <v>178</v>
      </c>
      <c r="H620" s="84" t="s">
        <v>178</v>
      </c>
      <c r="I620" t="s">
        <v>178</v>
      </c>
    </row>
    <row r="621" spans="1:9">
      <c r="A621" t="s">
        <v>178</v>
      </c>
      <c r="B621" t="s">
        <v>178</v>
      </c>
      <c r="C621" t="s">
        <v>178</v>
      </c>
      <c r="D621" t="s">
        <v>178</v>
      </c>
      <c r="E621" t="s">
        <v>178</v>
      </c>
      <c r="F621" t="s">
        <v>178</v>
      </c>
      <c r="G621" t="s">
        <v>178</v>
      </c>
      <c r="H621" s="84" t="s">
        <v>178</v>
      </c>
      <c r="I621" t="s">
        <v>178</v>
      </c>
    </row>
    <row r="622" spans="1:9">
      <c r="A622" t="s">
        <v>178</v>
      </c>
      <c r="B622" t="s">
        <v>178</v>
      </c>
      <c r="C622" t="s">
        <v>178</v>
      </c>
      <c r="D622" t="s">
        <v>178</v>
      </c>
      <c r="E622" t="s">
        <v>178</v>
      </c>
      <c r="F622" t="s">
        <v>178</v>
      </c>
      <c r="G622" t="s">
        <v>178</v>
      </c>
      <c r="H622" s="84" t="s">
        <v>178</v>
      </c>
      <c r="I622" t="s">
        <v>178</v>
      </c>
    </row>
    <row r="623" spans="1:9">
      <c r="A623" t="s">
        <v>178</v>
      </c>
      <c r="B623" t="s">
        <v>178</v>
      </c>
      <c r="C623" t="s">
        <v>178</v>
      </c>
      <c r="D623" t="s">
        <v>178</v>
      </c>
      <c r="E623" t="s">
        <v>178</v>
      </c>
      <c r="F623" t="s">
        <v>178</v>
      </c>
      <c r="G623" t="s">
        <v>178</v>
      </c>
      <c r="H623" s="84" t="s">
        <v>178</v>
      </c>
      <c r="I623" t="s">
        <v>178</v>
      </c>
    </row>
    <row r="624" spans="1:9">
      <c r="A624" t="s">
        <v>178</v>
      </c>
      <c r="B624" t="s">
        <v>178</v>
      </c>
      <c r="C624" t="s">
        <v>178</v>
      </c>
      <c r="D624" t="s">
        <v>178</v>
      </c>
      <c r="E624" t="s">
        <v>178</v>
      </c>
      <c r="F624" t="s">
        <v>178</v>
      </c>
      <c r="G624" t="s">
        <v>178</v>
      </c>
      <c r="H624" s="84" t="s">
        <v>178</v>
      </c>
      <c r="I624" t="s">
        <v>178</v>
      </c>
    </row>
    <row r="625" spans="1:9">
      <c r="A625" t="s">
        <v>178</v>
      </c>
      <c r="B625" t="s">
        <v>178</v>
      </c>
      <c r="C625" t="s">
        <v>178</v>
      </c>
      <c r="D625" t="s">
        <v>178</v>
      </c>
      <c r="E625" t="s">
        <v>178</v>
      </c>
      <c r="F625" t="s">
        <v>178</v>
      </c>
      <c r="G625" t="s">
        <v>178</v>
      </c>
      <c r="H625" s="84" t="s">
        <v>178</v>
      </c>
      <c r="I625" t="s">
        <v>178</v>
      </c>
    </row>
    <row r="626" spans="1:9">
      <c r="A626" t="s">
        <v>178</v>
      </c>
      <c r="B626" t="s">
        <v>178</v>
      </c>
      <c r="C626" t="s">
        <v>178</v>
      </c>
      <c r="D626" t="s">
        <v>178</v>
      </c>
      <c r="E626" t="s">
        <v>178</v>
      </c>
      <c r="F626" t="s">
        <v>178</v>
      </c>
      <c r="G626" t="s">
        <v>178</v>
      </c>
      <c r="H626" s="84" t="s">
        <v>178</v>
      </c>
      <c r="I626" t="s">
        <v>178</v>
      </c>
    </row>
    <row r="627" spans="1:9">
      <c r="A627" t="s">
        <v>178</v>
      </c>
      <c r="B627" t="s">
        <v>178</v>
      </c>
      <c r="C627" t="s">
        <v>178</v>
      </c>
      <c r="D627" t="s">
        <v>178</v>
      </c>
      <c r="E627" t="s">
        <v>178</v>
      </c>
      <c r="F627" t="s">
        <v>178</v>
      </c>
      <c r="G627" t="s">
        <v>178</v>
      </c>
      <c r="H627" s="84" t="s">
        <v>178</v>
      </c>
      <c r="I627" t="s">
        <v>178</v>
      </c>
    </row>
    <row r="628" spans="1:9">
      <c r="A628" t="s">
        <v>178</v>
      </c>
      <c r="B628" t="s">
        <v>178</v>
      </c>
      <c r="C628" t="s">
        <v>178</v>
      </c>
      <c r="D628" t="s">
        <v>178</v>
      </c>
      <c r="E628" t="s">
        <v>178</v>
      </c>
      <c r="F628" t="s">
        <v>178</v>
      </c>
      <c r="G628" t="s">
        <v>178</v>
      </c>
      <c r="H628" s="84" t="s">
        <v>178</v>
      </c>
      <c r="I628" t="s">
        <v>178</v>
      </c>
    </row>
    <row r="629" spans="1:9">
      <c r="A629" t="s">
        <v>178</v>
      </c>
      <c r="B629" t="s">
        <v>178</v>
      </c>
      <c r="C629" t="s">
        <v>178</v>
      </c>
      <c r="D629" t="s">
        <v>178</v>
      </c>
      <c r="E629" t="s">
        <v>178</v>
      </c>
      <c r="F629" t="s">
        <v>178</v>
      </c>
      <c r="G629" t="s">
        <v>178</v>
      </c>
      <c r="H629" s="84" t="s">
        <v>178</v>
      </c>
      <c r="I629" t="s">
        <v>178</v>
      </c>
    </row>
    <row r="630" spans="1:9">
      <c r="A630" t="s">
        <v>178</v>
      </c>
      <c r="B630" t="s">
        <v>178</v>
      </c>
      <c r="C630" t="s">
        <v>178</v>
      </c>
      <c r="D630" t="s">
        <v>178</v>
      </c>
      <c r="E630" t="s">
        <v>178</v>
      </c>
      <c r="F630" t="s">
        <v>178</v>
      </c>
      <c r="G630" t="s">
        <v>178</v>
      </c>
      <c r="H630" s="84" t="s">
        <v>178</v>
      </c>
      <c r="I630" t="s">
        <v>178</v>
      </c>
    </row>
    <row r="631" spans="1:9">
      <c r="A631" t="s">
        <v>178</v>
      </c>
      <c r="B631" t="s">
        <v>178</v>
      </c>
      <c r="C631" t="s">
        <v>178</v>
      </c>
      <c r="D631" t="s">
        <v>178</v>
      </c>
      <c r="E631" t="s">
        <v>178</v>
      </c>
      <c r="F631" t="s">
        <v>178</v>
      </c>
      <c r="G631" t="s">
        <v>178</v>
      </c>
      <c r="H631" s="84" t="s">
        <v>178</v>
      </c>
      <c r="I631" t="s">
        <v>178</v>
      </c>
    </row>
    <row r="632" spans="1:9">
      <c r="A632" t="s">
        <v>958</v>
      </c>
      <c r="B632" t="s">
        <v>212</v>
      </c>
      <c r="C632">
        <v>4</v>
      </c>
      <c r="D632">
        <v>608</v>
      </c>
      <c r="E632">
        <v>6.5789473684210523E-3</v>
      </c>
      <c r="F632">
        <v>11.03</v>
      </c>
      <c r="G632">
        <v>81.783414634146339</v>
      </c>
      <c r="H632" s="84">
        <v>0.5380487804878048</v>
      </c>
      <c r="I632">
        <v>239</v>
      </c>
    </row>
    <row r="633" spans="1:9">
      <c r="A633" t="s">
        <v>178</v>
      </c>
      <c r="B633" t="s">
        <v>178</v>
      </c>
      <c r="C633" t="s">
        <v>178</v>
      </c>
      <c r="D633" t="s">
        <v>178</v>
      </c>
      <c r="E633" t="s">
        <v>178</v>
      </c>
      <c r="F633" t="s">
        <v>178</v>
      </c>
      <c r="G633" t="s">
        <v>178</v>
      </c>
      <c r="H633" s="84" t="s">
        <v>178</v>
      </c>
      <c r="I633" t="s">
        <v>178</v>
      </c>
    </row>
    <row r="634" spans="1:9">
      <c r="A634" t="s">
        <v>178</v>
      </c>
      <c r="B634" t="s">
        <v>178</v>
      </c>
      <c r="C634" t="s">
        <v>178</v>
      </c>
      <c r="D634" t="s">
        <v>178</v>
      </c>
      <c r="E634" t="s">
        <v>178</v>
      </c>
      <c r="F634" t="s">
        <v>178</v>
      </c>
      <c r="G634" t="s">
        <v>178</v>
      </c>
      <c r="H634" s="84" t="s">
        <v>178</v>
      </c>
      <c r="I634" t="s">
        <v>178</v>
      </c>
    </row>
    <row r="635" spans="1:9">
      <c r="A635" t="s">
        <v>178</v>
      </c>
      <c r="B635" t="s">
        <v>178</v>
      </c>
      <c r="C635" t="s">
        <v>178</v>
      </c>
      <c r="D635" t="s">
        <v>178</v>
      </c>
      <c r="E635" t="s">
        <v>178</v>
      </c>
      <c r="F635" t="s">
        <v>178</v>
      </c>
      <c r="G635" t="s">
        <v>178</v>
      </c>
      <c r="H635" s="84" t="s">
        <v>178</v>
      </c>
      <c r="I635" t="s">
        <v>178</v>
      </c>
    </row>
    <row r="636" spans="1:9">
      <c r="A636" t="s">
        <v>178</v>
      </c>
      <c r="B636" t="s">
        <v>178</v>
      </c>
      <c r="C636" t="s">
        <v>178</v>
      </c>
      <c r="D636" t="s">
        <v>178</v>
      </c>
      <c r="E636" t="s">
        <v>178</v>
      </c>
      <c r="F636" t="s">
        <v>178</v>
      </c>
      <c r="G636" t="s">
        <v>178</v>
      </c>
      <c r="H636" s="84" t="s">
        <v>178</v>
      </c>
      <c r="I636" t="s">
        <v>178</v>
      </c>
    </row>
    <row r="637" spans="1:9">
      <c r="A637" t="s">
        <v>963</v>
      </c>
      <c r="B637" t="s">
        <v>206</v>
      </c>
      <c r="C637">
        <v>4</v>
      </c>
      <c r="D637">
        <v>642</v>
      </c>
      <c r="E637">
        <v>6.2305295950155761E-3</v>
      </c>
      <c r="F637">
        <v>9.99</v>
      </c>
      <c r="G637">
        <v>78.214390243902443</v>
      </c>
      <c r="H637" s="84">
        <v>0.4873170731707317</v>
      </c>
      <c r="I637">
        <v>241</v>
      </c>
    </row>
    <row r="638" spans="1:9">
      <c r="A638" t="s">
        <v>178</v>
      </c>
      <c r="B638" t="s">
        <v>178</v>
      </c>
      <c r="C638" t="s">
        <v>178</v>
      </c>
      <c r="D638" t="s">
        <v>178</v>
      </c>
      <c r="E638" t="s">
        <v>178</v>
      </c>
      <c r="F638" t="s">
        <v>178</v>
      </c>
      <c r="G638" t="s">
        <v>178</v>
      </c>
      <c r="H638" s="84" t="s">
        <v>178</v>
      </c>
      <c r="I638" t="s">
        <v>178</v>
      </c>
    </row>
    <row r="639" spans="1:9">
      <c r="A639" t="s">
        <v>178</v>
      </c>
      <c r="B639" t="s">
        <v>178</v>
      </c>
      <c r="C639" t="s">
        <v>178</v>
      </c>
      <c r="D639" t="s">
        <v>178</v>
      </c>
      <c r="E639" t="s">
        <v>178</v>
      </c>
      <c r="F639" t="s">
        <v>178</v>
      </c>
      <c r="G639" t="s">
        <v>178</v>
      </c>
      <c r="H639" s="84" t="s">
        <v>178</v>
      </c>
      <c r="I639" t="s">
        <v>178</v>
      </c>
    </row>
    <row r="640" spans="1:9">
      <c r="A640" t="s">
        <v>178</v>
      </c>
      <c r="B640" t="s">
        <v>178</v>
      </c>
      <c r="C640" t="s">
        <v>178</v>
      </c>
      <c r="D640" t="s">
        <v>178</v>
      </c>
      <c r="E640" t="s">
        <v>178</v>
      </c>
      <c r="F640" t="s">
        <v>178</v>
      </c>
      <c r="G640" t="s">
        <v>178</v>
      </c>
      <c r="H640" s="84" t="s">
        <v>178</v>
      </c>
      <c r="I640" t="s">
        <v>178</v>
      </c>
    </row>
    <row r="641" spans="1:9">
      <c r="A641" t="s">
        <v>178</v>
      </c>
      <c r="B641" t="s">
        <v>178</v>
      </c>
      <c r="C641" t="s">
        <v>178</v>
      </c>
      <c r="D641" t="s">
        <v>178</v>
      </c>
      <c r="E641" t="s">
        <v>178</v>
      </c>
      <c r="F641" t="s">
        <v>178</v>
      </c>
      <c r="G641" t="s">
        <v>178</v>
      </c>
      <c r="H641" s="84" t="s">
        <v>178</v>
      </c>
      <c r="I641" t="s">
        <v>178</v>
      </c>
    </row>
    <row r="642" spans="1:9">
      <c r="A642" t="s">
        <v>178</v>
      </c>
      <c r="B642" t="s">
        <v>178</v>
      </c>
      <c r="C642" t="s">
        <v>178</v>
      </c>
      <c r="D642" t="s">
        <v>178</v>
      </c>
      <c r="E642" t="s">
        <v>178</v>
      </c>
      <c r="F642" t="s">
        <v>178</v>
      </c>
      <c r="G642" t="s">
        <v>178</v>
      </c>
      <c r="H642" s="84" t="s">
        <v>178</v>
      </c>
      <c r="I642" t="s">
        <v>178</v>
      </c>
    </row>
    <row r="643" spans="1:9">
      <c r="A643" t="s">
        <v>178</v>
      </c>
      <c r="B643" t="s">
        <v>178</v>
      </c>
      <c r="C643" t="s">
        <v>178</v>
      </c>
      <c r="D643" t="s">
        <v>178</v>
      </c>
      <c r="E643" t="s">
        <v>178</v>
      </c>
      <c r="F643" t="s">
        <v>178</v>
      </c>
      <c r="G643" t="s">
        <v>178</v>
      </c>
      <c r="H643" s="84" t="s">
        <v>178</v>
      </c>
      <c r="I643" t="s">
        <v>178</v>
      </c>
    </row>
    <row r="644" spans="1:9">
      <c r="A644" t="s">
        <v>178</v>
      </c>
      <c r="B644" t="s">
        <v>178</v>
      </c>
      <c r="C644" t="s">
        <v>178</v>
      </c>
      <c r="D644" t="s">
        <v>178</v>
      </c>
      <c r="E644" t="s">
        <v>178</v>
      </c>
      <c r="F644" t="s">
        <v>178</v>
      </c>
      <c r="G644" t="s">
        <v>178</v>
      </c>
      <c r="H644" s="84" t="s">
        <v>178</v>
      </c>
      <c r="I644" t="s">
        <v>178</v>
      </c>
    </row>
    <row r="645" spans="1:9">
      <c r="A645" t="s">
        <v>178</v>
      </c>
      <c r="B645" t="s">
        <v>178</v>
      </c>
      <c r="C645" t="s">
        <v>178</v>
      </c>
      <c r="D645" t="s">
        <v>178</v>
      </c>
      <c r="E645" t="s">
        <v>178</v>
      </c>
      <c r="F645" t="s">
        <v>178</v>
      </c>
      <c r="G645" t="s">
        <v>178</v>
      </c>
      <c r="H645" s="84" t="s">
        <v>178</v>
      </c>
      <c r="I645" t="s">
        <v>178</v>
      </c>
    </row>
    <row r="646" spans="1:9">
      <c r="A646" t="s">
        <v>178</v>
      </c>
      <c r="B646" t="s">
        <v>178</v>
      </c>
      <c r="C646" t="s">
        <v>178</v>
      </c>
      <c r="D646" t="s">
        <v>178</v>
      </c>
      <c r="E646" t="s">
        <v>178</v>
      </c>
      <c r="F646" t="s">
        <v>178</v>
      </c>
      <c r="G646" t="s">
        <v>178</v>
      </c>
      <c r="H646" s="84" t="s">
        <v>178</v>
      </c>
      <c r="I646" t="s">
        <v>178</v>
      </c>
    </row>
    <row r="647" spans="1:9">
      <c r="A647" t="s">
        <v>973</v>
      </c>
      <c r="B647" t="s">
        <v>206</v>
      </c>
      <c r="C647">
        <v>4</v>
      </c>
      <c r="D647">
        <v>642</v>
      </c>
      <c r="E647">
        <v>6.2305295950155761E-3</v>
      </c>
      <c r="F647">
        <v>9.99</v>
      </c>
      <c r="G647">
        <v>78.214390243902443</v>
      </c>
      <c r="H647" s="84">
        <v>0.4873170731707317</v>
      </c>
      <c r="I647">
        <v>241</v>
      </c>
    </row>
    <row r="648" spans="1:9">
      <c r="A648" t="s">
        <v>178</v>
      </c>
      <c r="B648" t="s">
        <v>178</v>
      </c>
      <c r="C648" t="s">
        <v>178</v>
      </c>
      <c r="D648" t="s">
        <v>178</v>
      </c>
      <c r="E648" t="s">
        <v>178</v>
      </c>
      <c r="F648" t="s">
        <v>178</v>
      </c>
      <c r="G648" t="s">
        <v>178</v>
      </c>
      <c r="H648" s="84" t="s">
        <v>178</v>
      </c>
      <c r="I648" t="s">
        <v>178</v>
      </c>
    </row>
    <row r="649" spans="1:9">
      <c r="A649" t="s">
        <v>178</v>
      </c>
      <c r="B649" t="s">
        <v>178</v>
      </c>
      <c r="C649" t="s">
        <v>178</v>
      </c>
      <c r="D649" t="s">
        <v>178</v>
      </c>
      <c r="E649" t="s">
        <v>178</v>
      </c>
      <c r="F649" t="s">
        <v>178</v>
      </c>
      <c r="G649" t="s">
        <v>178</v>
      </c>
      <c r="H649" s="84" t="s">
        <v>178</v>
      </c>
      <c r="I649" t="s">
        <v>178</v>
      </c>
    </row>
    <row r="650" spans="1:9">
      <c r="A650" t="s">
        <v>976</v>
      </c>
      <c r="B650" t="s">
        <v>210</v>
      </c>
      <c r="C650">
        <v>4</v>
      </c>
      <c r="D650">
        <v>594</v>
      </c>
      <c r="E650">
        <v>6.7340067340067337E-3</v>
      </c>
      <c r="F650">
        <v>9.11</v>
      </c>
      <c r="G650">
        <v>65.991951219512188</v>
      </c>
      <c r="H650" s="84">
        <v>0.44439024390243897</v>
      </c>
      <c r="I650">
        <v>243</v>
      </c>
    </row>
    <row r="651" spans="1:9">
      <c r="A651" t="s">
        <v>178</v>
      </c>
      <c r="B651" t="s">
        <v>178</v>
      </c>
      <c r="C651" t="s">
        <v>178</v>
      </c>
      <c r="D651" t="s">
        <v>178</v>
      </c>
      <c r="E651" t="s">
        <v>178</v>
      </c>
      <c r="F651" t="s">
        <v>178</v>
      </c>
      <c r="G651" t="s">
        <v>178</v>
      </c>
      <c r="H651" s="84" t="s">
        <v>178</v>
      </c>
      <c r="I651" t="s">
        <v>178</v>
      </c>
    </row>
    <row r="652" spans="1:9">
      <c r="A652" t="s">
        <v>178</v>
      </c>
      <c r="B652" t="s">
        <v>178</v>
      </c>
      <c r="C652" t="s">
        <v>178</v>
      </c>
      <c r="D652" t="s">
        <v>178</v>
      </c>
      <c r="E652" t="s">
        <v>178</v>
      </c>
      <c r="F652" t="s">
        <v>178</v>
      </c>
      <c r="G652" t="s">
        <v>178</v>
      </c>
      <c r="H652" s="84" t="s">
        <v>178</v>
      </c>
      <c r="I652" t="s">
        <v>178</v>
      </c>
    </row>
    <row r="653" spans="1:9">
      <c r="A653" t="s">
        <v>979</v>
      </c>
      <c r="B653" t="s">
        <v>212</v>
      </c>
      <c r="C653">
        <v>3</v>
      </c>
      <c r="D653">
        <v>608</v>
      </c>
      <c r="E653">
        <v>4.9342105263157892E-3</v>
      </c>
      <c r="F653">
        <v>11.03</v>
      </c>
      <c r="G653">
        <v>81.783414634146339</v>
      </c>
      <c r="H653" s="84">
        <v>0.40353658536585363</v>
      </c>
      <c r="I653">
        <v>248</v>
      </c>
    </row>
    <row r="654" spans="1:9">
      <c r="A654" t="s">
        <v>980</v>
      </c>
      <c r="B654" t="s">
        <v>214</v>
      </c>
      <c r="C654">
        <v>3</v>
      </c>
      <c r="D654">
        <v>619</v>
      </c>
      <c r="E654">
        <v>4.8465266558966073E-3</v>
      </c>
      <c r="F654">
        <v>11.03</v>
      </c>
      <c r="G654">
        <v>83.263048780487807</v>
      </c>
      <c r="H654" s="84">
        <v>0.40353658536585368</v>
      </c>
      <c r="I654">
        <v>245</v>
      </c>
    </row>
    <row r="655" spans="1:9">
      <c r="A655" t="s">
        <v>178</v>
      </c>
      <c r="B655" t="s">
        <v>178</v>
      </c>
      <c r="C655" t="s">
        <v>178</v>
      </c>
      <c r="D655" t="s">
        <v>178</v>
      </c>
      <c r="E655" t="s">
        <v>178</v>
      </c>
      <c r="F655" t="s">
        <v>178</v>
      </c>
      <c r="G655" t="s">
        <v>178</v>
      </c>
      <c r="H655" s="84" t="s">
        <v>178</v>
      </c>
      <c r="I655" t="s">
        <v>178</v>
      </c>
    </row>
    <row r="656" spans="1:9">
      <c r="A656" t="s">
        <v>178</v>
      </c>
      <c r="B656" t="s">
        <v>178</v>
      </c>
      <c r="C656" t="s">
        <v>178</v>
      </c>
      <c r="D656" t="s">
        <v>178</v>
      </c>
      <c r="E656" t="s">
        <v>178</v>
      </c>
      <c r="F656" t="s">
        <v>178</v>
      </c>
      <c r="G656" t="s">
        <v>178</v>
      </c>
      <c r="H656" s="84" t="s">
        <v>178</v>
      </c>
      <c r="I656" t="s">
        <v>178</v>
      </c>
    </row>
    <row r="657" spans="1:9">
      <c r="A657" t="s">
        <v>983</v>
      </c>
      <c r="B657" t="s">
        <v>203</v>
      </c>
      <c r="C657">
        <v>3</v>
      </c>
      <c r="D657">
        <v>659</v>
      </c>
      <c r="E657">
        <v>4.552352048558422E-3</v>
      </c>
      <c r="F657">
        <v>8.52</v>
      </c>
      <c r="G657">
        <v>68.471707317073168</v>
      </c>
      <c r="H657" s="84">
        <v>0.31170731707317073</v>
      </c>
      <c r="I657">
        <v>254</v>
      </c>
    </row>
    <row r="658" spans="1:9">
      <c r="A658" t="s">
        <v>178</v>
      </c>
      <c r="B658" t="s">
        <v>178</v>
      </c>
      <c r="C658" t="s">
        <v>178</v>
      </c>
      <c r="D658" t="s">
        <v>178</v>
      </c>
      <c r="E658" t="s">
        <v>178</v>
      </c>
      <c r="F658" t="s">
        <v>178</v>
      </c>
      <c r="G658" t="s">
        <v>178</v>
      </c>
      <c r="H658" s="84" t="s">
        <v>178</v>
      </c>
      <c r="I658" t="s">
        <v>178</v>
      </c>
    </row>
    <row r="659" spans="1:9">
      <c r="A659" t="s">
        <v>178</v>
      </c>
      <c r="B659" t="s">
        <v>178</v>
      </c>
      <c r="C659" t="s">
        <v>178</v>
      </c>
      <c r="D659" t="s">
        <v>178</v>
      </c>
      <c r="E659" t="s">
        <v>178</v>
      </c>
      <c r="F659" t="s">
        <v>178</v>
      </c>
      <c r="G659" t="s">
        <v>178</v>
      </c>
      <c r="H659" s="84" t="s">
        <v>178</v>
      </c>
      <c r="I659" t="s">
        <v>178</v>
      </c>
    </row>
    <row r="660" spans="1:9">
      <c r="A660" t="s">
        <v>178</v>
      </c>
      <c r="B660" t="s">
        <v>178</v>
      </c>
      <c r="C660" t="s">
        <v>178</v>
      </c>
      <c r="D660" t="s">
        <v>178</v>
      </c>
      <c r="E660" t="s">
        <v>178</v>
      </c>
      <c r="F660" t="s">
        <v>178</v>
      </c>
      <c r="G660" t="s">
        <v>178</v>
      </c>
      <c r="H660" s="84" t="s">
        <v>178</v>
      </c>
      <c r="I660" t="s">
        <v>178</v>
      </c>
    </row>
    <row r="661" spans="1:9">
      <c r="A661" t="s">
        <v>178</v>
      </c>
      <c r="B661" t="s">
        <v>178</v>
      </c>
      <c r="C661" t="s">
        <v>178</v>
      </c>
      <c r="D661" t="s">
        <v>178</v>
      </c>
      <c r="E661" t="s">
        <v>178</v>
      </c>
      <c r="F661" t="s">
        <v>178</v>
      </c>
      <c r="G661" t="s">
        <v>178</v>
      </c>
      <c r="H661" s="84" t="s">
        <v>178</v>
      </c>
      <c r="I661" t="s">
        <v>178</v>
      </c>
    </row>
    <row r="662" spans="1:9">
      <c r="A662" t="s">
        <v>178</v>
      </c>
      <c r="B662" t="s">
        <v>178</v>
      </c>
      <c r="C662" t="s">
        <v>178</v>
      </c>
      <c r="D662" t="s">
        <v>178</v>
      </c>
      <c r="E662" t="s">
        <v>178</v>
      </c>
      <c r="F662" t="s">
        <v>178</v>
      </c>
      <c r="G662" t="s">
        <v>178</v>
      </c>
      <c r="H662" s="84" t="s">
        <v>178</v>
      </c>
      <c r="I662" t="s">
        <v>178</v>
      </c>
    </row>
    <row r="663" spans="1:9">
      <c r="A663" t="s">
        <v>178</v>
      </c>
      <c r="B663" t="s">
        <v>178</v>
      </c>
      <c r="C663" t="s">
        <v>178</v>
      </c>
      <c r="D663" t="s">
        <v>178</v>
      </c>
      <c r="E663" t="s">
        <v>178</v>
      </c>
      <c r="F663" t="s">
        <v>178</v>
      </c>
      <c r="G663" t="s">
        <v>178</v>
      </c>
      <c r="H663" s="84" t="s">
        <v>178</v>
      </c>
      <c r="I663" t="s">
        <v>178</v>
      </c>
    </row>
    <row r="664" spans="1:9">
      <c r="A664" t="s">
        <v>990</v>
      </c>
      <c r="B664" t="s">
        <v>214</v>
      </c>
      <c r="C664">
        <v>3</v>
      </c>
      <c r="D664">
        <v>619</v>
      </c>
      <c r="E664">
        <v>4.8465266558966073E-3</v>
      </c>
      <c r="F664">
        <v>11.03</v>
      </c>
      <c r="G664">
        <v>83.263048780487807</v>
      </c>
      <c r="H664" s="84">
        <v>0.40353658536585368</v>
      </c>
      <c r="I664">
        <v>245</v>
      </c>
    </row>
    <row r="665" spans="1:9">
      <c r="A665" t="s">
        <v>991</v>
      </c>
      <c r="B665" t="s">
        <v>209</v>
      </c>
      <c r="C665">
        <v>3</v>
      </c>
      <c r="D665">
        <v>630</v>
      </c>
      <c r="E665">
        <v>4.7619047619047623E-3</v>
      </c>
      <c r="F665">
        <v>9.65</v>
      </c>
      <c r="G665">
        <v>74.140243902439025</v>
      </c>
      <c r="H665" s="84">
        <v>0.35304878048780491</v>
      </c>
      <c r="I665">
        <v>250</v>
      </c>
    </row>
    <row r="666" spans="1:9">
      <c r="A666" t="s">
        <v>178</v>
      </c>
      <c r="B666" t="s">
        <v>178</v>
      </c>
      <c r="C666" t="s">
        <v>178</v>
      </c>
      <c r="D666" t="s">
        <v>178</v>
      </c>
      <c r="E666" t="s">
        <v>178</v>
      </c>
      <c r="F666" t="s">
        <v>178</v>
      </c>
      <c r="G666" t="s">
        <v>178</v>
      </c>
      <c r="H666" s="84" t="s">
        <v>178</v>
      </c>
      <c r="I666" t="s">
        <v>178</v>
      </c>
    </row>
    <row r="667" spans="1:9">
      <c r="A667" t="s">
        <v>993</v>
      </c>
      <c r="B667" t="s">
        <v>205</v>
      </c>
      <c r="C667">
        <v>3</v>
      </c>
      <c r="D667">
        <v>613</v>
      </c>
      <c r="E667">
        <v>4.8939641109298528E-3</v>
      </c>
      <c r="F667">
        <v>15.26</v>
      </c>
      <c r="G667">
        <v>114.07780487804878</v>
      </c>
      <c r="H667" s="84">
        <v>0.55829268292682921</v>
      </c>
      <c r="I667">
        <v>238</v>
      </c>
    </row>
    <row r="668" spans="1:9">
      <c r="A668" t="s">
        <v>178</v>
      </c>
      <c r="B668" t="s">
        <v>178</v>
      </c>
      <c r="C668" t="s">
        <v>178</v>
      </c>
      <c r="D668" t="s">
        <v>178</v>
      </c>
      <c r="E668" t="s">
        <v>178</v>
      </c>
      <c r="F668" t="s">
        <v>178</v>
      </c>
      <c r="G668" t="s">
        <v>178</v>
      </c>
      <c r="H668" s="84" t="s">
        <v>178</v>
      </c>
      <c r="I668" t="s">
        <v>178</v>
      </c>
    </row>
    <row r="669" spans="1:9">
      <c r="A669" t="s">
        <v>995</v>
      </c>
      <c r="B669" t="s">
        <v>206</v>
      </c>
      <c r="C669">
        <v>3</v>
      </c>
      <c r="D669">
        <v>642</v>
      </c>
      <c r="E669">
        <v>4.6728971962616819E-3</v>
      </c>
      <c r="F669">
        <v>9.99</v>
      </c>
      <c r="G669">
        <v>78.214390243902443</v>
      </c>
      <c r="H669" s="84">
        <v>0.36548780487804877</v>
      </c>
      <c r="I669">
        <v>249</v>
      </c>
    </row>
    <row r="670" spans="1:9">
      <c r="A670" t="s">
        <v>178</v>
      </c>
      <c r="B670" t="s">
        <v>178</v>
      </c>
      <c r="C670" t="s">
        <v>178</v>
      </c>
      <c r="D670" t="s">
        <v>178</v>
      </c>
      <c r="E670" t="s">
        <v>178</v>
      </c>
      <c r="F670" t="s">
        <v>178</v>
      </c>
      <c r="G670" t="s">
        <v>178</v>
      </c>
      <c r="H670" s="84" t="s">
        <v>178</v>
      </c>
      <c r="I670" t="s">
        <v>178</v>
      </c>
    </row>
    <row r="671" spans="1:9">
      <c r="A671" t="s">
        <v>178</v>
      </c>
      <c r="B671" t="s">
        <v>178</v>
      </c>
      <c r="C671" t="s">
        <v>178</v>
      </c>
      <c r="D671" t="s">
        <v>178</v>
      </c>
      <c r="E671" t="s">
        <v>178</v>
      </c>
      <c r="F671" t="s">
        <v>178</v>
      </c>
      <c r="G671" t="s">
        <v>178</v>
      </c>
      <c r="H671" s="84" t="s">
        <v>178</v>
      </c>
      <c r="I671" t="s">
        <v>178</v>
      </c>
    </row>
    <row r="672" spans="1:9">
      <c r="A672" t="s">
        <v>998</v>
      </c>
      <c r="B672" t="s">
        <v>200</v>
      </c>
      <c r="C672">
        <v>3</v>
      </c>
      <c r="D672">
        <v>660</v>
      </c>
      <c r="E672">
        <v>4.5454545454545452E-3</v>
      </c>
      <c r="F672">
        <v>11.28</v>
      </c>
      <c r="G672">
        <v>90.790243902439016</v>
      </c>
      <c r="H672" s="84">
        <v>0.41268292682926822</v>
      </c>
      <c r="I672">
        <v>244</v>
      </c>
    </row>
    <row r="673" spans="1:9">
      <c r="A673" t="s">
        <v>999</v>
      </c>
      <c r="B673" t="s">
        <v>202</v>
      </c>
      <c r="C673">
        <v>3</v>
      </c>
      <c r="D673">
        <v>601</v>
      </c>
      <c r="E673">
        <v>4.9916805324459234E-3</v>
      </c>
      <c r="F673">
        <v>8.74</v>
      </c>
      <c r="G673">
        <v>64.057804878048785</v>
      </c>
      <c r="H673" s="84">
        <v>0.31975609756097562</v>
      </c>
      <c r="I673">
        <v>253</v>
      </c>
    </row>
    <row r="674" spans="1:9">
      <c r="A674" t="s">
        <v>178</v>
      </c>
      <c r="B674" t="s">
        <v>178</v>
      </c>
      <c r="C674" t="s">
        <v>178</v>
      </c>
      <c r="D674" t="s">
        <v>178</v>
      </c>
      <c r="E674" t="s">
        <v>178</v>
      </c>
      <c r="F674" t="s">
        <v>178</v>
      </c>
      <c r="G674" t="s">
        <v>178</v>
      </c>
      <c r="H674" s="84" t="s">
        <v>178</v>
      </c>
      <c r="I674" t="s">
        <v>178</v>
      </c>
    </row>
    <row r="675" spans="1:9">
      <c r="A675" t="s">
        <v>1001</v>
      </c>
      <c r="B675" t="s">
        <v>196</v>
      </c>
      <c r="C675">
        <v>3</v>
      </c>
      <c r="D675">
        <v>656</v>
      </c>
      <c r="E675">
        <v>4.5731707317073168E-3</v>
      </c>
      <c r="F675">
        <v>14.22</v>
      </c>
      <c r="G675">
        <v>113.76</v>
      </c>
      <c r="H675" s="84">
        <v>0.52024390243902441</v>
      </c>
      <c r="I675">
        <v>240</v>
      </c>
    </row>
    <row r="676" spans="1:9">
      <c r="A676" t="s">
        <v>1002</v>
      </c>
      <c r="B676" t="s">
        <v>214</v>
      </c>
      <c r="C676">
        <v>3</v>
      </c>
      <c r="D676">
        <v>619</v>
      </c>
      <c r="E676">
        <v>4.8465266558966073E-3</v>
      </c>
      <c r="F676">
        <v>11.03</v>
      </c>
      <c r="G676">
        <v>83.263048780487807</v>
      </c>
      <c r="H676" s="84">
        <v>0.40353658536585368</v>
      </c>
      <c r="I676">
        <v>245</v>
      </c>
    </row>
    <row r="677" spans="1:9">
      <c r="A677" t="s">
        <v>178</v>
      </c>
      <c r="B677" t="s">
        <v>178</v>
      </c>
      <c r="C677" t="s">
        <v>178</v>
      </c>
      <c r="D677" t="s">
        <v>178</v>
      </c>
      <c r="E677" t="s">
        <v>178</v>
      </c>
      <c r="F677" t="s">
        <v>178</v>
      </c>
      <c r="G677" t="s">
        <v>178</v>
      </c>
      <c r="H677" s="84" t="s">
        <v>178</v>
      </c>
      <c r="I677" t="s">
        <v>178</v>
      </c>
    </row>
    <row r="678" spans="1:9">
      <c r="A678" t="s">
        <v>178</v>
      </c>
      <c r="B678" t="s">
        <v>178</v>
      </c>
      <c r="C678" t="s">
        <v>178</v>
      </c>
      <c r="D678" t="s">
        <v>178</v>
      </c>
      <c r="E678" t="s">
        <v>178</v>
      </c>
      <c r="F678" t="s">
        <v>178</v>
      </c>
      <c r="G678" t="s">
        <v>178</v>
      </c>
      <c r="H678" s="84" t="s">
        <v>178</v>
      </c>
      <c r="I678" t="s">
        <v>178</v>
      </c>
    </row>
    <row r="679" spans="1:9">
      <c r="A679" t="s">
        <v>178</v>
      </c>
      <c r="B679" t="s">
        <v>178</v>
      </c>
      <c r="C679" t="s">
        <v>178</v>
      </c>
      <c r="D679" t="s">
        <v>178</v>
      </c>
      <c r="E679" t="s">
        <v>178</v>
      </c>
      <c r="F679" t="s">
        <v>178</v>
      </c>
      <c r="G679" t="s">
        <v>178</v>
      </c>
      <c r="H679" s="84" t="s">
        <v>178</v>
      </c>
      <c r="I679" t="s">
        <v>178</v>
      </c>
    </row>
    <row r="680" spans="1:9">
      <c r="A680" t="s">
        <v>1006</v>
      </c>
      <c r="B680" t="s">
        <v>196</v>
      </c>
      <c r="C680">
        <v>2</v>
      </c>
      <c r="D680">
        <v>656</v>
      </c>
      <c r="E680">
        <v>3.0487804878048782E-3</v>
      </c>
      <c r="F680">
        <v>14.22</v>
      </c>
      <c r="G680">
        <v>113.76</v>
      </c>
      <c r="H680" s="84">
        <v>0.34682926829268296</v>
      </c>
      <c r="I680">
        <v>251</v>
      </c>
    </row>
    <row r="681" spans="1:9">
      <c r="A681" t="s">
        <v>178</v>
      </c>
      <c r="B681" t="s">
        <v>178</v>
      </c>
      <c r="C681" t="s">
        <v>178</v>
      </c>
      <c r="D681" t="s">
        <v>178</v>
      </c>
      <c r="E681" t="s">
        <v>178</v>
      </c>
      <c r="F681" t="s">
        <v>178</v>
      </c>
      <c r="G681" t="s">
        <v>178</v>
      </c>
      <c r="H681" s="84" t="s">
        <v>178</v>
      </c>
      <c r="I681" t="s">
        <v>178</v>
      </c>
    </row>
    <row r="682" spans="1:9">
      <c r="A682" t="s">
        <v>1008</v>
      </c>
      <c r="B682" t="s">
        <v>209</v>
      </c>
      <c r="C682">
        <v>2</v>
      </c>
      <c r="D682">
        <v>630</v>
      </c>
      <c r="E682">
        <v>3.1746031746031746E-3</v>
      </c>
      <c r="F682">
        <v>9.65</v>
      </c>
      <c r="G682">
        <v>74.140243902439025</v>
      </c>
      <c r="H682" s="84">
        <v>0.2353658536585366</v>
      </c>
      <c r="I682">
        <v>258</v>
      </c>
    </row>
    <row r="683" spans="1:9">
      <c r="A683" t="s">
        <v>178</v>
      </c>
      <c r="B683" t="s">
        <v>178</v>
      </c>
      <c r="C683" t="s">
        <v>178</v>
      </c>
      <c r="D683" t="s">
        <v>178</v>
      </c>
      <c r="E683" t="s">
        <v>178</v>
      </c>
      <c r="F683" t="s">
        <v>178</v>
      </c>
      <c r="G683" t="s">
        <v>178</v>
      </c>
      <c r="H683" s="84" t="s">
        <v>178</v>
      </c>
      <c r="I683" t="s">
        <v>178</v>
      </c>
    </row>
    <row r="684" spans="1:9">
      <c r="A684" t="s">
        <v>178</v>
      </c>
      <c r="B684" t="s">
        <v>178</v>
      </c>
      <c r="C684" t="s">
        <v>178</v>
      </c>
      <c r="D684" t="s">
        <v>178</v>
      </c>
      <c r="E684" t="s">
        <v>178</v>
      </c>
      <c r="F684" t="s">
        <v>178</v>
      </c>
      <c r="G684" t="s">
        <v>178</v>
      </c>
      <c r="H684" s="84" t="s">
        <v>178</v>
      </c>
      <c r="I684" t="s">
        <v>178</v>
      </c>
    </row>
    <row r="685" spans="1:9">
      <c r="A685" t="s">
        <v>178</v>
      </c>
      <c r="B685" t="s">
        <v>178</v>
      </c>
      <c r="C685" t="s">
        <v>178</v>
      </c>
      <c r="D685" t="s">
        <v>178</v>
      </c>
      <c r="E685" t="s">
        <v>178</v>
      </c>
      <c r="F685" t="s">
        <v>178</v>
      </c>
      <c r="G685" t="s">
        <v>178</v>
      </c>
      <c r="H685" s="84" t="s">
        <v>178</v>
      </c>
      <c r="I685" t="s">
        <v>178</v>
      </c>
    </row>
    <row r="686" spans="1:9">
      <c r="A686" t="s">
        <v>178</v>
      </c>
      <c r="B686" t="s">
        <v>178</v>
      </c>
      <c r="C686" t="s">
        <v>178</v>
      </c>
      <c r="D686" t="s">
        <v>178</v>
      </c>
      <c r="E686" t="s">
        <v>178</v>
      </c>
      <c r="F686" t="s">
        <v>178</v>
      </c>
      <c r="G686" t="s">
        <v>178</v>
      </c>
      <c r="H686" s="84" t="s">
        <v>178</v>
      </c>
      <c r="I686" t="s">
        <v>178</v>
      </c>
    </row>
    <row r="687" spans="1:9">
      <c r="A687" t="s">
        <v>1013</v>
      </c>
      <c r="B687" t="s">
        <v>209</v>
      </c>
      <c r="C687">
        <v>2</v>
      </c>
      <c r="D687">
        <v>630</v>
      </c>
      <c r="E687">
        <v>3.1746031746031746E-3</v>
      </c>
      <c r="F687">
        <v>9.65</v>
      </c>
      <c r="G687">
        <v>74.140243902439025</v>
      </c>
      <c r="H687" s="84">
        <v>0.2353658536585366</v>
      </c>
      <c r="I687">
        <v>258</v>
      </c>
    </row>
    <row r="688" spans="1:9">
      <c r="A688" t="s">
        <v>178</v>
      </c>
      <c r="B688" t="s">
        <v>178</v>
      </c>
      <c r="C688" t="s">
        <v>178</v>
      </c>
      <c r="D688" t="s">
        <v>178</v>
      </c>
      <c r="E688" t="s">
        <v>178</v>
      </c>
      <c r="F688" t="s">
        <v>178</v>
      </c>
      <c r="G688" t="s">
        <v>178</v>
      </c>
      <c r="H688" s="84" t="s">
        <v>178</v>
      </c>
      <c r="I688" t="s">
        <v>178</v>
      </c>
    </row>
    <row r="689" spans="1:9">
      <c r="A689" t="s">
        <v>1015</v>
      </c>
      <c r="B689" t="s">
        <v>212</v>
      </c>
      <c r="C689">
        <v>2</v>
      </c>
      <c r="D689">
        <v>608</v>
      </c>
      <c r="E689">
        <v>3.2894736842105261E-3</v>
      </c>
      <c r="F689">
        <v>11.03</v>
      </c>
      <c r="G689">
        <v>81.783414634146339</v>
      </c>
      <c r="H689" s="84">
        <v>0.2690243902439024</v>
      </c>
      <c r="I689">
        <v>257</v>
      </c>
    </row>
    <row r="690" spans="1:9">
      <c r="A690" t="s">
        <v>1016</v>
      </c>
      <c r="B690" t="s">
        <v>196</v>
      </c>
      <c r="C690">
        <v>2</v>
      </c>
      <c r="D690">
        <v>656</v>
      </c>
      <c r="E690">
        <v>3.0487804878048782E-3</v>
      </c>
      <c r="F690">
        <v>14.22</v>
      </c>
      <c r="G690">
        <v>113.76</v>
      </c>
      <c r="H690" s="84">
        <v>0.34682926829268296</v>
      </c>
      <c r="I690">
        <v>251</v>
      </c>
    </row>
    <row r="691" spans="1:9">
      <c r="A691" t="s">
        <v>178</v>
      </c>
      <c r="B691" t="s">
        <v>178</v>
      </c>
      <c r="C691" t="s">
        <v>178</v>
      </c>
      <c r="D691" t="s">
        <v>178</v>
      </c>
      <c r="E691" t="s">
        <v>178</v>
      </c>
      <c r="F691" t="s">
        <v>178</v>
      </c>
      <c r="G691" t="s">
        <v>178</v>
      </c>
      <c r="H691" s="84" t="s">
        <v>178</v>
      </c>
      <c r="I691" t="s">
        <v>178</v>
      </c>
    </row>
    <row r="692" spans="1:9">
      <c r="A692" t="s">
        <v>178</v>
      </c>
      <c r="B692" t="s">
        <v>178</v>
      </c>
      <c r="C692" t="s">
        <v>178</v>
      </c>
      <c r="D692" t="s">
        <v>178</v>
      </c>
      <c r="E692" t="s">
        <v>178</v>
      </c>
      <c r="F692" t="s">
        <v>178</v>
      </c>
      <c r="G692" t="s">
        <v>178</v>
      </c>
      <c r="H692" s="84" t="s">
        <v>178</v>
      </c>
      <c r="I692" t="s">
        <v>178</v>
      </c>
    </row>
    <row r="693" spans="1:9">
      <c r="A693" t="s">
        <v>1019</v>
      </c>
      <c r="B693" t="s">
        <v>198</v>
      </c>
      <c r="C693">
        <v>2</v>
      </c>
      <c r="D693">
        <v>600</v>
      </c>
      <c r="E693">
        <v>3.3333333333333335E-3</v>
      </c>
      <c r="F693">
        <v>9.52</v>
      </c>
      <c r="G693">
        <v>69.658536585365852</v>
      </c>
      <c r="H693" s="84">
        <v>0.23219512195121952</v>
      </c>
      <c r="I693">
        <v>261</v>
      </c>
    </row>
    <row r="694" spans="1:9">
      <c r="A694" t="s">
        <v>178</v>
      </c>
      <c r="B694" t="s">
        <v>178</v>
      </c>
      <c r="C694" t="s">
        <v>178</v>
      </c>
      <c r="D694" t="s">
        <v>178</v>
      </c>
      <c r="E694" t="s">
        <v>178</v>
      </c>
      <c r="F694" t="s">
        <v>178</v>
      </c>
      <c r="G694" t="s">
        <v>178</v>
      </c>
      <c r="H694" s="84" t="s">
        <v>178</v>
      </c>
      <c r="I694" t="s">
        <v>178</v>
      </c>
    </row>
    <row r="695" spans="1:9">
      <c r="A695" t="s">
        <v>178</v>
      </c>
      <c r="B695" t="s">
        <v>178</v>
      </c>
      <c r="C695" t="s">
        <v>178</v>
      </c>
      <c r="D695" t="s">
        <v>178</v>
      </c>
      <c r="E695" t="s">
        <v>178</v>
      </c>
      <c r="F695" t="s">
        <v>178</v>
      </c>
      <c r="G695" t="s">
        <v>178</v>
      </c>
      <c r="H695" s="84" t="s">
        <v>178</v>
      </c>
      <c r="I695" t="s">
        <v>178</v>
      </c>
    </row>
    <row r="696" spans="1:9">
      <c r="A696" t="s">
        <v>178</v>
      </c>
      <c r="B696" t="s">
        <v>178</v>
      </c>
      <c r="C696" t="s">
        <v>178</v>
      </c>
      <c r="D696" t="s">
        <v>178</v>
      </c>
      <c r="E696" t="s">
        <v>178</v>
      </c>
      <c r="F696" t="s">
        <v>178</v>
      </c>
      <c r="G696" t="s">
        <v>178</v>
      </c>
      <c r="H696" s="84" t="s">
        <v>178</v>
      </c>
      <c r="I696" t="s">
        <v>178</v>
      </c>
    </row>
    <row r="697" spans="1:9">
      <c r="A697" t="s">
        <v>178</v>
      </c>
      <c r="B697" t="s">
        <v>178</v>
      </c>
      <c r="C697" t="s">
        <v>178</v>
      </c>
      <c r="D697" t="s">
        <v>178</v>
      </c>
      <c r="E697" t="s">
        <v>178</v>
      </c>
      <c r="F697" t="s">
        <v>178</v>
      </c>
      <c r="G697" t="s">
        <v>178</v>
      </c>
      <c r="H697" s="84" t="s">
        <v>178</v>
      </c>
      <c r="I697" t="s">
        <v>178</v>
      </c>
    </row>
    <row r="698" spans="1:9">
      <c r="A698" t="s">
        <v>1024</v>
      </c>
      <c r="B698" t="s">
        <v>200</v>
      </c>
      <c r="C698">
        <v>2</v>
      </c>
      <c r="D698">
        <v>660</v>
      </c>
      <c r="E698">
        <v>3.0303030303030303E-3</v>
      </c>
      <c r="F698">
        <v>11.28</v>
      </c>
      <c r="G698">
        <v>90.790243902439016</v>
      </c>
      <c r="H698" s="84">
        <v>0.27512195121951216</v>
      </c>
      <c r="I698">
        <v>255</v>
      </c>
    </row>
    <row r="699" spans="1:9">
      <c r="A699" t="s">
        <v>178</v>
      </c>
      <c r="B699" t="s">
        <v>178</v>
      </c>
      <c r="C699" t="s">
        <v>178</v>
      </c>
      <c r="D699" t="s">
        <v>178</v>
      </c>
      <c r="E699" t="s">
        <v>178</v>
      </c>
      <c r="F699" t="s">
        <v>178</v>
      </c>
      <c r="G699" t="s">
        <v>178</v>
      </c>
      <c r="H699" s="84" t="s">
        <v>178</v>
      </c>
      <c r="I699" t="s">
        <v>178</v>
      </c>
    </row>
    <row r="700" spans="1:9">
      <c r="A700" t="s">
        <v>178</v>
      </c>
      <c r="B700" t="s">
        <v>178</v>
      </c>
      <c r="C700" t="s">
        <v>178</v>
      </c>
      <c r="D700" t="s">
        <v>178</v>
      </c>
      <c r="E700" t="s">
        <v>178</v>
      </c>
      <c r="F700" t="s">
        <v>178</v>
      </c>
      <c r="G700" t="s">
        <v>178</v>
      </c>
      <c r="H700" s="84" t="s">
        <v>178</v>
      </c>
      <c r="I700" t="s">
        <v>178</v>
      </c>
    </row>
    <row r="701" spans="1:9">
      <c r="A701" t="s">
        <v>178</v>
      </c>
      <c r="B701" t="s">
        <v>178</v>
      </c>
      <c r="C701" t="s">
        <v>178</v>
      </c>
      <c r="D701" t="s">
        <v>178</v>
      </c>
      <c r="E701" t="s">
        <v>178</v>
      </c>
      <c r="F701" t="s">
        <v>178</v>
      </c>
      <c r="G701" t="s">
        <v>178</v>
      </c>
      <c r="H701" s="84" t="s">
        <v>178</v>
      </c>
      <c r="I701" t="s">
        <v>178</v>
      </c>
    </row>
    <row r="702" spans="1:9">
      <c r="A702" t="s">
        <v>1028</v>
      </c>
      <c r="B702" t="s">
        <v>203</v>
      </c>
      <c r="C702">
        <v>2</v>
      </c>
      <c r="D702">
        <v>659</v>
      </c>
      <c r="E702">
        <v>3.0349013657056147E-3</v>
      </c>
      <c r="F702">
        <v>8.52</v>
      </c>
      <c r="G702">
        <v>68.471707317073168</v>
      </c>
      <c r="H702" s="84">
        <v>0.20780487804878048</v>
      </c>
      <c r="I702">
        <v>263</v>
      </c>
    </row>
    <row r="703" spans="1:9">
      <c r="A703" t="s">
        <v>178</v>
      </c>
      <c r="B703" t="s">
        <v>178</v>
      </c>
      <c r="C703" t="s">
        <v>178</v>
      </c>
      <c r="D703" t="s">
        <v>178</v>
      </c>
      <c r="E703" t="s">
        <v>178</v>
      </c>
      <c r="F703" t="s">
        <v>178</v>
      </c>
      <c r="G703" t="s">
        <v>178</v>
      </c>
      <c r="H703" s="84" t="s">
        <v>178</v>
      </c>
      <c r="I703" t="s">
        <v>178</v>
      </c>
    </row>
    <row r="704" spans="1:9">
      <c r="A704" t="s">
        <v>178</v>
      </c>
      <c r="B704" t="s">
        <v>178</v>
      </c>
      <c r="C704" t="s">
        <v>178</v>
      </c>
      <c r="D704" t="s">
        <v>178</v>
      </c>
      <c r="E704" t="s">
        <v>178</v>
      </c>
      <c r="F704" t="s">
        <v>178</v>
      </c>
      <c r="G704" t="s">
        <v>178</v>
      </c>
      <c r="H704" s="84" t="s">
        <v>178</v>
      </c>
      <c r="I704" t="s">
        <v>178</v>
      </c>
    </row>
    <row r="705" spans="1:9">
      <c r="A705" t="s">
        <v>178</v>
      </c>
      <c r="B705" t="s">
        <v>178</v>
      </c>
      <c r="C705" t="s">
        <v>178</v>
      </c>
      <c r="D705" t="s">
        <v>178</v>
      </c>
      <c r="E705" t="s">
        <v>178</v>
      </c>
      <c r="F705" t="s">
        <v>178</v>
      </c>
      <c r="G705" t="s">
        <v>178</v>
      </c>
      <c r="H705" s="84" t="s">
        <v>178</v>
      </c>
      <c r="I705" t="s">
        <v>178</v>
      </c>
    </row>
    <row r="706" spans="1:9">
      <c r="A706" t="s">
        <v>1032</v>
      </c>
      <c r="B706" t="s">
        <v>210</v>
      </c>
      <c r="C706">
        <v>2</v>
      </c>
      <c r="D706">
        <v>594</v>
      </c>
      <c r="E706">
        <v>3.3670033670033669E-3</v>
      </c>
      <c r="F706">
        <v>9.11</v>
      </c>
      <c r="G706">
        <v>65.991951219512188</v>
      </c>
      <c r="H706" s="84">
        <v>0.22219512195121949</v>
      </c>
      <c r="I706">
        <v>262</v>
      </c>
    </row>
    <row r="707" spans="1:9">
      <c r="A707" t="s">
        <v>1033</v>
      </c>
      <c r="B707" t="s">
        <v>200</v>
      </c>
      <c r="C707">
        <v>2</v>
      </c>
      <c r="D707">
        <v>660</v>
      </c>
      <c r="E707">
        <v>3.0303030303030303E-3</v>
      </c>
      <c r="F707">
        <v>11.28</v>
      </c>
      <c r="G707">
        <v>90.790243902439016</v>
      </c>
      <c r="H707" s="84">
        <v>0.27512195121951216</v>
      </c>
      <c r="I707">
        <v>255</v>
      </c>
    </row>
    <row r="708" spans="1:9">
      <c r="A708" t="s">
        <v>178</v>
      </c>
      <c r="B708" t="s">
        <v>178</v>
      </c>
      <c r="C708" t="s">
        <v>178</v>
      </c>
      <c r="D708" t="s">
        <v>178</v>
      </c>
      <c r="E708" t="s">
        <v>178</v>
      </c>
      <c r="F708" t="s">
        <v>178</v>
      </c>
      <c r="G708" t="s">
        <v>178</v>
      </c>
      <c r="H708" s="84" t="s">
        <v>178</v>
      </c>
      <c r="I708" t="s">
        <v>178</v>
      </c>
    </row>
    <row r="709" spans="1:9">
      <c r="A709" t="s">
        <v>1035</v>
      </c>
      <c r="B709" t="s">
        <v>209</v>
      </c>
      <c r="C709">
        <v>2</v>
      </c>
      <c r="D709">
        <v>630</v>
      </c>
      <c r="E709">
        <v>3.1746031746031746E-3</v>
      </c>
      <c r="F709">
        <v>9.65</v>
      </c>
      <c r="G709">
        <v>74.140243902439025</v>
      </c>
      <c r="H709" s="84">
        <v>0.2353658536585366</v>
      </c>
      <c r="I709">
        <v>258</v>
      </c>
    </row>
    <row r="710" spans="1:9">
      <c r="A710" t="s">
        <v>178</v>
      </c>
      <c r="B710" t="s">
        <v>178</v>
      </c>
      <c r="C710" t="s">
        <v>178</v>
      </c>
      <c r="D710" t="s">
        <v>178</v>
      </c>
      <c r="E710" t="s">
        <v>178</v>
      </c>
      <c r="F710" t="s">
        <v>178</v>
      </c>
      <c r="G710" t="s">
        <v>178</v>
      </c>
      <c r="H710" s="84" t="s">
        <v>178</v>
      </c>
      <c r="I710" t="s">
        <v>178</v>
      </c>
    </row>
    <row r="711" spans="1:9">
      <c r="A711" t="s">
        <v>178</v>
      </c>
      <c r="B711" t="s">
        <v>178</v>
      </c>
      <c r="C711" t="s">
        <v>178</v>
      </c>
      <c r="D711" t="s">
        <v>178</v>
      </c>
      <c r="E711" t="s">
        <v>178</v>
      </c>
      <c r="F711" t="s">
        <v>178</v>
      </c>
      <c r="G711" t="s">
        <v>178</v>
      </c>
      <c r="H711" s="84" t="s">
        <v>178</v>
      </c>
      <c r="I711" t="s">
        <v>178</v>
      </c>
    </row>
    <row r="712" spans="1:9">
      <c r="A712" t="s">
        <v>178</v>
      </c>
      <c r="B712" t="s">
        <v>178</v>
      </c>
      <c r="C712" t="s">
        <v>178</v>
      </c>
      <c r="D712" t="s">
        <v>178</v>
      </c>
      <c r="E712" t="s">
        <v>178</v>
      </c>
      <c r="F712" t="s">
        <v>178</v>
      </c>
      <c r="G712" t="s">
        <v>178</v>
      </c>
      <c r="H712" s="84" t="s">
        <v>178</v>
      </c>
      <c r="I712" t="s">
        <v>178</v>
      </c>
    </row>
    <row r="713" spans="1:9">
      <c r="A713" t="s">
        <v>1039</v>
      </c>
      <c r="B713" t="s">
        <v>198</v>
      </c>
      <c r="C713">
        <v>1</v>
      </c>
      <c r="D713">
        <v>600</v>
      </c>
      <c r="E713">
        <v>1.6666666666666668E-3</v>
      </c>
      <c r="F713">
        <v>9.52</v>
      </c>
      <c r="G713">
        <v>69.658536585365852</v>
      </c>
      <c r="H713" s="84">
        <v>0.11609756097560976</v>
      </c>
      <c r="I713">
        <v>278</v>
      </c>
    </row>
    <row r="714" spans="1:9">
      <c r="A714" t="s">
        <v>178</v>
      </c>
      <c r="B714" t="s">
        <v>178</v>
      </c>
      <c r="C714" t="s">
        <v>178</v>
      </c>
      <c r="D714" t="s">
        <v>178</v>
      </c>
      <c r="E714" t="s">
        <v>178</v>
      </c>
      <c r="F714" t="s">
        <v>178</v>
      </c>
      <c r="G714" t="s">
        <v>178</v>
      </c>
      <c r="H714" s="84" t="s">
        <v>178</v>
      </c>
      <c r="I714" t="s">
        <v>178</v>
      </c>
    </row>
    <row r="715" spans="1:9">
      <c r="A715" t="s">
        <v>1041</v>
      </c>
      <c r="B715" t="s">
        <v>210</v>
      </c>
      <c r="C715">
        <v>1</v>
      </c>
      <c r="D715">
        <v>594</v>
      </c>
      <c r="E715">
        <v>1.6835016835016834E-3</v>
      </c>
      <c r="F715">
        <v>9.11</v>
      </c>
      <c r="G715">
        <v>65.991951219512188</v>
      </c>
      <c r="H715" s="84">
        <v>0.11109756097560974</v>
      </c>
      <c r="I715">
        <v>280</v>
      </c>
    </row>
    <row r="716" spans="1:9">
      <c r="A716" t="s">
        <v>1042</v>
      </c>
      <c r="B716" t="s">
        <v>210</v>
      </c>
      <c r="C716">
        <v>1</v>
      </c>
      <c r="D716">
        <v>594</v>
      </c>
      <c r="E716">
        <v>1.6835016835016834E-3</v>
      </c>
      <c r="F716">
        <v>9.11</v>
      </c>
      <c r="G716">
        <v>65.991951219512188</v>
      </c>
      <c r="H716" s="84">
        <v>0.11109756097560974</v>
      </c>
      <c r="I716">
        <v>280</v>
      </c>
    </row>
    <row r="717" spans="1:9">
      <c r="A717" t="s">
        <v>1043</v>
      </c>
      <c r="B717" t="s">
        <v>206</v>
      </c>
      <c r="C717">
        <v>1</v>
      </c>
      <c r="D717">
        <v>642</v>
      </c>
      <c r="E717">
        <v>1.557632398753894E-3</v>
      </c>
      <c r="F717">
        <v>9.99</v>
      </c>
      <c r="G717">
        <v>78.214390243902443</v>
      </c>
      <c r="H717" s="84">
        <v>0.12182926829268292</v>
      </c>
      <c r="I717">
        <v>274</v>
      </c>
    </row>
    <row r="718" spans="1:9">
      <c r="A718" t="s">
        <v>1044</v>
      </c>
      <c r="B718" t="s">
        <v>196</v>
      </c>
      <c r="C718">
        <v>1</v>
      </c>
      <c r="D718">
        <v>656</v>
      </c>
      <c r="E718">
        <v>1.5243902439024391E-3</v>
      </c>
      <c r="F718">
        <v>14.22</v>
      </c>
      <c r="G718">
        <v>113.76</v>
      </c>
      <c r="H718" s="84">
        <v>0.17341463414634148</v>
      </c>
      <c r="I718">
        <v>266</v>
      </c>
    </row>
    <row r="719" spans="1:9">
      <c r="A719" t="s">
        <v>178</v>
      </c>
      <c r="B719" t="s">
        <v>178</v>
      </c>
      <c r="C719" t="s">
        <v>178</v>
      </c>
      <c r="D719" t="s">
        <v>178</v>
      </c>
      <c r="E719" t="s">
        <v>178</v>
      </c>
      <c r="F719" t="s">
        <v>178</v>
      </c>
      <c r="G719" t="s">
        <v>178</v>
      </c>
      <c r="H719" s="84" t="s">
        <v>178</v>
      </c>
      <c r="I719" t="s">
        <v>178</v>
      </c>
    </row>
    <row r="720" spans="1:9">
      <c r="A720" t="s">
        <v>1046</v>
      </c>
      <c r="B720" t="s">
        <v>212</v>
      </c>
      <c r="C720">
        <v>1</v>
      </c>
      <c r="D720">
        <v>608</v>
      </c>
      <c r="E720">
        <v>1.6447368421052631E-3</v>
      </c>
      <c r="F720">
        <v>11.03</v>
      </c>
      <c r="G720">
        <v>81.783414634146339</v>
      </c>
      <c r="H720" s="84">
        <v>0.1345121951219512</v>
      </c>
      <c r="I720">
        <v>271</v>
      </c>
    </row>
    <row r="721" spans="1:9">
      <c r="A721" t="s">
        <v>1047</v>
      </c>
      <c r="B721" t="s">
        <v>214</v>
      </c>
      <c r="C721">
        <v>1</v>
      </c>
      <c r="D721">
        <v>619</v>
      </c>
      <c r="E721">
        <v>1.6155088852988692E-3</v>
      </c>
      <c r="F721">
        <v>11.03</v>
      </c>
      <c r="G721">
        <v>83.263048780487807</v>
      </c>
      <c r="H721" s="84">
        <v>0.13451219512195123</v>
      </c>
      <c r="I721">
        <v>269</v>
      </c>
    </row>
    <row r="722" spans="1:9">
      <c r="A722" t="s">
        <v>178</v>
      </c>
      <c r="B722" t="s">
        <v>178</v>
      </c>
      <c r="C722" t="s">
        <v>178</v>
      </c>
      <c r="D722" t="s">
        <v>178</v>
      </c>
      <c r="E722" t="s">
        <v>178</v>
      </c>
      <c r="F722" t="s">
        <v>178</v>
      </c>
      <c r="G722" t="s">
        <v>178</v>
      </c>
      <c r="H722" s="84" t="s">
        <v>178</v>
      </c>
      <c r="I722" t="s">
        <v>178</v>
      </c>
    </row>
    <row r="723" spans="1:9">
      <c r="A723" t="s">
        <v>178</v>
      </c>
      <c r="B723" t="s">
        <v>178</v>
      </c>
      <c r="C723" t="s">
        <v>178</v>
      </c>
      <c r="D723" t="s">
        <v>178</v>
      </c>
      <c r="E723" t="s">
        <v>178</v>
      </c>
      <c r="F723" t="s">
        <v>178</v>
      </c>
      <c r="G723" t="s">
        <v>178</v>
      </c>
      <c r="H723" s="84" t="s">
        <v>178</v>
      </c>
      <c r="I723" t="s">
        <v>178</v>
      </c>
    </row>
    <row r="724" spans="1:9">
      <c r="A724" t="s">
        <v>1050</v>
      </c>
      <c r="B724" t="s">
        <v>200</v>
      </c>
      <c r="C724">
        <v>1</v>
      </c>
      <c r="D724">
        <v>660</v>
      </c>
      <c r="E724">
        <v>1.5151515151515152E-3</v>
      </c>
      <c r="F724">
        <v>11.28</v>
      </c>
      <c r="G724">
        <v>90.790243902439016</v>
      </c>
      <c r="H724" s="84">
        <v>0.13756097560975608</v>
      </c>
      <c r="I724">
        <v>267</v>
      </c>
    </row>
    <row r="725" spans="1:9">
      <c r="A725" t="s">
        <v>178</v>
      </c>
      <c r="B725" t="s">
        <v>178</v>
      </c>
      <c r="C725" t="s">
        <v>178</v>
      </c>
      <c r="D725" t="s">
        <v>178</v>
      </c>
      <c r="E725" t="s">
        <v>178</v>
      </c>
      <c r="F725" t="s">
        <v>178</v>
      </c>
      <c r="G725" t="s">
        <v>178</v>
      </c>
      <c r="H725" s="84" t="s">
        <v>178</v>
      </c>
      <c r="I725" t="s">
        <v>178</v>
      </c>
    </row>
    <row r="726" spans="1:9">
      <c r="A726" t="s">
        <v>178</v>
      </c>
      <c r="B726" t="s">
        <v>178</v>
      </c>
      <c r="C726" t="s">
        <v>178</v>
      </c>
      <c r="D726" t="s">
        <v>178</v>
      </c>
      <c r="E726" t="s">
        <v>178</v>
      </c>
      <c r="F726" t="s">
        <v>178</v>
      </c>
      <c r="G726" t="s">
        <v>178</v>
      </c>
      <c r="H726" s="84" t="s">
        <v>178</v>
      </c>
      <c r="I726" t="s">
        <v>178</v>
      </c>
    </row>
    <row r="727" spans="1:9">
      <c r="A727" t="s">
        <v>178</v>
      </c>
      <c r="B727" t="s">
        <v>178</v>
      </c>
      <c r="C727" t="s">
        <v>178</v>
      </c>
      <c r="D727" t="s">
        <v>178</v>
      </c>
      <c r="E727" t="s">
        <v>178</v>
      </c>
      <c r="F727" t="s">
        <v>178</v>
      </c>
      <c r="G727" t="s">
        <v>178</v>
      </c>
      <c r="H727" s="84" t="s">
        <v>178</v>
      </c>
      <c r="I727" t="s">
        <v>178</v>
      </c>
    </row>
    <row r="728" spans="1:9">
      <c r="A728" t="s">
        <v>1054</v>
      </c>
      <c r="B728" t="s">
        <v>209</v>
      </c>
      <c r="C728">
        <v>1</v>
      </c>
      <c r="D728">
        <v>630</v>
      </c>
      <c r="E728">
        <v>1.5873015873015873E-3</v>
      </c>
      <c r="F728">
        <v>9.65</v>
      </c>
      <c r="G728">
        <v>74.140243902439025</v>
      </c>
      <c r="H728" s="84">
        <v>0.1176829268292683</v>
      </c>
      <c r="I728">
        <v>277</v>
      </c>
    </row>
    <row r="729" spans="1:9">
      <c r="A729" t="s">
        <v>178</v>
      </c>
      <c r="B729" t="s">
        <v>178</v>
      </c>
      <c r="C729" t="s">
        <v>178</v>
      </c>
      <c r="D729" t="s">
        <v>178</v>
      </c>
      <c r="E729" t="s">
        <v>178</v>
      </c>
      <c r="F729" t="s">
        <v>178</v>
      </c>
      <c r="G729" t="s">
        <v>178</v>
      </c>
      <c r="H729" s="84" t="s">
        <v>178</v>
      </c>
      <c r="I729" t="s">
        <v>178</v>
      </c>
    </row>
    <row r="730" spans="1:9">
      <c r="A730" t="s">
        <v>178</v>
      </c>
      <c r="B730" t="s">
        <v>178</v>
      </c>
      <c r="C730" t="s">
        <v>178</v>
      </c>
      <c r="D730" t="s">
        <v>178</v>
      </c>
      <c r="E730" t="s">
        <v>178</v>
      </c>
      <c r="F730" t="s">
        <v>178</v>
      </c>
      <c r="G730" t="s">
        <v>178</v>
      </c>
      <c r="H730" s="84" t="s">
        <v>178</v>
      </c>
      <c r="I730" t="s">
        <v>178</v>
      </c>
    </row>
    <row r="731" spans="1:9">
      <c r="A731" t="s">
        <v>178</v>
      </c>
      <c r="B731" t="s">
        <v>178</v>
      </c>
      <c r="C731" t="s">
        <v>178</v>
      </c>
      <c r="D731" t="s">
        <v>178</v>
      </c>
      <c r="E731" t="s">
        <v>178</v>
      </c>
      <c r="F731" t="s">
        <v>178</v>
      </c>
      <c r="G731" t="s">
        <v>178</v>
      </c>
      <c r="H731" s="84" t="s">
        <v>178</v>
      </c>
      <c r="I731" t="s">
        <v>178</v>
      </c>
    </row>
    <row r="732" spans="1:9">
      <c r="A732" t="s">
        <v>1058</v>
      </c>
      <c r="B732" t="s">
        <v>205</v>
      </c>
      <c r="C732">
        <v>1</v>
      </c>
      <c r="D732">
        <v>613</v>
      </c>
      <c r="E732">
        <v>1.6313213703099511E-3</v>
      </c>
      <c r="F732">
        <v>15.26</v>
      </c>
      <c r="G732">
        <v>114.07780487804878</v>
      </c>
      <c r="H732" s="84">
        <v>0.18609756097560975</v>
      </c>
      <c r="I732">
        <v>264</v>
      </c>
    </row>
    <row r="733" spans="1:9">
      <c r="A733" t="s">
        <v>1059</v>
      </c>
      <c r="B733" t="s">
        <v>198</v>
      </c>
      <c r="C733">
        <v>1</v>
      </c>
      <c r="D733">
        <v>600</v>
      </c>
      <c r="E733">
        <v>1.6666666666666668E-3</v>
      </c>
      <c r="F733">
        <v>9.52</v>
      </c>
      <c r="G733">
        <v>69.658536585365852</v>
      </c>
      <c r="H733" s="84">
        <v>0.11609756097560976</v>
      </c>
      <c r="I733">
        <v>278</v>
      </c>
    </row>
    <row r="734" spans="1:9">
      <c r="A734" t="s">
        <v>178</v>
      </c>
      <c r="B734" t="s">
        <v>178</v>
      </c>
      <c r="C734" t="s">
        <v>178</v>
      </c>
      <c r="D734" t="s">
        <v>178</v>
      </c>
      <c r="E734" t="s">
        <v>178</v>
      </c>
      <c r="F734" t="s">
        <v>178</v>
      </c>
      <c r="G734" t="s">
        <v>178</v>
      </c>
      <c r="H734" s="84" t="s">
        <v>178</v>
      </c>
      <c r="I734" t="s">
        <v>178</v>
      </c>
    </row>
    <row r="735" spans="1:9">
      <c r="A735" t="s">
        <v>1061</v>
      </c>
      <c r="B735" t="s">
        <v>205</v>
      </c>
      <c r="C735">
        <v>1</v>
      </c>
      <c r="D735">
        <v>613</v>
      </c>
      <c r="E735">
        <v>1.6313213703099511E-3</v>
      </c>
      <c r="F735">
        <v>15.26</v>
      </c>
      <c r="G735">
        <v>114.07780487804878</v>
      </c>
      <c r="H735" s="84">
        <v>0.18609756097560975</v>
      </c>
      <c r="I735">
        <v>264</v>
      </c>
    </row>
    <row r="736" spans="1:9">
      <c r="A736" t="s">
        <v>178</v>
      </c>
      <c r="B736" t="s">
        <v>178</v>
      </c>
      <c r="C736" t="s">
        <v>178</v>
      </c>
      <c r="D736" t="s">
        <v>178</v>
      </c>
      <c r="E736" t="s">
        <v>178</v>
      </c>
      <c r="F736" t="s">
        <v>178</v>
      </c>
      <c r="G736" t="s">
        <v>178</v>
      </c>
      <c r="H736" s="84" t="s">
        <v>178</v>
      </c>
      <c r="I736" t="s">
        <v>178</v>
      </c>
    </row>
    <row r="737" spans="1:9">
      <c r="A737" t="s">
        <v>178</v>
      </c>
      <c r="B737" t="s">
        <v>178</v>
      </c>
      <c r="C737" t="s">
        <v>178</v>
      </c>
      <c r="D737" t="s">
        <v>178</v>
      </c>
      <c r="E737" t="s">
        <v>178</v>
      </c>
      <c r="F737" t="s">
        <v>178</v>
      </c>
      <c r="G737" t="s">
        <v>178</v>
      </c>
      <c r="H737" s="84" t="s">
        <v>178</v>
      </c>
      <c r="I737" t="s">
        <v>178</v>
      </c>
    </row>
    <row r="738" spans="1:9">
      <c r="A738" t="s">
        <v>178</v>
      </c>
      <c r="B738" t="s">
        <v>178</v>
      </c>
      <c r="C738" t="s">
        <v>178</v>
      </c>
      <c r="D738" t="s">
        <v>178</v>
      </c>
      <c r="E738" t="s">
        <v>178</v>
      </c>
      <c r="F738" t="s">
        <v>178</v>
      </c>
      <c r="G738" t="s">
        <v>178</v>
      </c>
      <c r="H738" s="84" t="s">
        <v>178</v>
      </c>
      <c r="I738" t="s">
        <v>178</v>
      </c>
    </row>
    <row r="739" spans="1:9">
      <c r="A739" t="s">
        <v>178</v>
      </c>
      <c r="B739" t="s">
        <v>178</v>
      </c>
      <c r="C739" t="s">
        <v>178</v>
      </c>
      <c r="D739" t="s">
        <v>178</v>
      </c>
      <c r="E739" t="s">
        <v>178</v>
      </c>
      <c r="F739" t="s">
        <v>178</v>
      </c>
      <c r="G739" t="s">
        <v>178</v>
      </c>
      <c r="H739" s="84" t="s">
        <v>178</v>
      </c>
      <c r="I739" t="s">
        <v>178</v>
      </c>
    </row>
    <row r="740" spans="1:9">
      <c r="A740" t="s">
        <v>178</v>
      </c>
      <c r="B740" t="s">
        <v>178</v>
      </c>
      <c r="C740" t="s">
        <v>178</v>
      </c>
      <c r="D740" t="s">
        <v>178</v>
      </c>
      <c r="E740" t="s">
        <v>178</v>
      </c>
      <c r="F740" t="s">
        <v>178</v>
      </c>
      <c r="G740" t="s">
        <v>178</v>
      </c>
      <c r="H740" s="84" t="s">
        <v>178</v>
      </c>
      <c r="I740" t="s">
        <v>178</v>
      </c>
    </row>
    <row r="741" spans="1:9">
      <c r="A741" t="s">
        <v>1067</v>
      </c>
      <c r="B741" t="s">
        <v>212</v>
      </c>
      <c r="C741">
        <v>1</v>
      </c>
      <c r="D741">
        <v>608</v>
      </c>
      <c r="E741">
        <v>1.6447368421052631E-3</v>
      </c>
      <c r="F741">
        <v>11.03</v>
      </c>
      <c r="G741">
        <v>81.783414634146339</v>
      </c>
      <c r="H741" s="84">
        <v>0.1345121951219512</v>
      </c>
      <c r="I741">
        <v>271</v>
      </c>
    </row>
    <row r="742" spans="1:9">
      <c r="A742" t="s">
        <v>1068</v>
      </c>
      <c r="B742" t="s">
        <v>200</v>
      </c>
      <c r="C742">
        <v>1</v>
      </c>
      <c r="D742">
        <v>660</v>
      </c>
      <c r="E742">
        <v>1.5151515151515152E-3</v>
      </c>
      <c r="F742">
        <v>11.28</v>
      </c>
      <c r="G742">
        <v>90.790243902439016</v>
      </c>
      <c r="H742" s="84">
        <v>0.13756097560975608</v>
      </c>
      <c r="I742">
        <v>267</v>
      </c>
    </row>
    <row r="743" spans="1:9">
      <c r="A743" t="s">
        <v>178</v>
      </c>
      <c r="B743" t="s">
        <v>178</v>
      </c>
      <c r="C743" t="s">
        <v>178</v>
      </c>
      <c r="D743" t="s">
        <v>178</v>
      </c>
      <c r="E743" t="s">
        <v>178</v>
      </c>
      <c r="F743" t="s">
        <v>178</v>
      </c>
      <c r="G743" t="s">
        <v>178</v>
      </c>
      <c r="H743" s="84" t="s">
        <v>178</v>
      </c>
      <c r="I743" t="s">
        <v>178</v>
      </c>
    </row>
    <row r="744" spans="1:9">
      <c r="A744" t="s">
        <v>178</v>
      </c>
      <c r="B744" t="s">
        <v>178</v>
      </c>
      <c r="C744" t="s">
        <v>178</v>
      </c>
      <c r="D744" t="s">
        <v>178</v>
      </c>
      <c r="E744" t="s">
        <v>178</v>
      </c>
      <c r="F744" t="s">
        <v>178</v>
      </c>
      <c r="G744" t="s">
        <v>178</v>
      </c>
      <c r="H744" s="84" t="s">
        <v>178</v>
      </c>
      <c r="I744" t="s">
        <v>178</v>
      </c>
    </row>
    <row r="745" spans="1:9">
      <c r="A745" t="s">
        <v>178</v>
      </c>
      <c r="B745" t="s">
        <v>178</v>
      </c>
      <c r="C745" t="s">
        <v>178</v>
      </c>
      <c r="D745" t="s">
        <v>178</v>
      </c>
      <c r="E745" t="s">
        <v>178</v>
      </c>
      <c r="F745" t="s">
        <v>178</v>
      </c>
      <c r="G745" t="s">
        <v>178</v>
      </c>
      <c r="H745" s="84" t="s">
        <v>178</v>
      </c>
      <c r="I745" t="s">
        <v>178</v>
      </c>
    </row>
    <row r="746" spans="1:9">
      <c r="A746" t="s">
        <v>178</v>
      </c>
      <c r="B746" t="s">
        <v>178</v>
      </c>
      <c r="C746" t="s">
        <v>178</v>
      </c>
      <c r="D746" t="s">
        <v>178</v>
      </c>
      <c r="E746" t="s">
        <v>178</v>
      </c>
      <c r="F746" t="s">
        <v>178</v>
      </c>
      <c r="G746" t="s">
        <v>178</v>
      </c>
      <c r="H746" s="84" t="s">
        <v>178</v>
      </c>
      <c r="I746" t="s">
        <v>178</v>
      </c>
    </row>
    <row r="747" spans="1:9">
      <c r="A747" t="s">
        <v>178</v>
      </c>
      <c r="B747" t="s">
        <v>178</v>
      </c>
      <c r="C747" t="s">
        <v>178</v>
      </c>
      <c r="D747" t="s">
        <v>178</v>
      </c>
      <c r="E747" t="s">
        <v>178</v>
      </c>
      <c r="F747" t="s">
        <v>178</v>
      </c>
      <c r="G747" t="s">
        <v>178</v>
      </c>
      <c r="H747" s="84" t="s">
        <v>178</v>
      </c>
      <c r="I747" t="s">
        <v>178</v>
      </c>
    </row>
    <row r="748" spans="1:9">
      <c r="A748" t="s">
        <v>178</v>
      </c>
      <c r="B748" t="s">
        <v>178</v>
      </c>
      <c r="C748" t="s">
        <v>178</v>
      </c>
      <c r="D748" t="s">
        <v>178</v>
      </c>
      <c r="E748" t="s">
        <v>178</v>
      </c>
      <c r="F748" t="s">
        <v>178</v>
      </c>
      <c r="G748" t="s">
        <v>178</v>
      </c>
      <c r="H748" s="84" t="s">
        <v>178</v>
      </c>
      <c r="I748" t="s">
        <v>178</v>
      </c>
    </row>
    <row r="749" spans="1:9">
      <c r="A749" t="s">
        <v>178</v>
      </c>
      <c r="B749" t="s">
        <v>178</v>
      </c>
      <c r="C749" t="s">
        <v>178</v>
      </c>
      <c r="D749" t="s">
        <v>178</v>
      </c>
      <c r="E749" t="s">
        <v>178</v>
      </c>
      <c r="F749" t="s">
        <v>178</v>
      </c>
      <c r="G749" t="s">
        <v>178</v>
      </c>
      <c r="H749" s="84" t="s">
        <v>178</v>
      </c>
      <c r="I749" t="s">
        <v>178</v>
      </c>
    </row>
    <row r="750" spans="1:9">
      <c r="A750" t="s">
        <v>178</v>
      </c>
      <c r="B750" t="s">
        <v>178</v>
      </c>
      <c r="C750" t="s">
        <v>178</v>
      </c>
      <c r="D750" t="s">
        <v>178</v>
      </c>
      <c r="E750" t="s">
        <v>178</v>
      </c>
      <c r="F750" t="s">
        <v>178</v>
      </c>
      <c r="G750" t="s">
        <v>178</v>
      </c>
      <c r="H750" s="84" t="s">
        <v>178</v>
      </c>
      <c r="I750" t="s">
        <v>178</v>
      </c>
    </row>
    <row r="751" spans="1:9">
      <c r="A751" t="s">
        <v>178</v>
      </c>
      <c r="B751" t="s">
        <v>178</v>
      </c>
      <c r="C751" t="s">
        <v>178</v>
      </c>
      <c r="D751" t="s">
        <v>178</v>
      </c>
      <c r="E751" t="s">
        <v>178</v>
      </c>
      <c r="F751" t="s">
        <v>178</v>
      </c>
      <c r="G751" t="s">
        <v>178</v>
      </c>
      <c r="H751" s="84" t="s">
        <v>178</v>
      </c>
      <c r="I751" t="s">
        <v>178</v>
      </c>
    </row>
    <row r="752" spans="1:9">
      <c r="A752" t="s">
        <v>178</v>
      </c>
      <c r="B752" t="s">
        <v>178</v>
      </c>
      <c r="C752" t="s">
        <v>178</v>
      </c>
      <c r="D752" t="s">
        <v>178</v>
      </c>
      <c r="E752" t="s">
        <v>178</v>
      </c>
      <c r="F752" t="s">
        <v>178</v>
      </c>
      <c r="G752" t="s">
        <v>178</v>
      </c>
      <c r="H752" s="84" t="s">
        <v>178</v>
      </c>
      <c r="I752" t="s">
        <v>178</v>
      </c>
    </row>
    <row r="753" spans="1:9">
      <c r="A753" t="s">
        <v>178</v>
      </c>
      <c r="B753" t="s">
        <v>178</v>
      </c>
      <c r="C753" t="s">
        <v>178</v>
      </c>
      <c r="D753" t="s">
        <v>178</v>
      </c>
      <c r="E753" t="s">
        <v>178</v>
      </c>
      <c r="F753" t="s">
        <v>178</v>
      </c>
      <c r="G753" t="s">
        <v>178</v>
      </c>
      <c r="H753" s="84" t="s">
        <v>178</v>
      </c>
      <c r="I753" t="s">
        <v>178</v>
      </c>
    </row>
    <row r="754" spans="1:9">
      <c r="A754" t="s">
        <v>178</v>
      </c>
      <c r="B754" t="s">
        <v>178</v>
      </c>
      <c r="C754" t="s">
        <v>178</v>
      </c>
      <c r="D754" t="s">
        <v>178</v>
      </c>
      <c r="E754" t="s">
        <v>178</v>
      </c>
      <c r="F754" t="s">
        <v>178</v>
      </c>
      <c r="G754" t="s">
        <v>178</v>
      </c>
      <c r="H754" s="84" t="s">
        <v>178</v>
      </c>
      <c r="I754" t="s">
        <v>178</v>
      </c>
    </row>
    <row r="755" spans="1:9">
      <c r="A755" t="s">
        <v>178</v>
      </c>
      <c r="B755" t="s">
        <v>178</v>
      </c>
      <c r="C755" t="s">
        <v>178</v>
      </c>
      <c r="D755" t="s">
        <v>178</v>
      </c>
      <c r="E755" t="s">
        <v>178</v>
      </c>
      <c r="F755" t="s">
        <v>178</v>
      </c>
      <c r="G755" t="s">
        <v>178</v>
      </c>
      <c r="H755" s="84" t="s">
        <v>178</v>
      </c>
      <c r="I755" t="s">
        <v>178</v>
      </c>
    </row>
    <row r="756" spans="1:9">
      <c r="A756" t="s">
        <v>1082</v>
      </c>
      <c r="B756" t="s">
        <v>212</v>
      </c>
      <c r="C756">
        <v>1</v>
      </c>
      <c r="D756">
        <v>608</v>
      </c>
      <c r="E756">
        <v>1.6447368421052631E-3</v>
      </c>
      <c r="F756">
        <v>11.03</v>
      </c>
      <c r="G756">
        <v>81.783414634146339</v>
      </c>
      <c r="H756" s="84">
        <v>0.1345121951219512</v>
      </c>
      <c r="I756">
        <v>271</v>
      </c>
    </row>
    <row r="757" spans="1:9">
      <c r="A757" t="s">
        <v>1083</v>
      </c>
      <c r="B757" t="s">
        <v>202</v>
      </c>
      <c r="C757">
        <v>1</v>
      </c>
      <c r="D757">
        <v>601</v>
      </c>
      <c r="E757">
        <v>1.6638935108153079E-3</v>
      </c>
      <c r="F757">
        <v>8.74</v>
      </c>
      <c r="G757">
        <v>64.057804878048785</v>
      </c>
      <c r="H757" s="84">
        <v>0.10658536585365855</v>
      </c>
      <c r="I757">
        <v>284</v>
      </c>
    </row>
    <row r="758" spans="1:9">
      <c r="A758" t="s">
        <v>178</v>
      </c>
      <c r="B758" t="s">
        <v>178</v>
      </c>
      <c r="C758" t="s">
        <v>178</v>
      </c>
      <c r="D758" t="s">
        <v>178</v>
      </c>
      <c r="E758" t="s">
        <v>178</v>
      </c>
      <c r="F758" t="s">
        <v>178</v>
      </c>
      <c r="G758" t="s">
        <v>178</v>
      </c>
      <c r="H758" s="84" t="s">
        <v>178</v>
      </c>
      <c r="I758" t="s">
        <v>178</v>
      </c>
    </row>
    <row r="759" spans="1:9">
      <c r="A759" t="s">
        <v>178</v>
      </c>
      <c r="B759" t="s">
        <v>178</v>
      </c>
      <c r="C759" t="s">
        <v>178</v>
      </c>
      <c r="D759" t="s">
        <v>178</v>
      </c>
      <c r="E759" t="s">
        <v>178</v>
      </c>
      <c r="F759" t="s">
        <v>178</v>
      </c>
      <c r="G759" t="s">
        <v>178</v>
      </c>
      <c r="H759" s="84" t="s">
        <v>178</v>
      </c>
      <c r="I759" t="s">
        <v>178</v>
      </c>
    </row>
    <row r="760" spans="1:9">
      <c r="A760" t="s">
        <v>178</v>
      </c>
      <c r="B760" t="s">
        <v>178</v>
      </c>
      <c r="C760" t="s">
        <v>178</v>
      </c>
      <c r="D760" t="s">
        <v>178</v>
      </c>
      <c r="E760" t="s">
        <v>178</v>
      </c>
      <c r="F760" t="s">
        <v>178</v>
      </c>
      <c r="G760" t="s">
        <v>178</v>
      </c>
      <c r="H760" s="84" t="s">
        <v>178</v>
      </c>
      <c r="I760" t="s">
        <v>178</v>
      </c>
    </row>
    <row r="761" spans="1:9">
      <c r="A761" t="s">
        <v>178</v>
      </c>
      <c r="B761" t="s">
        <v>178</v>
      </c>
      <c r="C761" t="s">
        <v>178</v>
      </c>
      <c r="D761" t="s">
        <v>178</v>
      </c>
      <c r="E761" t="s">
        <v>178</v>
      </c>
      <c r="F761" t="s">
        <v>178</v>
      </c>
      <c r="G761" t="s">
        <v>178</v>
      </c>
      <c r="H761" s="84" t="s">
        <v>178</v>
      </c>
      <c r="I761" t="s">
        <v>178</v>
      </c>
    </row>
    <row r="762" spans="1:9">
      <c r="A762" t="s">
        <v>178</v>
      </c>
      <c r="B762" t="s">
        <v>178</v>
      </c>
      <c r="C762" t="s">
        <v>178</v>
      </c>
      <c r="D762" t="s">
        <v>178</v>
      </c>
      <c r="E762" t="s">
        <v>178</v>
      </c>
      <c r="F762" t="s">
        <v>178</v>
      </c>
      <c r="G762" t="s">
        <v>178</v>
      </c>
      <c r="H762" s="84" t="s">
        <v>178</v>
      </c>
      <c r="I762" t="s">
        <v>178</v>
      </c>
    </row>
    <row r="763" spans="1:9">
      <c r="A763" t="s">
        <v>1089</v>
      </c>
      <c r="B763" t="s">
        <v>210</v>
      </c>
      <c r="C763">
        <v>1</v>
      </c>
      <c r="D763">
        <v>594</v>
      </c>
      <c r="E763">
        <v>1.6835016835016834E-3</v>
      </c>
      <c r="F763">
        <v>9.11</v>
      </c>
      <c r="G763">
        <v>65.991951219512188</v>
      </c>
      <c r="H763" s="84">
        <v>0.11109756097560974</v>
      </c>
      <c r="I763">
        <v>280</v>
      </c>
    </row>
    <row r="764" spans="1:9">
      <c r="A764" t="s">
        <v>1090</v>
      </c>
      <c r="B764" t="s">
        <v>214</v>
      </c>
      <c r="C764">
        <v>1</v>
      </c>
      <c r="D764">
        <v>619</v>
      </c>
      <c r="E764">
        <v>1.6155088852988692E-3</v>
      </c>
      <c r="F764">
        <v>11.03</v>
      </c>
      <c r="G764">
        <v>83.263048780487807</v>
      </c>
      <c r="H764" s="84">
        <v>0.13451219512195123</v>
      </c>
      <c r="I764">
        <v>269</v>
      </c>
    </row>
    <row r="765" spans="1:9">
      <c r="A765" t="s">
        <v>178</v>
      </c>
      <c r="B765" t="s">
        <v>178</v>
      </c>
      <c r="C765" t="s">
        <v>178</v>
      </c>
      <c r="D765" t="s">
        <v>178</v>
      </c>
      <c r="E765" t="s">
        <v>178</v>
      </c>
      <c r="F765" t="s">
        <v>178</v>
      </c>
      <c r="G765" t="s">
        <v>178</v>
      </c>
      <c r="H765" s="84" t="s">
        <v>178</v>
      </c>
      <c r="I765" t="s">
        <v>178</v>
      </c>
    </row>
    <row r="766" spans="1:9">
      <c r="A766" t="s">
        <v>1092</v>
      </c>
      <c r="B766" t="s">
        <v>206</v>
      </c>
      <c r="C766">
        <v>1</v>
      </c>
      <c r="D766">
        <v>642</v>
      </c>
      <c r="E766">
        <v>1.557632398753894E-3</v>
      </c>
      <c r="F766">
        <v>9.99</v>
      </c>
      <c r="G766">
        <v>78.214390243902443</v>
      </c>
      <c r="H766" s="84">
        <v>0.12182926829268292</v>
      </c>
      <c r="I766">
        <v>274</v>
      </c>
    </row>
    <row r="767" spans="1:9">
      <c r="A767" t="s">
        <v>178</v>
      </c>
      <c r="B767" t="s">
        <v>178</v>
      </c>
      <c r="C767" t="s">
        <v>178</v>
      </c>
      <c r="D767" t="s">
        <v>178</v>
      </c>
      <c r="E767" t="s">
        <v>178</v>
      </c>
      <c r="F767" t="s">
        <v>178</v>
      </c>
      <c r="G767" t="s">
        <v>178</v>
      </c>
      <c r="H767" s="84" t="s">
        <v>178</v>
      </c>
      <c r="I767" t="s">
        <v>178</v>
      </c>
    </row>
    <row r="768" spans="1:9">
      <c r="A768" t="s">
        <v>1094</v>
      </c>
      <c r="B768" t="s">
        <v>202</v>
      </c>
      <c r="C768">
        <v>1</v>
      </c>
      <c r="D768">
        <v>601</v>
      </c>
      <c r="E768">
        <v>1.6638935108153079E-3</v>
      </c>
      <c r="F768">
        <v>8.74</v>
      </c>
      <c r="G768">
        <v>64.057804878048785</v>
      </c>
      <c r="H768" s="84">
        <v>0.10658536585365855</v>
      </c>
      <c r="I768">
        <v>284</v>
      </c>
    </row>
    <row r="769" spans="1:9">
      <c r="A769" t="s">
        <v>1095</v>
      </c>
      <c r="B769" t="s">
        <v>202</v>
      </c>
      <c r="C769">
        <v>1</v>
      </c>
      <c r="D769">
        <v>601</v>
      </c>
      <c r="E769">
        <v>1.6638935108153079E-3</v>
      </c>
      <c r="F769">
        <v>8.74</v>
      </c>
      <c r="G769">
        <v>64.057804878048785</v>
      </c>
      <c r="H769" s="84">
        <v>0.10658536585365855</v>
      </c>
      <c r="I769">
        <v>284</v>
      </c>
    </row>
    <row r="770" spans="1:9">
      <c r="A770" t="s">
        <v>1096</v>
      </c>
      <c r="B770" t="s">
        <v>210</v>
      </c>
      <c r="C770">
        <v>1</v>
      </c>
      <c r="D770">
        <v>594</v>
      </c>
      <c r="E770">
        <v>1.6835016835016834E-3</v>
      </c>
      <c r="F770">
        <v>9.11</v>
      </c>
      <c r="G770">
        <v>65.991951219512188</v>
      </c>
      <c r="H770" s="84">
        <v>0.11109756097560974</v>
      </c>
      <c r="I770">
        <v>280</v>
      </c>
    </row>
    <row r="771" spans="1:9">
      <c r="A771" t="s">
        <v>178</v>
      </c>
      <c r="B771" t="s">
        <v>178</v>
      </c>
      <c r="C771" t="s">
        <v>178</v>
      </c>
      <c r="D771" t="s">
        <v>178</v>
      </c>
      <c r="E771" t="s">
        <v>178</v>
      </c>
      <c r="F771" t="s">
        <v>178</v>
      </c>
      <c r="G771" t="s">
        <v>178</v>
      </c>
      <c r="H771" s="84" t="s">
        <v>178</v>
      </c>
      <c r="I771" t="s">
        <v>178</v>
      </c>
    </row>
    <row r="772" spans="1:9">
      <c r="A772" t="s">
        <v>178</v>
      </c>
      <c r="B772" t="s">
        <v>178</v>
      </c>
      <c r="C772" t="s">
        <v>178</v>
      </c>
      <c r="D772" t="s">
        <v>178</v>
      </c>
      <c r="E772" t="s">
        <v>178</v>
      </c>
      <c r="F772" t="s">
        <v>178</v>
      </c>
      <c r="G772" t="s">
        <v>178</v>
      </c>
      <c r="H772" s="84" t="s">
        <v>178</v>
      </c>
      <c r="I772" t="s">
        <v>178</v>
      </c>
    </row>
    <row r="773" spans="1:9">
      <c r="A773" t="s">
        <v>1099</v>
      </c>
      <c r="B773" t="s">
        <v>203</v>
      </c>
      <c r="C773">
        <v>1</v>
      </c>
      <c r="D773">
        <v>659</v>
      </c>
      <c r="E773">
        <v>1.5174506828528073E-3</v>
      </c>
      <c r="F773">
        <v>8.52</v>
      </c>
      <c r="G773">
        <v>68.471707317073168</v>
      </c>
      <c r="H773" s="84">
        <v>0.10390243902439024</v>
      </c>
      <c r="I773">
        <v>287</v>
      </c>
    </row>
    <row r="774" spans="1:9">
      <c r="A774" t="s">
        <v>1100</v>
      </c>
      <c r="B774" t="s">
        <v>206</v>
      </c>
      <c r="C774">
        <v>1</v>
      </c>
      <c r="D774">
        <v>642</v>
      </c>
      <c r="E774">
        <v>1.557632398753894E-3</v>
      </c>
      <c r="F774">
        <v>9.99</v>
      </c>
      <c r="G774">
        <v>78.214390243902443</v>
      </c>
      <c r="H774" s="84">
        <v>0.12182926829268292</v>
      </c>
      <c r="I774">
        <v>274</v>
      </c>
    </row>
    <row r="775" spans="1:9">
      <c r="A775" t="s">
        <v>178</v>
      </c>
      <c r="B775" t="s">
        <v>178</v>
      </c>
      <c r="C775" t="s">
        <v>178</v>
      </c>
      <c r="D775" t="s">
        <v>178</v>
      </c>
      <c r="E775" t="s">
        <v>178</v>
      </c>
      <c r="F775" t="s">
        <v>178</v>
      </c>
      <c r="G775" t="s">
        <v>178</v>
      </c>
      <c r="H775" s="84" t="s">
        <v>178</v>
      </c>
      <c r="I775" t="s">
        <v>178</v>
      </c>
    </row>
    <row r="776" spans="1:9">
      <c r="A776" t="s">
        <v>178</v>
      </c>
      <c r="B776" t="s">
        <v>178</v>
      </c>
      <c r="C776" t="s">
        <v>178</v>
      </c>
      <c r="D776" t="s">
        <v>178</v>
      </c>
      <c r="E776" t="s">
        <v>178</v>
      </c>
      <c r="F776" t="s">
        <v>178</v>
      </c>
      <c r="G776" t="s">
        <v>178</v>
      </c>
      <c r="H776" s="84" t="s">
        <v>178</v>
      </c>
      <c r="I776" t="s">
        <v>178</v>
      </c>
    </row>
    <row r="777" spans="1:9">
      <c r="A777" t="s">
        <v>1103</v>
      </c>
      <c r="B777" t="s">
        <v>206</v>
      </c>
      <c r="C777">
        <v>0</v>
      </c>
      <c r="D777">
        <v>642</v>
      </c>
      <c r="E777">
        <v>0</v>
      </c>
      <c r="F777">
        <v>9.99</v>
      </c>
      <c r="G777">
        <v>78.214390243902443</v>
      </c>
      <c r="H777" s="84">
        <v>0</v>
      </c>
      <c r="I777">
        <v>288</v>
      </c>
    </row>
    <row r="778" spans="1:9">
      <c r="A778" t="s">
        <v>1104</v>
      </c>
      <c r="B778" t="s">
        <v>198</v>
      </c>
      <c r="C778">
        <v>0</v>
      </c>
      <c r="D778">
        <v>600</v>
      </c>
      <c r="E778">
        <v>0</v>
      </c>
      <c r="F778">
        <v>9.52</v>
      </c>
      <c r="G778">
        <v>69.658536585365852</v>
      </c>
      <c r="H778" s="84">
        <v>0</v>
      </c>
      <c r="I778">
        <v>288</v>
      </c>
    </row>
    <row r="779" spans="1:9">
      <c r="A779" t="s">
        <v>178</v>
      </c>
      <c r="B779" t="s">
        <v>178</v>
      </c>
      <c r="C779" t="s">
        <v>178</v>
      </c>
      <c r="D779" t="s">
        <v>178</v>
      </c>
      <c r="E779" t="s">
        <v>178</v>
      </c>
      <c r="F779" t="s">
        <v>178</v>
      </c>
      <c r="G779" t="s">
        <v>178</v>
      </c>
      <c r="H779" s="84" t="s">
        <v>178</v>
      </c>
      <c r="I779" t="s">
        <v>178</v>
      </c>
    </row>
    <row r="780" spans="1:9">
      <c r="A780" t="s">
        <v>1106</v>
      </c>
      <c r="B780" t="s">
        <v>202</v>
      </c>
      <c r="C780">
        <v>0</v>
      </c>
      <c r="D780">
        <v>601</v>
      </c>
      <c r="E780">
        <v>0</v>
      </c>
      <c r="F780">
        <v>8.74</v>
      </c>
      <c r="G780">
        <v>64.057804878048785</v>
      </c>
      <c r="H780" s="84">
        <v>0</v>
      </c>
      <c r="I780">
        <v>288</v>
      </c>
    </row>
    <row r="781" spans="1:9">
      <c r="A781" t="s">
        <v>178</v>
      </c>
      <c r="B781" t="s">
        <v>178</v>
      </c>
      <c r="C781" t="s">
        <v>178</v>
      </c>
      <c r="D781" t="s">
        <v>178</v>
      </c>
      <c r="E781" t="s">
        <v>178</v>
      </c>
      <c r="F781" t="s">
        <v>178</v>
      </c>
      <c r="G781" t="s">
        <v>178</v>
      </c>
      <c r="H781" s="84" t="s">
        <v>178</v>
      </c>
      <c r="I781" t="s">
        <v>178</v>
      </c>
    </row>
    <row r="782" spans="1:9">
      <c r="A782" t="s">
        <v>178</v>
      </c>
      <c r="B782" t="s">
        <v>178</v>
      </c>
      <c r="C782" t="s">
        <v>178</v>
      </c>
      <c r="D782" t="s">
        <v>178</v>
      </c>
      <c r="E782" t="s">
        <v>178</v>
      </c>
      <c r="F782" t="s">
        <v>178</v>
      </c>
      <c r="G782" t="s">
        <v>178</v>
      </c>
      <c r="H782" s="84" t="s">
        <v>178</v>
      </c>
      <c r="I782" t="s">
        <v>178</v>
      </c>
    </row>
    <row r="783" spans="1:9">
      <c r="A783" t="s">
        <v>178</v>
      </c>
      <c r="B783" t="s">
        <v>178</v>
      </c>
      <c r="C783" t="s">
        <v>178</v>
      </c>
      <c r="D783" t="s">
        <v>178</v>
      </c>
      <c r="E783" t="s">
        <v>178</v>
      </c>
      <c r="F783" t="s">
        <v>178</v>
      </c>
      <c r="G783" t="s">
        <v>178</v>
      </c>
      <c r="H783" s="84" t="s">
        <v>178</v>
      </c>
      <c r="I783" t="s">
        <v>178</v>
      </c>
    </row>
    <row r="784" spans="1:9">
      <c r="A784" t="s">
        <v>178</v>
      </c>
      <c r="B784" t="s">
        <v>178</v>
      </c>
      <c r="C784" t="s">
        <v>178</v>
      </c>
      <c r="D784" t="s">
        <v>178</v>
      </c>
      <c r="E784" t="s">
        <v>178</v>
      </c>
      <c r="F784" t="s">
        <v>178</v>
      </c>
      <c r="G784" t="s">
        <v>178</v>
      </c>
      <c r="H784" s="84" t="s">
        <v>178</v>
      </c>
      <c r="I784" t="s">
        <v>178</v>
      </c>
    </row>
    <row r="785" spans="1:9">
      <c r="A785" t="s">
        <v>178</v>
      </c>
      <c r="B785" t="s">
        <v>178</v>
      </c>
      <c r="C785" t="s">
        <v>178</v>
      </c>
      <c r="D785" t="s">
        <v>178</v>
      </c>
      <c r="E785" t="s">
        <v>178</v>
      </c>
      <c r="F785" t="s">
        <v>178</v>
      </c>
      <c r="G785" t="s">
        <v>178</v>
      </c>
      <c r="H785" s="84" t="s">
        <v>178</v>
      </c>
      <c r="I785" t="s">
        <v>178</v>
      </c>
    </row>
    <row r="786" spans="1:9">
      <c r="A786" t="s">
        <v>178</v>
      </c>
      <c r="B786" t="s">
        <v>178</v>
      </c>
      <c r="C786" t="s">
        <v>178</v>
      </c>
      <c r="D786" t="s">
        <v>178</v>
      </c>
      <c r="E786" t="s">
        <v>178</v>
      </c>
      <c r="F786" t="s">
        <v>178</v>
      </c>
      <c r="G786" t="s">
        <v>178</v>
      </c>
      <c r="H786" s="84" t="s">
        <v>178</v>
      </c>
      <c r="I786" t="s">
        <v>178</v>
      </c>
    </row>
    <row r="787" spans="1:9">
      <c r="A787" t="s">
        <v>178</v>
      </c>
      <c r="B787" t="s">
        <v>178</v>
      </c>
      <c r="C787" t="s">
        <v>178</v>
      </c>
      <c r="D787" t="s">
        <v>178</v>
      </c>
      <c r="E787" t="s">
        <v>178</v>
      </c>
      <c r="F787" t="s">
        <v>178</v>
      </c>
      <c r="G787" t="s">
        <v>178</v>
      </c>
      <c r="H787" s="84" t="s">
        <v>178</v>
      </c>
      <c r="I787" t="s">
        <v>178</v>
      </c>
    </row>
    <row r="788" spans="1:9">
      <c r="A788" t="s">
        <v>178</v>
      </c>
      <c r="B788" t="s">
        <v>178</v>
      </c>
      <c r="C788" t="s">
        <v>178</v>
      </c>
      <c r="D788" t="s">
        <v>178</v>
      </c>
      <c r="E788" t="s">
        <v>178</v>
      </c>
      <c r="F788" t="s">
        <v>178</v>
      </c>
      <c r="G788" t="s">
        <v>178</v>
      </c>
      <c r="H788" s="84" t="s">
        <v>178</v>
      </c>
      <c r="I788" t="s">
        <v>178</v>
      </c>
    </row>
    <row r="789" spans="1:9">
      <c r="A789" t="s">
        <v>178</v>
      </c>
      <c r="B789" t="s">
        <v>178</v>
      </c>
      <c r="C789" t="s">
        <v>178</v>
      </c>
      <c r="D789" t="s">
        <v>178</v>
      </c>
      <c r="E789" t="s">
        <v>178</v>
      </c>
      <c r="F789" t="s">
        <v>178</v>
      </c>
      <c r="G789" t="s">
        <v>178</v>
      </c>
      <c r="H789" s="84" t="s">
        <v>178</v>
      </c>
      <c r="I789" t="s">
        <v>178</v>
      </c>
    </row>
    <row r="790" spans="1:9">
      <c r="A790" t="s">
        <v>178</v>
      </c>
      <c r="B790" t="s">
        <v>178</v>
      </c>
      <c r="C790" t="s">
        <v>178</v>
      </c>
      <c r="D790" t="s">
        <v>178</v>
      </c>
      <c r="E790" t="s">
        <v>178</v>
      </c>
      <c r="F790" t="s">
        <v>178</v>
      </c>
      <c r="G790" t="s">
        <v>178</v>
      </c>
      <c r="H790" s="84" t="s">
        <v>178</v>
      </c>
      <c r="I790" t="s">
        <v>178</v>
      </c>
    </row>
    <row r="791" spans="1:9">
      <c r="A791" t="s">
        <v>1117</v>
      </c>
      <c r="B791" t="s">
        <v>205</v>
      </c>
      <c r="C791">
        <v>0</v>
      </c>
      <c r="D791">
        <v>613</v>
      </c>
      <c r="E791">
        <v>0</v>
      </c>
      <c r="F791">
        <v>15.26</v>
      </c>
      <c r="G791">
        <v>114.07780487804878</v>
      </c>
      <c r="H791" s="84">
        <v>0</v>
      </c>
      <c r="I791">
        <v>288</v>
      </c>
    </row>
    <row r="792" spans="1:9">
      <c r="A792" t="s">
        <v>178</v>
      </c>
      <c r="B792" t="s">
        <v>178</v>
      </c>
      <c r="C792" t="s">
        <v>178</v>
      </c>
      <c r="D792" t="s">
        <v>178</v>
      </c>
      <c r="E792" t="s">
        <v>178</v>
      </c>
      <c r="F792" t="s">
        <v>178</v>
      </c>
      <c r="G792" t="s">
        <v>178</v>
      </c>
      <c r="H792" s="84" t="s">
        <v>178</v>
      </c>
      <c r="I792" t="s">
        <v>178</v>
      </c>
    </row>
    <row r="793" spans="1:9">
      <c r="A793" t="s">
        <v>178</v>
      </c>
      <c r="B793" t="s">
        <v>178</v>
      </c>
      <c r="C793" t="s">
        <v>178</v>
      </c>
      <c r="D793" t="s">
        <v>178</v>
      </c>
      <c r="E793" t="s">
        <v>178</v>
      </c>
      <c r="F793" t="s">
        <v>178</v>
      </c>
      <c r="G793" t="s">
        <v>178</v>
      </c>
      <c r="H793" s="84" t="s">
        <v>178</v>
      </c>
      <c r="I793" t="s">
        <v>178</v>
      </c>
    </row>
    <row r="794" spans="1:9">
      <c r="A794" t="s">
        <v>178</v>
      </c>
      <c r="B794" t="s">
        <v>178</v>
      </c>
      <c r="C794" t="s">
        <v>178</v>
      </c>
      <c r="D794" t="s">
        <v>178</v>
      </c>
      <c r="E794" t="s">
        <v>178</v>
      </c>
      <c r="F794" t="s">
        <v>178</v>
      </c>
      <c r="G794" t="s">
        <v>178</v>
      </c>
      <c r="H794" s="84" t="s">
        <v>178</v>
      </c>
      <c r="I794" t="s">
        <v>178</v>
      </c>
    </row>
    <row r="795" spans="1:9">
      <c r="A795" t="s">
        <v>1121</v>
      </c>
      <c r="B795" t="s">
        <v>203</v>
      </c>
      <c r="C795">
        <v>0</v>
      </c>
      <c r="D795">
        <v>659</v>
      </c>
      <c r="E795">
        <v>0</v>
      </c>
      <c r="F795">
        <v>8.52</v>
      </c>
      <c r="G795">
        <v>68.471707317073168</v>
      </c>
      <c r="H795" s="84">
        <v>0</v>
      </c>
      <c r="I795">
        <v>288</v>
      </c>
    </row>
    <row r="796" spans="1:9">
      <c r="A796" t="s">
        <v>178</v>
      </c>
      <c r="B796" t="s">
        <v>178</v>
      </c>
      <c r="C796" t="s">
        <v>178</v>
      </c>
      <c r="D796" t="s">
        <v>178</v>
      </c>
      <c r="E796" t="s">
        <v>178</v>
      </c>
      <c r="F796" t="s">
        <v>178</v>
      </c>
      <c r="G796" t="s">
        <v>178</v>
      </c>
      <c r="H796" s="84" t="s">
        <v>178</v>
      </c>
      <c r="I796" t="s">
        <v>178</v>
      </c>
    </row>
    <row r="797" spans="1:9">
      <c r="A797" t="s">
        <v>178</v>
      </c>
      <c r="B797" t="s">
        <v>178</v>
      </c>
      <c r="C797" t="s">
        <v>178</v>
      </c>
      <c r="D797" t="s">
        <v>178</v>
      </c>
      <c r="E797" t="s">
        <v>178</v>
      </c>
      <c r="F797" t="s">
        <v>178</v>
      </c>
      <c r="G797" t="s">
        <v>178</v>
      </c>
      <c r="H797" s="84" t="s">
        <v>178</v>
      </c>
      <c r="I797" t="s">
        <v>178</v>
      </c>
    </row>
    <row r="798" spans="1:9">
      <c r="A798" t="s">
        <v>178</v>
      </c>
      <c r="B798" t="s">
        <v>178</v>
      </c>
      <c r="C798" t="s">
        <v>178</v>
      </c>
      <c r="D798" t="s">
        <v>178</v>
      </c>
      <c r="E798" t="s">
        <v>178</v>
      </c>
      <c r="F798" t="s">
        <v>178</v>
      </c>
      <c r="G798" t="s">
        <v>178</v>
      </c>
      <c r="H798" s="84" t="s">
        <v>178</v>
      </c>
      <c r="I798" t="s">
        <v>178</v>
      </c>
    </row>
    <row r="799" spans="1:9">
      <c r="A799" t="s">
        <v>1125</v>
      </c>
      <c r="B799" t="s">
        <v>202</v>
      </c>
      <c r="C799">
        <v>0</v>
      </c>
      <c r="D799">
        <v>601</v>
      </c>
      <c r="E799">
        <v>0</v>
      </c>
      <c r="F799">
        <v>8.74</v>
      </c>
      <c r="G799">
        <v>64.057804878048785</v>
      </c>
      <c r="H799" s="84">
        <v>0</v>
      </c>
      <c r="I799">
        <v>288</v>
      </c>
    </row>
    <row r="800" spans="1:9">
      <c r="A800" t="s">
        <v>178</v>
      </c>
      <c r="B800" t="s">
        <v>178</v>
      </c>
      <c r="C800" t="s">
        <v>178</v>
      </c>
      <c r="D800" t="s">
        <v>178</v>
      </c>
      <c r="E800" t="s">
        <v>178</v>
      </c>
      <c r="F800" t="s">
        <v>178</v>
      </c>
      <c r="G800" t="s">
        <v>178</v>
      </c>
      <c r="H800" s="84" t="s">
        <v>178</v>
      </c>
      <c r="I800" t="s">
        <v>178</v>
      </c>
    </row>
    <row r="801" spans="1:9">
      <c r="A801" t="s">
        <v>178</v>
      </c>
      <c r="B801" t="s">
        <v>178</v>
      </c>
      <c r="C801" t="s">
        <v>178</v>
      </c>
      <c r="D801" t="s">
        <v>178</v>
      </c>
      <c r="E801" t="s">
        <v>178</v>
      </c>
      <c r="F801" t="s">
        <v>178</v>
      </c>
      <c r="G801" t="s">
        <v>178</v>
      </c>
      <c r="H801" s="84" t="s">
        <v>178</v>
      </c>
      <c r="I801" t="s">
        <v>178</v>
      </c>
    </row>
    <row r="802" spans="1:9">
      <c r="A802" t="s">
        <v>1128</v>
      </c>
      <c r="B802" t="s">
        <v>202</v>
      </c>
      <c r="C802">
        <v>0</v>
      </c>
      <c r="D802">
        <v>601</v>
      </c>
      <c r="E802">
        <v>0</v>
      </c>
      <c r="F802">
        <v>8.74</v>
      </c>
      <c r="G802">
        <v>64.057804878048785</v>
      </c>
      <c r="H802" s="84">
        <v>0</v>
      </c>
      <c r="I802">
        <v>288</v>
      </c>
    </row>
    <row r="803" spans="1:9">
      <c r="A803" t="s">
        <v>1129</v>
      </c>
      <c r="B803" t="s">
        <v>203</v>
      </c>
      <c r="C803">
        <v>0</v>
      </c>
      <c r="D803">
        <v>659</v>
      </c>
      <c r="E803">
        <v>0</v>
      </c>
      <c r="F803">
        <v>8.52</v>
      </c>
      <c r="G803">
        <v>68.471707317073168</v>
      </c>
      <c r="H803" s="84">
        <v>0</v>
      </c>
      <c r="I803">
        <v>288</v>
      </c>
    </row>
    <row r="804" spans="1:9">
      <c r="A804" t="s">
        <v>178</v>
      </c>
      <c r="B804" t="s">
        <v>178</v>
      </c>
      <c r="C804" t="s">
        <v>178</v>
      </c>
      <c r="D804" t="s">
        <v>178</v>
      </c>
      <c r="E804" t="s">
        <v>178</v>
      </c>
      <c r="F804" t="s">
        <v>178</v>
      </c>
      <c r="G804" t="s">
        <v>178</v>
      </c>
      <c r="H804" s="84" t="s">
        <v>178</v>
      </c>
      <c r="I804" t="s">
        <v>178</v>
      </c>
    </row>
    <row r="805" spans="1:9">
      <c r="A805" t="s">
        <v>178</v>
      </c>
      <c r="B805" t="s">
        <v>178</v>
      </c>
      <c r="C805" t="s">
        <v>178</v>
      </c>
      <c r="D805" t="s">
        <v>178</v>
      </c>
      <c r="E805" t="s">
        <v>178</v>
      </c>
      <c r="F805" t="s">
        <v>178</v>
      </c>
      <c r="G805" t="s">
        <v>178</v>
      </c>
      <c r="H805" s="84" t="s">
        <v>178</v>
      </c>
      <c r="I805" t="s">
        <v>178</v>
      </c>
    </row>
    <row r="806" spans="1:9">
      <c r="A806" t="s">
        <v>1132</v>
      </c>
      <c r="B806" t="s">
        <v>205</v>
      </c>
      <c r="C806">
        <v>0</v>
      </c>
      <c r="D806">
        <v>613</v>
      </c>
      <c r="E806">
        <v>0</v>
      </c>
      <c r="F806">
        <v>15.26</v>
      </c>
      <c r="G806">
        <v>114.07780487804878</v>
      </c>
      <c r="H806" s="84">
        <v>0</v>
      </c>
      <c r="I806">
        <v>288</v>
      </c>
    </row>
    <row r="807" spans="1:9">
      <c r="A807" t="s">
        <v>178</v>
      </c>
      <c r="B807" t="s">
        <v>178</v>
      </c>
      <c r="C807" t="s">
        <v>178</v>
      </c>
      <c r="D807" t="s">
        <v>178</v>
      </c>
      <c r="E807" t="s">
        <v>178</v>
      </c>
      <c r="F807" t="s">
        <v>178</v>
      </c>
      <c r="G807" t="s">
        <v>178</v>
      </c>
      <c r="H807" s="84" t="s">
        <v>178</v>
      </c>
      <c r="I807" t="s">
        <v>178</v>
      </c>
    </row>
    <row r="808" spans="1:9">
      <c r="A808" t="s">
        <v>1134</v>
      </c>
      <c r="B808" t="s">
        <v>200</v>
      </c>
      <c r="C808">
        <v>0</v>
      </c>
      <c r="D808">
        <v>660</v>
      </c>
      <c r="E808">
        <v>0</v>
      </c>
      <c r="F808">
        <v>11.28</v>
      </c>
      <c r="G808">
        <v>90.790243902439016</v>
      </c>
      <c r="H808" s="84">
        <v>0</v>
      </c>
      <c r="I808">
        <v>288</v>
      </c>
    </row>
    <row r="809" spans="1:9">
      <c r="A809" t="s">
        <v>178</v>
      </c>
      <c r="B809" t="s">
        <v>178</v>
      </c>
      <c r="C809" t="s">
        <v>178</v>
      </c>
      <c r="D809" t="s">
        <v>178</v>
      </c>
      <c r="E809" t="s">
        <v>178</v>
      </c>
      <c r="F809" t="s">
        <v>178</v>
      </c>
      <c r="G809" t="s">
        <v>178</v>
      </c>
      <c r="H809" s="84" t="s">
        <v>178</v>
      </c>
      <c r="I809" t="s">
        <v>178</v>
      </c>
    </row>
    <row r="810" spans="1:9">
      <c r="A810" t="s">
        <v>178</v>
      </c>
      <c r="B810" t="s">
        <v>178</v>
      </c>
      <c r="C810" t="s">
        <v>178</v>
      </c>
      <c r="D810" t="s">
        <v>178</v>
      </c>
      <c r="E810" t="s">
        <v>178</v>
      </c>
      <c r="F810" t="s">
        <v>178</v>
      </c>
      <c r="G810" t="s">
        <v>178</v>
      </c>
      <c r="H810" s="84" t="s">
        <v>178</v>
      </c>
      <c r="I810" t="s">
        <v>178</v>
      </c>
    </row>
    <row r="811" spans="1:9">
      <c r="A811" t="s">
        <v>178</v>
      </c>
      <c r="B811" t="s">
        <v>178</v>
      </c>
      <c r="C811" t="s">
        <v>178</v>
      </c>
      <c r="D811" t="s">
        <v>178</v>
      </c>
      <c r="E811" t="s">
        <v>178</v>
      </c>
      <c r="F811" t="s">
        <v>178</v>
      </c>
      <c r="G811" t="s">
        <v>178</v>
      </c>
      <c r="H811" s="84" t="s">
        <v>178</v>
      </c>
      <c r="I811" t="s">
        <v>178</v>
      </c>
    </row>
    <row r="812" spans="1:9">
      <c r="A812" t="s">
        <v>178</v>
      </c>
      <c r="B812" t="s">
        <v>178</v>
      </c>
      <c r="C812" t="s">
        <v>178</v>
      </c>
      <c r="D812" t="s">
        <v>178</v>
      </c>
      <c r="E812" t="s">
        <v>178</v>
      </c>
      <c r="F812" t="s">
        <v>178</v>
      </c>
      <c r="G812" t="s">
        <v>178</v>
      </c>
      <c r="H812" s="84" t="s">
        <v>178</v>
      </c>
      <c r="I812" t="s">
        <v>178</v>
      </c>
    </row>
    <row r="813" spans="1:9">
      <c r="A813" t="s">
        <v>178</v>
      </c>
      <c r="B813" t="s">
        <v>178</v>
      </c>
      <c r="C813" t="s">
        <v>178</v>
      </c>
      <c r="D813" t="s">
        <v>178</v>
      </c>
      <c r="E813" t="s">
        <v>178</v>
      </c>
      <c r="F813" t="s">
        <v>178</v>
      </c>
      <c r="G813" t="s">
        <v>178</v>
      </c>
      <c r="H813" s="84" t="s">
        <v>178</v>
      </c>
      <c r="I813" t="s">
        <v>178</v>
      </c>
    </row>
    <row r="814" spans="1:9">
      <c r="A814" t="s">
        <v>178</v>
      </c>
      <c r="B814" t="s">
        <v>178</v>
      </c>
      <c r="C814" t="s">
        <v>178</v>
      </c>
      <c r="D814" t="s">
        <v>178</v>
      </c>
      <c r="E814" t="s">
        <v>178</v>
      </c>
      <c r="F814" t="s">
        <v>178</v>
      </c>
      <c r="G814" t="s">
        <v>178</v>
      </c>
      <c r="H814" s="84" t="s">
        <v>178</v>
      </c>
      <c r="I814" t="s">
        <v>178</v>
      </c>
    </row>
    <row r="815" spans="1:9">
      <c r="A815" t="s">
        <v>178</v>
      </c>
      <c r="B815" t="s">
        <v>178</v>
      </c>
      <c r="C815" t="s">
        <v>178</v>
      </c>
      <c r="D815" t="s">
        <v>178</v>
      </c>
      <c r="E815" t="s">
        <v>178</v>
      </c>
      <c r="F815" t="s">
        <v>178</v>
      </c>
      <c r="G815" t="s">
        <v>178</v>
      </c>
      <c r="H815" s="84" t="s">
        <v>178</v>
      </c>
      <c r="I815" t="s">
        <v>178</v>
      </c>
    </row>
    <row r="816" spans="1:9">
      <c r="A816" t="s">
        <v>178</v>
      </c>
      <c r="B816" t="s">
        <v>178</v>
      </c>
      <c r="C816" t="s">
        <v>178</v>
      </c>
      <c r="D816" t="s">
        <v>178</v>
      </c>
      <c r="E816" t="s">
        <v>178</v>
      </c>
      <c r="F816" t="s">
        <v>178</v>
      </c>
      <c r="G816" t="s">
        <v>178</v>
      </c>
      <c r="H816" s="84" t="s">
        <v>178</v>
      </c>
      <c r="I816" t="s">
        <v>178</v>
      </c>
    </row>
    <row r="817" spans="1:9">
      <c r="A817" t="s">
        <v>1143</v>
      </c>
      <c r="B817" t="s">
        <v>206</v>
      </c>
      <c r="C817">
        <v>0</v>
      </c>
      <c r="D817">
        <v>642</v>
      </c>
      <c r="E817">
        <v>0</v>
      </c>
      <c r="F817">
        <v>9.99</v>
      </c>
      <c r="G817">
        <v>78.214390243902443</v>
      </c>
      <c r="H817" s="84">
        <v>0</v>
      </c>
      <c r="I817">
        <v>288</v>
      </c>
    </row>
    <row r="818" spans="1:9">
      <c r="A818" t="s">
        <v>178</v>
      </c>
      <c r="B818" t="s">
        <v>178</v>
      </c>
      <c r="C818" t="s">
        <v>178</v>
      </c>
      <c r="D818" t="s">
        <v>178</v>
      </c>
      <c r="E818" t="s">
        <v>178</v>
      </c>
      <c r="F818" t="s">
        <v>178</v>
      </c>
      <c r="G818" t="s">
        <v>178</v>
      </c>
      <c r="H818" s="84" t="s">
        <v>178</v>
      </c>
      <c r="I818" t="s">
        <v>178</v>
      </c>
    </row>
    <row r="819" spans="1:9">
      <c r="A819" t="s">
        <v>1145</v>
      </c>
      <c r="B819" t="s">
        <v>198</v>
      </c>
      <c r="C819">
        <v>0</v>
      </c>
      <c r="D819">
        <v>600</v>
      </c>
      <c r="E819">
        <v>0</v>
      </c>
      <c r="F819">
        <v>9.52</v>
      </c>
      <c r="G819">
        <v>69.658536585365852</v>
      </c>
      <c r="H819" s="84">
        <v>0</v>
      </c>
      <c r="I819">
        <v>288</v>
      </c>
    </row>
    <row r="820" spans="1:9">
      <c r="A820" t="s">
        <v>1146</v>
      </c>
      <c r="B820" t="s">
        <v>210</v>
      </c>
      <c r="C820">
        <v>0</v>
      </c>
      <c r="D820">
        <v>594</v>
      </c>
      <c r="E820">
        <v>0</v>
      </c>
      <c r="F820">
        <v>9.11</v>
      </c>
      <c r="G820">
        <v>65.991951219512188</v>
      </c>
      <c r="H820" s="84">
        <v>0</v>
      </c>
      <c r="I820">
        <v>288</v>
      </c>
    </row>
    <row r="821" spans="1:9">
      <c r="A821" t="s">
        <v>1147</v>
      </c>
      <c r="B821" t="s">
        <v>198</v>
      </c>
      <c r="C821">
        <v>0</v>
      </c>
      <c r="D821">
        <v>600</v>
      </c>
      <c r="E821">
        <v>0</v>
      </c>
      <c r="F821">
        <v>9.52</v>
      </c>
      <c r="G821">
        <v>69.658536585365852</v>
      </c>
      <c r="H821" s="84">
        <v>0</v>
      </c>
      <c r="I821">
        <v>288</v>
      </c>
    </row>
    <row r="822" spans="1:9">
      <c r="A822" t="s">
        <v>178</v>
      </c>
      <c r="B822" t="s">
        <v>178</v>
      </c>
      <c r="C822" t="s">
        <v>178</v>
      </c>
      <c r="D822" t="s">
        <v>178</v>
      </c>
      <c r="E822" t="s">
        <v>178</v>
      </c>
      <c r="F822" t="s">
        <v>178</v>
      </c>
      <c r="G822" t="s">
        <v>178</v>
      </c>
      <c r="H822" s="84" t="s">
        <v>178</v>
      </c>
      <c r="I822" t="s">
        <v>178</v>
      </c>
    </row>
    <row r="823" spans="1:9">
      <c r="A823" t="s">
        <v>178</v>
      </c>
      <c r="B823" t="s">
        <v>178</v>
      </c>
      <c r="C823" t="s">
        <v>178</v>
      </c>
      <c r="D823" t="s">
        <v>178</v>
      </c>
      <c r="E823" t="s">
        <v>178</v>
      </c>
      <c r="F823" t="s">
        <v>178</v>
      </c>
      <c r="G823" t="s">
        <v>178</v>
      </c>
      <c r="H823" s="84" t="s">
        <v>178</v>
      </c>
      <c r="I823" t="s">
        <v>178</v>
      </c>
    </row>
    <row r="824" spans="1:9">
      <c r="A824" t="s">
        <v>178</v>
      </c>
      <c r="B824" t="s">
        <v>178</v>
      </c>
      <c r="C824" t="s">
        <v>178</v>
      </c>
      <c r="D824" t="s">
        <v>178</v>
      </c>
      <c r="E824" t="s">
        <v>178</v>
      </c>
      <c r="F824" t="s">
        <v>178</v>
      </c>
      <c r="G824" t="s">
        <v>178</v>
      </c>
      <c r="H824" s="84" t="s">
        <v>178</v>
      </c>
      <c r="I824" t="s">
        <v>178</v>
      </c>
    </row>
    <row r="825" spans="1:9">
      <c r="A825" t="s">
        <v>1151</v>
      </c>
      <c r="B825" t="s">
        <v>205</v>
      </c>
      <c r="C825">
        <v>0</v>
      </c>
      <c r="D825">
        <v>613</v>
      </c>
      <c r="E825">
        <v>0</v>
      </c>
      <c r="F825">
        <v>15.26</v>
      </c>
      <c r="G825">
        <v>114.07780487804878</v>
      </c>
      <c r="H825" s="84">
        <v>0</v>
      </c>
      <c r="I825">
        <v>288</v>
      </c>
    </row>
    <row r="826" spans="1:9">
      <c r="A826" t="s">
        <v>1152</v>
      </c>
      <c r="B826" t="s">
        <v>203</v>
      </c>
      <c r="C826">
        <v>0</v>
      </c>
      <c r="D826">
        <v>659</v>
      </c>
      <c r="E826">
        <v>0</v>
      </c>
      <c r="F826">
        <v>8.52</v>
      </c>
      <c r="G826">
        <v>68.471707317073168</v>
      </c>
      <c r="H826" s="84">
        <v>0</v>
      </c>
      <c r="I826">
        <v>288</v>
      </c>
    </row>
    <row r="827" spans="1:9">
      <c r="A827" t="s">
        <v>178</v>
      </c>
      <c r="B827" t="s">
        <v>178</v>
      </c>
      <c r="C827" t="s">
        <v>178</v>
      </c>
      <c r="D827" t="s">
        <v>178</v>
      </c>
      <c r="E827" t="s">
        <v>178</v>
      </c>
      <c r="F827" t="s">
        <v>178</v>
      </c>
      <c r="G827" t="s">
        <v>178</v>
      </c>
      <c r="H827" s="84" t="s">
        <v>178</v>
      </c>
      <c r="I827" t="s">
        <v>178</v>
      </c>
    </row>
    <row r="828" spans="1:9">
      <c r="A828" t="s">
        <v>1154</v>
      </c>
      <c r="B828" t="s">
        <v>202</v>
      </c>
      <c r="C828">
        <v>0</v>
      </c>
      <c r="D828">
        <v>601</v>
      </c>
      <c r="E828">
        <v>0</v>
      </c>
      <c r="F828">
        <v>8.74</v>
      </c>
      <c r="G828">
        <v>64.057804878048785</v>
      </c>
      <c r="H828" s="84">
        <v>0</v>
      </c>
      <c r="I828">
        <v>288</v>
      </c>
    </row>
    <row r="829" spans="1:9">
      <c r="A829" t="s">
        <v>178</v>
      </c>
      <c r="B829" t="s">
        <v>178</v>
      </c>
      <c r="C829" t="s">
        <v>178</v>
      </c>
      <c r="D829" t="s">
        <v>178</v>
      </c>
      <c r="E829" t="s">
        <v>178</v>
      </c>
      <c r="F829" t="s">
        <v>178</v>
      </c>
      <c r="G829" t="s">
        <v>178</v>
      </c>
      <c r="H829" s="84" t="s">
        <v>178</v>
      </c>
      <c r="I829" t="s">
        <v>178</v>
      </c>
    </row>
    <row r="830" spans="1:9">
      <c r="A830" t="s">
        <v>178</v>
      </c>
      <c r="B830" t="s">
        <v>178</v>
      </c>
      <c r="C830" t="s">
        <v>178</v>
      </c>
      <c r="D830" t="s">
        <v>178</v>
      </c>
      <c r="E830" t="s">
        <v>178</v>
      </c>
      <c r="F830" t="s">
        <v>178</v>
      </c>
      <c r="G830" t="s">
        <v>178</v>
      </c>
      <c r="H830" s="84" t="s">
        <v>178</v>
      </c>
      <c r="I830" t="s">
        <v>178</v>
      </c>
    </row>
    <row r="831" spans="1:9">
      <c r="A831" t="s">
        <v>178</v>
      </c>
      <c r="B831" t="s">
        <v>178</v>
      </c>
      <c r="C831" t="s">
        <v>178</v>
      </c>
      <c r="D831" t="s">
        <v>178</v>
      </c>
      <c r="E831" t="s">
        <v>178</v>
      </c>
      <c r="F831" t="s">
        <v>178</v>
      </c>
      <c r="G831" t="s">
        <v>178</v>
      </c>
      <c r="H831" s="84" t="s">
        <v>178</v>
      </c>
      <c r="I831" t="s">
        <v>178</v>
      </c>
    </row>
    <row r="832" spans="1:9">
      <c r="A832" t="s">
        <v>1158</v>
      </c>
      <c r="B832" t="s">
        <v>212</v>
      </c>
      <c r="C832">
        <v>0</v>
      </c>
      <c r="D832">
        <v>608</v>
      </c>
      <c r="E832">
        <v>0</v>
      </c>
      <c r="F832">
        <v>11.03</v>
      </c>
      <c r="G832">
        <v>81.783414634146339</v>
      </c>
      <c r="H832" s="84">
        <v>0</v>
      </c>
      <c r="I832">
        <v>288</v>
      </c>
    </row>
    <row r="833" spans="1:9">
      <c r="A833" t="s">
        <v>178</v>
      </c>
      <c r="B833" t="s">
        <v>178</v>
      </c>
      <c r="C833" t="s">
        <v>178</v>
      </c>
      <c r="D833" t="s">
        <v>178</v>
      </c>
      <c r="E833" t="s">
        <v>178</v>
      </c>
      <c r="F833" t="s">
        <v>178</v>
      </c>
      <c r="G833" t="s">
        <v>178</v>
      </c>
      <c r="H833" s="84" t="s">
        <v>178</v>
      </c>
      <c r="I833" t="s">
        <v>178</v>
      </c>
    </row>
    <row r="834" spans="1:9">
      <c r="A834" t="s">
        <v>178</v>
      </c>
      <c r="B834" t="s">
        <v>178</v>
      </c>
      <c r="C834" t="s">
        <v>178</v>
      </c>
      <c r="D834" t="s">
        <v>178</v>
      </c>
      <c r="E834" t="s">
        <v>178</v>
      </c>
      <c r="F834" t="s">
        <v>178</v>
      </c>
      <c r="G834" t="s">
        <v>178</v>
      </c>
      <c r="H834" s="84" t="s">
        <v>178</v>
      </c>
      <c r="I834" t="s">
        <v>178</v>
      </c>
    </row>
    <row r="835" spans="1:9">
      <c r="A835" t="s">
        <v>178</v>
      </c>
      <c r="B835" t="s">
        <v>178</v>
      </c>
      <c r="C835" t="s">
        <v>178</v>
      </c>
      <c r="D835" t="s">
        <v>178</v>
      </c>
      <c r="E835" t="s">
        <v>178</v>
      </c>
      <c r="F835" t="s">
        <v>178</v>
      </c>
      <c r="G835" t="s">
        <v>178</v>
      </c>
      <c r="H835" s="84" t="s">
        <v>178</v>
      </c>
      <c r="I835" t="s">
        <v>178</v>
      </c>
    </row>
    <row r="836" spans="1:9">
      <c r="A836" t="s">
        <v>178</v>
      </c>
      <c r="B836" t="s">
        <v>178</v>
      </c>
      <c r="C836" t="s">
        <v>178</v>
      </c>
      <c r="D836" t="s">
        <v>178</v>
      </c>
      <c r="E836" t="s">
        <v>178</v>
      </c>
      <c r="F836" t="s">
        <v>178</v>
      </c>
      <c r="G836" t="s">
        <v>178</v>
      </c>
      <c r="H836" s="84" t="s">
        <v>178</v>
      </c>
      <c r="I836" t="s">
        <v>178</v>
      </c>
    </row>
    <row r="837" spans="1:9">
      <c r="A837" t="s">
        <v>1163</v>
      </c>
      <c r="B837" t="s">
        <v>196</v>
      </c>
      <c r="C837">
        <v>0</v>
      </c>
      <c r="D837">
        <v>656</v>
      </c>
      <c r="E837">
        <v>0</v>
      </c>
      <c r="F837">
        <v>14.22</v>
      </c>
      <c r="G837">
        <v>113.76</v>
      </c>
      <c r="H837" s="84">
        <v>0</v>
      </c>
      <c r="I837">
        <v>288</v>
      </c>
    </row>
    <row r="838" spans="1:9">
      <c r="A838" t="s">
        <v>178</v>
      </c>
      <c r="B838" t="s">
        <v>178</v>
      </c>
      <c r="C838" t="s">
        <v>178</v>
      </c>
      <c r="D838" t="s">
        <v>178</v>
      </c>
      <c r="E838" t="s">
        <v>178</v>
      </c>
      <c r="F838" t="s">
        <v>178</v>
      </c>
      <c r="G838" t="s">
        <v>178</v>
      </c>
      <c r="H838" s="84" t="s">
        <v>178</v>
      </c>
      <c r="I838" t="s">
        <v>178</v>
      </c>
    </row>
    <row r="839" spans="1:9">
      <c r="A839" t="s">
        <v>178</v>
      </c>
      <c r="B839" t="s">
        <v>178</v>
      </c>
      <c r="C839" t="s">
        <v>178</v>
      </c>
      <c r="D839" t="s">
        <v>178</v>
      </c>
      <c r="E839" t="s">
        <v>178</v>
      </c>
      <c r="F839" t="s">
        <v>178</v>
      </c>
      <c r="G839" t="s">
        <v>178</v>
      </c>
      <c r="H839" s="84" t="s">
        <v>178</v>
      </c>
      <c r="I839" t="s">
        <v>178</v>
      </c>
    </row>
    <row r="840" spans="1:9">
      <c r="A840" t="s">
        <v>178</v>
      </c>
      <c r="B840" t="s">
        <v>178</v>
      </c>
      <c r="C840" t="s">
        <v>178</v>
      </c>
      <c r="D840" t="s">
        <v>178</v>
      </c>
      <c r="E840" t="s">
        <v>178</v>
      </c>
      <c r="F840" t="s">
        <v>178</v>
      </c>
      <c r="G840" t="s">
        <v>178</v>
      </c>
      <c r="H840" s="84" t="s">
        <v>178</v>
      </c>
      <c r="I840" t="s">
        <v>178</v>
      </c>
    </row>
    <row r="841" spans="1:9">
      <c r="A841" t="s">
        <v>178</v>
      </c>
      <c r="B841" t="s">
        <v>178</v>
      </c>
      <c r="C841" t="s">
        <v>178</v>
      </c>
      <c r="D841" t="s">
        <v>178</v>
      </c>
      <c r="E841" t="s">
        <v>178</v>
      </c>
      <c r="F841" t="s">
        <v>178</v>
      </c>
      <c r="G841" t="s">
        <v>178</v>
      </c>
      <c r="H841" s="84" t="s">
        <v>178</v>
      </c>
      <c r="I841" t="s">
        <v>178</v>
      </c>
    </row>
    <row r="842" spans="1:9">
      <c r="A842" t="s">
        <v>1168</v>
      </c>
      <c r="B842" t="s">
        <v>198</v>
      </c>
      <c r="C842">
        <v>0</v>
      </c>
      <c r="D842">
        <v>600</v>
      </c>
      <c r="E842">
        <v>0</v>
      </c>
      <c r="F842">
        <v>9.52</v>
      </c>
      <c r="G842">
        <v>69.658536585365852</v>
      </c>
      <c r="H842" s="84">
        <v>0</v>
      </c>
      <c r="I842">
        <v>288</v>
      </c>
    </row>
    <row r="843" spans="1:9">
      <c r="A843" t="s">
        <v>178</v>
      </c>
      <c r="B843" t="s">
        <v>178</v>
      </c>
      <c r="C843" t="s">
        <v>178</v>
      </c>
      <c r="D843" t="s">
        <v>178</v>
      </c>
      <c r="E843" t="s">
        <v>178</v>
      </c>
      <c r="F843" t="s">
        <v>178</v>
      </c>
      <c r="G843" t="s">
        <v>178</v>
      </c>
      <c r="H843" s="84" t="s">
        <v>178</v>
      </c>
      <c r="I843" t="s">
        <v>178</v>
      </c>
    </row>
    <row r="844" spans="1:9">
      <c r="A844" t="s">
        <v>1170</v>
      </c>
      <c r="B844" t="s">
        <v>205</v>
      </c>
      <c r="C844">
        <v>0</v>
      </c>
      <c r="D844">
        <v>613</v>
      </c>
      <c r="E844">
        <v>0</v>
      </c>
      <c r="F844">
        <v>15.26</v>
      </c>
      <c r="G844">
        <v>114.07780487804878</v>
      </c>
      <c r="H844" s="84">
        <v>0</v>
      </c>
      <c r="I844">
        <v>288</v>
      </c>
    </row>
    <row r="845" spans="1:9">
      <c r="A845" t="s">
        <v>178</v>
      </c>
      <c r="B845" t="s">
        <v>178</v>
      </c>
      <c r="C845" t="s">
        <v>178</v>
      </c>
      <c r="D845" t="s">
        <v>178</v>
      </c>
      <c r="E845" t="s">
        <v>178</v>
      </c>
      <c r="F845" t="s">
        <v>178</v>
      </c>
      <c r="G845" t="s">
        <v>178</v>
      </c>
      <c r="H845" s="84" t="s">
        <v>178</v>
      </c>
      <c r="I845" t="s">
        <v>178</v>
      </c>
    </row>
    <row r="846" spans="1:9">
      <c r="A846" t="s">
        <v>178</v>
      </c>
      <c r="B846" t="s">
        <v>178</v>
      </c>
      <c r="C846" t="s">
        <v>178</v>
      </c>
      <c r="D846" t="s">
        <v>178</v>
      </c>
      <c r="E846" t="s">
        <v>178</v>
      </c>
      <c r="F846" t="s">
        <v>178</v>
      </c>
      <c r="G846" t="s">
        <v>178</v>
      </c>
      <c r="H846" s="84" t="s">
        <v>178</v>
      </c>
      <c r="I846" t="s">
        <v>178</v>
      </c>
    </row>
    <row r="847" spans="1:9">
      <c r="A847" t="s">
        <v>1173</v>
      </c>
      <c r="B847" t="s">
        <v>198</v>
      </c>
      <c r="C847">
        <v>0</v>
      </c>
      <c r="D847">
        <v>600</v>
      </c>
      <c r="E847">
        <v>0</v>
      </c>
      <c r="F847">
        <v>9.52</v>
      </c>
      <c r="G847">
        <v>69.658536585365852</v>
      </c>
      <c r="H847" s="84">
        <v>0</v>
      </c>
      <c r="I847">
        <v>288</v>
      </c>
    </row>
    <row r="848" spans="1:9">
      <c r="A848" t="s">
        <v>178</v>
      </c>
      <c r="B848" t="s">
        <v>178</v>
      </c>
      <c r="C848" t="s">
        <v>178</v>
      </c>
      <c r="D848" t="s">
        <v>178</v>
      </c>
      <c r="E848" t="s">
        <v>178</v>
      </c>
      <c r="F848" t="s">
        <v>178</v>
      </c>
      <c r="G848" t="s">
        <v>178</v>
      </c>
      <c r="H848" s="84" t="s">
        <v>178</v>
      </c>
      <c r="I848" t="s">
        <v>178</v>
      </c>
    </row>
    <row r="849" spans="1:9">
      <c r="A849" t="s">
        <v>1175</v>
      </c>
      <c r="B849" t="s">
        <v>203</v>
      </c>
      <c r="C849">
        <v>0</v>
      </c>
      <c r="D849">
        <v>659</v>
      </c>
      <c r="E849">
        <v>0</v>
      </c>
      <c r="F849">
        <v>8.52</v>
      </c>
      <c r="G849">
        <v>68.471707317073168</v>
      </c>
      <c r="H849" s="84">
        <v>0</v>
      </c>
      <c r="I849">
        <v>288</v>
      </c>
    </row>
    <row r="850" spans="1:9">
      <c r="A850" t="s">
        <v>178</v>
      </c>
      <c r="B850" t="s">
        <v>178</v>
      </c>
      <c r="C850" t="s">
        <v>178</v>
      </c>
      <c r="D850" t="s">
        <v>178</v>
      </c>
      <c r="E850" t="s">
        <v>178</v>
      </c>
      <c r="F850" t="s">
        <v>178</v>
      </c>
      <c r="G850" t="s">
        <v>178</v>
      </c>
      <c r="H850" s="84" t="s">
        <v>178</v>
      </c>
      <c r="I850" t="s">
        <v>178</v>
      </c>
    </row>
    <row r="851" spans="1:9">
      <c r="A851" t="s">
        <v>178</v>
      </c>
      <c r="B851" t="s">
        <v>178</v>
      </c>
      <c r="C851" t="s">
        <v>178</v>
      </c>
      <c r="D851" t="s">
        <v>178</v>
      </c>
      <c r="E851" t="s">
        <v>178</v>
      </c>
      <c r="F851" t="s">
        <v>178</v>
      </c>
      <c r="G851" t="s">
        <v>178</v>
      </c>
      <c r="H851" s="84" t="s">
        <v>178</v>
      </c>
      <c r="I851" t="s">
        <v>178</v>
      </c>
    </row>
    <row r="852" spans="1:9">
      <c r="A852" t="s">
        <v>178</v>
      </c>
      <c r="B852" t="s">
        <v>178</v>
      </c>
      <c r="C852" t="s">
        <v>178</v>
      </c>
      <c r="D852" t="s">
        <v>178</v>
      </c>
      <c r="E852" t="s">
        <v>178</v>
      </c>
      <c r="F852" t="s">
        <v>178</v>
      </c>
      <c r="G852" t="s">
        <v>178</v>
      </c>
      <c r="H852" s="84" t="s">
        <v>178</v>
      </c>
      <c r="I852" t="s">
        <v>178</v>
      </c>
    </row>
    <row r="853" spans="1:9">
      <c r="A853" t="s">
        <v>1179</v>
      </c>
      <c r="B853" t="s">
        <v>210</v>
      </c>
      <c r="C853">
        <v>0</v>
      </c>
      <c r="D853">
        <v>594</v>
      </c>
      <c r="E853">
        <v>0</v>
      </c>
      <c r="F853">
        <v>9.11</v>
      </c>
      <c r="G853">
        <v>65.991951219512188</v>
      </c>
      <c r="H853" s="84">
        <v>0</v>
      </c>
      <c r="I853">
        <v>288</v>
      </c>
    </row>
    <row r="854" spans="1:9">
      <c r="A854" t="s">
        <v>178</v>
      </c>
      <c r="B854" t="s">
        <v>178</v>
      </c>
      <c r="C854" t="s">
        <v>178</v>
      </c>
      <c r="D854" t="s">
        <v>178</v>
      </c>
      <c r="E854" t="s">
        <v>178</v>
      </c>
      <c r="F854" t="s">
        <v>178</v>
      </c>
      <c r="G854" t="s">
        <v>178</v>
      </c>
      <c r="H854" s="84" t="s">
        <v>178</v>
      </c>
      <c r="I854" t="s">
        <v>178</v>
      </c>
    </row>
    <row r="855" spans="1:9">
      <c r="A855" t="s">
        <v>178</v>
      </c>
      <c r="B855" t="s">
        <v>178</v>
      </c>
      <c r="C855" t="s">
        <v>178</v>
      </c>
      <c r="D855" t="s">
        <v>178</v>
      </c>
      <c r="E855" t="s">
        <v>178</v>
      </c>
      <c r="F855" t="s">
        <v>178</v>
      </c>
      <c r="G855" t="s">
        <v>178</v>
      </c>
      <c r="H855" s="84" t="s">
        <v>178</v>
      </c>
      <c r="I855" t="s">
        <v>178</v>
      </c>
    </row>
    <row r="856" spans="1:9">
      <c r="A856" t="s">
        <v>1182</v>
      </c>
      <c r="B856" t="s">
        <v>206</v>
      </c>
      <c r="C856">
        <v>0</v>
      </c>
      <c r="D856">
        <v>642</v>
      </c>
      <c r="E856">
        <v>0</v>
      </c>
      <c r="F856">
        <v>9.99</v>
      </c>
      <c r="G856">
        <v>78.214390243902443</v>
      </c>
      <c r="H856" s="84">
        <v>0</v>
      </c>
      <c r="I856">
        <v>288</v>
      </c>
    </row>
    <row r="857" spans="1:9">
      <c r="A857" t="s">
        <v>178</v>
      </c>
      <c r="B857" t="s">
        <v>178</v>
      </c>
      <c r="C857" t="s">
        <v>178</v>
      </c>
      <c r="D857" t="s">
        <v>178</v>
      </c>
      <c r="E857" t="s">
        <v>178</v>
      </c>
      <c r="F857" t="s">
        <v>178</v>
      </c>
      <c r="G857" t="s">
        <v>178</v>
      </c>
      <c r="H857" s="84" t="s">
        <v>178</v>
      </c>
      <c r="I857" t="s">
        <v>178</v>
      </c>
    </row>
    <row r="858" spans="1:9">
      <c r="A858" t="s">
        <v>178</v>
      </c>
      <c r="B858" t="s">
        <v>178</v>
      </c>
      <c r="C858" t="s">
        <v>178</v>
      </c>
      <c r="D858" t="s">
        <v>178</v>
      </c>
      <c r="E858" t="s">
        <v>178</v>
      </c>
      <c r="F858" t="s">
        <v>178</v>
      </c>
      <c r="G858" t="s">
        <v>178</v>
      </c>
      <c r="H858" s="84" t="s">
        <v>178</v>
      </c>
      <c r="I858" t="s">
        <v>178</v>
      </c>
    </row>
    <row r="859" spans="1:9">
      <c r="A859" t="s">
        <v>178</v>
      </c>
      <c r="B859" t="s">
        <v>178</v>
      </c>
      <c r="C859" t="s">
        <v>178</v>
      </c>
      <c r="D859" t="s">
        <v>178</v>
      </c>
      <c r="E859" t="s">
        <v>178</v>
      </c>
      <c r="F859" t="s">
        <v>178</v>
      </c>
      <c r="G859" t="s">
        <v>178</v>
      </c>
      <c r="H859" s="84" t="s">
        <v>178</v>
      </c>
      <c r="I859" t="s">
        <v>178</v>
      </c>
    </row>
    <row r="860" spans="1:9">
      <c r="A860" t="s">
        <v>178</v>
      </c>
      <c r="B860" t="s">
        <v>178</v>
      </c>
      <c r="C860" t="s">
        <v>178</v>
      </c>
      <c r="D860" t="s">
        <v>178</v>
      </c>
      <c r="E860" t="s">
        <v>178</v>
      </c>
      <c r="F860" t="s">
        <v>178</v>
      </c>
      <c r="G860" t="s">
        <v>178</v>
      </c>
      <c r="H860" s="84" t="s">
        <v>178</v>
      </c>
      <c r="I860" t="s">
        <v>178</v>
      </c>
    </row>
    <row r="861" spans="1:9">
      <c r="A861" t="s">
        <v>1187</v>
      </c>
      <c r="B861" t="s">
        <v>203</v>
      </c>
      <c r="C861">
        <v>0</v>
      </c>
      <c r="D861">
        <v>659</v>
      </c>
      <c r="E861">
        <v>0</v>
      </c>
      <c r="F861">
        <v>8.52</v>
      </c>
      <c r="G861">
        <v>68.471707317073168</v>
      </c>
      <c r="H861" s="84">
        <v>0</v>
      </c>
      <c r="I861">
        <v>288</v>
      </c>
    </row>
    <row r="862" spans="1:9">
      <c r="A862" t="s">
        <v>178</v>
      </c>
      <c r="B862" t="s">
        <v>178</v>
      </c>
      <c r="C862" t="s">
        <v>178</v>
      </c>
      <c r="D862" t="s">
        <v>178</v>
      </c>
      <c r="E862" t="s">
        <v>178</v>
      </c>
      <c r="F862" t="s">
        <v>178</v>
      </c>
      <c r="G862" t="s">
        <v>178</v>
      </c>
      <c r="H862" s="84" t="s">
        <v>178</v>
      </c>
      <c r="I862" t="s">
        <v>178</v>
      </c>
    </row>
    <row r="863" spans="1:9">
      <c r="A863" t="s">
        <v>178</v>
      </c>
      <c r="B863" t="s">
        <v>178</v>
      </c>
      <c r="C863" t="s">
        <v>178</v>
      </c>
      <c r="D863" t="s">
        <v>178</v>
      </c>
      <c r="E863" t="s">
        <v>178</v>
      </c>
      <c r="F863" t="s">
        <v>178</v>
      </c>
      <c r="G863" t="s">
        <v>178</v>
      </c>
      <c r="H863" s="84" t="s">
        <v>178</v>
      </c>
      <c r="I863" t="s">
        <v>178</v>
      </c>
    </row>
    <row r="864" spans="1:9">
      <c r="A864" t="s">
        <v>178</v>
      </c>
      <c r="B864" t="s">
        <v>178</v>
      </c>
      <c r="C864" t="s">
        <v>178</v>
      </c>
      <c r="D864" t="s">
        <v>178</v>
      </c>
      <c r="E864" t="s">
        <v>178</v>
      </c>
      <c r="F864" t="s">
        <v>178</v>
      </c>
      <c r="G864" t="s">
        <v>178</v>
      </c>
      <c r="H864" s="84" t="s">
        <v>178</v>
      </c>
      <c r="I864" t="s">
        <v>178</v>
      </c>
    </row>
    <row r="865" spans="1:9">
      <c r="A865" t="s">
        <v>1191</v>
      </c>
      <c r="B865" t="s">
        <v>210</v>
      </c>
      <c r="C865">
        <v>0</v>
      </c>
      <c r="D865">
        <v>594</v>
      </c>
      <c r="E865">
        <v>0</v>
      </c>
      <c r="F865">
        <v>9.11</v>
      </c>
      <c r="G865">
        <v>65.991951219512188</v>
      </c>
      <c r="H865" s="84">
        <v>0</v>
      </c>
      <c r="I865">
        <v>288</v>
      </c>
    </row>
    <row r="866" spans="1:9">
      <c r="A866" t="s">
        <v>178</v>
      </c>
      <c r="B866" t="s">
        <v>178</v>
      </c>
      <c r="C866" t="s">
        <v>178</v>
      </c>
      <c r="D866" t="s">
        <v>178</v>
      </c>
      <c r="E866" t="s">
        <v>178</v>
      </c>
      <c r="F866" t="s">
        <v>178</v>
      </c>
      <c r="G866" t="s">
        <v>178</v>
      </c>
      <c r="H866" s="84" t="s">
        <v>178</v>
      </c>
      <c r="I866" t="s">
        <v>178</v>
      </c>
    </row>
    <row r="867" spans="1:9">
      <c r="A867" t="s">
        <v>178</v>
      </c>
      <c r="B867" t="s">
        <v>178</v>
      </c>
      <c r="C867" t="s">
        <v>178</v>
      </c>
      <c r="D867" t="s">
        <v>178</v>
      </c>
      <c r="E867" t="s">
        <v>178</v>
      </c>
      <c r="F867" t="s">
        <v>178</v>
      </c>
      <c r="G867" t="s">
        <v>178</v>
      </c>
      <c r="H867" s="84" t="s">
        <v>178</v>
      </c>
      <c r="I867" t="s">
        <v>178</v>
      </c>
    </row>
    <row r="868" spans="1:9">
      <c r="A868" t="s">
        <v>178</v>
      </c>
      <c r="B868" t="s">
        <v>178</v>
      </c>
      <c r="C868" t="s">
        <v>178</v>
      </c>
      <c r="D868" t="s">
        <v>178</v>
      </c>
      <c r="E868" t="s">
        <v>178</v>
      </c>
      <c r="F868" t="s">
        <v>178</v>
      </c>
      <c r="G868" t="s">
        <v>178</v>
      </c>
      <c r="H868" s="84" t="s">
        <v>178</v>
      </c>
      <c r="I868" t="s">
        <v>178</v>
      </c>
    </row>
    <row r="869" spans="1:9">
      <c r="A869" t="s">
        <v>178</v>
      </c>
      <c r="B869" t="s">
        <v>178</v>
      </c>
      <c r="C869" t="s">
        <v>178</v>
      </c>
      <c r="D869" t="s">
        <v>178</v>
      </c>
      <c r="E869" t="s">
        <v>178</v>
      </c>
      <c r="F869" t="s">
        <v>178</v>
      </c>
      <c r="G869" t="s">
        <v>178</v>
      </c>
      <c r="H869" s="84" t="s">
        <v>178</v>
      </c>
      <c r="I869" t="s">
        <v>178</v>
      </c>
    </row>
    <row r="870" spans="1:9">
      <c r="A870" t="s">
        <v>178</v>
      </c>
      <c r="B870" t="s">
        <v>178</v>
      </c>
      <c r="C870" t="s">
        <v>178</v>
      </c>
      <c r="D870" t="s">
        <v>178</v>
      </c>
      <c r="E870" t="s">
        <v>178</v>
      </c>
      <c r="F870" t="s">
        <v>178</v>
      </c>
      <c r="G870" t="s">
        <v>178</v>
      </c>
      <c r="H870" s="84" t="s">
        <v>178</v>
      </c>
      <c r="I870" t="s">
        <v>178</v>
      </c>
    </row>
    <row r="871" spans="1:9">
      <c r="A871" t="s">
        <v>178</v>
      </c>
      <c r="B871" t="s">
        <v>178</v>
      </c>
      <c r="C871" t="s">
        <v>178</v>
      </c>
      <c r="D871" t="s">
        <v>178</v>
      </c>
      <c r="E871" t="s">
        <v>178</v>
      </c>
      <c r="F871" t="s">
        <v>178</v>
      </c>
      <c r="G871" t="s">
        <v>178</v>
      </c>
      <c r="H871" s="84" t="s">
        <v>178</v>
      </c>
      <c r="I871" t="s">
        <v>178</v>
      </c>
    </row>
    <row r="872" spans="1:9">
      <c r="A872" t="s">
        <v>178</v>
      </c>
      <c r="B872" t="s">
        <v>178</v>
      </c>
      <c r="C872" t="s">
        <v>178</v>
      </c>
      <c r="D872" t="s">
        <v>178</v>
      </c>
      <c r="E872" t="s">
        <v>178</v>
      </c>
      <c r="F872" t="s">
        <v>178</v>
      </c>
      <c r="G872" t="s">
        <v>178</v>
      </c>
      <c r="H872" s="84" t="s">
        <v>178</v>
      </c>
      <c r="I872" t="s">
        <v>178</v>
      </c>
    </row>
    <row r="873" spans="1:9">
      <c r="A873" t="s">
        <v>178</v>
      </c>
      <c r="B873" t="s">
        <v>178</v>
      </c>
      <c r="C873" t="s">
        <v>178</v>
      </c>
      <c r="D873" t="s">
        <v>178</v>
      </c>
      <c r="E873" t="s">
        <v>178</v>
      </c>
      <c r="F873" t="s">
        <v>178</v>
      </c>
      <c r="G873" t="s">
        <v>178</v>
      </c>
      <c r="H873" s="84" t="s">
        <v>178</v>
      </c>
      <c r="I873" t="s">
        <v>178</v>
      </c>
    </row>
    <row r="874" spans="1:9">
      <c r="A874" t="s">
        <v>1200</v>
      </c>
      <c r="B874" t="s">
        <v>202</v>
      </c>
      <c r="C874">
        <v>0</v>
      </c>
      <c r="D874">
        <v>601</v>
      </c>
      <c r="E874">
        <v>0</v>
      </c>
      <c r="F874">
        <v>8.74</v>
      </c>
      <c r="G874">
        <v>64.057804878048785</v>
      </c>
      <c r="H874" s="84">
        <v>0</v>
      </c>
      <c r="I874">
        <v>288</v>
      </c>
    </row>
    <row r="875" spans="1:9">
      <c r="A875" t="s">
        <v>178</v>
      </c>
      <c r="B875" t="s">
        <v>178</v>
      </c>
      <c r="C875" t="s">
        <v>178</v>
      </c>
      <c r="D875" t="s">
        <v>178</v>
      </c>
      <c r="E875" t="s">
        <v>178</v>
      </c>
      <c r="F875" t="s">
        <v>178</v>
      </c>
      <c r="G875" t="s">
        <v>178</v>
      </c>
      <c r="H875" s="84" t="s">
        <v>178</v>
      </c>
      <c r="I875" t="s">
        <v>178</v>
      </c>
    </row>
    <row r="876" spans="1:9">
      <c r="A876" t="s">
        <v>178</v>
      </c>
      <c r="B876" t="s">
        <v>178</v>
      </c>
      <c r="C876" t="s">
        <v>178</v>
      </c>
      <c r="D876" t="s">
        <v>178</v>
      </c>
      <c r="E876" t="s">
        <v>178</v>
      </c>
      <c r="F876" t="s">
        <v>178</v>
      </c>
      <c r="G876" t="s">
        <v>178</v>
      </c>
      <c r="H876" s="84" t="s">
        <v>178</v>
      </c>
      <c r="I876" t="s">
        <v>178</v>
      </c>
    </row>
    <row r="877" spans="1:9">
      <c r="A877" t="s">
        <v>178</v>
      </c>
      <c r="B877" t="s">
        <v>178</v>
      </c>
      <c r="C877" t="s">
        <v>178</v>
      </c>
      <c r="D877" t="s">
        <v>178</v>
      </c>
      <c r="E877" t="s">
        <v>178</v>
      </c>
      <c r="F877" t="s">
        <v>178</v>
      </c>
      <c r="G877" t="s">
        <v>178</v>
      </c>
      <c r="H877" s="84" t="s">
        <v>178</v>
      </c>
      <c r="I877" t="s">
        <v>178</v>
      </c>
    </row>
    <row r="878" spans="1:9">
      <c r="A878" t="s">
        <v>1204</v>
      </c>
      <c r="B878" t="s">
        <v>203</v>
      </c>
      <c r="C878">
        <v>0</v>
      </c>
      <c r="D878">
        <v>659</v>
      </c>
      <c r="E878">
        <v>0</v>
      </c>
      <c r="F878">
        <v>8.52</v>
      </c>
      <c r="G878">
        <v>68.471707317073168</v>
      </c>
      <c r="H878" s="84">
        <v>0</v>
      </c>
      <c r="I878">
        <v>288</v>
      </c>
    </row>
    <row r="879" spans="1:9">
      <c r="A879" t="s">
        <v>178</v>
      </c>
      <c r="B879" t="s">
        <v>178</v>
      </c>
      <c r="C879" t="s">
        <v>178</v>
      </c>
      <c r="D879" t="s">
        <v>178</v>
      </c>
      <c r="E879" t="s">
        <v>178</v>
      </c>
      <c r="F879" t="s">
        <v>178</v>
      </c>
      <c r="G879" t="s">
        <v>178</v>
      </c>
      <c r="H879" s="84" t="s">
        <v>178</v>
      </c>
      <c r="I879" t="s">
        <v>178</v>
      </c>
    </row>
    <row r="880" spans="1:9">
      <c r="A880" t="s">
        <v>178</v>
      </c>
      <c r="B880" t="s">
        <v>178</v>
      </c>
      <c r="C880" t="s">
        <v>178</v>
      </c>
      <c r="D880" t="s">
        <v>178</v>
      </c>
      <c r="E880" t="s">
        <v>178</v>
      </c>
      <c r="F880" t="s">
        <v>178</v>
      </c>
      <c r="G880" t="s">
        <v>178</v>
      </c>
      <c r="H880" s="84" t="s">
        <v>178</v>
      </c>
      <c r="I880" t="s">
        <v>178</v>
      </c>
    </row>
    <row r="881" spans="1:9">
      <c r="A881" t="s">
        <v>178</v>
      </c>
      <c r="B881" t="s">
        <v>178</v>
      </c>
      <c r="C881" t="s">
        <v>178</v>
      </c>
      <c r="D881" t="s">
        <v>178</v>
      </c>
      <c r="E881" t="s">
        <v>178</v>
      </c>
      <c r="F881" t="s">
        <v>178</v>
      </c>
      <c r="G881" t="s">
        <v>178</v>
      </c>
      <c r="H881" s="84" t="s">
        <v>178</v>
      </c>
      <c r="I881" t="s">
        <v>178</v>
      </c>
    </row>
    <row r="882" spans="1:9">
      <c r="A882" t="s">
        <v>178</v>
      </c>
      <c r="B882" t="s">
        <v>178</v>
      </c>
      <c r="C882" t="s">
        <v>178</v>
      </c>
      <c r="D882" t="s">
        <v>178</v>
      </c>
      <c r="E882" t="s">
        <v>178</v>
      </c>
      <c r="F882" t="s">
        <v>178</v>
      </c>
      <c r="G882" t="s">
        <v>178</v>
      </c>
      <c r="H882" s="84" t="s">
        <v>178</v>
      </c>
      <c r="I882" t="s">
        <v>178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593"/>
  <sheetViews>
    <sheetView workbookViewId="0">
      <selection activeCell="D5" sqref="D5"/>
    </sheetView>
  </sheetViews>
  <sheetFormatPr defaultRowHeight="15"/>
  <sheetData>
    <row r="1" spans="1:3" ht="15" customHeight="1">
      <c r="A1" t="s">
        <v>1213</v>
      </c>
      <c r="B1" t="s">
        <v>1211</v>
      </c>
      <c r="C1" t="s">
        <v>270</v>
      </c>
    </row>
    <row r="2" spans="1:3">
      <c r="A2" t="s">
        <v>321</v>
      </c>
      <c r="B2" s="84">
        <v>14.913658536585368</v>
      </c>
      <c r="C2">
        <v>1</v>
      </c>
    </row>
    <row r="3" spans="1:3" ht="15" customHeight="1">
      <c r="A3" t="s">
        <v>322</v>
      </c>
      <c r="B3" s="84">
        <v>9.7521951219512193</v>
      </c>
      <c r="C3">
        <v>5</v>
      </c>
    </row>
    <row r="4" spans="1:3" ht="15" customHeight="1">
      <c r="A4" t="s">
        <v>329</v>
      </c>
      <c r="B4" s="84">
        <v>9.2590243902439031</v>
      </c>
      <c r="C4">
        <v>6</v>
      </c>
    </row>
    <row r="5" spans="1:3">
      <c r="A5" t="s">
        <v>333</v>
      </c>
      <c r="B5" s="84">
        <v>10.041951219512194</v>
      </c>
      <c r="C5">
        <v>4</v>
      </c>
    </row>
    <row r="6" spans="1:3" ht="15" customHeight="1">
      <c r="A6" t="s">
        <v>334</v>
      </c>
      <c r="B6" s="84">
        <v>8.8935365853658546</v>
      </c>
      <c r="C6">
        <v>7</v>
      </c>
    </row>
    <row r="7" spans="1:3">
      <c r="A7" t="s">
        <v>341</v>
      </c>
      <c r="B7" s="84">
        <v>8.126829268292683</v>
      </c>
      <c r="C7">
        <v>17</v>
      </c>
    </row>
    <row r="8" spans="1:3" ht="18" customHeight="1">
      <c r="A8" t="s">
        <v>342</v>
      </c>
      <c r="B8" s="84">
        <v>13.026829268292683</v>
      </c>
      <c r="C8">
        <v>2</v>
      </c>
    </row>
    <row r="9" spans="1:3">
      <c r="A9" t="s">
        <v>343</v>
      </c>
      <c r="B9" s="84">
        <v>7.1692682926829265</v>
      </c>
      <c r="C9">
        <v>28</v>
      </c>
    </row>
    <row r="10" spans="1:3" ht="15" customHeight="1">
      <c r="A10" t="s">
        <v>347</v>
      </c>
      <c r="B10" s="84">
        <v>7.7670731707317078</v>
      </c>
      <c r="C10">
        <v>19</v>
      </c>
    </row>
    <row r="11" spans="1:3">
      <c r="A11" t="s">
        <v>348</v>
      </c>
      <c r="B11" s="84">
        <v>7.0346341463414639</v>
      </c>
      <c r="C11">
        <v>31</v>
      </c>
    </row>
    <row r="12" spans="1:3" ht="15" customHeight="1">
      <c r="A12" t="s">
        <v>349</v>
      </c>
      <c r="B12" s="84">
        <v>8.8778048780487797</v>
      </c>
      <c r="C12">
        <v>8</v>
      </c>
    </row>
    <row r="13" spans="1:3" ht="18" customHeight="1">
      <c r="A13" t="s">
        <v>351</v>
      </c>
      <c r="B13" s="84">
        <v>7.649390243902439</v>
      </c>
      <c r="C13">
        <v>21</v>
      </c>
    </row>
    <row r="14" spans="1:3">
      <c r="A14" t="s">
        <v>354</v>
      </c>
      <c r="B14" s="84">
        <v>8.6087804878048786</v>
      </c>
      <c r="C14">
        <v>14</v>
      </c>
    </row>
    <row r="15" spans="1:3" ht="18" customHeight="1">
      <c r="A15" t="s">
        <v>355</v>
      </c>
      <c r="B15" s="84">
        <v>8.8039024390243892</v>
      </c>
      <c r="C15">
        <v>10</v>
      </c>
    </row>
    <row r="16" spans="1:3" ht="15" customHeight="1">
      <c r="A16" t="s">
        <v>358</v>
      </c>
      <c r="B16" s="84">
        <v>6.8214634146341471</v>
      </c>
      <c r="C16">
        <v>35</v>
      </c>
    </row>
    <row r="17" spans="1:3">
      <c r="A17" t="s">
        <v>359</v>
      </c>
      <c r="B17" s="84">
        <v>8.6087804878048786</v>
      </c>
      <c r="C17">
        <v>14</v>
      </c>
    </row>
    <row r="18" spans="1:3">
      <c r="A18" t="s">
        <v>361</v>
      </c>
      <c r="B18" s="84">
        <v>8.6663414634146338</v>
      </c>
      <c r="C18">
        <v>13</v>
      </c>
    </row>
    <row r="19" spans="1:3">
      <c r="A19" t="s">
        <v>363</v>
      </c>
      <c r="B19" s="84">
        <v>7.6752439024390249</v>
      </c>
      <c r="C19">
        <v>20</v>
      </c>
    </row>
    <row r="20" spans="1:3">
      <c r="A20" t="s">
        <v>366</v>
      </c>
      <c r="B20" s="84">
        <v>6.8880487804878037</v>
      </c>
      <c r="C20">
        <v>33</v>
      </c>
    </row>
    <row r="21" spans="1:3" ht="15" customHeight="1">
      <c r="A21" t="s">
        <v>369</v>
      </c>
      <c r="B21" s="84">
        <v>8.3397560975609757</v>
      </c>
      <c r="C21">
        <v>16</v>
      </c>
    </row>
    <row r="22" spans="1:3">
      <c r="A22" t="s">
        <v>372</v>
      </c>
      <c r="B22" s="84">
        <v>6.501707317073171</v>
      </c>
      <c r="C22">
        <v>38</v>
      </c>
    </row>
    <row r="23" spans="1:3" ht="15" customHeight="1">
      <c r="A23" t="s">
        <v>373</v>
      </c>
      <c r="B23" s="84">
        <v>6.7769512195121946</v>
      </c>
      <c r="C23">
        <v>36</v>
      </c>
    </row>
    <row r="24" spans="1:3" ht="15" customHeight="1">
      <c r="A24" t="s">
        <v>375</v>
      </c>
      <c r="B24" s="84">
        <v>6.234146341463414</v>
      </c>
      <c r="C24">
        <v>50</v>
      </c>
    </row>
    <row r="25" spans="1:3">
      <c r="A25" t="s">
        <v>382</v>
      </c>
      <c r="B25" s="84">
        <v>7.9785365853658528</v>
      </c>
      <c r="C25">
        <v>18</v>
      </c>
    </row>
    <row r="26" spans="1:3" ht="15" customHeight="1">
      <c r="A26" t="s">
        <v>387</v>
      </c>
      <c r="B26" s="84">
        <v>6.5902439024390249</v>
      </c>
      <c r="C26">
        <v>37</v>
      </c>
    </row>
    <row r="27" spans="1:3">
      <c r="A27" t="s">
        <v>392</v>
      </c>
      <c r="B27" s="84">
        <v>10.235365853658537</v>
      </c>
      <c r="C27">
        <v>3</v>
      </c>
    </row>
    <row r="28" spans="1:3" ht="15" customHeight="1">
      <c r="A28" t="s">
        <v>393</v>
      </c>
      <c r="B28" s="84">
        <v>7.5658536585365841</v>
      </c>
      <c r="C28">
        <v>22</v>
      </c>
    </row>
    <row r="29" spans="1:3">
      <c r="A29" t="s">
        <v>396</v>
      </c>
      <c r="B29" s="84">
        <v>5.7146341463414636</v>
      </c>
      <c r="C29">
        <v>60</v>
      </c>
    </row>
    <row r="30" spans="1:3">
      <c r="A30" t="s">
        <v>398</v>
      </c>
      <c r="B30" s="84">
        <v>7.2636585365853668</v>
      </c>
      <c r="C30">
        <v>25</v>
      </c>
    </row>
    <row r="31" spans="1:3" ht="15" customHeight="1">
      <c r="A31" t="s">
        <v>399</v>
      </c>
      <c r="B31" s="84">
        <v>7.2636585365853659</v>
      </c>
      <c r="C31">
        <v>26</v>
      </c>
    </row>
    <row r="32" spans="1:3">
      <c r="A32" t="s">
        <v>402</v>
      </c>
      <c r="B32" s="84">
        <v>6.3548780487804875</v>
      </c>
      <c r="C32">
        <v>42</v>
      </c>
    </row>
    <row r="33" spans="1:3" ht="15" customHeight="1">
      <c r="A33" t="s">
        <v>403</v>
      </c>
      <c r="B33" s="84">
        <v>6.2692682926829262</v>
      </c>
      <c r="C33">
        <v>49</v>
      </c>
    </row>
    <row r="34" spans="1:3">
      <c r="A34" t="s">
        <v>406</v>
      </c>
      <c r="B34" s="84">
        <v>5.5424390243902444</v>
      </c>
      <c r="C34">
        <v>61</v>
      </c>
    </row>
    <row r="35" spans="1:3" ht="15" customHeight="1">
      <c r="A35" t="s">
        <v>407</v>
      </c>
      <c r="B35" s="84">
        <v>5.4029268292682922</v>
      </c>
      <c r="C35">
        <v>63</v>
      </c>
    </row>
    <row r="36" spans="1:3">
      <c r="A36" t="s">
        <v>408</v>
      </c>
      <c r="B36" s="84">
        <v>5.7770731707317067</v>
      </c>
      <c r="C36">
        <v>57</v>
      </c>
    </row>
    <row r="37" spans="1:3" ht="15" customHeight="1">
      <c r="A37" t="s">
        <v>409</v>
      </c>
      <c r="B37" s="84">
        <v>6.9946341463414639</v>
      </c>
      <c r="C37">
        <v>32</v>
      </c>
    </row>
    <row r="38" spans="1:3">
      <c r="A38" t="s">
        <v>410</v>
      </c>
      <c r="B38" s="84">
        <v>5.4029268292682922</v>
      </c>
      <c r="C38">
        <v>63</v>
      </c>
    </row>
    <row r="39" spans="1:3" ht="15" customHeight="1">
      <c r="A39" t="s">
        <v>411</v>
      </c>
      <c r="B39" s="84">
        <v>8.8441463414634143</v>
      </c>
      <c r="C39">
        <v>9</v>
      </c>
    </row>
    <row r="40" spans="1:3">
      <c r="A40" t="s">
        <v>412</v>
      </c>
      <c r="B40" s="84">
        <v>5.9209756097560975</v>
      </c>
      <c r="C40">
        <v>56</v>
      </c>
    </row>
    <row r="41" spans="1:3">
      <c r="A41" t="s">
        <v>414</v>
      </c>
      <c r="B41" s="84">
        <v>8.6707317073170742</v>
      </c>
      <c r="C41">
        <v>12</v>
      </c>
    </row>
    <row r="42" spans="1:3" ht="15" customHeight="1">
      <c r="A42" t="s">
        <v>417</v>
      </c>
      <c r="B42" s="84">
        <v>5.0912195121951216</v>
      </c>
      <c r="C42">
        <v>72</v>
      </c>
    </row>
    <row r="43" spans="1:3">
      <c r="A43" t="s">
        <v>418</v>
      </c>
      <c r="B43" s="84">
        <v>5.4437804878048777</v>
      </c>
      <c r="C43">
        <v>62</v>
      </c>
    </row>
    <row r="44" spans="1:3" ht="15" customHeight="1">
      <c r="A44" t="s">
        <v>421</v>
      </c>
      <c r="B44" s="84">
        <v>6.4565853658536581</v>
      </c>
      <c r="C44">
        <v>40</v>
      </c>
    </row>
    <row r="45" spans="1:3">
      <c r="A45" t="s">
        <v>422</v>
      </c>
      <c r="B45" s="84">
        <v>6.4565853658536589</v>
      </c>
      <c r="C45">
        <v>39</v>
      </c>
    </row>
    <row r="46" spans="1:3">
      <c r="A46" t="s">
        <v>428</v>
      </c>
      <c r="B46" s="84">
        <v>8.7465853658536599</v>
      </c>
      <c r="C46">
        <v>11</v>
      </c>
    </row>
    <row r="47" spans="1:3" ht="15" customHeight="1">
      <c r="A47" t="s">
        <v>433</v>
      </c>
      <c r="B47" s="84">
        <v>6.3278048780487808</v>
      </c>
      <c r="C47">
        <v>43</v>
      </c>
    </row>
    <row r="48" spans="1:3">
      <c r="A48" t="s">
        <v>436</v>
      </c>
      <c r="B48" s="84">
        <v>6.187560975609756</v>
      </c>
      <c r="C48">
        <v>51</v>
      </c>
    </row>
    <row r="49" spans="1:3">
      <c r="A49" t="s">
        <v>438</v>
      </c>
      <c r="B49" s="84">
        <v>4.779512195121951</v>
      </c>
      <c r="C49">
        <v>79</v>
      </c>
    </row>
    <row r="50" spans="1:3" ht="15" customHeight="1">
      <c r="A50" t="s">
        <v>439</v>
      </c>
      <c r="B50" s="84">
        <v>6.3278048780487808</v>
      </c>
      <c r="C50">
        <v>43</v>
      </c>
    </row>
    <row r="51" spans="1:3">
      <c r="A51" t="s">
        <v>440</v>
      </c>
      <c r="B51" s="84">
        <v>4.6756097560975602</v>
      </c>
      <c r="C51">
        <v>84</v>
      </c>
    </row>
    <row r="52" spans="1:3">
      <c r="A52" t="s">
        <v>442</v>
      </c>
      <c r="B52" s="84">
        <v>4.7963414634146346</v>
      </c>
      <c r="C52">
        <v>78</v>
      </c>
    </row>
    <row r="53" spans="1:3">
      <c r="A53" t="s">
        <v>444</v>
      </c>
      <c r="B53" s="84">
        <v>4.9993902439024387</v>
      </c>
      <c r="C53">
        <v>74</v>
      </c>
    </row>
    <row r="54" spans="1:3" ht="15" customHeight="1">
      <c r="A54" t="s">
        <v>445</v>
      </c>
      <c r="B54" s="84">
        <v>5.1780487804878046</v>
      </c>
      <c r="C54">
        <v>69</v>
      </c>
    </row>
    <row r="55" spans="1:3">
      <c r="A55" t="s">
        <v>446</v>
      </c>
      <c r="B55" s="84">
        <v>6.0526829268292675</v>
      </c>
      <c r="C55">
        <v>53</v>
      </c>
    </row>
    <row r="56" spans="1:3" ht="15" customHeight="1">
      <c r="A56" t="s">
        <v>447</v>
      </c>
      <c r="B56" s="84">
        <v>5.1780487804878046</v>
      </c>
      <c r="C56">
        <v>69</v>
      </c>
    </row>
    <row r="57" spans="1:3" ht="15" customHeight="1">
      <c r="A57" t="s">
        <v>449</v>
      </c>
      <c r="B57" s="84">
        <v>6.0526829268292675</v>
      </c>
      <c r="C57">
        <v>53</v>
      </c>
    </row>
    <row r="58" spans="1:3">
      <c r="A58" t="s">
        <v>454</v>
      </c>
      <c r="B58" s="84">
        <v>7.456829268292684</v>
      </c>
      <c r="C58">
        <v>23</v>
      </c>
    </row>
    <row r="59" spans="1:3">
      <c r="A59" t="s">
        <v>456</v>
      </c>
      <c r="B59" s="84">
        <v>4.7771951219512196</v>
      </c>
      <c r="C59">
        <v>80</v>
      </c>
    </row>
    <row r="60" spans="1:3" ht="15" customHeight="1">
      <c r="A60" t="s">
        <v>457</v>
      </c>
      <c r="B60" s="84">
        <v>4.5831707317073178</v>
      </c>
      <c r="C60">
        <v>88</v>
      </c>
    </row>
    <row r="61" spans="1:3">
      <c r="A61" t="s">
        <v>464</v>
      </c>
      <c r="B61" s="84">
        <v>7.2834146341463422</v>
      </c>
      <c r="C61">
        <v>24</v>
      </c>
    </row>
    <row r="62" spans="1:3" ht="15" customHeight="1">
      <c r="A62" t="s">
        <v>465</v>
      </c>
      <c r="B62" s="84">
        <v>4.6660975609756088</v>
      </c>
      <c r="C62">
        <v>85</v>
      </c>
    </row>
    <row r="63" spans="1:3">
      <c r="A63" t="s">
        <v>468</v>
      </c>
      <c r="B63" s="84">
        <v>4.5549999999999997</v>
      </c>
      <c r="C63">
        <v>90</v>
      </c>
    </row>
    <row r="64" spans="1:3" ht="15" customHeight="1">
      <c r="A64" t="s">
        <v>469</v>
      </c>
      <c r="B64" s="84">
        <v>7.11</v>
      </c>
      <c r="C64">
        <v>29</v>
      </c>
    </row>
    <row r="65" spans="1:3">
      <c r="A65" t="s">
        <v>472</v>
      </c>
      <c r="B65" s="84">
        <v>7.11</v>
      </c>
      <c r="C65">
        <v>29</v>
      </c>
    </row>
    <row r="66" spans="1:3">
      <c r="A66" t="s">
        <v>474</v>
      </c>
      <c r="B66" s="84">
        <v>4.76</v>
      </c>
      <c r="C66">
        <v>81</v>
      </c>
    </row>
    <row r="67" spans="1:3">
      <c r="A67" t="s">
        <v>478</v>
      </c>
      <c r="B67" s="84">
        <v>4.6439024390243899</v>
      </c>
      <c r="C67">
        <v>86</v>
      </c>
    </row>
    <row r="68" spans="1:3" ht="15" customHeight="1">
      <c r="A68" t="s">
        <v>485</v>
      </c>
      <c r="B68" s="84">
        <v>5.2459756097560977</v>
      </c>
      <c r="C68">
        <v>68</v>
      </c>
    </row>
    <row r="69" spans="1:3">
      <c r="A69" t="s">
        <v>486</v>
      </c>
      <c r="B69" s="84">
        <v>4.7513414634146347</v>
      </c>
      <c r="C69">
        <v>82</v>
      </c>
    </row>
    <row r="70" spans="1:3">
      <c r="A70" t="s">
        <v>488</v>
      </c>
      <c r="B70" s="84">
        <v>4.5896341463414636</v>
      </c>
      <c r="C70">
        <v>87</v>
      </c>
    </row>
    <row r="71" spans="1:3">
      <c r="A71" t="s">
        <v>489</v>
      </c>
      <c r="B71" s="84">
        <v>7.2578048780487814</v>
      </c>
      <c r="C71">
        <v>27</v>
      </c>
    </row>
    <row r="72" spans="1:3">
      <c r="A72" t="s">
        <v>492</v>
      </c>
      <c r="B72" s="84">
        <v>4.0502439024390249</v>
      </c>
      <c r="C72">
        <v>97</v>
      </c>
    </row>
    <row r="73" spans="1:3">
      <c r="A73" t="s">
        <v>496</v>
      </c>
      <c r="B73" s="84">
        <v>5.1114634146341462</v>
      </c>
      <c r="C73">
        <v>71</v>
      </c>
    </row>
    <row r="74" spans="1:3">
      <c r="A74" t="s">
        <v>500</v>
      </c>
      <c r="B74" s="84">
        <v>3.943658536585366</v>
      </c>
      <c r="C74">
        <v>102</v>
      </c>
    </row>
    <row r="75" spans="1:3">
      <c r="A75" t="s">
        <v>501</v>
      </c>
      <c r="B75" s="84">
        <v>6.4163414634146347</v>
      </c>
      <c r="C75">
        <v>41</v>
      </c>
    </row>
    <row r="76" spans="1:3">
      <c r="A76" t="s">
        <v>503</v>
      </c>
      <c r="B76" s="84">
        <v>6.8856097560975611</v>
      </c>
      <c r="C76">
        <v>34</v>
      </c>
    </row>
    <row r="77" spans="1:3">
      <c r="A77" t="s">
        <v>505</v>
      </c>
      <c r="B77" s="84">
        <v>4.9769512195121948</v>
      </c>
      <c r="C77">
        <v>75</v>
      </c>
    </row>
    <row r="78" spans="1:3">
      <c r="A78" t="s">
        <v>509</v>
      </c>
      <c r="B78" s="84">
        <v>4.3858536585365853</v>
      </c>
      <c r="C78">
        <v>91</v>
      </c>
    </row>
    <row r="79" spans="1:3">
      <c r="A79" t="s">
        <v>510</v>
      </c>
      <c r="B79" s="84">
        <v>4.2365853658536583</v>
      </c>
      <c r="C79">
        <v>95</v>
      </c>
    </row>
    <row r="80" spans="1:3">
      <c r="A80" t="s">
        <v>512</v>
      </c>
      <c r="B80" s="84">
        <v>4.8424390243902433</v>
      </c>
      <c r="C80">
        <v>77</v>
      </c>
    </row>
    <row r="81" spans="1:3">
      <c r="A81" t="s">
        <v>515</v>
      </c>
      <c r="B81" s="84">
        <v>4.8424390243902442</v>
      </c>
      <c r="C81">
        <v>76</v>
      </c>
    </row>
    <row r="82" spans="1:3">
      <c r="A82" t="s">
        <v>520</v>
      </c>
      <c r="B82" s="84">
        <v>6.0695121951219511</v>
      </c>
      <c r="C82">
        <v>52</v>
      </c>
    </row>
    <row r="83" spans="1:3">
      <c r="A83" t="s">
        <v>521</v>
      </c>
      <c r="B83" s="84">
        <v>4.7079268292682928</v>
      </c>
      <c r="C83">
        <v>83</v>
      </c>
    </row>
    <row r="84" spans="1:3">
      <c r="A84" t="s">
        <v>522</v>
      </c>
      <c r="B84" s="84">
        <v>3.6365853658536582</v>
      </c>
      <c r="C84">
        <v>109</v>
      </c>
    </row>
    <row r="85" spans="1:3">
      <c r="A85" t="s">
        <v>525</v>
      </c>
      <c r="B85" s="84">
        <v>3.6239024390243904</v>
      </c>
      <c r="C85">
        <v>111</v>
      </c>
    </row>
    <row r="86" spans="1:3">
      <c r="A86" t="s">
        <v>526</v>
      </c>
      <c r="B86" s="84">
        <v>4.0012195121951217</v>
      </c>
      <c r="C86">
        <v>100</v>
      </c>
    </row>
    <row r="87" spans="1:3">
      <c r="A87" t="s">
        <v>529</v>
      </c>
      <c r="B87" s="84">
        <v>4.5734146341463413</v>
      </c>
      <c r="C87">
        <v>89</v>
      </c>
    </row>
    <row r="88" spans="1:3">
      <c r="A88" t="s">
        <v>530</v>
      </c>
      <c r="B88" s="84">
        <v>6.3273170731707316</v>
      </c>
      <c r="C88">
        <v>45</v>
      </c>
    </row>
    <row r="89" spans="1:3">
      <c r="A89" t="s">
        <v>531</v>
      </c>
      <c r="B89" s="84">
        <v>6.3273170731707316</v>
      </c>
      <c r="C89">
        <v>45</v>
      </c>
    </row>
    <row r="90" spans="1:3">
      <c r="A90" t="s">
        <v>532</v>
      </c>
      <c r="B90" s="84">
        <v>6.3273170731707316</v>
      </c>
      <c r="C90">
        <v>45</v>
      </c>
    </row>
    <row r="91" spans="1:3">
      <c r="A91" t="s">
        <v>533</v>
      </c>
      <c r="B91" s="84">
        <v>3.9473170731707312</v>
      </c>
      <c r="C91">
        <v>101</v>
      </c>
    </row>
    <row r="92" spans="1:3">
      <c r="A92" t="s">
        <v>535</v>
      </c>
      <c r="B92" s="84">
        <v>6.3273170731707316</v>
      </c>
      <c r="C92">
        <v>45</v>
      </c>
    </row>
    <row r="93" spans="1:3">
      <c r="A93" t="s">
        <v>538</v>
      </c>
      <c r="B93" s="84">
        <v>3.8835365853658539</v>
      </c>
      <c r="C93">
        <v>103</v>
      </c>
    </row>
    <row r="94" spans="1:3">
      <c r="A94" t="s">
        <v>539</v>
      </c>
      <c r="B94" s="84">
        <v>3.8312195121951218</v>
      </c>
      <c r="C94">
        <v>104</v>
      </c>
    </row>
    <row r="95" spans="1:3">
      <c r="A95" t="s">
        <v>540</v>
      </c>
      <c r="B95" s="84">
        <v>5.7226829268292692</v>
      </c>
      <c r="C95">
        <v>59</v>
      </c>
    </row>
    <row r="96" spans="1:3">
      <c r="A96" t="s">
        <v>542</v>
      </c>
      <c r="B96" s="84">
        <v>4.0203658536585367</v>
      </c>
      <c r="C96">
        <v>98</v>
      </c>
    </row>
    <row r="97" spans="1:3">
      <c r="A97" t="s">
        <v>546</v>
      </c>
      <c r="B97" s="84">
        <v>3.428780487804878</v>
      </c>
      <c r="C97">
        <v>117</v>
      </c>
    </row>
    <row r="98" spans="1:3">
      <c r="A98" t="s">
        <v>547</v>
      </c>
      <c r="B98" s="84">
        <v>4.0203658536585367</v>
      </c>
      <c r="C98">
        <v>98</v>
      </c>
    </row>
    <row r="99" spans="1:3">
      <c r="A99" t="s">
        <v>554</v>
      </c>
      <c r="B99" s="84">
        <v>5.9551219512195122</v>
      </c>
      <c r="C99">
        <v>55</v>
      </c>
    </row>
    <row r="100" spans="1:3">
      <c r="A100" t="s">
        <v>556</v>
      </c>
      <c r="B100" s="84">
        <v>3.6481707317073169</v>
      </c>
      <c r="C100">
        <v>108</v>
      </c>
    </row>
    <row r="101" spans="1:3">
      <c r="A101" t="s">
        <v>558</v>
      </c>
      <c r="B101" s="84">
        <v>5.3758536585365855</v>
      </c>
      <c r="C101">
        <v>67</v>
      </c>
    </row>
    <row r="102" spans="1:3">
      <c r="A102" t="s">
        <v>560</v>
      </c>
      <c r="B102" s="84">
        <v>4.1698780487804878</v>
      </c>
      <c r="C102">
        <v>96</v>
      </c>
    </row>
    <row r="103" spans="1:3">
      <c r="A103" t="s">
        <v>562</v>
      </c>
      <c r="B103" s="84">
        <v>5.769024390243902</v>
      </c>
      <c r="C103">
        <v>58</v>
      </c>
    </row>
    <row r="104" spans="1:3">
      <c r="A104" t="s">
        <v>563</v>
      </c>
      <c r="B104" s="84">
        <v>3.4440243902439018</v>
      </c>
      <c r="C104">
        <v>116</v>
      </c>
    </row>
    <row r="105" spans="1:3">
      <c r="A105" t="s">
        <v>565</v>
      </c>
      <c r="B105" s="84">
        <v>3.7767073170731709</v>
      </c>
      <c r="C105">
        <v>106</v>
      </c>
    </row>
    <row r="106" spans="1:3">
      <c r="A106" t="s">
        <v>566</v>
      </c>
      <c r="B106" s="84">
        <v>3.3041463414634151</v>
      </c>
      <c r="C106">
        <v>120</v>
      </c>
    </row>
    <row r="107" spans="1:3">
      <c r="A107" t="s">
        <v>568</v>
      </c>
      <c r="B107" s="84">
        <v>3.5990243902439025</v>
      </c>
      <c r="C107">
        <v>112</v>
      </c>
    </row>
    <row r="108" spans="1:3">
      <c r="A108" t="s">
        <v>573</v>
      </c>
      <c r="B108" s="84">
        <v>5.3968292682926826</v>
      </c>
      <c r="C108">
        <v>65</v>
      </c>
    </row>
    <row r="109" spans="1:3">
      <c r="A109" t="s">
        <v>578</v>
      </c>
      <c r="B109" s="84">
        <v>5.3968292682926826</v>
      </c>
      <c r="C109">
        <v>65</v>
      </c>
    </row>
    <row r="110" spans="1:3">
      <c r="A110" t="s">
        <v>580</v>
      </c>
      <c r="B110" s="84">
        <v>2.9843902439024395</v>
      </c>
      <c r="C110">
        <v>132</v>
      </c>
    </row>
    <row r="111" spans="1:3">
      <c r="A111" t="s">
        <v>583</v>
      </c>
      <c r="B111" s="84">
        <v>3.1107317073170728</v>
      </c>
      <c r="C111">
        <v>126</v>
      </c>
    </row>
    <row r="112" spans="1:3">
      <c r="A112" t="s">
        <v>585</v>
      </c>
      <c r="B112" s="84">
        <v>3.1107317073170728</v>
      </c>
      <c r="C112">
        <v>126</v>
      </c>
    </row>
    <row r="113" spans="1:3">
      <c r="A113" t="s">
        <v>587</v>
      </c>
      <c r="B113" s="84">
        <v>3.2507317073170734</v>
      </c>
      <c r="C113">
        <v>123</v>
      </c>
    </row>
    <row r="114" spans="1:3">
      <c r="A114" t="s">
        <v>589</v>
      </c>
      <c r="B114" s="84">
        <v>3.2893902439024392</v>
      </c>
      <c r="C114">
        <v>122</v>
      </c>
    </row>
    <row r="115" spans="1:3">
      <c r="A115" t="s">
        <v>592</v>
      </c>
      <c r="B115" s="84">
        <v>5.0246341463414632</v>
      </c>
      <c r="C115">
        <v>73</v>
      </c>
    </row>
    <row r="116" spans="1:3">
      <c r="A116" t="s">
        <v>593</v>
      </c>
      <c r="B116" s="84">
        <v>2.8053658536585369</v>
      </c>
      <c r="C116">
        <v>136</v>
      </c>
    </row>
    <row r="117" spans="1:3">
      <c r="A117" t="s">
        <v>594</v>
      </c>
      <c r="B117" s="84">
        <v>3.7141463414634144</v>
      </c>
      <c r="C117">
        <v>107</v>
      </c>
    </row>
    <row r="118" spans="1:3">
      <c r="A118" t="s">
        <v>597</v>
      </c>
      <c r="B118" s="84">
        <v>3.1346341463414631</v>
      </c>
      <c r="C118">
        <v>124</v>
      </c>
    </row>
    <row r="119" spans="1:3">
      <c r="A119" t="s">
        <v>598</v>
      </c>
      <c r="B119" s="84">
        <v>3.6318292682926834</v>
      </c>
      <c r="C119">
        <v>110</v>
      </c>
    </row>
    <row r="120" spans="1:3">
      <c r="A120" t="s">
        <v>606</v>
      </c>
      <c r="B120" s="84">
        <v>3.4973170731707319</v>
      </c>
      <c r="C120">
        <v>113</v>
      </c>
    </row>
    <row r="121" spans="1:3">
      <c r="A121" t="s">
        <v>607</v>
      </c>
      <c r="B121" s="84">
        <v>3.4973170731707319</v>
      </c>
      <c r="C121">
        <v>113</v>
      </c>
    </row>
    <row r="122" spans="1:3">
      <c r="A122" t="s">
        <v>609</v>
      </c>
      <c r="B122" s="84">
        <v>2.7712195121951222</v>
      </c>
      <c r="C122">
        <v>139</v>
      </c>
    </row>
    <row r="123" spans="1:3">
      <c r="A123" t="s">
        <v>610</v>
      </c>
      <c r="B123" s="84">
        <v>2.7014634146341461</v>
      </c>
      <c r="C123">
        <v>140</v>
      </c>
    </row>
    <row r="124" spans="1:3">
      <c r="A124" t="s">
        <v>614</v>
      </c>
      <c r="B124" s="84">
        <v>3.3628048780487805</v>
      </c>
      <c r="C124">
        <v>118</v>
      </c>
    </row>
    <row r="125" spans="1:3">
      <c r="A125" t="s">
        <v>616</v>
      </c>
      <c r="B125" s="84">
        <v>3.0457317073170733</v>
      </c>
      <c r="C125">
        <v>130</v>
      </c>
    </row>
    <row r="126" spans="1:3">
      <c r="A126" t="s">
        <v>617</v>
      </c>
      <c r="B126" s="84">
        <v>3.0457317073170733</v>
      </c>
      <c r="C126">
        <v>130</v>
      </c>
    </row>
    <row r="127" spans="1:3">
      <c r="A127" t="s">
        <v>621</v>
      </c>
      <c r="B127" s="84">
        <v>2.9420731707317072</v>
      </c>
      <c r="C127">
        <v>133</v>
      </c>
    </row>
    <row r="128" spans="1:3">
      <c r="A128" t="s">
        <v>633</v>
      </c>
      <c r="B128" s="84">
        <v>2.9239024390243902</v>
      </c>
      <c r="C128">
        <v>134</v>
      </c>
    </row>
    <row r="129" spans="1:3">
      <c r="A129" t="s">
        <v>636</v>
      </c>
      <c r="B129" s="84">
        <v>3.093780487804878</v>
      </c>
      <c r="C129">
        <v>128</v>
      </c>
    </row>
    <row r="130" spans="1:3">
      <c r="A130" t="s">
        <v>637</v>
      </c>
      <c r="B130" s="84">
        <v>2.5552439024390239</v>
      </c>
      <c r="C130">
        <v>147</v>
      </c>
    </row>
    <row r="131" spans="1:3">
      <c r="A131" t="s">
        <v>638</v>
      </c>
      <c r="B131" s="84">
        <v>2.802073170731707</v>
      </c>
      <c r="C131">
        <v>137</v>
      </c>
    </row>
    <row r="132" spans="1:3">
      <c r="A132" t="s">
        <v>641</v>
      </c>
      <c r="B132" s="84">
        <v>4.2802439024390244</v>
      </c>
      <c r="C132">
        <v>92</v>
      </c>
    </row>
    <row r="133" spans="1:3">
      <c r="A133" t="s">
        <v>643</v>
      </c>
      <c r="B133" s="84">
        <v>2.3897560975609755</v>
      </c>
      <c r="C133">
        <v>154</v>
      </c>
    </row>
    <row r="134" spans="1:3">
      <c r="A134" t="s">
        <v>644</v>
      </c>
      <c r="B134" s="84">
        <v>4.2802439024390244</v>
      </c>
      <c r="C134">
        <v>92</v>
      </c>
    </row>
    <row r="135" spans="1:3">
      <c r="A135" t="s">
        <v>647</v>
      </c>
      <c r="B135" s="84">
        <v>3.093780487804878</v>
      </c>
      <c r="C135">
        <v>128</v>
      </c>
    </row>
    <row r="136" spans="1:3">
      <c r="A136" t="s">
        <v>648</v>
      </c>
      <c r="B136" s="84">
        <v>4.2802439024390244</v>
      </c>
      <c r="C136">
        <v>92</v>
      </c>
    </row>
    <row r="137" spans="1:3">
      <c r="A137" t="s">
        <v>649</v>
      </c>
      <c r="B137" s="84">
        <v>2.5552439024390239</v>
      </c>
      <c r="C137">
        <v>147</v>
      </c>
    </row>
    <row r="138" spans="1:3">
      <c r="A138" t="s">
        <v>653</v>
      </c>
      <c r="B138" s="84">
        <v>3.8151219512195125</v>
      </c>
      <c r="C138">
        <v>105</v>
      </c>
    </row>
    <row r="139" spans="1:3">
      <c r="A139" t="s">
        <v>657</v>
      </c>
      <c r="B139" s="84">
        <v>2.4441463414634144</v>
      </c>
      <c r="C139">
        <v>150</v>
      </c>
    </row>
    <row r="140" spans="1:3">
      <c r="A140" t="s">
        <v>662</v>
      </c>
      <c r="B140" s="84">
        <v>2.5890243902439023</v>
      </c>
      <c r="C140">
        <v>142</v>
      </c>
    </row>
    <row r="141" spans="1:3">
      <c r="A141" t="s">
        <v>664</v>
      </c>
      <c r="B141" s="84">
        <v>2.5584146341463412</v>
      </c>
      <c r="C141">
        <v>143</v>
      </c>
    </row>
    <row r="142" spans="1:3">
      <c r="A142" t="s">
        <v>666</v>
      </c>
      <c r="B142" s="84">
        <v>2.824756097560976</v>
      </c>
      <c r="C142">
        <v>135</v>
      </c>
    </row>
    <row r="143" spans="1:3">
      <c r="A143" t="s">
        <v>670</v>
      </c>
      <c r="B143" s="84">
        <v>2.5584146341463412</v>
      </c>
      <c r="C143">
        <v>143</v>
      </c>
    </row>
    <row r="144" spans="1:3">
      <c r="A144" t="s">
        <v>675</v>
      </c>
      <c r="B144" s="84">
        <v>2.0780487804878049</v>
      </c>
      <c r="C144">
        <v>163</v>
      </c>
    </row>
    <row r="145" spans="1:3">
      <c r="A145" t="s">
        <v>679</v>
      </c>
      <c r="B145" s="84">
        <v>2.0780487804878049</v>
      </c>
      <c r="C145">
        <v>163</v>
      </c>
    </row>
    <row r="146" spans="1:3">
      <c r="A146" t="s">
        <v>682</v>
      </c>
      <c r="B146" s="84">
        <v>2.4365853658536585</v>
      </c>
      <c r="C146">
        <v>151</v>
      </c>
    </row>
    <row r="147" spans="1:3">
      <c r="A147" t="s">
        <v>688</v>
      </c>
      <c r="B147" s="84">
        <v>3.4682926829268292</v>
      </c>
      <c r="C147">
        <v>115</v>
      </c>
    </row>
    <row r="148" spans="1:3">
      <c r="A148" t="s">
        <v>689</v>
      </c>
      <c r="B148" s="84">
        <v>2.6902439024390241</v>
      </c>
      <c r="C148">
        <v>141</v>
      </c>
    </row>
    <row r="149" spans="1:3">
      <c r="A149" t="s">
        <v>690</v>
      </c>
      <c r="B149" s="84">
        <v>2.321951219512195</v>
      </c>
      <c r="C149">
        <v>155</v>
      </c>
    </row>
    <row r="150" spans="1:3">
      <c r="A150" t="s">
        <v>691</v>
      </c>
      <c r="B150" s="84">
        <v>2.0780487804878049</v>
      </c>
      <c r="C150">
        <v>163</v>
      </c>
    </row>
    <row r="151" spans="1:3">
      <c r="A151" t="s">
        <v>699</v>
      </c>
      <c r="B151" s="84">
        <v>3.2948780487804883</v>
      </c>
      <c r="C151">
        <v>121</v>
      </c>
    </row>
    <row r="152" spans="1:3">
      <c r="A152" t="s">
        <v>700</v>
      </c>
      <c r="B152" s="84">
        <v>2.5557317073170731</v>
      </c>
      <c r="C152">
        <v>145</v>
      </c>
    </row>
    <row r="153" spans="1:3">
      <c r="A153" t="s">
        <v>701</v>
      </c>
      <c r="B153" s="84">
        <v>2.5557317073170731</v>
      </c>
      <c r="C153">
        <v>145</v>
      </c>
    </row>
    <row r="154" spans="1:3">
      <c r="A154" t="s">
        <v>703</v>
      </c>
      <c r="B154" s="84">
        <v>2.0251219512195124</v>
      </c>
      <c r="C154">
        <v>167</v>
      </c>
    </row>
    <row r="155" spans="1:3">
      <c r="A155" t="s">
        <v>707</v>
      </c>
      <c r="B155" s="84">
        <v>1.8702439024390243</v>
      </c>
      <c r="C155">
        <v>172</v>
      </c>
    </row>
    <row r="156" spans="1:3">
      <c r="A156" t="s">
        <v>710</v>
      </c>
      <c r="B156" s="84">
        <v>3.3497560975609759</v>
      </c>
      <c r="C156">
        <v>119</v>
      </c>
    </row>
    <row r="157" spans="1:3">
      <c r="A157" t="s">
        <v>714</v>
      </c>
      <c r="B157" s="84">
        <v>2.1182926829268292</v>
      </c>
      <c r="C157">
        <v>159</v>
      </c>
    </row>
    <row r="158" spans="1:3">
      <c r="A158" t="s">
        <v>715</v>
      </c>
      <c r="B158" s="84">
        <v>3.1214634146341464</v>
      </c>
      <c r="C158">
        <v>125</v>
      </c>
    </row>
    <row r="159" spans="1:3">
      <c r="A159" t="s">
        <v>717</v>
      </c>
      <c r="B159" s="84">
        <v>2.1182926829268292</v>
      </c>
      <c r="C159">
        <v>159</v>
      </c>
    </row>
    <row r="160" spans="1:3">
      <c r="A160" t="s">
        <v>718</v>
      </c>
      <c r="B160" s="84">
        <v>2.1182926829268292</v>
      </c>
      <c r="C160">
        <v>159</v>
      </c>
    </row>
    <row r="161" spans="1:3">
      <c r="A161" t="s">
        <v>720</v>
      </c>
      <c r="B161" s="84">
        <v>2.4760975609756093</v>
      </c>
      <c r="C161">
        <v>149</v>
      </c>
    </row>
    <row r="162" spans="1:3">
      <c r="A162" t="s">
        <v>723</v>
      </c>
      <c r="B162" s="84">
        <v>1.9736585365853656</v>
      </c>
      <c r="C162">
        <v>169</v>
      </c>
    </row>
    <row r="163" spans="1:3">
      <c r="A163" t="s">
        <v>731</v>
      </c>
      <c r="B163" s="84">
        <v>1.8119512195121952</v>
      </c>
      <c r="C163">
        <v>174</v>
      </c>
    </row>
    <row r="164" spans="1:3">
      <c r="A164" t="s">
        <v>732</v>
      </c>
      <c r="B164" s="84">
        <v>2.2867073170731707</v>
      </c>
      <c r="C164">
        <v>156</v>
      </c>
    </row>
    <row r="165" spans="1:3">
      <c r="A165" t="s">
        <v>733</v>
      </c>
      <c r="B165" s="84">
        <v>2.7746341463414637</v>
      </c>
      <c r="C165">
        <v>138</v>
      </c>
    </row>
    <row r="166" spans="1:3">
      <c r="A166" t="s">
        <v>738</v>
      </c>
      <c r="B166" s="84">
        <v>1.9492682926829268</v>
      </c>
      <c r="C166">
        <v>170</v>
      </c>
    </row>
    <row r="167" spans="1:3">
      <c r="A167" t="s">
        <v>742</v>
      </c>
      <c r="B167" s="84">
        <v>2.1521951219512192</v>
      </c>
      <c r="C167">
        <v>158</v>
      </c>
    </row>
    <row r="168" spans="1:3">
      <c r="A168" t="s">
        <v>753</v>
      </c>
      <c r="B168" s="84">
        <v>2.0634146341463415</v>
      </c>
      <c r="C168">
        <v>166</v>
      </c>
    </row>
    <row r="169" spans="1:3">
      <c r="A169" t="s">
        <v>754</v>
      </c>
      <c r="B169" s="84">
        <v>1.7652439024390243</v>
      </c>
      <c r="C169">
        <v>176</v>
      </c>
    </row>
    <row r="170" spans="1:3">
      <c r="A170" t="s">
        <v>755</v>
      </c>
      <c r="B170" s="84">
        <v>2.0176829268292682</v>
      </c>
      <c r="C170">
        <v>168</v>
      </c>
    </row>
    <row r="171" spans="1:3">
      <c r="A171" t="s">
        <v>758</v>
      </c>
      <c r="B171" s="84">
        <v>1.883170731707317</v>
      </c>
      <c r="C171">
        <v>171</v>
      </c>
    </row>
    <row r="172" spans="1:3">
      <c r="A172" t="s">
        <v>761</v>
      </c>
      <c r="B172" s="84">
        <v>1.4921951219512197</v>
      </c>
      <c r="C172">
        <v>192</v>
      </c>
    </row>
    <row r="173" spans="1:3">
      <c r="A173" t="s">
        <v>763</v>
      </c>
      <c r="B173" s="84">
        <v>1.5553658536585364</v>
      </c>
      <c r="C173">
        <v>187</v>
      </c>
    </row>
    <row r="174" spans="1:3" ht="13.5" customHeight="1">
      <c r="A174" t="s">
        <v>767</v>
      </c>
      <c r="B174" s="84">
        <v>2.4278048780487809</v>
      </c>
      <c r="C174">
        <v>152</v>
      </c>
    </row>
    <row r="175" spans="1:3" ht="13.5" customHeight="1">
      <c r="A175" t="s">
        <v>768</v>
      </c>
      <c r="B175" s="84">
        <v>1.7056097560975609</v>
      </c>
      <c r="C175">
        <v>179</v>
      </c>
    </row>
    <row r="176" spans="1:3">
      <c r="A176" t="s">
        <v>770</v>
      </c>
      <c r="B176" s="84">
        <v>1.5553658536585364</v>
      </c>
      <c r="C176">
        <v>187</v>
      </c>
    </row>
    <row r="177" spans="1:3">
      <c r="A177" t="s">
        <v>776</v>
      </c>
      <c r="B177" s="84">
        <v>1.4546341463414634</v>
      </c>
      <c r="C177">
        <v>197</v>
      </c>
    </row>
    <row r="178" spans="1:3">
      <c r="A178" t="s">
        <v>777</v>
      </c>
      <c r="B178" s="84">
        <v>1.6253658536585367</v>
      </c>
      <c r="C178">
        <v>184</v>
      </c>
    </row>
    <row r="179" spans="1:3">
      <c r="A179" t="s">
        <v>178</v>
      </c>
      <c r="B179" s="84" t="s">
        <v>178</v>
      </c>
      <c r="C179" t="s">
        <v>178</v>
      </c>
    </row>
    <row r="180" spans="1:3">
      <c r="A180" t="s">
        <v>178</v>
      </c>
      <c r="B180" s="84" t="s">
        <v>178</v>
      </c>
      <c r="C180" t="s">
        <v>178</v>
      </c>
    </row>
    <row r="181" spans="1:3">
      <c r="A181" t="s">
        <v>780</v>
      </c>
      <c r="B181" s="84">
        <v>2.4278048780487809</v>
      </c>
      <c r="C181">
        <v>152</v>
      </c>
    </row>
    <row r="182" spans="1:3">
      <c r="A182" t="s">
        <v>782</v>
      </c>
      <c r="B182" s="84">
        <v>1.6253658536585367</v>
      </c>
      <c r="C182">
        <v>184</v>
      </c>
    </row>
    <row r="183" spans="1:3">
      <c r="A183" t="s">
        <v>783</v>
      </c>
      <c r="B183" s="84">
        <v>1.748658536585366</v>
      </c>
      <c r="C183">
        <v>177</v>
      </c>
    </row>
    <row r="184" spans="1:3">
      <c r="A184" t="s">
        <v>791</v>
      </c>
      <c r="B184" s="84">
        <v>1.5298780487804877</v>
      </c>
      <c r="C184">
        <v>189</v>
      </c>
    </row>
    <row r="185" spans="1:3">
      <c r="A185" t="s">
        <v>794</v>
      </c>
      <c r="B185" s="84">
        <v>1.5298780487804877</v>
      </c>
      <c r="C185">
        <v>189</v>
      </c>
    </row>
    <row r="186" spans="1:3">
      <c r="A186" t="s">
        <v>798</v>
      </c>
      <c r="B186" s="84">
        <v>1.3856097560975611</v>
      </c>
      <c r="C186">
        <v>201</v>
      </c>
    </row>
    <row r="187" spans="1:3">
      <c r="A187" t="s">
        <v>799</v>
      </c>
      <c r="B187" s="84">
        <v>1.748658536585366</v>
      </c>
      <c r="C187">
        <v>177</v>
      </c>
    </row>
    <row r="188" spans="1:3">
      <c r="A188" t="s">
        <v>800</v>
      </c>
      <c r="B188" s="84">
        <v>2.254390243902439</v>
      </c>
      <c r="C188">
        <v>157</v>
      </c>
    </row>
    <row r="189" spans="1:3">
      <c r="A189" t="s">
        <v>801</v>
      </c>
      <c r="B189" s="84">
        <v>1.4442682926829267</v>
      </c>
      <c r="C189">
        <v>198</v>
      </c>
    </row>
    <row r="190" spans="1:3">
      <c r="A190" t="s">
        <v>804</v>
      </c>
      <c r="B190" s="84">
        <v>1.7882926829268289</v>
      </c>
      <c r="C190">
        <v>175</v>
      </c>
    </row>
    <row r="191" spans="1:3">
      <c r="A191" t="s">
        <v>805</v>
      </c>
      <c r="B191" s="84">
        <v>1.5298780487804877</v>
      </c>
      <c r="C191">
        <v>189</v>
      </c>
    </row>
    <row r="192" spans="1:3">
      <c r="A192" t="s">
        <v>807</v>
      </c>
      <c r="B192" s="84">
        <v>1.6141463414634147</v>
      </c>
      <c r="C192">
        <v>186</v>
      </c>
    </row>
    <row r="193" spans="1:3">
      <c r="A193" t="s">
        <v>178</v>
      </c>
      <c r="B193" s="84" t="s">
        <v>178</v>
      </c>
      <c r="C193" t="s">
        <v>178</v>
      </c>
    </row>
    <row r="194" spans="1:3">
      <c r="A194" t="s">
        <v>178</v>
      </c>
      <c r="B194" s="84" t="s">
        <v>178</v>
      </c>
      <c r="C194" t="s">
        <v>178</v>
      </c>
    </row>
    <row r="195" spans="1:3">
      <c r="A195" t="s">
        <v>178</v>
      </c>
      <c r="B195" s="84" t="s">
        <v>178</v>
      </c>
      <c r="C195" t="s">
        <v>178</v>
      </c>
    </row>
    <row r="196" spans="1:3">
      <c r="A196" t="s">
        <v>811</v>
      </c>
      <c r="B196" s="84">
        <v>1.4619512195121951</v>
      </c>
      <c r="C196">
        <v>196</v>
      </c>
    </row>
    <row r="197" spans="1:3">
      <c r="A197" t="s">
        <v>178</v>
      </c>
      <c r="B197" s="84" t="s">
        <v>178</v>
      </c>
      <c r="C197" t="s">
        <v>178</v>
      </c>
    </row>
    <row r="198" spans="1:3">
      <c r="A198" t="s">
        <v>178</v>
      </c>
      <c r="B198" s="84" t="s">
        <v>178</v>
      </c>
      <c r="C198" t="s">
        <v>178</v>
      </c>
    </row>
    <row r="199" spans="1:3">
      <c r="A199" t="s">
        <v>814</v>
      </c>
      <c r="B199" s="84">
        <v>1.6507317073170729</v>
      </c>
      <c r="C199">
        <v>180</v>
      </c>
    </row>
    <row r="200" spans="1:3">
      <c r="A200" t="s">
        <v>178</v>
      </c>
      <c r="B200" s="84" t="s">
        <v>178</v>
      </c>
      <c r="C200" t="s">
        <v>178</v>
      </c>
    </row>
    <row r="201" spans="1:3">
      <c r="A201" t="s">
        <v>178</v>
      </c>
      <c r="B201" s="84" t="s">
        <v>178</v>
      </c>
      <c r="C201" t="s">
        <v>178</v>
      </c>
    </row>
    <row r="202" spans="1:3">
      <c r="A202" t="s">
        <v>817</v>
      </c>
      <c r="B202" s="84">
        <v>1.393170731707317</v>
      </c>
      <c r="C202">
        <v>199</v>
      </c>
    </row>
    <row r="203" spans="1:3">
      <c r="A203" t="s">
        <v>178</v>
      </c>
      <c r="B203" s="84" t="s">
        <v>178</v>
      </c>
      <c r="C203" t="s">
        <v>178</v>
      </c>
    </row>
    <row r="204" spans="1:3">
      <c r="A204" t="s">
        <v>178</v>
      </c>
      <c r="B204" s="84" t="s">
        <v>178</v>
      </c>
      <c r="C204" t="s">
        <v>178</v>
      </c>
    </row>
    <row r="205" spans="1:3">
      <c r="A205" t="s">
        <v>178</v>
      </c>
      <c r="B205" s="84" t="s">
        <v>178</v>
      </c>
      <c r="C205" t="s">
        <v>178</v>
      </c>
    </row>
    <row r="206" spans="1:3">
      <c r="A206" t="s">
        <v>178</v>
      </c>
      <c r="B206" s="84" t="s">
        <v>178</v>
      </c>
      <c r="C206" t="s">
        <v>178</v>
      </c>
    </row>
    <row r="207" spans="1:3">
      <c r="A207" t="s">
        <v>822</v>
      </c>
      <c r="B207" s="84">
        <v>2.0809756097560976</v>
      </c>
      <c r="C207">
        <v>162</v>
      </c>
    </row>
    <row r="208" spans="1:3">
      <c r="A208" t="s">
        <v>823</v>
      </c>
      <c r="B208" s="84">
        <v>1.6507317073170729</v>
      </c>
      <c r="C208">
        <v>180</v>
      </c>
    </row>
    <row r="209" spans="1:3">
      <c r="A209" t="s">
        <v>178</v>
      </c>
      <c r="B209" s="84" t="s">
        <v>178</v>
      </c>
      <c r="C209" t="s">
        <v>178</v>
      </c>
    </row>
    <row r="210" spans="1:3">
      <c r="A210" t="s">
        <v>825</v>
      </c>
      <c r="B210" s="84">
        <v>1.6507317073170729</v>
      </c>
      <c r="C210">
        <v>180</v>
      </c>
    </row>
    <row r="211" spans="1:3">
      <c r="A211" t="s">
        <v>826</v>
      </c>
      <c r="B211" s="84">
        <v>1.6507317073170729</v>
      </c>
      <c r="C211">
        <v>180</v>
      </c>
    </row>
    <row r="212" spans="1:3">
      <c r="A212" t="s">
        <v>827</v>
      </c>
      <c r="B212" s="84">
        <v>1.4796341463414635</v>
      </c>
      <c r="C212">
        <v>194</v>
      </c>
    </row>
    <row r="213" spans="1:3">
      <c r="A213" t="s">
        <v>178</v>
      </c>
      <c r="B213" s="84" t="s">
        <v>178</v>
      </c>
      <c r="C213" t="s">
        <v>178</v>
      </c>
    </row>
    <row r="214" spans="1:3">
      <c r="A214" t="s">
        <v>829</v>
      </c>
      <c r="B214" s="84">
        <v>1.1429268292682926</v>
      </c>
      <c r="C214">
        <v>215</v>
      </c>
    </row>
    <row r="215" spans="1:3">
      <c r="A215" t="s">
        <v>830</v>
      </c>
      <c r="B215" s="84">
        <v>1.2770731707317073</v>
      </c>
      <c r="C215">
        <v>208</v>
      </c>
    </row>
    <row r="216" spans="1:3">
      <c r="A216" t="s">
        <v>178</v>
      </c>
      <c r="B216" s="84" t="s">
        <v>178</v>
      </c>
      <c r="C216" t="s">
        <v>178</v>
      </c>
    </row>
    <row r="217" spans="1:3">
      <c r="A217" t="s">
        <v>178</v>
      </c>
      <c r="B217" s="84" t="s">
        <v>178</v>
      </c>
      <c r="C217" t="s">
        <v>178</v>
      </c>
    </row>
    <row r="218" spans="1:3">
      <c r="A218" t="s">
        <v>178</v>
      </c>
      <c r="B218" s="84" t="s">
        <v>178</v>
      </c>
      <c r="C218" t="s">
        <v>178</v>
      </c>
    </row>
    <row r="219" spans="1:3">
      <c r="A219" t="s">
        <v>178</v>
      </c>
      <c r="B219" s="84" t="s">
        <v>178</v>
      </c>
      <c r="C219" t="s">
        <v>178</v>
      </c>
    </row>
    <row r="220" spans="1:3">
      <c r="A220" t="s">
        <v>835</v>
      </c>
      <c r="B220" s="84">
        <v>1.3401219512195122</v>
      </c>
      <c r="C220">
        <v>205</v>
      </c>
    </row>
    <row r="221" spans="1:3">
      <c r="A221" t="s">
        <v>836</v>
      </c>
      <c r="B221" s="84">
        <v>1.2770731707317073</v>
      </c>
      <c r="C221">
        <v>208</v>
      </c>
    </row>
    <row r="222" spans="1:3">
      <c r="A222" t="s">
        <v>837</v>
      </c>
      <c r="B222" s="84">
        <v>1.4796341463414635</v>
      </c>
      <c r="C222">
        <v>194</v>
      </c>
    </row>
    <row r="223" spans="1:3">
      <c r="A223" t="s">
        <v>178</v>
      </c>
      <c r="B223" s="84" t="s">
        <v>178</v>
      </c>
      <c r="C223" t="s">
        <v>178</v>
      </c>
    </row>
    <row r="224" spans="1:3">
      <c r="A224" t="s">
        <v>839</v>
      </c>
      <c r="B224" s="84">
        <v>1.3401219512195122</v>
      </c>
      <c r="C224">
        <v>205</v>
      </c>
    </row>
    <row r="225" spans="1:3">
      <c r="A225" t="s">
        <v>178</v>
      </c>
      <c r="B225" s="84" t="s">
        <v>178</v>
      </c>
      <c r="C225" t="s">
        <v>178</v>
      </c>
    </row>
    <row r="226" spans="1:3">
      <c r="A226" t="s">
        <v>178</v>
      </c>
      <c r="B226" s="84" t="s">
        <v>178</v>
      </c>
      <c r="C226" t="s">
        <v>178</v>
      </c>
    </row>
    <row r="227" spans="1:3">
      <c r="A227" t="s">
        <v>178</v>
      </c>
      <c r="B227" s="84" t="s">
        <v>178</v>
      </c>
      <c r="C227" t="s">
        <v>178</v>
      </c>
    </row>
    <row r="228" spans="1:3">
      <c r="A228" t="s">
        <v>843</v>
      </c>
      <c r="B228" s="84">
        <v>1.3756097560975609</v>
      </c>
      <c r="C228">
        <v>202</v>
      </c>
    </row>
    <row r="229" spans="1:3">
      <c r="A229" t="s">
        <v>178</v>
      </c>
      <c r="B229" s="84" t="s">
        <v>178</v>
      </c>
      <c r="C229" t="s">
        <v>178</v>
      </c>
    </row>
    <row r="230" spans="1:3">
      <c r="A230" t="s">
        <v>178</v>
      </c>
      <c r="B230" s="84" t="s">
        <v>178</v>
      </c>
      <c r="C230" t="s">
        <v>178</v>
      </c>
    </row>
    <row r="231" spans="1:3">
      <c r="A231" t="s">
        <v>846</v>
      </c>
      <c r="B231" s="84">
        <v>1.3451219512195121</v>
      </c>
      <c r="C231">
        <v>203</v>
      </c>
    </row>
    <row r="232" spans="1:3">
      <c r="A232" t="s">
        <v>847</v>
      </c>
      <c r="B232" s="84">
        <v>1.0658536585365854</v>
      </c>
      <c r="C232">
        <v>219</v>
      </c>
    </row>
    <row r="233" spans="1:3">
      <c r="A233" t="s">
        <v>178</v>
      </c>
      <c r="B233" s="84" t="s">
        <v>178</v>
      </c>
      <c r="C233" t="s">
        <v>178</v>
      </c>
    </row>
    <row r="234" spans="1:3">
      <c r="A234" t="s">
        <v>849</v>
      </c>
      <c r="B234" s="84">
        <v>1.1609756097560975</v>
      </c>
      <c r="C234">
        <v>214</v>
      </c>
    </row>
    <row r="235" spans="1:3">
      <c r="A235" t="s">
        <v>178</v>
      </c>
      <c r="B235" s="84" t="s">
        <v>178</v>
      </c>
      <c r="C235" t="s">
        <v>178</v>
      </c>
    </row>
    <row r="236" spans="1:3">
      <c r="A236" t="s">
        <v>851</v>
      </c>
      <c r="B236" s="84">
        <v>1.8609756097560974</v>
      </c>
      <c r="C236">
        <v>173</v>
      </c>
    </row>
    <row r="237" spans="1:3">
      <c r="A237" t="s">
        <v>178</v>
      </c>
      <c r="B237" s="84" t="s">
        <v>178</v>
      </c>
      <c r="C237" t="s">
        <v>178</v>
      </c>
    </row>
    <row r="238" spans="1:3">
      <c r="A238" t="s">
        <v>853</v>
      </c>
      <c r="B238" s="84">
        <v>1.3451219512195121</v>
      </c>
      <c r="C238">
        <v>203</v>
      </c>
    </row>
    <row r="239" spans="1:3">
      <c r="A239" t="s">
        <v>178</v>
      </c>
      <c r="B239" s="84" t="s">
        <v>178</v>
      </c>
      <c r="C239" t="s">
        <v>178</v>
      </c>
    </row>
    <row r="240" spans="1:3">
      <c r="A240" t="s">
        <v>178</v>
      </c>
      <c r="B240" s="84" t="s">
        <v>178</v>
      </c>
      <c r="C240" t="s">
        <v>178</v>
      </c>
    </row>
    <row r="241" spans="1:3">
      <c r="A241" t="s">
        <v>856</v>
      </c>
      <c r="B241" s="84">
        <v>1.0658536585365854</v>
      </c>
      <c r="C241">
        <v>219</v>
      </c>
    </row>
    <row r="242" spans="1:3">
      <c r="A242" t="s">
        <v>857</v>
      </c>
      <c r="B242" s="84">
        <v>1.2380487804878046</v>
      </c>
      <c r="C242">
        <v>210</v>
      </c>
    </row>
    <row r="243" spans="1:3">
      <c r="A243" t="s">
        <v>178</v>
      </c>
      <c r="B243" s="84" t="s">
        <v>178</v>
      </c>
      <c r="C243" t="s">
        <v>178</v>
      </c>
    </row>
    <row r="244" spans="1:3">
      <c r="A244" t="s">
        <v>178</v>
      </c>
      <c r="B244" s="84" t="s">
        <v>178</v>
      </c>
      <c r="C244" t="s">
        <v>178</v>
      </c>
    </row>
    <row r="245" spans="1:3">
      <c r="A245" t="s">
        <v>178</v>
      </c>
      <c r="B245" s="84" t="s">
        <v>178</v>
      </c>
      <c r="C245" t="s">
        <v>178</v>
      </c>
    </row>
    <row r="246" spans="1:3">
      <c r="A246" t="s">
        <v>178</v>
      </c>
      <c r="B246" s="84" t="s">
        <v>178</v>
      </c>
      <c r="C246" t="s">
        <v>178</v>
      </c>
    </row>
    <row r="247" spans="1:3">
      <c r="A247" t="s">
        <v>178</v>
      </c>
      <c r="B247" s="84" t="s">
        <v>178</v>
      </c>
      <c r="C247" t="s">
        <v>178</v>
      </c>
    </row>
    <row r="248" spans="1:3">
      <c r="A248" t="s">
        <v>178</v>
      </c>
      <c r="B248" s="84" t="s">
        <v>178</v>
      </c>
      <c r="C248" t="s">
        <v>178</v>
      </c>
    </row>
    <row r="249" spans="1:3">
      <c r="A249" t="s">
        <v>864</v>
      </c>
      <c r="B249" s="84">
        <v>0.9592682926829269</v>
      </c>
      <c r="C249">
        <v>224</v>
      </c>
    </row>
    <row r="250" spans="1:3">
      <c r="A250" t="s">
        <v>865</v>
      </c>
      <c r="B250" s="84">
        <v>0.99987804878048769</v>
      </c>
      <c r="C250">
        <v>222</v>
      </c>
    </row>
    <row r="251" spans="1:3">
      <c r="A251" t="s">
        <v>866</v>
      </c>
      <c r="B251" s="84">
        <v>1.2380487804878046</v>
      </c>
      <c r="C251">
        <v>210</v>
      </c>
    </row>
    <row r="252" spans="1:3">
      <c r="A252" t="s">
        <v>867</v>
      </c>
      <c r="B252" s="84">
        <v>1.0448780487804878</v>
      </c>
      <c r="C252">
        <v>221</v>
      </c>
    </row>
    <row r="253" spans="1:3">
      <c r="A253" t="s">
        <v>178</v>
      </c>
      <c r="B253" s="84" t="s">
        <v>178</v>
      </c>
      <c r="C253" t="s">
        <v>178</v>
      </c>
    </row>
    <row r="254" spans="1:3">
      <c r="A254" t="s">
        <v>178</v>
      </c>
      <c r="B254" s="84" t="s">
        <v>178</v>
      </c>
      <c r="C254" t="s">
        <v>178</v>
      </c>
    </row>
    <row r="255" spans="1:3">
      <c r="A255" t="s">
        <v>178</v>
      </c>
      <c r="B255" s="84" t="s">
        <v>178</v>
      </c>
      <c r="C255" t="s">
        <v>178</v>
      </c>
    </row>
    <row r="256" spans="1:3">
      <c r="A256" t="s">
        <v>178</v>
      </c>
      <c r="B256" s="84" t="s">
        <v>178</v>
      </c>
      <c r="C256" t="s">
        <v>178</v>
      </c>
    </row>
    <row r="257" spans="1:3">
      <c r="A257" t="s">
        <v>178</v>
      </c>
      <c r="B257" s="84" t="s">
        <v>178</v>
      </c>
      <c r="C257" t="s">
        <v>178</v>
      </c>
    </row>
    <row r="258" spans="1:3">
      <c r="A258" t="s">
        <v>873</v>
      </c>
      <c r="B258" s="84">
        <v>0.99987804878048769</v>
      </c>
      <c r="C258">
        <v>222</v>
      </c>
    </row>
    <row r="259" spans="1:3">
      <c r="A259" t="s">
        <v>178</v>
      </c>
      <c r="B259" s="84" t="s">
        <v>178</v>
      </c>
      <c r="C259" t="s">
        <v>178</v>
      </c>
    </row>
    <row r="260" spans="1:3">
      <c r="A260" t="s">
        <v>178</v>
      </c>
      <c r="B260" s="84" t="s">
        <v>178</v>
      </c>
      <c r="C260" t="s">
        <v>178</v>
      </c>
    </row>
    <row r="261" spans="1:3">
      <c r="A261" t="s">
        <v>178</v>
      </c>
      <c r="B261" s="84" t="s">
        <v>178</v>
      </c>
      <c r="C261" t="s">
        <v>178</v>
      </c>
    </row>
    <row r="262" spans="1:3">
      <c r="A262" t="s">
        <v>877</v>
      </c>
      <c r="B262" s="84">
        <v>1.2106097560975611</v>
      </c>
      <c r="C262">
        <v>213</v>
      </c>
    </row>
    <row r="263" spans="1:3">
      <c r="A263" t="s">
        <v>878</v>
      </c>
      <c r="B263" s="84">
        <v>1.488780487804878</v>
      </c>
      <c r="C263">
        <v>193</v>
      </c>
    </row>
    <row r="264" spans="1:3">
      <c r="A264" t="s">
        <v>178</v>
      </c>
      <c r="B264" s="84" t="s">
        <v>178</v>
      </c>
      <c r="C264" t="s">
        <v>178</v>
      </c>
    </row>
    <row r="265" spans="1:3">
      <c r="A265" t="s">
        <v>178</v>
      </c>
      <c r="B265" s="84" t="s">
        <v>178</v>
      </c>
      <c r="C265" t="s">
        <v>178</v>
      </c>
    </row>
    <row r="266" spans="1:3">
      <c r="A266" t="s">
        <v>178</v>
      </c>
      <c r="B266" s="84" t="s">
        <v>178</v>
      </c>
      <c r="C266" t="s">
        <v>178</v>
      </c>
    </row>
    <row r="267" spans="1:3">
      <c r="A267" t="s">
        <v>178</v>
      </c>
      <c r="B267" s="84" t="s">
        <v>178</v>
      </c>
      <c r="C267" t="s">
        <v>178</v>
      </c>
    </row>
    <row r="268" spans="1:3">
      <c r="A268" t="s">
        <v>883</v>
      </c>
      <c r="B268" s="84">
        <v>0.88878048780487795</v>
      </c>
      <c r="C268">
        <v>229</v>
      </c>
    </row>
    <row r="269" spans="1:3">
      <c r="A269" t="s">
        <v>884</v>
      </c>
      <c r="B269" s="84">
        <v>1.1004878048780486</v>
      </c>
      <c r="C269">
        <v>217</v>
      </c>
    </row>
    <row r="270" spans="1:3">
      <c r="A270" t="s">
        <v>178</v>
      </c>
      <c r="B270" s="84" t="s">
        <v>178</v>
      </c>
      <c r="C270" t="s">
        <v>178</v>
      </c>
    </row>
    <row r="271" spans="1:3">
      <c r="A271" t="s">
        <v>886</v>
      </c>
      <c r="B271" s="84">
        <v>0.88878048780487795</v>
      </c>
      <c r="C271">
        <v>229</v>
      </c>
    </row>
    <row r="272" spans="1:3">
      <c r="A272" t="s">
        <v>887</v>
      </c>
      <c r="B272" s="84">
        <v>1.0760975609756096</v>
      </c>
      <c r="C272">
        <v>218</v>
      </c>
    </row>
    <row r="273" spans="1:3">
      <c r="A273" t="s">
        <v>178</v>
      </c>
      <c r="B273" s="84" t="s">
        <v>178</v>
      </c>
      <c r="C273" t="s">
        <v>178</v>
      </c>
    </row>
    <row r="274" spans="1:3">
      <c r="A274" t="s">
        <v>178</v>
      </c>
      <c r="B274" s="84" t="s">
        <v>178</v>
      </c>
      <c r="C274" t="s">
        <v>178</v>
      </c>
    </row>
    <row r="275" spans="1:3">
      <c r="A275" t="s">
        <v>178</v>
      </c>
      <c r="B275" s="84" t="s">
        <v>178</v>
      </c>
      <c r="C275" t="s">
        <v>178</v>
      </c>
    </row>
    <row r="276" spans="1:3">
      <c r="A276" t="s">
        <v>891</v>
      </c>
      <c r="B276" s="84">
        <v>0.9414634146341464</v>
      </c>
      <c r="C276">
        <v>227</v>
      </c>
    </row>
    <row r="277" spans="1:3">
      <c r="A277" t="s">
        <v>892</v>
      </c>
      <c r="B277" s="84">
        <v>1.3873170731707318</v>
      </c>
      <c r="C277">
        <v>200</v>
      </c>
    </row>
    <row r="278" spans="1:3">
      <c r="A278" t="s">
        <v>178</v>
      </c>
      <c r="B278" s="84" t="s">
        <v>178</v>
      </c>
      <c r="C278" t="s">
        <v>178</v>
      </c>
    </row>
    <row r="279" spans="1:3">
      <c r="A279" t="s">
        <v>894</v>
      </c>
      <c r="B279" s="84">
        <v>0.9414634146341464</v>
      </c>
      <c r="C279">
        <v>227</v>
      </c>
    </row>
    <row r="280" spans="1:3">
      <c r="A280" t="s">
        <v>178</v>
      </c>
      <c r="B280" s="84" t="s">
        <v>178</v>
      </c>
      <c r="C280" t="s">
        <v>178</v>
      </c>
    </row>
    <row r="281" spans="1:3">
      <c r="A281" t="s">
        <v>896</v>
      </c>
      <c r="B281" s="84">
        <v>0.85268292682926838</v>
      </c>
      <c r="C281">
        <v>231</v>
      </c>
    </row>
    <row r="282" spans="1:3">
      <c r="A282" t="s">
        <v>178</v>
      </c>
      <c r="B282" s="84" t="s">
        <v>178</v>
      </c>
      <c r="C282" t="s">
        <v>178</v>
      </c>
    </row>
    <row r="283" spans="1:3">
      <c r="A283" t="s">
        <v>178</v>
      </c>
      <c r="B283" s="84" t="s">
        <v>178</v>
      </c>
      <c r="C283" t="s">
        <v>178</v>
      </c>
    </row>
    <row r="284" spans="1:3">
      <c r="A284" t="s">
        <v>178</v>
      </c>
      <c r="B284" s="84" t="s">
        <v>178</v>
      </c>
      <c r="C284" t="s">
        <v>178</v>
      </c>
    </row>
    <row r="285" spans="1:3">
      <c r="A285" t="s">
        <v>900</v>
      </c>
      <c r="B285" s="84">
        <v>1.3026829268292683</v>
      </c>
      <c r="C285">
        <v>207</v>
      </c>
    </row>
    <row r="286" spans="1:3">
      <c r="A286" t="s">
        <v>901</v>
      </c>
      <c r="B286" s="84">
        <v>0.81268292682926835</v>
      </c>
      <c r="C286">
        <v>232</v>
      </c>
    </row>
    <row r="287" spans="1:3">
      <c r="A287" t="s">
        <v>902</v>
      </c>
      <c r="B287" s="84">
        <v>0.94158536585365848</v>
      </c>
      <c r="C287">
        <v>225</v>
      </c>
    </row>
    <row r="288" spans="1:3">
      <c r="A288" t="s">
        <v>178</v>
      </c>
      <c r="B288" s="84" t="s">
        <v>178</v>
      </c>
      <c r="C288" t="s">
        <v>178</v>
      </c>
    </row>
    <row r="289" spans="1:3">
      <c r="A289" t="s">
        <v>178</v>
      </c>
      <c r="B289" s="84" t="s">
        <v>178</v>
      </c>
      <c r="C289" t="s">
        <v>178</v>
      </c>
    </row>
    <row r="290" spans="1:3">
      <c r="A290" t="s">
        <v>905</v>
      </c>
      <c r="B290" s="84">
        <v>0.81268292682926835</v>
      </c>
      <c r="C290">
        <v>232</v>
      </c>
    </row>
    <row r="291" spans="1:3">
      <c r="A291" t="s">
        <v>178</v>
      </c>
      <c r="B291" s="84" t="s">
        <v>178</v>
      </c>
      <c r="C291" t="s">
        <v>178</v>
      </c>
    </row>
    <row r="292" spans="1:3">
      <c r="A292" t="s">
        <v>178</v>
      </c>
      <c r="B292" s="84" t="s">
        <v>178</v>
      </c>
      <c r="C292" t="s">
        <v>178</v>
      </c>
    </row>
    <row r="293" spans="1:3">
      <c r="A293" t="s">
        <v>908</v>
      </c>
      <c r="B293" s="84">
        <v>0.94158536585365848</v>
      </c>
      <c r="C293">
        <v>225</v>
      </c>
    </row>
    <row r="294" spans="1:3">
      <c r="A294" t="s">
        <v>178</v>
      </c>
      <c r="B294" s="84" t="s">
        <v>178</v>
      </c>
      <c r="C294" t="s">
        <v>178</v>
      </c>
    </row>
    <row r="295" spans="1:3">
      <c r="A295" t="s">
        <v>910</v>
      </c>
      <c r="B295" s="84">
        <v>1.2139024390243904</v>
      </c>
      <c r="C295">
        <v>212</v>
      </c>
    </row>
    <row r="296" spans="1:3">
      <c r="A296" t="s">
        <v>178</v>
      </c>
      <c r="B296" s="84" t="s">
        <v>178</v>
      </c>
      <c r="C296" t="s">
        <v>178</v>
      </c>
    </row>
    <row r="297" spans="1:3">
      <c r="A297" t="s">
        <v>178</v>
      </c>
      <c r="B297" s="84" t="s">
        <v>178</v>
      </c>
      <c r="C297" t="s">
        <v>178</v>
      </c>
    </row>
    <row r="298" spans="1:3">
      <c r="A298" t="s">
        <v>178</v>
      </c>
      <c r="B298" s="84" t="s">
        <v>178</v>
      </c>
      <c r="C298" t="s">
        <v>178</v>
      </c>
    </row>
    <row r="299" spans="1:3">
      <c r="A299" t="s">
        <v>178</v>
      </c>
      <c r="B299" s="84" t="s">
        <v>178</v>
      </c>
      <c r="C299" t="s">
        <v>178</v>
      </c>
    </row>
    <row r="300" spans="1:3">
      <c r="A300" t="s">
        <v>178</v>
      </c>
      <c r="B300" s="84" t="s">
        <v>178</v>
      </c>
      <c r="C300" t="s">
        <v>178</v>
      </c>
    </row>
    <row r="301" spans="1:3">
      <c r="A301" t="s">
        <v>178</v>
      </c>
      <c r="B301" s="84" t="s">
        <v>178</v>
      </c>
      <c r="C301" t="s">
        <v>178</v>
      </c>
    </row>
    <row r="302" spans="1:3">
      <c r="A302" t="s">
        <v>178</v>
      </c>
      <c r="B302" s="84" t="s">
        <v>178</v>
      </c>
      <c r="C302" t="s">
        <v>178</v>
      </c>
    </row>
    <row r="303" spans="1:3">
      <c r="A303" t="s">
        <v>178</v>
      </c>
      <c r="B303" s="84" t="s">
        <v>178</v>
      </c>
      <c r="C303" t="s">
        <v>178</v>
      </c>
    </row>
    <row r="304" spans="1:3">
      <c r="A304" t="s">
        <v>178</v>
      </c>
      <c r="B304" s="84" t="s">
        <v>178</v>
      </c>
      <c r="C304" t="s">
        <v>178</v>
      </c>
    </row>
    <row r="305" spans="1:3">
      <c r="A305" t="s">
        <v>920</v>
      </c>
      <c r="B305" s="84">
        <v>0.73097560975609754</v>
      </c>
      <c r="C305">
        <v>234</v>
      </c>
    </row>
    <row r="306" spans="1:3">
      <c r="A306" t="s">
        <v>178</v>
      </c>
      <c r="B306" s="84" t="s">
        <v>178</v>
      </c>
      <c r="C306" t="s">
        <v>178</v>
      </c>
    </row>
    <row r="307" spans="1:3">
      <c r="A307" t="s">
        <v>178</v>
      </c>
      <c r="B307" s="84" t="s">
        <v>178</v>
      </c>
      <c r="C307" t="s">
        <v>178</v>
      </c>
    </row>
    <row r="308" spans="1:3">
      <c r="A308" t="s">
        <v>178</v>
      </c>
      <c r="B308" s="84" t="s">
        <v>178</v>
      </c>
      <c r="C308" t="s">
        <v>178</v>
      </c>
    </row>
    <row r="309" spans="1:3">
      <c r="A309" t="s">
        <v>178</v>
      </c>
      <c r="B309" s="84" t="s">
        <v>178</v>
      </c>
      <c r="C309" t="s">
        <v>178</v>
      </c>
    </row>
    <row r="310" spans="1:3">
      <c r="A310" t="s">
        <v>925</v>
      </c>
      <c r="B310" s="84">
        <v>0.66658536585365857</v>
      </c>
      <c r="C310">
        <v>236</v>
      </c>
    </row>
    <row r="311" spans="1:3">
      <c r="A311" t="s">
        <v>926</v>
      </c>
      <c r="B311" s="84">
        <v>0.69658536585365849</v>
      </c>
      <c r="C311">
        <v>235</v>
      </c>
    </row>
    <row r="312" spans="1:3">
      <c r="A312" t="s">
        <v>927</v>
      </c>
      <c r="B312" s="84">
        <v>0.62341463414634146</v>
      </c>
      <c r="C312">
        <v>237</v>
      </c>
    </row>
    <row r="313" spans="1:3">
      <c r="A313" t="s">
        <v>178</v>
      </c>
      <c r="B313" s="84" t="s">
        <v>178</v>
      </c>
      <c r="C313" t="s">
        <v>178</v>
      </c>
    </row>
    <row r="314" spans="1:3">
      <c r="A314" t="s">
        <v>178</v>
      </c>
      <c r="B314" s="84" t="s">
        <v>178</v>
      </c>
      <c r="C314" t="s">
        <v>178</v>
      </c>
    </row>
    <row r="315" spans="1:3">
      <c r="A315" t="s">
        <v>178</v>
      </c>
      <c r="B315" s="84" t="s">
        <v>178</v>
      </c>
      <c r="C315" t="s">
        <v>178</v>
      </c>
    </row>
    <row r="316" spans="1:3">
      <c r="A316" t="s">
        <v>178</v>
      </c>
      <c r="B316" s="84" t="s">
        <v>178</v>
      </c>
      <c r="C316" t="s">
        <v>178</v>
      </c>
    </row>
    <row r="317" spans="1:3">
      <c r="A317" t="s">
        <v>178</v>
      </c>
      <c r="B317" s="84" t="s">
        <v>178</v>
      </c>
      <c r="C317" t="s">
        <v>178</v>
      </c>
    </row>
    <row r="318" spans="1:3">
      <c r="A318" t="s">
        <v>178</v>
      </c>
      <c r="B318" s="84" t="s">
        <v>178</v>
      </c>
      <c r="C318" t="s">
        <v>178</v>
      </c>
    </row>
    <row r="319" spans="1:3">
      <c r="A319" t="s">
        <v>934</v>
      </c>
      <c r="B319" s="84">
        <v>1.1165853658536584</v>
      </c>
      <c r="C319">
        <v>216</v>
      </c>
    </row>
    <row r="320" spans="1:3">
      <c r="A320" t="s">
        <v>178</v>
      </c>
      <c r="B320" s="84" t="s">
        <v>178</v>
      </c>
      <c r="C320" t="s">
        <v>178</v>
      </c>
    </row>
    <row r="321" spans="1:3">
      <c r="A321" t="s">
        <v>178</v>
      </c>
      <c r="B321" s="84" t="s">
        <v>178</v>
      </c>
      <c r="C321" t="s">
        <v>178</v>
      </c>
    </row>
    <row r="322" spans="1:3">
      <c r="A322" t="s">
        <v>178</v>
      </c>
      <c r="B322" s="84" t="s">
        <v>178</v>
      </c>
      <c r="C322" t="s">
        <v>178</v>
      </c>
    </row>
    <row r="323" spans="1:3">
      <c r="A323" t="s">
        <v>178</v>
      </c>
      <c r="B323" s="84" t="s">
        <v>178</v>
      </c>
      <c r="C323" t="s">
        <v>178</v>
      </c>
    </row>
    <row r="324" spans="1:3">
      <c r="A324" t="s">
        <v>178</v>
      </c>
      <c r="B324" s="84" t="s">
        <v>178</v>
      </c>
      <c r="C324" t="s">
        <v>178</v>
      </c>
    </row>
    <row r="325" spans="1:3">
      <c r="A325" t="s">
        <v>178</v>
      </c>
      <c r="B325" s="84" t="s">
        <v>178</v>
      </c>
      <c r="C325" t="s">
        <v>178</v>
      </c>
    </row>
    <row r="326" spans="1:3">
      <c r="A326" t="s">
        <v>178</v>
      </c>
      <c r="B326" s="84" t="s">
        <v>178</v>
      </c>
      <c r="C326" t="s">
        <v>178</v>
      </c>
    </row>
    <row r="327" spans="1:3">
      <c r="A327" t="s">
        <v>178</v>
      </c>
      <c r="B327" s="84" t="s">
        <v>178</v>
      </c>
      <c r="C327" t="s">
        <v>178</v>
      </c>
    </row>
    <row r="328" spans="1:3">
      <c r="A328" t="s">
        <v>178</v>
      </c>
      <c r="B328" s="84" t="s">
        <v>178</v>
      </c>
      <c r="C328" t="s">
        <v>178</v>
      </c>
    </row>
    <row r="329" spans="1:3">
      <c r="A329" t="s">
        <v>178</v>
      </c>
      <c r="B329" s="84" t="s">
        <v>178</v>
      </c>
      <c r="C329" t="s">
        <v>178</v>
      </c>
    </row>
    <row r="330" spans="1:3">
      <c r="A330" t="s">
        <v>178</v>
      </c>
      <c r="B330" s="84" t="s">
        <v>178</v>
      </c>
      <c r="C330" t="s">
        <v>178</v>
      </c>
    </row>
    <row r="331" spans="1:3">
      <c r="A331" t="s">
        <v>178</v>
      </c>
      <c r="B331" s="84" t="s">
        <v>178</v>
      </c>
      <c r="C331" t="s">
        <v>178</v>
      </c>
    </row>
    <row r="332" spans="1:3">
      <c r="A332" t="s">
        <v>178</v>
      </c>
      <c r="B332" s="84" t="s">
        <v>178</v>
      </c>
      <c r="C332" t="s">
        <v>178</v>
      </c>
    </row>
    <row r="333" spans="1:3">
      <c r="A333" t="s">
        <v>178</v>
      </c>
      <c r="B333" s="84" t="s">
        <v>178</v>
      </c>
      <c r="C333" t="s">
        <v>178</v>
      </c>
    </row>
    <row r="334" spans="1:3">
      <c r="A334" t="s">
        <v>178</v>
      </c>
      <c r="B334" s="84" t="s">
        <v>178</v>
      </c>
      <c r="C334" t="s">
        <v>178</v>
      </c>
    </row>
    <row r="335" spans="1:3">
      <c r="A335" t="s">
        <v>178</v>
      </c>
      <c r="B335" s="84" t="s">
        <v>178</v>
      </c>
      <c r="C335" t="s">
        <v>178</v>
      </c>
    </row>
    <row r="336" spans="1:3">
      <c r="A336" t="s">
        <v>178</v>
      </c>
      <c r="B336" s="84" t="s">
        <v>178</v>
      </c>
      <c r="C336" t="s">
        <v>178</v>
      </c>
    </row>
    <row r="337" spans="1:3">
      <c r="A337" t="s">
        <v>178</v>
      </c>
      <c r="B337" s="84" t="s">
        <v>178</v>
      </c>
      <c r="C337" t="s">
        <v>178</v>
      </c>
    </row>
    <row r="338" spans="1:3">
      <c r="A338" t="s">
        <v>178</v>
      </c>
      <c r="B338" s="84" t="s">
        <v>178</v>
      </c>
      <c r="C338" t="s">
        <v>178</v>
      </c>
    </row>
    <row r="339" spans="1:3">
      <c r="A339" t="s">
        <v>178</v>
      </c>
      <c r="B339" s="84" t="s">
        <v>178</v>
      </c>
      <c r="C339" t="s">
        <v>178</v>
      </c>
    </row>
    <row r="340" spans="1:3">
      <c r="A340" t="s">
        <v>178</v>
      </c>
      <c r="B340" s="84" t="s">
        <v>178</v>
      </c>
      <c r="C340" t="s">
        <v>178</v>
      </c>
    </row>
    <row r="341" spans="1:3">
      <c r="A341" t="s">
        <v>178</v>
      </c>
      <c r="B341" s="84" t="s">
        <v>178</v>
      </c>
      <c r="C341" t="s">
        <v>178</v>
      </c>
    </row>
    <row r="342" spans="1:3">
      <c r="A342" t="s">
        <v>178</v>
      </c>
      <c r="B342" s="84" t="s">
        <v>178</v>
      </c>
      <c r="C342" t="s">
        <v>178</v>
      </c>
    </row>
    <row r="343" spans="1:3">
      <c r="A343" t="s">
        <v>958</v>
      </c>
      <c r="B343" s="84">
        <v>0.5380487804878048</v>
      </c>
      <c r="C343">
        <v>239</v>
      </c>
    </row>
    <row r="344" spans="1:3">
      <c r="A344" t="s">
        <v>178</v>
      </c>
      <c r="B344" s="84" t="s">
        <v>178</v>
      </c>
      <c r="C344" t="s">
        <v>178</v>
      </c>
    </row>
    <row r="345" spans="1:3">
      <c r="A345" t="s">
        <v>178</v>
      </c>
      <c r="B345" s="84" t="s">
        <v>178</v>
      </c>
      <c r="C345" t="s">
        <v>178</v>
      </c>
    </row>
    <row r="346" spans="1:3">
      <c r="A346" t="s">
        <v>178</v>
      </c>
      <c r="B346" s="84" t="s">
        <v>178</v>
      </c>
      <c r="C346" t="s">
        <v>178</v>
      </c>
    </row>
    <row r="347" spans="1:3">
      <c r="A347" t="s">
        <v>178</v>
      </c>
      <c r="B347" s="84" t="s">
        <v>178</v>
      </c>
      <c r="C347" t="s">
        <v>178</v>
      </c>
    </row>
    <row r="348" spans="1:3">
      <c r="A348" t="s">
        <v>963</v>
      </c>
      <c r="B348" s="84">
        <v>0.4873170731707317</v>
      </c>
      <c r="C348">
        <v>241</v>
      </c>
    </row>
    <row r="349" spans="1:3">
      <c r="A349" t="s">
        <v>178</v>
      </c>
      <c r="B349" s="84" t="s">
        <v>178</v>
      </c>
      <c r="C349" t="s">
        <v>178</v>
      </c>
    </row>
    <row r="350" spans="1:3">
      <c r="A350" t="s">
        <v>178</v>
      </c>
      <c r="B350" s="84" t="s">
        <v>178</v>
      </c>
      <c r="C350" t="s">
        <v>178</v>
      </c>
    </row>
    <row r="351" spans="1:3">
      <c r="A351" t="s">
        <v>178</v>
      </c>
      <c r="B351" s="84" t="s">
        <v>178</v>
      </c>
      <c r="C351" t="s">
        <v>178</v>
      </c>
    </row>
    <row r="352" spans="1:3">
      <c r="A352" t="s">
        <v>178</v>
      </c>
      <c r="B352" s="84" t="s">
        <v>178</v>
      </c>
      <c r="C352" t="s">
        <v>178</v>
      </c>
    </row>
    <row r="353" spans="1:3">
      <c r="A353" t="s">
        <v>178</v>
      </c>
      <c r="B353" s="84" t="s">
        <v>178</v>
      </c>
      <c r="C353" t="s">
        <v>178</v>
      </c>
    </row>
    <row r="354" spans="1:3">
      <c r="A354" t="s">
        <v>178</v>
      </c>
      <c r="B354" s="84" t="s">
        <v>178</v>
      </c>
      <c r="C354" t="s">
        <v>178</v>
      </c>
    </row>
    <row r="355" spans="1:3">
      <c r="A355" t="s">
        <v>178</v>
      </c>
      <c r="B355" s="84" t="s">
        <v>178</v>
      </c>
      <c r="C355" t="s">
        <v>178</v>
      </c>
    </row>
    <row r="356" spans="1:3">
      <c r="A356" t="s">
        <v>178</v>
      </c>
      <c r="B356" s="84" t="s">
        <v>178</v>
      </c>
      <c r="C356" t="s">
        <v>178</v>
      </c>
    </row>
    <row r="357" spans="1:3">
      <c r="A357" t="s">
        <v>178</v>
      </c>
      <c r="B357" s="84" t="s">
        <v>178</v>
      </c>
      <c r="C357" t="s">
        <v>178</v>
      </c>
    </row>
    <row r="358" spans="1:3">
      <c r="A358" t="s">
        <v>973</v>
      </c>
      <c r="B358" s="84">
        <v>0.4873170731707317</v>
      </c>
      <c r="C358">
        <v>241</v>
      </c>
    </row>
    <row r="359" spans="1:3">
      <c r="A359" t="s">
        <v>178</v>
      </c>
      <c r="B359" s="84" t="s">
        <v>178</v>
      </c>
      <c r="C359" t="s">
        <v>178</v>
      </c>
    </row>
    <row r="360" spans="1:3">
      <c r="A360" t="s">
        <v>178</v>
      </c>
      <c r="B360" s="84" t="s">
        <v>178</v>
      </c>
      <c r="C360" t="s">
        <v>178</v>
      </c>
    </row>
    <row r="361" spans="1:3">
      <c r="A361" t="s">
        <v>976</v>
      </c>
      <c r="B361" s="84">
        <v>0.44439024390243897</v>
      </c>
      <c r="C361">
        <v>243</v>
      </c>
    </row>
    <row r="362" spans="1:3">
      <c r="A362" t="s">
        <v>178</v>
      </c>
      <c r="B362" s="84" t="s">
        <v>178</v>
      </c>
      <c r="C362" t="s">
        <v>178</v>
      </c>
    </row>
    <row r="363" spans="1:3">
      <c r="A363" t="s">
        <v>178</v>
      </c>
      <c r="B363" s="84" t="s">
        <v>178</v>
      </c>
      <c r="C363" t="s">
        <v>178</v>
      </c>
    </row>
    <row r="364" spans="1:3">
      <c r="A364" t="s">
        <v>979</v>
      </c>
      <c r="B364" s="84">
        <v>0.40353658536585363</v>
      </c>
      <c r="C364">
        <v>248</v>
      </c>
    </row>
    <row r="365" spans="1:3">
      <c r="A365" t="s">
        <v>980</v>
      </c>
      <c r="B365" s="84">
        <v>0.40353658536585368</v>
      </c>
      <c r="C365">
        <v>245</v>
      </c>
    </row>
    <row r="366" spans="1:3">
      <c r="A366" t="s">
        <v>178</v>
      </c>
      <c r="B366" s="84" t="s">
        <v>178</v>
      </c>
      <c r="C366" t="s">
        <v>178</v>
      </c>
    </row>
    <row r="367" spans="1:3">
      <c r="A367" t="s">
        <v>178</v>
      </c>
      <c r="B367" s="84" t="s">
        <v>178</v>
      </c>
      <c r="C367" t="s">
        <v>178</v>
      </c>
    </row>
    <row r="368" spans="1:3">
      <c r="A368" t="s">
        <v>983</v>
      </c>
      <c r="B368" s="84">
        <v>0.31170731707317073</v>
      </c>
      <c r="C368">
        <v>254</v>
      </c>
    </row>
    <row r="369" spans="1:3">
      <c r="A369" t="s">
        <v>178</v>
      </c>
      <c r="B369" s="84" t="s">
        <v>178</v>
      </c>
      <c r="C369" t="s">
        <v>178</v>
      </c>
    </row>
    <row r="370" spans="1:3">
      <c r="A370" t="s">
        <v>178</v>
      </c>
      <c r="B370" s="84" t="s">
        <v>178</v>
      </c>
      <c r="C370" t="s">
        <v>178</v>
      </c>
    </row>
    <row r="371" spans="1:3">
      <c r="A371" t="s">
        <v>178</v>
      </c>
      <c r="B371" s="84" t="s">
        <v>178</v>
      </c>
      <c r="C371" t="s">
        <v>178</v>
      </c>
    </row>
    <row r="372" spans="1:3">
      <c r="A372" t="s">
        <v>178</v>
      </c>
      <c r="B372" s="84" t="s">
        <v>178</v>
      </c>
      <c r="C372" t="s">
        <v>178</v>
      </c>
    </row>
    <row r="373" spans="1:3">
      <c r="A373" t="s">
        <v>178</v>
      </c>
      <c r="B373" s="84" t="s">
        <v>178</v>
      </c>
      <c r="C373" t="s">
        <v>178</v>
      </c>
    </row>
    <row r="374" spans="1:3">
      <c r="A374" t="s">
        <v>178</v>
      </c>
      <c r="B374" s="84" t="s">
        <v>178</v>
      </c>
      <c r="C374" t="s">
        <v>178</v>
      </c>
    </row>
    <row r="375" spans="1:3">
      <c r="A375" t="s">
        <v>990</v>
      </c>
      <c r="B375" s="84">
        <v>0.40353658536585368</v>
      </c>
      <c r="C375">
        <v>245</v>
      </c>
    </row>
    <row r="376" spans="1:3">
      <c r="A376" t="s">
        <v>991</v>
      </c>
      <c r="B376" s="84">
        <v>0.35304878048780491</v>
      </c>
      <c r="C376">
        <v>250</v>
      </c>
    </row>
    <row r="377" spans="1:3">
      <c r="A377" t="s">
        <v>178</v>
      </c>
      <c r="B377" s="84" t="s">
        <v>178</v>
      </c>
      <c r="C377" t="s">
        <v>178</v>
      </c>
    </row>
    <row r="378" spans="1:3">
      <c r="A378" t="s">
        <v>993</v>
      </c>
      <c r="B378" s="84">
        <v>0.55829268292682921</v>
      </c>
      <c r="C378">
        <v>238</v>
      </c>
    </row>
    <row r="379" spans="1:3">
      <c r="A379" t="s">
        <v>178</v>
      </c>
      <c r="B379" s="84" t="s">
        <v>178</v>
      </c>
      <c r="C379" t="s">
        <v>178</v>
      </c>
    </row>
    <row r="380" spans="1:3">
      <c r="A380" t="s">
        <v>995</v>
      </c>
      <c r="B380" s="84">
        <v>0.36548780487804877</v>
      </c>
      <c r="C380">
        <v>249</v>
      </c>
    </row>
    <row r="381" spans="1:3">
      <c r="A381" t="s">
        <v>178</v>
      </c>
      <c r="B381" s="84" t="s">
        <v>178</v>
      </c>
      <c r="C381" t="s">
        <v>178</v>
      </c>
    </row>
    <row r="382" spans="1:3">
      <c r="A382" t="s">
        <v>178</v>
      </c>
      <c r="B382" s="84" t="s">
        <v>178</v>
      </c>
      <c r="C382" t="s">
        <v>178</v>
      </c>
    </row>
    <row r="383" spans="1:3">
      <c r="A383" t="s">
        <v>998</v>
      </c>
      <c r="B383" s="84">
        <v>0.41268292682926822</v>
      </c>
      <c r="C383">
        <v>244</v>
      </c>
    </row>
    <row r="384" spans="1:3">
      <c r="A384" t="s">
        <v>999</v>
      </c>
      <c r="B384" s="84">
        <v>0.31975609756097562</v>
      </c>
      <c r="C384">
        <v>253</v>
      </c>
    </row>
    <row r="385" spans="1:3">
      <c r="A385" t="s">
        <v>178</v>
      </c>
      <c r="B385" s="84" t="s">
        <v>178</v>
      </c>
      <c r="C385" t="s">
        <v>178</v>
      </c>
    </row>
    <row r="386" spans="1:3">
      <c r="A386" t="s">
        <v>1001</v>
      </c>
      <c r="B386" s="84">
        <v>0.52024390243902441</v>
      </c>
      <c r="C386">
        <v>240</v>
      </c>
    </row>
    <row r="387" spans="1:3">
      <c r="A387" t="s">
        <v>1002</v>
      </c>
      <c r="B387" s="84">
        <v>0.40353658536585368</v>
      </c>
      <c r="C387">
        <v>245</v>
      </c>
    </row>
    <row r="388" spans="1:3">
      <c r="A388" t="s">
        <v>178</v>
      </c>
      <c r="B388" s="84" t="s">
        <v>178</v>
      </c>
      <c r="C388" t="s">
        <v>178</v>
      </c>
    </row>
    <row r="389" spans="1:3">
      <c r="A389" t="s">
        <v>178</v>
      </c>
      <c r="B389" s="84" t="s">
        <v>178</v>
      </c>
      <c r="C389" t="s">
        <v>178</v>
      </c>
    </row>
    <row r="390" spans="1:3">
      <c r="A390" t="s">
        <v>178</v>
      </c>
      <c r="B390" s="84" t="s">
        <v>178</v>
      </c>
      <c r="C390" t="s">
        <v>178</v>
      </c>
    </row>
    <row r="391" spans="1:3">
      <c r="A391" t="s">
        <v>1006</v>
      </c>
      <c r="B391" s="84">
        <v>0.34682926829268296</v>
      </c>
      <c r="C391">
        <v>251</v>
      </c>
    </row>
    <row r="392" spans="1:3">
      <c r="A392" t="s">
        <v>178</v>
      </c>
      <c r="B392" s="84" t="s">
        <v>178</v>
      </c>
      <c r="C392" t="s">
        <v>178</v>
      </c>
    </row>
    <row r="393" spans="1:3">
      <c r="A393" t="s">
        <v>1008</v>
      </c>
      <c r="B393" s="84">
        <v>0.2353658536585366</v>
      </c>
      <c r="C393">
        <v>258</v>
      </c>
    </row>
    <row r="394" spans="1:3">
      <c r="A394" t="s">
        <v>178</v>
      </c>
      <c r="B394" s="84" t="s">
        <v>178</v>
      </c>
      <c r="C394" t="s">
        <v>178</v>
      </c>
    </row>
    <row r="395" spans="1:3">
      <c r="A395" t="s">
        <v>178</v>
      </c>
      <c r="B395" s="84" t="s">
        <v>178</v>
      </c>
      <c r="C395" t="s">
        <v>178</v>
      </c>
    </row>
    <row r="396" spans="1:3">
      <c r="A396" t="s">
        <v>178</v>
      </c>
      <c r="B396" s="84" t="s">
        <v>178</v>
      </c>
      <c r="C396" t="s">
        <v>178</v>
      </c>
    </row>
    <row r="397" spans="1:3">
      <c r="A397" t="s">
        <v>178</v>
      </c>
      <c r="B397" s="84" t="s">
        <v>178</v>
      </c>
      <c r="C397" t="s">
        <v>178</v>
      </c>
    </row>
    <row r="398" spans="1:3">
      <c r="A398" t="s">
        <v>1013</v>
      </c>
      <c r="B398" s="84">
        <v>0.2353658536585366</v>
      </c>
      <c r="C398">
        <v>258</v>
      </c>
    </row>
    <row r="399" spans="1:3">
      <c r="A399" t="s">
        <v>178</v>
      </c>
      <c r="B399" s="84" t="s">
        <v>178</v>
      </c>
      <c r="C399" t="s">
        <v>178</v>
      </c>
    </row>
    <row r="400" spans="1:3">
      <c r="A400" t="s">
        <v>1015</v>
      </c>
      <c r="B400" s="84">
        <v>0.2690243902439024</v>
      </c>
      <c r="C400">
        <v>257</v>
      </c>
    </row>
    <row r="401" spans="1:3">
      <c r="A401" t="s">
        <v>1016</v>
      </c>
      <c r="B401" s="84">
        <v>0.34682926829268296</v>
      </c>
      <c r="C401">
        <v>251</v>
      </c>
    </row>
    <row r="402" spans="1:3">
      <c r="A402" t="s">
        <v>178</v>
      </c>
      <c r="B402" s="84" t="s">
        <v>178</v>
      </c>
      <c r="C402" t="s">
        <v>178</v>
      </c>
    </row>
    <row r="403" spans="1:3">
      <c r="A403" t="s">
        <v>178</v>
      </c>
      <c r="B403" s="84" t="s">
        <v>178</v>
      </c>
      <c r="C403" t="s">
        <v>178</v>
      </c>
    </row>
    <row r="404" spans="1:3">
      <c r="A404" t="s">
        <v>1019</v>
      </c>
      <c r="B404" s="84">
        <v>0.23219512195121952</v>
      </c>
      <c r="C404">
        <v>261</v>
      </c>
    </row>
    <row r="405" spans="1:3">
      <c r="A405" t="s">
        <v>178</v>
      </c>
      <c r="B405" s="84" t="s">
        <v>178</v>
      </c>
      <c r="C405" t="s">
        <v>178</v>
      </c>
    </row>
    <row r="406" spans="1:3">
      <c r="A406" t="s">
        <v>178</v>
      </c>
      <c r="B406" s="84" t="s">
        <v>178</v>
      </c>
      <c r="C406" t="s">
        <v>178</v>
      </c>
    </row>
    <row r="407" spans="1:3">
      <c r="A407" t="s">
        <v>178</v>
      </c>
      <c r="B407" s="84" t="s">
        <v>178</v>
      </c>
      <c r="C407" t="s">
        <v>178</v>
      </c>
    </row>
    <row r="408" spans="1:3">
      <c r="A408" t="s">
        <v>178</v>
      </c>
      <c r="B408" s="84" t="s">
        <v>178</v>
      </c>
      <c r="C408" t="s">
        <v>178</v>
      </c>
    </row>
    <row r="409" spans="1:3">
      <c r="A409" t="s">
        <v>1024</v>
      </c>
      <c r="B409" s="84">
        <v>0.27512195121951216</v>
      </c>
      <c r="C409">
        <v>255</v>
      </c>
    </row>
    <row r="410" spans="1:3">
      <c r="A410" t="s">
        <v>178</v>
      </c>
      <c r="B410" s="84" t="s">
        <v>178</v>
      </c>
      <c r="C410" t="s">
        <v>178</v>
      </c>
    </row>
    <row r="411" spans="1:3">
      <c r="A411" t="s">
        <v>178</v>
      </c>
      <c r="B411" s="84" t="s">
        <v>178</v>
      </c>
      <c r="C411" t="s">
        <v>178</v>
      </c>
    </row>
    <row r="412" spans="1:3">
      <c r="A412" t="s">
        <v>178</v>
      </c>
      <c r="B412" s="84" t="s">
        <v>178</v>
      </c>
      <c r="C412" t="s">
        <v>178</v>
      </c>
    </row>
    <row r="413" spans="1:3">
      <c r="A413" t="s">
        <v>1028</v>
      </c>
      <c r="B413" s="84">
        <v>0.20780487804878048</v>
      </c>
      <c r="C413">
        <v>263</v>
      </c>
    </row>
    <row r="414" spans="1:3">
      <c r="A414" t="s">
        <v>178</v>
      </c>
      <c r="B414" s="84" t="s">
        <v>178</v>
      </c>
      <c r="C414" t="s">
        <v>178</v>
      </c>
    </row>
    <row r="415" spans="1:3">
      <c r="A415" t="s">
        <v>178</v>
      </c>
      <c r="B415" s="84" t="s">
        <v>178</v>
      </c>
      <c r="C415" t="s">
        <v>178</v>
      </c>
    </row>
    <row r="416" spans="1:3">
      <c r="A416" t="s">
        <v>178</v>
      </c>
      <c r="B416" s="84" t="s">
        <v>178</v>
      </c>
      <c r="C416" t="s">
        <v>178</v>
      </c>
    </row>
    <row r="417" spans="1:3">
      <c r="A417" t="s">
        <v>1032</v>
      </c>
      <c r="B417" s="84">
        <v>0.22219512195121949</v>
      </c>
      <c r="C417">
        <v>262</v>
      </c>
    </row>
    <row r="418" spans="1:3">
      <c r="A418" t="s">
        <v>1033</v>
      </c>
      <c r="B418" s="84">
        <v>0.27512195121951216</v>
      </c>
      <c r="C418">
        <v>255</v>
      </c>
    </row>
    <row r="419" spans="1:3">
      <c r="A419" t="s">
        <v>178</v>
      </c>
      <c r="B419" s="84" t="s">
        <v>178</v>
      </c>
      <c r="C419" t="s">
        <v>178</v>
      </c>
    </row>
    <row r="420" spans="1:3">
      <c r="A420" t="s">
        <v>1035</v>
      </c>
      <c r="B420" s="84">
        <v>0.2353658536585366</v>
      </c>
      <c r="C420">
        <v>258</v>
      </c>
    </row>
    <row r="421" spans="1:3">
      <c r="A421" t="s">
        <v>178</v>
      </c>
      <c r="B421" s="84" t="s">
        <v>178</v>
      </c>
      <c r="C421" t="s">
        <v>178</v>
      </c>
    </row>
    <row r="422" spans="1:3">
      <c r="A422" t="s">
        <v>178</v>
      </c>
      <c r="B422" s="84" t="s">
        <v>178</v>
      </c>
      <c r="C422" t="s">
        <v>178</v>
      </c>
    </row>
    <row r="423" spans="1:3">
      <c r="A423" t="s">
        <v>178</v>
      </c>
      <c r="B423" s="84" t="s">
        <v>178</v>
      </c>
      <c r="C423" t="s">
        <v>178</v>
      </c>
    </row>
    <row r="424" spans="1:3">
      <c r="A424" t="s">
        <v>1039</v>
      </c>
      <c r="B424" s="84">
        <v>0.11609756097560976</v>
      </c>
      <c r="C424">
        <v>278</v>
      </c>
    </row>
    <row r="425" spans="1:3">
      <c r="A425" t="s">
        <v>178</v>
      </c>
      <c r="B425" s="84" t="s">
        <v>178</v>
      </c>
      <c r="C425" t="s">
        <v>178</v>
      </c>
    </row>
    <row r="426" spans="1:3">
      <c r="A426" t="s">
        <v>1041</v>
      </c>
      <c r="B426" s="84">
        <v>0.11109756097560974</v>
      </c>
      <c r="C426">
        <v>280</v>
      </c>
    </row>
    <row r="427" spans="1:3">
      <c r="A427" t="s">
        <v>1042</v>
      </c>
      <c r="B427" s="84">
        <v>0.11109756097560974</v>
      </c>
      <c r="C427">
        <v>280</v>
      </c>
    </row>
    <row r="428" spans="1:3">
      <c r="A428" t="s">
        <v>1043</v>
      </c>
      <c r="B428" s="84">
        <v>0.12182926829268292</v>
      </c>
      <c r="C428">
        <v>274</v>
      </c>
    </row>
    <row r="429" spans="1:3">
      <c r="A429" t="s">
        <v>1044</v>
      </c>
      <c r="B429" s="84">
        <v>0.17341463414634148</v>
      </c>
      <c r="C429">
        <v>266</v>
      </c>
    </row>
    <row r="430" spans="1:3">
      <c r="A430" t="s">
        <v>178</v>
      </c>
      <c r="B430" s="84" t="s">
        <v>178</v>
      </c>
      <c r="C430" t="s">
        <v>178</v>
      </c>
    </row>
    <row r="431" spans="1:3">
      <c r="A431" t="s">
        <v>1046</v>
      </c>
      <c r="B431" s="84">
        <v>0.1345121951219512</v>
      </c>
      <c r="C431">
        <v>271</v>
      </c>
    </row>
    <row r="432" spans="1:3">
      <c r="A432" t="s">
        <v>1047</v>
      </c>
      <c r="B432" s="84">
        <v>0.13451219512195123</v>
      </c>
      <c r="C432">
        <v>269</v>
      </c>
    </row>
    <row r="433" spans="1:3">
      <c r="A433" t="s">
        <v>178</v>
      </c>
      <c r="B433" s="84" t="s">
        <v>178</v>
      </c>
      <c r="C433" t="s">
        <v>178</v>
      </c>
    </row>
    <row r="434" spans="1:3">
      <c r="A434" t="s">
        <v>178</v>
      </c>
      <c r="B434" s="84" t="s">
        <v>178</v>
      </c>
      <c r="C434" t="s">
        <v>178</v>
      </c>
    </row>
    <row r="435" spans="1:3">
      <c r="A435" t="s">
        <v>1050</v>
      </c>
      <c r="B435" s="84">
        <v>0.13756097560975608</v>
      </c>
      <c r="C435">
        <v>267</v>
      </c>
    </row>
    <row r="436" spans="1:3">
      <c r="A436" t="s">
        <v>178</v>
      </c>
      <c r="B436" s="84" t="s">
        <v>178</v>
      </c>
      <c r="C436" t="s">
        <v>178</v>
      </c>
    </row>
    <row r="437" spans="1:3">
      <c r="A437" t="s">
        <v>178</v>
      </c>
      <c r="B437" s="84" t="s">
        <v>178</v>
      </c>
      <c r="C437" t="s">
        <v>178</v>
      </c>
    </row>
    <row r="438" spans="1:3">
      <c r="A438" t="s">
        <v>178</v>
      </c>
      <c r="B438" s="84" t="s">
        <v>178</v>
      </c>
      <c r="C438" t="s">
        <v>178</v>
      </c>
    </row>
    <row r="439" spans="1:3">
      <c r="A439" t="s">
        <v>1054</v>
      </c>
      <c r="B439" s="84">
        <v>0.1176829268292683</v>
      </c>
      <c r="C439">
        <v>277</v>
      </c>
    </row>
    <row r="440" spans="1:3">
      <c r="A440" t="s">
        <v>178</v>
      </c>
      <c r="B440" s="84" t="s">
        <v>178</v>
      </c>
      <c r="C440" t="s">
        <v>178</v>
      </c>
    </row>
    <row r="441" spans="1:3">
      <c r="A441" t="s">
        <v>178</v>
      </c>
      <c r="B441" s="84" t="s">
        <v>178</v>
      </c>
      <c r="C441" t="s">
        <v>178</v>
      </c>
    </row>
    <row r="442" spans="1:3">
      <c r="A442" t="s">
        <v>178</v>
      </c>
      <c r="B442" s="84" t="s">
        <v>178</v>
      </c>
      <c r="C442" t="s">
        <v>178</v>
      </c>
    </row>
    <row r="443" spans="1:3">
      <c r="A443" t="s">
        <v>1058</v>
      </c>
      <c r="B443" s="84">
        <v>0.18609756097560975</v>
      </c>
      <c r="C443">
        <v>264</v>
      </c>
    </row>
    <row r="444" spans="1:3">
      <c r="A444" t="s">
        <v>1059</v>
      </c>
      <c r="B444" s="84">
        <v>0.11609756097560976</v>
      </c>
      <c r="C444">
        <v>278</v>
      </c>
    </row>
    <row r="445" spans="1:3">
      <c r="A445" t="s">
        <v>178</v>
      </c>
      <c r="B445" s="84" t="s">
        <v>178</v>
      </c>
      <c r="C445" t="s">
        <v>178</v>
      </c>
    </row>
    <row r="446" spans="1:3">
      <c r="A446" t="s">
        <v>1061</v>
      </c>
      <c r="B446" s="84">
        <v>0.18609756097560975</v>
      </c>
      <c r="C446">
        <v>264</v>
      </c>
    </row>
    <row r="447" spans="1:3">
      <c r="A447" t="s">
        <v>178</v>
      </c>
      <c r="B447" s="84" t="s">
        <v>178</v>
      </c>
      <c r="C447" t="s">
        <v>178</v>
      </c>
    </row>
    <row r="448" spans="1:3">
      <c r="A448" t="s">
        <v>178</v>
      </c>
      <c r="B448" s="84" t="s">
        <v>178</v>
      </c>
      <c r="C448" t="s">
        <v>178</v>
      </c>
    </row>
    <row r="449" spans="1:3">
      <c r="A449" t="s">
        <v>178</v>
      </c>
      <c r="B449" s="84" t="s">
        <v>178</v>
      </c>
      <c r="C449" t="s">
        <v>178</v>
      </c>
    </row>
    <row r="450" spans="1:3">
      <c r="A450" t="s">
        <v>178</v>
      </c>
      <c r="B450" s="84" t="s">
        <v>178</v>
      </c>
      <c r="C450" t="s">
        <v>178</v>
      </c>
    </row>
    <row r="451" spans="1:3">
      <c r="A451" t="s">
        <v>178</v>
      </c>
      <c r="B451" s="84" t="s">
        <v>178</v>
      </c>
      <c r="C451" t="s">
        <v>178</v>
      </c>
    </row>
    <row r="452" spans="1:3">
      <c r="A452" t="s">
        <v>1067</v>
      </c>
      <c r="B452" s="84">
        <v>0.1345121951219512</v>
      </c>
      <c r="C452">
        <v>271</v>
      </c>
    </row>
    <row r="453" spans="1:3">
      <c r="A453" t="s">
        <v>1068</v>
      </c>
      <c r="B453" s="84">
        <v>0.13756097560975608</v>
      </c>
      <c r="C453">
        <v>267</v>
      </c>
    </row>
    <row r="454" spans="1:3">
      <c r="A454" t="s">
        <v>178</v>
      </c>
      <c r="B454" s="84" t="s">
        <v>178</v>
      </c>
      <c r="C454" t="s">
        <v>178</v>
      </c>
    </row>
    <row r="455" spans="1:3">
      <c r="A455" t="s">
        <v>178</v>
      </c>
      <c r="B455" s="84" t="s">
        <v>178</v>
      </c>
      <c r="C455" t="s">
        <v>178</v>
      </c>
    </row>
    <row r="456" spans="1:3">
      <c r="A456" t="s">
        <v>178</v>
      </c>
      <c r="B456" s="84" t="s">
        <v>178</v>
      </c>
      <c r="C456" t="s">
        <v>178</v>
      </c>
    </row>
    <row r="457" spans="1:3">
      <c r="A457" t="s">
        <v>178</v>
      </c>
      <c r="B457" s="84" t="s">
        <v>178</v>
      </c>
      <c r="C457" t="s">
        <v>178</v>
      </c>
    </row>
    <row r="458" spans="1:3">
      <c r="A458" t="s">
        <v>178</v>
      </c>
      <c r="B458" s="84" t="s">
        <v>178</v>
      </c>
      <c r="C458" t="s">
        <v>178</v>
      </c>
    </row>
    <row r="459" spans="1:3">
      <c r="A459" t="s">
        <v>178</v>
      </c>
      <c r="B459" s="84" t="s">
        <v>178</v>
      </c>
      <c r="C459" t="s">
        <v>178</v>
      </c>
    </row>
    <row r="460" spans="1:3">
      <c r="A460" t="s">
        <v>178</v>
      </c>
      <c r="B460" s="84" t="s">
        <v>178</v>
      </c>
      <c r="C460" t="s">
        <v>178</v>
      </c>
    </row>
    <row r="461" spans="1:3">
      <c r="A461" t="s">
        <v>178</v>
      </c>
      <c r="B461" s="84" t="s">
        <v>178</v>
      </c>
      <c r="C461" t="s">
        <v>178</v>
      </c>
    </row>
    <row r="462" spans="1:3">
      <c r="A462" t="s">
        <v>178</v>
      </c>
      <c r="B462" s="84" t="s">
        <v>178</v>
      </c>
      <c r="C462" t="s">
        <v>178</v>
      </c>
    </row>
    <row r="463" spans="1:3">
      <c r="A463" t="s">
        <v>178</v>
      </c>
      <c r="B463" s="84" t="s">
        <v>178</v>
      </c>
      <c r="C463" t="s">
        <v>178</v>
      </c>
    </row>
    <row r="464" spans="1:3">
      <c r="A464" t="s">
        <v>178</v>
      </c>
      <c r="B464" s="84" t="s">
        <v>178</v>
      </c>
      <c r="C464" t="s">
        <v>178</v>
      </c>
    </row>
    <row r="465" spans="1:3">
      <c r="A465" t="s">
        <v>178</v>
      </c>
      <c r="B465" s="84" t="s">
        <v>178</v>
      </c>
      <c r="C465" t="s">
        <v>178</v>
      </c>
    </row>
    <row r="466" spans="1:3">
      <c r="A466" t="s">
        <v>178</v>
      </c>
      <c r="B466" s="84" t="s">
        <v>178</v>
      </c>
      <c r="C466" t="s">
        <v>178</v>
      </c>
    </row>
    <row r="467" spans="1:3">
      <c r="A467" t="s">
        <v>1082</v>
      </c>
      <c r="B467" s="84">
        <v>0.1345121951219512</v>
      </c>
      <c r="C467">
        <v>271</v>
      </c>
    </row>
    <row r="468" spans="1:3">
      <c r="A468" t="s">
        <v>1083</v>
      </c>
      <c r="B468" s="84">
        <v>0.10658536585365855</v>
      </c>
      <c r="C468">
        <v>284</v>
      </c>
    </row>
    <row r="469" spans="1:3">
      <c r="A469" t="s">
        <v>178</v>
      </c>
      <c r="B469" s="84" t="s">
        <v>178</v>
      </c>
      <c r="C469" t="s">
        <v>178</v>
      </c>
    </row>
    <row r="470" spans="1:3">
      <c r="A470" t="s">
        <v>178</v>
      </c>
      <c r="B470" s="84" t="s">
        <v>178</v>
      </c>
      <c r="C470" t="s">
        <v>178</v>
      </c>
    </row>
    <row r="471" spans="1:3">
      <c r="A471" t="s">
        <v>178</v>
      </c>
      <c r="B471" s="84" t="s">
        <v>178</v>
      </c>
      <c r="C471" t="s">
        <v>178</v>
      </c>
    </row>
    <row r="472" spans="1:3">
      <c r="A472" t="s">
        <v>178</v>
      </c>
      <c r="B472" s="84" t="s">
        <v>178</v>
      </c>
      <c r="C472" t="s">
        <v>178</v>
      </c>
    </row>
    <row r="473" spans="1:3">
      <c r="A473" t="s">
        <v>178</v>
      </c>
      <c r="B473" s="84" t="s">
        <v>178</v>
      </c>
      <c r="C473" t="s">
        <v>178</v>
      </c>
    </row>
    <row r="474" spans="1:3">
      <c r="A474" t="s">
        <v>1089</v>
      </c>
      <c r="B474" s="84">
        <v>0.11109756097560974</v>
      </c>
      <c r="C474">
        <v>280</v>
      </c>
    </row>
    <row r="475" spans="1:3">
      <c r="A475" t="s">
        <v>1090</v>
      </c>
      <c r="B475" s="84">
        <v>0.13451219512195123</v>
      </c>
      <c r="C475">
        <v>269</v>
      </c>
    </row>
    <row r="476" spans="1:3">
      <c r="A476" t="s">
        <v>178</v>
      </c>
      <c r="B476" s="84" t="s">
        <v>178</v>
      </c>
      <c r="C476" t="s">
        <v>178</v>
      </c>
    </row>
    <row r="477" spans="1:3">
      <c r="A477" t="s">
        <v>1092</v>
      </c>
      <c r="B477" s="84">
        <v>0.12182926829268292</v>
      </c>
      <c r="C477">
        <v>274</v>
      </c>
    </row>
    <row r="478" spans="1:3">
      <c r="A478" t="s">
        <v>178</v>
      </c>
      <c r="B478" s="84" t="s">
        <v>178</v>
      </c>
      <c r="C478" t="s">
        <v>178</v>
      </c>
    </row>
    <row r="479" spans="1:3">
      <c r="A479" t="s">
        <v>1094</v>
      </c>
      <c r="B479" s="84">
        <v>0.10658536585365855</v>
      </c>
      <c r="C479">
        <v>284</v>
      </c>
    </row>
    <row r="480" spans="1:3">
      <c r="A480" t="s">
        <v>1095</v>
      </c>
      <c r="B480" s="84">
        <v>0.10658536585365855</v>
      </c>
      <c r="C480">
        <v>284</v>
      </c>
    </row>
    <row r="481" spans="1:3">
      <c r="A481" t="s">
        <v>1096</v>
      </c>
      <c r="B481" s="84">
        <v>0.11109756097560974</v>
      </c>
      <c r="C481">
        <v>280</v>
      </c>
    </row>
    <row r="482" spans="1:3">
      <c r="A482" t="s">
        <v>178</v>
      </c>
      <c r="B482" s="84" t="s">
        <v>178</v>
      </c>
      <c r="C482" t="s">
        <v>178</v>
      </c>
    </row>
    <row r="483" spans="1:3">
      <c r="A483" t="s">
        <v>178</v>
      </c>
      <c r="B483" s="84" t="s">
        <v>178</v>
      </c>
      <c r="C483" t="s">
        <v>178</v>
      </c>
    </row>
    <row r="484" spans="1:3">
      <c r="A484" t="s">
        <v>1099</v>
      </c>
      <c r="B484" s="84">
        <v>0.10390243902439024</v>
      </c>
      <c r="C484">
        <v>287</v>
      </c>
    </row>
    <row r="485" spans="1:3">
      <c r="A485" t="s">
        <v>1100</v>
      </c>
      <c r="B485" s="84">
        <v>0.12182926829268292</v>
      </c>
      <c r="C485">
        <v>274</v>
      </c>
    </row>
    <row r="486" spans="1:3">
      <c r="A486" t="s">
        <v>178</v>
      </c>
      <c r="B486" s="84" t="s">
        <v>178</v>
      </c>
      <c r="C486" t="s">
        <v>178</v>
      </c>
    </row>
    <row r="487" spans="1:3">
      <c r="A487" t="s">
        <v>178</v>
      </c>
      <c r="B487" s="84" t="s">
        <v>178</v>
      </c>
      <c r="C487" t="s">
        <v>178</v>
      </c>
    </row>
    <row r="488" spans="1:3">
      <c r="A488" t="s">
        <v>1103</v>
      </c>
      <c r="B488" s="84">
        <v>0</v>
      </c>
      <c r="C488">
        <v>288</v>
      </c>
    </row>
    <row r="489" spans="1:3">
      <c r="A489" t="s">
        <v>1104</v>
      </c>
      <c r="B489" s="84">
        <v>0</v>
      </c>
      <c r="C489">
        <v>288</v>
      </c>
    </row>
    <row r="490" spans="1:3">
      <c r="A490" t="s">
        <v>178</v>
      </c>
      <c r="B490" s="84" t="s">
        <v>178</v>
      </c>
      <c r="C490" t="s">
        <v>178</v>
      </c>
    </row>
    <row r="491" spans="1:3">
      <c r="A491" t="s">
        <v>1106</v>
      </c>
      <c r="B491" s="84">
        <v>0</v>
      </c>
      <c r="C491">
        <v>288</v>
      </c>
    </row>
    <row r="492" spans="1:3">
      <c r="A492" t="s">
        <v>178</v>
      </c>
      <c r="B492" s="84" t="s">
        <v>178</v>
      </c>
      <c r="C492" t="s">
        <v>178</v>
      </c>
    </row>
    <row r="493" spans="1:3">
      <c r="A493" t="s">
        <v>178</v>
      </c>
      <c r="B493" s="84" t="s">
        <v>178</v>
      </c>
      <c r="C493" t="s">
        <v>178</v>
      </c>
    </row>
    <row r="494" spans="1:3">
      <c r="A494" t="s">
        <v>178</v>
      </c>
      <c r="B494" s="84" t="s">
        <v>178</v>
      </c>
      <c r="C494" t="s">
        <v>178</v>
      </c>
    </row>
    <row r="495" spans="1:3">
      <c r="A495" t="s">
        <v>178</v>
      </c>
      <c r="B495" s="84" t="s">
        <v>178</v>
      </c>
      <c r="C495" t="s">
        <v>178</v>
      </c>
    </row>
    <row r="496" spans="1:3">
      <c r="A496" t="s">
        <v>178</v>
      </c>
      <c r="B496" s="84" t="s">
        <v>178</v>
      </c>
      <c r="C496" t="s">
        <v>178</v>
      </c>
    </row>
    <row r="497" spans="1:3">
      <c r="A497" t="s">
        <v>178</v>
      </c>
      <c r="B497" s="84" t="s">
        <v>178</v>
      </c>
      <c r="C497" t="s">
        <v>178</v>
      </c>
    </row>
    <row r="498" spans="1:3">
      <c r="A498" t="s">
        <v>178</v>
      </c>
      <c r="B498" s="84" t="s">
        <v>178</v>
      </c>
      <c r="C498" t="s">
        <v>178</v>
      </c>
    </row>
    <row r="499" spans="1:3">
      <c r="A499" t="s">
        <v>178</v>
      </c>
      <c r="B499" s="84" t="s">
        <v>178</v>
      </c>
      <c r="C499" t="s">
        <v>178</v>
      </c>
    </row>
    <row r="500" spans="1:3">
      <c r="A500" t="s">
        <v>178</v>
      </c>
      <c r="B500" s="84" t="s">
        <v>178</v>
      </c>
      <c r="C500" t="s">
        <v>178</v>
      </c>
    </row>
    <row r="501" spans="1:3">
      <c r="A501" t="s">
        <v>178</v>
      </c>
      <c r="B501" s="84" t="s">
        <v>178</v>
      </c>
      <c r="C501" t="s">
        <v>178</v>
      </c>
    </row>
    <row r="502" spans="1:3">
      <c r="A502" t="s">
        <v>1117</v>
      </c>
      <c r="B502" s="84">
        <v>0</v>
      </c>
      <c r="C502">
        <v>288</v>
      </c>
    </row>
    <row r="503" spans="1:3">
      <c r="A503" t="s">
        <v>178</v>
      </c>
      <c r="B503" s="84" t="s">
        <v>178</v>
      </c>
      <c r="C503" t="s">
        <v>178</v>
      </c>
    </row>
    <row r="504" spans="1:3">
      <c r="A504" t="s">
        <v>178</v>
      </c>
      <c r="B504" s="84" t="s">
        <v>178</v>
      </c>
      <c r="C504" t="s">
        <v>178</v>
      </c>
    </row>
    <row r="505" spans="1:3">
      <c r="A505" t="s">
        <v>178</v>
      </c>
      <c r="B505" s="84" t="s">
        <v>178</v>
      </c>
      <c r="C505" t="s">
        <v>178</v>
      </c>
    </row>
    <row r="506" spans="1:3">
      <c r="A506" t="s">
        <v>1121</v>
      </c>
      <c r="B506" s="84">
        <v>0</v>
      </c>
      <c r="C506">
        <v>288</v>
      </c>
    </row>
    <row r="507" spans="1:3">
      <c r="A507" t="s">
        <v>178</v>
      </c>
      <c r="B507" s="84" t="s">
        <v>178</v>
      </c>
      <c r="C507" t="s">
        <v>178</v>
      </c>
    </row>
    <row r="508" spans="1:3">
      <c r="A508" t="s">
        <v>178</v>
      </c>
      <c r="B508" s="84" t="s">
        <v>178</v>
      </c>
      <c r="C508" t="s">
        <v>178</v>
      </c>
    </row>
    <row r="509" spans="1:3">
      <c r="A509" t="s">
        <v>178</v>
      </c>
      <c r="B509" s="84" t="s">
        <v>178</v>
      </c>
      <c r="C509" t="s">
        <v>178</v>
      </c>
    </row>
    <row r="510" spans="1:3">
      <c r="A510" t="s">
        <v>1125</v>
      </c>
      <c r="B510" s="84">
        <v>0</v>
      </c>
      <c r="C510">
        <v>288</v>
      </c>
    </row>
    <row r="511" spans="1:3">
      <c r="A511" t="s">
        <v>178</v>
      </c>
      <c r="B511" s="84" t="s">
        <v>178</v>
      </c>
      <c r="C511" t="s">
        <v>178</v>
      </c>
    </row>
    <row r="512" spans="1:3">
      <c r="A512" t="s">
        <v>178</v>
      </c>
      <c r="B512" s="84" t="s">
        <v>178</v>
      </c>
      <c r="C512" t="s">
        <v>178</v>
      </c>
    </row>
    <row r="513" spans="1:3">
      <c r="A513" t="s">
        <v>1128</v>
      </c>
      <c r="B513" s="84">
        <v>0</v>
      </c>
      <c r="C513">
        <v>288</v>
      </c>
    </row>
    <row r="514" spans="1:3">
      <c r="A514" t="s">
        <v>1129</v>
      </c>
      <c r="B514" s="84">
        <v>0</v>
      </c>
      <c r="C514">
        <v>288</v>
      </c>
    </row>
    <row r="515" spans="1:3">
      <c r="A515" t="s">
        <v>178</v>
      </c>
      <c r="B515" s="84" t="s">
        <v>178</v>
      </c>
      <c r="C515" t="s">
        <v>178</v>
      </c>
    </row>
    <row r="516" spans="1:3">
      <c r="A516" t="s">
        <v>178</v>
      </c>
      <c r="B516" s="84" t="s">
        <v>178</v>
      </c>
      <c r="C516" t="s">
        <v>178</v>
      </c>
    </row>
    <row r="517" spans="1:3">
      <c r="A517" t="s">
        <v>1132</v>
      </c>
      <c r="B517" s="84">
        <v>0</v>
      </c>
      <c r="C517">
        <v>288</v>
      </c>
    </row>
    <row r="518" spans="1:3">
      <c r="A518" t="s">
        <v>178</v>
      </c>
      <c r="B518" s="84" t="s">
        <v>178</v>
      </c>
      <c r="C518" t="s">
        <v>178</v>
      </c>
    </row>
    <row r="519" spans="1:3">
      <c r="A519" t="s">
        <v>1134</v>
      </c>
      <c r="B519" s="84">
        <v>0</v>
      </c>
      <c r="C519">
        <v>288</v>
      </c>
    </row>
    <row r="520" spans="1:3">
      <c r="A520" t="s">
        <v>178</v>
      </c>
      <c r="B520" s="84" t="s">
        <v>178</v>
      </c>
      <c r="C520" t="s">
        <v>178</v>
      </c>
    </row>
    <row r="521" spans="1:3">
      <c r="A521" t="s">
        <v>178</v>
      </c>
      <c r="B521" s="84" t="s">
        <v>178</v>
      </c>
      <c r="C521" t="s">
        <v>178</v>
      </c>
    </row>
    <row r="522" spans="1:3">
      <c r="A522" t="s">
        <v>178</v>
      </c>
      <c r="B522" s="84" t="s">
        <v>178</v>
      </c>
      <c r="C522" t="s">
        <v>178</v>
      </c>
    </row>
    <row r="523" spans="1:3">
      <c r="A523" t="s">
        <v>178</v>
      </c>
      <c r="B523" s="84" t="s">
        <v>178</v>
      </c>
      <c r="C523" t="s">
        <v>178</v>
      </c>
    </row>
    <row r="524" spans="1:3">
      <c r="A524" t="s">
        <v>178</v>
      </c>
      <c r="B524" s="84" t="s">
        <v>178</v>
      </c>
      <c r="C524" t="s">
        <v>178</v>
      </c>
    </row>
    <row r="525" spans="1:3">
      <c r="A525" t="s">
        <v>178</v>
      </c>
      <c r="B525" s="84" t="s">
        <v>178</v>
      </c>
      <c r="C525" t="s">
        <v>178</v>
      </c>
    </row>
    <row r="526" spans="1:3">
      <c r="A526" t="s">
        <v>178</v>
      </c>
      <c r="B526" s="84" t="s">
        <v>178</v>
      </c>
      <c r="C526" t="s">
        <v>178</v>
      </c>
    </row>
    <row r="527" spans="1:3">
      <c r="A527" t="s">
        <v>178</v>
      </c>
      <c r="B527" s="84" t="s">
        <v>178</v>
      </c>
      <c r="C527" t="s">
        <v>178</v>
      </c>
    </row>
    <row r="528" spans="1:3">
      <c r="A528" t="s">
        <v>1143</v>
      </c>
      <c r="B528" s="84">
        <v>0</v>
      </c>
      <c r="C528">
        <v>288</v>
      </c>
    </row>
    <row r="529" spans="1:3">
      <c r="A529" t="s">
        <v>178</v>
      </c>
      <c r="B529" s="84" t="s">
        <v>178</v>
      </c>
      <c r="C529" t="s">
        <v>178</v>
      </c>
    </row>
    <row r="530" spans="1:3">
      <c r="A530" t="s">
        <v>1145</v>
      </c>
      <c r="B530" s="84">
        <v>0</v>
      </c>
      <c r="C530">
        <v>288</v>
      </c>
    </row>
    <row r="531" spans="1:3">
      <c r="A531" t="s">
        <v>1146</v>
      </c>
      <c r="B531" s="84">
        <v>0</v>
      </c>
      <c r="C531">
        <v>288</v>
      </c>
    </row>
    <row r="532" spans="1:3">
      <c r="A532" t="s">
        <v>1147</v>
      </c>
      <c r="B532" s="84">
        <v>0</v>
      </c>
      <c r="C532">
        <v>288</v>
      </c>
    </row>
    <row r="533" spans="1:3">
      <c r="A533" t="s">
        <v>178</v>
      </c>
      <c r="B533" s="84" t="s">
        <v>178</v>
      </c>
      <c r="C533" t="s">
        <v>178</v>
      </c>
    </row>
    <row r="534" spans="1:3">
      <c r="A534" t="s">
        <v>178</v>
      </c>
      <c r="B534" s="84" t="s">
        <v>178</v>
      </c>
      <c r="C534" t="s">
        <v>178</v>
      </c>
    </row>
    <row r="535" spans="1:3">
      <c r="A535" t="s">
        <v>178</v>
      </c>
      <c r="B535" s="84" t="s">
        <v>178</v>
      </c>
      <c r="C535" t="s">
        <v>178</v>
      </c>
    </row>
    <row r="536" spans="1:3">
      <c r="A536" t="s">
        <v>1151</v>
      </c>
      <c r="B536" s="84">
        <v>0</v>
      </c>
      <c r="C536">
        <v>288</v>
      </c>
    </row>
    <row r="537" spans="1:3">
      <c r="A537" t="s">
        <v>1152</v>
      </c>
      <c r="B537" s="84">
        <v>0</v>
      </c>
      <c r="C537">
        <v>288</v>
      </c>
    </row>
    <row r="538" spans="1:3">
      <c r="A538" t="s">
        <v>178</v>
      </c>
      <c r="B538" s="84" t="s">
        <v>178</v>
      </c>
      <c r="C538" t="s">
        <v>178</v>
      </c>
    </row>
    <row r="539" spans="1:3">
      <c r="A539" t="s">
        <v>1154</v>
      </c>
      <c r="B539" s="84">
        <v>0</v>
      </c>
      <c r="C539">
        <v>288</v>
      </c>
    </row>
    <row r="540" spans="1:3">
      <c r="A540" t="s">
        <v>178</v>
      </c>
      <c r="B540" s="84" t="s">
        <v>178</v>
      </c>
      <c r="C540" t="s">
        <v>178</v>
      </c>
    </row>
    <row r="541" spans="1:3">
      <c r="A541" t="s">
        <v>178</v>
      </c>
      <c r="B541" s="84" t="s">
        <v>178</v>
      </c>
      <c r="C541" t="s">
        <v>178</v>
      </c>
    </row>
    <row r="542" spans="1:3">
      <c r="A542" t="s">
        <v>178</v>
      </c>
      <c r="B542" s="84" t="s">
        <v>178</v>
      </c>
      <c r="C542" t="s">
        <v>178</v>
      </c>
    </row>
    <row r="543" spans="1:3">
      <c r="A543" t="s">
        <v>1158</v>
      </c>
      <c r="B543" s="84">
        <v>0</v>
      </c>
      <c r="C543">
        <v>288</v>
      </c>
    </row>
    <row r="544" spans="1:3">
      <c r="A544" t="s">
        <v>178</v>
      </c>
      <c r="B544" s="84" t="s">
        <v>178</v>
      </c>
      <c r="C544" t="s">
        <v>178</v>
      </c>
    </row>
    <row r="545" spans="1:3">
      <c r="A545" t="s">
        <v>178</v>
      </c>
      <c r="B545" s="84" t="s">
        <v>178</v>
      </c>
      <c r="C545" t="s">
        <v>178</v>
      </c>
    </row>
    <row r="546" spans="1:3">
      <c r="A546" t="s">
        <v>178</v>
      </c>
      <c r="B546" s="84" t="s">
        <v>178</v>
      </c>
      <c r="C546" t="s">
        <v>178</v>
      </c>
    </row>
    <row r="547" spans="1:3">
      <c r="A547" t="s">
        <v>178</v>
      </c>
      <c r="B547" s="84" t="s">
        <v>178</v>
      </c>
      <c r="C547" t="s">
        <v>178</v>
      </c>
    </row>
    <row r="548" spans="1:3">
      <c r="A548" t="s">
        <v>1163</v>
      </c>
      <c r="B548" s="84">
        <v>0</v>
      </c>
      <c r="C548">
        <v>288</v>
      </c>
    </row>
    <row r="549" spans="1:3">
      <c r="A549" t="s">
        <v>178</v>
      </c>
      <c r="B549" s="84" t="s">
        <v>178</v>
      </c>
      <c r="C549" t="s">
        <v>178</v>
      </c>
    </row>
    <row r="550" spans="1:3">
      <c r="A550" t="s">
        <v>178</v>
      </c>
      <c r="B550" s="84" t="s">
        <v>178</v>
      </c>
      <c r="C550" t="s">
        <v>178</v>
      </c>
    </row>
    <row r="551" spans="1:3">
      <c r="A551" t="s">
        <v>178</v>
      </c>
      <c r="B551" s="84" t="s">
        <v>178</v>
      </c>
      <c r="C551" t="s">
        <v>178</v>
      </c>
    </row>
    <row r="552" spans="1:3">
      <c r="A552" t="s">
        <v>178</v>
      </c>
      <c r="B552" s="84" t="s">
        <v>178</v>
      </c>
      <c r="C552" t="s">
        <v>178</v>
      </c>
    </row>
    <row r="553" spans="1:3">
      <c r="A553" t="s">
        <v>1168</v>
      </c>
      <c r="B553" s="84">
        <v>0</v>
      </c>
      <c r="C553">
        <v>288</v>
      </c>
    </row>
    <row r="554" spans="1:3">
      <c r="A554" t="s">
        <v>178</v>
      </c>
      <c r="B554" s="84" t="s">
        <v>178</v>
      </c>
      <c r="C554" t="s">
        <v>178</v>
      </c>
    </row>
    <row r="555" spans="1:3">
      <c r="A555" t="s">
        <v>1170</v>
      </c>
      <c r="B555" s="84">
        <v>0</v>
      </c>
      <c r="C555">
        <v>288</v>
      </c>
    </row>
    <row r="556" spans="1:3">
      <c r="A556" t="s">
        <v>178</v>
      </c>
      <c r="B556" s="84" t="s">
        <v>178</v>
      </c>
      <c r="C556" t="s">
        <v>178</v>
      </c>
    </row>
    <row r="557" spans="1:3">
      <c r="A557" t="s">
        <v>178</v>
      </c>
      <c r="B557" s="84" t="s">
        <v>178</v>
      </c>
      <c r="C557" t="s">
        <v>178</v>
      </c>
    </row>
    <row r="558" spans="1:3">
      <c r="A558" t="s">
        <v>1173</v>
      </c>
      <c r="B558" s="84">
        <v>0</v>
      </c>
      <c r="C558">
        <v>288</v>
      </c>
    </row>
    <row r="559" spans="1:3">
      <c r="A559" t="s">
        <v>178</v>
      </c>
      <c r="B559" s="84" t="s">
        <v>178</v>
      </c>
      <c r="C559" t="s">
        <v>178</v>
      </c>
    </row>
    <row r="560" spans="1:3">
      <c r="A560" t="s">
        <v>1175</v>
      </c>
      <c r="B560" s="84">
        <v>0</v>
      </c>
      <c r="C560">
        <v>288</v>
      </c>
    </row>
    <row r="561" spans="1:3">
      <c r="A561" t="s">
        <v>178</v>
      </c>
      <c r="B561" s="84" t="s">
        <v>178</v>
      </c>
      <c r="C561" t="s">
        <v>178</v>
      </c>
    </row>
    <row r="562" spans="1:3">
      <c r="A562" t="s">
        <v>178</v>
      </c>
      <c r="B562" s="84" t="s">
        <v>178</v>
      </c>
      <c r="C562" t="s">
        <v>178</v>
      </c>
    </row>
    <row r="563" spans="1:3">
      <c r="A563" t="s">
        <v>178</v>
      </c>
      <c r="B563" s="84" t="s">
        <v>178</v>
      </c>
      <c r="C563" t="s">
        <v>178</v>
      </c>
    </row>
    <row r="564" spans="1:3">
      <c r="A564" t="s">
        <v>1179</v>
      </c>
      <c r="B564" s="84">
        <v>0</v>
      </c>
      <c r="C564">
        <v>288</v>
      </c>
    </row>
    <row r="565" spans="1:3">
      <c r="A565" t="s">
        <v>178</v>
      </c>
      <c r="B565" s="84" t="s">
        <v>178</v>
      </c>
      <c r="C565" t="s">
        <v>178</v>
      </c>
    </row>
    <row r="566" spans="1:3">
      <c r="A566" t="s">
        <v>178</v>
      </c>
      <c r="B566" s="84" t="s">
        <v>178</v>
      </c>
      <c r="C566" t="s">
        <v>178</v>
      </c>
    </row>
    <row r="567" spans="1:3">
      <c r="A567" t="s">
        <v>1182</v>
      </c>
      <c r="B567" s="84">
        <v>0</v>
      </c>
      <c r="C567">
        <v>288</v>
      </c>
    </row>
    <row r="568" spans="1:3">
      <c r="A568" t="s">
        <v>178</v>
      </c>
      <c r="B568" s="84" t="s">
        <v>178</v>
      </c>
      <c r="C568" t="s">
        <v>178</v>
      </c>
    </row>
    <row r="569" spans="1:3">
      <c r="A569" t="s">
        <v>178</v>
      </c>
      <c r="B569" s="84" t="s">
        <v>178</v>
      </c>
      <c r="C569" t="s">
        <v>178</v>
      </c>
    </row>
    <row r="570" spans="1:3">
      <c r="A570" t="s">
        <v>178</v>
      </c>
      <c r="B570" s="84" t="s">
        <v>178</v>
      </c>
      <c r="C570" t="s">
        <v>178</v>
      </c>
    </row>
    <row r="571" spans="1:3">
      <c r="A571" t="s">
        <v>178</v>
      </c>
      <c r="B571" s="84" t="s">
        <v>178</v>
      </c>
      <c r="C571" t="s">
        <v>178</v>
      </c>
    </row>
    <row r="572" spans="1:3">
      <c r="A572" t="s">
        <v>1187</v>
      </c>
      <c r="B572" s="84">
        <v>0</v>
      </c>
      <c r="C572">
        <v>288</v>
      </c>
    </row>
    <row r="573" spans="1:3">
      <c r="A573" t="s">
        <v>178</v>
      </c>
      <c r="B573" s="84" t="s">
        <v>178</v>
      </c>
      <c r="C573" t="s">
        <v>178</v>
      </c>
    </row>
    <row r="574" spans="1:3">
      <c r="A574" t="s">
        <v>178</v>
      </c>
      <c r="B574" s="84" t="s">
        <v>178</v>
      </c>
      <c r="C574" t="s">
        <v>178</v>
      </c>
    </row>
    <row r="575" spans="1:3">
      <c r="A575" t="s">
        <v>178</v>
      </c>
      <c r="B575" s="84" t="s">
        <v>178</v>
      </c>
      <c r="C575" t="s">
        <v>178</v>
      </c>
    </row>
    <row r="576" spans="1:3">
      <c r="A576" t="s">
        <v>1191</v>
      </c>
      <c r="B576" s="84">
        <v>0</v>
      </c>
      <c r="C576">
        <v>288</v>
      </c>
    </row>
    <row r="577" spans="1:3">
      <c r="A577" t="s">
        <v>178</v>
      </c>
      <c r="B577" s="84" t="s">
        <v>178</v>
      </c>
      <c r="C577" t="s">
        <v>178</v>
      </c>
    </row>
    <row r="578" spans="1:3">
      <c r="A578" t="s">
        <v>178</v>
      </c>
      <c r="B578" s="84" t="s">
        <v>178</v>
      </c>
      <c r="C578" t="s">
        <v>178</v>
      </c>
    </row>
    <row r="579" spans="1:3">
      <c r="A579" t="s">
        <v>178</v>
      </c>
      <c r="B579" s="84" t="s">
        <v>178</v>
      </c>
      <c r="C579" t="s">
        <v>178</v>
      </c>
    </row>
    <row r="580" spans="1:3">
      <c r="A580" t="s">
        <v>178</v>
      </c>
      <c r="B580" s="84" t="s">
        <v>178</v>
      </c>
      <c r="C580" t="s">
        <v>178</v>
      </c>
    </row>
    <row r="581" spans="1:3">
      <c r="A581" t="s">
        <v>178</v>
      </c>
      <c r="B581" s="84" t="s">
        <v>178</v>
      </c>
      <c r="C581" t="s">
        <v>178</v>
      </c>
    </row>
    <row r="582" spans="1:3">
      <c r="A582" t="s">
        <v>178</v>
      </c>
      <c r="B582" s="84" t="s">
        <v>178</v>
      </c>
      <c r="C582" t="s">
        <v>178</v>
      </c>
    </row>
    <row r="583" spans="1:3">
      <c r="A583" t="s">
        <v>178</v>
      </c>
      <c r="B583" s="84" t="s">
        <v>178</v>
      </c>
      <c r="C583" t="s">
        <v>178</v>
      </c>
    </row>
    <row r="584" spans="1:3">
      <c r="A584" t="s">
        <v>178</v>
      </c>
      <c r="B584" s="84" t="s">
        <v>178</v>
      </c>
      <c r="C584" t="s">
        <v>178</v>
      </c>
    </row>
    <row r="585" spans="1:3">
      <c r="A585" t="s">
        <v>1200</v>
      </c>
      <c r="B585" s="84">
        <v>0</v>
      </c>
      <c r="C585">
        <v>288</v>
      </c>
    </row>
    <row r="586" spans="1:3">
      <c r="A586" t="s">
        <v>178</v>
      </c>
      <c r="B586" s="84" t="s">
        <v>178</v>
      </c>
      <c r="C586" t="s">
        <v>178</v>
      </c>
    </row>
    <row r="587" spans="1:3">
      <c r="A587" t="s">
        <v>178</v>
      </c>
      <c r="B587" s="84" t="s">
        <v>178</v>
      </c>
      <c r="C587" t="s">
        <v>178</v>
      </c>
    </row>
    <row r="588" spans="1:3">
      <c r="A588" t="s">
        <v>178</v>
      </c>
      <c r="B588" s="84" t="s">
        <v>178</v>
      </c>
      <c r="C588" t="s">
        <v>178</v>
      </c>
    </row>
    <row r="589" spans="1:3">
      <c r="A589" t="s">
        <v>1204</v>
      </c>
      <c r="B589" s="84">
        <v>0</v>
      </c>
      <c r="C589">
        <v>288</v>
      </c>
    </row>
    <row r="590" spans="1:3">
      <c r="A590" t="s">
        <v>178</v>
      </c>
      <c r="B590" s="84" t="s">
        <v>178</v>
      </c>
      <c r="C590" t="s">
        <v>178</v>
      </c>
    </row>
    <row r="591" spans="1:3">
      <c r="A591" t="s">
        <v>178</v>
      </c>
      <c r="B591" s="84" t="s">
        <v>178</v>
      </c>
      <c r="C591" t="s">
        <v>178</v>
      </c>
    </row>
    <row r="592" spans="1:3">
      <c r="A592" t="s">
        <v>178</v>
      </c>
      <c r="B592" s="84" t="s">
        <v>178</v>
      </c>
      <c r="C592" t="s">
        <v>178</v>
      </c>
    </row>
    <row r="593" spans="1:3">
      <c r="A593" t="s">
        <v>178</v>
      </c>
      <c r="B593" s="84" t="s">
        <v>178</v>
      </c>
      <c r="C593" t="s">
        <v>178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Schedule</vt:lpstr>
      <vt:lpstr>Team Stats</vt:lpstr>
      <vt:lpstr>Player Stats</vt:lpstr>
      <vt:lpstr>Sim</vt:lpstr>
      <vt:lpstr>Playoff Pts</vt:lpstr>
      <vt:lpstr>Playoff Pts 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2015-03-11T14:31:18Z</dcterms:created>
  <dcterms:modified xsi:type="dcterms:W3CDTF">2015-04-13T20:15:51Z</dcterms:modified>
</cp:coreProperties>
</file>