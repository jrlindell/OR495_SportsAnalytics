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300" windowWidth="6495" windowHeight="7725" activeTab="3"/>
  </bookViews>
  <sheets>
    <sheet name="Schedule" sheetId="1" r:id="rId1"/>
    <sheet name="Team Stats" sheetId="3" r:id="rId2"/>
    <sheet name="Player Stats" sheetId="2" r:id="rId3"/>
    <sheet name="Sim" sheetId="4" r:id="rId4"/>
    <sheet name="Sheet1" sheetId="9" r:id="rId5"/>
  </sheets>
  <functionGroups builtInGroupCount="17"/>
  <definedNames>
    <definedName name="solver_adj" localSheetId="0" hidden="1">Schedule!$B$2:$B$31,Schedule!$B$33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Schedule!$R$3</definedName>
    <definedName name="solver_lhs2" localSheetId="0" hidden="1">Schedule!$R$3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Schedule!$P$1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Schedule!$P$3</definedName>
    <definedName name="solver_rhs2" localSheetId="0" hidden="1">Schedule!$P$3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T108" i="2" l="1"/>
  <c r="T219" i="2"/>
  <c r="T292" i="2"/>
  <c r="T279" i="2"/>
  <c r="T107" i="2"/>
  <c r="T276" i="2"/>
  <c r="T267" i="2"/>
  <c r="T190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3" i="2"/>
  <c r="S253" i="2"/>
  <c r="T253" i="2" s="1"/>
  <c r="S137" i="2"/>
  <c r="T137" i="2" s="1"/>
  <c r="S56" i="2"/>
  <c r="T56" i="2" s="1"/>
  <c r="S108" i="2"/>
  <c r="S255" i="2"/>
  <c r="T255" i="2" s="1"/>
  <c r="S318" i="2"/>
  <c r="T318" i="2" s="1"/>
  <c r="S4" i="2"/>
  <c r="T4" i="2" s="1"/>
  <c r="S174" i="2"/>
  <c r="T174" i="2" s="1"/>
  <c r="S202" i="2"/>
  <c r="T202" i="2" s="1"/>
  <c r="S317" i="2"/>
  <c r="T317" i="2" s="1"/>
  <c r="S249" i="2"/>
  <c r="T249" i="2" s="1"/>
  <c r="S266" i="2"/>
  <c r="T266" i="2" s="1"/>
  <c r="S125" i="2"/>
  <c r="T125" i="2" s="1"/>
  <c r="S65" i="2"/>
  <c r="T65" i="2" s="1"/>
  <c r="S182" i="2"/>
  <c r="T182" i="2" s="1"/>
  <c r="S80" i="2"/>
  <c r="T80" i="2" s="1"/>
  <c r="S275" i="2"/>
  <c r="T275" i="2" s="1"/>
  <c r="S191" i="2"/>
  <c r="T191" i="2" s="1"/>
  <c r="S210" i="2"/>
  <c r="T210" i="2" s="1"/>
  <c r="S75" i="2"/>
  <c r="T75" i="2" s="1"/>
  <c r="S159" i="2"/>
  <c r="T159" i="2" s="1"/>
  <c r="S179" i="2"/>
  <c r="T179" i="2" s="1"/>
  <c r="S229" i="2"/>
  <c r="T229" i="2" s="1"/>
  <c r="S316" i="2"/>
  <c r="T316" i="2" s="1"/>
  <c r="S201" i="2"/>
  <c r="T201" i="2" s="1"/>
  <c r="S20" i="2"/>
  <c r="T20" i="2" s="1"/>
  <c r="S289" i="2"/>
  <c r="T289" i="2" s="1"/>
  <c r="S216" i="2"/>
  <c r="T216" i="2" s="1"/>
  <c r="S285" i="2"/>
  <c r="T285" i="2" s="1"/>
  <c r="S155" i="2"/>
  <c r="T155" i="2" s="1"/>
  <c r="S141" i="2"/>
  <c r="T141" i="2" s="1"/>
  <c r="S151" i="2"/>
  <c r="T151" i="2" s="1"/>
  <c r="S270" i="2"/>
  <c r="T270" i="2" s="1"/>
  <c r="S315" i="2"/>
  <c r="T315" i="2" s="1"/>
  <c r="S93" i="2"/>
  <c r="T93" i="2" s="1"/>
  <c r="S33" i="2"/>
  <c r="T33" i="2" s="1"/>
  <c r="S79" i="2"/>
  <c r="T79" i="2" s="1"/>
  <c r="S278" i="2"/>
  <c r="T278" i="2" s="1"/>
  <c r="S172" i="2"/>
  <c r="T172" i="2" s="1"/>
  <c r="S313" i="2"/>
  <c r="T313" i="2" s="1"/>
  <c r="S314" i="2"/>
  <c r="T314" i="2" s="1"/>
  <c r="S45" i="2"/>
  <c r="T45" i="2" s="1"/>
  <c r="S109" i="2"/>
  <c r="T109" i="2" s="1"/>
  <c r="S78" i="2"/>
  <c r="T78" i="2" s="1"/>
  <c r="S164" i="2"/>
  <c r="T164" i="2" s="1"/>
  <c r="S154" i="2"/>
  <c r="T154" i="2" s="1"/>
  <c r="S35" i="2"/>
  <c r="T35" i="2" s="1"/>
  <c r="S312" i="2"/>
  <c r="T312" i="2" s="1"/>
  <c r="S30" i="2"/>
  <c r="T30" i="2" s="1"/>
  <c r="S311" i="2"/>
  <c r="T311" i="2" s="1"/>
  <c r="S10" i="2"/>
  <c r="T10" i="2" s="1"/>
  <c r="S203" i="2"/>
  <c r="T203" i="2" s="1"/>
  <c r="S310" i="2"/>
  <c r="T310" i="2" s="1"/>
  <c r="S161" i="2"/>
  <c r="T161" i="2" s="1"/>
  <c r="S188" i="2"/>
  <c r="T188" i="2" s="1"/>
  <c r="S218" i="2"/>
  <c r="T218" i="2" s="1"/>
  <c r="S116" i="2"/>
  <c r="T116" i="2" s="1"/>
  <c r="S62" i="2"/>
  <c r="T62" i="2" s="1"/>
  <c r="S3" i="2"/>
  <c r="T3" i="2" s="1"/>
  <c r="S18" i="2"/>
  <c r="T18" i="2" s="1"/>
  <c r="S309" i="2"/>
  <c r="T309" i="2" s="1"/>
  <c r="S241" i="2"/>
  <c r="T241" i="2" s="1"/>
  <c r="S265" i="2"/>
  <c r="T265" i="2" s="1"/>
  <c r="S48" i="2"/>
  <c r="T48" i="2" s="1"/>
  <c r="S26" i="2"/>
  <c r="T26" i="2" s="1"/>
  <c r="S248" i="2"/>
  <c r="T248" i="2" s="1"/>
  <c r="S166" i="2"/>
  <c r="T166" i="2" s="1"/>
  <c r="S67" i="2"/>
  <c r="T67" i="2" s="1"/>
  <c r="S192" i="2"/>
  <c r="T192" i="2" s="1"/>
  <c r="S32" i="2"/>
  <c r="T32" i="2" s="1"/>
  <c r="S54" i="2"/>
  <c r="T54" i="2" s="1"/>
  <c r="S12" i="2"/>
  <c r="T12" i="2" s="1"/>
  <c r="S308" i="2"/>
  <c r="T308" i="2" s="1"/>
  <c r="S76" i="2"/>
  <c r="T76" i="2" s="1"/>
  <c r="S214" i="2"/>
  <c r="T214" i="2" s="1"/>
  <c r="S307" i="2"/>
  <c r="T307" i="2" s="1"/>
  <c r="S223" i="2"/>
  <c r="T223" i="2" s="1"/>
  <c r="S165" i="2"/>
  <c r="T165" i="2" s="1"/>
  <c r="S112" i="2"/>
  <c r="T112" i="2" s="1"/>
  <c r="S132" i="2"/>
  <c r="T132" i="2" s="1"/>
  <c r="S89" i="2"/>
  <c r="T89" i="2" s="1"/>
  <c r="S110" i="2"/>
  <c r="T110" i="2" s="1"/>
  <c r="S306" i="2"/>
  <c r="T306" i="2" s="1"/>
  <c r="S143" i="2"/>
  <c r="T143" i="2" s="1"/>
  <c r="S111" i="2"/>
  <c r="T111" i="2" s="1"/>
  <c r="S42" i="2"/>
  <c r="T42" i="2" s="1"/>
  <c r="S124" i="2"/>
  <c r="T124" i="2" s="1"/>
  <c r="S236" i="2"/>
  <c r="T236" i="2" s="1"/>
  <c r="S104" i="2"/>
  <c r="T104" i="2" s="1"/>
  <c r="S81" i="2"/>
  <c r="T81" i="2" s="1"/>
  <c r="S171" i="2"/>
  <c r="T171" i="2" s="1"/>
  <c r="S64" i="2"/>
  <c r="T64" i="2" s="1"/>
  <c r="S105" i="2"/>
  <c r="T105" i="2" s="1"/>
  <c r="S71" i="2"/>
  <c r="T71" i="2" s="1"/>
  <c r="S146" i="2"/>
  <c r="T146" i="2" s="1"/>
  <c r="S274" i="2"/>
  <c r="T274" i="2" s="1"/>
  <c r="S264" i="2"/>
  <c r="T264" i="2" s="1"/>
  <c r="S258" i="2"/>
  <c r="T258" i="2" s="1"/>
  <c r="S207" i="2"/>
  <c r="T207" i="2" s="1"/>
  <c r="S140" i="2"/>
  <c r="T140" i="2" s="1"/>
  <c r="S213" i="2"/>
  <c r="T213" i="2" s="1"/>
  <c r="S305" i="2"/>
  <c r="T305" i="2" s="1"/>
  <c r="S252" i="2"/>
  <c r="T252" i="2" s="1"/>
  <c r="S200" i="2"/>
  <c r="T200" i="2" s="1"/>
  <c r="S149" i="2"/>
  <c r="T149" i="2" s="1"/>
  <c r="S245" i="2"/>
  <c r="T245" i="2" s="1"/>
  <c r="S189" i="2"/>
  <c r="T189" i="2" s="1"/>
  <c r="S256" i="2"/>
  <c r="T256" i="2" s="1"/>
  <c r="S220" i="2"/>
  <c r="T220" i="2" s="1"/>
  <c r="S60" i="2"/>
  <c r="T60" i="2" s="1"/>
  <c r="S19" i="2"/>
  <c r="T19" i="2" s="1"/>
  <c r="S142" i="2"/>
  <c r="T142" i="2" s="1"/>
  <c r="S16" i="2"/>
  <c r="T16" i="2" s="1"/>
  <c r="S222" i="2"/>
  <c r="T222" i="2" s="1"/>
  <c r="S39" i="2"/>
  <c r="T39" i="2" s="1"/>
  <c r="S128" i="2"/>
  <c r="T128" i="2" s="1"/>
  <c r="S304" i="2"/>
  <c r="T304" i="2" s="1"/>
  <c r="S209" i="2"/>
  <c r="T209" i="2" s="1"/>
  <c r="S14" i="2"/>
  <c r="T14" i="2" s="1"/>
  <c r="S121" i="2"/>
  <c r="T121" i="2" s="1"/>
  <c r="S122" i="2"/>
  <c r="T122" i="2" s="1"/>
  <c r="S157" i="2"/>
  <c r="T157" i="2" s="1"/>
  <c r="S178" i="2"/>
  <c r="T178" i="2" s="1"/>
  <c r="S84" i="2"/>
  <c r="T84" i="2" s="1"/>
  <c r="S208" i="2"/>
  <c r="T208" i="2" s="1"/>
  <c r="S263" i="2"/>
  <c r="T263" i="2" s="1"/>
  <c r="S181" i="2"/>
  <c r="T181" i="2" s="1"/>
  <c r="S163" i="2"/>
  <c r="T163" i="2" s="1"/>
  <c r="S170" i="2"/>
  <c r="T170" i="2" s="1"/>
  <c r="S88" i="2"/>
  <c r="T88" i="2" s="1"/>
  <c r="S173" i="2"/>
  <c r="T173" i="2" s="1"/>
  <c r="S284" i="2"/>
  <c r="T284" i="2" s="1"/>
  <c r="S38" i="2"/>
  <c r="T38" i="2" s="1"/>
  <c r="S180" i="2"/>
  <c r="T180" i="2" s="1"/>
  <c r="S73" i="2"/>
  <c r="T73" i="2" s="1"/>
  <c r="S77" i="2"/>
  <c r="T77" i="2" s="1"/>
  <c r="S303" i="2"/>
  <c r="T303" i="2" s="1"/>
  <c r="S169" i="2"/>
  <c r="T169" i="2" s="1"/>
  <c r="S302" i="2"/>
  <c r="T302" i="2" s="1"/>
  <c r="S44" i="2"/>
  <c r="T44" i="2" s="1"/>
  <c r="S69" i="2"/>
  <c r="T69" i="2" s="1"/>
  <c r="S215" i="2"/>
  <c r="T215" i="2" s="1"/>
  <c r="S301" i="2"/>
  <c r="T301" i="2" s="1"/>
  <c r="S29" i="2"/>
  <c r="T29" i="2" s="1"/>
  <c r="S57" i="2"/>
  <c r="T57" i="2" s="1"/>
  <c r="S22" i="2"/>
  <c r="T22" i="2" s="1"/>
  <c r="U22" i="2" s="1"/>
  <c r="S148" i="2"/>
  <c r="T148" i="2" s="1"/>
  <c r="S15" i="2"/>
  <c r="T15" i="2" s="1"/>
  <c r="S283" i="2"/>
  <c r="T283" i="2" s="1"/>
  <c r="S288" i="2"/>
  <c r="T288" i="2" s="1"/>
  <c r="S262" i="2"/>
  <c r="T262" i="2" s="1"/>
  <c r="S131" i="2"/>
  <c r="T131" i="2" s="1"/>
  <c r="S87" i="2"/>
  <c r="T87" i="2" s="1"/>
  <c r="S300" i="2"/>
  <c r="T300" i="2" s="1"/>
  <c r="S243" i="2"/>
  <c r="T243" i="2" s="1"/>
  <c r="S101" i="2"/>
  <c r="T101" i="2" s="1"/>
  <c r="S28" i="2"/>
  <c r="T28" i="2" s="1"/>
  <c r="S228" i="2"/>
  <c r="T228" i="2" s="1"/>
  <c r="S250" i="2"/>
  <c r="T250" i="2" s="1"/>
  <c r="S282" i="2"/>
  <c r="T282" i="2" s="1"/>
  <c r="S8" i="2"/>
  <c r="T8" i="2" s="1"/>
  <c r="S193" i="2"/>
  <c r="T193" i="2" s="1"/>
  <c r="S184" i="2"/>
  <c r="T184" i="2" s="1"/>
  <c r="S168" i="2"/>
  <c r="T168" i="2" s="1"/>
  <c r="S118" i="2"/>
  <c r="T118" i="2" s="1"/>
  <c r="S31" i="2"/>
  <c r="T31" i="2" s="1"/>
  <c r="S160" i="2"/>
  <c r="T160" i="2" s="1"/>
  <c r="S299" i="2"/>
  <c r="T299" i="2" s="1"/>
  <c r="S240" i="2"/>
  <c r="T240" i="2" s="1"/>
  <c r="S227" i="2"/>
  <c r="T227" i="2" s="1"/>
  <c r="S162" i="2"/>
  <c r="T162" i="2" s="1"/>
  <c r="S92" i="2"/>
  <c r="T92" i="2" s="1"/>
  <c r="S224" i="2"/>
  <c r="T224" i="2" s="1"/>
  <c r="S127" i="2"/>
  <c r="T127" i="2" s="1"/>
  <c r="S158" i="2"/>
  <c r="T158" i="2" s="1"/>
  <c r="S281" i="2"/>
  <c r="T281" i="2" s="1"/>
  <c r="S239" i="2"/>
  <c r="T239" i="2" s="1"/>
  <c r="S147" i="2"/>
  <c r="T147" i="2" s="1"/>
  <c r="S145" i="2"/>
  <c r="T145" i="2" s="1"/>
  <c r="S66" i="2"/>
  <c r="T66" i="2" s="1"/>
  <c r="S150" i="2"/>
  <c r="T150" i="2" s="1"/>
  <c r="S217" i="2"/>
  <c r="T217" i="2" s="1"/>
  <c r="S59" i="2"/>
  <c r="T59" i="2" s="1"/>
  <c r="S53" i="2"/>
  <c r="T53" i="2" s="1"/>
  <c r="S97" i="2"/>
  <c r="T97" i="2" s="1"/>
  <c r="S206" i="2"/>
  <c r="T206" i="2" s="1"/>
  <c r="S41" i="2"/>
  <c r="T41" i="2" s="1"/>
  <c r="S13" i="2"/>
  <c r="T13" i="2" s="1"/>
  <c r="S195" i="2"/>
  <c r="T195" i="2" s="1"/>
  <c r="S70" i="2"/>
  <c r="T70" i="2" s="1"/>
  <c r="S185" i="2"/>
  <c r="T185" i="2" s="1"/>
  <c r="S47" i="2"/>
  <c r="T47" i="2" s="1"/>
  <c r="S7" i="2"/>
  <c r="T7" i="2" s="1"/>
  <c r="S298" i="2"/>
  <c r="T298" i="2" s="1"/>
  <c r="S52" i="2"/>
  <c r="T52" i="2" s="1"/>
  <c r="S68" i="2"/>
  <c r="T68" i="2" s="1"/>
  <c r="S280" i="2"/>
  <c r="T280" i="2" s="1"/>
  <c r="S257" i="2"/>
  <c r="T257" i="2" s="1"/>
  <c r="S90" i="2"/>
  <c r="T90" i="2" s="1"/>
  <c r="S273" i="2"/>
  <c r="T273" i="2" s="1"/>
  <c r="S91" i="2"/>
  <c r="T91" i="2" s="1"/>
  <c r="S43" i="2"/>
  <c r="T43" i="2" s="1"/>
  <c r="S36" i="2"/>
  <c r="T36" i="2" s="1"/>
  <c r="S199" i="2"/>
  <c r="T199" i="2" s="1"/>
  <c r="S144" i="2"/>
  <c r="T144" i="2" s="1"/>
  <c r="S106" i="2"/>
  <c r="T106" i="2" s="1"/>
  <c r="S287" i="2"/>
  <c r="T287" i="2" s="1"/>
  <c r="S198" i="2"/>
  <c r="T198" i="2" s="1"/>
  <c r="S261" i="2"/>
  <c r="T261" i="2" s="1"/>
  <c r="S175" i="2"/>
  <c r="T175" i="2" s="1"/>
  <c r="S297" i="2"/>
  <c r="T297" i="2" s="1"/>
  <c r="S136" i="2"/>
  <c r="T136" i="2" s="1"/>
  <c r="S27" i="2"/>
  <c r="T27" i="2" s="1"/>
  <c r="S138" i="2"/>
  <c r="T138" i="2" s="1"/>
  <c r="S205" i="2"/>
  <c r="T205" i="2" s="1"/>
  <c r="S296" i="2"/>
  <c r="T296" i="2" s="1"/>
  <c r="S50" i="2"/>
  <c r="T50" i="2" s="1"/>
  <c r="S115" i="2"/>
  <c r="T115" i="2" s="1"/>
  <c r="S235" i="2"/>
  <c r="T235" i="2" s="1"/>
  <c r="S5" i="2"/>
  <c r="T5" i="2" s="1"/>
  <c r="S9" i="2"/>
  <c r="T9" i="2" s="1"/>
  <c r="S86" i="2"/>
  <c r="T86" i="2" s="1"/>
  <c r="S139" i="2"/>
  <c r="T139" i="2" s="1"/>
  <c r="S100" i="2"/>
  <c r="T100" i="2" s="1"/>
  <c r="S129" i="2"/>
  <c r="T129" i="2" s="1"/>
  <c r="S17" i="2"/>
  <c r="T17" i="2" s="1"/>
  <c r="S126" i="2"/>
  <c r="T126" i="2" s="1"/>
  <c r="S133" i="2"/>
  <c r="T133" i="2" s="1"/>
  <c r="S120" i="2"/>
  <c r="T120" i="2" s="1"/>
  <c r="S6" i="2"/>
  <c r="T6" i="2" s="1"/>
  <c r="U6" i="2" s="1"/>
  <c r="S269" i="2"/>
  <c r="T269" i="2" s="1"/>
  <c r="S187" i="2"/>
  <c r="T187" i="2" s="1"/>
  <c r="S94" i="2"/>
  <c r="T94" i="2" s="1"/>
  <c r="S82" i="2"/>
  <c r="T82" i="2" s="1"/>
  <c r="U82" i="2" s="1"/>
  <c r="S83" i="2"/>
  <c r="T83" i="2" s="1"/>
  <c r="S183" i="2"/>
  <c r="T183" i="2" s="1"/>
  <c r="S234" i="2"/>
  <c r="T234" i="2" s="1"/>
  <c r="S242" i="2"/>
  <c r="T242" i="2" s="1"/>
  <c r="S24" i="2"/>
  <c r="T24" i="2" s="1"/>
  <c r="S295" i="2"/>
  <c r="T295" i="2" s="1"/>
  <c r="S226" i="2"/>
  <c r="T226" i="2" s="1"/>
  <c r="S277" i="2"/>
  <c r="T277" i="2" s="1"/>
  <c r="S294" i="2"/>
  <c r="T294" i="2" s="1"/>
  <c r="S272" i="2"/>
  <c r="T272" i="2" s="1"/>
  <c r="S152" i="2"/>
  <c r="T152" i="2" s="1"/>
  <c r="S194" i="2"/>
  <c r="T194" i="2" s="1"/>
  <c r="S96" i="2"/>
  <c r="T96" i="2" s="1"/>
  <c r="S113" i="2"/>
  <c r="T113" i="2" s="1"/>
  <c r="S219" i="2"/>
  <c r="S197" i="2"/>
  <c r="T197" i="2" s="1"/>
  <c r="S293" i="2"/>
  <c r="T293" i="2" s="1"/>
  <c r="S221" i="2"/>
  <c r="T221" i="2" s="1"/>
  <c r="S233" i="2"/>
  <c r="T233" i="2" s="1"/>
  <c r="S114" i="2"/>
  <c r="T114" i="2" s="1"/>
  <c r="S247" i="2"/>
  <c r="T247" i="2" s="1"/>
  <c r="S251" i="2"/>
  <c r="T251" i="2" s="1"/>
  <c r="S225" i="2"/>
  <c r="T225" i="2" s="1"/>
  <c r="S246" i="2"/>
  <c r="T246" i="2" s="1"/>
  <c r="S103" i="2"/>
  <c r="T103" i="2" s="1"/>
  <c r="S21" i="2"/>
  <c r="T21" i="2" s="1"/>
  <c r="S46" i="2"/>
  <c r="T46" i="2" s="1"/>
  <c r="S177" i="2"/>
  <c r="T177" i="2" s="1"/>
  <c r="S117" i="2"/>
  <c r="T117" i="2" s="1"/>
  <c r="S176" i="2"/>
  <c r="T176" i="2" s="1"/>
  <c r="S292" i="2"/>
  <c r="S34" i="2"/>
  <c r="T34" i="2" s="1"/>
  <c r="S153" i="2"/>
  <c r="T153" i="2" s="1"/>
  <c r="S51" i="2"/>
  <c r="T51" i="2" s="1"/>
  <c r="S212" i="2"/>
  <c r="T212" i="2" s="1"/>
  <c r="S186" i="2"/>
  <c r="T186" i="2" s="1"/>
  <c r="U186" i="2" s="1"/>
  <c r="S260" i="2"/>
  <c r="T260" i="2" s="1"/>
  <c r="S119" i="2"/>
  <c r="T119" i="2" s="1"/>
  <c r="S63" i="2"/>
  <c r="T63" i="2" s="1"/>
  <c r="S95" i="2"/>
  <c r="T95" i="2" s="1"/>
  <c r="S232" i="2"/>
  <c r="T232" i="2" s="1"/>
  <c r="S268" i="2"/>
  <c r="T268" i="2" s="1"/>
  <c r="S279" i="2"/>
  <c r="S254" i="2"/>
  <c r="T254" i="2" s="1"/>
  <c r="S55" i="2"/>
  <c r="T55" i="2" s="1"/>
  <c r="S204" i="2"/>
  <c r="T204" i="2" s="1"/>
  <c r="S123" i="2"/>
  <c r="T123" i="2" s="1"/>
  <c r="S23" i="2"/>
  <c r="T23" i="2" s="1"/>
  <c r="S231" i="2"/>
  <c r="T231" i="2" s="1"/>
  <c r="S291" i="2"/>
  <c r="T291" i="2" s="1"/>
  <c r="S107" i="2"/>
  <c r="S40" i="2"/>
  <c r="T40" i="2" s="1"/>
  <c r="S49" i="2"/>
  <c r="T49" i="2" s="1"/>
  <c r="S290" i="2"/>
  <c r="T290" i="2" s="1"/>
  <c r="S85" i="2"/>
  <c r="T85" i="2" s="1"/>
  <c r="S102" i="2"/>
  <c r="T102" i="2" s="1"/>
  <c r="S130" i="2"/>
  <c r="T130" i="2" s="1"/>
  <c r="S196" i="2"/>
  <c r="T196" i="2" s="1"/>
  <c r="S244" i="2"/>
  <c r="T244" i="2" s="1"/>
  <c r="S211" i="2"/>
  <c r="T211" i="2" s="1"/>
  <c r="S135" i="2"/>
  <c r="T135" i="2" s="1"/>
  <c r="S37" i="2"/>
  <c r="T37" i="2" s="1"/>
  <c r="S276" i="2"/>
  <c r="S74" i="2"/>
  <c r="T74" i="2" s="1"/>
  <c r="S98" i="2"/>
  <c r="T98" i="2" s="1"/>
  <c r="S237" i="2"/>
  <c r="T237" i="2" s="1"/>
  <c r="S167" i="2"/>
  <c r="T167" i="2" s="1"/>
  <c r="S286" i="2"/>
  <c r="T286" i="2" s="1"/>
  <c r="S72" i="2"/>
  <c r="T72" i="2" s="1"/>
  <c r="S99" i="2"/>
  <c r="T99" i="2" s="1"/>
  <c r="S267" i="2"/>
  <c r="S58" i="2"/>
  <c r="T58" i="2" s="1"/>
  <c r="S11" i="2"/>
  <c r="T11" i="2" s="1"/>
  <c r="S61" i="2"/>
  <c r="T61" i="2" s="1"/>
  <c r="S25" i="2"/>
  <c r="T25" i="2" s="1"/>
  <c r="S134" i="2"/>
  <c r="T134" i="2" s="1"/>
  <c r="S271" i="2"/>
  <c r="T271" i="2" s="1"/>
  <c r="S238" i="2"/>
  <c r="T238" i="2" s="1"/>
  <c r="S190" i="2"/>
  <c r="S259" i="2"/>
  <c r="T259" i="2" s="1"/>
  <c r="U259" i="2" s="1"/>
  <c r="S230" i="2"/>
  <c r="T230" i="2" s="1"/>
  <c r="S156" i="2"/>
  <c r="T156" i="2" s="1"/>
  <c r="R253" i="2"/>
  <c r="R137" i="2"/>
  <c r="R56" i="2"/>
  <c r="R108" i="2"/>
  <c r="R255" i="2"/>
  <c r="R318" i="2"/>
  <c r="R4" i="2"/>
  <c r="R174" i="2"/>
  <c r="R202" i="2"/>
  <c r="R317" i="2"/>
  <c r="R249" i="2"/>
  <c r="R266" i="2"/>
  <c r="R125" i="2"/>
  <c r="R65" i="2"/>
  <c r="R182" i="2"/>
  <c r="R80" i="2"/>
  <c r="R275" i="2"/>
  <c r="R191" i="2"/>
  <c r="R210" i="2"/>
  <c r="R75" i="2"/>
  <c r="R159" i="2"/>
  <c r="R179" i="2"/>
  <c r="R229" i="2"/>
  <c r="R316" i="2"/>
  <c r="R201" i="2"/>
  <c r="R20" i="2"/>
  <c r="R289" i="2"/>
  <c r="R216" i="2"/>
  <c r="R285" i="2"/>
  <c r="R155" i="2"/>
  <c r="R141" i="2"/>
  <c r="R151" i="2"/>
  <c r="R270" i="2"/>
  <c r="R315" i="2"/>
  <c r="R93" i="2"/>
  <c r="R33" i="2"/>
  <c r="R79" i="2"/>
  <c r="R278" i="2"/>
  <c r="R172" i="2"/>
  <c r="R313" i="2"/>
  <c r="R314" i="2"/>
  <c r="R45" i="2"/>
  <c r="R109" i="2"/>
  <c r="R78" i="2"/>
  <c r="R164" i="2"/>
  <c r="R154" i="2"/>
  <c r="R35" i="2"/>
  <c r="R312" i="2"/>
  <c r="R30" i="2"/>
  <c r="R311" i="2"/>
  <c r="R10" i="2"/>
  <c r="R203" i="2"/>
  <c r="R310" i="2"/>
  <c r="R161" i="2"/>
  <c r="R188" i="2"/>
  <c r="R218" i="2"/>
  <c r="R116" i="2"/>
  <c r="R62" i="2"/>
  <c r="R3" i="2"/>
  <c r="R18" i="2"/>
  <c r="R309" i="2"/>
  <c r="R241" i="2"/>
  <c r="R265" i="2"/>
  <c r="R48" i="2"/>
  <c r="R26" i="2"/>
  <c r="R248" i="2"/>
  <c r="R166" i="2"/>
  <c r="R67" i="2"/>
  <c r="R192" i="2"/>
  <c r="R32" i="2"/>
  <c r="R54" i="2"/>
  <c r="R12" i="2"/>
  <c r="R308" i="2"/>
  <c r="R76" i="2"/>
  <c r="R214" i="2"/>
  <c r="R307" i="2"/>
  <c r="R223" i="2"/>
  <c r="R165" i="2"/>
  <c r="R112" i="2"/>
  <c r="R132" i="2"/>
  <c r="R89" i="2"/>
  <c r="R110" i="2"/>
  <c r="R306" i="2"/>
  <c r="R143" i="2"/>
  <c r="R111" i="2"/>
  <c r="R42" i="2"/>
  <c r="R124" i="2"/>
  <c r="R236" i="2"/>
  <c r="R104" i="2"/>
  <c r="R81" i="2"/>
  <c r="R171" i="2"/>
  <c r="R64" i="2"/>
  <c r="R105" i="2"/>
  <c r="R71" i="2"/>
  <c r="R146" i="2"/>
  <c r="R274" i="2"/>
  <c r="R264" i="2"/>
  <c r="R258" i="2"/>
  <c r="R207" i="2"/>
  <c r="R140" i="2"/>
  <c r="R213" i="2"/>
  <c r="R305" i="2"/>
  <c r="R252" i="2"/>
  <c r="R200" i="2"/>
  <c r="R149" i="2"/>
  <c r="R245" i="2"/>
  <c r="R189" i="2"/>
  <c r="R256" i="2"/>
  <c r="R220" i="2"/>
  <c r="R60" i="2"/>
  <c r="R19" i="2"/>
  <c r="R142" i="2"/>
  <c r="R16" i="2"/>
  <c r="R222" i="2"/>
  <c r="R39" i="2"/>
  <c r="R128" i="2"/>
  <c r="R304" i="2"/>
  <c r="R209" i="2"/>
  <c r="R14" i="2"/>
  <c r="R121" i="2"/>
  <c r="R122" i="2"/>
  <c r="R157" i="2"/>
  <c r="R178" i="2"/>
  <c r="R84" i="2"/>
  <c r="R208" i="2"/>
  <c r="R263" i="2"/>
  <c r="R181" i="2"/>
  <c r="R163" i="2"/>
  <c r="R170" i="2"/>
  <c r="R88" i="2"/>
  <c r="R173" i="2"/>
  <c r="R284" i="2"/>
  <c r="R38" i="2"/>
  <c r="R180" i="2"/>
  <c r="R73" i="2"/>
  <c r="R77" i="2"/>
  <c r="R303" i="2"/>
  <c r="R169" i="2"/>
  <c r="R302" i="2"/>
  <c r="R44" i="2"/>
  <c r="R69" i="2"/>
  <c r="R215" i="2"/>
  <c r="R301" i="2"/>
  <c r="R29" i="2"/>
  <c r="R57" i="2"/>
  <c r="R22" i="2"/>
  <c r="R148" i="2"/>
  <c r="R15" i="2"/>
  <c r="R283" i="2"/>
  <c r="R288" i="2"/>
  <c r="R262" i="2"/>
  <c r="R131" i="2"/>
  <c r="R87" i="2"/>
  <c r="R300" i="2"/>
  <c r="R243" i="2"/>
  <c r="R101" i="2"/>
  <c r="R28" i="2"/>
  <c r="R228" i="2"/>
  <c r="R250" i="2"/>
  <c r="R282" i="2"/>
  <c r="R8" i="2"/>
  <c r="R193" i="2"/>
  <c r="R184" i="2"/>
  <c r="R168" i="2"/>
  <c r="R118" i="2"/>
  <c r="R31" i="2"/>
  <c r="R160" i="2"/>
  <c r="R299" i="2"/>
  <c r="R240" i="2"/>
  <c r="R227" i="2"/>
  <c r="R162" i="2"/>
  <c r="R92" i="2"/>
  <c r="R224" i="2"/>
  <c r="R127" i="2"/>
  <c r="R158" i="2"/>
  <c r="R281" i="2"/>
  <c r="R239" i="2"/>
  <c r="R147" i="2"/>
  <c r="R145" i="2"/>
  <c r="R66" i="2"/>
  <c r="R150" i="2"/>
  <c r="R217" i="2"/>
  <c r="R59" i="2"/>
  <c r="R53" i="2"/>
  <c r="R97" i="2"/>
  <c r="R206" i="2"/>
  <c r="R41" i="2"/>
  <c r="R13" i="2"/>
  <c r="R195" i="2"/>
  <c r="R70" i="2"/>
  <c r="R185" i="2"/>
  <c r="R47" i="2"/>
  <c r="R7" i="2"/>
  <c r="R298" i="2"/>
  <c r="R52" i="2"/>
  <c r="R68" i="2"/>
  <c r="R280" i="2"/>
  <c r="R257" i="2"/>
  <c r="R90" i="2"/>
  <c r="R273" i="2"/>
  <c r="R91" i="2"/>
  <c r="R43" i="2"/>
  <c r="R36" i="2"/>
  <c r="R199" i="2"/>
  <c r="R144" i="2"/>
  <c r="R106" i="2"/>
  <c r="R287" i="2"/>
  <c r="R198" i="2"/>
  <c r="R261" i="2"/>
  <c r="R175" i="2"/>
  <c r="R297" i="2"/>
  <c r="R136" i="2"/>
  <c r="R27" i="2"/>
  <c r="R138" i="2"/>
  <c r="R205" i="2"/>
  <c r="R296" i="2"/>
  <c r="R50" i="2"/>
  <c r="R115" i="2"/>
  <c r="R235" i="2"/>
  <c r="R5" i="2"/>
  <c r="R9" i="2"/>
  <c r="R86" i="2"/>
  <c r="R139" i="2"/>
  <c r="R100" i="2"/>
  <c r="R129" i="2"/>
  <c r="R17" i="2"/>
  <c r="R126" i="2"/>
  <c r="R133" i="2"/>
  <c r="R120" i="2"/>
  <c r="R6" i="2"/>
  <c r="R269" i="2"/>
  <c r="R187" i="2"/>
  <c r="R94" i="2"/>
  <c r="R82" i="2"/>
  <c r="R83" i="2"/>
  <c r="R183" i="2"/>
  <c r="R234" i="2"/>
  <c r="R242" i="2"/>
  <c r="R24" i="2"/>
  <c r="R295" i="2"/>
  <c r="R226" i="2"/>
  <c r="R277" i="2"/>
  <c r="R294" i="2"/>
  <c r="R272" i="2"/>
  <c r="R152" i="2"/>
  <c r="R194" i="2"/>
  <c r="R96" i="2"/>
  <c r="R113" i="2"/>
  <c r="R219" i="2"/>
  <c r="R197" i="2"/>
  <c r="R293" i="2"/>
  <c r="R221" i="2"/>
  <c r="R233" i="2"/>
  <c r="R114" i="2"/>
  <c r="R247" i="2"/>
  <c r="R251" i="2"/>
  <c r="R225" i="2"/>
  <c r="R246" i="2"/>
  <c r="R103" i="2"/>
  <c r="R21" i="2"/>
  <c r="R46" i="2"/>
  <c r="R177" i="2"/>
  <c r="R117" i="2"/>
  <c r="R176" i="2"/>
  <c r="R292" i="2"/>
  <c r="R34" i="2"/>
  <c r="R153" i="2"/>
  <c r="R51" i="2"/>
  <c r="R212" i="2"/>
  <c r="R186" i="2"/>
  <c r="R260" i="2"/>
  <c r="R119" i="2"/>
  <c r="R63" i="2"/>
  <c r="R95" i="2"/>
  <c r="R232" i="2"/>
  <c r="R268" i="2"/>
  <c r="R279" i="2"/>
  <c r="R254" i="2"/>
  <c r="R55" i="2"/>
  <c r="R204" i="2"/>
  <c r="R123" i="2"/>
  <c r="R23" i="2"/>
  <c r="R231" i="2"/>
  <c r="R291" i="2"/>
  <c r="R107" i="2"/>
  <c r="R40" i="2"/>
  <c r="R49" i="2"/>
  <c r="R290" i="2"/>
  <c r="R85" i="2"/>
  <c r="R102" i="2"/>
  <c r="R130" i="2"/>
  <c r="R196" i="2"/>
  <c r="R244" i="2"/>
  <c r="R211" i="2"/>
  <c r="R135" i="2"/>
  <c r="R37" i="2"/>
  <c r="R276" i="2"/>
  <c r="R74" i="2"/>
  <c r="R98" i="2"/>
  <c r="R237" i="2"/>
  <c r="R167" i="2"/>
  <c r="R286" i="2"/>
  <c r="R72" i="2"/>
  <c r="R99" i="2"/>
  <c r="R267" i="2"/>
  <c r="R58" i="2"/>
  <c r="R11" i="2"/>
  <c r="R61" i="2"/>
  <c r="R25" i="2"/>
  <c r="R134" i="2"/>
  <c r="R271" i="2"/>
  <c r="R238" i="2"/>
  <c r="R190" i="2"/>
  <c r="R259" i="2"/>
  <c r="R230" i="2"/>
  <c r="R156" i="2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3" i="3"/>
  <c r="U25" i="2" l="1"/>
  <c r="U27" i="2"/>
  <c r="U204" i="2"/>
  <c r="U225" i="2"/>
  <c r="U78" i="2"/>
  <c r="U170" i="2"/>
  <c r="U220" i="2"/>
  <c r="U308" i="2"/>
  <c r="U238" i="2"/>
  <c r="U254" i="2"/>
  <c r="U67" i="2"/>
  <c r="U111" i="2"/>
  <c r="U171" i="2"/>
  <c r="U203" i="2"/>
  <c r="U167" i="2"/>
  <c r="U63" i="2"/>
  <c r="U244" i="2"/>
  <c r="U123" i="2"/>
  <c r="U212" i="2"/>
  <c r="U94" i="2"/>
  <c r="U9" i="2"/>
  <c r="U50" i="2"/>
  <c r="U91" i="2"/>
  <c r="U156" i="2"/>
  <c r="U196" i="2"/>
  <c r="U119" i="2"/>
  <c r="U176" i="2"/>
  <c r="U295" i="2"/>
  <c r="U183" i="2"/>
  <c r="U199" i="2"/>
  <c r="U13" i="2"/>
  <c r="U77" i="2"/>
  <c r="U284" i="2"/>
  <c r="U121" i="2"/>
  <c r="U128" i="2"/>
  <c r="U200" i="2"/>
  <c r="U140" i="2"/>
  <c r="U18" i="2"/>
  <c r="U218" i="2"/>
  <c r="U151" i="2"/>
  <c r="U72" i="2"/>
  <c r="U7" i="2"/>
  <c r="U97" i="2"/>
  <c r="U239" i="2"/>
  <c r="U283" i="2"/>
  <c r="U38" i="2"/>
  <c r="U304" i="2"/>
  <c r="U213" i="2"/>
  <c r="U309" i="2"/>
  <c r="U267" i="2"/>
  <c r="U108" i="2"/>
  <c r="U237" i="2"/>
  <c r="U290" i="2"/>
  <c r="U291" i="2"/>
  <c r="U21" i="2"/>
  <c r="U221" i="2"/>
  <c r="U272" i="2"/>
  <c r="U187" i="2"/>
  <c r="U133" i="2"/>
  <c r="U100" i="2"/>
  <c r="U5" i="2"/>
  <c r="U46" i="2"/>
  <c r="U85" i="2"/>
  <c r="U19" i="2"/>
  <c r="U28" i="2"/>
  <c r="U39" i="2"/>
  <c r="U57" i="2"/>
  <c r="U226" i="2"/>
  <c r="U89" i="2"/>
  <c r="U93" i="2"/>
  <c r="U261" i="2"/>
  <c r="U116" i="2"/>
  <c r="U146" i="2"/>
  <c r="U181" i="2"/>
  <c r="U166" i="2"/>
  <c r="U159" i="2"/>
  <c r="U301" i="2"/>
  <c r="U303" i="2"/>
  <c r="U265" i="2"/>
  <c r="U249" i="2"/>
  <c r="U255" i="2"/>
  <c r="U275" i="2"/>
  <c r="U273" i="2"/>
  <c r="U47" i="2"/>
  <c r="U281" i="2"/>
  <c r="U92" i="2"/>
  <c r="U282" i="2"/>
  <c r="U101" i="2"/>
  <c r="U15" i="2"/>
  <c r="U84" i="2"/>
  <c r="U142" i="2"/>
  <c r="U64" i="2"/>
  <c r="U236" i="2"/>
  <c r="U143" i="2"/>
  <c r="U132" i="2"/>
  <c r="U307" i="2"/>
  <c r="U12" i="2"/>
  <c r="U48" i="2"/>
  <c r="U312" i="2"/>
  <c r="U313" i="2"/>
  <c r="U33" i="2"/>
  <c r="U216" i="2"/>
  <c r="U316" i="2"/>
  <c r="U75" i="2"/>
  <c r="U80" i="2"/>
  <c r="U266" i="2"/>
  <c r="U174" i="2"/>
  <c r="U276" i="2"/>
  <c r="U219" i="2"/>
  <c r="U289" i="2"/>
  <c r="U248" i="2"/>
  <c r="U280" i="2"/>
  <c r="U293" i="2"/>
  <c r="U71" i="2"/>
  <c r="U69" i="2"/>
  <c r="U177" i="2"/>
  <c r="U86" i="2"/>
  <c r="U55" i="2"/>
  <c r="U195" i="2"/>
  <c r="U150" i="2"/>
  <c r="U240" i="2"/>
  <c r="U208" i="2"/>
  <c r="U122" i="2"/>
  <c r="U149" i="2"/>
  <c r="U105" i="2"/>
  <c r="U30" i="2"/>
  <c r="U314" i="2"/>
  <c r="U201" i="2"/>
  <c r="U292" i="2"/>
  <c r="U61" i="2"/>
  <c r="U99" i="2"/>
  <c r="U37" i="2"/>
  <c r="U268" i="2"/>
  <c r="U51" i="2"/>
  <c r="U251" i="2"/>
  <c r="U113" i="2"/>
  <c r="U296" i="2"/>
  <c r="U136" i="2"/>
  <c r="U198" i="2"/>
  <c r="U68" i="2"/>
  <c r="U53" i="2"/>
  <c r="U66" i="2"/>
  <c r="U299" i="2"/>
  <c r="U168" i="2"/>
  <c r="U131" i="2"/>
  <c r="U29" i="2"/>
  <c r="U44" i="2"/>
  <c r="U163" i="2"/>
  <c r="U256" i="2"/>
  <c r="U274" i="2"/>
  <c r="U230" i="2"/>
  <c r="U271" i="2"/>
  <c r="U11" i="2"/>
  <c r="U135" i="2"/>
  <c r="U232" i="2"/>
  <c r="U260" i="2"/>
  <c r="U117" i="2"/>
  <c r="U103" i="2"/>
  <c r="U96" i="2"/>
  <c r="U24" i="2"/>
  <c r="U269" i="2"/>
  <c r="U126" i="2"/>
  <c r="U139" i="2"/>
  <c r="U235" i="2"/>
  <c r="U205" i="2"/>
  <c r="U36" i="2"/>
  <c r="U90" i="2"/>
  <c r="U185" i="2"/>
  <c r="U59" i="2"/>
  <c r="U158" i="2"/>
  <c r="U160" i="2"/>
  <c r="U184" i="2"/>
  <c r="U243" i="2"/>
  <c r="U262" i="2"/>
  <c r="U148" i="2"/>
  <c r="U302" i="2"/>
  <c r="U173" i="2"/>
  <c r="U178" i="2"/>
  <c r="U252" i="2"/>
  <c r="U124" i="2"/>
  <c r="U306" i="2"/>
  <c r="U112" i="2"/>
  <c r="U214" i="2"/>
  <c r="U54" i="2"/>
  <c r="U26" i="2"/>
  <c r="U109" i="2"/>
  <c r="U229" i="2"/>
  <c r="U210" i="2"/>
  <c r="U182" i="2"/>
  <c r="U56" i="2"/>
  <c r="U107" i="2"/>
  <c r="U253" i="2"/>
  <c r="U202" i="2"/>
  <c r="U263" i="2"/>
  <c r="U227" i="2"/>
  <c r="U193" i="2"/>
  <c r="U118" i="2"/>
  <c r="U279" i="2"/>
  <c r="U4" i="2"/>
  <c r="U134" i="2"/>
  <c r="U58" i="2"/>
  <c r="U286" i="2"/>
  <c r="U74" i="2"/>
  <c r="U211" i="2"/>
  <c r="U102" i="2"/>
  <c r="U40" i="2"/>
  <c r="U23" i="2"/>
  <c r="U95" i="2"/>
  <c r="U34" i="2"/>
  <c r="U246" i="2"/>
  <c r="U114" i="2"/>
  <c r="U197" i="2"/>
  <c r="U194" i="2"/>
  <c r="U277" i="2"/>
  <c r="U242" i="2"/>
  <c r="U17" i="2"/>
  <c r="U115" i="2"/>
  <c r="U138" i="2"/>
  <c r="U175" i="2"/>
  <c r="U106" i="2"/>
  <c r="U43" i="2"/>
  <c r="U257" i="2"/>
  <c r="U298" i="2"/>
  <c r="U70" i="2"/>
  <c r="U206" i="2"/>
  <c r="U217" i="2"/>
  <c r="U147" i="2"/>
  <c r="U127" i="2"/>
  <c r="U31" i="2"/>
  <c r="U228" i="2"/>
  <c r="U300" i="2"/>
  <c r="U288" i="2"/>
  <c r="U215" i="2"/>
  <c r="U169" i="2"/>
  <c r="U180" i="2"/>
  <c r="U88" i="2"/>
  <c r="U157" i="2"/>
  <c r="U209" i="2"/>
  <c r="U222" i="2"/>
  <c r="U60" i="2"/>
  <c r="U245" i="2"/>
  <c r="U258" i="2"/>
  <c r="U81" i="2"/>
  <c r="U42" i="2"/>
  <c r="U110" i="2"/>
  <c r="U165" i="2"/>
  <c r="U76" i="2"/>
  <c r="U161" i="2"/>
  <c r="U311" i="2"/>
  <c r="U278" i="2"/>
  <c r="U155" i="2"/>
  <c r="U20" i="2"/>
  <c r="U65" i="2"/>
  <c r="U317" i="2"/>
  <c r="U137" i="2"/>
  <c r="U190" i="2"/>
  <c r="U310" i="2"/>
  <c r="U250" i="2"/>
  <c r="U287" i="2"/>
  <c r="U145" i="2"/>
  <c r="U144" i="2"/>
  <c r="U73" i="2"/>
  <c r="U120" i="2"/>
  <c r="U305" i="2"/>
  <c r="U32" i="2"/>
  <c r="U241" i="2"/>
  <c r="U62" i="2"/>
  <c r="U154" i="2"/>
  <c r="U45" i="2"/>
  <c r="U315" i="2"/>
  <c r="U179" i="2"/>
  <c r="U191" i="2"/>
  <c r="U318" i="2"/>
  <c r="U233" i="2"/>
  <c r="U152" i="2"/>
  <c r="U234" i="2"/>
  <c r="U129" i="2"/>
  <c r="U224" i="2"/>
  <c r="U8" i="2"/>
  <c r="U87" i="2"/>
  <c r="U16" i="2"/>
  <c r="U264" i="2"/>
  <c r="U104" i="2"/>
  <c r="U223" i="2"/>
  <c r="U164" i="2"/>
  <c r="U79" i="2"/>
  <c r="U270" i="2"/>
  <c r="U125" i="2"/>
  <c r="U98" i="2"/>
  <c r="U130" i="2"/>
  <c r="U49" i="2"/>
  <c r="U231" i="2"/>
  <c r="U153" i="2"/>
  <c r="U247" i="2"/>
  <c r="U294" i="2"/>
  <c r="U83" i="2"/>
  <c r="U297" i="2"/>
  <c r="U52" i="2"/>
  <c r="U41" i="2"/>
  <c r="U162" i="2"/>
  <c r="U14" i="2"/>
  <c r="U189" i="2"/>
  <c r="U207" i="2"/>
  <c r="U188" i="2"/>
  <c r="U10" i="2"/>
  <c r="U35" i="2"/>
  <c r="U172" i="2"/>
  <c r="U141" i="2"/>
  <c r="U3" i="2"/>
  <c r="U285" i="2"/>
  <c r="U192" i="2"/>
  <c r="EU43" i="4"/>
  <c r="ET43" i="4"/>
  <c r="ES43" i="4"/>
  <c r="ER43" i="4"/>
  <c r="EP43" i="4"/>
  <c r="EY11" i="4" l="1"/>
  <c r="FN11" i="4" l="1"/>
  <c r="FM11" i="4"/>
  <c r="FL11" i="4"/>
  <c r="FK11" i="4"/>
  <c r="FJ11" i="4"/>
  <c r="FI11" i="4"/>
  <c r="FH11" i="4"/>
  <c r="FG11" i="4"/>
  <c r="FF11" i="4"/>
  <c r="FE11" i="4"/>
  <c r="FD11" i="4"/>
  <c r="FC11" i="4"/>
  <c r="FB11" i="4"/>
  <c r="FA11" i="4"/>
  <c r="EZ11" i="4"/>
  <c r="EN26" i="4" l="1"/>
  <c r="EN29" i="4"/>
  <c r="EN32" i="4" l="1"/>
  <c r="EN23" i="4"/>
  <c r="EN20" i="4"/>
  <c r="EN35" i="4" l="1"/>
  <c r="EN14" i="4"/>
  <c r="EF4" i="4" l="1"/>
  <c r="EJ8" i="4" l="1"/>
  <c r="EI8" i="4"/>
  <c r="EK8" i="4" l="1"/>
  <c r="FN8" i="4" s="1"/>
  <c r="EM8" i="4"/>
  <c r="EL8" i="4"/>
  <c r="FF8" i="4" l="1"/>
  <c r="EO8" i="4"/>
  <c r="FB8" i="4"/>
  <c r="EX8" i="4"/>
  <c r="ES8" i="4"/>
  <c r="FJ8" i="4"/>
  <c r="EE4" i="4"/>
  <c r="EI4" i="4" l="1"/>
  <c r="EV8" i="4" s="1"/>
  <c r="EV4" i="4" l="1"/>
  <c r="EL4" i="4"/>
  <c r="EN4" i="4" s="1"/>
  <c r="EM4" i="4"/>
  <c r="EN8" i="4" s="1"/>
  <c r="EK4" i="4"/>
  <c r="FN4" i="4" s="1"/>
  <c r="EJ4" i="4"/>
  <c r="FG8" i="4"/>
  <c r="FO8" i="4"/>
  <c r="EY8" i="4"/>
  <c r="EP8" i="4"/>
  <c r="FK8" i="4"/>
  <c r="FC8" i="4"/>
  <c r="ET8" i="4"/>
  <c r="FO4" i="4"/>
  <c r="FH8" i="4" l="1"/>
  <c r="FB4" i="4"/>
  <c r="FJ4" i="4"/>
  <c r="EO4" i="4"/>
  <c r="ES4" i="4"/>
  <c r="EX4" i="4"/>
  <c r="FF4" i="4"/>
  <c r="FP4" i="4"/>
  <c r="FP8" i="4"/>
  <c r="FL8" i="4"/>
  <c r="FD8" i="4"/>
  <c r="EZ8" i="4"/>
  <c r="EQ8" i="4"/>
  <c r="ET4" i="4"/>
  <c r="EY4" i="4"/>
  <c r="EP4" i="4"/>
  <c r="FC4" i="4"/>
  <c r="FG4" i="4"/>
  <c r="FK4" i="4"/>
  <c r="FL4" i="4" l="1"/>
  <c r="EZ4" i="4"/>
  <c r="FA4" i="4" s="1"/>
  <c r="FD4" i="4"/>
  <c r="FE4" i="4" s="1"/>
  <c r="EQ4" i="4"/>
  <c r="ER4" i="4" s="1"/>
  <c r="FH4" i="4"/>
  <c r="EW4" i="4"/>
  <c r="FI4" i="4" l="1"/>
  <c r="FM4" i="4" s="1"/>
  <c r="FQ4" i="4" l="1"/>
  <c r="FR4" i="4" s="1"/>
  <c r="FV3" i="4" s="1"/>
  <c r="FT3" i="4" l="1"/>
  <c r="EN17" i="4" s="1"/>
  <c r="FN12" i="4" l="1"/>
  <c r="FN112" i="4" s="1"/>
  <c r="EW44" i="4" s="1"/>
  <c r="FR11" i="4"/>
  <c r="FR111" i="4" s="1"/>
  <c r="FF12" i="4"/>
  <c r="FF112" i="4" s="1"/>
  <c r="EZ12" i="4"/>
  <c r="EZ112" i="4" s="1"/>
  <c r="FK12" i="4"/>
  <c r="FK112" i="4" s="1"/>
  <c r="FG12" i="4"/>
  <c r="FG112" i="4" s="1"/>
  <c r="FB12" i="4"/>
  <c r="FB112" i="4" s="1"/>
  <c r="FI12" i="4"/>
  <c r="FI112" i="4" s="1"/>
  <c r="FJ12" i="4"/>
  <c r="FJ112" i="4" s="1"/>
  <c r="FA12" i="4"/>
  <c r="FA112" i="4" s="1"/>
  <c r="FC12" i="4"/>
  <c r="FC112" i="4" s="1"/>
  <c r="FH12" i="4"/>
  <c r="FH112" i="4" s="1"/>
  <c r="FD12" i="4"/>
  <c r="FD112" i="4" s="1"/>
  <c r="FM12" i="4" l="1"/>
  <c r="FM112" i="4" s="1"/>
  <c r="EV44" i="4" s="1"/>
  <c r="EI60" i="4" s="1"/>
  <c r="FL12" i="4"/>
  <c r="FL112" i="4" s="1"/>
  <c r="EU44" i="4" s="1"/>
  <c r="EI59" i="4" s="1"/>
  <c r="FE12" i="4"/>
  <c r="FE112" i="4" s="1"/>
  <c r="EN44" i="4" s="1"/>
  <c r="EI52" i="4" s="1"/>
  <c r="EY12" i="4"/>
  <c r="EY112" i="4" s="1"/>
  <c r="EH44" i="4" s="1"/>
  <c r="EI46" i="4" s="1"/>
  <c r="EI61" i="4"/>
  <c r="ES44" i="4"/>
  <c r="EO44" i="4"/>
  <c r="EJ44" i="4"/>
  <c r="ET44" i="4"/>
  <c r="EL44" i="4"/>
  <c r="EM44" i="4"/>
  <c r="EK44" i="4"/>
  <c r="EP44" i="4"/>
  <c r="EQ44" i="4"/>
  <c r="EI44" i="4"/>
  <c r="ER44" i="4"/>
  <c r="EI58" i="4" l="1"/>
  <c r="EI57" i="4"/>
  <c r="EI56" i="4"/>
  <c r="EI55" i="4"/>
  <c r="EI54" i="4"/>
  <c r="EI53" i="4"/>
  <c r="EI51" i="4"/>
  <c r="EI50" i="4"/>
  <c r="EI49" i="4"/>
  <c r="EI48" i="4"/>
  <c r="EI47" i="4"/>
</calcChain>
</file>

<file path=xl/sharedStrings.xml><?xml version="1.0" encoding="utf-8"?>
<sst xmlns="http://schemas.openxmlformats.org/spreadsheetml/2006/main" count="14439" uniqueCount="1229">
  <si>
    <t>TORONTO</t>
  </si>
  <si>
    <t>PHILADELPHIA</t>
  </si>
  <si>
    <t>BOSTON</t>
  </si>
  <si>
    <t>VANCOUVER</t>
  </si>
  <si>
    <t>CALGARY</t>
  </si>
  <si>
    <t>SAN JOSE</t>
  </si>
  <si>
    <t>LOS ANGELES</t>
  </si>
  <si>
    <t>COLUMBUS</t>
  </si>
  <si>
    <t>BUFFALO</t>
  </si>
  <si>
    <t>NEW JERSEY</t>
  </si>
  <si>
    <t>ANAHEIM</t>
  </si>
  <si>
    <t>PITTSBURGH</t>
  </si>
  <si>
    <t>WASHINGTON</t>
  </si>
  <si>
    <t>DETROIT</t>
  </si>
  <si>
    <t>FLORIDA</t>
  </si>
  <si>
    <t>TAMPA BAY</t>
  </si>
  <si>
    <t>NY RANGERS</t>
  </si>
  <si>
    <t>ST. LOUIS</t>
  </si>
  <si>
    <t>OTTAWA</t>
  </si>
  <si>
    <t>NASHVILLE</t>
  </si>
  <si>
    <t>CHICAGO</t>
  </si>
  <si>
    <t>DALLAS</t>
  </si>
  <si>
    <t>COLORADO</t>
  </si>
  <si>
    <t>MINNESOTA</t>
  </si>
  <si>
    <t>EDMONTON</t>
  </si>
  <si>
    <t>WINNIPEG</t>
  </si>
  <si>
    <t>NY ISLANDERS</t>
  </si>
  <si>
    <t>CAROLINA</t>
  </si>
  <si>
    <t>Visiting</t>
  </si>
  <si>
    <t>Home</t>
  </si>
  <si>
    <t>ActualMargin</t>
  </si>
  <si>
    <t>WEDOCT8,2014</t>
  </si>
  <si>
    <t>SANJOSE</t>
  </si>
  <si>
    <t>LOSANGELES</t>
  </si>
  <si>
    <t>THUOCT9,2014</t>
  </si>
  <si>
    <t>NEWJERSEY</t>
  </si>
  <si>
    <t>TAMPABAY</t>
  </si>
  <si>
    <t>NYRANGERS</t>
  </si>
  <si>
    <t>ST.LOUIS</t>
  </si>
  <si>
    <t>FRIOCT10,2014</t>
  </si>
  <si>
    <t>NYISLANDERS</t>
  </si>
  <si>
    <t>SATOCT11,2014</t>
  </si>
  <si>
    <t>SUNOCT12,2014</t>
  </si>
  <si>
    <t>MONOCT13,2014</t>
  </si>
  <si>
    <t>TUEOCT14,2014</t>
  </si>
  <si>
    <t>WEDOCT15,2014</t>
  </si>
  <si>
    <t>THUOCT16,2014</t>
  </si>
  <si>
    <t>FRIOCT17,2014</t>
  </si>
  <si>
    <t>SATOCT18,2014</t>
  </si>
  <si>
    <t>SUNOCT19,2014</t>
  </si>
  <si>
    <t>MONOCT20,2014</t>
  </si>
  <si>
    <t>TUEOCT21,2014</t>
  </si>
  <si>
    <t>WEDOCT22,2014</t>
  </si>
  <si>
    <t>THUOCT23,2014</t>
  </si>
  <si>
    <t>FRIOCT24,2014</t>
  </si>
  <si>
    <t>SATOCT25,2014</t>
  </si>
  <si>
    <t>SUNOCT26,2014</t>
  </si>
  <si>
    <t>MONOCT27,2014</t>
  </si>
  <si>
    <t>TUEOCT28,2014</t>
  </si>
  <si>
    <t>WEDOCT29,2014</t>
  </si>
  <si>
    <t>THUOCT30,2014</t>
  </si>
  <si>
    <t>FRIOCT31,2014</t>
  </si>
  <si>
    <t>SATNOV1,2014</t>
  </si>
  <si>
    <t>SUNNOV2,2014</t>
  </si>
  <si>
    <t>MONNOV3,2014</t>
  </si>
  <si>
    <t>TUENOV4,2014</t>
  </si>
  <si>
    <t>WEDNOV5,2014</t>
  </si>
  <si>
    <t>THUNOV6,2014</t>
  </si>
  <si>
    <t>FRINOV7,2014</t>
  </si>
  <si>
    <t>SATNOV8,2014</t>
  </si>
  <si>
    <t>SUNNOV9,2014</t>
  </si>
  <si>
    <t>MONNOV10,2014</t>
  </si>
  <si>
    <t>TUENOV11,2014</t>
  </si>
  <si>
    <t>WEDNOV12,2014</t>
  </si>
  <si>
    <t>THUNOV13,2014</t>
  </si>
  <si>
    <t>FRINOV14,2014</t>
  </si>
  <si>
    <t>SATNOV15,2014</t>
  </si>
  <si>
    <t>SUNNOV16,2014</t>
  </si>
  <si>
    <t>MONNOV17,2014</t>
  </si>
  <si>
    <t>TUENOV18,2014</t>
  </si>
  <si>
    <t>WEDNOV19,2014</t>
  </si>
  <si>
    <t>THUNOV20,2014</t>
  </si>
  <si>
    <t>FRINOV21,2014</t>
  </si>
  <si>
    <t>SATNOV22,2014</t>
  </si>
  <si>
    <t>SUNNOV23,2014</t>
  </si>
  <si>
    <t>MONNOV24,2014</t>
  </si>
  <si>
    <t>TUENOV25,2014</t>
  </si>
  <si>
    <t>WEDNOV26,2014</t>
  </si>
  <si>
    <t>THUNOV27,2014</t>
  </si>
  <si>
    <t>FRINOV28,2014</t>
  </si>
  <si>
    <t>SATNOV29,2014</t>
  </si>
  <si>
    <t>SUNNOV30,2014</t>
  </si>
  <si>
    <t>MONDEC1,2014</t>
  </si>
  <si>
    <t>TUEDEC2,2014</t>
  </si>
  <si>
    <t>WEDDEC3,2014</t>
  </si>
  <si>
    <t>THUDEC4,2014</t>
  </si>
  <si>
    <t>FRIDEC5,2014</t>
  </si>
  <si>
    <t>SATDEC6,2014</t>
  </si>
  <si>
    <t>SUNDEC7,2014</t>
  </si>
  <si>
    <t>MONDEC8,2014</t>
  </si>
  <si>
    <t>TUEDEC9,2014</t>
  </si>
  <si>
    <t>WEDDEC10,2014</t>
  </si>
  <si>
    <t>THUDEC11,2014</t>
  </si>
  <si>
    <t>FRIDEC12,2014</t>
  </si>
  <si>
    <t>SATDEC13,2014</t>
  </si>
  <si>
    <t>SUNDEC14,2014</t>
  </si>
  <si>
    <t>MONDEC15,2014</t>
  </si>
  <si>
    <t>TUEDEC16,2014</t>
  </si>
  <si>
    <t>WEDDEC17,2014</t>
  </si>
  <si>
    <t>THUDEC18,2014</t>
  </si>
  <si>
    <t>FRIDEC19,2014</t>
  </si>
  <si>
    <t>SATDEC20,2014</t>
  </si>
  <si>
    <t>SUNDEC21,2014</t>
  </si>
  <si>
    <t>MONDEC22,2014</t>
  </si>
  <si>
    <t>TUEDEC23,2014</t>
  </si>
  <si>
    <t>SATDEC27,2014</t>
  </si>
  <si>
    <t>SUNDEC28,2014</t>
  </si>
  <si>
    <t>MONDEC29,2014</t>
  </si>
  <si>
    <t>TUEDEC30,2014</t>
  </si>
  <si>
    <t>WEDDEC31,2014</t>
  </si>
  <si>
    <t>THUJAN1,2015</t>
  </si>
  <si>
    <t>FRIJAN2,2015</t>
  </si>
  <si>
    <t>SATJAN3,2015</t>
  </si>
  <si>
    <t>SUNJAN4,2015</t>
  </si>
  <si>
    <t>MONJAN5,2015</t>
  </si>
  <si>
    <t>TUEJAN6,2015</t>
  </si>
  <si>
    <t>WEDJAN7,2015</t>
  </si>
  <si>
    <t>THUJAN8,2015</t>
  </si>
  <si>
    <t>FRIJAN9,2015</t>
  </si>
  <si>
    <t>SATJAN10,2015</t>
  </si>
  <si>
    <t>SUNJAN11,2015</t>
  </si>
  <si>
    <t>MONJAN12,2015</t>
  </si>
  <si>
    <t>TUEJAN13,2015</t>
  </si>
  <si>
    <t>WEDJAN14,2015</t>
  </si>
  <si>
    <t>THUJAN15,2015</t>
  </si>
  <si>
    <t>FRIJAN16,2015</t>
  </si>
  <si>
    <t>SATJAN17,2015</t>
  </si>
  <si>
    <t>SUNJAN18,2015</t>
  </si>
  <si>
    <t>MONJAN19,2015</t>
  </si>
  <si>
    <t>TUEJAN20,2015</t>
  </si>
  <si>
    <t>WEDJAN21,2015</t>
  </si>
  <si>
    <t>TUEJAN27,2015</t>
  </si>
  <si>
    <t>WEDJAN28,2015</t>
  </si>
  <si>
    <t>THUJAN29,2015</t>
  </si>
  <si>
    <t>FRIJAN30,2015</t>
  </si>
  <si>
    <t>SATJAN31,2015</t>
  </si>
  <si>
    <t>SUNFEB1,2015</t>
  </si>
  <si>
    <t>MONFEB2,2015</t>
  </si>
  <si>
    <t>TUEFEB3,2015</t>
  </si>
  <si>
    <t>WEDFEB4,2015</t>
  </si>
  <si>
    <t>THUFEB5,2015</t>
  </si>
  <si>
    <t>FRIFEB6,2015</t>
  </si>
  <si>
    <t>SATFEB7,2015</t>
  </si>
  <si>
    <t>SUNFEB8,2015</t>
  </si>
  <si>
    <t>MONFEB9,2015</t>
  </si>
  <si>
    <t>TUEFEB10,2015</t>
  </si>
  <si>
    <t>WEDFEB11,2015</t>
  </si>
  <si>
    <t>THUFEB12,2015</t>
  </si>
  <si>
    <t>FRIFEB13,2015</t>
  </si>
  <si>
    <t>SATFEB14,2015</t>
  </si>
  <si>
    <t>SUNFEB15,2015</t>
  </si>
  <si>
    <t>MONFEB16,2015</t>
  </si>
  <si>
    <t>TUEFEB17,2015</t>
  </si>
  <si>
    <t>WEDFEB18,2015</t>
  </si>
  <si>
    <t>THUFEB19,2015</t>
  </si>
  <si>
    <t>FRIFEB20,2015</t>
  </si>
  <si>
    <t>SATFEB21,2015</t>
  </si>
  <si>
    <t>SUNFEB22,2015</t>
  </si>
  <si>
    <t>MONFEB23,2015</t>
  </si>
  <si>
    <t>TUEFEB24,2015</t>
  </si>
  <si>
    <t>WEDFEB25,2015</t>
  </si>
  <si>
    <t>THUFEB26,2015</t>
  </si>
  <si>
    <t>FRIFEB27,2015</t>
  </si>
  <si>
    <t>SATFEB28,2015</t>
  </si>
  <si>
    <t>Team</t>
  </si>
  <si>
    <t>Rating</t>
  </si>
  <si>
    <t>PHOENIX</t>
  </si>
  <si>
    <t>0</t>
  </si>
  <si>
    <t>2</t>
  </si>
  <si>
    <t>1</t>
  </si>
  <si>
    <t>3</t>
  </si>
  <si>
    <t>6</t>
  </si>
  <si>
    <t>4</t>
  </si>
  <si>
    <t>5</t>
  </si>
  <si>
    <t>7</t>
  </si>
  <si>
    <t>9</t>
  </si>
  <si>
    <t>Predicted</t>
  </si>
  <si>
    <t>Home ice adv</t>
  </si>
  <si>
    <t>Squared Error</t>
  </si>
  <si>
    <t>Obj</t>
  </si>
  <si>
    <t>Min</t>
  </si>
  <si>
    <t>Avg</t>
  </si>
  <si>
    <t>Name</t>
  </si>
  <si>
    <t>GP</t>
  </si>
  <si>
    <t>Points</t>
  </si>
  <si>
    <t>NYI</t>
  </si>
  <si>
    <t>WSH</t>
  </si>
  <si>
    <t>PIT</t>
  </si>
  <si>
    <t>PHI</t>
  </si>
  <si>
    <t>STL</t>
  </si>
  <si>
    <t>TBL</t>
  </si>
  <si>
    <t>CHI</t>
  </si>
  <si>
    <t>NYR</t>
  </si>
  <si>
    <t>DAL</t>
  </si>
  <si>
    <t>ANA</t>
  </si>
  <si>
    <t>VAN</t>
  </si>
  <si>
    <t>MTL</t>
  </si>
  <si>
    <t>CGY</t>
  </si>
  <si>
    <t>DET</t>
  </si>
  <si>
    <t>WPG</t>
  </si>
  <si>
    <t>NSH</t>
  </si>
  <si>
    <t>MIN</t>
  </si>
  <si>
    <t>TOR</t>
  </si>
  <si>
    <t>OTT</t>
  </si>
  <si>
    <t>EDM</t>
  </si>
  <si>
    <t>COL</t>
  </si>
  <si>
    <t>BOS</t>
  </si>
  <si>
    <t>CAR</t>
  </si>
  <si>
    <t>FLA</t>
  </si>
  <si>
    <t>NJD</t>
  </si>
  <si>
    <t>BUF</t>
  </si>
  <si>
    <t>ARI</t>
  </si>
  <si>
    <t>http://www.nhl.com/stats/player?navid=nav-sts-indiv</t>
  </si>
  <si>
    <t>http://www.nhl.com/ice/schedulebymonth.htm?month=201503</t>
  </si>
  <si>
    <t>MONTREAL</t>
  </si>
  <si>
    <t>G/GP</t>
  </si>
  <si>
    <t>GA/GP</t>
  </si>
  <si>
    <t>East</t>
  </si>
  <si>
    <t>West</t>
  </si>
  <si>
    <t>Montreal</t>
  </si>
  <si>
    <t>Tampa Bay</t>
  </si>
  <si>
    <t>Pittsburgh</t>
  </si>
  <si>
    <t>Washington</t>
  </si>
  <si>
    <t>Nashville</t>
  </si>
  <si>
    <t>Anaheim</t>
  </si>
  <si>
    <t>St. Louis</t>
  </si>
  <si>
    <t>Detroit</t>
  </si>
  <si>
    <t>Vancouver</t>
  </si>
  <si>
    <t>Calgary</t>
  </si>
  <si>
    <t>Chicago</t>
  </si>
  <si>
    <t>Winnipeg</t>
  </si>
  <si>
    <t>Minnesota</t>
  </si>
  <si>
    <t>NY Rangers</t>
  </si>
  <si>
    <t>NY Islanders</t>
  </si>
  <si>
    <t>Game</t>
  </si>
  <si>
    <t>Rd 1</t>
  </si>
  <si>
    <t>Rk Rating</t>
  </si>
  <si>
    <t>Random Ranking</t>
  </si>
  <si>
    <t>Rand Goals</t>
  </si>
  <si>
    <t>Avg G/GP</t>
  </si>
  <si>
    <t>StDev</t>
  </si>
  <si>
    <t>Winner</t>
  </si>
  <si>
    <t>Game 1</t>
  </si>
  <si>
    <t>Game 2</t>
  </si>
  <si>
    <t>Game 3</t>
  </si>
  <si>
    <t>Game 4</t>
  </si>
  <si>
    <t>Game 5</t>
  </si>
  <si>
    <t>Game 6</t>
  </si>
  <si>
    <t>Game 7</t>
  </si>
  <si>
    <t>Round 1</t>
  </si>
  <si>
    <t>Round 2</t>
  </si>
  <si>
    <t>Round 3</t>
  </si>
  <si>
    <t>Championship</t>
  </si>
  <si>
    <t>Champ</t>
  </si>
  <si>
    <t>Avg GA/GP</t>
  </si>
  <si>
    <t>Avg GA</t>
  </si>
  <si>
    <t>X</t>
  </si>
  <si>
    <t>Real Goals</t>
  </si>
  <si>
    <t>Rand Rank</t>
  </si>
  <si>
    <t>Rank</t>
  </si>
  <si>
    <t>SUN MAR 1, 2015</t>
  </si>
  <si>
    <t>MON MAR 2, 2015</t>
  </si>
  <si>
    <t>TUE MAR 3, 2015</t>
  </si>
  <si>
    <t>WED MAR 4, 2015</t>
  </si>
  <si>
    <t>THU MAR 5, 2015</t>
  </si>
  <si>
    <t>FRI MAR 6, 2015</t>
  </si>
  <si>
    <t>SAT MAR 7, 2015</t>
  </si>
  <si>
    <t>SUN MAR 8, 2015</t>
  </si>
  <si>
    <t>MON MAR 9, 2015</t>
  </si>
  <si>
    <t>TUE MAR 10, 2015</t>
  </si>
  <si>
    <t>WED MAR 11, 2015</t>
  </si>
  <si>
    <t>THU MAR 12, 2015</t>
  </si>
  <si>
    <t>FRI MAR 13, 2015</t>
  </si>
  <si>
    <t>SAT MAR 14, 2015</t>
  </si>
  <si>
    <t>SUN MAR 15, 2015</t>
  </si>
  <si>
    <t>MON MAR 16, 2015</t>
  </si>
  <si>
    <t>TUE MAR 17, 2015</t>
  </si>
  <si>
    <t>WED MAR 18, 2015</t>
  </si>
  <si>
    <t>THU MAR 19, 2015</t>
  </si>
  <si>
    <t>FRI MAR 20, 2015</t>
  </si>
  <si>
    <t>SAT MAR 21, 2015</t>
  </si>
  <si>
    <t>SUN MAR 22, 2015</t>
  </si>
  <si>
    <t>MON MAR 23, 2015</t>
  </si>
  <si>
    <t>TUE MAR 24, 2015</t>
  </si>
  <si>
    <t>WED MAR 25, 2015</t>
  </si>
  <si>
    <t>THU MAR 26, 2015</t>
  </si>
  <si>
    <t>FRI MAR 27, 2015</t>
  </si>
  <si>
    <t>SAT MAR 28, 2015</t>
  </si>
  <si>
    <t>SUN MAR 29, 2015</t>
  </si>
  <si>
    <t>MON MAR 30, 2015</t>
  </si>
  <si>
    <t>TUE MAR 31, 2015</t>
  </si>
  <si>
    <t>Stanley Cup Champ</t>
  </si>
  <si>
    <t>East 1st Round</t>
  </si>
  <si>
    <t>West 1st Round</t>
  </si>
  <si>
    <t>East 2nd Round</t>
  </si>
  <si>
    <t>West 2nd Round</t>
  </si>
  <si>
    <t>Champs</t>
  </si>
  <si>
    <t>Win Rd 1</t>
  </si>
  <si>
    <t>Win Rd 2</t>
  </si>
  <si>
    <t>Win Rd 3</t>
  </si>
  <si>
    <t>Avg Games</t>
  </si>
  <si>
    <t>Games in Series</t>
  </si>
  <si>
    <t>http://sports.yahoo.com/nhl/stats/byteam</t>
  </si>
  <si>
    <t>G</t>
  </si>
  <si>
    <t>A</t>
  </si>
  <si>
    <t>GFA</t>
  </si>
  <si>
    <t>GAA</t>
  </si>
  <si>
    <t>Ottawa</t>
  </si>
  <si>
    <t>Pts</t>
  </si>
  <si>
    <t> Jamie Benn</t>
  </si>
  <si>
    <t> John Tavares</t>
  </si>
  <si>
    <t> Sidney Crosby</t>
  </si>
  <si>
    <t> Jakub Voracek</t>
  </si>
  <si>
    <t> Alex Ovechkin</t>
  </si>
  <si>
    <t>WAS</t>
  </si>
  <si>
    <t> Nicklas Backstrom</t>
  </si>
  <si>
    <t> Tyler Seguin</t>
  </si>
  <si>
    <t> Jiri Hudler</t>
  </si>
  <si>
    <t> Daniel Sedin</t>
  </si>
  <si>
    <t> Nick Foligno</t>
  </si>
  <si>
    <t>COB</t>
  </si>
  <si>
    <t> Claude Giroux</t>
  </si>
  <si>
    <t> Vladimir Tarasenko</t>
  </si>
  <si>
    <t> Henrik Sedin</t>
  </si>
  <si>
    <t> Steven Stamkos</t>
  </si>
  <si>
    <t>TAM</t>
  </si>
  <si>
    <t> Tyler Johnson</t>
  </si>
  <si>
    <t> Ryan Johansen</t>
  </si>
  <si>
    <t> Joe Pavelski</t>
  </si>
  <si>
    <t>SAN</t>
  </si>
  <si>
    <t> Evgeni Malkin</t>
  </si>
  <si>
    <t> Ryan Getzlaf</t>
  </si>
  <si>
    <t> Rick Nash</t>
  </si>
  <si>
    <t> Max Pacioretty</t>
  </si>
  <si>
    <t>MON</t>
  </si>
  <si>
    <t> Logan Couture</t>
  </si>
  <si>
    <t> Henrik Zetterberg</t>
  </si>
  <si>
    <t> Jonathan Toews</t>
  </si>
  <si>
    <t> Erik Karlsson</t>
  </si>
  <si>
    <t> Joe Thornton</t>
  </si>
  <si>
    <t> Pavel Datsyuk</t>
  </si>
  <si>
    <t> Johnny Gaudreau</t>
  </si>
  <si>
    <t> Nikita Kucherov</t>
  </si>
  <si>
    <t> Mark Stone</t>
  </si>
  <si>
    <t> Alexander Steen</t>
  </si>
  <si>
    <t> Anze Kopitar</t>
  </si>
  <si>
    <t>LOS</t>
  </si>
  <si>
    <t> Patrick Kane</t>
  </si>
  <si>
    <t> Kyle Turris</t>
  </si>
  <si>
    <t> Jordan Eberle</t>
  </si>
  <si>
    <t> Jaden Schwartz</t>
  </si>
  <si>
    <t> Ondrej Palat</t>
  </si>
  <si>
    <t> Radim Vrbata</t>
  </si>
  <si>
    <t> Filip Forsberg</t>
  </si>
  <si>
    <t>NAS</t>
  </si>
  <si>
    <t> Andrew Ladd</t>
  </si>
  <si>
    <t> Mike Ribeiro</t>
  </si>
  <si>
    <t> Sean Monahan</t>
  </si>
  <si>
    <t> Zach Parise</t>
  </si>
  <si>
    <t> Jason Spezza</t>
  </si>
  <si>
    <t> Jeff Carter</t>
  </si>
  <si>
    <t> Marian Hossa</t>
  </si>
  <si>
    <t> Blake Wheeler</t>
  </si>
  <si>
    <t> Phil Kessel</t>
  </si>
  <si>
    <t> Derick Brassard</t>
  </si>
  <si>
    <t> Scott Hartnell</t>
  </si>
  <si>
    <t> P.K. Subban</t>
  </si>
  <si>
    <t> Tomas Plekanec</t>
  </si>
  <si>
    <t> Brent Burns</t>
  </si>
  <si>
    <t> Gabriel Landeskog</t>
  </si>
  <si>
    <t> Jarome Iginla</t>
  </si>
  <si>
    <t> David Backes</t>
  </si>
  <si>
    <t> Patrick Marleau</t>
  </si>
  <si>
    <t> Ryan Nugent-Hopkins</t>
  </si>
  <si>
    <t> James van Riemsdyk</t>
  </si>
  <si>
    <t> Dennis Wideman</t>
  </si>
  <si>
    <t> Tomas Tatar</t>
  </si>
  <si>
    <t> Matt Duchene</t>
  </si>
  <si>
    <t> John Carlson</t>
  </si>
  <si>
    <t> Ryan O'Reilly</t>
  </si>
  <si>
    <t> Roman Josi</t>
  </si>
  <si>
    <t> Corey Perry</t>
  </si>
  <si>
    <t> T.J. Oshie</t>
  </si>
  <si>
    <t> Patrice Bergeron</t>
  </si>
  <si>
    <t> Alex Tanguay</t>
  </si>
  <si>
    <t> Derek Stepan</t>
  </si>
  <si>
    <t> Eric Staal</t>
  </si>
  <si>
    <t> Bobby Ryan</t>
  </si>
  <si>
    <t> Jason Pominville</t>
  </si>
  <si>
    <t> Ryan Callahan</t>
  </si>
  <si>
    <t> Jonathan Huberdeau</t>
  </si>
  <si>
    <t> Gustav Nyquist</t>
  </si>
  <si>
    <t> Kris Letang</t>
  </si>
  <si>
    <t> Tyson Barrie</t>
  </si>
  <si>
    <t> Mark Streit</t>
  </si>
  <si>
    <t> Brandon Saad</t>
  </si>
  <si>
    <t> Keith Yandle</t>
  </si>
  <si>
    <t> Bryan Little</t>
  </si>
  <si>
    <t> Thomas Vanek</t>
  </si>
  <si>
    <t> Martin St. Louis</t>
  </si>
  <si>
    <t> Kyle Okposo</t>
  </si>
  <si>
    <t> Patric Hornqvist</t>
  </si>
  <si>
    <t> Andrei Markov</t>
  </si>
  <si>
    <t> Ryan Strome</t>
  </si>
  <si>
    <t> Wayne Simmonds</t>
  </si>
  <si>
    <t> Tyler Bozak</t>
  </si>
  <si>
    <t> Mats Zuccarello</t>
  </si>
  <si>
    <t> Mark Scheifele</t>
  </si>
  <si>
    <t> Justin Faulk</t>
  </si>
  <si>
    <t> Tyler Toffoli</t>
  </si>
  <si>
    <t> Mikko Koivu</t>
  </si>
  <si>
    <t> Mike Hoffman</t>
  </si>
  <si>
    <t> Mark Giordano</t>
  </si>
  <si>
    <t> Valtteri Filppula</t>
  </si>
  <si>
    <t> David Desharnais</t>
  </si>
  <si>
    <t> Brendan Gallagher</t>
  </si>
  <si>
    <t> Brayden Schenn</t>
  </si>
  <si>
    <t> Ryan Kesler</t>
  </si>
  <si>
    <t> Jaromir Jagr</t>
  </si>
  <si>
    <t> Loui Eriksson</t>
  </si>
  <si>
    <t> Marian Gaborik</t>
  </si>
  <si>
    <t> Marcus Johansson</t>
  </si>
  <si>
    <t> Alex Pietrangelo</t>
  </si>
  <si>
    <t> Drew Doughty</t>
  </si>
  <si>
    <t> Tyler Ennis</t>
  </si>
  <si>
    <t> Mika Zibanejad</t>
  </si>
  <si>
    <t> Alex Galchenyuk</t>
  </si>
  <si>
    <t> Chris Kreider</t>
  </si>
  <si>
    <t> Paul Stastny</t>
  </si>
  <si>
    <t> Kevin Hayes</t>
  </si>
  <si>
    <t> Mike Green</t>
  </si>
  <si>
    <t> Duncan Keith</t>
  </si>
  <si>
    <t> Shea Weber</t>
  </si>
  <si>
    <t> Dustin Byfuglien</t>
  </si>
  <si>
    <t> Justin Abdelkader</t>
  </si>
  <si>
    <t> Jori Lehtera</t>
  </si>
  <si>
    <t> Niklas Kronwall</t>
  </si>
  <si>
    <t> Craig Smith</t>
  </si>
  <si>
    <t> Kevin Shattenkirk</t>
  </si>
  <si>
    <t> Milan Lucic</t>
  </si>
  <si>
    <t> Jussi Jokinen</t>
  </si>
  <si>
    <t> Carl Soderberg</t>
  </si>
  <si>
    <t> Nick Bjugstad</t>
  </si>
  <si>
    <t> Frans Nielsen</t>
  </si>
  <si>
    <t> Adam Henrique</t>
  </si>
  <si>
    <t> Drew Stafford</t>
  </si>
  <si>
    <t> Patrick Sharp</t>
  </si>
  <si>
    <t> Troy Brouwer</t>
  </si>
  <si>
    <t> Oliver Ekman-Larsson</t>
  </si>
  <si>
    <t> Dougie Hamilton</t>
  </si>
  <si>
    <t> Brad Marchand</t>
  </si>
  <si>
    <t> Michael Cammalleri</t>
  </si>
  <si>
    <t> Colin Wilson</t>
  </si>
  <si>
    <t> Brock Nelson</t>
  </si>
  <si>
    <t> Michael Frolik</t>
  </si>
  <si>
    <t> Sam Gagner</t>
  </si>
  <si>
    <t> T.J. Brodie</t>
  </si>
  <si>
    <t> Mathieu Perreault</t>
  </si>
  <si>
    <t> Anders Lee</t>
  </si>
  <si>
    <t> Matt Moulson</t>
  </si>
  <si>
    <t> Jake Muzzin</t>
  </si>
  <si>
    <t> Josh Bailey</t>
  </si>
  <si>
    <t> Justin Williams</t>
  </si>
  <si>
    <t> David Perron</t>
  </si>
  <si>
    <t> Jack Johnson</t>
  </si>
  <si>
    <t> Reilly Smith</t>
  </si>
  <si>
    <t> John Klingberg</t>
  </si>
  <si>
    <t> Chris Kunitz</t>
  </si>
  <si>
    <t> Cam Atkinson</t>
  </si>
  <si>
    <t> Cody Eakin</t>
  </si>
  <si>
    <t> Nazem Kadri</t>
  </si>
  <si>
    <t> Torey Krug</t>
  </si>
  <si>
    <t> Mike Fisher</t>
  </si>
  <si>
    <t> Aaron Ekblad</t>
  </si>
  <si>
    <t> Mikael Granlund</t>
  </si>
  <si>
    <t> Nick Bonino</t>
  </si>
  <si>
    <t> Elias Lindholm</t>
  </si>
  <si>
    <t> Erik Cole</t>
  </si>
  <si>
    <t> Jakob Silfverberg</t>
  </si>
  <si>
    <t> Anton Stralman</t>
  </si>
  <si>
    <t> Nathan MacKinnon</t>
  </si>
  <si>
    <t> Antoine Vermette</t>
  </si>
  <si>
    <t> Brad Boyes</t>
  </si>
  <si>
    <t> Alex Killorn</t>
  </si>
  <si>
    <t> Taylor Hall</t>
  </si>
  <si>
    <t> Ryan Suter</t>
  </si>
  <si>
    <t> Victor Hedman</t>
  </si>
  <si>
    <t> Trevor Daley</t>
  </si>
  <si>
    <t> Evgeny Kuznetsov</t>
  </si>
  <si>
    <t> Brad Richards</t>
  </si>
  <si>
    <t> Nick Leddy</t>
  </si>
  <si>
    <t> Sean Couturier</t>
  </si>
  <si>
    <t> Sami Vatanen</t>
  </si>
  <si>
    <t> James Neal</t>
  </si>
  <si>
    <t> Nino Niederreiter</t>
  </si>
  <si>
    <t> Alex Goligoski</t>
  </si>
  <si>
    <t> Shane Doan</t>
  </si>
  <si>
    <t> Tommy Wingels</t>
  </si>
  <si>
    <t> Chris Higgins</t>
  </si>
  <si>
    <t> Riley Sheahan</t>
  </si>
  <si>
    <t> David Savard</t>
  </si>
  <si>
    <t> Chris Stewart</t>
  </si>
  <si>
    <t> Cody Franson</t>
  </si>
  <si>
    <t> Aleksander Barkov</t>
  </si>
  <si>
    <t> Clarke MacArthur</t>
  </si>
  <si>
    <t> Brandon Dubinsky</t>
  </si>
  <si>
    <t> Brian Gionta</t>
  </si>
  <si>
    <t> Jimmy Hayes</t>
  </si>
  <si>
    <t> Curtis Glencross</t>
  </si>
  <si>
    <t> Johnny Boychuk</t>
  </si>
  <si>
    <t> Charlie Coyle</t>
  </si>
  <si>
    <t> Carl Hagelin</t>
  </si>
  <si>
    <t> Patrik Elias</t>
  </si>
  <si>
    <t> Benoit Pouliot</t>
  </si>
  <si>
    <t> Kris Versteeg</t>
  </si>
  <si>
    <t> Marek Zidlicky</t>
  </si>
  <si>
    <t> Kris Russell</t>
  </si>
  <si>
    <t> Scott Gomez</t>
  </si>
  <si>
    <t> Milan Michalek</t>
  </si>
  <si>
    <t> Hampus Lindholm</t>
  </si>
  <si>
    <t> Cam Fowler</t>
  </si>
  <si>
    <t> James Wisniewski</t>
  </si>
  <si>
    <t> Daniel Winnik</t>
  </si>
  <si>
    <t> Lance Bouma</t>
  </si>
  <si>
    <t> Patrick Maroon</t>
  </si>
  <si>
    <t> Joel Ward</t>
  </si>
  <si>
    <t> Teddy Purcell</t>
  </si>
  <si>
    <t> Darren Helm</t>
  </si>
  <si>
    <t> Brandon Sutter</t>
  </si>
  <si>
    <t> Travis Hamonic</t>
  </si>
  <si>
    <t> Eric Fehr</t>
  </si>
  <si>
    <t> Alexandre Burrows</t>
  </si>
  <si>
    <t> Mike Santorelli</t>
  </si>
  <si>
    <t> Victor Rask</t>
  </si>
  <si>
    <t> Nail Yakupov</t>
  </si>
  <si>
    <t> Ryan McDonagh</t>
  </si>
  <si>
    <t> Jannik Hansen</t>
  </si>
  <si>
    <t> Michael Del Zotto</t>
  </si>
  <si>
    <t> Jonathan Drouin</t>
  </si>
  <si>
    <t> Steve Bernier</t>
  </si>
  <si>
    <t> Martin Erat</t>
  </si>
  <si>
    <t> Derek Roy</t>
  </si>
  <si>
    <t> Ales Hemsky</t>
  </si>
  <si>
    <t> Matt Beleskey</t>
  </si>
  <si>
    <t> David Krejci</t>
  </si>
  <si>
    <t> Danny DeKeyser</t>
  </si>
  <si>
    <t> Tomas Hertl</t>
  </si>
  <si>
    <t> Nikolay Kulemin</t>
  </si>
  <si>
    <t> Jeff Skinner</t>
  </si>
  <si>
    <t> Justin Fontaine</t>
  </si>
  <si>
    <t> Mark Arcobello</t>
  </si>
  <si>
    <t> Rickard Rakell</t>
  </si>
  <si>
    <t> Jiri Tlusty</t>
  </si>
  <si>
    <t> Justin Schultz</t>
  </si>
  <si>
    <t> Alexander Edler</t>
  </si>
  <si>
    <t> Brent Seabrook</t>
  </si>
  <si>
    <t> Matt Niskanen</t>
  </si>
  <si>
    <t> Blake Comeau</t>
  </si>
  <si>
    <t> Matt Read</t>
  </si>
  <si>
    <t> David Jones</t>
  </si>
  <si>
    <t> Jason Garrison</t>
  </si>
  <si>
    <t> Zemgus Girgensons</t>
  </si>
  <si>
    <t> Kyle Palmieri</t>
  </si>
  <si>
    <t> Dion Phaneuf</t>
  </si>
  <si>
    <t> Morgan Rielly</t>
  </si>
  <si>
    <t> Vernon Fiddler</t>
  </si>
  <si>
    <t> Shawn Horcoff</t>
  </si>
  <si>
    <t> Andrew Cogliano</t>
  </si>
  <si>
    <t> Dale Weise</t>
  </si>
  <si>
    <t> Bryan Bickell</t>
  </si>
  <si>
    <t> Michael Raffl</t>
  </si>
  <si>
    <t> Joe Colborne</t>
  </si>
  <si>
    <t> Lee Stempniak</t>
  </si>
  <si>
    <t> Nathan Gerbe</t>
  </si>
  <si>
    <t> Tyler Myers</t>
  </si>
  <si>
    <t> Chris Kelly</t>
  </si>
  <si>
    <t> Steve Downie</t>
  </si>
  <si>
    <t> Mikkel Boedker</t>
  </si>
  <si>
    <t> Shawn Matthias</t>
  </si>
  <si>
    <t> Ryan Ellis</t>
  </si>
  <si>
    <t> Brian Campbell</t>
  </si>
  <si>
    <t> Tomas Fleischmann</t>
  </si>
  <si>
    <t> Dominic Moore</t>
  </si>
  <si>
    <t> Patrik Berglund</t>
  </si>
  <si>
    <t> David Pastrnak</t>
  </si>
  <si>
    <t> Dustin Brown</t>
  </si>
  <si>
    <t> Nick Spaling</t>
  </si>
  <si>
    <t> David Legwand</t>
  </si>
  <si>
    <t> Matthew Nieto</t>
  </si>
  <si>
    <t> Patrick Eaves</t>
  </si>
  <si>
    <t> Lars Eller</t>
  </si>
  <si>
    <t> Mikael Backlund</t>
  </si>
  <si>
    <t> Seth Jones</t>
  </si>
  <si>
    <t> Artem Anisimov</t>
  </si>
  <si>
    <t> John Mitchell</t>
  </si>
  <si>
    <t> Alex Chiasson</t>
  </si>
  <si>
    <t> Jason Zucker</t>
  </si>
  <si>
    <t> Leo Komarov</t>
  </si>
  <si>
    <t> Andrew Shaw</t>
  </si>
  <si>
    <t> Kevin Klein</t>
  </si>
  <si>
    <t> Colton Sceviour</t>
  </si>
  <si>
    <t> Dwight King</t>
  </si>
  <si>
    <t> Peter Holland</t>
  </si>
  <si>
    <t> Jared Spurgeon</t>
  </si>
  <si>
    <t> Travis Zajac</t>
  </si>
  <si>
    <t> Derek Dorsett</t>
  </si>
  <si>
    <t> Bo Horvat</t>
  </si>
  <si>
    <t> Ryan Garbutt</t>
  </si>
  <si>
    <t> Jason Demers</t>
  </si>
  <si>
    <t> Riley Nash</t>
  </si>
  <si>
    <t> Stephen Weiss</t>
  </si>
  <si>
    <t> Antoine Roussel</t>
  </si>
  <si>
    <t> Matt Cullen</t>
  </si>
  <si>
    <t> Trevor Lewis</t>
  </si>
  <si>
    <t> Brayden McNabb</t>
  </si>
  <si>
    <t> Jordan Staal</t>
  </si>
  <si>
    <t> Josh Jooris</t>
  </si>
  <si>
    <t> Jake Gardiner</t>
  </si>
  <si>
    <t> Brandon Pirri</t>
  </si>
  <si>
    <t> Martin Hanzal</t>
  </si>
  <si>
    <t> Brian Boyle</t>
  </si>
  <si>
    <t> Melker Karlsson</t>
  </si>
  <si>
    <t> Linden Vey</t>
  </si>
  <si>
    <t> Adam Larsson</t>
  </si>
  <si>
    <t> Dave Bolland</t>
  </si>
  <si>
    <t> Marco Scandella</t>
  </si>
  <si>
    <t> Toby Enstrom</t>
  </si>
  <si>
    <t> Dan Hamhuis</t>
  </si>
  <si>
    <t> Mason Raymond</t>
  </si>
  <si>
    <t> Andrej Sekera</t>
  </si>
  <si>
    <t> Francois Beauchemin</t>
  </si>
  <si>
    <t> Erik Johnson</t>
  </si>
  <si>
    <t> J.T. Miller</t>
  </si>
  <si>
    <t> Simon Despres</t>
  </si>
  <si>
    <t> Justin Braun</t>
  </si>
  <si>
    <t> Marc-Edouard Vlasic</t>
  </si>
  <si>
    <t> Erik Condra</t>
  </si>
  <si>
    <t> Jiri Sekac</t>
  </si>
  <si>
    <t> Adam Lowry</t>
  </si>
  <si>
    <t> Matt Calvert</t>
  </si>
  <si>
    <t> Alec Martinez</t>
  </si>
  <si>
    <t> John-Michael Liles</t>
  </si>
  <si>
    <t> Thomas Hickey</t>
  </si>
  <si>
    <t> Jeff Petry</t>
  </si>
  <si>
    <t> Pierre-Alexandr Parenteau</t>
  </si>
  <si>
    <t> Vincent Trocheck</t>
  </si>
  <si>
    <t> Jacob Trouba</t>
  </si>
  <si>
    <t> Dmitry Kulikov</t>
  </si>
  <si>
    <t> Andy Greene</t>
  </si>
  <si>
    <t> Andre Burakovsky</t>
  </si>
  <si>
    <t> Evander Kane</t>
  </si>
  <si>
    <t> Johan Franzen</t>
  </si>
  <si>
    <t> Jay McClement</t>
  </si>
  <si>
    <t> Yannick Weber</t>
  </si>
  <si>
    <t> Tobias Rieder</t>
  </si>
  <si>
    <t> Cody Ceci</t>
  </si>
  <si>
    <t> Chris Tierney</t>
  </si>
  <si>
    <t> Lauri Korpikoski</t>
  </si>
  <si>
    <t> Kevin Connauton</t>
  </si>
  <si>
    <t> Brad Richardson</t>
  </si>
  <si>
    <t> Karl Alzner</t>
  </si>
  <si>
    <t> Joffrey Lupul</t>
  </si>
  <si>
    <t> Marko Dano</t>
  </si>
  <si>
    <t> Oscar Klefbom</t>
  </si>
  <si>
    <t> Dan Girardi</t>
  </si>
  <si>
    <t> Jay Beagle</t>
  </si>
  <si>
    <t> Vincent Lecavalier</t>
  </si>
  <si>
    <t> Devante Smith-Pelly</t>
  </si>
  <si>
    <t> Marc Staal</t>
  </si>
  <si>
    <t> Brooks Laich</t>
  </si>
  <si>
    <t> Alexander Wennberg</t>
  </si>
  <si>
    <t> Christopher Tanev</t>
  </si>
  <si>
    <t> Anton Lander</t>
  </si>
  <si>
    <t> Chris Terry</t>
  </si>
  <si>
    <t> Rasmus Ristolainen</t>
  </si>
  <si>
    <t> Zach Bogosian</t>
  </si>
  <si>
    <t> Andrej Nestrasil</t>
  </si>
  <si>
    <t> Lubomir Visnovsky</t>
  </si>
  <si>
    <t> Kyle Brodziak</t>
  </si>
  <si>
    <t> Paul Martin</t>
  </si>
  <si>
    <t> Dan Boyle</t>
  </si>
  <si>
    <t> Marcus Foligno</t>
  </si>
  <si>
    <t> Zach Redmond</t>
  </si>
  <si>
    <t> Zdeno Chara</t>
  </si>
  <si>
    <t> Paul Byron</t>
  </si>
  <si>
    <t> Eric Gelinas</t>
  </si>
  <si>
    <t> Michael Ryder</t>
  </si>
  <si>
    <t> Cedric Paquette</t>
  </si>
  <si>
    <t> Mikhail Grabovski</t>
  </si>
  <si>
    <t> Sean Bergenheim</t>
  </si>
  <si>
    <t> Jean-Gabriel Pageau</t>
  </si>
  <si>
    <t> Jason Chimera</t>
  </si>
  <si>
    <t> Niklas Hjalmarsson</t>
  </si>
  <si>
    <t> Alexander Semin</t>
  </si>
  <si>
    <t> Brooks Orpik</t>
  </si>
  <si>
    <t> Matt Irwin</t>
  </si>
  <si>
    <t> James Sheppard</t>
  </si>
  <si>
    <t> Markus Granlund</t>
  </si>
  <si>
    <t> Calle Jarnkrok</t>
  </si>
  <si>
    <t> Nate Thompson</t>
  </si>
  <si>
    <t> Max Talbot</t>
  </si>
  <si>
    <t> Michael Stone</t>
  </si>
  <si>
    <t> Ryan Spooner</t>
  </si>
  <si>
    <t> Luke Glendening</t>
  </si>
  <si>
    <t> Casey Cizikas</t>
  </si>
  <si>
    <t> Matthew Carle</t>
  </si>
  <si>
    <t> Tomas Jurco</t>
  </si>
  <si>
    <t> Kyle Quincey</t>
  </si>
  <si>
    <t> Mattias Ekholm</t>
  </si>
  <si>
    <t> Dmitrij Jaskin</t>
  </si>
  <si>
    <t> Brandon Prust</t>
  </si>
  <si>
    <t> Jarret Stoll</t>
  </si>
  <si>
    <t> Ian Cole</t>
  </si>
  <si>
    <t> Damon Severson</t>
  </si>
  <si>
    <t> Brett Connolly</t>
  </si>
  <si>
    <t> Brian Flynn</t>
  </si>
  <si>
    <t> Tom Wilson</t>
  </si>
  <si>
    <t> Richard Panik</t>
  </si>
  <si>
    <t> Matt Stajan</t>
  </si>
  <si>
    <t> Boone Jenner</t>
  </si>
  <si>
    <t> Marcus Kruger</t>
  </si>
  <si>
    <t> Jonas Brodin</t>
  </si>
  <si>
    <t> Cal Clutterbuck</t>
  </si>
  <si>
    <t> Matt Hendricks</t>
  </si>
  <si>
    <t> Taylor Beck</t>
  </si>
  <si>
    <t> Mike Richards</t>
  </si>
  <si>
    <t> Jordie Benn</t>
  </si>
  <si>
    <t> Zack Kassian</t>
  </si>
  <si>
    <t> Vladislav Namestnikov</t>
  </si>
  <si>
    <t> Johan Larsson</t>
  </si>
  <si>
    <t> Tanner Pearson</t>
  </si>
  <si>
    <t> Matt Dumba</t>
  </si>
  <si>
    <t> David Clarkson</t>
  </si>
  <si>
    <t> Jordin Tootoo</t>
  </si>
  <si>
    <t> R.J. Umberger</t>
  </si>
  <si>
    <t> Chris VandeVelde</t>
  </si>
  <si>
    <t> Kyle Clifford</t>
  </si>
  <si>
    <t> Scottie Upshall</t>
  </si>
  <si>
    <t> Fedor Tyutin</t>
  </si>
  <si>
    <t> Nicolas Deslauriers</t>
  </si>
  <si>
    <t> Nikita Zadorov</t>
  </si>
  <si>
    <t> Brad Malone</t>
  </si>
  <si>
    <t> Barret Jackman</t>
  </si>
  <si>
    <t> Jonathan Ericsson</t>
  </si>
  <si>
    <t> Curtis Lazar</t>
  </si>
  <si>
    <t> Nick Schultz</t>
  </si>
  <si>
    <t> Nate Guenin</t>
  </si>
  <si>
    <t> Erik Haula</t>
  </si>
  <si>
    <t> Nick Holden</t>
  </si>
  <si>
    <t> Ben Smith</t>
  </si>
  <si>
    <t> David Rundblad</t>
  </si>
  <si>
    <t> Paul Gaustad</t>
  </si>
  <si>
    <t> Chris Thorburn</t>
  </si>
  <si>
    <t> Kyle Chipchura</t>
  </si>
  <si>
    <t> Alexei Emelin</t>
  </si>
  <si>
    <t> Andrej Meszaros</t>
  </si>
  <si>
    <t> Matt Martin</t>
  </si>
  <si>
    <t> Kevin Bieksa</t>
  </si>
  <si>
    <t> Dennis Seidenberg</t>
  </si>
  <si>
    <t> Mark Stuart</t>
  </si>
  <si>
    <t> Rene Bourque</t>
  </si>
  <si>
    <t> Nicklas Grossmann</t>
  </si>
  <si>
    <t> Andrew Ference</t>
  </si>
  <si>
    <t> Luke Schenn</t>
  </si>
  <si>
    <t> Torrey Mitchell</t>
  </si>
  <si>
    <t> Jesper Fast</t>
  </si>
  <si>
    <t> Christian Ehrhoff</t>
  </si>
  <si>
    <t> Jon Merrill</t>
  </si>
  <si>
    <t> Sergei Gonchar</t>
  </si>
  <si>
    <t> Tyler Kennedy</t>
  </si>
  <si>
    <t> Martin Havlat</t>
  </si>
  <si>
    <t> Ben Lovejoy</t>
  </si>
  <si>
    <t> Patrick Wiercioch</t>
  </si>
  <si>
    <t> Andrej Sustr</t>
  </si>
  <si>
    <t> Gabriel Bourque</t>
  </si>
  <si>
    <t> Tuomo Ruutu</t>
  </si>
  <si>
    <t> Jan Hejda</t>
  </si>
  <si>
    <t> Stephen Gionta</t>
  </si>
  <si>
    <t> Mark Letestu</t>
  </si>
  <si>
    <t> Erik Gudbranson</t>
  </si>
  <si>
    <t> Jakub Kindl</t>
  </si>
  <si>
    <t> Robyn Regehr</t>
  </si>
  <si>
    <t> David Booth</t>
  </si>
  <si>
    <t> Drew Miller</t>
  </si>
  <si>
    <t> Cody Hodgson</t>
  </si>
  <si>
    <t> Boyd Gordon</t>
  </si>
  <si>
    <t> Ryan Murphy</t>
  </si>
  <si>
    <t> Michal Rozsival</t>
  </si>
  <si>
    <t> Ryan Carter</t>
  </si>
  <si>
    <t> Michael Grabner</t>
  </si>
  <si>
    <t> Jim Slater</t>
  </si>
  <si>
    <t> Brad Stuart</t>
  </si>
  <si>
    <t> Daniel Paille</t>
  </si>
  <si>
    <t> Jay Bouwmeester</t>
  </si>
  <si>
    <t> Brendan Smith</t>
  </si>
  <si>
    <t> Pierre-Edouard Bellemare</t>
  </si>
  <si>
    <t> Eric Gryba</t>
  </si>
  <si>
    <t> Cody McLeod</t>
  </si>
  <si>
    <t> Dennis Everberg</t>
  </si>
  <si>
    <t> Patrick Dwyer</t>
  </si>
  <si>
    <t> Ronalds Kenins</t>
  </si>
  <si>
    <t> Matt Fraser</t>
  </si>
  <si>
    <t> David Moss</t>
  </si>
  <si>
    <t> Zbynek Michalek</t>
  </si>
  <si>
    <t> Tom Gilbert</t>
  </si>
  <si>
    <t> Gregory Campbell</t>
  </si>
  <si>
    <t> Beau Bennett</t>
  </si>
  <si>
    <t> Daniel Briere</t>
  </si>
  <si>
    <t> Eric Nystrom</t>
  </si>
  <si>
    <t> Ryan White</t>
  </si>
  <si>
    <t> Barclay Goodrow</t>
  </si>
  <si>
    <t> Calvin de Haan</t>
  </si>
  <si>
    <t> Ryan Reaves</t>
  </si>
  <si>
    <t> Andrew MacDonald</t>
  </si>
  <si>
    <t> Steve Ott</t>
  </si>
  <si>
    <t> Carl Gunnarsson</t>
  </si>
  <si>
    <t> Mark Borowiecki</t>
  </si>
  <si>
    <t> Eric Brewer</t>
  </si>
  <si>
    <t> Matt Hunwick</t>
  </si>
  <si>
    <t> Maxim Lapierre</t>
  </si>
  <si>
    <t> Deryk Engelland</t>
  </si>
  <si>
    <t> John Moore</t>
  </si>
  <si>
    <t> Jacob Josefson</t>
  </si>
  <si>
    <t> Braydon Coburn</t>
  </si>
  <si>
    <t> Luca Sbisa</t>
  </si>
  <si>
    <t> Pascal Dupuis</t>
  </si>
  <si>
    <t> Marc Methot</t>
  </si>
  <si>
    <t> Derek MacKenzie</t>
  </si>
  <si>
    <t> Ryan Stanton</t>
  </si>
  <si>
    <t> Jyrki Jokipakka</t>
  </si>
  <si>
    <t> Dainius Zubrus</t>
  </si>
  <si>
    <t> Victor Bartley</t>
  </si>
  <si>
    <t> Olli Jokinen</t>
  </si>
  <si>
    <t> Seth Griffith</t>
  </si>
  <si>
    <t> Brett Bellemore</t>
  </si>
  <si>
    <t> Matt Cooke</t>
  </si>
  <si>
    <t> Johnny Oduya</t>
  </si>
  <si>
    <t> Ron Hainsey</t>
  </si>
  <si>
    <t> Rob Scuderi</t>
  </si>
  <si>
    <t> Brenden Dillon</t>
  </si>
  <si>
    <t> Emerson Etem</t>
  </si>
  <si>
    <t> Nikita Nikitin</t>
  </si>
  <si>
    <t> Christian Folin</t>
  </si>
  <si>
    <t> Viktor Stalberg</t>
  </si>
  <si>
    <t> Joakim Lindstrom</t>
  </si>
  <si>
    <t> Andrew Desjardins</t>
  </si>
  <si>
    <t> Marcel Goc</t>
  </si>
  <si>
    <t> Matt Greene</t>
  </si>
  <si>
    <t> Jordan Nolan</t>
  </si>
  <si>
    <t> Leon Draisaitl</t>
  </si>
  <si>
    <t> J.T. Brown</t>
  </si>
  <si>
    <t> Tim Gleason</t>
  </si>
  <si>
    <t> Nathan Beaulieu</t>
  </si>
  <si>
    <t> Teuvo Teravainen</t>
  </si>
  <si>
    <t> Adam Pardy</t>
  </si>
  <si>
    <t> Chris Butler</t>
  </si>
  <si>
    <t> Olli Maatta</t>
  </si>
  <si>
    <t> Jamie McBain</t>
  </si>
  <si>
    <t> Travis Moen</t>
  </si>
  <si>
    <t> Cody Goloubef</t>
  </si>
  <si>
    <t> Brett Ritchie</t>
  </si>
  <si>
    <t> Andre Benoit</t>
  </si>
  <si>
    <t> Jay Harrison</t>
  </si>
  <si>
    <t> Joe Vitale</t>
  </si>
  <si>
    <t> Roman Polak</t>
  </si>
  <si>
    <t> Rob Klinkhammer</t>
  </si>
  <si>
    <t> Jared Cowen</t>
  </si>
  <si>
    <t> Clayton Stoner</t>
  </si>
  <si>
    <t> Carlo Colaiacovo</t>
  </si>
  <si>
    <t> Jamie Oleksiak</t>
  </si>
  <si>
    <t> Corey Tropp</t>
  </si>
  <si>
    <t> Jack Skille</t>
  </si>
  <si>
    <t> Ben Chiarot</t>
  </si>
  <si>
    <t> Robert Bortuzzo</t>
  </si>
  <si>
    <t> Dalton Prout</t>
  </si>
  <si>
    <t> Matt Halischuk</t>
  </si>
  <si>
    <t> Jordan Schroeder</t>
  </si>
  <si>
    <t> Willie Mitchell</t>
  </si>
  <si>
    <t> Mark Fayne</t>
  </si>
  <si>
    <t> Brenden Morrow</t>
  </si>
  <si>
    <t> Teemu Pulkkinen</t>
  </si>
  <si>
    <t> Colin McDonald</t>
  </si>
  <si>
    <t> Tomas Kopecky</t>
  </si>
  <si>
    <t> Joakim Andersson</t>
  </si>
  <si>
    <t> Matt Tennyson</t>
  </si>
  <si>
    <t> Daniel Carcillo</t>
  </si>
  <si>
    <t> Dylan Olsen</t>
  </si>
  <si>
    <t> Craig Cunningham</t>
  </si>
  <si>
    <t> Tye McGinn</t>
  </si>
  <si>
    <t> Tim Jackman</t>
  </si>
  <si>
    <t> Derrick Pouliot</t>
  </si>
  <si>
    <t> Chris Neil</t>
  </si>
  <si>
    <t> Nick Shore</t>
  </si>
  <si>
    <t> Nikita Nesterov</t>
  </si>
  <si>
    <t> Craig Adams</t>
  </si>
  <si>
    <t> Mark Barberio</t>
  </si>
  <si>
    <t> Tim Erixon</t>
  </si>
  <si>
    <t> Nate Prosser</t>
  </si>
  <si>
    <t> Scott Hannan</t>
  </si>
  <si>
    <t> Brian Strait</t>
  </si>
  <si>
    <t> Connor Murphy</t>
  </si>
  <si>
    <t> Adam McQuaid</t>
  </si>
  <si>
    <t> Kevan Miller</t>
  </si>
  <si>
    <t> Marc-Andre Cliche</t>
  </si>
  <si>
    <t> Mike Weber</t>
  </si>
  <si>
    <t> Anthony Duclair</t>
  </si>
  <si>
    <t> Damien Brunner</t>
  </si>
  <si>
    <t> Stephane Robidas</t>
  </si>
  <si>
    <t> Anton Volchenkov</t>
  </si>
  <si>
    <t> Sven Baertschi</t>
  </si>
  <si>
    <t> Andrew Miller</t>
  </si>
  <si>
    <t> Jacob De La Rose</t>
  </si>
  <si>
    <t> Mikhail Grigorenko</t>
  </si>
  <si>
    <t> Scott Laughton</t>
  </si>
  <si>
    <t> Paul Postma</t>
  </si>
  <si>
    <t> Andrew Ebbett</t>
  </si>
  <si>
    <t> Tanner Glass</t>
  </si>
  <si>
    <t> B.J. Crombeen</t>
  </si>
  <si>
    <t> Josh Gorges</t>
  </si>
  <si>
    <t> Zach Boychuk</t>
  </si>
  <si>
    <t> Jamie McGinn</t>
  </si>
  <si>
    <t> Zac Rinaldo</t>
  </si>
  <si>
    <t> Michal Jordan</t>
  </si>
  <si>
    <t> Korbinian Holzer</t>
  </si>
  <si>
    <t> Michael Latta</t>
  </si>
  <si>
    <t> Jeremy Morin</t>
  </si>
  <si>
    <t> Philip Varone</t>
  </si>
  <si>
    <t> Trevor Smith</t>
  </si>
  <si>
    <t> Martin Marincin</t>
  </si>
  <si>
    <t> Lucas Lessio</t>
  </si>
  <si>
    <t> Brian Gibbons</t>
  </si>
  <si>
    <t> Brandon Bollig</t>
  </si>
  <si>
    <t> Tyson Strachan</t>
  </si>
  <si>
    <t> William Karlsson</t>
  </si>
  <si>
    <t> Jack Hillen</t>
  </si>
  <si>
    <t> Jared Boll</t>
  </si>
  <si>
    <t> Zach Trotman</t>
  </si>
  <si>
    <t> Curtis McKenzie</t>
  </si>
  <si>
    <t> Michael Ferland</t>
  </si>
  <si>
    <t> Shawn Thornton</t>
  </si>
  <si>
    <t> Michael Bournival</t>
  </si>
  <si>
    <t> Michael Chaput</t>
  </si>
  <si>
    <t> Radko Gudas</t>
  </si>
  <si>
    <t> Peter Harrold</t>
  </si>
  <si>
    <t> Steven Pinizzotto</t>
  </si>
  <si>
    <t> Brandon Kozun</t>
  </si>
  <si>
    <t> Steven Kampfer</t>
  </si>
  <si>
    <t> Jordan Leopold</t>
  </si>
  <si>
    <t> Mark Fraser</t>
  </si>
  <si>
    <t> Matt Bartkowski</t>
  </si>
  <si>
    <t> Raphael Diaz</t>
  </si>
  <si>
    <t> Manny Malhotra</t>
  </si>
  <si>
    <t> Brandon McMillan</t>
  </si>
  <si>
    <t> Simon Gagne</t>
  </si>
  <si>
    <t> Mike Weaver</t>
  </si>
  <si>
    <t> Klas Dahlbeck</t>
  </si>
  <si>
    <t> Ryane Clowe</t>
  </si>
  <si>
    <t> Jesse Joensuu</t>
  </si>
  <si>
    <t> Nate Schmidt</t>
  </si>
  <si>
    <t> Cody McCormick</t>
  </si>
  <si>
    <t> John Scott</t>
  </si>
  <si>
    <t> David Schlemko</t>
  </si>
  <si>
    <t> Adam Clendening</t>
  </si>
  <si>
    <t> Mirco Mueller</t>
  </si>
  <si>
    <t> Zach Sill</t>
  </si>
  <si>
    <t> Grant Clitsome</t>
  </si>
  <si>
    <t> Taylor Fedun</t>
  </si>
  <si>
    <t> Brandon Gormley</t>
  </si>
  <si>
    <t> Brett Sutter</t>
  </si>
  <si>
    <t> Matt Puempel</t>
  </si>
  <si>
    <t> Stuart Percy</t>
  </si>
  <si>
    <t> Ryan Murray</t>
  </si>
  <si>
    <t> Chris Summers</t>
  </si>
  <si>
    <t> Alex Petrovic</t>
  </si>
  <si>
    <t> Adam Burish</t>
  </si>
  <si>
    <t> Patrick Kaleta</t>
  </si>
  <si>
    <t> Drew Shore</t>
  </si>
  <si>
    <t> Luke Gazdic</t>
  </si>
  <si>
    <t> Andy Andreoff</t>
  </si>
  <si>
    <t> Zack Smith</t>
  </si>
  <si>
    <t> Xavier Ouellet</t>
  </si>
  <si>
    <t> Patrik Nemeth</t>
  </si>
  <si>
    <t> Josh Manson</t>
  </si>
  <si>
    <t> Brad Hunt</t>
  </si>
  <si>
    <t> Cory Conacher</t>
  </si>
  <si>
    <t> Iiro Pakarinen</t>
  </si>
  <si>
    <t> Brandon Manning</t>
  </si>
  <si>
    <t> Petteri Lindbohm</t>
  </si>
  <si>
    <t> Joakim Nordstrom</t>
  </si>
  <si>
    <t> Kerby Rychel</t>
  </si>
  <si>
    <t> Matt Donovan</t>
  </si>
  <si>
    <t> Chris Phillips</t>
  </si>
  <si>
    <t> Mark Pysyk</t>
  </si>
  <si>
    <t> Sven Andrighetto</t>
  </si>
  <si>
    <t> Zac Dalpe</t>
  </si>
  <si>
    <t> Kael Mouillierat</t>
  </si>
  <si>
    <t> Borna Rendulic</t>
  </si>
  <si>
    <t> Alexey Marchenko</t>
  </si>
  <si>
    <t> Seth Helgeson</t>
  </si>
  <si>
    <t> Bryan Allen</t>
  </si>
  <si>
    <t> Slava Voynov</t>
  </si>
  <si>
    <t> Liam O'Brien</t>
  </si>
  <si>
    <t> Daniel Cleary</t>
  </si>
  <si>
    <t> Bryce Salvador</t>
  </si>
  <si>
    <t> Stephane Veilleux</t>
  </si>
  <si>
    <t> Eric Boulton</t>
  </si>
  <si>
    <t> Sam Carrick</t>
  </si>
  <si>
    <t> Ryan Hamilton</t>
  </si>
  <si>
    <t> Bryan Rust</t>
  </si>
  <si>
    <t> Danny Biega</t>
  </si>
  <si>
    <t> Tim Schaller</t>
  </si>
  <si>
    <t> Jonathan Marchessault</t>
  </si>
  <si>
    <t> Matt Ellis</t>
  </si>
  <si>
    <t> Chris Porter</t>
  </si>
  <si>
    <t> Andrew MacWilliam</t>
  </si>
  <si>
    <t> Sean Collins</t>
  </si>
  <si>
    <t> Tim Sestito</t>
  </si>
  <si>
    <t> Chris Mueller</t>
  </si>
  <si>
    <t> Petr Straka</t>
  </si>
  <si>
    <t> Joey Hishon</t>
  </si>
  <si>
    <t> Tyler Pitlick</t>
  </si>
  <si>
    <t> Anthony Peluso</t>
  </si>
  <si>
    <t> Ty Rattie</t>
  </si>
  <si>
    <t> David Musil</t>
  </si>
  <si>
    <t> Brian Lashoff</t>
  </si>
  <si>
    <t> Jarred Tinordi</t>
  </si>
  <si>
    <t> Justin Falk</t>
  </si>
  <si>
    <t> Paul Carey</t>
  </si>
  <si>
    <t> Brian Dumoulin</t>
  </si>
  <si>
    <t> Frederic St-Denis</t>
  </si>
  <si>
    <t> Keaton Ellerby</t>
  </si>
  <si>
    <t> Andrew Copp</t>
  </si>
  <si>
    <t> Tom Sestito</t>
  </si>
  <si>
    <t> Griffin Reinhart</t>
  </si>
  <si>
    <t> Daniil Tarasov</t>
  </si>
  <si>
    <t> Jonathon Blum</t>
  </si>
  <si>
    <t> Colin Greening</t>
  </si>
  <si>
    <t> Freddie Hamilton</t>
  </si>
  <si>
    <t> Brendan Shinnimin</t>
  </si>
  <si>
    <t> Magnus Paajarvi</t>
  </si>
  <si>
    <t> Andrew Agozzino</t>
  </si>
  <si>
    <t> Chris Brown</t>
  </si>
  <si>
    <t> Mat Clark</t>
  </si>
  <si>
    <t> Landon Ferraro</t>
  </si>
  <si>
    <t> Jordan Szwarz</t>
  </si>
  <si>
    <t> Emile Poirier</t>
  </si>
  <si>
    <t> Jordan Martinook</t>
  </si>
  <si>
    <t> Michael Sgarbossa</t>
  </si>
  <si>
    <t> Jayson Megna</t>
  </si>
  <si>
    <t> Ladislav Smid</t>
  </si>
  <si>
    <t> Colby Robak</t>
  </si>
  <si>
    <t> Jeff Schultz</t>
  </si>
  <si>
    <t> Josh Anderson</t>
  </si>
  <si>
    <t> Chad Ruhwedel</t>
  </si>
  <si>
    <t> Shane O'Brien</t>
  </si>
  <si>
    <t> Joe Whitney</t>
  </si>
  <si>
    <t> Keith Ballard</t>
  </si>
  <si>
    <t> Adam Cracknell</t>
  </si>
  <si>
    <t> Valeri Nichushkin</t>
  </si>
  <si>
    <t> Stanislav Galiev</t>
  </si>
  <si>
    <t> Brandon Davidson</t>
  </si>
  <si>
    <t> Stefan Matteau</t>
  </si>
  <si>
    <t> Tomas Vincour</t>
  </si>
  <si>
    <t> Joe Morrow</t>
  </si>
  <si>
    <t> Josh Leivo</t>
  </si>
  <si>
    <t> Sam Bennett</t>
  </si>
  <si>
    <t> Keith Aulie</t>
  </si>
  <si>
    <t> Reid Boucher</t>
  </si>
  <si>
    <t> T.J. Brennan</t>
  </si>
  <si>
    <t> Mike Sislo</t>
  </si>
  <si>
    <t> Brian Ferlin</t>
  </si>
  <si>
    <t> Stu Bickel</t>
  </si>
  <si>
    <t> Michael Paliotta</t>
  </si>
  <si>
    <t> Justin Hodgman</t>
  </si>
  <si>
    <t> Christian Thomas</t>
  </si>
  <si>
    <t> Miikka Salomaki</t>
  </si>
  <si>
    <t> Casey Bailey</t>
  </si>
  <si>
    <t> David Warsofsky</t>
  </si>
  <si>
    <t> Eric O'Dell</t>
  </si>
  <si>
    <t> Shane Prince</t>
  </si>
  <si>
    <t> Andrew Campbell</t>
  </si>
  <si>
    <t> Frank Corrado</t>
  </si>
  <si>
    <t> Sam Reinhart</t>
  </si>
  <si>
    <t> Peter Regin</t>
  </si>
  <si>
    <t> Trevor van Riemsdyk</t>
  </si>
  <si>
    <t> T.J. Galiardi</t>
  </si>
  <si>
    <t> Bryan Lerg</t>
  </si>
  <si>
    <t> Jordan Oesterle</t>
  </si>
  <si>
    <t> Michael Kostka</t>
  </si>
  <si>
    <t> Alex Biega</t>
  </si>
  <si>
    <t> Rocco Grimaldi</t>
  </si>
  <si>
    <t> Matt Lindblad</t>
  </si>
  <si>
    <t> Will Acton</t>
  </si>
  <si>
    <t> Bobby Farnham</t>
  </si>
  <si>
    <t> Raman Hrabarenka</t>
  </si>
  <si>
    <t> Kyle Baun</t>
  </si>
  <si>
    <t> Philip Samuelsson</t>
  </si>
  <si>
    <t> Viktor Arvidsson</t>
  </si>
  <si>
    <t> Karl Stollery</t>
  </si>
  <si>
    <t> Corban Knight</t>
  </si>
  <si>
    <t> Troy Bodie</t>
  </si>
  <si>
    <t> Tyler Gaudet</t>
  </si>
  <si>
    <t> Brendan Ranford</t>
  </si>
  <si>
    <t> Eriah Hayes</t>
  </si>
  <si>
    <t> Dany Heatley</t>
  </si>
  <si>
    <t> Gabriel Dumont</t>
  </si>
  <si>
    <t> Mark Fistric</t>
  </si>
  <si>
    <t> Devin Setoguchi</t>
  </si>
  <si>
    <t> Aaron Volpatti</t>
  </si>
  <si>
    <t> Garrett Wilson</t>
  </si>
  <si>
    <t> Carl Klingberg</t>
  </si>
  <si>
    <t> John Ramage</t>
  </si>
  <si>
    <t> Luke Adam</t>
  </si>
  <si>
    <t> Colton Orr</t>
  </si>
  <si>
    <t> Ryan Hartman</t>
  </si>
  <si>
    <t> Bogdan Yakimov</t>
  </si>
  <si>
    <t> Rasmus Rissanen</t>
  </si>
  <si>
    <t> Kimmo Timonen</t>
  </si>
  <si>
    <t> Ryan Malone</t>
  </si>
  <si>
    <t> David Wolf</t>
  </si>
  <si>
    <t> Anthony Bitetto</t>
  </si>
  <si>
    <t> Chris Wagner</t>
  </si>
  <si>
    <t> Brian McGrattan</t>
  </si>
  <si>
    <t> Colin Fraser</t>
  </si>
  <si>
    <t> Kevin Fiala</t>
  </si>
  <si>
    <t> Patrick Brown</t>
  </si>
  <si>
    <t> Justin Shugg</t>
  </si>
  <si>
    <t> Ryan Craig</t>
  </si>
  <si>
    <t> Darnell Nurse</t>
  </si>
  <si>
    <t> Matt Frattin</t>
  </si>
  <si>
    <t> Jake McCabe</t>
  </si>
  <si>
    <t> Jason Akeson</t>
  </si>
  <si>
    <t> Nicklas Jensen</t>
  </si>
  <si>
    <t> Corey Potter</t>
  </si>
  <si>
    <t> Scott Harrington</t>
  </si>
  <si>
    <t> Julien Brouillette</t>
  </si>
  <si>
    <t> Scott Wilson</t>
  </si>
  <si>
    <t> Petter Granberg</t>
  </si>
  <si>
    <t> Curtis Hamilton</t>
  </si>
  <si>
    <t> Eric Tangradi</t>
  </si>
  <si>
    <t> Stefan Noesen</t>
  </si>
  <si>
    <t> Dylan McIlrath</t>
  </si>
  <si>
    <t> Mark Alt</t>
  </si>
  <si>
    <t> Phillip Danault</t>
  </si>
  <si>
    <t> Cameron Schilling</t>
  </si>
  <si>
    <t> Greg Pateryn</t>
  </si>
  <si>
    <t> Brody Sutter</t>
  </si>
  <si>
    <t> Tyler Graovac</t>
  </si>
  <si>
    <t> Dana Tyrell</t>
  </si>
  <si>
    <t> Alex Khokhlachev</t>
  </si>
  <si>
    <t> Nick Cousins</t>
  </si>
  <si>
    <t> Tyler Wotherspoon</t>
  </si>
  <si>
    <t> Harry Zolnierczyk</t>
  </si>
  <si>
    <t> Dylan Reese</t>
  </si>
  <si>
    <t> Micheal Haley</t>
  </si>
  <si>
    <t> Keegan Lowe</t>
  </si>
  <si>
    <t> Oliver Lauridsen</t>
  </si>
  <si>
    <t> Dominik Uher</t>
  </si>
  <si>
    <t> Ryan Wilson</t>
  </si>
  <si>
    <t> Max Friberg</t>
  </si>
  <si>
    <t> Alexandre Bolduc</t>
  </si>
  <si>
    <t> Drayson Bowman</t>
  </si>
  <si>
    <t> Taylor Chorney</t>
  </si>
  <si>
    <t> Jordan Caron</t>
  </si>
  <si>
    <t> Oscar Lindberg</t>
  </si>
  <si>
    <t> Shayne Gostisbehere</t>
  </si>
  <si>
    <t> Mike Blunden</t>
  </si>
  <si>
    <t> Brett Kulak</t>
  </si>
  <si>
    <t> Patrice Cormier</t>
  </si>
  <si>
    <t> Ben Street</t>
  </si>
  <si>
    <t> Bobby Robins</t>
  </si>
  <si>
    <t> Brandon DeFazio</t>
  </si>
  <si>
    <t> Brendan Woods</t>
  </si>
  <si>
    <t> Jesse Blacker</t>
  </si>
  <si>
    <t> Duncan Siemens</t>
  </si>
  <si>
    <t> Luke Witkowski</t>
  </si>
  <si>
    <t> Conor Allen</t>
  </si>
  <si>
    <t> David van der Gulik</t>
  </si>
  <si>
    <t> Colin Smith</t>
  </si>
  <si>
    <t> Steve Oleksy</t>
  </si>
  <si>
    <t> Joel Armia</t>
  </si>
  <si>
    <t> Blair Jones</t>
  </si>
  <si>
    <t> Slater Koekkoek</t>
  </si>
  <si>
    <t> Travis Morin</t>
  </si>
  <si>
    <t> Patrick Bordeleau</t>
  </si>
  <si>
    <t> Stefan Elliott</t>
  </si>
  <si>
    <t> Rich Clune</t>
  </si>
  <si>
    <t> Greg McKegg</t>
  </si>
  <si>
    <t> Joe Piskula</t>
  </si>
  <si>
    <t> Kyle Cumiskey</t>
  </si>
  <si>
    <t> Mike Brown</t>
  </si>
  <si>
    <t> Chris Conner</t>
  </si>
  <si>
    <t> Henrik Samuelsson</t>
  </si>
  <si>
    <t> Ryan Bourque</t>
  </si>
  <si>
    <t> Max Reinhart</t>
  </si>
  <si>
    <t> Carter Ashton</t>
  </si>
  <si>
    <t> Mike Angelidis</t>
  </si>
  <si>
    <t> Jerry D'Amigo</t>
  </si>
  <si>
    <t>P/Gm</t>
  </si>
  <si>
    <t>Playoff Pts</t>
  </si>
  <si>
    <t>Player</t>
  </si>
  <si>
    <t>Team Pts</t>
  </si>
  <si>
    <t>% of Team's Pts</t>
  </si>
  <si>
    <t>Team Playoff Games</t>
  </si>
  <si>
    <t>Team Playoff Pts</t>
  </si>
  <si>
    <t>WED APR 1, 2015</t>
  </si>
  <si>
    <t>THU APR 2, 2015</t>
  </si>
  <si>
    <t>FRI APR 3, 2015</t>
  </si>
  <si>
    <t>SAT APR 4, 2015</t>
  </si>
  <si>
    <t>SUN APR 5, 2015</t>
  </si>
  <si>
    <t>MON APR 6, 2015</t>
  </si>
  <si>
    <t>TUE APR 7, 2015</t>
  </si>
  <si>
    <t>WED APR 8, 2015</t>
  </si>
  <si>
    <t>THU APR 9, 2015</t>
  </si>
  <si>
    <t>FRI APR 10, 2015</t>
  </si>
  <si>
    <t>SAT APR 11, 2015</t>
  </si>
  <si>
    <t>Date</t>
  </si>
  <si>
    <t/>
  </si>
  <si>
    <t>% of 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</si>
</sst>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363636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EEEEEE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 applyFill="1"/>
    <xf numFmtId="0" fontId="2" fillId="2" borderId="0" xfId="0" applyFont="1" applyFill="1"/>
    <xf numFmtId="0" fontId="2" fillId="0" borderId="0" xfId="0" applyFont="1" applyAlignme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5" borderId="0" xfId="0" applyFill="1" applyBorder="1"/>
    <xf numFmtId="0" fontId="0" fillId="0" borderId="6" xfId="0" applyBorder="1"/>
    <xf numFmtId="0" fontId="0" fillId="0" borderId="8" xfId="0" applyBorder="1"/>
    <xf numFmtId="0" fontId="0" fillId="0" borderId="4" xfId="0" applyBorder="1"/>
    <xf numFmtId="0" fontId="0" fillId="4" borderId="0" xfId="0" applyFill="1" applyBorder="1"/>
    <xf numFmtId="0" fontId="0" fillId="0" borderId="0" xfId="0" applyFill="1" applyBorder="1"/>
    <xf numFmtId="0" fontId="4" fillId="0" borderId="0" xfId="0" applyFont="1" applyBorder="1"/>
    <xf numFmtId="164" fontId="0" fillId="0" borderId="0" xfId="0" applyNumberFormat="1" applyBorder="1"/>
    <xf numFmtId="0" fontId="0" fillId="0" borderId="5" xfId="0" applyFill="1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7" xfId="0" applyBorder="1"/>
    <xf numFmtId="9" fontId="0" fillId="0" borderId="8" xfId="2" applyFont="1" applyBorder="1"/>
    <xf numFmtId="0" fontId="0" fillId="4" borderId="5" xfId="0" applyFill="1" applyBorder="1"/>
    <xf numFmtId="164" fontId="0" fillId="0" borderId="5" xfId="0" applyNumberFormat="1" applyBorder="1"/>
    <xf numFmtId="164" fontId="0" fillId="0" borderId="3" xfId="0" applyNumberFormat="1" applyBorder="1"/>
    <xf numFmtId="0" fontId="0" fillId="0" borderId="6" xfId="0" applyFill="1" applyBorder="1"/>
    <xf numFmtId="0" fontId="0" fillId="4" borderId="9" xfId="0" applyFill="1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2" fillId="0" borderId="1" xfId="0" applyFont="1" applyFill="1" applyBorder="1"/>
    <xf numFmtId="0" fontId="2" fillId="0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5" fillId="0" borderId="0" xfId="0" applyFont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1" fillId="0" borderId="0" xfId="1" applyAlignment="1"/>
    <xf numFmtId="0" fontId="0" fillId="0" borderId="0" xfId="0" applyAlignment="1"/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0" xfId="1" applyAlignment="1">
      <alignment horizontal="left" vertical="center" wrapText="1"/>
    </xf>
    <xf numFmtId="0" fontId="1" fillId="3" borderId="0" xfId="1" applyFill="1" applyAlignment="1">
      <alignment horizontal="left" vertical="center" wrapText="1"/>
    </xf>
    <xf numFmtId="0" fontId="5" fillId="3" borderId="0" xfId="0" applyFont="1" applyFill="1" applyAlignment="1">
      <alignment horizontal="center" vertical="center" wrapText="1"/>
    </xf>
    <xf numFmtId="0" fontId="0" fillId="8" borderId="7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8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2" fontId="0" fillId="0" borderId="0" xfId="0" applyNumberFormat="1"/>
    <xf numFmtId="0" fontId="1" fillId="0" borderId="0" xfId="1" applyFill="1"/>
    <xf numFmtId="0" fontId="0" fillId="0" borderId="0" xfId="0" applyNumberFormat="1"/>
    <xf numFmtId="1" fontId="0" fillId="0" borderId="0" xfId="0" applyNumberForma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7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114300</xdr:rowOff>
    </xdr:to>
    <xdr:sp macro="" textlink="">
      <xdr:nvSpPr>
        <xdr:cNvPr id="1025" name="AutoShape 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6" name="AutoShape 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27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114300</xdr:rowOff>
    </xdr:to>
    <xdr:sp macro="" textlink="">
      <xdr:nvSpPr>
        <xdr:cNvPr id="1028" name="AutoShape 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114300</xdr:rowOff>
    </xdr:to>
    <xdr:sp macro="" textlink="">
      <xdr:nvSpPr>
        <xdr:cNvPr id="1029" name="AutoShape 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114300</xdr:rowOff>
    </xdr:to>
    <xdr:sp macro="" textlink="">
      <xdr:nvSpPr>
        <xdr:cNvPr id="1030" name="AutoShape 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1031" name="AutoShape 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114300</xdr:rowOff>
    </xdr:to>
    <xdr:sp macro="" textlink="">
      <xdr:nvSpPr>
        <xdr:cNvPr id="1032" name="AutoShape 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114300</xdr:rowOff>
    </xdr:to>
    <xdr:sp macro="" textlink="">
      <xdr:nvSpPr>
        <xdr:cNvPr id="1033" name="AutoShape 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114300</xdr:rowOff>
    </xdr:to>
    <xdr:sp macro="" textlink="">
      <xdr:nvSpPr>
        <xdr:cNvPr id="1034" name="AutoShape 1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114300</xdr:rowOff>
    </xdr:to>
    <xdr:sp macro="" textlink="">
      <xdr:nvSpPr>
        <xdr:cNvPr id="1035" name="AutoShape 1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304800</xdr:colOff>
      <xdr:row>12</xdr:row>
      <xdr:rowOff>114300</xdr:rowOff>
    </xdr:to>
    <xdr:sp macro="" textlink="">
      <xdr:nvSpPr>
        <xdr:cNvPr id="1036" name="AutoShape 1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114300</xdr:rowOff>
    </xdr:to>
    <xdr:sp macro="" textlink="">
      <xdr:nvSpPr>
        <xdr:cNvPr id="1037" name="AutoShape 1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304800</xdr:colOff>
      <xdr:row>14</xdr:row>
      <xdr:rowOff>114300</xdr:rowOff>
    </xdr:to>
    <xdr:sp macro="" textlink="">
      <xdr:nvSpPr>
        <xdr:cNvPr id="1038" name="AutoShape 1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114300</xdr:rowOff>
    </xdr:to>
    <xdr:sp macro="" textlink="">
      <xdr:nvSpPr>
        <xdr:cNvPr id="1039" name="AutoShape 1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040" name="AutoShape 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76200</xdr:rowOff>
    </xdr:to>
    <xdr:sp macro="" textlink="">
      <xdr:nvSpPr>
        <xdr:cNvPr id="1041" name="AutoShape 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76200</xdr:rowOff>
    </xdr:to>
    <xdr:sp macro="" textlink="">
      <xdr:nvSpPr>
        <xdr:cNvPr id="1042" name="AutoShape 1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114300</xdr:rowOff>
    </xdr:to>
    <xdr:sp macro="" textlink="">
      <xdr:nvSpPr>
        <xdr:cNvPr id="1043" name="AutoShape 1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304800</xdr:colOff>
      <xdr:row>20</xdr:row>
      <xdr:rowOff>114300</xdr:rowOff>
    </xdr:to>
    <xdr:sp macro="" textlink="">
      <xdr:nvSpPr>
        <xdr:cNvPr id="1044" name="AutoShape 2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114300</xdr:rowOff>
    </xdr:to>
    <xdr:sp macro="" textlink="">
      <xdr:nvSpPr>
        <xdr:cNvPr id="1045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114300</xdr:rowOff>
    </xdr:to>
    <xdr:sp macro="" textlink="">
      <xdr:nvSpPr>
        <xdr:cNvPr id="1046" name="AutoShape 2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114300</xdr:rowOff>
    </xdr:to>
    <xdr:sp macro="" textlink="">
      <xdr:nvSpPr>
        <xdr:cNvPr id="1047" name="AutoShape 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304800</xdr:colOff>
      <xdr:row>24</xdr:row>
      <xdr:rowOff>114300</xdr:rowOff>
    </xdr:to>
    <xdr:sp macro="" textlink="">
      <xdr:nvSpPr>
        <xdr:cNvPr id="1048" name="AutoShape 2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304800</xdr:colOff>
      <xdr:row>26</xdr:row>
      <xdr:rowOff>76200</xdr:rowOff>
    </xdr:to>
    <xdr:sp macro="" textlink="">
      <xdr:nvSpPr>
        <xdr:cNvPr id="1049" name="AutoShape 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76200</xdr:rowOff>
    </xdr:to>
    <xdr:sp macro="" textlink="">
      <xdr:nvSpPr>
        <xdr:cNvPr id="1050" name="AutoShape 2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304800</xdr:colOff>
      <xdr:row>28</xdr:row>
      <xdr:rowOff>114300</xdr:rowOff>
    </xdr:to>
    <xdr:sp macro="" textlink="">
      <xdr:nvSpPr>
        <xdr:cNvPr id="1051" name="AutoShape 2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1052" name="AutoShape 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304800</xdr:colOff>
      <xdr:row>30</xdr:row>
      <xdr:rowOff>114300</xdr:rowOff>
    </xdr:to>
    <xdr:sp macro="" textlink="">
      <xdr:nvSpPr>
        <xdr:cNvPr id="1053" name="AutoShape 2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1054" name="AutoShape 3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114300</xdr:rowOff>
    </xdr:to>
    <xdr:sp macro="" textlink="">
      <xdr:nvSpPr>
        <xdr:cNvPr id="1055" name="AutoShape 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1056" name="AutoShape 3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1057" name="AutoShape 3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304800</xdr:colOff>
      <xdr:row>34</xdr:row>
      <xdr:rowOff>114300</xdr:rowOff>
    </xdr:to>
    <xdr:sp macro="" textlink="">
      <xdr:nvSpPr>
        <xdr:cNvPr id="1058" name="AutoShape 3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304800</xdr:colOff>
      <xdr:row>36</xdr:row>
      <xdr:rowOff>114300</xdr:rowOff>
    </xdr:to>
    <xdr:sp macro="" textlink="">
      <xdr:nvSpPr>
        <xdr:cNvPr id="1059" name="AutoShape 3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304800</xdr:colOff>
      <xdr:row>36</xdr:row>
      <xdr:rowOff>114300</xdr:rowOff>
    </xdr:to>
    <xdr:sp macro="" textlink="">
      <xdr:nvSpPr>
        <xdr:cNvPr id="1060" name="AutoShape 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304800</xdr:colOff>
      <xdr:row>38</xdr:row>
      <xdr:rowOff>114300</xdr:rowOff>
    </xdr:to>
    <xdr:sp macro="" textlink="">
      <xdr:nvSpPr>
        <xdr:cNvPr id="1061" name="AutoShape 3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304800</xdr:colOff>
      <xdr:row>38</xdr:row>
      <xdr:rowOff>114300</xdr:rowOff>
    </xdr:to>
    <xdr:sp macro="" textlink="">
      <xdr:nvSpPr>
        <xdr:cNvPr id="1062" name="AutoShape 3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304800</xdr:colOff>
      <xdr:row>40</xdr:row>
      <xdr:rowOff>114300</xdr:rowOff>
    </xdr:to>
    <xdr:sp macro="" textlink="">
      <xdr:nvSpPr>
        <xdr:cNvPr id="1063" name="AutoShape 3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304800</xdr:colOff>
      <xdr:row>40</xdr:row>
      <xdr:rowOff>114300</xdr:rowOff>
    </xdr:to>
    <xdr:sp macro="" textlink="">
      <xdr:nvSpPr>
        <xdr:cNvPr id="1064" name="AutoShape 4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304800</xdr:colOff>
      <xdr:row>42</xdr:row>
      <xdr:rowOff>114300</xdr:rowOff>
    </xdr:to>
    <xdr:sp macro="" textlink="">
      <xdr:nvSpPr>
        <xdr:cNvPr id="1065" name="AutoShape 4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304800</xdr:colOff>
      <xdr:row>42</xdr:row>
      <xdr:rowOff>114300</xdr:rowOff>
    </xdr:to>
    <xdr:sp macro="" textlink="">
      <xdr:nvSpPr>
        <xdr:cNvPr id="1066" name="AutoShape 4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304800</xdr:colOff>
      <xdr:row>44</xdr:row>
      <xdr:rowOff>114300</xdr:rowOff>
    </xdr:to>
    <xdr:sp macro="" textlink="">
      <xdr:nvSpPr>
        <xdr:cNvPr id="1067" name="AutoShape 4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304800</xdr:colOff>
      <xdr:row>44</xdr:row>
      <xdr:rowOff>114300</xdr:rowOff>
    </xdr:to>
    <xdr:sp macro="" textlink="">
      <xdr:nvSpPr>
        <xdr:cNvPr id="1068" name="AutoShape 4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304800</xdr:colOff>
      <xdr:row>46</xdr:row>
      <xdr:rowOff>114300</xdr:rowOff>
    </xdr:to>
    <xdr:sp macro="" textlink="">
      <xdr:nvSpPr>
        <xdr:cNvPr id="1069" name="AutoShape 4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304800</xdr:colOff>
      <xdr:row>46</xdr:row>
      <xdr:rowOff>114300</xdr:rowOff>
    </xdr:to>
    <xdr:sp macro="" textlink="">
      <xdr:nvSpPr>
        <xdr:cNvPr id="1070" name="AutoShape 4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304800</xdr:colOff>
      <xdr:row>48</xdr:row>
      <xdr:rowOff>114300</xdr:rowOff>
    </xdr:to>
    <xdr:sp macro="" textlink="">
      <xdr:nvSpPr>
        <xdr:cNvPr id="1071" name="AutoShape 4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304800</xdr:colOff>
      <xdr:row>48</xdr:row>
      <xdr:rowOff>114300</xdr:rowOff>
    </xdr:to>
    <xdr:sp macro="" textlink="">
      <xdr:nvSpPr>
        <xdr:cNvPr id="1072" name="AutoShape 4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304800</xdr:colOff>
      <xdr:row>50</xdr:row>
      <xdr:rowOff>114300</xdr:rowOff>
    </xdr:to>
    <xdr:sp macro="" textlink="">
      <xdr:nvSpPr>
        <xdr:cNvPr id="1073" name="AutoShape 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304800</xdr:colOff>
      <xdr:row>50</xdr:row>
      <xdr:rowOff>114300</xdr:rowOff>
    </xdr:to>
    <xdr:sp macro="" textlink="">
      <xdr:nvSpPr>
        <xdr:cNvPr id="1074" name="AutoShape 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304800</xdr:colOff>
      <xdr:row>52</xdr:row>
      <xdr:rowOff>76200</xdr:rowOff>
    </xdr:to>
    <xdr:sp macro="" textlink="">
      <xdr:nvSpPr>
        <xdr:cNvPr id="1075" name="AutoShape 5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076" name="AutoShape 5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304800</xdr:colOff>
      <xdr:row>54</xdr:row>
      <xdr:rowOff>114300</xdr:rowOff>
    </xdr:to>
    <xdr:sp macro="" textlink="">
      <xdr:nvSpPr>
        <xdr:cNvPr id="1077" name="AutoShape 5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304800</xdr:colOff>
      <xdr:row>54</xdr:row>
      <xdr:rowOff>114300</xdr:rowOff>
    </xdr:to>
    <xdr:sp macro="" textlink="">
      <xdr:nvSpPr>
        <xdr:cNvPr id="1078" name="AutoShape 5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1079" name="AutoShape 5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304800</xdr:colOff>
      <xdr:row>56</xdr:row>
      <xdr:rowOff>114300</xdr:rowOff>
    </xdr:to>
    <xdr:sp macro="" textlink="">
      <xdr:nvSpPr>
        <xdr:cNvPr id="1080" name="AutoShape 5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304800</xdr:colOff>
      <xdr:row>58</xdr:row>
      <xdr:rowOff>114300</xdr:rowOff>
    </xdr:to>
    <xdr:sp macro="" textlink="">
      <xdr:nvSpPr>
        <xdr:cNvPr id="1081" name="AutoShape 5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304800</xdr:colOff>
      <xdr:row>58</xdr:row>
      <xdr:rowOff>114300</xdr:rowOff>
    </xdr:to>
    <xdr:sp macro="" textlink="">
      <xdr:nvSpPr>
        <xdr:cNvPr id="1082" name="AutoShape 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304800</xdr:colOff>
      <xdr:row>60</xdr:row>
      <xdr:rowOff>114300</xdr:rowOff>
    </xdr:to>
    <xdr:sp macro="" textlink="">
      <xdr:nvSpPr>
        <xdr:cNvPr id="1083" name="AutoShape 5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1084" name="AutoShape 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304800</xdr:colOff>
      <xdr:row>62</xdr:row>
      <xdr:rowOff>114300</xdr:rowOff>
    </xdr:to>
    <xdr:sp macro="" textlink="">
      <xdr:nvSpPr>
        <xdr:cNvPr id="1085" name="AutoShape 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1086" name="AutoShape 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304800</xdr:colOff>
      <xdr:row>64</xdr:row>
      <xdr:rowOff>114300</xdr:rowOff>
    </xdr:to>
    <xdr:sp macro="" textlink="">
      <xdr:nvSpPr>
        <xdr:cNvPr id="1087" name="AutoShape 6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304800</xdr:colOff>
      <xdr:row>64</xdr:row>
      <xdr:rowOff>114300</xdr:rowOff>
    </xdr:to>
    <xdr:sp macro="" textlink="">
      <xdr:nvSpPr>
        <xdr:cNvPr id="1088" name="AutoShape 6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304800</xdr:colOff>
      <xdr:row>66</xdr:row>
      <xdr:rowOff>114300</xdr:rowOff>
    </xdr:to>
    <xdr:sp macro="" textlink="">
      <xdr:nvSpPr>
        <xdr:cNvPr id="1089" name="AutoShape 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304800</xdr:colOff>
      <xdr:row>66</xdr:row>
      <xdr:rowOff>114300</xdr:rowOff>
    </xdr:to>
    <xdr:sp macro="" textlink="">
      <xdr:nvSpPr>
        <xdr:cNvPr id="1090" name="AutoShape 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304800</xdr:colOff>
      <xdr:row>68</xdr:row>
      <xdr:rowOff>114300</xdr:rowOff>
    </xdr:to>
    <xdr:sp macro="" textlink="">
      <xdr:nvSpPr>
        <xdr:cNvPr id="1091" name="AutoShape 6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1092" name="AutoShape 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304800</xdr:colOff>
      <xdr:row>70</xdr:row>
      <xdr:rowOff>114300</xdr:rowOff>
    </xdr:to>
    <xdr:sp macro="" textlink="">
      <xdr:nvSpPr>
        <xdr:cNvPr id="1093" name="AutoShape 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1094" name="AutoShape 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304800</xdr:colOff>
      <xdr:row>72</xdr:row>
      <xdr:rowOff>114300</xdr:rowOff>
    </xdr:to>
    <xdr:sp macro="" textlink="">
      <xdr:nvSpPr>
        <xdr:cNvPr id="1095" name="AutoShape 7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304800</xdr:colOff>
      <xdr:row>72</xdr:row>
      <xdr:rowOff>114300</xdr:rowOff>
    </xdr:to>
    <xdr:sp macro="" textlink="">
      <xdr:nvSpPr>
        <xdr:cNvPr id="1096" name="AutoShape 7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304800</xdr:colOff>
      <xdr:row>74</xdr:row>
      <xdr:rowOff>76200</xdr:rowOff>
    </xdr:to>
    <xdr:sp macro="" textlink="">
      <xdr:nvSpPr>
        <xdr:cNvPr id="1097" name="AutoShape 7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74</xdr:row>
      <xdr:rowOff>76200</xdr:rowOff>
    </xdr:to>
    <xdr:sp macro="" textlink="">
      <xdr:nvSpPr>
        <xdr:cNvPr id="1098" name="AutoShape 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304800</xdr:colOff>
      <xdr:row>76</xdr:row>
      <xdr:rowOff>114300</xdr:rowOff>
    </xdr:to>
    <xdr:sp macro="" textlink="">
      <xdr:nvSpPr>
        <xdr:cNvPr id="1099" name="AutoShape 7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304800</xdr:colOff>
      <xdr:row>76</xdr:row>
      <xdr:rowOff>114300</xdr:rowOff>
    </xdr:to>
    <xdr:sp macro="" textlink="">
      <xdr:nvSpPr>
        <xdr:cNvPr id="1100" name="AutoShape 7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304800</xdr:colOff>
      <xdr:row>78</xdr:row>
      <xdr:rowOff>114300</xdr:rowOff>
    </xdr:to>
    <xdr:sp macro="" textlink="">
      <xdr:nvSpPr>
        <xdr:cNvPr id="1101" name="AutoShape 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304800</xdr:colOff>
      <xdr:row>78</xdr:row>
      <xdr:rowOff>114300</xdr:rowOff>
    </xdr:to>
    <xdr:sp macro="" textlink="">
      <xdr:nvSpPr>
        <xdr:cNvPr id="1102" name="AutoShape 7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304800</xdr:colOff>
      <xdr:row>80</xdr:row>
      <xdr:rowOff>114300</xdr:rowOff>
    </xdr:to>
    <xdr:sp macro="" textlink="">
      <xdr:nvSpPr>
        <xdr:cNvPr id="1103" name="AutoShape 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304800</xdr:colOff>
      <xdr:row>80</xdr:row>
      <xdr:rowOff>114300</xdr:rowOff>
    </xdr:to>
    <xdr:sp macro="" textlink="">
      <xdr:nvSpPr>
        <xdr:cNvPr id="1104" name="AutoShape 8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304800</xdr:colOff>
      <xdr:row>82</xdr:row>
      <xdr:rowOff>114300</xdr:rowOff>
    </xdr:to>
    <xdr:sp macro="" textlink="">
      <xdr:nvSpPr>
        <xdr:cNvPr id="1105" name="AutoShape 8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304800</xdr:colOff>
      <xdr:row>82</xdr:row>
      <xdr:rowOff>114300</xdr:rowOff>
    </xdr:to>
    <xdr:sp macro="" textlink="">
      <xdr:nvSpPr>
        <xdr:cNvPr id="1106" name="AutoShape 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304800</xdr:colOff>
      <xdr:row>84</xdr:row>
      <xdr:rowOff>114300</xdr:rowOff>
    </xdr:to>
    <xdr:sp macro="" textlink="">
      <xdr:nvSpPr>
        <xdr:cNvPr id="1107" name="AutoShape 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304800</xdr:colOff>
      <xdr:row>84</xdr:row>
      <xdr:rowOff>114300</xdr:rowOff>
    </xdr:to>
    <xdr:sp macro="" textlink="">
      <xdr:nvSpPr>
        <xdr:cNvPr id="1108" name="AutoShape 8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304800</xdr:colOff>
      <xdr:row>86</xdr:row>
      <xdr:rowOff>114300</xdr:rowOff>
    </xdr:to>
    <xdr:sp macro="" textlink="">
      <xdr:nvSpPr>
        <xdr:cNvPr id="1109" name="AutoShape 8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304800</xdr:colOff>
      <xdr:row>86</xdr:row>
      <xdr:rowOff>114300</xdr:rowOff>
    </xdr:to>
    <xdr:sp macro="" textlink="">
      <xdr:nvSpPr>
        <xdr:cNvPr id="1110" name="AutoShape 8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304800</xdr:colOff>
      <xdr:row>88</xdr:row>
      <xdr:rowOff>114300</xdr:rowOff>
    </xdr:to>
    <xdr:sp macro="" textlink="">
      <xdr:nvSpPr>
        <xdr:cNvPr id="1111" name="AutoShape 8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1112" name="AutoShape 8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1113" name="AutoShape 8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304800</xdr:colOff>
      <xdr:row>90</xdr:row>
      <xdr:rowOff>114300</xdr:rowOff>
    </xdr:to>
    <xdr:sp macro="" textlink="">
      <xdr:nvSpPr>
        <xdr:cNvPr id="1114" name="AutoShape 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304800</xdr:colOff>
      <xdr:row>92</xdr:row>
      <xdr:rowOff>114300</xdr:rowOff>
    </xdr:to>
    <xdr:sp macro="" textlink="">
      <xdr:nvSpPr>
        <xdr:cNvPr id="1115" name="AutoShape 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304800</xdr:colOff>
      <xdr:row>92</xdr:row>
      <xdr:rowOff>114300</xdr:rowOff>
    </xdr:to>
    <xdr:sp macro="" textlink="">
      <xdr:nvSpPr>
        <xdr:cNvPr id="1116" name="AutoShape 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304800</xdr:colOff>
      <xdr:row>94</xdr:row>
      <xdr:rowOff>114300</xdr:rowOff>
    </xdr:to>
    <xdr:sp macro="" textlink="">
      <xdr:nvSpPr>
        <xdr:cNvPr id="1117" name="AutoShape 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304800</xdr:colOff>
      <xdr:row>94</xdr:row>
      <xdr:rowOff>114300</xdr:rowOff>
    </xdr:to>
    <xdr:sp macro="" textlink="">
      <xdr:nvSpPr>
        <xdr:cNvPr id="1118" name="AutoShape 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304800</xdr:colOff>
      <xdr:row>96</xdr:row>
      <xdr:rowOff>76200</xdr:rowOff>
    </xdr:to>
    <xdr:sp macro="" textlink="">
      <xdr:nvSpPr>
        <xdr:cNvPr id="1119" name="AutoShape 9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304800</xdr:colOff>
      <xdr:row>96</xdr:row>
      <xdr:rowOff>76200</xdr:rowOff>
    </xdr:to>
    <xdr:sp macro="" textlink="">
      <xdr:nvSpPr>
        <xdr:cNvPr id="1120" name="AutoShape 9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304800</xdr:colOff>
      <xdr:row>98</xdr:row>
      <xdr:rowOff>76200</xdr:rowOff>
    </xdr:to>
    <xdr:sp macro="" textlink="">
      <xdr:nvSpPr>
        <xdr:cNvPr id="1121" name="AutoShape 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76200</xdr:rowOff>
    </xdr:to>
    <xdr:sp macro="" textlink="">
      <xdr:nvSpPr>
        <xdr:cNvPr id="1122" name="AutoShape 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304800</xdr:colOff>
      <xdr:row>100</xdr:row>
      <xdr:rowOff>114300</xdr:rowOff>
    </xdr:to>
    <xdr:sp macro="" textlink="">
      <xdr:nvSpPr>
        <xdr:cNvPr id="1123" name="AutoShape 9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1124" name="AutoShape 1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304800</xdr:colOff>
      <xdr:row>102</xdr:row>
      <xdr:rowOff>114300</xdr:rowOff>
    </xdr:to>
    <xdr:sp macro="" textlink="">
      <xdr:nvSpPr>
        <xdr:cNvPr id="1125" name="AutoShape 1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304800</xdr:colOff>
      <xdr:row>102</xdr:row>
      <xdr:rowOff>114300</xdr:rowOff>
    </xdr:to>
    <xdr:sp macro="" textlink="">
      <xdr:nvSpPr>
        <xdr:cNvPr id="1126" name="AutoShape 1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304800</xdr:colOff>
      <xdr:row>104</xdr:row>
      <xdr:rowOff>114300</xdr:rowOff>
    </xdr:to>
    <xdr:sp macro="" textlink="">
      <xdr:nvSpPr>
        <xdr:cNvPr id="1127" name="AutoShape 1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304800</xdr:colOff>
      <xdr:row>104</xdr:row>
      <xdr:rowOff>114300</xdr:rowOff>
    </xdr:to>
    <xdr:sp macro="" textlink="">
      <xdr:nvSpPr>
        <xdr:cNvPr id="1128" name="AutoShape 1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304800</xdr:colOff>
      <xdr:row>106</xdr:row>
      <xdr:rowOff>114300</xdr:rowOff>
    </xdr:to>
    <xdr:sp macro="" textlink="">
      <xdr:nvSpPr>
        <xdr:cNvPr id="1129" name="AutoShape 10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1130" name="AutoShape 10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304800</xdr:colOff>
      <xdr:row>108</xdr:row>
      <xdr:rowOff>114300</xdr:rowOff>
    </xdr:to>
    <xdr:sp macro="" textlink="">
      <xdr:nvSpPr>
        <xdr:cNvPr id="1131" name="AutoShape 1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304800</xdr:colOff>
      <xdr:row>108</xdr:row>
      <xdr:rowOff>114300</xdr:rowOff>
    </xdr:to>
    <xdr:sp macro="" textlink="">
      <xdr:nvSpPr>
        <xdr:cNvPr id="1132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304800</xdr:colOff>
      <xdr:row>110</xdr:row>
      <xdr:rowOff>114300</xdr:rowOff>
    </xdr:to>
    <xdr:sp macro="" textlink="">
      <xdr:nvSpPr>
        <xdr:cNvPr id="1133" name="AutoShape 10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304800</xdr:colOff>
      <xdr:row>110</xdr:row>
      <xdr:rowOff>114300</xdr:rowOff>
    </xdr:to>
    <xdr:sp macro="" textlink="">
      <xdr:nvSpPr>
        <xdr:cNvPr id="1134" name="AutoShape 1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304800</xdr:colOff>
      <xdr:row>112</xdr:row>
      <xdr:rowOff>114300</xdr:rowOff>
    </xdr:to>
    <xdr:sp macro="" textlink="">
      <xdr:nvSpPr>
        <xdr:cNvPr id="1135" name="AutoShape 1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304800</xdr:colOff>
      <xdr:row>112</xdr:row>
      <xdr:rowOff>114300</xdr:rowOff>
    </xdr:to>
    <xdr:sp macro="" textlink="">
      <xdr:nvSpPr>
        <xdr:cNvPr id="1136" name="AutoShape 1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304800</xdr:colOff>
      <xdr:row>114</xdr:row>
      <xdr:rowOff>114300</xdr:rowOff>
    </xdr:to>
    <xdr:sp macro="" textlink="">
      <xdr:nvSpPr>
        <xdr:cNvPr id="1137" name="AutoShape 11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304800</xdr:colOff>
      <xdr:row>114</xdr:row>
      <xdr:rowOff>114300</xdr:rowOff>
    </xdr:to>
    <xdr:sp macro="" textlink="">
      <xdr:nvSpPr>
        <xdr:cNvPr id="1138" name="AutoShape 11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304800</xdr:colOff>
      <xdr:row>116</xdr:row>
      <xdr:rowOff>76200</xdr:rowOff>
    </xdr:to>
    <xdr:sp macro="" textlink="">
      <xdr:nvSpPr>
        <xdr:cNvPr id="1139" name="AutoShape 1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304800</xdr:colOff>
      <xdr:row>116</xdr:row>
      <xdr:rowOff>76200</xdr:rowOff>
    </xdr:to>
    <xdr:sp macro="" textlink="">
      <xdr:nvSpPr>
        <xdr:cNvPr id="1140" name="AutoShape 11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304800</xdr:colOff>
      <xdr:row>118</xdr:row>
      <xdr:rowOff>114300</xdr:rowOff>
    </xdr:to>
    <xdr:sp macro="" textlink="">
      <xdr:nvSpPr>
        <xdr:cNvPr id="1141" name="AutoShape 11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304800</xdr:colOff>
      <xdr:row>118</xdr:row>
      <xdr:rowOff>114300</xdr:rowOff>
    </xdr:to>
    <xdr:sp macro="" textlink="">
      <xdr:nvSpPr>
        <xdr:cNvPr id="1142" name="AutoShape 11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1143" name="AutoShape 11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304800</xdr:colOff>
      <xdr:row>120</xdr:row>
      <xdr:rowOff>114300</xdr:rowOff>
    </xdr:to>
    <xdr:sp macro="" textlink="">
      <xdr:nvSpPr>
        <xdr:cNvPr id="1144" name="AutoShape 1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304800</xdr:colOff>
      <xdr:row>122</xdr:row>
      <xdr:rowOff>114300</xdr:rowOff>
    </xdr:to>
    <xdr:sp macro="" textlink="">
      <xdr:nvSpPr>
        <xdr:cNvPr id="1145" name="AutoShape 1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304800</xdr:colOff>
      <xdr:row>122</xdr:row>
      <xdr:rowOff>114300</xdr:rowOff>
    </xdr:to>
    <xdr:sp macro="" textlink="">
      <xdr:nvSpPr>
        <xdr:cNvPr id="1146" name="AutoShape 1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304800</xdr:colOff>
      <xdr:row>124</xdr:row>
      <xdr:rowOff>114300</xdr:rowOff>
    </xdr:to>
    <xdr:sp macro="" textlink="">
      <xdr:nvSpPr>
        <xdr:cNvPr id="1147" name="AutoShape 1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304800</xdr:colOff>
      <xdr:row>124</xdr:row>
      <xdr:rowOff>114300</xdr:rowOff>
    </xdr:to>
    <xdr:sp macro="" textlink="">
      <xdr:nvSpPr>
        <xdr:cNvPr id="1148" name="AutoShape 1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304800</xdr:colOff>
      <xdr:row>126</xdr:row>
      <xdr:rowOff>114300</xdr:rowOff>
    </xdr:to>
    <xdr:sp macro="" textlink="">
      <xdr:nvSpPr>
        <xdr:cNvPr id="1149" name="AutoShape 12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1150" name="AutoShape 12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304800</xdr:colOff>
      <xdr:row>128</xdr:row>
      <xdr:rowOff>76200</xdr:rowOff>
    </xdr:to>
    <xdr:sp macro="" textlink="">
      <xdr:nvSpPr>
        <xdr:cNvPr id="1151" name="AutoShape 1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304800</xdr:colOff>
      <xdr:row>128</xdr:row>
      <xdr:rowOff>76200</xdr:rowOff>
    </xdr:to>
    <xdr:sp macro="" textlink="">
      <xdr:nvSpPr>
        <xdr:cNvPr id="1152" name="AutoShape 1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304800</xdr:colOff>
      <xdr:row>130</xdr:row>
      <xdr:rowOff>114300</xdr:rowOff>
    </xdr:to>
    <xdr:sp macro="" textlink="">
      <xdr:nvSpPr>
        <xdr:cNvPr id="1153" name="AutoShape 12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304800</xdr:colOff>
      <xdr:row>130</xdr:row>
      <xdr:rowOff>114300</xdr:rowOff>
    </xdr:to>
    <xdr:sp macro="" textlink="">
      <xdr:nvSpPr>
        <xdr:cNvPr id="1154" name="AutoShape 13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304800</xdr:colOff>
      <xdr:row>132</xdr:row>
      <xdr:rowOff>114300</xdr:rowOff>
    </xdr:to>
    <xdr:sp macro="" textlink="">
      <xdr:nvSpPr>
        <xdr:cNvPr id="1155" name="AutoShape 13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304800</xdr:colOff>
      <xdr:row>132</xdr:row>
      <xdr:rowOff>114300</xdr:rowOff>
    </xdr:to>
    <xdr:sp macro="" textlink="">
      <xdr:nvSpPr>
        <xdr:cNvPr id="1156" name="AutoShape 1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114300</xdr:rowOff>
    </xdr:to>
    <xdr:sp macro="" textlink="">
      <xdr:nvSpPr>
        <xdr:cNvPr id="1157" name="AutoShape 13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1158" name="AutoShape 13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304800</xdr:colOff>
      <xdr:row>136</xdr:row>
      <xdr:rowOff>114300</xdr:rowOff>
    </xdr:to>
    <xdr:sp macro="" textlink="">
      <xdr:nvSpPr>
        <xdr:cNvPr id="1159" name="AutoShape 13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304800</xdr:colOff>
      <xdr:row>136</xdr:row>
      <xdr:rowOff>114300</xdr:rowOff>
    </xdr:to>
    <xdr:sp macro="" textlink="">
      <xdr:nvSpPr>
        <xdr:cNvPr id="1160" name="AutoShape 13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304800</xdr:colOff>
      <xdr:row>138</xdr:row>
      <xdr:rowOff>114300</xdr:rowOff>
    </xdr:to>
    <xdr:sp macro="" textlink="">
      <xdr:nvSpPr>
        <xdr:cNvPr id="1161" name="AutoShape 1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304800</xdr:colOff>
      <xdr:row>138</xdr:row>
      <xdr:rowOff>114300</xdr:rowOff>
    </xdr:to>
    <xdr:sp macro="" textlink="">
      <xdr:nvSpPr>
        <xdr:cNvPr id="1162" name="AutoShape 1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304800</xdr:colOff>
      <xdr:row>140</xdr:row>
      <xdr:rowOff>114300</xdr:rowOff>
    </xdr:to>
    <xdr:sp macro="" textlink="">
      <xdr:nvSpPr>
        <xdr:cNvPr id="1163" name="AutoShape 13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304800</xdr:colOff>
      <xdr:row>140</xdr:row>
      <xdr:rowOff>114300</xdr:rowOff>
    </xdr:to>
    <xdr:sp macro="" textlink="">
      <xdr:nvSpPr>
        <xdr:cNvPr id="1164" name="AutoShape 14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304800</xdr:colOff>
      <xdr:row>142</xdr:row>
      <xdr:rowOff>114300</xdr:rowOff>
    </xdr:to>
    <xdr:sp macro="" textlink="">
      <xdr:nvSpPr>
        <xdr:cNvPr id="1165" name="AutoShape 14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304800</xdr:colOff>
      <xdr:row>142</xdr:row>
      <xdr:rowOff>114300</xdr:rowOff>
    </xdr:to>
    <xdr:sp macro="" textlink="">
      <xdr:nvSpPr>
        <xdr:cNvPr id="1166" name="AutoShape 14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304800</xdr:colOff>
      <xdr:row>144</xdr:row>
      <xdr:rowOff>114300</xdr:rowOff>
    </xdr:to>
    <xdr:sp macro="" textlink="">
      <xdr:nvSpPr>
        <xdr:cNvPr id="1167" name="AutoShape 1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1168" name="AutoShape 1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304800</xdr:colOff>
      <xdr:row>146</xdr:row>
      <xdr:rowOff>114300</xdr:rowOff>
    </xdr:to>
    <xdr:sp macro="" textlink="">
      <xdr:nvSpPr>
        <xdr:cNvPr id="1169" name="AutoShape 1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304800</xdr:colOff>
      <xdr:row>146</xdr:row>
      <xdr:rowOff>114300</xdr:rowOff>
    </xdr:to>
    <xdr:sp macro="" textlink="">
      <xdr:nvSpPr>
        <xdr:cNvPr id="1170" name="AutoShape 1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304800</xdr:colOff>
      <xdr:row>148</xdr:row>
      <xdr:rowOff>114300</xdr:rowOff>
    </xdr:to>
    <xdr:sp macro="" textlink="">
      <xdr:nvSpPr>
        <xdr:cNvPr id="1171" name="AutoShape 1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304800</xdr:colOff>
      <xdr:row>148</xdr:row>
      <xdr:rowOff>114300</xdr:rowOff>
    </xdr:to>
    <xdr:sp macro="" textlink="">
      <xdr:nvSpPr>
        <xdr:cNvPr id="1172" name="AutoShape 1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304800</xdr:colOff>
      <xdr:row>150</xdr:row>
      <xdr:rowOff>114300</xdr:rowOff>
    </xdr:to>
    <xdr:sp macro="" textlink="">
      <xdr:nvSpPr>
        <xdr:cNvPr id="1173" name="AutoShape 14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304800</xdr:colOff>
      <xdr:row>150</xdr:row>
      <xdr:rowOff>114300</xdr:rowOff>
    </xdr:to>
    <xdr:sp macro="" textlink="">
      <xdr:nvSpPr>
        <xdr:cNvPr id="1174" name="AutoShape 15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304800</xdr:colOff>
      <xdr:row>152</xdr:row>
      <xdr:rowOff>114300</xdr:rowOff>
    </xdr:to>
    <xdr:sp macro="" textlink="">
      <xdr:nvSpPr>
        <xdr:cNvPr id="1175" name="AutoShape 1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304800</xdr:colOff>
      <xdr:row>152</xdr:row>
      <xdr:rowOff>114300</xdr:rowOff>
    </xdr:to>
    <xdr:sp macro="" textlink="">
      <xdr:nvSpPr>
        <xdr:cNvPr id="1176" name="AutoShape 1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304800</xdr:colOff>
      <xdr:row>154</xdr:row>
      <xdr:rowOff>114300</xdr:rowOff>
    </xdr:to>
    <xdr:sp macro="" textlink="">
      <xdr:nvSpPr>
        <xdr:cNvPr id="1177" name="AutoShape 15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304800</xdr:colOff>
      <xdr:row>154</xdr:row>
      <xdr:rowOff>114300</xdr:rowOff>
    </xdr:to>
    <xdr:sp macro="" textlink="">
      <xdr:nvSpPr>
        <xdr:cNvPr id="1178" name="AutoShape 15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304800</xdr:colOff>
      <xdr:row>156</xdr:row>
      <xdr:rowOff>114300</xdr:rowOff>
    </xdr:to>
    <xdr:sp macro="" textlink="">
      <xdr:nvSpPr>
        <xdr:cNvPr id="1179" name="AutoShape 15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1180" name="AutoShape 1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1181" name="AutoShape 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304800</xdr:colOff>
      <xdr:row>158</xdr:row>
      <xdr:rowOff>114300</xdr:rowOff>
    </xdr:to>
    <xdr:sp macro="" textlink="">
      <xdr:nvSpPr>
        <xdr:cNvPr id="1182" name="AutoShape 15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304800</xdr:colOff>
      <xdr:row>160</xdr:row>
      <xdr:rowOff>114300</xdr:rowOff>
    </xdr:to>
    <xdr:sp macro="" textlink="">
      <xdr:nvSpPr>
        <xdr:cNvPr id="1183" name="AutoShape 15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304800</xdr:colOff>
      <xdr:row>160</xdr:row>
      <xdr:rowOff>114300</xdr:rowOff>
    </xdr:to>
    <xdr:sp macro="" textlink="">
      <xdr:nvSpPr>
        <xdr:cNvPr id="1184" name="AutoShape 1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304800</xdr:colOff>
      <xdr:row>162</xdr:row>
      <xdr:rowOff>114300</xdr:rowOff>
    </xdr:to>
    <xdr:sp macro="" textlink="">
      <xdr:nvSpPr>
        <xdr:cNvPr id="1185" name="AutoShape 1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304800</xdr:colOff>
      <xdr:row>162</xdr:row>
      <xdr:rowOff>114300</xdr:rowOff>
    </xdr:to>
    <xdr:sp macro="" textlink="">
      <xdr:nvSpPr>
        <xdr:cNvPr id="1186" name="AutoShape 1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304800</xdr:colOff>
      <xdr:row>164</xdr:row>
      <xdr:rowOff>114300</xdr:rowOff>
    </xdr:to>
    <xdr:sp macro="" textlink="">
      <xdr:nvSpPr>
        <xdr:cNvPr id="1187" name="AutoShape 16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304800</xdr:colOff>
      <xdr:row>164</xdr:row>
      <xdr:rowOff>114300</xdr:rowOff>
    </xdr:to>
    <xdr:sp macro="" textlink="">
      <xdr:nvSpPr>
        <xdr:cNvPr id="1188" name="AutoShape 1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304800</xdr:colOff>
      <xdr:row>166</xdr:row>
      <xdr:rowOff>114300</xdr:rowOff>
    </xdr:to>
    <xdr:sp macro="" textlink="">
      <xdr:nvSpPr>
        <xdr:cNvPr id="1189" name="AutoShape 1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304800</xdr:colOff>
      <xdr:row>166</xdr:row>
      <xdr:rowOff>114300</xdr:rowOff>
    </xdr:to>
    <xdr:sp macro="" textlink="">
      <xdr:nvSpPr>
        <xdr:cNvPr id="1190" name="AutoShape 1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304800</xdr:colOff>
      <xdr:row>168</xdr:row>
      <xdr:rowOff>114300</xdr:rowOff>
    </xdr:to>
    <xdr:sp macro="" textlink="">
      <xdr:nvSpPr>
        <xdr:cNvPr id="1191" name="AutoShape 16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304800</xdr:colOff>
      <xdr:row>168</xdr:row>
      <xdr:rowOff>114300</xdr:rowOff>
    </xdr:to>
    <xdr:sp macro="" textlink="">
      <xdr:nvSpPr>
        <xdr:cNvPr id="1192" name="AutoShape 16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304800</xdr:colOff>
      <xdr:row>170</xdr:row>
      <xdr:rowOff>114300</xdr:rowOff>
    </xdr:to>
    <xdr:sp macro="" textlink="">
      <xdr:nvSpPr>
        <xdr:cNvPr id="1193" name="AutoShape 1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304800</xdr:colOff>
      <xdr:row>170</xdr:row>
      <xdr:rowOff>114300</xdr:rowOff>
    </xdr:to>
    <xdr:sp macro="" textlink="">
      <xdr:nvSpPr>
        <xdr:cNvPr id="1194" name="AutoShape 1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304800</xdr:colOff>
      <xdr:row>172</xdr:row>
      <xdr:rowOff>114300</xdr:rowOff>
    </xdr:to>
    <xdr:sp macro="" textlink="">
      <xdr:nvSpPr>
        <xdr:cNvPr id="1195" name="AutoShape 17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1196" name="AutoShape 1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304800</xdr:colOff>
      <xdr:row>174</xdr:row>
      <xdr:rowOff>114300</xdr:rowOff>
    </xdr:to>
    <xdr:sp macro="" textlink="">
      <xdr:nvSpPr>
        <xdr:cNvPr id="1197" name="AutoShape 1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304800</xdr:colOff>
      <xdr:row>174</xdr:row>
      <xdr:rowOff>114300</xdr:rowOff>
    </xdr:to>
    <xdr:sp macro="" textlink="">
      <xdr:nvSpPr>
        <xdr:cNvPr id="1198" name="AutoShape 17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304800</xdr:colOff>
      <xdr:row>176</xdr:row>
      <xdr:rowOff>114300</xdr:rowOff>
    </xdr:to>
    <xdr:sp macro="" textlink="">
      <xdr:nvSpPr>
        <xdr:cNvPr id="1199" name="AutoShape 1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304800</xdr:colOff>
      <xdr:row>176</xdr:row>
      <xdr:rowOff>114300</xdr:rowOff>
    </xdr:to>
    <xdr:sp macro="" textlink="">
      <xdr:nvSpPr>
        <xdr:cNvPr id="1200" name="AutoShape 17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304800</xdr:colOff>
      <xdr:row>178</xdr:row>
      <xdr:rowOff>114300</xdr:rowOff>
    </xdr:to>
    <xdr:sp macro="" textlink="">
      <xdr:nvSpPr>
        <xdr:cNvPr id="1201" name="AutoShape 1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304800</xdr:colOff>
      <xdr:row>178</xdr:row>
      <xdr:rowOff>114300</xdr:rowOff>
    </xdr:to>
    <xdr:sp macro="" textlink="">
      <xdr:nvSpPr>
        <xdr:cNvPr id="1202" name="AutoShape 17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304800</xdr:colOff>
      <xdr:row>180</xdr:row>
      <xdr:rowOff>114300</xdr:rowOff>
    </xdr:to>
    <xdr:sp macro="" textlink="">
      <xdr:nvSpPr>
        <xdr:cNvPr id="1203" name="AutoShape 17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304800</xdr:colOff>
      <xdr:row>180</xdr:row>
      <xdr:rowOff>114300</xdr:rowOff>
    </xdr:to>
    <xdr:sp macro="" textlink="">
      <xdr:nvSpPr>
        <xdr:cNvPr id="1204" name="AutoShape 1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304800</xdr:colOff>
      <xdr:row>182</xdr:row>
      <xdr:rowOff>114300</xdr:rowOff>
    </xdr:to>
    <xdr:sp macro="" textlink="">
      <xdr:nvSpPr>
        <xdr:cNvPr id="1205" name="AutoShape 18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304800</xdr:colOff>
      <xdr:row>182</xdr:row>
      <xdr:rowOff>114300</xdr:rowOff>
    </xdr:to>
    <xdr:sp macro="" textlink="">
      <xdr:nvSpPr>
        <xdr:cNvPr id="1206" name="AutoShape 1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304800</xdr:colOff>
      <xdr:row>184</xdr:row>
      <xdr:rowOff>114300</xdr:rowOff>
    </xdr:to>
    <xdr:sp macro="" textlink="">
      <xdr:nvSpPr>
        <xdr:cNvPr id="1207" name="AutoShape 18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304800</xdr:colOff>
      <xdr:row>184</xdr:row>
      <xdr:rowOff>114300</xdr:rowOff>
    </xdr:to>
    <xdr:sp macro="" textlink="">
      <xdr:nvSpPr>
        <xdr:cNvPr id="1208" name="AutoShape 18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304800</xdr:colOff>
      <xdr:row>186</xdr:row>
      <xdr:rowOff>114300</xdr:rowOff>
    </xdr:to>
    <xdr:sp macro="" textlink="">
      <xdr:nvSpPr>
        <xdr:cNvPr id="1209" name="AutoShape 1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1210" name="AutoShape 1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1211" name="AutoShape 1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304800</xdr:colOff>
      <xdr:row>188</xdr:row>
      <xdr:rowOff>114300</xdr:rowOff>
    </xdr:to>
    <xdr:sp macro="" textlink="">
      <xdr:nvSpPr>
        <xdr:cNvPr id="1212" name="AutoShape 1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304800</xdr:colOff>
      <xdr:row>190</xdr:row>
      <xdr:rowOff>114300</xdr:rowOff>
    </xdr:to>
    <xdr:sp macro="" textlink="">
      <xdr:nvSpPr>
        <xdr:cNvPr id="1213" name="AutoShape 1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1214" name="AutoShape 19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304800</xdr:colOff>
      <xdr:row>192</xdr:row>
      <xdr:rowOff>114300</xdr:rowOff>
    </xdr:to>
    <xdr:sp macro="" textlink="">
      <xdr:nvSpPr>
        <xdr:cNvPr id="1215" name="AutoShape 1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304800</xdr:colOff>
      <xdr:row>192</xdr:row>
      <xdr:rowOff>114300</xdr:rowOff>
    </xdr:to>
    <xdr:sp macro="" textlink="">
      <xdr:nvSpPr>
        <xdr:cNvPr id="1216" name="AutoShape 1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304800</xdr:colOff>
      <xdr:row>194</xdr:row>
      <xdr:rowOff>114300</xdr:rowOff>
    </xdr:to>
    <xdr:sp macro="" textlink="">
      <xdr:nvSpPr>
        <xdr:cNvPr id="1217" name="AutoShape 1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304800</xdr:colOff>
      <xdr:row>194</xdr:row>
      <xdr:rowOff>114300</xdr:rowOff>
    </xdr:to>
    <xdr:sp macro="" textlink="">
      <xdr:nvSpPr>
        <xdr:cNvPr id="1218" name="AutoShape 19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304800</xdr:colOff>
      <xdr:row>196</xdr:row>
      <xdr:rowOff>114300</xdr:rowOff>
    </xdr:to>
    <xdr:sp macro="" textlink="">
      <xdr:nvSpPr>
        <xdr:cNvPr id="1219" name="AutoShape 19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304800</xdr:colOff>
      <xdr:row>196</xdr:row>
      <xdr:rowOff>114300</xdr:rowOff>
    </xdr:to>
    <xdr:sp macro="" textlink="">
      <xdr:nvSpPr>
        <xdr:cNvPr id="1220" name="AutoShape 19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304800</xdr:colOff>
      <xdr:row>198</xdr:row>
      <xdr:rowOff>114300</xdr:rowOff>
    </xdr:to>
    <xdr:sp macro="" textlink="">
      <xdr:nvSpPr>
        <xdr:cNvPr id="1221" name="AutoShape 19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304800</xdr:colOff>
      <xdr:row>198</xdr:row>
      <xdr:rowOff>114300</xdr:rowOff>
    </xdr:to>
    <xdr:sp macro="" textlink="">
      <xdr:nvSpPr>
        <xdr:cNvPr id="1222" name="AutoShape 19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304800</xdr:colOff>
      <xdr:row>200</xdr:row>
      <xdr:rowOff>114300</xdr:rowOff>
    </xdr:to>
    <xdr:sp macro="" textlink="">
      <xdr:nvSpPr>
        <xdr:cNvPr id="1223" name="AutoShape 1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304800</xdr:colOff>
      <xdr:row>200</xdr:row>
      <xdr:rowOff>114300</xdr:rowOff>
    </xdr:to>
    <xdr:sp macro="" textlink="">
      <xdr:nvSpPr>
        <xdr:cNvPr id="1224" name="AutoShape 20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304800</xdr:colOff>
      <xdr:row>202</xdr:row>
      <xdr:rowOff>114300</xdr:rowOff>
    </xdr:to>
    <xdr:sp macro="" textlink="">
      <xdr:nvSpPr>
        <xdr:cNvPr id="1225" name="AutoShape 20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304800</xdr:colOff>
      <xdr:row>202</xdr:row>
      <xdr:rowOff>114300</xdr:rowOff>
    </xdr:to>
    <xdr:sp macro="" textlink="">
      <xdr:nvSpPr>
        <xdr:cNvPr id="1226" name="AutoShape 2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304800</xdr:colOff>
      <xdr:row>204</xdr:row>
      <xdr:rowOff>114300</xdr:rowOff>
    </xdr:to>
    <xdr:sp macro="" textlink="">
      <xdr:nvSpPr>
        <xdr:cNvPr id="1227" name="AutoShape 2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304800</xdr:colOff>
      <xdr:row>204</xdr:row>
      <xdr:rowOff>114300</xdr:rowOff>
    </xdr:to>
    <xdr:sp macro="" textlink="">
      <xdr:nvSpPr>
        <xdr:cNvPr id="1228" name="AutoShape 2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304800</xdr:colOff>
      <xdr:row>206</xdr:row>
      <xdr:rowOff>114300</xdr:rowOff>
    </xdr:to>
    <xdr:sp macro="" textlink="">
      <xdr:nvSpPr>
        <xdr:cNvPr id="1229" name="AutoShape 20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1230" name="AutoShape 20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304800</xdr:colOff>
      <xdr:row>208</xdr:row>
      <xdr:rowOff>114300</xdr:rowOff>
    </xdr:to>
    <xdr:sp macro="" textlink="">
      <xdr:nvSpPr>
        <xdr:cNvPr id="1231" name="AutoShape 2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304800</xdr:colOff>
      <xdr:row>208</xdr:row>
      <xdr:rowOff>114300</xdr:rowOff>
    </xdr:to>
    <xdr:sp macro="" textlink="">
      <xdr:nvSpPr>
        <xdr:cNvPr id="1232" name="AutoShape 20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304800</xdr:colOff>
      <xdr:row>210</xdr:row>
      <xdr:rowOff>114300</xdr:rowOff>
    </xdr:to>
    <xdr:sp macro="" textlink="">
      <xdr:nvSpPr>
        <xdr:cNvPr id="1233" name="AutoShape 20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304800</xdr:colOff>
      <xdr:row>210</xdr:row>
      <xdr:rowOff>114300</xdr:rowOff>
    </xdr:to>
    <xdr:sp macro="" textlink="">
      <xdr:nvSpPr>
        <xdr:cNvPr id="1234" name="AutoShape 21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304800</xdr:colOff>
      <xdr:row>212</xdr:row>
      <xdr:rowOff>114300</xdr:rowOff>
    </xdr:to>
    <xdr:sp macro="" textlink="">
      <xdr:nvSpPr>
        <xdr:cNvPr id="1235" name="AutoShape 21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304800</xdr:colOff>
      <xdr:row>212</xdr:row>
      <xdr:rowOff>114300</xdr:rowOff>
    </xdr:to>
    <xdr:sp macro="" textlink="">
      <xdr:nvSpPr>
        <xdr:cNvPr id="1236" name="AutoShape 21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304800</xdr:colOff>
      <xdr:row>214</xdr:row>
      <xdr:rowOff>114300</xdr:rowOff>
    </xdr:to>
    <xdr:sp macro="" textlink="">
      <xdr:nvSpPr>
        <xdr:cNvPr id="1237" name="AutoShape 21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304800</xdr:colOff>
      <xdr:row>214</xdr:row>
      <xdr:rowOff>114300</xdr:rowOff>
    </xdr:to>
    <xdr:sp macro="" textlink="">
      <xdr:nvSpPr>
        <xdr:cNvPr id="1238" name="AutoShape 21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304800</xdr:colOff>
      <xdr:row>216</xdr:row>
      <xdr:rowOff>114300</xdr:rowOff>
    </xdr:to>
    <xdr:sp macro="" textlink="">
      <xdr:nvSpPr>
        <xdr:cNvPr id="1239" name="AutoShape 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304800</xdr:colOff>
      <xdr:row>216</xdr:row>
      <xdr:rowOff>114300</xdr:rowOff>
    </xdr:to>
    <xdr:sp macro="" textlink="">
      <xdr:nvSpPr>
        <xdr:cNvPr id="1240" name="AutoShape 21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1241" name="AutoShape 21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304800</xdr:colOff>
      <xdr:row>218</xdr:row>
      <xdr:rowOff>114300</xdr:rowOff>
    </xdr:to>
    <xdr:sp macro="" textlink="">
      <xdr:nvSpPr>
        <xdr:cNvPr id="1242" name="AutoShape 21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304800</xdr:colOff>
      <xdr:row>220</xdr:row>
      <xdr:rowOff>114300</xdr:rowOff>
    </xdr:to>
    <xdr:sp macro="" textlink="">
      <xdr:nvSpPr>
        <xdr:cNvPr id="1243" name="AutoShape 21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304800</xdr:colOff>
      <xdr:row>220</xdr:row>
      <xdr:rowOff>114300</xdr:rowOff>
    </xdr:to>
    <xdr:sp macro="" textlink="">
      <xdr:nvSpPr>
        <xdr:cNvPr id="1244" name="AutoShape 22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304800</xdr:colOff>
      <xdr:row>222</xdr:row>
      <xdr:rowOff>114300</xdr:rowOff>
    </xdr:to>
    <xdr:sp macro="" textlink="">
      <xdr:nvSpPr>
        <xdr:cNvPr id="1245" name="AutoShape 22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304800</xdr:colOff>
      <xdr:row>222</xdr:row>
      <xdr:rowOff>114300</xdr:rowOff>
    </xdr:to>
    <xdr:sp macro="" textlink="">
      <xdr:nvSpPr>
        <xdr:cNvPr id="1246" name="AutoShape 22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304800</xdr:colOff>
      <xdr:row>224</xdr:row>
      <xdr:rowOff>76200</xdr:rowOff>
    </xdr:to>
    <xdr:sp macro="" textlink="">
      <xdr:nvSpPr>
        <xdr:cNvPr id="1247" name="AutoShape 2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76200</xdr:rowOff>
    </xdr:to>
    <xdr:sp macro="" textlink="">
      <xdr:nvSpPr>
        <xdr:cNvPr id="1248" name="AutoShape 22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304800</xdr:colOff>
      <xdr:row>226</xdr:row>
      <xdr:rowOff>114300</xdr:rowOff>
    </xdr:to>
    <xdr:sp macro="" textlink="">
      <xdr:nvSpPr>
        <xdr:cNvPr id="1249" name="AutoShape 22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304800</xdr:colOff>
      <xdr:row>226</xdr:row>
      <xdr:rowOff>114300</xdr:rowOff>
    </xdr:to>
    <xdr:sp macro="" textlink="">
      <xdr:nvSpPr>
        <xdr:cNvPr id="1250" name="AutoShape 22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304800</xdr:colOff>
      <xdr:row>228</xdr:row>
      <xdr:rowOff>114300</xdr:rowOff>
    </xdr:to>
    <xdr:sp macro="" textlink="">
      <xdr:nvSpPr>
        <xdr:cNvPr id="1251" name="AutoShape 22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304800</xdr:colOff>
      <xdr:row>228</xdr:row>
      <xdr:rowOff>114300</xdr:rowOff>
    </xdr:to>
    <xdr:sp macro="" textlink="">
      <xdr:nvSpPr>
        <xdr:cNvPr id="1252" name="AutoShape 2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304800</xdr:colOff>
      <xdr:row>230</xdr:row>
      <xdr:rowOff>76200</xdr:rowOff>
    </xdr:to>
    <xdr:sp macro="" textlink="">
      <xdr:nvSpPr>
        <xdr:cNvPr id="1253" name="AutoShape 2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304800</xdr:colOff>
      <xdr:row>230</xdr:row>
      <xdr:rowOff>76200</xdr:rowOff>
    </xdr:to>
    <xdr:sp macro="" textlink="">
      <xdr:nvSpPr>
        <xdr:cNvPr id="1254" name="AutoShape 23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304800</xdr:colOff>
      <xdr:row>232</xdr:row>
      <xdr:rowOff>114300</xdr:rowOff>
    </xdr:to>
    <xdr:sp macro="" textlink="">
      <xdr:nvSpPr>
        <xdr:cNvPr id="1255" name="AutoShape 23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1256" name="AutoShape 23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304800</xdr:colOff>
      <xdr:row>234</xdr:row>
      <xdr:rowOff>114300</xdr:rowOff>
    </xdr:to>
    <xdr:sp macro="" textlink="">
      <xdr:nvSpPr>
        <xdr:cNvPr id="1257" name="AutoShape 2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304800</xdr:colOff>
      <xdr:row>234</xdr:row>
      <xdr:rowOff>114300</xdr:rowOff>
    </xdr:to>
    <xdr:sp macro="" textlink="">
      <xdr:nvSpPr>
        <xdr:cNvPr id="1258" name="AutoShape 23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304800</xdr:colOff>
      <xdr:row>236</xdr:row>
      <xdr:rowOff>114300</xdr:rowOff>
    </xdr:to>
    <xdr:sp macro="" textlink="">
      <xdr:nvSpPr>
        <xdr:cNvPr id="1259" name="AutoShape 23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304800</xdr:colOff>
      <xdr:row>236</xdr:row>
      <xdr:rowOff>114300</xdr:rowOff>
    </xdr:to>
    <xdr:sp macro="" textlink="">
      <xdr:nvSpPr>
        <xdr:cNvPr id="1260" name="AutoShape 2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304800</xdr:colOff>
      <xdr:row>238</xdr:row>
      <xdr:rowOff>114300</xdr:rowOff>
    </xdr:to>
    <xdr:sp macro="" textlink="">
      <xdr:nvSpPr>
        <xdr:cNvPr id="1261" name="AutoShape 23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304800</xdr:colOff>
      <xdr:row>238</xdr:row>
      <xdr:rowOff>114300</xdr:rowOff>
    </xdr:to>
    <xdr:sp macro="" textlink="">
      <xdr:nvSpPr>
        <xdr:cNvPr id="1262" name="AutoShape 2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304800</xdr:colOff>
      <xdr:row>240</xdr:row>
      <xdr:rowOff>114300</xdr:rowOff>
    </xdr:to>
    <xdr:sp macro="" textlink="">
      <xdr:nvSpPr>
        <xdr:cNvPr id="1263" name="AutoShape 2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304800</xdr:colOff>
      <xdr:row>240</xdr:row>
      <xdr:rowOff>114300</xdr:rowOff>
    </xdr:to>
    <xdr:sp macro="" textlink="">
      <xdr:nvSpPr>
        <xdr:cNvPr id="1264" name="AutoShape 2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304800</xdr:colOff>
      <xdr:row>242</xdr:row>
      <xdr:rowOff>114300</xdr:rowOff>
    </xdr:to>
    <xdr:sp macro="" textlink="">
      <xdr:nvSpPr>
        <xdr:cNvPr id="1265" name="AutoShape 2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304800</xdr:colOff>
      <xdr:row>242</xdr:row>
      <xdr:rowOff>114300</xdr:rowOff>
    </xdr:to>
    <xdr:sp macro="" textlink="">
      <xdr:nvSpPr>
        <xdr:cNvPr id="1266" name="AutoShape 2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304800</xdr:colOff>
      <xdr:row>244</xdr:row>
      <xdr:rowOff>114300</xdr:rowOff>
    </xdr:to>
    <xdr:sp macro="" textlink="">
      <xdr:nvSpPr>
        <xdr:cNvPr id="1267" name="AutoShape 24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1268" name="AutoShape 24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304800</xdr:colOff>
      <xdr:row>246</xdr:row>
      <xdr:rowOff>114300</xdr:rowOff>
    </xdr:to>
    <xdr:sp macro="" textlink="">
      <xdr:nvSpPr>
        <xdr:cNvPr id="1269" name="AutoShape 2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304800</xdr:colOff>
      <xdr:row>246</xdr:row>
      <xdr:rowOff>114300</xdr:rowOff>
    </xdr:to>
    <xdr:sp macro="" textlink="">
      <xdr:nvSpPr>
        <xdr:cNvPr id="1270" name="AutoShape 24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304800</xdr:colOff>
      <xdr:row>248</xdr:row>
      <xdr:rowOff>114300</xdr:rowOff>
    </xdr:to>
    <xdr:sp macro="" textlink="">
      <xdr:nvSpPr>
        <xdr:cNvPr id="1271" name="AutoShape 2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304800</xdr:colOff>
      <xdr:row>248</xdr:row>
      <xdr:rowOff>114300</xdr:rowOff>
    </xdr:to>
    <xdr:sp macro="" textlink="">
      <xdr:nvSpPr>
        <xdr:cNvPr id="1272" name="AutoShape 24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304800</xdr:colOff>
      <xdr:row>250</xdr:row>
      <xdr:rowOff>114300</xdr:rowOff>
    </xdr:to>
    <xdr:sp macro="" textlink="">
      <xdr:nvSpPr>
        <xdr:cNvPr id="1273" name="AutoShape 2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304800</xdr:colOff>
      <xdr:row>250</xdr:row>
      <xdr:rowOff>114300</xdr:rowOff>
    </xdr:to>
    <xdr:sp macro="" textlink="">
      <xdr:nvSpPr>
        <xdr:cNvPr id="1274" name="AutoShape 2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304800</xdr:colOff>
      <xdr:row>252</xdr:row>
      <xdr:rowOff>114300</xdr:rowOff>
    </xdr:to>
    <xdr:sp macro="" textlink="">
      <xdr:nvSpPr>
        <xdr:cNvPr id="1275" name="AutoShape 2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304800</xdr:colOff>
      <xdr:row>252</xdr:row>
      <xdr:rowOff>114300</xdr:rowOff>
    </xdr:to>
    <xdr:sp macro="" textlink="">
      <xdr:nvSpPr>
        <xdr:cNvPr id="1276" name="AutoShape 2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253</xdr:row>
      <xdr:rowOff>0</xdr:rowOff>
    </xdr:from>
    <xdr:to>
      <xdr:col>4</xdr:col>
      <xdr:colOff>304800</xdr:colOff>
      <xdr:row>254</xdr:row>
      <xdr:rowOff>114300</xdr:rowOff>
    </xdr:to>
    <xdr:sp macro="" textlink="">
      <xdr:nvSpPr>
        <xdr:cNvPr id="1277" name="AutoShape 25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1278" name="AutoShape 25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1279" name="AutoShape 25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304800</xdr:colOff>
      <xdr:row>256</xdr:row>
      <xdr:rowOff>114300</xdr:rowOff>
    </xdr:to>
    <xdr:sp macro="" textlink="">
      <xdr:nvSpPr>
        <xdr:cNvPr id="1280" name="AutoShape 2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304800</xdr:colOff>
      <xdr:row>258</xdr:row>
      <xdr:rowOff>114300</xdr:rowOff>
    </xdr:to>
    <xdr:sp macro="" textlink="">
      <xdr:nvSpPr>
        <xdr:cNvPr id="1281" name="AutoShape 25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304800</xdr:colOff>
      <xdr:row>258</xdr:row>
      <xdr:rowOff>114300</xdr:rowOff>
    </xdr:to>
    <xdr:sp macro="" textlink="">
      <xdr:nvSpPr>
        <xdr:cNvPr id="1282" name="AutoShape 2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304800</xdr:colOff>
      <xdr:row>260</xdr:row>
      <xdr:rowOff>114300</xdr:rowOff>
    </xdr:to>
    <xdr:sp macro="" textlink="">
      <xdr:nvSpPr>
        <xdr:cNvPr id="1283" name="AutoShape 2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304800</xdr:colOff>
      <xdr:row>260</xdr:row>
      <xdr:rowOff>114300</xdr:rowOff>
    </xdr:to>
    <xdr:sp macro="" textlink="">
      <xdr:nvSpPr>
        <xdr:cNvPr id="1284" name="AutoShape 26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304800</xdr:colOff>
      <xdr:row>262</xdr:row>
      <xdr:rowOff>114300</xdr:rowOff>
    </xdr:to>
    <xdr:sp macro="" textlink="">
      <xdr:nvSpPr>
        <xdr:cNvPr id="1285" name="AutoShape 2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1286" name="AutoShape 26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304800</xdr:colOff>
      <xdr:row>264</xdr:row>
      <xdr:rowOff>76200</xdr:rowOff>
    </xdr:to>
    <xdr:sp macro="" textlink="">
      <xdr:nvSpPr>
        <xdr:cNvPr id="1287" name="AutoShape 26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304800</xdr:colOff>
      <xdr:row>264</xdr:row>
      <xdr:rowOff>76200</xdr:rowOff>
    </xdr:to>
    <xdr:sp macro="" textlink="">
      <xdr:nvSpPr>
        <xdr:cNvPr id="1288" name="AutoShape 26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304800</xdr:colOff>
      <xdr:row>266</xdr:row>
      <xdr:rowOff>114300</xdr:rowOff>
    </xdr:to>
    <xdr:sp macro="" textlink="">
      <xdr:nvSpPr>
        <xdr:cNvPr id="1289" name="AutoShape 26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304800</xdr:colOff>
      <xdr:row>266</xdr:row>
      <xdr:rowOff>114300</xdr:rowOff>
    </xdr:to>
    <xdr:sp macro="" textlink="">
      <xdr:nvSpPr>
        <xdr:cNvPr id="1290" name="AutoShape 26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304800</xdr:colOff>
      <xdr:row>268</xdr:row>
      <xdr:rowOff>114300</xdr:rowOff>
    </xdr:to>
    <xdr:sp macro="" textlink="">
      <xdr:nvSpPr>
        <xdr:cNvPr id="1291" name="AutoShape 2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304800</xdr:colOff>
      <xdr:row>268</xdr:row>
      <xdr:rowOff>114300</xdr:rowOff>
    </xdr:to>
    <xdr:sp macro="" textlink="">
      <xdr:nvSpPr>
        <xdr:cNvPr id="1292" name="AutoShape 2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304800</xdr:colOff>
      <xdr:row>270</xdr:row>
      <xdr:rowOff>114300</xdr:rowOff>
    </xdr:to>
    <xdr:sp macro="" textlink="">
      <xdr:nvSpPr>
        <xdr:cNvPr id="1293" name="AutoShape 2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304800</xdr:colOff>
      <xdr:row>270</xdr:row>
      <xdr:rowOff>114300</xdr:rowOff>
    </xdr:to>
    <xdr:sp macro="" textlink="">
      <xdr:nvSpPr>
        <xdr:cNvPr id="1294" name="AutoShape 27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304800</xdr:colOff>
      <xdr:row>272</xdr:row>
      <xdr:rowOff>114300</xdr:rowOff>
    </xdr:to>
    <xdr:sp macro="" textlink="">
      <xdr:nvSpPr>
        <xdr:cNvPr id="1295" name="AutoShape 27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304800</xdr:colOff>
      <xdr:row>272</xdr:row>
      <xdr:rowOff>114300</xdr:rowOff>
    </xdr:to>
    <xdr:sp macro="" textlink="">
      <xdr:nvSpPr>
        <xdr:cNvPr id="1296" name="AutoShape 27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304800</xdr:colOff>
      <xdr:row>274</xdr:row>
      <xdr:rowOff>114300</xdr:rowOff>
    </xdr:to>
    <xdr:sp macro="" textlink="">
      <xdr:nvSpPr>
        <xdr:cNvPr id="1297" name="AutoShape 2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304800</xdr:colOff>
      <xdr:row>274</xdr:row>
      <xdr:rowOff>114300</xdr:rowOff>
    </xdr:to>
    <xdr:sp macro="" textlink="">
      <xdr:nvSpPr>
        <xdr:cNvPr id="1298" name="AutoShape 27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275</xdr:row>
      <xdr:rowOff>0</xdr:rowOff>
    </xdr:from>
    <xdr:to>
      <xdr:col>4</xdr:col>
      <xdr:colOff>304800</xdr:colOff>
      <xdr:row>276</xdr:row>
      <xdr:rowOff>76200</xdr:rowOff>
    </xdr:to>
    <xdr:sp macro="" textlink="">
      <xdr:nvSpPr>
        <xdr:cNvPr id="1299" name="AutoShape 27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304800</xdr:colOff>
      <xdr:row>276</xdr:row>
      <xdr:rowOff>76200</xdr:rowOff>
    </xdr:to>
    <xdr:sp macro="" textlink="">
      <xdr:nvSpPr>
        <xdr:cNvPr id="1300" name="AutoShape 2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304800</xdr:colOff>
      <xdr:row>278</xdr:row>
      <xdr:rowOff>114300</xdr:rowOff>
    </xdr:to>
    <xdr:sp macro="" textlink="">
      <xdr:nvSpPr>
        <xdr:cNvPr id="1301" name="AutoShape 2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1302" name="AutoShape 27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279</xdr:row>
      <xdr:rowOff>0</xdr:rowOff>
    </xdr:from>
    <xdr:to>
      <xdr:col>4</xdr:col>
      <xdr:colOff>304800</xdr:colOff>
      <xdr:row>280</xdr:row>
      <xdr:rowOff>114300</xdr:rowOff>
    </xdr:to>
    <xdr:sp macro="" textlink="">
      <xdr:nvSpPr>
        <xdr:cNvPr id="1303" name="AutoShape 2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304800</xdr:colOff>
      <xdr:row>280</xdr:row>
      <xdr:rowOff>114300</xdr:rowOff>
    </xdr:to>
    <xdr:sp macro="" textlink="">
      <xdr:nvSpPr>
        <xdr:cNvPr id="1304" name="AutoShape 2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304800</xdr:colOff>
      <xdr:row>282</xdr:row>
      <xdr:rowOff>76200</xdr:rowOff>
    </xdr:to>
    <xdr:sp macro="" textlink="">
      <xdr:nvSpPr>
        <xdr:cNvPr id="1305" name="AutoShape 28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304800</xdr:colOff>
      <xdr:row>282</xdr:row>
      <xdr:rowOff>76200</xdr:rowOff>
    </xdr:to>
    <xdr:sp macro="" textlink="">
      <xdr:nvSpPr>
        <xdr:cNvPr id="1306" name="AutoShape 2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283</xdr:row>
      <xdr:rowOff>0</xdr:rowOff>
    </xdr:from>
    <xdr:to>
      <xdr:col>4</xdr:col>
      <xdr:colOff>304800</xdr:colOff>
      <xdr:row>284</xdr:row>
      <xdr:rowOff>114300</xdr:rowOff>
    </xdr:to>
    <xdr:sp macro="" textlink="">
      <xdr:nvSpPr>
        <xdr:cNvPr id="1307" name="AutoShape 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304800</xdr:colOff>
      <xdr:row>284</xdr:row>
      <xdr:rowOff>114300</xdr:rowOff>
    </xdr:to>
    <xdr:sp macro="" textlink="">
      <xdr:nvSpPr>
        <xdr:cNvPr id="1308" name="AutoShape 28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285</xdr:row>
      <xdr:rowOff>0</xdr:rowOff>
    </xdr:from>
    <xdr:to>
      <xdr:col>4</xdr:col>
      <xdr:colOff>304800</xdr:colOff>
      <xdr:row>286</xdr:row>
      <xdr:rowOff>76200</xdr:rowOff>
    </xdr:to>
    <xdr:sp macro="" textlink="">
      <xdr:nvSpPr>
        <xdr:cNvPr id="1309" name="AutoShape 28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304800</xdr:colOff>
      <xdr:row>286</xdr:row>
      <xdr:rowOff>76200</xdr:rowOff>
    </xdr:to>
    <xdr:sp macro="" textlink="">
      <xdr:nvSpPr>
        <xdr:cNvPr id="1310" name="AutoShape 28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287</xdr:row>
      <xdr:rowOff>0</xdr:rowOff>
    </xdr:from>
    <xdr:to>
      <xdr:col>4</xdr:col>
      <xdr:colOff>304800</xdr:colOff>
      <xdr:row>288</xdr:row>
      <xdr:rowOff>114300</xdr:rowOff>
    </xdr:to>
    <xdr:sp macro="" textlink="">
      <xdr:nvSpPr>
        <xdr:cNvPr id="1311" name="AutoShape 28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1312" name="AutoShape 28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1313" name="AutoShape 28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304800</xdr:colOff>
      <xdr:row>290</xdr:row>
      <xdr:rowOff>114300</xdr:rowOff>
    </xdr:to>
    <xdr:sp macro="" textlink="">
      <xdr:nvSpPr>
        <xdr:cNvPr id="1314" name="AutoShape 29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304800</xdr:colOff>
      <xdr:row>292</xdr:row>
      <xdr:rowOff>114300</xdr:rowOff>
    </xdr:to>
    <xdr:sp macro="" textlink="">
      <xdr:nvSpPr>
        <xdr:cNvPr id="1315" name="AutoShape 2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304800</xdr:colOff>
      <xdr:row>292</xdr:row>
      <xdr:rowOff>114300</xdr:rowOff>
    </xdr:to>
    <xdr:sp macro="" textlink="">
      <xdr:nvSpPr>
        <xdr:cNvPr id="1316" name="AutoShape 29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293</xdr:row>
      <xdr:rowOff>0</xdr:rowOff>
    </xdr:from>
    <xdr:to>
      <xdr:col>4</xdr:col>
      <xdr:colOff>304800</xdr:colOff>
      <xdr:row>294</xdr:row>
      <xdr:rowOff>114300</xdr:rowOff>
    </xdr:to>
    <xdr:sp macro="" textlink="">
      <xdr:nvSpPr>
        <xdr:cNvPr id="1317" name="AutoShape 29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304800</xdr:colOff>
      <xdr:row>294</xdr:row>
      <xdr:rowOff>114300</xdr:rowOff>
    </xdr:to>
    <xdr:sp macro="" textlink="">
      <xdr:nvSpPr>
        <xdr:cNvPr id="1318" name="AutoShape 29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304800</xdr:colOff>
      <xdr:row>296</xdr:row>
      <xdr:rowOff>114300</xdr:rowOff>
    </xdr:to>
    <xdr:sp macro="" textlink="">
      <xdr:nvSpPr>
        <xdr:cNvPr id="1319" name="AutoShape 29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304800</xdr:colOff>
      <xdr:row>296</xdr:row>
      <xdr:rowOff>114300</xdr:rowOff>
    </xdr:to>
    <xdr:sp macro="" textlink="">
      <xdr:nvSpPr>
        <xdr:cNvPr id="1320" name="AutoShape 29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304800</xdr:colOff>
      <xdr:row>298</xdr:row>
      <xdr:rowOff>114300</xdr:rowOff>
    </xdr:to>
    <xdr:sp macro="" textlink="">
      <xdr:nvSpPr>
        <xdr:cNvPr id="1321" name="AutoShape 2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304800</xdr:colOff>
      <xdr:row>298</xdr:row>
      <xdr:rowOff>114300</xdr:rowOff>
    </xdr:to>
    <xdr:sp macro="" textlink="">
      <xdr:nvSpPr>
        <xdr:cNvPr id="1322" name="AutoShape 2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304800</xdr:colOff>
      <xdr:row>300</xdr:row>
      <xdr:rowOff>114300</xdr:rowOff>
    </xdr:to>
    <xdr:sp macro="" textlink="">
      <xdr:nvSpPr>
        <xdr:cNvPr id="1323" name="AutoShape 29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1324" name="AutoShape 3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304800</xdr:colOff>
      <xdr:row>302</xdr:row>
      <xdr:rowOff>114300</xdr:rowOff>
    </xdr:to>
    <xdr:sp macro="" textlink="">
      <xdr:nvSpPr>
        <xdr:cNvPr id="1325" name="AutoShape 30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301</xdr:row>
      <xdr:rowOff>0</xdr:rowOff>
    </xdr:from>
    <xdr:to>
      <xdr:col>5</xdr:col>
      <xdr:colOff>304800</xdr:colOff>
      <xdr:row>302</xdr:row>
      <xdr:rowOff>114300</xdr:rowOff>
    </xdr:to>
    <xdr:sp macro="" textlink="">
      <xdr:nvSpPr>
        <xdr:cNvPr id="1326" name="AutoShape 3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304800</xdr:colOff>
      <xdr:row>304</xdr:row>
      <xdr:rowOff>76200</xdr:rowOff>
    </xdr:to>
    <xdr:sp macro="" textlink="">
      <xdr:nvSpPr>
        <xdr:cNvPr id="1327" name="AutoShape 30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303</xdr:row>
      <xdr:rowOff>0</xdr:rowOff>
    </xdr:from>
    <xdr:to>
      <xdr:col>5</xdr:col>
      <xdr:colOff>304800</xdr:colOff>
      <xdr:row>304</xdr:row>
      <xdr:rowOff>76200</xdr:rowOff>
    </xdr:to>
    <xdr:sp macro="" textlink="">
      <xdr:nvSpPr>
        <xdr:cNvPr id="1328" name="AutoShape 30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304800</xdr:colOff>
      <xdr:row>306</xdr:row>
      <xdr:rowOff>76200</xdr:rowOff>
    </xdr:to>
    <xdr:sp macro="" textlink="">
      <xdr:nvSpPr>
        <xdr:cNvPr id="1329" name="AutoShape 30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305</xdr:row>
      <xdr:rowOff>0</xdr:rowOff>
    </xdr:from>
    <xdr:to>
      <xdr:col>5</xdr:col>
      <xdr:colOff>304800</xdr:colOff>
      <xdr:row>306</xdr:row>
      <xdr:rowOff>76200</xdr:rowOff>
    </xdr:to>
    <xdr:sp macro="" textlink="">
      <xdr:nvSpPr>
        <xdr:cNvPr id="1330" name="AutoShape 30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304800</xdr:colOff>
      <xdr:row>308</xdr:row>
      <xdr:rowOff>114300</xdr:rowOff>
    </xdr:to>
    <xdr:sp macro="" textlink="">
      <xdr:nvSpPr>
        <xdr:cNvPr id="1331" name="AutoShape 30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307</xdr:row>
      <xdr:rowOff>0</xdr:rowOff>
    </xdr:from>
    <xdr:to>
      <xdr:col>5</xdr:col>
      <xdr:colOff>304800</xdr:colOff>
      <xdr:row>308</xdr:row>
      <xdr:rowOff>114300</xdr:rowOff>
    </xdr:to>
    <xdr:sp macro="" textlink="">
      <xdr:nvSpPr>
        <xdr:cNvPr id="1332" name="AutoShape 3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304800</xdr:colOff>
      <xdr:row>310</xdr:row>
      <xdr:rowOff>114300</xdr:rowOff>
    </xdr:to>
    <xdr:sp macro="" textlink="">
      <xdr:nvSpPr>
        <xdr:cNvPr id="1333" name="AutoShape 3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309</xdr:row>
      <xdr:rowOff>0</xdr:rowOff>
    </xdr:from>
    <xdr:to>
      <xdr:col>5</xdr:col>
      <xdr:colOff>304800</xdr:colOff>
      <xdr:row>310</xdr:row>
      <xdr:rowOff>114300</xdr:rowOff>
    </xdr:to>
    <xdr:sp macro="" textlink="">
      <xdr:nvSpPr>
        <xdr:cNvPr id="1334" name="AutoShape 3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304800</xdr:colOff>
      <xdr:row>312</xdr:row>
      <xdr:rowOff>114300</xdr:rowOff>
    </xdr:to>
    <xdr:sp macro="" textlink="">
      <xdr:nvSpPr>
        <xdr:cNvPr id="1335" name="AutoShape 31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1336" name="AutoShape 31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304800</xdr:colOff>
      <xdr:row>314</xdr:row>
      <xdr:rowOff>114300</xdr:rowOff>
    </xdr:to>
    <xdr:sp macro="" textlink="">
      <xdr:nvSpPr>
        <xdr:cNvPr id="1337" name="AutoShape 31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313</xdr:row>
      <xdr:rowOff>0</xdr:rowOff>
    </xdr:from>
    <xdr:to>
      <xdr:col>5</xdr:col>
      <xdr:colOff>304800</xdr:colOff>
      <xdr:row>314</xdr:row>
      <xdr:rowOff>114300</xdr:rowOff>
    </xdr:to>
    <xdr:sp macro="" textlink="">
      <xdr:nvSpPr>
        <xdr:cNvPr id="1338" name="AutoShape 3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304800</xdr:colOff>
      <xdr:row>316</xdr:row>
      <xdr:rowOff>114300</xdr:rowOff>
    </xdr:to>
    <xdr:sp macro="" textlink="">
      <xdr:nvSpPr>
        <xdr:cNvPr id="1339" name="AutoShape 31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315</xdr:row>
      <xdr:rowOff>0</xdr:rowOff>
    </xdr:from>
    <xdr:to>
      <xdr:col>5</xdr:col>
      <xdr:colOff>304800</xdr:colOff>
      <xdr:row>316</xdr:row>
      <xdr:rowOff>114300</xdr:rowOff>
    </xdr:to>
    <xdr:sp macro="" textlink="">
      <xdr:nvSpPr>
        <xdr:cNvPr id="1340" name="AutoShape 3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304800</xdr:colOff>
      <xdr:row>318</xdr:row>
      <xdr:rowOff>114300</xdr:rowOff>
    </xdr:to>
    <xdr:sp macro="" textlink="">
      <xdr:nvSpPr>
        <xdr:cNvPr id="1341" name="AutoShape 31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1342" name="AutoShape 31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1343" name="AutoShape 31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319</xdr:row>
      <xdr:rowOff>0</xdr:rowOff>
    </xdr:from>
    <xdr:to>
      <xdr:col>5</xdr:col>
      <xdr:colOff>304800</xdr:colOff>
      <xdr:row>320</xdr:row>
      <xdr:rowOff>114300</xdr:rowOff>
    </xdr:to>
    <xdr:sp macro="" textlink="">
      <xdr:nvSpPr>
        <xdr:cNvPr id="1344" name="AutoShape 3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304800</xdr:colOff>
      <xdr:row>322</xdr:row>
      <xdr:rowOff>114300</xdr:rowOff>
    </xdr:to>
    <xdr:sp macro="" textlink="">
      <xdr:nvSpPr>
        <xdr:cNvPr id="1345" name="AutoShape 32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321</xdr:row>
      <xdr:rowOff>0</xdr:rowOff>
    </xdr:from>
    <xdr:to>
      <xdr:col>5</xdr:col>
      <xdr:colOff>304800</xdr:colOff>
      <xdr:row>322</xdr:row>
      <xdr:rowOff>114300</xdr:rowOff>
    </xdr:to>
    <xdr:sp macro="" textlink="">
      <xdr:nvSpPr>
        <xdr:cNvPr id="1346" name="AutoShape 3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304800</xdr:colOff>
      <xdr:row>324</xdr:row>
      <xdr:rowOff>114300</xdr:rowOff>
    </xdr:to>
    <xdr:sp macro="" textlink="">
      <xdr:nvSpPr>
        <xdr:cNvPr id="1347" name="AutoShape 3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323</xdr:row>
      <xdr:rowOff>0</xdr:rowOff>
    </xdr:from>
    <xdr:to>
      <xdr:col>5</xdr:col>
      <xdr:colOff>304800</xdr:colOff>
      <xdr:row>324</xdr:row>
      <xdr:rowOff>114300</xdr:rowOff>
    </xdr:to>
    <xdr:sp macro="" textlink="">
      <xdr:nvSpPr>
        <xdr:cNvPr id="1348" name="AutoShape 3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304800</xdr:colOff>
      <xdr:row>326</xdr:row>
      <xdr:rowOff>114300</xdr:rowOff>
    </xdr:to>
    <xdr:sp macro="" textlink="">
      <xdr:nvSpPr>
        <xdr:cNvPr id="1349" name="AutoShape 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325</xdr:row>
      <xdr:rowOff>0</xdr:rowOff>
    </xdr:from>
    <xdr:to>
      <xdr:col>5</xdr:col>
      <xdr:colOff>304800</xdr:colOff>
      <xdr:row>326</xdr:row>
      <xdr:rowOff>114300</xdr:rowOff>
    </xdr:to>
    <xdr:sp macro="" textlink="">
      <xdr:nvSpPr>
        <xdr:cNvPr id="1350" name="AutoShape 32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304800</xdr:colOff>
      <xdr:row>328</xdr:row>
      <xdr:rowOff>76200</xdr:rowOff>
    </xdr:to>
    <xdr:sp macro="" textlink="">
      <xdr:nvSpPr>
        <xdr:cNvPr id="1351" name="AutoShape 327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327</xdr:row>
      <xdr:rowOff>0</xdr:rowOff>
    </xdr:from>
    <xdr:to>
      <xdr:col>5</xdr:col>
      <xdr:colOff>304800</xdr:colOff>
      <xdr:row>328</xdr:row>
      <xdr:rowOff>76200</xdr:rowOff>
    </xdr:to>
    <xdr:sp macro="" textlink="">
      <xdr:nvSpPr>
        <xdr:cNvPr id="1352" name="AutoShape 3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304800</xdr:colOff>
      <xdr:row>330</xdr:row>
      <xdr:rowOff>114300</xdr:rowOff>
    </xdr:to>
    <xdr:sp macro="" textlink="">
      <xdr:nvSpPr>
        <xdr:cNvPr id="1353" name="AutoShape 32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329</xdr:row>
      <xdr:rowOff>0</xdr:rowOff>
    </xdr:from>
    <xdr:to>
      <xdr:col>5</xdr:col>
      <xdr:colOff>304800</xdr:colOff>
      <xdr:row>330</xdr:row>
      <xdr:rowOff>114300</xdr:rowOff>
    </xdr:to>
    <xdr:sp macro="" textlink="">
      <xdr:nvSpPr>
        <xdr:cNvPr id="1354" name="AutoShape 3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331</xdr:row>
      <xdr:rowOff>0</xdr:rowOff>
    </xdr:from>
    <xdr:to>
      <xdr:col>4</xdr:col>
      <xdr:colOff>304800</xdr:colOff>
      <xdr:row>332</xdr:row>
      <xdr:rowOff>114300</xdr:rowOff>
    </xdr:to>
    <xdr:sp macro="" textlink="">
      <xdr:nvSpPr>
        <xdr:cNvPr id="1355" name="AutoShape 33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331</xdr:row>
      <xdr:rowOff>0</xdr:rowOff>
    </xdr:from>
    <xdr:to>
      <xdr:col>5</xdr:col>
      <xdr:colOff>304800</xdr:colOff>
      <xdr:row>332</xdr:row>
      <xdr:rowOff>114300</xdr:rowOff>
    </xdr:to>
    <xdr:sp macro="" textlink="">
      <xdr:nvSpPr>
        <xdr:cNvPr id="1356" name="AutoShape 3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333</xdr:row>
      <xdr:rowOff>0</xdr:rowOff>
    </xdr:from>
    <xdr:to>
      <xdr:col>4</xdr:col>
      <xdr:colOff>304800</xdr:colOff>
      <xdr:row>334</xdr:row>
      <xdr:rowOff>114300</xdr:rowOff>
    </xdr:to>
    <xdr:sp macro="" textlink="">
      <xdr:nvSpPr>
        <xdr:cNvPr id="1357" name="AutoShape 33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333</xdr:row>
      <xdr:rowOff>0</xdr:rowOff>
    </xdr:from>
    <xdr:to>
      <xdr:col>5</xdr:col>
      <xdr:colOff>304800</xdr:colOff>
      <xdr:row>334</xdr:row>
      <xdr:rowOff>114300</xdr:rowOff>
    </xdr:to>
    <xdr:sp macro="" textlink="">
      <xdr:nvSpPr>
        <xdr:cNvPr id="1358" name="AutoShape 33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304800</xdr:colOff>
      <xdr:row>336</xdr:row>
      <xdr:rowOff>114300</xdr:rowOff>
    </xdr:to>
    <xdr:sp macro="" textlink="">
      <xdr:nvSpPr>
        <xdr:cNvPr id="1359" name="AutoShape 33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335</xdr:row>
      <xdr:rowOff>0</xdr:rowOff>
    </xdr:from>
    <xdr:to>
      <xdr:col>5</xdr:col>
      <xdr:colOff>304800</xdr:colOff>
      <xdr:row>336</xdr:row>
      <xdr:rowOff>114300</xdr:rowOff>
    </xdr:to>
    <xdr:sp macro="" textlink="">
      <xdr:nvSpPr>
        <xdr:cNvPr id="1360" name="AutoShape 3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337</xdr:row>
      <xdr:rowOff>0</xdr:rowOff>
    </xdr:from>
    <xdr:to>
      <xdr:col>4</xdr:col>
      <xdr:colOff>304800</xdr:colOff>
      <xdr:row>338</xdr:row>
      <xdr:rowOff>76200</xdr:rowOff>
    </xdr:to>
    <xdr:sp macro="" textlink="">
      <xdr:nvSpPr>
        <xdr:cNvPr id="1361" name="AutoShape 33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337</xdr:row>
      <xdr:rowOff>0</xdr:rowOff>
    </xdr:from>
    <xdr:to>
      <xdr:col>5</xdr:col>
      <xdr:colOff>304800</xdr:colOff>
      <xdr:row>338</xdr:row>
      <xdr:rowOff>76200</xdr:rowOff>
    </xdr:to>
    <xdr:sp macro="" textlink="">
      <xdr:nvSpPr>
        <xdr:cNvPr id="1362" name="AutoShape 3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339</xdr:row>
      <xdr:rowOff>0</xdr:rowOff>
    </xdr:from>
    <xdr:to>
      <xdr:col>4</xdr:col>
      <xdr:colOff>304800</xdr:colOff>
      <xdr:row>340</xdr:row>
      <xdr:rowOff>114300</xdr:rowOff>
    </xdr:to>
    <xdr:sp macro="" textlink="">
      <xdr:nvSpPr>
        <xdr:cNvPr id="1363" name="AutoShape 3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339</xdr:row>
      <xdr:rowOff>0</xdr:rowOff>
    </xdr:from>
    <xdr:to>
      <xdr:col>5</xdr:col>
      <xdr:colOff>304800</xdr:colOff>
      <xdr:row>340</xdr:row>
      <xdr:rowOff>114300</xdr:rowOff>
    </xdr:to>
    <xdr:sp macro="" textlink="">
      <xdr:nvSpPr>
        <xdr:cNvPr id="1364" name="AutoShape 34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304800</xdr:colOff>
      <xdr:row>342</xdr:row>
      <xdr:rowOff>114300</xdr:rowOff>
    </xdr:to>
    <xdr:sp macro="" textlink="">
      <xdr:nvSpPr>
        <xdr:cNvPr id="1365" name="AutoShape 34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1366" name="AutoShape 34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304800</xdr:colOff>
      <xdr:row>344</xdr:row>
      <xdr:rowOff>76200</xdr:rowOff>
    </xdr:to>
    <xdr:sp macro="" textlink="">
      <xdr:nvSpPr>
        <xdr:cNvPr id="1367" name="AutoShape 3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343</xdr:row>
      <xdr:rowOff>0</xdr:rowOff>
    </xdr:from>
    <xdr:to>
      <xdr:col>5</xdr:col>
      <xdr:colOff>304800</xdr:colOff>
      <xdr:row>344</xdr:row>
      <xdr:rowOff>76200</xdr:rowOff>
    </xdr:to>
    <xdr:sp macro="" textlink="">
      <xdr:nvSpPr>
        <xdr:cNvPr id="1368" name="AutoShape 3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345</xdr:row>
      <xdr:rowOff>0</xdr:rowOff>
    </xdr:from>
    <xdr:to>
      <xdr:col>4</xdr:col>
      <xdr:colOff>304800</xdr:colOff>
      <xdr:row>346</xdr:row>
      <xdr:rowOff>114300</xdr:rowOff>
    </xdr:to>
    <xdr:sp macro="" textlink="">
      <xdr:nvSpPr>
        <xdr:cNvPr id="1369" name="AutoShape 34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345</xdr:row>
      <xdr:rowOff>0</xdr:rowOff>
    </xdr:from>
    <xdr:to>
      <xdr:col>5</xdr:col>
      <xdr:colOff>304800</xdr:colOff>
      <xdr:row>346</xdr:row>
      <xdr:rowOff>114300</xdr:rowOff>
    </xdr:to>
    <xdr:sp macro="" textlink="">
      <xdr:nvSpPr>
        <xdr:cNvPr id="1370" name="AutoShape 3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304800</xdr:colOff>
      <xdr:row>348</xdr:row>
      <xdr:rowOff>114300</xdr:rowOff>
    </xdr:to>
    <xdr:sp macro="" textlink="">
      <xdr:nvSpPr>
        <xdr:cNvPr id="1371" name="AutoShape 34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347</xdr:row>
      <xdr:rowOff>0</xdr:rowOff>
    </xdr:from>
    <xdr:to>
      <xdr:col>5</xdr:col>
      <xdr:colOff>304800</xdr:colOff>
      <xdr:row>348</xdr:row>
      <xdr:rowOff>114300</xdr:rowOff>
    </xdr:to>
    <xdr:sp macro="" textlink="">
      <xdr:nvSpPr>
        <xdr:cNvPr id="1372" name="AutoShape 3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304800</xdr:colOff>
      <xdr:row>350</xdr:row>
      <xdr:rowOff>114300</xdr:rowOff>
    </xdr:to>
    <xdr:sp macro="" textlink="">
      <xdr:nvSpPr>
        <xdr:cNvPr id="1373" name="AutoShape 3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349</xdr:row>
      <xdr:rowOff>0</xdr:rowOff>
    </xdr:from>
    <xdr:to>
      <xdr:col>5</xdr:col>
      <xdr:colOff>304800</xdr:colOff>
      <xdr:row>350</xdr:row>
      <xdr:rowOff>114300</xdr:rowOff>
    </xdr:to>
    <xdr:sp macro="" textlink="">
      <xdr:nvSpPr>
        <xdr:cNvPr id="1374" name="AutoShape 3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304800</xdr:colOff>
      <xdr:row>352</xdr:row>
      <xdr:rowOff>114300</xdr:rowOff>
    </xdr:to>
    <xdr:sp macro="" textlink="">
      <xdr:nvSpPr>
        <xdr:cNvPr id="1375" name="AutoShape 3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351</xdr:row>
      <xdr:rowOff>0</xdr:rowOff>
    </xdr:from>
    <xdr:to>
      <xdr:col>5</xdr:col>
      <xdr:colOff>304800</xdr:colOff>
      <xdr:row>352</xdr:row>
      <xdr:rowOff>114300</xdr:rowOff>
    </xdr:to>
    <xdr:sp macro="" textlink="">
      <xdr:nvSpPr>
        <xdr:cNvPr id="1376" name="AutoShape 35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304800</xdr:colOff>
      <xdr:row>354</xdr:row>
      <xdr:rowOff>114300</xdr:rowOff>
    </xdr:to>
    <xdr:sp macro="" textlink="">
      <xdr:nvSpPr>
        <xdr:cNvPr id="1377" name="AutoShape 35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304800</xdr:colOff>
      <xdr:row>354</xdr:row>
      <xdr:rowOff>114300</xdr:rowOff>
    </xdr:to>
    <xdr:sp macro="" textlink="">
      <xdr:nvSpPr>
        <xdr:cNvPr id="1378" name="AutoShape 35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304800</xdr:colOff>
      <xdr:row>356</xdr:row>
      <xdr:rowOff>76200</xdr:rowOff>
    </xdr:to>
    <xdr:sp macro="" textlink="">
      <xdr:nvSpPr>
        <xdr:cNvPr id="1379" name="AutoShape 35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355</xdr:row>
      <xdr:rowOff>0</xdr:rowOff>
    </xdr:from>
    <xdr:to>
      <xdr:col>5</xdr:col>
      <xdr:colOff>304800</xdr:colOff>
      <xdr:row>356</xdr:row>
      <xdr:rowOff>76200</xdr:rowOff>
    </xdr:to>
    <xdr:sp macro="" textlink="">
      <xdr:nvSpPr>
        <xdr:cNvPr id="1380" name="AutoShape 35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304800</xdr:colOff>
      <xdr:row>358</xdr:row>
      <xdr:rowOff>114300</xdr:rowOff>
    </xdr:to>
    <xdr:sp macro="" textlink="">
      <xdr:nvSpPr>
        <xdr:cNvPr id="1381" name="AutoShape 35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304800</xdr:colOff>
      <xdr:row>358</xdr:row>
      <xdr:rowOff>114300</xdr:rowOff>
    </xdr:to>
    <xdr:sp macro="" textlink="">
      <xdr:nvSpPr>
        <xdr:cNvPr id="1382" name="AutoShape 3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359</xdr:row>
      <xdr:rowOff>0</xdr:rowOff>
    </xdr:from>
    <xdr:to>
      <xdr:col>4</xdr:col>
      <xdr:colOff>304800</xdr:colOff>
      <xdr:row>360</xdr:row>
      <xdr:rowOff>114300</xdr:rowOff>
    </xdr:to>
    <xdr:sp macro="" textlink="">
      <xdr:nvSpPr>
        <xdr:cNvPr id="1383" name="AutoShape 35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359</xdr:row>
      <xdr:rowOff>0</xdr:rowOff>
    </xdr:from>
    <xdr:to>
      <xdr:col>5</xdr:col>
      <xdr:colOff>304800</xdr:colOff>
      <xdr:row>360</xdr:row>
      <xdr:rowOff>114300</xdr:rowOff>
    </xdr:to>
    <xdr:sp macro="" textlink="">
      <xdr:nvSpPr>
        <xdr:cNvPr id="1384" name="AutoShape 36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361</xdr:row>
      <xdr:rowOff>0</xdr:rowOff>
    </xdr:from>
    <xdr:to>
      <xdr:col>4</xdr:col>
      <xdr:colOff>304800</xdr:colOff>
      <xdr:row>362</xdr:row>
      <xdr:rowOff>114300</xdr:rowOff>
    </xdr:to>
    <xdr:sp macro="" textlink="">
      <xdr:nvSpPr>
        <xdr:cNvPr id="1385" name="AutoShape 36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361</xdr:row>
      <xdr:rowOff>0</xdr:rowOff>
    </xdr:from>
    <xdr:to>
      <xdr:col>5</xdr:col>
      <xdr:colOff>304800</xdr:colOff>
      <xdr:row>362</xdr:row>
      <xdr:rowOff>114300</xdr:rowOff>
    </xdr:to>
    <xdr:sp macro="" textlink="">
      <xdr:nvSpPr>
        <xdr:cNvPr id="1386" name="AutoShape 36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363</xdr:row>
      <xdr:rowOff>0</xdr:rowOff>
    </xdr:from>
    <xdr:to>
      <xdr:col>4</xdr:col>
      <xdr:colOff>304800</xdr:colOff>
      <xdr:row>364</xdr:row>
      <xdr:rowOff>114300</xdr:rowOff>
    </xdr:to>
    <xdr:sp macro="" textlink="">
      <xdr:nvSpPr>
        <xdr:cNvPr id="1387" name="AutoShape 36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363</xdr:row>
      <xdr:rowOff>0</xdr:rowOff>
    </xdr:from>
    <xdr:to>
      <xdr:col>5</xdr:col>
      <xdr:colOff>304800</xdr:colOff>
      <xdr:row>364</xdr:row>
      <xdr:rowOff>114300</xdr:rowOff>
    </xdr:to>
    <xdr:sp macro="" textlink="">
      <xdr:nvSpPr>
        <xdr:cNvPr id="1388" name="AutoShape 3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365</xdr:row>
      <xdr:rowOff>0</xdr:rowOff>
    </xdr:from>
    <xdr:to>
      <xdr:col>4</xdr:col>
      <xdr:colOff>304800</xdr:colOff>
      <xdr:row>366</xdr:row>
      <xdr:rowOff>114300</xdr:rowOff>
    </xdr:to>
    <xdr:sp macro="" textlink="">
      <xdr:nvSpPr>
        <xdr:cNvPr id="1389" name="AutoShape 3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365</xdr:row>
      <xdr:rowOff>0</xdr:rowOff>
    </xdr:from>
    <xdr:to>
      <xdr:col>5</xdr:col>
      <xdr:colOff>304800</xdr:colOff>
      <xdr:row>366</xdr:row>
      <xdr:rowOff>114300</xdr:rowOff>
    </xdr:to>
    <xdr:sp macro="" textlink="">
      <xdr:nvSpPr>
        <xdr:cNvPr id="1390" name="AutoShape 3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367</xdr:row>
      <xdr:rowOff>0</xdr:rowOff>
    </xdr:from>
    <xdr:to>
      <xdr:col>4</xdr:col>
      <xdr:colOff>304800</xdr:colOff>
      <xdr:row>368</xdr:row>
      <xdr:rowOff>76200</xdr:rowOff>
    </xdr:to>
    <xdr:sp macro="" textlink="">
      <xdr:nvSpPr>
        <xdr:cNvPr id="1391" name="AutoShape 3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367</xdr:row>
      <xdr:rowOff>0</xdr:rowOff>
    </xdr:from>
    <xdr:to>
      <xdr:col>5</xdr:col>
      <xdr:colOff>304800</xdr:colOff>
      <xdr:row>368</xdr:row>
      <xdr:rowOff>76200</xdr:rowOff>
    </xdr:to>
    <xdr:sp macro="" textlink="">
      <xdr:nvSpPr>
        <xdr:cNvPr id="1392" name="AutoShape 36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304800</xdr:colOff>
      <xdr:row>370</xdr:row>
      <xdr:rowOff>114300</xdr:rowOff>
    </xdr:to>
    <xdr:sp macro="" textlink="">
      <xdr:nvSpPr>
        <xdr:cNvPr id="1393" name="AutoShape 3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369</xdr:row>
      <xdr:rowOff>0</xdr:rowOff>
    </xdr:from>
    <xdr:to>
      <xdr:col>5</xdr:col>
      <xdr:colOff>304800</xdr:colOff>
      <xdr:row>370</xdr:row>
      <xdr:rowOff>114300</xdr:rowOff>
    </xdr:to>
    <xdr:sp macro="" textlink="">
      <xdr:nvSpPr>
        <xdr:cNvPr id="1394" name="AutoShape 37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304800</xdr:colOff>
      <xdr:row>372</xdr:row>
      <xdr:rowOff>114300</xdr:rowOff>
    </xdr:to>
    <xdr:sp macro="" textlink="">
      <xdr:nvSpPr>
        <xdr:cNvPr id="1395" name="AutoShape 37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371</xdr:row>
      <xdr:rowOff>0</xdr:rowOff>
    </xdr:from>
    <xdr:to>
      <xdr:col>5</xdr:col>
      <xdr:colOff>304800</xdr:colOff>
      <xdr:row>372</xdr:row>
      <xdr:rowOff>114300</xdr:rowOff>
    </xdr:to>
    <xdr:sp macro="" textlink="">
      <xdr:nvSpPr>
        <xdr:cNvPr id="1396" name="AutoShape 37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304800</xdr:colOff>
      <xdr:row>374</xdr:row>
      <xdr:rowOff>114300</xdr:rowOff>
    </xdr:to>
    <xdr:sp macro="" textlink="">
      <xdr:nvSpPr>
        <xdr:cNvPr id="1397" name="AutoShape 37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373</xdr:row>
      <xdr:rowOff>0</xdr:rowOff>
    </xdr:from>
    <xdr:to>
      <xdr:col>5</xdr:col>
      <xdr:colOff>304800</xdr:colOff>
      <xdr:row>374</xdr:row>
      <xdr:rowOff>114300</xdr:rowOff>
    </xdr:to>
    <xdr:sp macro="" textlink="">
      <xdr:nvSpPr>
        <xdr:cNvPr id="1398" name="AutoShape 37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304800</xdr:colOff>
      <xdr:row>376</xdr:row>
      <xdr:rowOff>114300</xdr:rowOff>
    </xdr:to>
    <xdr:sp macro="" textlink="">
      <xdr:nvSpPr>
        <xdr:cNvPr id="1399" name="AutoShape 3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375</xdr:row>
      <xdr:rowOff>0</xdr:rowOff>
    </xdr:from>
    <xdr:to>
      <xdr:col>5</xdr:col>
      <xdr:colOff>304800</xdr:colOff>
      <xdr:row>376</xdr:row>
      <xdr:rowOff>114300</xdr:rowOff>
    </xdr:to>
    <xdr:sp macro="" textlink="">
      <xdr:nvSpPr>
        <xdr:cNvPr id="1400" name="AutoShape 37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377</xdr:row>
      <xdr:rowOff>0</xdr:rowOff>
    </xdr:from>
    <xdr:to>
      <xdr:col>4</xdr:col>
      <xdr:colOff>304800</xdr:colOff>
      <xdr:row>378</xdr:row>
      <xdr:rowOff>114300</xdr:rowOff>
    </xdr:to>
    <xdr:sp macro="" textlink="">
      <xdr:nvSpPr>
        <xdr:cNvPr id="1401" name="AutoShape 37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377</xdr:row>
      <xdr:rowOff>0</xdr:rowOff>
    </xdr:from>
    <xdr:to>
      <xdr:col>5</xdr:col>
      <xdr:colOff>304800</xdr:colOff>
      <xdr:row>378</xdr:row>
      <xdr:rowOff>114300</xdr:rowOff>
    </xdr:to>
    <xdr:sp macro="" textlink="">
      <xdr:nvSpPr>
        <xdr:cNvPr id="1402" name="AutoShape 37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304800</xdr:colOff>
      <xdr:row>380</xdr:row>
      <xdr:rowOff>114300</xdr:rowOff>
    </xdr:to>
    <xdr:sp macro="" textlink="">
      <xdr:nvSpPr>
        <xdr:cNvPr id="1403" name="AutoShape 3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379</xdr:row>
      <xdr:rowOff>0</xdr:rowOff>
    </xdr:from>
    <xdr:to>
      <xdr:col>5</xdr:col>
      <xdr:colOff>304800</xdr:colOff>
      <xdr:row>380</xdr:row>
      <xdr:rowOff>114300</xdr:rowOff>
    </xdr:to>
    <xdr:sp macro="" textlink="">
      <xdr:nvSpPr>
        <xdr:cNvPr id="1404" name="AutoShape 3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304800</xdr:colOff>
      <xdr:row>382</xdr:row>
      <xdr:rowOff>114300</xdr:rowOff>
    </xdr:to>
    <xdr:sp macro="" textlink="">
      <xdr:nvSpPr>
        <xdr:cNvPr id="1405" name="AutoShape 38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304800</xdr:colOff>
      <xdr:row>382</xdr:row>
      <xdr:rowOff>114300</xdr:rowOff>
    </xdr:to>
    <xdr:sp macro="" textlink="">
      <xdr:nvSpPr>
        <xdr:cNvPr id="1406" name="AutoShape 38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304800</xdr:colOff>
      <xdr:row>384</xdr:row>
      <xdr:rowOff>114300</xdr:rowOff>
    </xdr:to>
    <xdr:sp macro="" textlink="">
      <xdr:nvSpPr>
        <xdr:cNvPr id="1407" name="AutoShape 38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383</xdr:row>
      <xdr:rowOff>0</xdr:rowOff>
    </xdr:from>
    <xdr:to>
      <xdr:col>5</xdr:col>
      <xdr:colOff>304800</xdr:colOff>
      <xdr:row>384</xdr:row>
      <xdr:rowOff>114300</xdr:rowOff>
    </xdr:to>
    <xdr:sp macro="" textlink="">
      <xdr:nvSpPr>
        <xdr:cNvPr id="1408" name="AutoShape 3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304800</xdr:colOff>
      <xdr:row>386</xdr:row>
      <xdr:rowOff>76200</xdr:rowOff>
    </xdr:to>
    <xdr:sp macro="" textlink="">
      <xdr:nvSpPr>
        <xdr:cNvPr id="1409" name="AutoShape 38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385</xdr:row>
      <xdr:rowOff>0</xdr:rowOff>
    </xdr:from>
    <xdr:to>
      <xdr:col>5</xdr:col>
      <xdr:colOff>304800</xdr:colOff>
      <xdr:row>386</xdr:row>
      <xdr:rowOff>76200</xdr:rowOff>
    </xdr:to>
    <xdr:sp macro="" textlink="">
      <xdr:nvSpPr>
        <xdr:cNvPr id="1410" name="AutoShape 3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304800</xdr:colOff>
      <xdr:row>388</xdr:row>
      <xdr:rowOff>114300</xdr:rowOff>
    </xdr:to>
    <xdr:sp macro="" textlink="">
      <xdr:nvSpPr>
        <xdr:cNvPr id="1411" name="AutoShape 38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304800</xdr:colOff>
      <xdr:row>388</xdr:row>
      <xdr:rowOff>114300</xdr:rowOff>
    </xdr:to>
    <xdr:sp macro="" textlink="">
      <xdr:nvSpPr>
        <xdr:cNvPr id="1412" name="AutoShape 3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389</xdr:row>
      <xdr:rowOff>0</xdr:rowOff>
    </xdr:from>
    <xdr:to>
      <xdr:col>4</xdr:col>
      <xdr:colOff>304800</xdr:colOff>
      <xdr:row>390</xdr:row>
      <xdr:rowOff>114300</xdr:rowOff>
    </xdr:to>
    <xdr:sp macro="" textlink="">
      <xdr:nvSpPr>
        <xdr:cNvPr id="1413" name="AutoShape 38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389</xdr:row>
      <xdr:rowOff>0</xdr:rowOff>
    </xdr:from>
    <xdr:to>
      <xdr:col>5</xdr:col>
      <xdr:colOff>304800</xdr:colOff>
      <xdr:row>390</xdr:row>
      <xdr:rowOff>114300</xdr:rowOff>
    </xdr:to>
    <xdr:sp macro="" textlink="">
      <xdr:nvSpPr>
        <xdr:cNvPr id="1414" name="AutoShape 39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391</xdr:row>
      <xdr:rowOff>0</xdr:rowOff>
    </xdr:from>
    <xdr:to>
      <xdr:col>4</xdr:col>
      <xdr:colOff>304800</xdr:colOff>
      <xdr:row>392</xdr:row>
      <xdr:rowOff>114300</xdr:rowOff>
    </xdr:to>
    <xdr:sp macro="" textlink="">
      <xdr:nvSpPr>
        <xdr:cNvPr id="1415" name="AutoShape 3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391</xdr:row>
      <xdr:rowOff>0</xdr:rowOff>
    </xdr:from>
    <xdr:to>
      <xdr:col>5</xdr:col>
      <xdr:colOff>304800</xdr:colOff>
      <xdr:row>392</xdr:row>
      <xdr:rowOff>114300</xdr:rowOff>
    </xdr:to>
    <xdr:sp macro="" textlink="">
      <xdr:nvSpPr>
        <xdr:cNvPr id="1416" name="AutoShape 3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304800</xdr:colOff>
      <xdr:row>394</xdr:row>
      <xdr:rowOff>114300</xdr:rowOff>
    </xdr:to>
    <xdr:sp macro="" textlink="">
      <xdr:nvSpPr>
        <xdr:cNvPr id="1417" name="AutoShape 3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393</xdr:row>
      <xdr:rowOff>0</xdr:rowOff>
    </xdr:from>
    <xdr:to>
      <xdr:col>5</xdr:col>
      <xdr:colOff>304800</xdr:colOff>
      <xdr:row>394</xdr:row>
      <xdr:rowOff>114300</xdr:rowOff>
    </xdr:to>
    <xdr:sp macro="" textlink="">
      <xdr:nvSpPr>
        <xdr:cNvPr id="1418" name="AutoShape 3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304800</xdr:colOff>
      <xdr:row>396</xdr:row>
      <xdr:rowOff>114300</xdr:rowOff>
    </xdr:to>
    <xdr:sp macro="" textlink="">
      <xdr:nvSpPr>
        <xdr:cNvPr id="1419" name="AutoShape 3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395</xdr:row>
      <xdr:rowOff>0</xdr:rowOff>
    </xdr:from>
    <xdr:to>
      <xdr:col>5</xdr:col>
      <xdr:colOff>304800</xdr:colOff>
      <xdr:row>396</xdr:row>
      <xdr:rowOff>114300</xdr:rowOff>
    </xdr:to>
    <xdr:sp macro="" textlink="">
      <xdr:nvSpPr>
        <xdr:cNvPr id="1420" name="AutoShape 39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304800</xdr:colOff>
      <xdr:row>398</xdr:row>
      <xdr:rowOff>114300</xdr:rowOff>
    </xdr:to>
    <xdr:sp macro="" textlink="">
      <xdr:nvSpPr>
        <xdr:cNvPr id="1421" name="AutoShape 3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397</xdr:row>
      <xdr:rowOff>0</xdr:rowOff>
    </xdr:from>
    <xdr:to>
      <xdr:col>5</xdr:col>
      <xdr:colOff>304800</xdr:colOff>
      <xdr:row>398</xdr:row>
      <xdr:rowOff>114300</xdr:rowOff>
    </xdr:to>
    <xdr:sp macro="" textlink="">
      <xdr:nvSpPr>
        <xdr:cNvPr id="1422" name="AutoShape 3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304800</xdr:colOff>
      <xdr:row>400</xdr:row>
      <xdr:rowOff>114300</xdr:rowOff>
    </xdr:to>
    <xdr:sp macro="" textlink="">
      <xdr:nvSpPr>
        <xdr:cNvPr id="1423" name="AutoShape 3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399</xdr:row>
      <xdr:rowOff>0</xdr:rowOff>
    </xdr:from>
    <xdr:to>
      <xdr:col>5</xdr:col>
      <xdr:colOff>304800</xdr:colOff>
      <xdr:row>400</xdr:row>
      <xdr:rowOff>114300</xdr:rowOff>
    </xdr:to>
    <xdr:sp macro="" textlink="">
      <xdr:nvSpPr>
        <xdr:cNvPr id="1424" name="AutoShape 40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401</xdr:row>
      <xdr:rowOff>0</xdr:rowOff>
    </xdr:from>
    <xdr:to>
      <xdr:col>4</xdr:col>
      <xdr:colOff>304800</xdr:colOff>
      <xdr:row>402</xdr:row>
      <xdr:rowOff>76200</xdr:rowOff>
    </xdr:to>
    <xdr:sp macro="" textlink="">
      <xdr:nvSpPr>
        <xdr:cNvPr id="1425" name="AutoShape 4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401</xdr:row>
      <xdr:rowOff>0</xdr:rowOff>
    </xdr:from>
    <xdr:to>
      <xdr:col>5</xdr:col>
      <xdr:colOff>304800</xdr:colOff>
      <xdr:row>402</xdr:row>
      <xdr:rowOff>76200</xdr:rowOff>
    </xdr:to>
    <xdr:sp macro="" textlink="">
      <xdr:nvSpPr>
        <xdr:cNvPr id="1426" name="AutoShape 40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304800</xdr:colOff>
      <xdr:row>404</xdr:row>
      <xdr:rowOff>76200</xdr:rowOff>
    </xdr:to>
    <xdr:sp macro="" textlink="">
      <xdr:nvSpPr>
        <xdr:cNvPr id="1427" name="AutoShape 40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403</xdr:row>
      <xdr:rowOff>0</xdr:rowOff>
    </xdr:from>
    <xdr:to>
      <xdr:col>5</xdr:col>
      <xdr:colOff>304800</xdr:colOff>
      <xdr:row>404</xdr:row>
      <xdr:rowOff>76200</xdr:rowOff>
    </xdr:to>
    <xdr:sp macro="" textlink="">
      <xdr:nvSpPr>
        <xdr:cNvPr id="1428" name="AutoShape 40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304800</xdr:colOff>
      <xdr:row>406</xdr:row>
      <xdr:rowOff>114300</xdr:rowOff>
    </xdr:to>
    <xdr:sp macro="" textlink="">
      <xdr:nvSpPr>
        <xdr:cNvPr id="1429" name="AutoShape 40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405</xdr:row>
      <xdr:rowOff>0</xdr:rowOff>
    </xdr:from>
    <xdr:to>
      <xdr:col>5</xdr:col>
      <xdr:colOff>304800</xdr:colOff>
      <xdr:row>406</xdr:row>
      <xdr:rowOff>114300</xdr:rowOff>
    </xdr:to>
    <xdr:sp macro="" textlink="">
      <xdr:nvSpPr>
        <xdr:cNvPr id="1430" name="AutoShape 4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304800</xdr:colOff>
      <xdr:row>408</xdr:row>
      <xdr:rowOff>114300</xdr:rowOff>
    </xdr:to>
    <xdr:sp macro="" textlink="">
      <xdr:nvSpPr>
        <xdr:cNvPr id="1431" name="AutoShape 40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407</xdr:row>
      <xdr:rowOff>0</xdr:rowOff>
    </xdr:from>
    <xdr:to>
      <xdr:col>5</xdr:col>
      <xdr:colOff>304800</xdr:colOff>
      <xdr:row>408</xdr:row>
      <xdr:rowOff>114300</xdr:rowOff>
    </xdr:to>
    <xdr:sp macro="" textlink="">
      <xdr:nvSpPr>
        <xdr:cNvPr id="1432" name="AutoShape 40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409</xdr:row>
      <xdr:rowOff>0</xdr:rowOff>
    </xdr:from>
    <xdr:to>
      <xdr:col>4</xdr:col>
      <xdr:colOff>304800</xdr:colOff>
      <xdr:row>410</xdr:row>
      <xdr:rowOff>114300</xdr:rowOff>
    </xdr:to>
    <xdr:sp macro="" textlink="">
      <xdr:nvSpPr>
        <xdr:cNvPr id="1433" name="AutoShape 40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409</xdr:row>
      <xdr:rowOff>0</xdr:rowOff>
    </xdr:from>
    <xdr:to>
      <xdr:col>5</xdr:col>
      <xdr:colOff>304800</xdr:colOff>
      <xdr:row>410</xdr:row>
      <xdr:rowOff>114300</xdr:rowOff>
    </xdr:to>
    <xdr:sp macro="" textlink="">
      <xdr:nvSpPr>
        <xdr:cNvPr id="1434" name="AutoShape 4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411</xdr:row>
      <xdr:rowOff>0</xdr:rowOff>
    </xdr:from>
    <xdr:to>
      <xdr:col>4</xdr:col>
      <xdr:colOff>304800</xdr:colOff>
      <xdr:row>412</xdr:row>
      <xdr:rowOff>76200</xdr:rowOff>
    </xdr:to>
    <xdr:sp macro="" textlink="">
      <xdr:nvSpPr>
        <xdr:cNvPr id="1435" name="AutoShape 4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411</xdr:row>
      <xdr:rowOff>0</xdr:rowOff>
    </xdr:from>
    <xdr:to>
      <xdr:col>5</xdr:col>
      <xdr:colOff>304800</xdr:colOff>
      <xdr:row>412</xdr:row>
      <xdr:rowOff>76200</xdr:rowOff>
    </xdr:to>
    <xdr:sp macro="" textlink="">
      <xdr:nvSpPr>
        <xdr:cNvPr id="1436" name="AutoShape 4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304800</xdr:colOff>
      <xdr:row>414</xdr:row>
      <xdr:rowOff>114300</xdr:rowOff>
    </xdr:to>
    <xdr:sp macro="" textlink="">
      <xdr:nvSpPr>
        <xdr:cNvPr id="1437" name="AutoShape 41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413</xdr:row>
      <xdr:rowOff>0</xdr:rowOff>
    </xdr:from>
    <xdr:to>
      <xdr:col>5</xdr:col>
      <xdr:colOff>304800</xdr:colOff>
      <xdr:row>414</xdr:row>
      <xdr:rowOff>114300</xdr:rowOff>
    </xdr:to>
    <xdr:sp macro="" textlink="">
      <xdr:nvSpPr>
        <xdr:cNvPr id="1438" name="AutoShape 41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304800</xdr:colOff>
      <xdr:row>416</xdr:row>
      <xdr:rowOff>114300</xdr:rowOff>
    </xdr:to>
    <xdr:sp macro="" textlink="">
      <xdr:nvSpPr>
        <xdr:cNvPr id="1439" name="AutoShape 41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415</xdr:row>
      <xdr:rowOff>0</xdr:rowOff>
    </xdr:from>
    <xdr:to>
      <xdr:col>5</xdr:col>
      <xdr:colOff>304800</xdr:colOff>
      <xdr:row>416</xdr:row>
      <xdr:rowOff>114300</xdr:rowOff>
    </xdr:to>
    <xdr:sp macro="" textlink="">
      <xdr:nvSpPr>
        <xdr:cNvPr id="1440" name="AutoShape 4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304800</xdr:colOff>
      <xdr:row>418</xdr:row>
      <xdr:rowOff>114300</xdr:rowOff>
    </xdr:to>
    <xdr:sp macro="" textlink="">
      <xdr:nvSpPr>
        <xdr:cNvPr id="1441" name="AutoShape 4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417</xdr:row>
      <xdr:rowOff>0</xdr:rowOff>
    </xdr:from>
    <xdr:to>
      <xdr:col>5</xdr:col>
      <xdr:colOff>304800</xdr:colOff>
      <xdr:row>418</xdr:row>
      <xdr:rowOff>114300</xdr:rowOff>
    </xdr:to>
    <xdr:sp macro="" textlink="">
      <xdr:nvSpPr>
        <xdr:cNvPr id="1442" name="AutoShape 41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304800</xdr:colOff>
      <xdr:row>420</xdr:row>
      <xdr:rowOff>76200</xdr:rowOff>
    </xdr:to>
    <xdr:sp macro="" textlink="">
      <xdr:nvSpPr>
        <xdr:cNvPr id="1443" name="AutoShape 41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419</xdr:row>
      <xdr:rowOff>0</xdr:rowOff>
    </xdr:from>
    <xdr:to>
      <xdr:col>5</xdr:col>
      <xdr:colOff>304800</xdr:colOff>
      <xdr:row>420</xdr:row>
      <xdr:rowOff>76200</xdr:rowOff>
    </xdr:to>
    <xdr:sp macro="" textlink="">
      <xdr:nvSpPr>
        <xdr:cNvPr id="1444" name="AutoShape 4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304800</xdr:colOff>
      <xdr:row>422</xdr:row>
      <xdr:rowOff>76200</xdr:rowOff>
    </xdr:to>
    <xdr:sp macro="" textlink="">
      <xdr:nvSpPr>
        <xdr:cNvPr id="1445" name="AutoShape 4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421</xdr:row>
      <xdr:rowOff>0</xdr:rowOff>
    </xdr:from>
    <xdr:to>
      <xdr:col>5</xdr:col>
      <xdr:colOff>304800</xdr:colOff>
      <xdr:row>422</xdr:row>
      <xdr:rowOff>76200</xdr:rowOff>
    </xdr:to>
    <xdr:sp macro="" textlink="">
      <xdr:nvSpPr>
        <xdr:cNvPr id="1446" name="AutoShape 42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304800</xdr:colOff>
      <xdr:row>424</xdr:row>
      <xdr:rowOff>114300</xdr:rowOff>
    </xdr:to>
    <xdr:sp macro="" textlink="">
      <xdr:nvSpPr>
        <xdr:cNvPr id="1447" name="AutoShape 4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423</xdr:row>
      <xdr:rowOff>0</xdr:rowOff>
    </xdr:from>
    <xdr:to>
      <xdr:col>5</xdr:col>
      <xdr:colOff>304800</xdr:colOff>
      <xdr:row>424</xdr:row>
      <xdr:rowOff>114300</xdr:rowOff>
    </xdr:to>
    <xdr:sp macro="" textlink="">
      <xdr:nvSpPr>
        <xdr:cNvPr id="1448" name="AutoShape 42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304800</xdr:colOff>
      <xdr:row>426</xdr:row>
      <xdr:rowOff>114300</xdr:rowOff>
    </xdr:to>
    <xdr:sp macro="" textlink="">
      <xdr:nvSpPr>
        <xdr:cNvPr id="1449" name="AutoShape 4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425</xdr:row>
      <xdr:rowOff>0</xdr:rowOff>
    </xdr:from>
    <xdr:to>
      <xdr:col>5</xdr:col>
      <xdr:colOff>304800</xdr:colOff>
      <xdr:row>426</xdr:row>
      <xdr:rowOff>114300</xdr:rowOff>
    </xdr:to>
    <xdr:sp macro="" textlink="">
      <xdr:nvSpPr>
        <xdr:cNvPr id="1450" name="AutoShape 4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304800</xdr:colOff>
      <xdr:row>428</xdr:row>
      <xdr:rowOff>76200</xdr:rowOff>
    </xdr:to>
    <xdr:sp macro="" textlink="">
      <xdr:nvSpPr>
        <xdr:cNvPr id="1451" name="AutoShape 42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427</xdr:row>
      <xdr:rowOff>0</xdr:rowOff>
    </xdr:from>
    <xdr:to>
      <xdr:col>5</xdr:col>
      <xdr:colOff>304800</xdr:colOff>
      <xdr:row>428</xdr:row>
      <xdr:rowOff>76200</xdr:rowOff>
    </xdr:to>
    <xdr:sp macro="" textlink="">
      <xdr:nvSpPr>
        <xdr:cNvPr id="1452" name="AutoShape 4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304800</xdr:colOff>
      <xdr:row>430</xdr:row>
      <xdr:rowOff>114300</xdr:rowOff>
    </xdr:to>
    <xdr:sp macro="" textlink="">
      <xdr:nvSpPr>
        <xdr:cNvPr id="1453" name="AutoShape 42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429</xdr:row>
      <xdr:rowOff>0</xdr:rowOff>
    </xdr:from>
    <xdr:to>
      <xdr:col>5</xdr:col>
      <xdr:colOff>304800</xdr:colOff>
      <xdr:row>430</xdr:row>
      <xdr:rowOff>114300</xdr:rowOff>
    </xdr:to>
    <xdr:sp macro="" textlink="">
      <xdr:nvSpPr>
        <xdr:cNvPr id="1454" name="AutoShape 4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431</xdr:row>
      <xdr:rowOff>0</xdr:rowOff>
    </xdr:from>
    <xdr:to>
      <xdr:col>4</xdr:col>
      <xdr:colOff>304800</xdr:colOff>
      <xdr:row>432</xdr:row>
      <xdr:rowOff>114300</xdr:rowOff>
    </xdr:to>
    <xdr:sp macro="" textlink="">
      <xdr:nvSpPr>
        <xdr:cNvPr id="1455" name="AutoShape 43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431</xdr:row>
      <xdr:rowOff>0</xdr:rowOff>
    </xdr:from>
    <xdr:to>
      <xdr:col>5</xdr:col>
      <xdr:colOff>304800</xdr:colOff>
      <xdr:row>432</xdr:row>
      <xdr:rowOff>114300</xdr:rowOff>
    </xdr:to>
    <xdr:sp macro="" textlink="">
      <xdr:nvSpPr>
        <xdr:cNvPr id="1456" name="AutoShape 43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433</xdr:row>
      <xdr:rowOff>0</xdr:rowOff>
    </xdr:from>
    <xdr:to>
      <xdr:col>4</xdr:col>
      <xdr:colOff>304800</xdr:colOff>
      <xdr:row>434</xdr:row>
      <xdr:rowOff>114300</xdr:rowOff>
    </xdr:to>
    <xdr:sp macro="" textlink="">
      <xdr:nvSpPr>
        <xdr:cNvPr id="1457" name="AutoShape 4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304800</xdr:colOff>
      <xdr:row>434</xdr:row>
      <xdr:rowOff>114300</xdr:rowOff>
    </xdr:to>
    <xdr:sp macro="" textlink="">
      <xdr:nvSpPr>
        <xdr:cNvPr id="1458" name="AutoShape 43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304800</xdr:colOff>
      <xdr:row>436</xdr:row>
      <xdr:rowOff>114300</xdr:rowOff>
    </xdr:to>
    <xdr:sp macro="" textlink="">
      <xdr:nvSpPr>
        <xdr:cNvPr id="1459" name="AutoShape 43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435</xdr:row>
      <xdr:rowOff>0</xdr:rowOff>
    </xdr:from>
    <xdr:to>
      <xdr:col>5</xdr:col>
      <xdr:colOff>304800</xdr:colOff>
      <xdr:row>436</xdr:row>
      <xdr:rowOff>114300</xdr:rowOff>
    </xdr:to>
    <xdr:sp macro="" textlink="">
      <xdr:nvSpPr>
        <xdr:cNvPr id="1460" name="AutoShape 43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304800</xdr:colOff>
      <xdr:row>438</xdr:row>
      <xdr:rowOff>114300</xdr:rowOff>
    </xdr:to>
    <xdr:sp macro="" textlink="">
      <xdr:nvSpPr>
        <xdr:cNvPr id="1461" name="AutoShape 43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437</xdr:row>
      <xdr:rowOff>0</xdr:rowOff>
    </xdr:from>
    <xdr:to>
      <xdr:col>5</xdr:col>
      <xdr:colOff>304800</xdr:colOff>
      <xdr:row>438</xdr:row>
      <xdr:rowOff>114300</xdr:rowOff>
    </xdr:to>
    <xdr:sp macro="" textlink="">
      <xdr:nvSpPr>
        <xdr:cNvPr id="1462" name="AutoShape 43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439</xdr:row>
      <xdr:rowOff>0</xdr:rowOff>
    </xdr:from>
    <xdr:to>
      <xdr:col>4</xdr:col>
      <xdr:colOff>304800</xdr:colOff>
      <xdr:row>440</xdr:row>
      <xdr:rowOff>114300</xdr:rowOff>
    </xdr:to>
    <xdr:sp macro="" textlink="">
      <xdr:nvSpPr>
        <xdr:cNvPr id="1463" name="AutoShape 4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439</xdr:row>
      <xdr:rowOff>0</xdr:rowOff>
    </xdr:from>
    <xdr:to>
      <xdr:col>5</xdr:col>
      <xdr:colOff>304800</xdr:colOff>
      <xdr:row>440</xdr:row>
      <xdr:rowOff>114300</xdr:rowOff>
    </xdr:to>
    <xdr:sp macro="" textlink="">
      <xdr:nvSpPr>
        <xdr:cNvPr id="1464" name="AutoShape 4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441</xdr:row>
      <xdr:rowOff>0</xdr:rowOff>
    </xdr:from>
    <xdr:to>
      <xdr:col>4</xdr:col>
      <xdr:colOff>304800</xdr:colOff>
      <xdr:row>442</xdr:row>
      <xdr:rowOff>114300</xdr:rowOff>
    </xdr:to>
    <xdr:sp macro="" textlink="">
      <xdr:nvSpPr>
        <xdr:cNvPr id="1465" name="AutoShape 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441</xdr:row>
      <xdr:rowOff>0</xdr:rowOff>
    </xdr:from>
    <xdr:to>
      <xdr:col>5</xdr:col>
      <xdr:colOff>304800</xdr:colOff>
      <xdr:row>442</xdr:row>
      <xdr:rowOff>114300</xdr:rowOff>
    </xdr:to>
    <xdr:sp macro="" textlink="">
      <xdr:nvSpPr>
        <xdr:cNvPr id="1466" name="AutoShape 44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443</xdr:row>
      <xdr:rowOff>0</xdr:rowOff>
    </xdr:from>
    <xdr:to>
      <xdr:col>4</xdr:col>
      <xdr:colOff>304800</xdr:colOff>
      <xdr:row>444</xdr:row>
      <xdr:rowOff>114300</xdr:rowOff>
    </xdr:to>
    <xdr:sp macro="" textlink="">
      <xdr:nvSpPr>
        <xdr:cNvPr id="1467" name="AutoShape 4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443</xdr:row>
      <xdr:rowOff>0</xdr:rowOff>
    </xdr:from>
    <xdr:to>
      <xdr:col>5</xdr:col>
      <xdr:colOff>304800</xdr:colOff>
      <xdr:row>444</xdr:row>
      <xdr:rowOff>114300</xdr:rowOff>
    </xdr:to>
    <xdr:sp macro="" textlink="">
      <xdr:nvSpPr>
        <xdr:cNvPr id="1468" name="AutoShape 44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445</xdr:row>
      <xdr:rowOff>0</xdr:rowOff>
    </xdr:from>
    <xdr:to>
      <xdr:col>4</xdr:col>
      <xdr:colOff>304800</xdr:colOff>
      <xdr:row>446</xdr:row>
      <xdr:rowOff>114300</xdr:rowOff>
    </xdr:to>
    <xdr:sp macro="" textlink="">
      <xdr:nvSpPr>
        <xdr:cNvPr id="1469" name="AutoShape 4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445</xdr:row>
      <xdr:rowOff>0</xdr:rowOff>
    </xdr:from>
    <xdr:to>
      <xdr:col>5</xdr:col>
      <xdr:colOff>304800</xdr:colOff>
      <xdr:row>446</xdr:row>
      <xdr:rowOff>114300</xdr:rowOff>
    </xdr:to>
    <xdr:sp macro="" textlink="">
      <xdr:nvSpPr>
        <xdr:cNvPr id="1470" name="AutoShape 44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304800</xdr:colOff>
      <xdr:row>448</xdr:row>
      <xdr:rowOff>114300</xdr:rowOff>
    </xdr:to>
    <xdr:sp macro="" textlink="">
      <xdr:nvSpPr>
        <xdr:cNvPr id="1471" name="AutoShape 4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447</xdr:row>
      <xdr:rowOff>0</xdr:rowOff>
    </xdr:from>
    <xdr:to>
      <xdr:col>5</xdr:col>
      <xdr:colOff>304800</xdr:colOff>
      <xdr:row>448</xdr:row>
      <xdr:rowOff>114300</xdr:rowOff>
    </xdr:to>
    <xdr:sp macro="" textlink="">
      <xdr:nvSpPr>
        <xdr:cNvPr id="1472" name="AutoShape 4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304800</xdr:colOff>
      <xdr:row>450</xdr:row>
      <xdr:rowOff>114300</xdr:rowOff>
    </xdr:to>
    <xdr:sp macro="" textlink="">
      <xdr:nvSpPr>
        <xdr:cNvPr id="1473" name="AutoShape 4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449</xdr:row>
      <xdr:rowOff>0</xdr:rowOff>
    </xdr:from>
    <xdr:to>
      <xdr:col>5</xdr:col>
      <xdr:colOff>304800</xdr:colOff>
      <xdr:row>450</xdr:row>
      <xdr:rowOff>114300</xdr:rowOff>
    </xdr:to>
    <xdr:sp macro="" textlink="">
      <xdr:nvSpPr>
        <xdr:cNvPr id="1474" name="AutoShape 45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451</xdr:row>
      <xdr:rowOff>0</xdr:rowOff>
    </xdr:from>
    <xdr:to>
      <xdr:col>4</xdr:col>
      <xdr:colOff>304800</xdr:colOff>
      <xdr:row>452</xdr:row>
      <xdr:rowOff>76200</xdr:rowOff>
    </xdr:to>
    <xdr:sp macro="" textlink="">
      <xdr:nvSpPr>
        <xdr:cNvPr id="1475" name="AutoShape 4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451</xdr:row>
      <xdr:rowOff>0</xdr:rowOff>
    </xdr:from>
    <xdr:to>
      <xdr:col>5</xdr:col>
      <xdr:colOff>304800</xdr:colOff>
      <xdr:row>452</xdr:row>
      <xdr:rowOff>76200</xdr:rowOff>
    </xdr:to>
    <xdr:sp macro="" textlink="">
      <xdr:nvSpPr>
        <xdr:cNvPr id="1476" name="AutoShape 45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453</xdr:row>
      <xdr:rowOff>0</xdr:rowOff>
    </xdr:from>
    <xdr:to>
      <xdr:col>4</xdr:col>
      <xdr:colOff>304800</xdr:colOff>
      <xdr:row>454</xdr:row>
      <xdr:rowOff>76200</xdr:rowOff>
    </xdr:to>
    <xdr:sp macro="" textlink="">
      <xdr:nvSpPr>
        <xdr:cNvPr id="1477" name="AutoShape 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453</xdr:row>
      <xdr:rowOff>0</xdr:rowOff>
    </xdr:from>
    <xdr:to>
      <xdr:col>5</xdr:col>
      <xdr:colOff>304800</xdr:colOff>
      <xdr:row>454</xdr:row>
      <xdr:rowOff>76200</xdr:rowOff>
    </xdr:to>
    <xdr:sp macro="" textlink="">
      <xdr:nvSpPr>
        <xdr:cNvPr id="1478" name="AutoShape 4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304800</xdr:colOff>
      <xdr:row>456</xdr:row>
      <xdr:rowOff>114300</xdr:rowOff>
    </xdr:to>
    <xdr:sp macro="" textlink="">
      <xdr:nvSpPr>
        <xdr:cNvPr id="1479" name="AutoShape 45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455</xdr:row>
      <xdr:rowOff>0</xdr:rowOff>
    </xdr:from>
    <xdr:to>
      <xdr:col>5</xdr:col>
      <xdr:colOff>304800</xdr:colOff>
      <xdr:row>456</xdr:row>
      <xdr:rowOff>114300</xdr:rowOff>
    </xdr:to>
    <xdr:sp macro="" textlink="">
      <xdr:nvSpPr>
        <xdr:cNvPr id="1480" name="AutoShape 4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304800</xdr:colOff>
      <xdr:row>458</xdr:row>
      <xdr:rowOff>114300</xdr:rowOff>
    </xdr:to>
    <xdr:sp macro="" textlink="">
      <xdr:nvSpPr>
        <xdr:cNvPr id="1481" name="AutoShape 4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457</xdr:row>
      <xdr:rowOff>0</xdr:rowOff>
    </xdr:from>
    <xdr:to>
      <xdr:col>5</xdr:col>
      <xdr:colOff>304800</xdr:colOff>
      <xdr:row>458</xdr:row>
      <xdr:rowOff>114300</xdr:rowOff>
    </xdr:to>
    <xdr:sp macro="" textlink="">
      <xdr:nvSpPr>
        <xdr:cNvPr id="1482" name="AutoShape 45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304800</xdr:colOff>
      <xdr:row>460</xdr:row>
      <xdr:rowOff>114300</xdr:rowOff>
    </xdr:to>
    <xdr:sp macro="" textlink="">
      <xdr:nvSpPr>
        <xdr:cNvPr id="1483" name="AutoShape 4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459</xdr:row>
      <xdr:rowOff>0</xdr:rowOff>
    </xdr:from>
    <xdr:to>
      <xdr:col>5</xdr:col>
      <xdr:colOff>304800</xdr:colOff>
      <xdr:row>460</xdr:row>
      <xdr:rowOff>114300</xdr:rowOff>
    </xdr:to>
    <xdr:sp macro="" textlink="">
      <xdr:nvSpPr>
        <xdr:cNvPr id="1484" name="AutoShape 4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304800</xdr:colOff>
      <xdr:row>462</xdr:row>
      <xdr:rowOff>114300</xdr:rowOff>
    </xdr:to>
    <xdr:sp macro="" textlink="">
      <xdr:nvSpPr>
        <xdr:cNvPr id="1485" name="AutoShape 46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461</xdr:row>
      <xdr:rowOff>0</xdr:rowOff>
    </xdr:from>
    <xdr:to>
      <xdr:col>5</xdr:col>
      <xdr:colOff>304800</xdr:colOff>
      <xdr:row>462</xdr:row>
      <xdr:rowOff>114300</xdr:rowOff>
    </xdr:to>
    <xdr:sp macro="" textlink="">
      <xdr:nvSpPr>
        <xdr:cNvPr id="1486" name="AutoShape 4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463</xdr:row>
      <xdr:rowOff>0</xdr:rowOff>
    </xdr:from>
    <xdr:to>
      <xdr:col>4</xdr:col>
      <xdr:colOff>304800</xdr:colOff>
      <xdr:row>464</xdr:row>
      <xdr:rowOff>76200</xdr:rowOff>
    </xdr:to>
    <xdr:sp macro="" textlink="">
      <xdr:nvSpPr>
        <xdr:cNvPr id="1487" name="AutoShape 46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463</xdr:row>
      <xdr:rowOff>0</xdr:rowOff>
    </xdr:from>
    <xdr:to>
      <xdr:col>5</xdr:col>
      <xdr:colOff>304800</xdr:colOff>
      <xdr:row>464</xdr:row>
      <xdr:rowOff>76200</xdr:rowOff>
    </xdr:to>
    <xdr:sp macro="" textlink="">
      <xdr:nvSpPr>
        <xdr:cNvPr id="1488" name="AutoShape 4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304800</xdr:colOff>
      <xdr:row>466</xdr:row>
      <xdr:rowOff>114300</xdr:rowOff>
    </xdr:to>
    <xdr:sp macro="" textlink="">
      <xdr:nvSpPr>
        <xdr:cNvPr id="1489" name="AutoShape 46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465</xdr:row>
      <xdr:rowOff>0</xdr:rowOff>
    </xdr:from>
    <xdr:to>
      <xdr:col>5</xdr:col>
      <xdr:colOff>304800</xdr:colOff>
      <xdr:row>466</xdr:row>
      <xdr:rowOff>114300</xdr:rowOff>
    </xdr:to>
    <xdr:sp macro="" textlink="">
      <xdr:nvSpPr>
        <xdr:cNvPr id="1490" name="AutoShape 46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467</xdr:row>
      <xdr:rowOff>0</xdr:rowOff>
    </xdr:from>
    <xdr:to>
      <xdr:col>4</xdr:col>
      <xdr:colOff>304800</xdr:colOff>
      <xdr:row>468</xdr:row>
      <xdr:rowOff>114300</xdr:rowOff>
    </xdr:to>
    <xdr:sp macro="" textlink="">
      <xdr:nvSpPr>
        <xdr:cNvPr id="1491" name="AutoShape 4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467</xdr:row>
      <xdr:rowOff>0</xdr:rowOff>
    </xdr:from>
    <xdr:to>
      <xdr:col>5</xdr:col>
      <xdr:colOff>304800</xdr:colOff>
      <xdr:row>468</xdr:row>
      <xdr:rowOff>114300</xdr:rowOff>
    </xdr:to>
    <xdr:sp macro="" textlink="">
      <xdr:nvSpPr>
        <xdr:cNvPr id="1492" name="AutoShape 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304800</xdr:colOff>
      <xdr:row>470</xdr:row>
      <xdr:rowOff>114300</xdr:rowOff>
    </xdr:to>
    <xdr:sp macro="" textlink="">
      <xdr:nvSpPr>
        <xdr:cNvPr id="1493" name="AutoShape 46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469</xdr:row>
      <xdr:rowOff>0</xdr:rowOff>
    </xdr:from>
    <xdr:to>
      <xdr:col>5</xdr:col>
      <xdr:colOff>304800</xdr:colOff>
      <xdr:row>470</xdr:row>
      <xdr:rowOff>114300</xdr:rowOff>
    </xdr:to>
    <xdr:sp macro="" textlink="">
      <xdr:nvSpPr>
        <xdr:cNvPr id="1494" name="AutoShape 4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471</xdr:row>
      <xdr:rowOff>0</xdr:rowOff>
    </xdr:from>
    <xdr:to>
      <xdr:col>4</xdr:col>
      <xdr:colOff>304800</xdr:colOff>
      <xdr:row>472</xdr:row>
      <xdr:rowOff>114300</xdr:rowOff>
    </xdr:to>
    <xdr:sp macro="" textlink="">
      <xdr:nvSpPr>
        <xdr:cNvPr id="1495" name="AutoShape 4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471</xdr:row>
      <xdr:rowOff>0</xdr:rowOff>
    </xdr:from>
    <xdr:to>
      <xdr:col>5</xdr:col>
      <xdr:colOff>304800</xdr:colOff>
      <xdr:row>472</xdr:row>
      <xdr:rowOff>114300</xdr:rowOff>
    </xdr:to>
    <xdr:sp macro="" textlink="">
      <xdr:nvSpPr>
        <xdr:cNvPr id="1496" name="AutoShape 47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304800</xdr:colOff>
      <xdr:row>474</xdr:row>
      <xdr:rowOff>114300</xdr:rowOff>
    </xdr:to>
    <xdr:sp macro="" textlink="">
      <xdr:nvSpPr>
        <xdr:cNvPr id="1497" name="AutoShape 47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473</xdr:row>
      <xdr:rowOff>0</xdr:rowOff>
    </xdr:from>
    <xdr:to>
      <xdr:col>5</xdr:col>
      <xdr:colOff>304800</xdr:colOff>
      <xdr:row>474</xdr:row>
      <xdr:rowOff>114300</xdr:rowOff>
    </xdr:to>
    <xdr:sp macro="" textlink="">
      <xdr:nvSpPr>
        <xdr:cNvPr id="1498" name="AutoShape 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304800</xdr:colOff>
      <xdr:row>476</xdr:row>
      <xdr:rowOff>76200</xdr:rowOff>
    </xdr:to>
    <xdr:sp macro="" textlink="">
      <xdr:nvSpPr>
        <xdr:cNvPr id="1499" name="AutoShape 4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475</xdr:row>
      <xdr:rowOff>0</xdr:rowOff>
    </xdr:from>
    <xdr:to>
      <xdr:col>5</xdr:col>
      <xdr:colOff>304800</xdr:colOff>
      <xdr:row>476</xdr:row>
      <xdr:rowOff>76200</xdr:rowOff>
    </xdr:to>
    <xdr:sp macro="" textlink="">
      <xdr:nvSpPr>
        <xdr:cNvPr id="1500" name="AutoShape 47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304800</xdr:colOff>
      <xdr:row>478</xdr:row>
      <xdr:rowOff>114300</xdr:rowOff>
    </xdr:to>
    <xdr:sp macro="" textlink="">
      <xdr:nvSpPr>
        <xdr:cNvPr id="1501" name="AutoShape 47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477</xdr:row>
      <xdr:rowOff>0</xdr:rowOff>
    </xdr:from>
    <xdr:to>
      <xdr:col>5</xdr:col>
      <xdr:colOff>304800</xdr:colOff>
      <xdr:row>478</xdr:row>
      <xdr:rowOff>114300</xdr:rowOff>
    </xdr:to>
    <xdr:sp macro="" textlink="">
      <xdr:nvSpPr>
        <xdr:cNvPr id="1502" name="AutoShape 4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304800</xdr:colOff>
      <xdr:row>480</xdr:row>
      <xdr:rowOff>76200</xdr:rowOff>
    </xdr:to>
    <xdr:sp macro="" textlink="">
      <xdr:nvSpPr>
        <xdr:cNvPr id="1503" name="AutoShape 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479</xdr:row>
      <xdr:rowOff>0</xdr:rowOff>
    </xdr:from>
    <xdr:to>
      <xdr:col>5</xdr:col>
      <xdr:colOff>304800</xdr:colOff>
      <xdr:row>480</xdr:row>
      <xdr:rowOff>76200</xdr:rowOff>
    </xdr:to>
    <xdr:sp macro="" textlink="">
      <xdr:nvSpPr>
        <xdr:cNvPr id="1504" name="AutoShape 4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304800</xdr:colOff>
      <xdr:row>482</xdr:row>
      <xdr:rowOff>114300</xdr:rowOff>
    </xdr:to>
    <xdr:sp macro="" textlink="">
      <xdr:nvSpPr>
        <xdr:cNvPr id="1505" name="AutoShape 4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481</xdr:row>
      <xdr:rowOff>0</xdr:rowOff>
    </xdr:from>
    <xdr:to>
      <xdr:col>5</xdr:col>
      <xdr:colOff>304800</xdr:colOff>
      <xdr:row>482</xdr:row>
      <xdr:rowOff>114300</xdr:rowOff>
    </xdr:to>
    <xdr:sp macro="" textlink="">
      <xdr:nvSpPr>
        <xdr:cNvPr id="1506" name="AutoShape 4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304800</xdr:colOff>
      <xdr:row>484</xdr:row>
      <xdr:rowOff>114300</xdr:rowOff>
    </xdr:to>
    <xdr:sp macro="" textlink="">
      <xdr:nvSpPr>
        <xdr:cNvPr id="1507" name="AutoShape 4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483</xdr:row>
      <xdr:rowOff>0</xdr:rowOff>
    </xdr:from>
    <xdr:to>
      <xdr:col>5</xdr:col>
      <xdr:colOff>304800</xdr:colOff>
      <xdr:row>484</xdr:row>
      <xdr:rowOff>114300</xdr:rowOff>
    </xdr:to>
    <xdr:sp macro="" textlink="">
      <xdr:nvSpPr>
        <xdr:cNvPr id="1508" name="AutoShape 4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304800</xdr:colOff>
      <xdr:row>486</xdr:row>
      <xdr:rowOff>114300</xdr:rowOff>
    </xdr:to>
    <xdr:sp macro="" textlink="">
      <xdr:nvSpPr>
        <xdr:cNvPr id="1509" name="AutoShape 48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485</xdr:row>
      <xdr:rowOff>0</xdr:rowOff>
    </xdr:from>
    <xdr:to>
      <xdr:col>5</xdr:col>
      <xdr:colOff>304800</xdr:colOff>
      <xdr:row>486</xdr:row>
      <xdr:rowOff>114300</xdr:rowOff>
    </xdr:to>
    <xdr:sp macro="" textlink="">
      <xdr:nvSpPr>
        <xdr:cNvPr id="1510" name="AutoShape 4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304800</xdr:colOff>
      <xdr:row>488</xdr:row>
      <xdr:rowOff>114300</xdr:rowOff>
    </xdr:to>
    <xdr:sp macro="" textlink="">
      <xdr:nvSpPr>
        <xdr:cNvPr id="1511" name="AutoShape 4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487</xdr:row>
      <xdr:rowOff>0</xdr:rowOff>
    </xdr:from>
    <xdr:to>
      <xdr:col>5</xdr:col>
      <xdr:colOff>304800</xdr:colOff>
      <xdr:row>488</xdr:row>
      <xdr:rowOff>114300</xdr:rowOff>
    </xdr:to>
    <xdr:sp macro="" textlink="">
      <xdr:nvSpPr>
        <xdr:cNvPr id="1512" name="AutoShape 48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304800</xdr:colOff>
      <xdr:row>490</xdr:row>
      <xdr:rowOff>114300</xdr:rowOff>
    </xdr:to>
    <xdr:sp macro="" textlink="">
      <xdr:nvSpPr>
        <xdr:cNvPr id="1513" name="AutoShape 48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489</xdr:row>
      <xdr:rowOff>0</xdr:rowOff>
    </xdr:from>
    <xdr:to>
      <xdr:col>5</xdr:col>
      <xdr:colOff>304800</xdr:colOff>
      <xdr:row>490</xdr:row>
      <xdr:rowOff>114300</xdr:rowOff>
    </xdr:to>
    <xdr:sp macro="" textlink="">
      <xdr:nvSpPr>
        <xdr:cNvPr id="1514" name="AutoShape 4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304800</xdr:colOff>
      <xdr:row>492</xdr:row>
      <xdr:rowOff>76200</xdr:rowOff>
    </xdr:to>
    <xdr:sp macro="" textlink="">
      <xdr:nvSpPr>
        <xdr:cNvPr id="1515" name="AutoShape 4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491</xdr:row>
      <xdr:rowOff>0</xdr:rowOff>
    </xdr:from>
    <xdr:to>
      <xdr:col>5</xdr:col>
      <xdr:colOff>304800</xdr:colOff>
      <xdr:row>492</xdr:row>
      <xdr:rowOff>76200</xdr:rowOff>
    </xdr:to>
    <xdr:sp macro="" textlink="">
      <xdr:nvSpPr>
        <xdr:cNvPr id="1516" name="AutoShape 49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304800</xdr:colOff>
      <xdr:row>494</xdr:row>
      <xdr:rowOff>114300</xdr:rowOff>
    </xdr:to>
    <xdr:sp macro="" textlink="">
      <xdr:nvSpPr>
        <xdr:cNvPr id="1517" name="AutoShape 49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493</xdr:row>
      <xdr:rowOff>0</xdr:rowOff>
    </xdr:from>
    <xdr:to>
      <xdr:col>5</xdr:col>
      <xdr:colOff>304800</xdr:colOff>
      <xdr:row>494</xdr:row>
      <xdr:rowOff>114300</xdr:rowOff>
    </xdr:to>
    <xdr:sp macro="" textlink="">
      <xdr:nvSpPr>
        <xdr:cNvPr id="1518" name="AutoShape 49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304800</xdr:colOff>
      <xdr:row>496</xdr:row>
      <xdr:rowOff>114300</xdr:rowOff>
    </xdr:to>
    <xdr:sp macro="" textlink="">
      <xdr:nvSpPr>
        <xdr:cNvPr id="1519" name="AutoShape 49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495</xdr:row>
      <xdr:rowOff>0</xdr:rowOff>
    </xdr:from>
    <xdr:to>
      <xdr:col>5</xdr:col>
      <xdr:colOff>304800</xdr:colOff>
      <xdr:row>496</xdr:row>
      <xdr:rowOff>114300</xdr:rowOff>
    </xdr:to>
    <xdr:sp macro="" textlink="">
      <xdr:nvSpPr>
        <xdr:cNvPr id="1520" name="AutoShape 49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304800</xdr:colOff>
      <xdr:row>498</xdr:row>
      <xdr:rowOff>76200</xdr:rowOff>
    </xdr:to>
    <xdr:sp macro="" textlink="">
      <xdr:nvSpPr>
        <xdr:cNvPr id="1521" name="AutoShape 49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497</xdr:row>
      <xdr:rowOff>0</xdr:rowOff>
    </xdr:from>
    <xdr:to>
      <xdr:col>5</xdr:col>
      <xdr:colOff>304800</xdr:colOff>
      <xdr:row>498</xdr:row>
      <xdr:rowOff>76200</xdr:rowOff>
    </xdr:to>
    <xdr:sp macro="" textlink="">
      <xdr:nvSpPr>
        <xdr:cNvPr id="1522" name="AutoShape 4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304800</xdr:colOff>
      <xdr:row>500</xdr:row>
      <xdr:rowOff>114300</xdr:rowOff>
    </xdr:to>
    <xdr:sp macro="" textlink="">
      <xdr:nvSpPr>
        <xdr:cNvPr id="1523" name="AutoShape 49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499</xdr:row>
      <xdr:rowOff>0</xdr:rowOff>
    </xdr:from>
    <xdr:to>
      <xdr:col>5</xdr:col>
      <xdr:colOff>304800</xdr:colOff>
      <xdr:row>500</xdr:row>
      <xdr:rowOff>114300</xdr:rowOff>
    </xdr:to>
    <xdr:sp macro="" textlink="">
      <xdr:nvSpPr>
        <xdr:cNvPr id="1524" name="AutoShape 5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304800</xdr:colOff>
      <xdr:row>502</xdr:row>
      <xdr:rowOff>114300</xdr:rowOff>
    </xdr:to>
    <xdr:sp macro="" textlink="">
      <xdr:nvSpPr>
        <xdr:cNvPr id="1525" name="AutoShape 50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501</xdr:row>
      <xdr:rowOff>0</xdr:rowOff>
    </xdr:from>
    <xdr:to>
      <xdr:col>5</xdr:col>
      <xdr:colOff>304800</xdr:colOff>
      <xdr:row>502</xdr:row>
      <xdr:rowOff>114300</xdr:rowOff>
    </xdr:to>
    <xdr:sp macro="" textlink="">
      <xdr:nvSpPr>
        <xdr:cNvPr id="1526" name="AutoShape 50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304800</xdr:colOff>
      <xdr:row>504</xdr:row>
      <xdr:rowOff>76200</xdr:rowOff>
    </xdr:to>
    <xdr:sp macro="" textlink="">
      <xdr:nvSpPr>
        <xdr:cNvPr id="1527" name="AutoShape 50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304800</xdr:colOff>
      <xdr:row>504</xdr:row>
      <xdr:rowOff>76200</xdr:rowOff>
    </xdr:to>
    <xdr:sp macro="" textlink="">
      <xdr:nvSpPr>
        <xdr:cNvPr id="1528" name="AutoShape 50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505</xdr:row>
      <xdr:rowOff>0</xdr:rowOff>
    </xdr:from>
    <xdr:to>
      <xdr:col>4</xdr:col>
      <xdr:colOff>304800</xdr:colOff>
      <xdr:row>506</xdr:row>
      <xdr:rowOff>114300</xdr:rowOff>
    </xdr:to>
    <xdr:sp macro="" textlink="">
      <xdr:nvSpPr>
        <xdr:cNvPr id="1529" name="AutoShape 5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505</xdr:row>
      <xdr:rowOff>0</xdr:rowOff>
    </xdr:from>
    <xdr:to>
      <xdr:col>5</xdr:col>
      <xdr:colOff>304800</xdr:colOff>
      <xdr:row>506</xdr:row>
      <xdr:rowOff>114300</xdr:rowOff>
    </xdr:to>
    <xdr:sp macro="" textlink="">
      <xdr:nvSpPr>
        <xdr:cNvPr id="1530" name="AutoShape 5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304800</xdr:colOff>
      <xdr:row>508</xdr:row>
      <xdr:rowOff>114300</xdr:rowOff>
    </xdr:to>
    <xdr:sp macro="" textlink="">
      <xdr:nvSpPr>
        <xdr:cNvPr id="1531" name="AutoShape 50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507</xdr:row>
      <xdr:rowOff>0</xdr:rowOff>
    </xdr:from>
    <xdr:to>
      <xdr:col>5</xdr:col>
      <xdr:colOff>304800</xdr:colOff>
      <xdr:row>508</xdr:row>
      <xdr:rowOff>114300</xdr:rowOff>
    </xdr:to>
    <xdr:sp macro="" textlink="">
      <xdr:nvSpPr>
        <xdr:cNvPr id="1532" name="AutoShape 5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304800</xdr:colOff>
      <xdr:row>510</xdr:row>
      <xdr:rowOff>114300</xdr:rowOff>
    </xdr:to>
    <xdr:sp macro="" textlink="">
      <xdr:nvSpPr>
        <xdr:cNvPr id="1533" name="AutoShape 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509</xdr:row>
      <xdr:rowOff>0</xdr:rowOff>
    </xdr:from>
    <xdr:to>
      <xdr:col>5</xdr:col>
      <xdr:colOff>304800</xdr:colOff>
      <xdr:row>510</xdr:row>
      <xdr:rowOff>114300</xdr:rowOff>
    </xdr:to>
    <xdr:sp macro="" textlink="">
      <xdr:nvSpPr>
        <xdr:cNvPr id="1534" name="AutoShape 5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304800</xdr:colOff>
      <xdr:row>512</xdr:row>
      <xdr:rowOff>114300</xdr:rowOff>
    </xdr:to>
    <xdr:sp macro="" textlink="">
      <xdr:nvSpPr>
        <xdr:cNvPr id="1535" name="AutoShape 51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511</xdr:row>
      <xdr:rowOff>0</xdr:rowOff>
    </xdr:from>
    <xdr:to>
      <xdr:col>5</xdr:col>
      <xdr:colOff>304800</xdr:colOff>
      <xdr:row>512</xdr:row>
      <xdr:rowOff>114300</xdr:rowOff>
    </xdr:to>
    <xdr:sp macro="" textlink="">
      <xdr:nvSpPr>
        <xdr:cNvPr id="1536" name="AutoShape 51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304800</xdr:colOff>
      <xdr:row>514</xdr:row>
      <xdr:rowOff>114300</xdr:rowOff>
    </xdr:to>
    <xdr:sp macro="" textlink="">
      <xdr:nvSpPr>
        <xdr:cNvPr id="1537" name="AutoShape 51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513</xdr:row>
      <xdr:rowOff>0</xdr:rowOff>
    </xdr:from>
    <xdr:to>
      <xdr:col>5</xdr:col>
      <xdr:colOff>304800</xdr:colOff>
      <xdr:row>514</xdr:row>
      <xdr:rowOff>114300</xdr:rowOff>
    </xdr:to>
    <xdr:sp macro="" textlink="">
      <xdr:nvSpPr>
        <xdr:cNvPr id="1538" name="AutoShape 5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515</xdr:row>
      <xdr:rowOff>0</xdr:rowOff>
    </xdr:from>
    <xdr:to>
      <xdr:col>4</xdr:col>
      <xdr:colOff>304800</xdr:colOff>
      <xdr:row>516</xdr:row>
      <xdr:rowOff>114300</xdr:rowOff>
    </xdr:to>
    <xdr:sp macro="" textlink="">
      <xdr:nvSpPr>
        <xdr:cNvPr id="1539" name="AutoShape 51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515</xdr:row>
      <xdr:rowOff>0</xdr:rowOff>
    </xdr:from>
    <xdr:to>
      <xdr:col>5</xdr:col>
      <xdr:colOff>304800</xdr:colOff>
      <xdr:row>516</xdr:row>
      <xdr:rowOff>114300</xdr:rowOff>
    </xdr:to>
    <xdr:sp macro="" textlink="">
      <xdr:nvSpPr>
        <xdr:cNvPr id="1540" name="AutoShape 5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304800</xdr:colOff>
      <xdr:row>518</xdr:row>
      <xdr:rowOff>114300</xdr:rowOff>
    </xdr:to>
    <xdr:sp macro="" textlink="">
      <xdr:nvSpPr>
        <xdr:cNvPr id="1541" name="AutoShape 51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517</xdr:row>
      <xdr:rowOff>0</xdr:rowOff>
    </xdr:from>
    <xdr:to>
      <xdr:col>5</xdr:col>
      <xdr:colOff>304800</xdr:colOff>
      <xdr:row>518</xdr:row>
      <xdr:rowOff>114300</xdr:rowOff>
    </xdr:to>
    <xdr:sp macro="" textlink="">
      <xdr:nvSpPr>
        <xdr:cNvPr id="1542" name="AutoShape 5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304800</xdr:colOff>
      <xdr:row>520</xdr:row>
      <xdr:rowOff>76200</xdr:rowOff>
    </xdr:to>
    <xdr:sp macro="" textlink="">
      <xdr:nvSpPr>
        <xdr:cNvPr id="1543" name="AutoShape 51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519</xdr:row>
      <xdr:rowOff>0</xdr:rowOff>
    </xdr:from>
    <xdr:to>
      <xdr:col>5</xdr:col>
      <xdr:colOff>304800</xdr:colOff>
      <xdr:row>520</xdr:row>
      <xdr:rowOff>76200</xdr:rowOff>
    </xdr:to>
    <xdr:sp macro="" textlink="">
      <xdr:nvSpPr>
        <xdr:cNvPr id="1544" name="AutoShape 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304800</xdr:colOff>
      <xdr:row>522</xdr:row>
      <xdr:rowOff>114300</xdr:rowOff>
    </xdr:to>
    <xdr:sp macro="" textlink="">
      <xdr:nvSpPr>
        <xdr:cNvPr id="1545" name="AutoShape 5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521</xdr:row>
      <xdr:rowOff>0</xdr:rowOff>
    </xdr:from>
    <xdr:to>
      <xdr:col>5</xdr:col>
      <xdr:colOff>304800</xdr:colOff>
      <xdr:row>522</xdr:row>
      <xdr:rowOff>114300</xdr:rowOff>
    </xdr:to>
    <xdr:sp macro="" textlink="">
      <xdr:nvSpPr>
        <xdr:cNvPr id="1546" name="AutoShape 52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304800</xdr:colOff>
      <xdr:row>524</xdr:row>
      <xdr:rowOff>114300</xdr:rowOff>
    </xdr:to>
    <xdr:sp macro="" textlink="">
      <xdr:nvSpPr>
        <xdr:cNvPr id="1547" name="AutoShape 52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523</xdr:row>
      <xdr:rowOff>0</xdr:rowOff>
    </xdr:from>
    <xdr:to>
      <xdr:col>5</xdr:col>
      <xdr:colOff>304800</xdr:colOff>
      <xdr:row>524</xdr:row>
      <xdr:rowOff>114300</xdr:rowOff>
    </xdr:to>
    <xdr:sp macro="" textlink="">
      <xdr:nvSpPr>
        <xdr:cNvPr id="1548" name="AutoShape 52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304800</xdr:colOff>
      <xdr:row>526</xdr:row>
      <xdr:rowOff>76200</xdr:rowOff>
    </xdr:to>
    <xdr:sp macro="" textlink="">
      <xdr:nvSpPr>
        <xdr:cNvPr id="1549" name="AutoShape 52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525</xdr:row>
      <xdr:rowOff>0</xdr:rowOff>
    </xdr:from>
    <xdr:to>
      <xdr:col>5</xdr:col>
      <xdr:colOff>304800</xdr:colOff>
      <xdr:row>526</xdr:row>
      <xdr:rowOff>76200</xdr:rowOff>
    </xdr:to>
    <xdr:sp macro="" textlink="">
      <xdr:nvSpPr>
        <xdr:cNvPr id="1550" name="AutoShape 52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304800</xdr:colOff>
      <xdr:row>528</xdr:row>
      <xdr:rowOff>114300</xdr:rowOff>
    </xdr:to>
    <xdr:sp macro="" textlink="">
      <xdr:nvSpPr>
        <xdr:cNvPr id="1551" name="AutoShape 52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527</xdr:row>
      <xdr:rowOff>0</xdr:rowOff>
    </xdr:from>
    <xdr:to>
      <xdr:col>5</xdr:col>
      <xdr:colOff>304800</xdr:colOff>
      <xdr:row>528</xdr:row>
      <xdr:rowOff>114300</xdr:rowOff>
    </xdr:to>
    <xdr:sp macro="" textlink="">
      <xdr:nvSpPr>
        <xdr:cNvPr id="1552" name="AutoShape 5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529</xdr:row>
      <xdr:rowOff>0</xdr:rowOff>
    </xdr:from>
    <xdr:to>
      <xdr:col>4</xdr:col>
      <xdr:colOff>304800</xdr:colOff>
      <xdr:row>530</xdr:row>
      <xdr:rowOff>76200</xdr:rowOff>
    </xdr:to>
    <xdr:sp macro="" textlink="">
      <xdr:nvSpPr>
        <xdr:cNvPr id="1553" name="AutoShape 5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529</xdr:row>
      <xdr:rowOff>0</xdr:rowOff>
    </xdr:from>
    <xdr:to>
      <xdr:col>5</xdr:col>
      <xdr:colOff>304800</xdr:colOff>
      <xdr:row>530</xdr:row>
      <xdr:rowOff>76200</xdr:rowOff>
    </xdr:to>
    <xdr:sp macro="" textlink="">
      <xdr:nvSpPr>
        <xdr:cNvPr id="1554" name="AutoShape 53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304800</xdr:colOff>
      <xdr:row>532</xdr:row>
      <xdr:rowOff>114300</xdr:rowOff>
    </xdr:to>
    <xdr:sp macro="" textlink="">
      <xdr:nvSpPr>
        <xdr:cNvPr id="1555" name="AutoShape 5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531</xdr:row>
      <xdr:rowOff>0</xdr:rowOff>
    </xdr:from>
    <xdr:to>
      <xdr:col>5</xdr:col>
      <xdr:colOff>304800</xdr:colOff>
      <xdr:row>532</xdr:row>
      <xdr:rowOff>114300</xdr:rowOff>
    </xdr:to>
    <xdr:sp macro="" textlink="">
      <xdr:nvSpPr>
        <xdr:cNvPr id="1556" name="AutoShape 53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304800</xdr:colOff>
      <xdr:row>534</xdr:row>
      <xdr:rowOff>114300</xdr:rowOff>
    </xdr:to>
    <xdr:sp macro="" textlink="">
      <xdr:nvSpPr>
        <xdr:cNvPr id="1557" name="AutoShape 53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533</xdr:row>
      <xdr:rowOff>0</xdr:rowOff>
    </xdr:from>
    <xdr:to>
      <xdr:col>5</xdr:col>
      <xdr:colOff>304800</xdr:colOff>
      <xdr:row>534</xdr:row>
      <xdr:rowOff>114300</xdr:rowOff>
    </xdr:to>
    <xdr:sp macro="" textlink="">
      <xdr:nvSpPr>
        <xdr:cNvPr id="1558" name="AutoShape 53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304800</xdr:colOff>
      <xdr:row>536</xdr:row>
      <xdr:rowOff>76200</xdr:rowOff>
    </xdr:to>
    <xdr:sp macro="" textlink="">
      <xdr:nvSpPr>
        <xdr:cNvPr id="1559" name="AutoShape 53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535</xdr:row>
      <xdr:rowOff>0</xdr:rowOff>
    </xdr:from>
    <xdr:to>
      <xdr:col>5</xdr:col>
      <xdr:colOff>304800</xdr:colOff>
      <xdr:row>536</xdr:row>
      <xdr:rowOff>76200</xdr:rowOff>
    </xdr:to>
    <xdr:sp macro="" textlink="">
      <xdr:nvSpPr>
        <xdr:cNvPr id="1560" name="AutoShape 5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304800</xdr:colOff>
      <xdr:row>538</xdr:row>
      <xdr:rowOff>114300</xdr:rowOff>
    </xdr:to>
    <xdr:sp macro="" textlink="">
      <xdr:nvSpPr>
        <xdr:cNvPr id="1561" name="AutoShape 53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537</xdr:row>
      <xdr:rowOff>0</xdr:rowOff>
    </xdr:from>
    <xdr:to>
      <xdr:col>5</xdr:col>
      <xdr:colOff>304800</xdr:colOff>
      <xdr:row>538</xdr:row>
      <xdr:rowOff>114300</xdr:rowOff>
    </xdr:to>
    <xdr:sp macro="" textlink="">
      <xdr:nvSpPr>
        <xdr:cNvPr id="1562" name="AutoShape 53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304800</xdr:colOff>
      <xdr:row>540</xdr:row>
      <xdr:rowOff>114300</xdr:rowOff>
    </xdr:to>
    <xdr:sp macro="" textlink="">
      <xdr:nvSpPr>
        <xdr:cNvPr id="1563" name="AutoShape 53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539</xdr:row>
      <xdr:rowOff>0</xdr:rowOff>
    </xdr:from>
    <xdr:to>
      <xdr:col>5</xdr:col>
      <xdr:colOff>304800</xdr:colOff>
      <xdr:row>540</xdr:row>
      <xdr:rowOff>114300</xdr:rowOff>
    </xdr:to>
    <xdr:sp macro="" textlink="">
      <xdr:nvSpPr>
        <xdr:cNvPr id="1564" name="AutoShape 5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304800</xdr:colOff>
      <xdr:row>542</xdr:row>
      <xdr:rowOff>76200</xdr:rowOff>
    </xdr:to>
    <xdr:sp macro="" textlink="">
      <xdr:nvSpPr>
        <xdr:cNvPr id="1565" name="AutoShape 54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541</xdr:row>
      <xdr:rowOff>0</xdr:rowOff>
    </xdr:from>
    <xdr:to>
      <xdr:col>5</xdr:col>
      <xdr:colOff>304800</xdr:colOff>
      <xdr:row>542</xdr:row>
      <xdr:rowOff>76200</xdr:rowOff>
    </xdr:to>
    <xdr:sp macro="" textlink="">
      <xdr:nvSpPr>
        <xdr:cNvPr id="1566" name="AutoShape 54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304800</xdr:colOff>
      <xdr:row>544</xdr:row>
      <xdr:rowOff>76200</xdr:rowOff>
    </xdr:to>
    <xdr:sp macro="" textlink="">
      <xdr:nvSpPr>
        <xdr:cNvPr id="1567" name="AutoShape 5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543</xdr:row>
      <xdr:rowOff>0</xdr:rowOff>
    </xdr:from>
    <xdr:to>
      <xdr:col>5</xdr:col>
      <xdr:colOff>304800</xdr:colOff>
      <xdr:row>544</xdr:row>
      <xdr:rowOff>76200</xdr:rowOff>
    </xdr:to>
    <xdr:sp macro="" textlink="">
      <xdr:nvSpPr>
        <xdr:cNvPr id="1568" name="AutoShape 54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545</xdr:row>
      <xdr:rowOff>0</xdr:rowOff>
    </xdr:from>
    <xdr:to>
      <xdr:col>4</xdr:col>
      <xdr:colOff>304800</xdr:colOff>
      <xdr:row>546</xdr:row>
      <xdr:rowOff>114300</xdr:rowOff>
    </xdr:to>
    <xdr:sp macro="" textlink="">
      <xdr:nvSpPr>
        <xdr:cNvPr id="1569" name="AutoShape 5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545</xdr:row>
      <xdr:rowOff>0</xdr:rowOff>
    </xdr:from>
    <xdr:to>
      <xdr:col>5</xdr:col>
      <xdr:colOff>304800</xdr:colOff>
      <xdr:row>546</xdr:row>
      <xdr:rowOff>114300</xdr:rowOff>
    </xdr:to>
    <xdr:sp macro="" textlink="">
      <xdr:nvSpPr>
        <xdr:cNvPr id="1570" name="AutoShape 54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304800</xdr:colOff>
      <xdr:row>548</xdr:row>
      <xdr:rowOff>114300</xdr:rowOff>
    </xdr:to>
    <xdr:sp macro="" textlink="">
      <xdr:nvSpPr>
        <xdr:cNvPr id="1571" name="AutoShape 5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547</xdr:row>
      <xdr:rowOff>0</xdr:rowOff>
    </xdr:from>
    <xdr:to>
      <xdr:col>5</xdr:col>
      <xdr:colOff>304800</xdr:colOff>
      <xdr:row>548</xdr:row>
      <xdr:rowOff>114300</xdr:rowOff>
    </xdr:to>
    <xdr:sp macro="" textlink="">
      <xdr:nvSpPr>
        <xdr:cNvPr id="1572" name="AutoShape 5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304800</xdr:colOff>
      <xdr:row>550</xdr:row>
      <xdr:rowOff>76200</xdr:rowOff>
    </xdr:to>
    <xdr:sp macro="" textlink="">
      <xdr:nvSpPr>
        <xdr:cNvPr id="1573" name="AutoShape 5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549</xdr:row>
      <xdr:rowOff>0</xdr:rowOff>
    </xdr:from>
    <xdr:to>
      <xdr:col>5</xdr:col>
      <xdr:colOff>304800</xdr:colOff>
      <xdr:row>550</xdr:row>
      <xdr:rowOff>76200</xdr:rowOff>
    </xdr:to>
    <xdr:sp macro="" textlink="">
      <xdr:nvSpPr>
        <xdr:cNvPr id="1574" name="AutoShape 55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551</xdr:row>
      <xdr:rowOff>0</xdr:rowOff>
    </xdr:from>
    <xdr:to>
      <xdr:col>4</xdr:col>
      <xdr:colOff>304800</xdr:colOff>
      <xdr:row>552</xdr:row>
      <xdr:rowOff>76200</xdr:rowOff>
    </xdr:to>
    <xdr:sp macro="" textlink="">
      <xdr:nvSpPr>
        <xdr:cNvPr id="1575" name="AutoShape 5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304800</xdr:colOff>
      <xdr:row>552</xdr:row>
      <xdr:rowOff>76200</xdr:rowOff>
    </xdr:to>
    <xdr:sp macro="" textlink="">
      <xdr:nvSpPr>
        <xdr:cNvPr id="1576" name="AutoShape 5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304800</xdr:colOff>
      <xdr:row>554</xdr:row>
      <xdr:rowOff>114300</xdr:rowOff>
    </xdr:to>
    <xdr:sp macro="" textlink="">
      <xdr:nvSpPr>
        <xdr:cNvPr id="1577" name="AutoShape 5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553</xdr:row>
      <xdr:rowOff>0</xdr:rowOff>
    </xdr:from>
    <xdr:to>
      <xdr:col>5</xdr:col>
      <xdr:colOff>304800</xdr:colOff>
      <xdr:row>554</xdr:row>
      <xdr:rowOff>114300</xdr:rowOff>
    </xdr:to>
    <xdr:sp macro="" textlink="">
      <xdr:nvSpPr>
        <xdr:cNvPr id="1578" name="AutoShape 55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555</xdr:row>
      <xdr:rowOff>0</xdr:rowOff>
    </xdr:from>
    <xdr:to>
      <xdr:col>4</xdr:col>
      <xdr:colOff>304800</xdr:colOff>
      <xdr:row>556</xdr:row>
      <xdr:rowOff>114300</xdr:rowOff>
    </xdr:to>
    <xdr:sp macro="" textlink="">
      <xdr:nvSpPr>
        <xdr:cNvPr id="1579" name="AutoShape 5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555</xdr:row>
      <xdr:rowOff>0</xdr:rowOff>
    </xdr:from>
    <xdr:to>
      <xdr:col>5</xdr:col>
      <xdr:colOff>304800</xdr:colOff>
      <xdr:row>556</xdr:row>
      <xdr:rowOff>114300</xdr:rowOff>
    </xdr:to>
    <xdr:sp macro="" textlink="">
      <xdr:nvSpPr>
        <xdr:cNvPr id="1580" name="AutoShape 55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304800</xdr:colOff>
      <xdr:row>558</xdr:row>
      <xdr:rowOff>114300</xdr:rowOff>
    </xdr:to>
    <xdr:sp macro="" textlink="">
      <xdr:nvSpPr>
        <xdr:cNvPr id="1581" name="AutoShape 55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557</xdr:row>
      <xdr:rowOff>0</xdr:rowOff>
    </xdr:from>
    <xdr:to>
      <xdr:col>5</xdr:col>
      <xdr:colOff>304800</xdr:colOff>
      <xdr:row>558</xdr:row>
      <xdr:rowOff>114300</xdr:rowOff>
    </xdr:to>
    <xdr:sp macro="" textlink="">
      <xdr:nvSpPr>
        <xdr:cNvPr id="1582" name="AutoShape 55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304800</xdr:colOff>
      <xdr:row>560</xdr:row>
      <xdr:rowOff>114300</xdr:rowOff>
    </xdr:to>
    <xdr:sp macro="" textlink="">
      <xdr:nvSpPr>
        <xdr:cNvPr id="1583" name="AutoShape 55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559</xdr:row>
      <xdr:rowOff>0</xdr:rowOff>
    </xdr:from>
    <xdr:to>
      <xdr:col>5</xdr:col>
      <xdr:colOff>304800</xdr:colOff>
      <xdr:row>560</xdr:row>
      <xdr:rowOff>114300</xdr:rowOff>
    </xdr:to>
    <xdr:sp macro="" textlink="">
      <xdr:nvSpPr>
        <xdr:cNvPr id="1584" name="AutoShape 5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561</xdr:row>
      <xdr:rowOff>0</xdr:rowOff>
    </xdr:from>
    <xdr:to>
      <xdr:col>4</xdr:col>
      <xdr:colOff>304800</xdr:colOff>
      <xdr:row>562</xdr:row>
      <xdr:rowOff>114300</xdr:rowOff>
    </xdr:to>
    <xdr:sp macro="" textlink="">
      <xdr:nvSpPr>
        <xdr:cNvPr id="1585" name="AutoShape 56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561</xdr:row>
      <xdr:rowOff>0</xdr:rowOff>
    </xdr:from>
    <xdr:to>
      <xdr:col>5</xdr:col>
      <xdr:colOff>304800</xdr:colOff>
      <xdr:row>562</xdr:row>
      <xdr:rowOff>114300</xdr:rowOff>
    </xdr:to>
    <xdr:sp macro="" textlink="">
      <xdr:nvSpPr>
        <xdr:cNvPr id="1586" name="AutoShape 5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563</xdr:row>
      <xdr:rowOff>0</xdr:rowOff>
    </xdr:from>
    <xdr:to>
      <xdr:col>4</xdr:col>
      <xdr:colOff>304800</xdr:colOff>
      <xdr:row>564</xdr:row>
      <xdr:rowOff>114300</xdr:rowOff>
    </xdr:to>
    <xdr:sp macro="" textlink="">
      <xdr:nvSpPr>
        <xdr:cNvPr id="1587" name="AutoShape 56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563</xdr:row>
      <xdr:rowOff>0</xdr:rowOff>
    </xdr:from>
    <xdr:to>
      <xdr:col>5</xdr:col>
      <xdr:colOff>304800</xdr:colOff>
      <xdr:row>564</xdr:row>
      <xdr:rowOff>114300</xdr:rowOff>
    </xdr:to>
    <xdr:sp macro="" textlink="">
      <xdr:nvSpPr>
        <xdr:cNvPr id="1588" name="AutoShape 5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565</xdr:row>
      <xdr:rowOff>0</xdr:rowOff>
    </xdr:from>
    <xdr:to>
      <xdr:col>4</xdr:col>
      <xdr:colOff>304800</xdr:colOff>
      <xdr:row>566</xdr:row>
      <xdr:rowOff>114300</xdr:rowOff>
    </xdr:to>
    <xdr:sp macro="" textlink="">
      <xdr:nvSpPr>
        <xdr:cNvPr id="1589" name="AutoShape 5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565</xdr:row>
      <xdr:rowOff>0</xdr:rowOff>
    </xdr:from>
    <xdr:to>
      <xdr:col>5</xdr:col>
      <xdr:colOff>304800</xdr:colOff>
      <xdr:row>566</xdr:row>
      <xdr:rowOff>114300</xdr:rowOff>
    </xdr:to>
    <xdr:sp macro="" textlink="">
      <xdr:nvSpPr>
        <xdr:cNvPr id="1590" name="AutoShape 5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304800</xdr:colOff>
      <xdr:row>568</xdr:row>
      <xdr:rowOff>76200</xdr:rowOff>
    </xdr:to>
    <xdr:sp macro="" textlink="">
      <xdr:nvSpPr>
        <xdr:cNvPr id="1591" name="AutoShape 56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567</xdr:row>
      <xdr:rowOff>0</xdr:rowOff>
    </xdr:from>
    <xdr:to>
      <xdr:col>5</xdr:col>
      <xdr:colOff>304800</xdr:colOff>
      <xdr:row>568</xdr:row>
      <xdr:rowOff>76200</xdr:rowOff>
    </xdr:to>
    <xdr:sp macro="" textlink="">
      <xdr:nvSpPr>
        <xdr:cNvPr id="1592" name="AutoShape 5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569</xdr:row>
      <xdr:rowOff>0</xdr:rowOff>
    </xdr:from>
    <xdr:to>
      <xdr:col>4</xdr:col>
      <xdr:colOff>304800</xdr:colOff>
      <xdr:row>570</xdr:row>
      <xdr:rowOff>114300</xdr:rowOff>
    </xdr:to>
    <xdr:sp macro="" textlink="">
      <xdr:nvSpPr>
        <xdr:cNvPr id="1593" name="AutoShape 5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569</xdr:row>
      <xdr:rowOff>0</xdr:rowOff>
    </xdr:from>
    <xdr:to>
      <xdr:col>5</xdr:col>
      <xdr:colOff>304800</xdr:colOff>
      <xdr:row>570</xdr:row>
      <xdr:rowOff>114300</xdr:rowOff>
    </xdr:to>
    <xdr:sp macro="" textlink="">
      <xdr:nvSpPr>
        <xdr:cNvPr id="1594" name="AutoShape 5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304800</xdr:colOff>
      <xdr:row>572</xdr:row>
      <xdr:rowOff>76200</xdr:rowOff>
    </xdr:to>
    <xdr:sp macro="" textlink="">
      <xdr:nvSpPr>
        <xdr:cNvPr id="1595" name="AutoShape 57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571</xdr:row>
      <xdr:rowOff>0</xdr:rowOff>
    </xdr:from>
    <xdr:to>
      <xdr:col>5</xdr:col>
      <xdr:colOff>304800</xdr:colOff>
      <xdr:row>572</xdr:row>
      <xdr:rowOff>76200</xdr:rowOff>
    </xdr:to>
    <xdr:sp macro="" textlink="">
      <xdr:nvSpPr>
        <xdr:cNvPr id="1596" name="AutoShape 57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304800</xdr:colOff>
      <xdr:row>574</xdr:row>
      <xdr:rowOff>114300</xdr:rowOff>
    </xdr:to>
    <xdr:sp macro="" textlink="">
      <xdr:nvSpPr>
        <xdr:cNvPr id="1597" name="AutoShape 57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573</xdr:row>
      <xdr:rowOff>0</xdr:rowOff>
    </xdr:from>
    <xdr:to>
      <xdr:col>5</xdr:col>
      <xdr:colOff>304800</xdr:colOff>
      <xdr:row>574</xdr:row>
      <xdr:rowOff>114300</xdr:rowOff>
    </xdr:to>
    <xdr:sp macro="" textlink="">
      <xdr:nvSpPr>
        <xdr:cNvPr id="1598" name="AutoShape 57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575</xdr:row>
      <xdr:rowOff>0</xdr:rowOff>
    </xdr:from>
    <xdr:to>
      <xdr:col>4</xdr:col>
      <xdr:colOff>304800</xdr:colOff>
      <xdr:row>576</xdr:row>
      <xdr:rowOff>76200</xdr:rowOff>
    </xdr:to>
    <xdr:sp macro="" textlink="">
      <xdr:nvSpPr>
        <xdr:cNvPr id="1599" name="AutoShape 5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575</xdr:row>
      <xdr:rowOff>0</xdr:rowOff>
    </xdr:from>
    <xdr:to>
      <xdr:col>5</xdr:col>
      <xdr:colOff>304800</xdr:colOff>
      <xdr:row>576</xdr:row>
      <xdr:rowOff>76200</xdr:rowOff>
    </xdr:to>
    <xdr:sp macro="" textlink="">
      <xdr:nvSpPr>
        <xdr:cNvPr id="1600" name="AutoShape 5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304800</xdr:colOff>
      <xdr:row>578</xdr:row>
      <xdr:rowOff>114300</xdr:rowOff>
    </xdr:to>
    <xdr:sp macro="" textlink="">
      <xdr:nvSpPr>
        <xdr:cNvPr id="1601" name="AutoShape 57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577</xdr:row>
      <xdr:rowOff>0</xdr:rowOff>
    </xdr:from>
    <xdr:to>
      <xdr:col>5</xdr:col>
      <xdr:colOff>304800</xdr:colOff>
      <xdr:row>578</xdr:row>
      <xdr:rowOff>114300</xdr:rowOff>
    </xdr:to>
    <xdr:sp macro="" textlink="">
      <xdr:nvSpPr>
        <xdr:cNvPr id="1602" name="AutoShape 57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579</xdr:row>
      <xdr:rowOff>0</xdr:rowOff>
    </xdr:from>
    <xdr:to>
      <xdr:col>4</xdr:col>
      <xdr:colOff>304800</xdr:colOff>
      <xdr:row>580</xdr:row>
      <xdr:rowOff>114300</xdr:rowOff>
    </xdr:to>
    <xdr:sp macro="" textlink="">
      <xdr:nvSpPr>
        <xdr:cNvPr id="1603" name="AutoShape 57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579</xdr:row>
      <xdr:rowOff>0</xdr:rowOff>
    </xdr:from>
    <xdr:to>
      <xdr:col>5</xdr:col>
      <xdr:colOff>304800</xdr:colOff>
      <xdr:row>580</xdr:row>
      <xdr:rowOff>114300</xdr:rowOff>
    </xdr:to>
    <xdr:sp macro="" textlink="">
      <xdr:nvSpPr>
        <xdr:cNvPr id="1604" name="AutoShape 58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304800</xdr:colOff>
      <xdr:row>582</xdr:row>
      <xdr:rowOff>76200</xdr:rowOff>
    </xdr:to>
    <xdr:sp macro="" textlink="">
      <xdr:nvSpPr>
        <xdr:cNvPr id="1605" name="AutoShape 58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304800</xdr:colOff>
      <xdr:row>582</xdr:row>
      <xdr:rowOff>76200</xdr:rowOff>
    </xdr:to>
    <xdr:sp macro="" textlink="">
      <xdr:nvSpPr>
        <xdr:cNvPr id="1606" name="AutoShape 5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304800</xdr:colOff>
      <xdr:row>584</xdr:row>
      <xdr:rowOff>114300</xdr:rowOff>
    </xdr:to>
    <xdr:sp macro="" textlink="">
      <xdr:nvSpPr>
        <xdr:cNvPr id="1607" name="AutoShape 58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304800</xdr:colOff>
      <xdr:row>584</xdr:row>
      <xdr:rowOff>114300</xdr:rowOff>
    </xdr:to>
    <xdr:sp macro="" textlink="">
      <xdr:nvSpPr>
        <xdr:cNvPr id="1608" name="AutoShape 5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304800</xdr:colOff>
      <xdr:row>586</xdr:row>
      <xdr:rowOff>114300</xdr:rowOff>
    </xdr:to>
    <xdr:sp macro="" textlink="">
      <xdr:nvSpPr>
        <xdr:cNvPr id="1609" name="AutoShape 58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304800</xdr:colOff>
      <xdr:row>586</xdr:row>
      <xdr:rowOff>114300</xdr:rowOff>
    </xdr:to>
    <xdr:sp macro="" textlink="">
      <xdr:nvSpPr>
        <xdr:cNvPr id="1610" name="AutoShape 58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304800</xdr:colOff>
      <xdr:row>588</xdr:row>
      <xdr:rowOff>114300</xdr:rowOff>
    </xdr:to>
    <xdr:sp macro="" textlink="">
      <xdr:nvSpPr>
        <xdr:cNvPr id="1611" name="AutoShape 5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304800</xdr:colOff>
      <xdr:row>588</xdr:row>
      <xdr:rowOff>114300</xdr:rowOff>
    </xdr:to>
    <xdr:sp macro="" textlink="">
      <xdr:nvSpPr>
        <xdr:cNvPr id="1612" name="AutoShape 5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304800</xdr:colOff>
      <xdr:row>590</xdr:row>
      <xdr:rowOff>76200</xdr:rowOff>
    </xdr:to>
    <xdr:sp macro="" textlink="">
      <xdr:nvSpPr>
        <xdr:cNvPr id="1613" name="AutoShape 5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304800</xdr:colOff>
      <xdr:row>590</xdr:row>
      <xdr:rowOff>76200</xdr:rowOff>
    </xdr:to>
    <xdr:sp macro="" textlink="">
      <xdr:nvSpPr>
        <xdr:cNvPr id="1614" name="AutoShape 59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304800</xdr:colOff>
      <xdr:row>592</xdr:row>
      <xdr:rowOff>76200</xdr:rowOff>
    </xdr:to>
    <xdr:sp macro="" textlink="">
      <xdr:nvSpPr>
        <xdr:cNvPr id="1615" name="AutoShape 59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304800</xdr:colOff>
      <xdr:row>592</xdr:row>
      <xdr:rowOff>76200</xdr:rowOff>
    </xdr:to>
    <xdr:sp macro="" textlink="">
      <xdr:nvSpPr>
        <xdr:cNvPr id="1616" name="AutoShape 5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304800</xdr:colOff>
      <xdr:row>594</xdr:row>
      <xdr:rowOff>76200</xdr:rowOff>
    </xdr:to>
    <xdr:sp macro="" textlink="">
      <xdr:nvSpPr>
        <xdr:cNvPr id="1617" name="AutoShape 5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304800</xdr:colOff>
      <xdr:row>594</xdr:row>
      <xdr:rowOff>76200</xdr:rowOff>
    </xdr:to>
    <xdr:sp macro="" textlink="">
      <xdr:nvSpPr>
        <xdr:cNvPr id="1618" name="AutoShape 59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304800</xdr:colOff>
      <xdr:row>596</xdr:row>
      <xdr:rowOff>114300</xdr:rowOff>
    </xdr:to>
    <xdr:sp macro="" textlink="">
      <xdr:nvSpPr>
        <xdr:cNvPr id="1619" name="AutoShape 59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304800</xdr:colOff>
      <xdr:row>596</xdr:row>
      <xdr:rowOff>114300</xdr:rowOff>
    </xdr:to>
    <xdr:sp macro="" textlink="">
      <xdr:nvSpPr>
        <xdr:cNvPr id="1620" name="AutoShape 59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304800</xdr:colOff>
      <xdr:row>598</xdr:row>
      <xdr:rowOff>114300</xdr:rowOff>
    </xdr:to>
    <xdr:sp macro="" textlink="">
      <xdr:nvSpPr>
        <xdr:cNvPr id="1621" name="AutoShape 5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304800</xdr:colOff>
      <xdr:row>598</xdr:row>
      <xdr:rowOff>114300</xdr:rowOff>
    </xdr:to>
    <xdr:sp macro="" textlink="">
      <xdr:nvSpPr>
        <xdr:cNvPr id="1622" name="AutoShape 5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304800</xdr:colOff>
      <xdr:row>600</xdr:row>
      <xdr:rowOff>114300</xdr:rowOff>
    </xdr:to>
    <xdr:sp macro="" textlink="">
      <xdr:nvSpPr>
        <xdr:cNvPr id="1623" name="AutoShape 5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304800</xdr:colOff>
      <xdr:row>600</xdr:row>
      <xdr:rowOff>114300</xdr:rowOff>
    </xdr:to>
    <xdr:sp macro="" textlink="">
      <xdr:nvSpPr>
        <xdr:cNvPr id="1624" name="AutoShape 6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304800</xdr:colOff>
      <xdr:row>602</xdr:row>
      <xdr:rowOff>114300</xdr:rowOff>
    </xdr:to>
    <xdr:sp macro="" textlink="">
      <xdr:nvSpPr>
        <xdr:cNvPr id="1625" name="AutoShape 6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304800</xdr:colOff>
      <xdr:row>602</xdr:row>
      <xdr:rowOff>114300</xdr:rowOff>
    </xdr:to>
    <xdr:sp macro="" textlink="">
      <xdr:nvSpPr>
        <xdr:cNvPr id="1626" name="AutoShape 60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304800</xdr:colOff>
      <xdr:row>604</xdr:row>
      <xdr:rowOff>114300</xdr:rowOff>
    </xdr:to>
    <xdr:sp macro="" textlink="">
      <xdr:nvSpPr>
        <xdr:cNvPr id="1627" name="AutoShape 6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304800</xdr:colOff>
      <xdr:row>604</xdr:row>
      <xdr:rowOff>114300</xdr:rowOff>
    </xdr:to>
    <xdr:sp macro="" textlink="">
      <xdr:nvSpPr>
        <xdr:cNvPr id="1628" name="AutoShape 6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605</xdr:row>
      <xdr:rowOff>0</xdr:rowOff>
    </xdr:from>
    <xdr:to>
      <xdr:col>4</xdr:col>
      <xdr:colOff>304800</xdr:colOff>
      <xdr:row>606</xdr:row>
      <xdr:rowOff>114300</xdr:rowOff>
    </xdr:to>
    <xdr:sp macro="" textlink="">
      <xdr:nvSpPr>
        <xdr:cNvPr id="1629" name="AutoShape 60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304800</xdr:colOff>
      <xdr:row>606</xdr:row>
      <xdr:rowOff>114300</xdr:rowOff>
    </xdr:to>
    <xdr:sp macro="" textlink="">
      <xdr:nvSpPr>
        <xdr:cNvPr id="1630" name="AutoShape 60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304800</xdr:colOff>
      <xdr:row>608</xdr:row>
      <xdr:rowOff>114300</xdr:rowOff>
    </xdr:to>
    <xdr:sp macro="" textlink="">
      <xdr:nvSpPr>
        <xdr:cNvPr id="1631" name="AutoShape 6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304800</xdr:colOff>
      <xdr:row>608</xdr:row>
      <xdr:rowOff>114300</xdr:rowOff>
    </xdr:to>
    <xdr:sp macro="" textlink="">
      <xdr:nvSpPr>
        <xdr:cNvPr id="1632" name="AutoShape 60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304800</xdr:colOff>
      <xdr:row>610</xdr:row>
      <xdr:rowOff>114300</xdr:rowOff>
    </xdr:to>
    <xdr:sp macro="" textlink="">
      <xdr:nvSpPr>
        <xdr:cNvPr id="1633" name="AutoShape 60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304800</xdr:colOff>
      <xdr:row>610</xdr:row>
      <xdr:rowOff>114300</xdr:rowOff>
    </xdr:to>
    <xdr:sp macro="" textlink="">
      <xdr:nvSpPr>
        <xdr:cNvPr id="1634" name="AutoShape 61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304800</xdr:colOff>
      <xdr:row>612</xdr:row>
      <xdr:rowOff>114300</xdr:rowOff>
    </xdr:to>
    <xdr:sp macro="" textlink="">
      <xdr:nvSpPr>
        <xdr:cNvPr id="1635" name="AutoShape 61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304800</xdr:colOff>
      <xdr:row>612</xdr:row>
      <xdr:rowOff>114300</xdr:rowOff>
    </xdr:to>
    <xdr:sp macro="" textlink="">
      <xdr:nvSpPr>
        <xdr:cNvPr id="1636" name="AutoShape 61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304800</xdr:colOff>
      <xdr:row>614</xdr:row>
      <xdr:rowOff>76200</xdr:rowOff>
    </xdr:to>
    <xdr:sp macro="" textlink="">
      <xdr:nvSpPr>
        <xdr:cNvPr id="1637" name="AutoShape 61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304800</xdr:colOff>
      <xdr:row>614</xdr:row>
      <xdr:rowOff>76200</xdr:rowOff>
    </xdr:to>
    <xdr:sp macro="" textlink="">
      <xdr:nvSpPr>
        <xdr:cNvPr id="1638" name="AutoShape 61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304800</xdr:colOff>
      <xdr:row>616</xdr:row>
      <xdr:rowOff>114300</xdr:rowOff>
    </xdr:to>
    <xdr:sp macro="" textlink="">
      <xdr:nvSpPr>
        <xdr:cNvPr id="1639" name="AutoShape 61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304800</xdr:colOff>
      <xdr:row>616</xdr:row>
      <xdr:rowOff>114300</xdr:rowOff>
    </xdr:to>
    <xdr:sp macro="" textlink="">
      <xdr:nvSpPr>
        <xdr:cNvPr id="1640" name="AutoShape 61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304800</xdr:colOff>
      <xdr:row>618</xdr:row>
      <xdr:rowOff>114300</xdr:rowOff>
    </xdr:to>
    <xdr:sp macro="" textlink="">
      <xdr:nvSpPr>
        <xdr:cNvPr id="1641" name="AutoShape 6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304800</xdr:colOff>
      <xdr:row>618</xdr:row>
      <xdr:rowOff>114300</xdr:rowOff>
    </xdr:to>
    <xdr:sp macro="" textlink="">
      <xdr:nvSpPr>
        <xdr:cNvPr id="1642" name="AutoShape 61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619</xdr:row>
      <xdr:rowOff>0</xdr:rowOff>
    </xdr:from>
    <xdr:to>
      <xdr:col>4</xdr:col>
      <xdr:colOff>304800</xdr:colOff>
      <xdr:row>620</xdr:row>
      <xdr:rowOff>76200</xdr:rowOff>
    </xdr:to>
    <xdr:sp macro="" textlink="">
      <xdr:nvSpPr>
        <xdr:cNvPr id="1643" name="AutoShape 6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304800</xdr:colOff>
      <xdr:row>620</xdr:row>
      <xdr:rowOff>76200</xdr:rowOff>
    </xdr:to>
    <xdr:sp macro="" textlink="">
      <xdr:nvSpPr>
        <xdr:cNvPr id="1644" name="AutoShape 6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304800</xdr:colOff>
      <xdr:row>622</xdr:row>
      <xdr:rowOff>114300</xdr:rowOff>
    </xdr:to>
    <xdr:sp macro="" textlink="">
      <xdr:nvSpPr>
        <xdr:cNvPr id="1645" name="AutoShape 62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304800</xdr:colOff>
      <xdr:row>622</xdr:row>
      <xdr:rowOff>114300</xdr:rowOff>
    </xdr:to>
    <xdr:sp macro="" textlink="">
      <xdr:nvSpPr>
        <xdr:cNvPr id="1646" name="AutoShape 62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304800</xdr:colOff>
      <xdr:row>624</xdr:row>
      <xdr:rowOff>114300</xdr:rowOff>
    </xdr:to>
    <xdr:sp macro="" textlink="">
      <xdr:nvSpPr>
        <xdr:cNvPr id="1647" name="AutoShape 62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304800</xdr:colOff>
      <xdr:row>624</xdr:row>
      <xdr:rowOff>114300</xdr:rowOff>
    </xdr:to>
    <xdr:sp macro="" textlink="">
      <xdr:nvSpPr>
        <xdr:cNvPr id="1648" name="AutoShape 62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304800</xdr:colOff>
      <xdr:row>626</xdr:row>
      <xdr:rowOff>114300</xdr:rowOff>
    </xdr:to>
    <xdr:sp macro="" textlink="">
      <xdr:nvSpPr>
        <xdr:cNvPr id="1649" name="AutoShape 6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304800</xdr:colOff>
      <xdr:row>626</xdr:row>
      <xdr:rowOff>114300</xdr:rowOff>
    </xdr:to>
    <xdr:sp macro="" textlink="">
      <xdr:nvSpPr>
        <xdr:cNvPr id="1650" name="AutoShape 6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304800</xdr:colOff>
      <xdr:row>628</xdr:row>
      <xdr:rowOff>76200</xdr:rowOff>
    </xdr:to>
    <xdr:sp macro="" textlink="">
      <xdr:nvSpPr>
        <xdr:cNvPr id="1651" name="AutoShape 62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304800</xdr:colOff>
      <xdr:row>628</xdr:row>
      <xdr:rowOff>76200</xdr:rowOff>
    </xdr:to>
    <xdr:sp macro="" textlink="">
      <xdr:nvSpPr>
        <xdr:cNvPr id="1652" name="AutoShape 62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629</xdr:row>
      <xdr:rowOff>0</xdr:rowOff>
    </xdr:from>
    <xdr:to>
      <xdr:col>4</xdr:col>
      <xdr:colOff>304800</xdr:colOff>
      <xdr:row>630</xdr:row>
      <xdr:rowOff>114300</xdr:rowOff>
    </xdr:to>
    <xdr:sp macro="" textlink="">
      <xdr:nvSpPr>
        <xdr:cNvPr id="1653" name="AutoShape 62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304800</xdr:colOff>
      <xdr:row>630</xdr:row>
      <xdr:rowOff>114300</xdr:rowOff>
    </xdr:to>
    <xdr:sp macro="" textlink="">
      <xdr:nvSpPr>
        <xdr:cNvPr id="1654" name="AutoShape 63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304800</xdr:colOff>
      <xdr:row>632</xdr:row>
      <xdr:rowOff>114300</xdr:rowOff>
    </xdr:to>
    <xdr:sp macro="" textlink="">
      <xdr:nvSpPr>
        <xdr:cNvPr id="1655" name="AutoShape 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304800</xdr:colOff>
      <xdr:row>632</xdr:row>
      <xdr:rowOff>114300</xdr:rowOff>
    </xdr:to>
    <xdr:sp macro="" textlink="">
      <xdr:nvSpPr>
        <xdr:cNvPr id="1656" name="AutoShape 6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304800</xdr:colOff>
      <xdr:row>634</xdr:row>
      <xdr:rowOff>76200</xdr:rowOff>
    </xdr:to>
    <xdr:sp macro="" textlink="">
      <xdr:nvSpPr>
        <xdr:cNvPr id="1657" name="AutoShape 6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304800</xdr:colOff>
      <xdr:row>634</xdr:row>
      <xdr:rowOff>76200</xdr:rowOff>
    </xdr:to>
    <xdr:sp macro="" textlink="">
      <xdr:nvSpPr>
        <xdr:cNvPr id="1658" name="AutoShape 63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304800</xdr:colOff>
      <xdr:row>636</xdr:row>
      <xdr:rowOff>114300</xdr:rowOff>
    </xdr:to>
    <xdr:sp macro="" textlink="">
      <xdr:nvSpPr>
        <xdr:cNvPr id="1659" name="AutoShape 63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304800</xdr:colOff>
      <xdr:row>636</xdr:row>
      <xdr:rowOff>114300</xdr:rowOff>
    </xdr:to>
    <xdr:sp macro="" textlink="">
      <xdr:nvSpPr>
        <xdr:cNvPr id="1660" name="AutoShape 63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304800</xdr:colOff>
      <xdr:row>638</xdr:row>
      <xdr:rowOff>114300</xdr:rowOff>
    </xdr:to>
    <xdr:sp macro="" textlink="">
      <xdr:nvSpPr>
        <xdr:cNvPr id="1661" name="AutoShape 63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304800</xdr:colOff>
      <xdr:row>638</xdr:row>
      <xdr:rowOff>114300</xdr:rowOff>
    </xdr:to>
    <xdr:sp macro="" textlink="">
      <xdr:nvSpPr>
        <xdr:cNvPr id="1662" name="AutoShape 6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304800</xdr:colOff>
      <xdr:row>640</xdr:row>
      <xdr:rowOff>114300</xdr:rowOff>
    </xdr:to>
    <xdr:sp macro="" textlink="">
      <xdr:nvSpPr>
        <xdr:cNvPr id="1663" name="AutoShape 63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304800</xdr:colOff>
      <xdr:row>640</xdr:row>
      <xdr:rowOff>114300</xdr:rowOff>
    </xdr:to>
    <xdr:sp macro="" textlink="">
      <xdr:nvSpPr>
        <xdr:cNvPr id="1664" name="AutoShape 6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304800</xdr:colOff>
      <xdr:row>642</xdr:row>
      <xdr:rowOff>114300</xdr:rowOff>
    </xdr:to>
    <xdr:sp macro="" textlink="">
      <xdr:nvSpPr>
        <xdr:cNvPr id="1665" name="AutoShape 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304800</xdr:colOff>
      <xdr:row>642</xdr:row>
      <xdr:rowOff>114300</xdr:rowOff>
    </xdr:to>
    <xdr:sp macro="" textlink="">
      <xdr:nvSpPr>
        <xdr:cNvPr id="1666" name="AutoShape 6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304800</xdr:colOff>
      <xdr:row>644</xdr:row>
      <xdr:rowOff>76200</xdr:rowOff>
    </xdr:to>
    <xdr:sp macro="" textlink="">
      <xdr:nvSpPr>
        <xdr:cNvPr id="1667" name="AutoShape 6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304800</xdr:colOff>
      <xdr:row>644</xdr:row>
      <xdr:rowOff>76200</xdr:rowOff>
    </xdr:to>
    <xdr:sp macro="" textlink="">
      <xdr:nvSpPr>
        <xdr:cNvPr id="1668" name="AutoShape 64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304800</xdr:colOff>
      <xdr:row>646</xdr:row>
      <xdr:rowOff>76200</xdr:rowOff>
    </xdr:to>
    <xdr:sp macro="" textlink="">
      <xdr:nvSpPr>
        <xdr:cNvPr id="1669" name="AutoShape 6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304800</xdr:colOff>
      <xdr:row>646</xdr:row>
      <xdr:rowOff>76200</xdr:rowOff>
    </xdr:to>
    <xdr:sp macro="" textlink="">
      <xdr:nvSpPr>
        <xdr:cNvPr id="1670" name="AutoShape 64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304800</xdr:colOff>
      <xdr:row>648</xdr:row>
      <xdr:rowOff>114300</xdr:rowOff>
    </xdr:to>
    <xdr:sp macro="" textlink="">
      <xdr:nvSpPr>
        <xdr:cNvPr id="1671" name="AutoShape 64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304800</xdr:colOff>
      <xdr:row>648</xdr:row>
      <xdr:rowOff>114300</xdr:rowOff>
    </xdr:to>
    <xdr:sp macro="" textlink="">
      <xdr:nvSpPr>
        <xdr:cNvPr id="1672" name="AutoShape 64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649</xdr:row>
      <xdr:rowOff>0</xdr:rowOff>
    </xdr:from>
    <xdr:to>
      <xdr:col>4</xdr:col>
      <xdr:colOff>304800</xdr:colOff>
      <xdr:row>650</xdr:row>
      <xdr:rowOff>114300</xdr:rowOff>
    </xdr:to>
    <xdr:sp macro="" textlink="">
      <xdr:nvSpPr>
        <xdr:cNvPr id="1673" name="AutoShape 6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304800</xdr:colOff>
      <xdr:row>650</xdr:row>
      <xdr:rowOff>114300</xdr:rowOff>
    </xdr:to>
    <xdr:sp macro="" textlink="">
      <xdr:nvSpPr>
        <xdr:cNvPr id="1674" name="AutoShape 65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304800</xdr:colOff>
      <xdr:row>652</xdr:row>
      <xdr:rowOff>114300</xdr:rowOff>
    </xdr:to>
    <xdr:sp macro="" textlink="">
      <xdr:nvSpPr>
        <xdr:cNvPr id="1675" name="AutoShape 65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304800</xdr:colOff>
      <xdr:row>652</xdr:row>
      <xdr:rowOff>114300</xdr:rowOff>
    </xdr:to>
    <xdr:sp macro="" textlink="">
      <xdr:nvSpPr>
        <xdr:cNvPr id="1676" name="AutoShape 6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653</xdr:row>
      <xdr:rowOff>0</xdr:rowOff>
    </xdr:from>
    <xdr:to>
      <xdr:col>4</xdr:col>
      <xdr:colOff>304800</xdr:colOff>
      <xdr:row>654</xdr:row>
      <xdr:rowOff>76200</xdr:rowOff>
    </xdr:to>
    <xdr:sp macro="" textlink="">
      <xdr:nvSpPr>
        <xdr:cNvPr id="1677" name="AutoShape 6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304800</xdr:colOff>
      <xdr:row>654</xdr:row>
      <xdr:rowOff>76200</xdr:rowOff>
    </xdr:to>
    <xdr:sp macro="" textlink="">
      <xdr:nvSpPr>
        <xdr:cNvPr id="1678" name="AutoShape 65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655</xdr:row>
      <xdr:rowOff>0</xdr:rowOff>
    </xdr:from>
    <xdr:to>
      <xdr:col>4</xdr:col>
      <xdr:colOff>304800</xdr:colOff>
      <xdr:row>656</xdr:row>
      <xdr:rowOff>114300</xdr:rowOff>
    </xdr:to>
    <xdr:sp macro="" textlink="">
      <xdr:nvSpPr>
        <xdr:cNvPr id="1679" name="AutoShape 6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304800</xdr:colOff>
      <xdr:row>656</xdr:row>
      <xdr:rowOff>114300</xdr:rowOff>
    </xdr:to>
    <xdr:sp macro="" textlink="">
      <xdr:nvSpPr>
        <xdr:cNvPr id="1680" name="AutoShape 65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657</xdr:row>
      <xdr:rowOff>0</xdr:rowOff>
    </xdr:from>
    <xdr:to>
      <xdr:col>4</xdr:col>
      <xdr:colOff>304800</xdr:colOff>
      <xdr:row>658</xdr:row>
      <xdr:rowOff>114300</xdr:rowOff>
    </xdr:to>
    <xdr:sp macro="" textlink="">
      <xdr:nvSpPr>
        <xdr:cNvPr id="1681" name="AutoShape 65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304800</xdr:colOff>
      <xdr:row>658</xdr:row>
      <xdr:rowOff>114300</xdr:rowOff>
    </xdr:to>
    <xdr:sp macro="" textlink="">
      <xdr:nvSpPr>
        <xdr:cNvPr id="1682" name="AutoShape 6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659</xdr:row>
      <xdr:rowOff>0</xdr:rowOff>
    </xdr:from>
    <xdr:to>
      <xdr:col>4</xdr:col>
      <xdr:colOff>304800</xdr:colOff>
      <xdr:row>660</xdr:row>
      <xdr:rowOff>114300</xdr:rowOff>
    </xdr:to>
    <xdr:sp macro="" textlink="">
      <xdr:nvSpPr>
        <xdr:cNvPr id="1683" name="AutoShape 65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304800</xdr:colOff>
      <xdr:row>660</xdr:row>
      <xdr:rowOff>114300</xdr:rowOff>
    </xdr:to>
    <xdr:sp macro="" textlink="">
      <xdr:nvSpPr>
        <xdr:cNvPr id="1684" name="AutoShape 66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304800</xdr:colOff>
      <xdr:row>662</xdr:row>
      <xdr:rowOff>76200</xdr:rowOff>
    </xdr:to>
    <xdr:sp macro="" textlink="">
      <xdr:nvSpPr>
        <xdr:cNvPr id="1685" name="AutoShape 6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304800</xdr:colOff>
      <xdr:row>662</xdr:row>
      <xdr:rowOff>76200</xdr:rowOff>
    </xdr:to>
    <xdr:sp macro="" textlink="">
      <xdr:nvSpPr>
        <xdr:cNvPr id="1686" name="AutoShape 66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663</xdr:row>
      <xdr:rowOff>0</xdr:rowOff>
    </xdr:from>
    <xdr:to>
      <xdr:col>4</xdr:col>
      <xdr:colOff>304800</xdr:colOff>
      <xdr:row>664</xdr:row>
      <xdr:rowOff>114300</xdr:rowOff>
    </xdr:to>
    <xdr:sp macro="" textlink="">
      <xdr:nvSpPr>
        <xdr:cNvPr id="1687" name="AutoShape 66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304800</xdr:colOff>
      <xdr:row>664</xdr:row>
      <xdr:rowOff>114300</xdr:rowOff>
    </xdr:to>
    <xdr:sp macro="" textlink="">
      <xdr:nvSpPr>
        <xdr:cNvPr id="1688" name="AutoShape 66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665</xdr:row>
      <xdr:rowOff>0</xdr:rowOff>
    </xdr:from>
    <xdr:to>
      <xdr:col>4</xdr:col>
      <xdr:colOff>304800</xdr:colOff>
      <xdr:row>666</xdr:row>
      <xdr:rowOff>114300</xdr:rowOff>
    </xdr:to>
    <xdr:sp macro="" textlink="">
      <xdr:nvSpPr>
        <xdr:cNvPr id="1689" name="AutoShape 66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304800</xdr:colOff>
      <xdr:row>666</xdr:row>
      <xdr:rowOff>114300</xdr:rowOff>
    </xdr:to>
    <xdr:sp macro="" textlink="">
      <xdr:nvSpPr>
        <xdr:cNvPr id="1690" name="AutoShape 66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304800</xdr:colOff>
      <xdr:row>668</xdr:row>
      <xdr:rowOff>76200</xdr:rowOff>
    </xdr:to>
    <xdr:sp macro="" textlink="">
      <xdr:nvSpPr>
        <xdr:cNvPr id="1691" name="AutoShape 66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304800</xdr:colOff>
      <xdr:row>668</xdr:row>
      <xdr:rowOff>76200</xdr:rowOff>
    </xdr:to>
    <xdr:sp macro="" textlink="">
      <xdr:nvSpPr>
        <xdr:cNvPr id="1692" name="AutoShape 66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669</xdr:row>
      <xdr:rowOff>0</xdr:rowOff>
    </xdr:from>
    <xdr:to>
      <xdr:col>4</xdr:col>
      <xdr:colOff>304800</xdr:colOff>
      <xdr:row>670</xdr:row>
      <xdr:rowOff>114300</xdr:rowOff>
    </xdr:to>
    <xdr:sp macro="" textlink="">
      <xdr:nvSpPr>
        <xdr:cNvPr id="1693" name="AutoShape 66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304800</xdr:colOff>
      <xdr:row>670</xdr:row>
      <xdr:rowOff>114300</xdr:rowOff>
    </xdr:to>
    <xdr:sp macro="" textlink="">
      <xdr:nvSpPr>
        <xdr:cNvPr id="1694" name="AutoShape 6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671</xdr:row>
      <xdr:rowOff>0</xdr:rowOff>
    </xdr:from>
    <xdr:to>
      <xdr:col>4</xdr:col>
      <xdr:colOff>304800</xdr:colOff>
      <xdr:row>672</xdr:row>
      <xdr:rowOff>76200</xdr:rowOff>
    </xdr:to>
    <xdr:sp macro="" textlink="">
      <xdr:nvSpPr>
        <xdr:cNvPr id="1695" name="AutoShape 67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304800</xdr:colOff>
      <xdr:row>672</xdr:row>
      <xdr:rowOff>76200</xdr:rowOff>
    </xdr:to>
    <xdr:sp macro="" textlink="">
      <xdr:nvSpPr>
        <xdr:cNvPr id="1696" name="AutoShape 67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673</xdr:row>
      <xdr:rowOff>0</xdr:rowOff>
    </xdr:from>
    <xdr:to>
      <xdr:col>4</xdr:col>
      <xdr:colOff>304800</xdr:colOff>
      <xdr:row>674</xdr:row>
      <xdr:rowOff>76200</xdr:rowOff>
    </xdr:to>
    <xdr:sp macro="" textlink="">
      <xdr:nvSpPr>
        <xdr:cNvPr id="1697" name="AutoShape 67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304800</xdr:colOff>
      <xdr:row>674</xdr:row>
      <xdr:rowOff>76200</xdr:rowOff>
    </xdr:to>
    <xdr:sp macro="" textlink="">
      <xdr:nvSpPr>
        <xdr:cNvPr id="1698" name="AutoShape 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675</xdr:row>
      <xdr:rowOff>0</xdr:rowOff>
    </xdr:from>
    <xdr:to>
      <xdr:col>4</xdr:col>
      <xdr:colOff>304800</xdr:colOff>
      <xdr:row>676</xdr:row>
      <xdr:rowOff>114300</xdr:rowOff>
    </xdr:to>
    <xdr:sp macro="" textlink="">
      <xdr:nvSpPr>
        <xdr:cNvPr id="1699" name="AutoShape 6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304800</xdr:colOff>
      <xdr:row>676</xdr:row>
      <xdr:rowOff>114300</xdr:rowOff>
    </xdr:to>
    <xdr:sp macro="" textlink="">
      <xdr:nvSpPr>
        <xdr:cNvPr id="1700" name="AutoShape 67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677</xdr:row>
      <xdr:rowOff>0</xdr:rowOff>
    </xdr:from>
    <xdr:to>
      <xdr:col>4</xdr:col>
      <xdr:colOff>304800</xdr:colOff>
      <xdr:row>678</xdr:row>
      <xdr:rowOff>114300</xdr:rowOff>
    </xdr:to>
    <xdr:sp macro="" textlink="">
      <xdr:nvSpPr>
        <xdr:cNvPr id="1701" name="AutoShape 67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304800</xdr:colOff>
      <xdr:row>678</xdr:row>
      <xdr:rowOff>114300</xdr:rowOff>
    </xdr:to>
    <xdr:sp macro="" textlink="">
      <xdr:nvSpPr>
        <xdr:cNvPr id="1702" name="AutoShape 67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679</xdr:row>
      <xdr:rowOff>0</xdr:rowOff>
    </xdr:from>
    <xdr:to>
      <xdr:col>4</xdr:col>
      <xdr:colOff>304800</xdr:colOff>
      <xdr:row>680</xdr:row>
      <xdr:rowOff>114300</xdr:rowOff>
    </xdr:to>
    <xdr:sp macro="" textlink="">
      <xdr:nvSpPr>
        <xdr:cNvPr id="1703" name="AutoShape 67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304800</xdr:colOff>
      <xdr:row>680</xdr:row>
      <xdr:rowOff>114300</xdr:rowOff>
    </xdr:to>
    <xdr:sp macro="" textlink="">
      <xdr:nvSpPr>
        <xdr:cNvPr id="1704" name="AutoShape 68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681</xdr:row>
      <xdr:rowOff>0</xdr:rowOff>
    </xdr:from>
    <xdr:to>
      <xdr:col>4</xdr:col>
      <xdr:colOff>304800</xdr:colOff>
      <xdr:row>682</xdr:row>
      <xdr:rowOff>76200</xdr:rowOff>
    </xdr:to>
    <xdr:sp macro="" textlink="">
      <xdr:nvSpPr>
        <xdr:cNvPr id="1705" name="AutoShape 6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304800</xdr:colOff>
      <xdr:row>682</xdr:row>
      <xdr:rowOff>76200</xdr:rowOff>
    </xdr:to>
    <xdr:sp macro="" textlink="">
      <xdr:nvSpPr>
        <xdr:cNvPr id="1706" name="AutoShape 68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683</xdr:row>
      <xdr:rowOff>0</xdr:rowOff>
    </xdr:from>
    <xdr:to>
      <xdr:col>4</xdr:col>
      <xdr:colOff>304800</xdr:colOff>
      <xdr:row>684</xdr:row>
      <xdr:rowOff>114300</xdr:rowOff>
    </xdr:to>
    <xdr:sp macro="" textlink="">
      <xdr:nvSpPr>
        <xdr:cNvPr id="1707" name="AutoShape 68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304800</xdr:colOff>
      <xdr:row>684</xdr:row>
      <xdr:rowOff>114300</xdr:rowOff>
    </xdr:to>
    <xdr:sp macro="" textlink="">
      <xdr:nvSpPr>
        <xdr:cNvPr id="1708" name="AutoShape 68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685</xdr:row>
      <xdr:rowOff>0</xdr:rowOff>
    </xdr:from>
    <xdr:to>
      <xdr:col>4</xdr:col>
      <xdr:colOff>304800</xdr:colOff>
      <xdr:row>686</xdr:row>
      <xdr:rowOff>114300</xdr:rowOff>
    </xdr:to>
    <xdr:sp macro="" textlink="">
      <xdr:nvSpPr>
        <xdr:cNvPr id="1709" name="AutoShape 6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304800</xdr:colOff>
      <xdr:row>686</xdr:row>
      <xdr:rowOff>114300</xdr:rowOff>
    </xdr:to>
    <xdr:sp macro="" textlink="">
      <xdr:nvSpPr>
        <xdr:cNvPr id="1710" name="AutoShape 6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687</xdr:row>
      <xdr:rowOff>0</xdr:rowOff>
    </xdr:from>
    <xdr:to>
      <xdr:col>4</xdr:col>
      <xdr:colOff>304800</xdr:colOff>
      <xdr:row>688</xdr:row>
      <xdr:rowOff>114300</xdr:rowOff>
    </xdr:to>
    <xdr:sp macro="" textlink="">
      <xdr:nvSpPr>
        <xdr:cNvPr id="1711" name="AutoShape 68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304800</xdr:colOff>
      <xdr:row>688</xdr:row>
      <xdr:rowOff>114300</xdr:rowOff>
    </xdr:to>
    <xdr:sp macro="" textlink="">
      <xdr:nvSpPr>
        <xdr:cNvPr id="1712" name="AutoShape 6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689</xdr:row>
      <xdr:rowOff>0</xdr:rowOff>
    </xdr:from>
    <xdr:to>
      <xdr:col>4</xdr:col>
      <xdr:colOff>304800</xdr:colOff>
      <xdr:row>690</xdr:row>
      <xdr:rowOff>114300</xdr:rowOff>
    </xdr:to>
    <xdr:sp macro="" textlink="">
      <xdr:nvSpPr>
        <xdr:cNvPr id="1713" name="AutoShape 6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304800</xdr:colOff>
      <xdr:row>690</xdr:row>
      <xdr:rowOff>114300</xdr:rowOff>
    </xdr:to>
    <xdr:sp macro="" textlink="">
      <xdr:nvSpPr>
        <xdr:cNvPr id="1714" name="AutoShape 6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691</xdr:row>
      <xdr:rowOff>0</xdr:rowOff>
    </xdr:from>
    <xdr:to>
      <xdr:col>4</xdr:col>
      <xdr:colOff>304800</xdr:colOff>
      <xdr:row>692</xdr:row>
      <xdr:rowOff>114300</xdr:rowOff>
    </xdr:to>
    <xdr:sp macro="" textlink="">
      <xdr:nvSpPr>
        <xdr:cNvPr id="1715" name="AutoShape 6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304800</xdr:colOff>
      <xdr:row>692</xdr:row>
      <xdr:rowOff>114300</xdr:rowOff>
    </xdr:to>
    <xdr:sp macro="" textlink="">
      <xdr:nvSpPr>
        <xdr:cNvPr id="1716" name="AutoShape 69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693</xdr:row>
      <xdr:rowOff>0</xdr:rowOff>
    </xdr:from>
    <xdr:to>
      <xdr:col>4</xdr:col>
      <xdr:colOff>304800</xdr:colOff>
      <xdr:row>694</xdr:row>
      <xdr:rowOff>114300</xdr:rowOff>
    </xdr:to>
    <xdr:sp macro="" textlink="">
      <xdr:nvSpPr>
        <xdr:cNvPr id="1717" name="AutoShape 6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304800</xdr:colOff>
      <xdr:row>694</xdr:row>
      <xdr:rowOff>114300</xdr:rowOff>
    </xdr:to>
    <xdr:sp macro="" textlink="">
      <xdr:nvSpPr>
        <xdr:cNvPr id="1718" name="AutoShape 69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695</xdr:row>
      <xdr:rowOff>0</xdr:rowOff>
    </xdr:from>
    <xdr:to>
      <xdr:col>4</xdr:col>
      <xdr:colOff>304800</xdr:colOff>
      <xdr:row>696</xdr:row>
      <xdr:rowOff>114300</xdr:rowOff>
    </xdr:to>
    <xdr:sp macro="" textlink="">
      <xdr:nvSpPr>
        <xdr:cNvPr id="1719" name="AutoShape 69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304800</xdr:colOff>
      <xdr:row>696</xdr:row>
      <xdr:rowOff>114300</xdr:rowOff>
    </xdr:to>
    <xdr:sp macro="" textlink="">
      <xdr:nvSpPr>
        <xdr:cNvPr id="1720" name="AutoShape 6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304800</xdr:colOff>
      <xdr:row>698</xdr:row>
      <xdr:rowOff>114300</xdr:rowOff>
    </xdr:to>
    <xdr:sp macro="" textlink="">
      <xdr:nvSpPr>
        <xdr:cNvPr id="1721" name="AutoShape 6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304800</xdr:colOff>
      <xdr:row>698</xdr:row>
      <xdr:rowOff>114300</xdr:rowOff>
    </xdr:to>
    <xdr:sp macro="" textlink="">
      <xdr:nvSpPr>
        <xdr:cNvPr id="1722" name="AutoShape 6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304800</xdr:colOff>
      <xdr:row>700</xdr:row>
      <xdr:rowOff>114300</xdr:rowOff>
    </xdr:to>
    <xdr:sp macro="" textlink="">
      <xdr:nvSpPr>
        <xdr:cNvPr id="1723" name="AutoShape 6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304800</xdr:colOff>
      <xdr:row>700</xdr:row>
      <xdr:rowOff>114300</xdr:rowOff>
    </xdr:to>
    <xdr:sp macro="" textlink="">
      <xdr:nvSpPr>
        <xdr:cNvPr id="1724" name="AutoShape 70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304800</xdr:colOff>
      <xdr:row>702</xdr:row>
      <xdr:rowOff>114300</xdr:rowOff>
    </xdr:to>
    <xdr:sp macro="" textlink="">
      <xdr:nvSpPr>
        <xdr:cNvPr id="1725" name="AutoShape 70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304800</xdr:colOff>
      <xdr:row>702</xdr:row>
      <xdr:rowOff>114300</xdr:rowOff>
    </xdr:to>
    <xdr:sp macro="" textlink="">
      <xdr:nvSpPr>
        <xdr:cNvPr id="1726" name="AutoShape 70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703</xdr:row>
      <xdr:rowOff>0</xdr:rowOff>
    </xdr:from>
    <xdr:to>
      <xdr:col>4</xdr:col>
      <xdr:colOff>304800</xdr:colOff>
      <xdr:row>704</xdr:row>
      <xdr:rowOff>114300</xdr:rowOff>
    </xdr:to>
    <xdr:sp macro="" textlink="">
      <xdr:nvSpPr>
        <xdr:cNvPr id="1727" name="AutoShape 7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304800</xdr:colOff>
      <xdr:row>704</xdr:row>
      <xdr:rowOff>114300</xdr:rowOff>
    </xdr:to>
    <xdr:sp macro="" textlink="">
      <xdr:nvSpPr>
        <xdr:cNvPr id="1728" name="AutoShape 70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705</xdr:row>
      <xdr:rowOff>0</xdr:rowOff>
    </xdr:from>
    <xdr:to>
      <xdr:col>4</xdr:col>
      <xdr:colOff>304800</xdr:colOff>
      <xdr:row>706</xdr:row>
      <xdr:rowOff>76200</xdr:rowOff>
    </xdr:to>
    <xdr:sp macro="" textlink="">
      <xdr:nvSpPr>
        <xdr:cNvPr id="1729" name="AutoShape 7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304800</xdr:colOff>
      <xdr:row>706</xdr:row>
      <xdr:rowOff>76200</xdr:rowOff>
    </xdr:to>
    <xdr:sp macro="" textlink="">
      <xdr:nvSpPr>
        <xdr:cNvPr id="1730" name="AutoShape 7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707</xdr:row>
      <xdr:rowOff>0</xdr:rowOff>
    </xdr:from>
    <xdr:to>
      <xdr:col>4</xdr:col>
      <xdr:colOff>304800</xdr:colOff>
      <xdr:row>708</xdr:row>
      <xdr:rowOff>114300</xdr:rowOff>
    </xdr:to>
    <xdr:sp macro="" textlink="">
      <xdr:nvSpPr>
        <xdr:cNvPr id="1731" name="AutoShape 7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304800</xdr:colOff>
      <xdr:row>708</xdr:row>
      <xdr:rowOff>114300</xdr:rowOff>
    </xdr:to>
    <xdr:sp macro="" textlink="">
      <xdr:nvSpPr>
        <xdr:cNvPr id="1732" name="AutoShape 70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709</xdr:row>
      <xdr:rowOff>0</xdr:rowOff>
    </xdr:from>
    <xdr:to>
      <xdr:col>4</xdr:col>
      <xdr:colOff>304800</xdr:colOff>
      <xdr:row>710</xdr:row>
      <xdr:rowOff>76200</xdr:rowOff>
    </xdr:to>
    <xdr:sp macro="" textlink="">
      <xdr:nvSpPr>
        <xdr:cNvPr id="1733" name="AutoShape 7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304800</xdr:colOff>
      <xdr:row>710</xdr:row>
      <xdr:rowOff>76200</xdr:rowOff>
    </xdr:to>
    <xdr:sp macro="" textlink="">
      <xdr:nvSpPr>
        <xdr:cNvPr id="1734" name="AutoShape 71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304800</xdr:colOff>
      <xdr:row>712</xdr:row>
      <xdr:rowOff>114300</xdr:rowOff>
    </xdr:to>
    <xdr:sp macro="" textlink="">
      <xdr:nvSpPr>
        <xdr:cNvPr id="1735" name="AutoShape 7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304800</xdr:colOff>
      <xdr:row>712</xdr:row>
      <xdr:rowOff>114300</xdr:rowOff>
    </xdr:to>
    <xdr:sp macro="" textlink="">
      <xdr:nvSpPr>
        <xdr:cNvPr id="1736" name="AutoShape 71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713</xdr:row>
      <xdr:rowOff>0</xdr:rowOff>
    </xdr:from>
    <xdr:to>
      <xdr:col>4</xdr:col>
      <xdr:colOff>304800</xdr:colOff>
      <xdr:row>714</xdr:row>
      <xdr:rowOff>114300</xdr:rowOff>
    </xdr:to>
    <xdr:sp macro="" textlink="">
      <xdr:nvSpPr>
        <xdr:cNvPr id="1737" name="AutoShape 7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304800</xdr:colOff>
      <xdr:row>714</xdr:row>
      <xdr:rowOff>114300</xdr:rowOff>
    </xdr:to>
    <xdr:sp macro="" textlink="">
      <xdr:nvSpPr>
        <xdr:cNvPr id="1738" name="AutoShape 7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304800</xdr:colOff>
      <xdr:row>716</xdr:row>
      <xdr:rowOff>114300</xdr:rowOff>
    </xdr:to>
    <xdr:sp macro="" textlink="">
      <xdr:nvSpPr>
        <xdr:cNvPr id="1739" name="AutoShape 7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304800</xdr:colOff>
      <xdr:row>716</xdr:row>
      <xdr:rowOff>114300</xdr:rowOff>
    </xdr:to>
    <xdr:sp macro="" textlink="">
      <xdr:nvSpPr>
        <xdr:cNvPr id="1740" name="AutoShape 7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304800</xdr:colOff>
      <xdr:row>718</xdr:row>
      <xdr:rowOff>114300</xdr:rowOff>
    </xdr:to>
    <xdr:sp macro="" textlink="">
      <xdr:nvSpPr>
        <xdr:cNvPr id="1741" name="AutoShape 7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304800</xdr:colOff>
      <xdr:row>718</xdr:row>
      <xdr:rowOff>114300</xdr:rowOff>
    </xdr:to>
    <xdr:sp macro="" textlink="">
      <xdr:nvSpPr>
        <xdr:cNvPr id="1742" name="AutoShape 71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304800</xdr:colOff>
      <xdr:row>720</xdr:row>
      <xdr:rowOff>114300</xdr:rowOff>
    </xdr:to>
    <xdr:sp macro="" textlink="">
      <xdr:nvSpPr>
        <xdr:cNvPr id="1743" name="AutoShape 7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304800</xdr:colOff>
      <xdr:row>720</xdr:row>
      <xdr:rowOff>114300</xdr:rowOff>
    </xdr:to>
    <xdr:sp macro="" textlink="">
      <xdr:nvSpPr>
        <xdr:cNvPr id="1744" name="AutoShape 72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721</xdr:row>
      <xdr:rowOff>0</xdr:rowOff>
    </xdr:from>
    <xdr:to>
      <xdr:col>4</xdr:col>
      <xdr:colOff>304800</xdr:colOff>
      <xdr:row>722</xdr:row>
      <xdr:rowOff>76200</xdr:rowOff>
    </xdr:to>
    <xdr:sp macro="" textlink="">
      <xdr:nvSpPr>
        <xdr:cNvPr id="1745" name="AutoShape 72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304800</xdr:colOff>
      <xdr:row>722</xdr:row>
      <xdr:rowOff>76200</xdr:rowOff>
    </xdr:to>
    <xdr:sp macro="" textlink="">
      <xdr:nvSpPr>
        <xdr:cNvPr id="1746" name="AutoShape 72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723</xdr:row>
      <xdr:rowOff>0</xdr:rowOff>
    </xdr:from>
    <xdr:to>
      <xdr:col>4</xdr:col>
      <xdr:colOff>304800</xdr:colOff>
      <xdr:row>724</xdr:row>
      <xdr:rowOff>114300</xdr:rowOff>
    </xdr:to>
    <xdr:sp macro="" textlink="">
      <xdr:nvSpPr>
        <xdr:cNvPr id="1747" name="AutoShape 7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304800</xdr:colOff>
      <xdr:row>724</xdr:row>
      <xdr:rowOff>114300</xdr:rowOff>
    </xdr:to>
    <xdr:sp macro="" textlink="">
      <xdr:nvSpPr>
        <xdr:cNvPr id="1748" name="AutoShape 72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304800</xdr:colOff>
      <xdr:row>726</xdr:row>
      <xdr:rowOff>114300</xdr:rowOff>
    </xdr:to>
    <xdr:sp macro="" textlink="">
      <xdr:nvSpPr>
        <xdr:cNvPr id="1749" name="AutoShape 72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304800</xdr:colOff>
      <xdr:row>726</xdr:row>
      <xdr:rowOff>114300</xdr:rowOff>
    </xdr:to>
    <xdr:sp macro="" textlink="">
      <xdr:nvSpPr>
        <xdr:cNvPr id="1750" name="AutoShape 72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304800</xdr:colOff>
      <xdr:row>728</xdr:row>
      <xdr:rowOff>114300</xdr:rowOff>
    </xdr:to>
    <xdr:sp macro="" textlink="">
      <xdr:nvSpPr>
        <xdr:cNvPr id="1751" name="AutoShape 72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304800</xdr:colOff>
      <xdr:row>728</xdr:row>
      <xdr:rowOff>114300</xdr:rowOff>
    </xdr:to>
    <xdr:sp macro="" textlink="">
      <xdr:nvSpPr>
        <xdr:cNvPr id="1752" name="AutoShape 72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729</xdr:row>
      <xdr:rowOff>0</xdr:rowOff>
    </xdr:from>
    <xdr:to>
      <xdr:col>4</xdr:col>
      <xdr:colOff>304800</xdr:colOff>
      <xdr:row>730</xdr:row>
      <xdr:rowOff>114300</xdr:rowOff>
    </xdr:to>
    <xdr:sp macro="" textlink="">
      <xdr:nvSpPr>
        <xdr:cNvPr id="1753" name="AutoShape 7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304800</xdr:colOff>
      <xdr:row>730</xdr:row>
      <xdr:rowOff>114300</xdr:rowOff>
    </xdr:to>
    <xdr:sp macro="" textlink="">
      <xdr:nvSpPr>
        <xdr:cNvPr id="1754" name="AutoShape 7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731</xdr:row>
      <xdr:rowOff>0</xdr:rowOff>
    </xdr:from>
    <xdr:to>
      <xdr:col>4</xdr:col>
      <xdr:colOff>304800</xdr:colOff>
      <xdr:row>732</xdr:row>
      <xdr:rowOff>114300</xdr:rowOff>
    </xdr:to>
    <xdr:sp macro="" textlink="">
      <xdr:nvSpPr>
        <xdr:cNvPr id="1755" name="AutoShape 7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304800</xdr:colOff>
      <xdr:row>732</xdr:row>
      <xdr:rowOff>114300</xdr:rowOff>
    </xdr:to>
    <xdr:sp macro="" textlink="">
      <xdr:nvSpPr>
        <xdr:cNvPr id="1756" name="AutoShape 73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733</xdr:row>
      <xdr:rowOff>0</xdr:rowOff>
    </xdr:from>
    <xdr:to>
      <xdr:col>4</xdr:col>
      <xdr:colOff>304800</xdr:colOff>
      <xdr:row>734</xdr:row>
      <xdr:rowOff>76200</xdr:rowOff>
    </xdr:to>
    <xdr:sp macro="" textlink="">
      <xdr:nvSpPr>
        <xdr:cNvPr id="1757" name="AutoShape 7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304800</xdr:colOff>
      <xdr:row>734</xdr:row>
      <xdr:rowOff>76200</xdr:rowOff>
    </xdr:to>
    <xdr:sp macro="" textlink="">
      <xdr:nvSpPr>
        <xdr:cNvPr id="1758" name="AutoShape 73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304800</xdr:colOff>
      <xdr:row>736</xdr:row>
      <xdr:rowOff>76200</xdr:rowOff>
    </xdr:to>
    <xdr:sp macro="" textlink="">
      <xdr:nvSpPr>
        <xdr:cNvPr id="1759" name="AutoShape 7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304800</xdr:colOff>
      <xdr:row>736</xdr:row>
      <xdr:rowOff>76200</xdr:rowOff>
    </xdr:to>
    <xdr:sp macro="" textlink="">
      <xdr:nvSpPr>
        <xdr:cNvPr id="1760" name="AutoShape 73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304800</xdr:colOff>
      <xdr:row>738</xdr:row>
      <xdr:rowOff>76200</xdr:rowOff>
    </xdr:to>
    <xdr:sp macro="" textlink="">
      <xdr:nvSpPr>
        <xdr:cNvPr id="1761" name="AutoShape 73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304800</xdr:colOff>
      <xdr:row>738</xdr:row>
      <xdr:rowOff>76200</xdr:rowOff>
    </xdr:to>
    <xdr:sp macro="" textlink="">
      <xdr:nvSpPr>
        <xdr:cNvPr id="1762" name="AutoShape 73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304800</xdr:colOff>
      <xdr:row>740</xdr:row>
      <xdr:rowOff>114300</xdr:rowOff>
    </xdr:to>
    <xdr:sp macro="" textlink="">
      <xdr:nvSpPr>
        <xdr:cNvPr id="1763" name="AutoShape 7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304800</xdr:colOff>
      <xdr:row>740</xdr:row>
      <xdr:rowOff>114300</xdr:rowOff>
    </xdr:to>
    <xdr:sp macro="" textlink="">
      <xdr:nvSpPr>
        <xdr:cNvPr id="1764" name="AutoShape 74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304800</xdr:colOff>
      <xdr:row>742</xdr:row>
      <xdr:rowOff>114300</xdr:rowOff>
    </xdr:to>
    <xdr:sp macro="" textlink="">
      <xdr:nvSpPr>
        <xdr:cNvPr id="1765" name="AutoShape 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304800</xdr:colOff>
      <xdr:row>742</xdr:row>
      <xdr:rowOff>114300</xdr:rowOff>
    </xdr:to>
    <xdr:sp macro="" textlink="">
      <xdr:nvSpPr>
        <xdr:cNvPr id="1766" name="AutoShape 7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304800</xdr:colOff>
      <xdr:row>744</xdr:row>
      <xdr:rowOff>114300</xdr:rowOff>
    </xdr:to>
    <xdr:sp macro="" textlink="">
      <xdr:nvSpPr>
        <xdr:cNvPr id="1767" name="AutoShape 74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304800</xdr:colOff>
      <xdr:row>744</xdr:row>
      <xdr:rowOff>114300</xdr:rowOff>
    </xdr:to>
    <xdr:sp macro="" textlink="">
      <xdr:nvSpPr>
        <xdr:cNvPr id="1768" name="AutoShape 74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304800</xdr:colOff>
      <xdr:row>746</xdr:row>
      <xdr:rowOff>114300</xdr:rowOff>
    </xdr:to>
    <xdr:sp macro="" textlink="">
      <xdr:nvSpPr>
        <xdr:cNvPr id="1769" name="AutoShape 7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304800</xdr:colOff>
      <xdr:row>746</xdr:row>
      <xdr:rowOff>114300</xdr:rowOff>
    </xdr:to>
    <xdr:sp macro="" textlink="">
      <xdr:nvSpPr>
        <xdr:cNvPr id="1770" name="AutoShape 74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747</xdr:row>
      <xdr:rowOff>0</xdr:rowOff>
    </xdr:from>
    <xdr:to>
      <xdr:col>4</xdr:col>
      <xdr:colOff>304800</xdr:colOff>
      <xdr:row>748</xdr:row>
      <xdr:rowOff>114300</xdr:rowOff>
    </xdr:to>
    <xdr:sp macro="" textlink="">
      <xdr:nvSpPr>
        <xdr:cNvPr id="1771" name="AutoShape 7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304800</xdr:colOff>
      <xdr:row>748</xdr:row>
      <xdr:rowOff>114300</xdr:rowOff>
    </xdr:to>
    <xdr:sp macro="" textlink="">
      <xdr:nvSpPr>
        <xdr:cNvPr id="1772" name="AutoShape 7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304800</xdr:colOff>
      <xdr:row>750</xdr:row>
      <xdr:rowOff>114300</xdr:rowOff>
    </xdr:to>
    <xdr:sp macro="" textlink="">
      <xdr:nvSpPr>
        <xdr:cNvPr id="1773" name="AutoShape 7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304800</xdr:colOff>
      <xdr:row>750</xdr:row>
      <xdr:rowOff>114300</xdr:rowOff>
    </xdr:to>
    <xdr:sp macro="" textlink="">
      <xdr:nvSpPr>
        <xdr:cNvPr id="1774" name="AutoShape 75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751</xdr:row>
      <xdr:rowOff>0</xdr:rowOff>
    </xdr:from>
    <xdr:to>
      <xdr:col>4</xdr:col>
      <xdr:colOff>304800</xdr:colOff>
      <xdr:row>752</xdr:row>
      <xdr:rowOff>114300</xdr:rowOff>
    </xdr:to>
    <xdr:sp macro="" textlink="">
      <xdr:nvSpPr>
        <xdr:cNvPr id="1775" name="AutoShape 75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304800</xdr:colOff>
      <xdr:row>752</xdr:row>
      <xdr:rowOff>114300</xdr:rowOff>
    </xdr:to>
    <xdr:sp macro="" textlink="">
      <xdr:nvSpPr>
        <xdr:cNvPr id="1776" name="AutoShape 75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304800</xdr:colOff>
      <xdr:row>754</xdr:row>
      <xdr:rowOff>114300</xdr:rowOff>
    </xdr:to>
    <xdr:sp macro="" textlink="">
      <xdr:nvSpPr>
        <xdr:cNvPr id="1777" name="AutoShape 7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304800</xdr:colOff>
      <xdr:row>754</xdr:row>
      <xdr:rowOff>114300</xdr:rowOff>
    </xdr:to>
    <xdr:sp macro="" textlink="">
      <xdr:nvSpPr>
        <xdr:cNvPr id="1778" name="AutoShape 7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304800</xdr:colOff>
      <xdr:row>756</xdr:row>
      <xdr:rowOff>114300</xdr:rowOff>
    </xdr:to>
    <xdr:sp macro="" textlink="">
      <xdr:nvSpPr>
        <xdr:cNvPr id="1779" name="AutoShape 7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304800</xdr:colOff>
      <xdr:row>756</xdr:row>
      <xdr:rowOff>114300</xdr:rowOff>
    </xdr:to>
    <xdr:sp macro="" textlink="">
      <xdr:nvSpPr>
        <xdr:cNvPr id="1780" name="AutoShape 7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757</xdr:row>
      <xdr:rowOff>0</xdr:rowOff>
    </xdr:from>
    <xdr:to>
      <xdr:col>4</xdr:col>
      <xdr:colOff>304800</xdr:colOff>
      <xdr:row>758</xdr:row>
      <xdr:rowOff>114300</xdr:rowOff>
    </xdr:to>
    <xdr:sp macro="" textlink="">
      <xdr:nvSpPr>
        <xdr:cNvPr id="1781" name="AutoShape 75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304800</xdr:colOff>
      <xdr:row>758</xdr:row>
      <xdr:rowOff>114300</xdr:rowOff>
    </xdr:to>
    <xdr:sp macro="" textlink="">
      <xdr:nvSpPr>
        <xdr:cNvPr id="1782" name="AutoShape 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759</xdr:row>
      <xdr:rowOff>0</xdr:rowOff>
    </xdr:from>
    <xdr:to>
      <xdr:col>4</xdr:col>
      <xdr:colOff>304800</xdr:colOff>
      <xdr:row>760</xdr:row>
      <xdr:rowOff>76200</xdr:rowOff>
    </xdr:to>
    <xdr:sp macro="" textlink="">
      <xdr:nvSpPr>
        <xdr:cNvPr id="1783" name="AutoShape 7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304800</xdr:colOff>
      <xdr:row>760</xdr:row>
      <xdr:rowOff>76200</xdr:rowOff>
    </xdr:to>
    <xdr:sp macro="" textlink="">
      <xdr:nvSpPr>
        <xdr:cNvPr id="1784" name="AutoShape 7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761</xdr:row>
      <xdr:rowOff>0</xdr:rowOff>
    </xdr:from>
    <xdr:to>
      <xdr:col>4</xdr:col>
      <xdr:colOff>304800</xdr:colOff>
      <xdr:row>762</xdr:row>
      <xdr:rowOff>114300</xdr:rowOff>
    </xdr:to>
    <xdr:sp macro="" textlink="">
      <xdr:nvSpPr>
        <xdr:cNvPr id="1785" name="AutoShape 76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304800</xdr:colOff>
      <xdr:row>762</xdr:row>
      <xdr:rowOff>114300</xdr:rowOff>
    </xdr:to>
    <xdr:sp macro="" textlink="">
      <xdr:nvSpPr>
        <xdr:cNvPr id="1786" name="AutoShape 76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304800</xdr:colOff>
      <xdr:row>764</xdr:row>
      <xdr:rowOff>76200</xdr:rowOff>
    </xdr:to>
    <xdr:sp macro="" textlink="">
      <xdr:nvSpPr>
        <xdr:cNvPr id="1787" name="AutoShape 76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304800</xdr:colOff>
      <xdr:row>764</xdr:row>
      <xdr:rowOff>76200</xdr:rowOff>
    </xdr:to>
    <xdr:sp macro="" textlink="">
      <xdr:nvSpPr>
        <xdr:cNvPr id="1788" name="AutoShape 76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304800</xdr:colOff>
      <xdr:row>766</xdr:row>
      <xdr:rowOff>114300</xdr:rowOff>
    </xdr:to>
    <xdr:sp macro="" textlink="">
      <xdr:nvSpPr>
        <xdr:cNvPr id="1789" name="AutoShape 7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304800</xdr:colOff>
      <xdr:row>766</xdr:row>
      <xdr:rowOff>114300</xdr:rowOff>
    </xdr:to>
    <xdr:sp macro="" textlink="">
      <xdr:nvSpPr>
        <xdr:cNvPr id="1790" name="AutoShape 76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304800</xdr:colOff>
      <xdr:row>768</xdr:row>
      <xdr:rowOff>114300</xdr:rowOff>
    </xdr:to>
    <xdr:sp macro="" textlink="">
      <xdr:nvSpPr>
        <xdr:cNvPr id="1791" name="AutoShape 7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304800</xdr:colOff>
      <xdr:row>768</xdr:row>
      <xdr:rowOff>114300</xdr:rowOff>
    </xdr:to>
    <xdr:sp macro="" textlink="">
      <xdr:nvSpPr>
        <xdr:cNvPr id="1792" name="AutoShape 7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304800</xdr:colOff>
      <xdr:row>770</xdr:row>
      <xdr:rowOff>114300</xdr:rowOff>
    </xdr:to>
    <xdr:sp macro="" textlink="">
      <xdr:nvSpPr>
        <xdr:cNvPr id="1793" name="AutoShape 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304800</xdr:colOff>
      <xdr:row>770</xdr:row>
      <xdr:rowOff>114300</xdr:rowOff>
    </xdr:to>
    <xdr:sp macro="" textlink="">
      <xdr:nvSpPr>
        <xdr:cNvPr id="1794" name="AutoShape 77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304800</xdr:colOff>
      <xdr:row>772</xdr:row>
      <xdr:rowOff>76200</xdr:rowOff>
    </xdr:to>
    <xdr:sp macro="" textlink="">
      <xdr:nvSpPr>
        <xdr:cNvPr id="1795" name="AutoShape 7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304800</xdr:colOff>
      <xdr:row>772</xdr:row>
      <xdr:rowOff>76200</xdr:rowOff>
    </xdr:to>
    <xdr:sp macro="" textlink="">
      <xdr:nvSpPr>
        <xdr:cNvPr id="1796" name="AutoShape 77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304800</xdr:colOff>
      <xdr:row>774</xdr:row>
      <xdr:rowOff>114300</xdr:rowOff>
    </xdr:to>
    <xdr:sp macro="" textlink="">
      <xdr:nvSpPr>
        <xdr:cNvPr id="1797" name="AutoShape 77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304800</xdr:colOff>
      <xdr:row>774</xdr:row>
      <xdr:rowOff>114300</xdr:rowOff>
    </xdr:to>
    <xdr:sp macro="" textlink="">
      <xdr:nvSpPr>
        <xdr:cNvPr id="1798" name="AutoShape 77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304800</xdr:colOff>
      <xdr:row>776</xdr:row>
      <xdr:rowOff>114300</xdr:rowOff>
    </xdr:to>
    <xdr:sp macro="" textlink="">
      <xdr:nvSpPr>
        <xdr:cNvPr id="1799" name="AutoShape 77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304800</xdr:colOff>
      <xdr:row>776</xdr:row>
      <xdr:rowOff>114300</xdr:rowOff>
    </xdr:to>
    <xdr:sp macro="" textlink="">
      <xdr:nvSpPr>
        <xdr:cNvPr id="1800" name="AutoShape 7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304800</xdr:colOff>
      <xdr:row>778</xdr:row>
      <xdr:rowOff>76200</xdr:rowOff>
    </xdr:to>
    <xdr:sp macro="" textlink="">
      <xdr:nvSpPr>
        <xdr:cNvPr id="1801" name="AutoShape 77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304800</xdr:colOff>
      <xdr:row>778</xdr:row>
      <xdr:rowOff>76200</xdr:rowOff>
    </xdr:to>
    <xdr:sp macro="" textlink="">
      <xdr:nvSpPr>
        <xdr:cNvPr id="1802" name="AutoShape 77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304800</xdr:colOff>
      <xdr:row>780</xdr:row>
      <xdr:rowOff>114300</xdr:rowOff>
    </xdr:to>
    <xdr:sp macro="" textlink="">
      <xdr:nvSpPr>
        <xdr:cNvPr id="1803" name="AutoShape 77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304800</xdr:colOff>
      <xdr:row>780</xdr:row>
      <xdr:rowOff>114300</xdr:rowOff>
    </xdr:to>
    <xdr:sp macro="" textlink="">
      <xdr:nvSpPr>
        <xdr:cNvPr id="1804" name="AutoShape 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304800</xdr:colOff>
      <xdr:row>782</xdr:row>
      <xdr:rowOff>114300</xdr:rowOff>
    </xdr:to>
    <xdr:sp macro="" textlink="">
      <xdr:nvSpPr>
        <xdr:cNvPr id="1805" name="AutoShape 7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304800</xdr:colOff>
      <xdr:row>782</xdr:row>
      <xdr:rowOff>114300</xdr:rowOff>
    </xdr:to>
    <xdr:sp macro="" textlink="">
      <xdr:nvSpPr>
        <xdr:cNvPr id="1806" name="AutoShape 78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304800</xdr:colOff>
      <xdr:row>784</xdr:row>
      <xdr:rowOff>114300</xdr:rowOff>
    </xdr:to>
    <xdr:sp macro="" textlink="">
      <xdr:nvSpPr>
        <xdr:cNvPr id="1807" name="AutoShape 7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304800</xdr:colOff>
      <xdr:row>784</xdr:row>
      <xdr:rowOff>114300</xdr:rowOff>
    </xdr:to>
    <xdr:sp macro="" textlink="">
      <xdr:nvSpPr>
        <xdr:cNvPr id="1808" name="AutoShape 7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304800</xdr:colOff>
      <xdr:row>786</xdr:row>
      <xdr:rowOff>114300</xdr:rowOff>
    </xdr:to>
    <xdr:sp macro="" textlink="">
      <xdr:nvSpPr>
        <xdr:cNvPr id="1809" name="AutoShape 78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304800</xdr:colOff>
      <xdr:row>786</xdr:row>
      <xdr:rowOff>114300</xdr:rowOff>
    </xdr:to>
    <xdr:sp macro="" textlink="">
      <xdr:nvSpPr>
        <xdr:cNvPr id="1810" name="AutoShape 78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304800</xdr:colOff>
      <xdr:row>788</xdr:row>
      <xdr:rowOff>114300</xdr:rowOff>
    </xdr:to>
    <xdr:sp macro="" textlink="">
      <xdr:nvSpPr>
        <xdr:cNvPr id="1811" name="AutoShape 78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304800</xdr:colOff>
      <xdr:row>788</xdr:row>
      <xdr:rowOff>114300</xdr:rowOff>
    </xdr:to>
    <xdr:sp macro="" textlink="">
      <xdr:nvSpPr>
        <xdr:cNvPr id="1812" name="AutoShape 7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789</xdr:row>
      <xdr:rowOff>0</xdr:rowOff>
    </xdr:from>
    <xdr:to>
      <xdr:col>4</xdr:col>
      <xdr:colOff>304800</xdr:colOff>
      <xdr:row>790</xdr:row>
      <xdr:rowOff>114300</xdr:rowOff>
    </xdr:to>
    <xdr:sp macro="" textlink="">
      <xdr:nvSpPr>
        <xdr:cNvPr id="1813" name="AutoShape 78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304800</xdr:colOff>
      <xdr:row>790</xdr:row>
      <xdr:rowOff>114300</xdr:rowOff>
    </xdr:to>
    <xdr:sp macro="" textlink="">
      <xdr:nvSpPr>
        <xdr:cNvPr id="1814" name="AutoShape 7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791</xdr:row>
      <xdr:rowOff>0</xdr:rowOff>
    </xdr:from>
    <xdr:to>
      <xdr:col>4</xdr:col>
      <xdr:colOff>304800</xdr:colOff>
      <xdr:row>792</xdr:row>
      <xdr:rowOff>76200</xdr:rowOff>
    </xdr:to>
    <xdr:sp macro="" textlink="">
      <xdr:nvSpPr>
        <xdr:cNvPr id="1815" name="AutoShape 7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304800</xdr:colOff>
      <xdr:row>792</xdr:row>
      <xdr:rowOff>76200</xdr:rowOff>
    </xdr:to>
    <xdr:sp macro="" textlink="">
      <xdr:nvSpPr>
        <xdr:cNvPr id="1816" name="AutoShape 79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793</xdr:row>
      <xdr:rowOff>0</xdr:rowOff>
    </xdr:from>
    <xdr:to>
      <xdr:col>4</xdr:col>
      <xdr:colOff>304800</xdr:colOff>
      <xdr:row>794</xdr:row>
      <xdr:rowOff>114300</xdr:rowOff>
    </xdr:to>
    <xdr:sp macro="" textlink="">
      <xdr:nvSpPr>
        <xdr:cNvPr id="1817" name="AutoShape 79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304800</xdr:colOff>
      <xdr:row>794</xdr:row>
      <xdr:rowOff>114300</xdr:rowOff>
    </xdr:to>
    <xdr:sp macro="" textlink="">
      <xdr:nvSpPr>
        <xdr:cNvPr id="1818" name="AutoShape 7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304800</xdr:colOff>
      <xdr:row>796</xdr:row>
      <xdr:rowOff>114300</xdr:rowOff>
    </xdr:to>
    <xdr:sp macro="" textlink="">
      <xdr:nvSpPr>
        <xdr:cNvPr id="1819" name="AutoShape 79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304800</xdr:colOff>
      <xdr:row>796</xdr:row>
      <xdr:rowOff>114300</xdr:rowOff>
    </xdr:to>
    <xdr:sp macro="" textlink="">
      <xdr:nvSpPr>
        <xdr:cNvPr id="1820" name="AutoShape 79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304800</xdr:colOff>
      <xdr:row>798</xdr:row>
      <xdr:rowOff>76200</xdr:rowOff>
    </xdr:to>
    <xdr:sp macro="" textlink="">
      <xdr:nvSpPr>
        <xdr:cNvPr id="1821" name="AutoShape 79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304800</xdr:colOff>
      <xdr:row>798</xdr:row>
      <xdr:rowOff>76200</xdr:rowOff>
    </xdr:to>
    <xdr:sp macro="" textlink="">
      <xdr:nvSpPr>
        <xdr:cNvPr id="1822" name="AutoShape 79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799</xdr:row>
      <xdr:rowOff>0</xdr:rowOff>
    </xdr:from>
    <xdr:to>
      <xdr:col>4</xdr:col>
      <xdr:colOff>304800</xdr:colOff>
      <xdr:row>800</xdr:row>
      <xdr:rowOff>114300</xdr:rowOff>
    </xdr:to>
    <xdr:sp macro="" textlink="">
      <xdr:nvSpPr>
        <xdr:cNvPr id="1823" name="AutoShape 79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799</xdr:row>
      <xdr:rowOff>0</xdr:rowOff>
    </xdr:from>
    <xdr:to>
      <xdr:col>5</xdr:col>
      <xdr:colOff>304800</xdr:colOff>
      <xdr:row>800</xdr:row>
      <xdr:rowOff>114300</xdr:rowOff>
    </xdr:to>
    <xdr:sp macro="" textlink="">
      <xdr:nvSpPr>
        <xdr:cNvPr id="1824" name="AutoShape 8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304800</xdr:colOff>
      <xdr:row>802</xdr:row>
      <xdr:rowOff>76200</xdr:rowOff>
    </xdr:to>
    <xdr:sp macro="" textlink="">
      <xdr:nvSpPr>
        <xdr:cNvPr id="1825" name="AutoShape 8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801</xdr:row>
      <xdr:rowOff>0</xdr:rowOff>
    </xdr:from>
    <xdr:to>
      <xdr:col>5</xdr:col>
      <xdr:colOff>304800</xdr:colOff>
      <xdr:row>802</xdr:row>
      <xdr:rowOff>76200</xdr:rowOff>
    </xdr:to>
    <xdr:sp macro="" textlink="">
      <xdr:nvSpPr>
        <xdr:cNvPr id="1826" name="AutoShape 8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304800</xdr:colOff>
      <xdr:row>804</xdr:row>
      <xdr:rowOff>114300</xdr:rowOff>
    </xdr:to>
    <xdr:sp macro="" textlink="">
      <xdr:nvSpPr>
        <xdr:cNvPr id="1827" name="AutoShape 80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803</xdr:row>
      <xdr:rowOff>0</xdr:rowOff>
    </xdr:from>
    <xdr:to>
      <xdr:col>5</xdr:col>
      <xdr:colOff>304800</xdr:colOff>
      <xdr:row>804</xdr:row>
      <xdr:rowOff>114300</xdr:rowOff>
    </xdr:to>
    <xdr:sp macro="" textlink="">
      <xdr:nvSpPr>
        <xdr:cNvPr id="1828" name="AutoShape 8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304800</xdr:colOff>
      <xdr:row>806</xdr:row>
      <xdr:rowOff>114300</xdr:rowOff>
    </xdr:to>
    <xdr:sp macro="" textlink="">
      <xdr:nvSpPr>
        <xdr:cNvPr id="1829" name="AutoShape 80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805</xdr:row>
      <xdr:rowOff>0</xdr:rowOff>
    </xdr:from>
    <xdr:to>
      <xdr:col>5</xdr:col>
      <xdr:colOff>304800</xdr:colOff>
      <xdr:row>806</xdr:row>
      <xdr:rowOff>114300</xdr:rowOff>
    </xdr:to>
    <xdr:sp macro="" textlink="">
      <xdr:nvSpPr>
        <xdr:cNvPr id="1830" name="AutoShape 8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304800</xdr:colOff>
      <xdr:row>808</xdr:row>
      <xdr:rowOff>114300</xdr:rowOff>
    </xdr:to>
    <xdr:sp macro="" textlink="">
      <xdr:nvSpPr>
        <xdr:cNvPr id="1831" name="AutoShape 80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807</xdr:row>
      <xdr:rowOff>0</xdr:rowOff>
    </xdr:from>
    <xdr:to>
      <xdr:col>5</xdr:col>
      <xdr:colOff>304800</xdr:colOff>
      <xdr:row>808</xdr:row>
      <xdr:rowOff>114300</xdr:rowOff>
    </xdr:to>
    <xdr:sp macro="" textlink="">
      <xdr:nvSpPr>
        <xdr:cNvPr id="1832" name="AutoShape 80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304800</xdr:colOff>
      <xdr:row>810</xdr:row>
      <xdr:rowOff>114300</xdr:rowOff>
    </xdr:to>
    <xdr:sp macro="" textlink="">
      <xdr:nvSpPr>
        <xdr:cNvPr id="1833" name="AutoShape 80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809</xdr:row>
      <xdr:rowOff>0</xdr:rowOff>
    </xdr:from>
    <xdr:to>
      <xdr:col>5</xdr:col>
      <xdr:colOff>304800</xdr:colOff>
      <xdr:row>810</xdr:row>
      <xdr:rowOff>114300</xdr:rowOff>
    </xdr:to>
    <xdr:sp macro="" textlink="">
      <xdr:nvSpPr>
        <xdr:cNvPr id="1834" name="AutoShape 81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304800</xdr:colOff>
      <xdr:row>812</xdr:row>
      <xdr:rowOff>114300</xdr:rowOff>
    </xdr:to>
    <xdr:sp macro="" textlink="">
      <xdr:nvSpPr>
        <xdr:cNvPr id="1835" name="AutoShape 81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811</xdr:row>
      <xdr:rowOff>0</xdr:rowOff>
    </xdr:from>
    <xdr:to>
      <xdr:col>5</xdr:col>
      <xdr:colOff>304800</xdr:colOff>
      <xdr:row>812</xdr:row>
      <xdr:rowOff>114300</xdr:rowOff>
    </xdr:to>
    <xdr:sp macro="" textlink="">
      <xdr:nvSpPr>
        <xdr:cNvPr id="1836" name="AutoShape 81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304800</xdr:colOff>
      <xdr:row>814</xdr:row>
      <xdr:rowOff>114300</xdr:rowOff>
    </xdr:to>
    <xdr:sp macro="" textlink="">
      <xdr:nvSpPr>
        <xdr:cNvPr id="1837" name="AutoShape 8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813</xdr:row>
      <xdr:rowOff>0</xdr:rowOff>
    </xdr:from>
    <xdr:to>
      <xdr:col>5</xdr:col>
      <xdr:colOff>304800</xdr:colOff>
      <xdr:row>814</xdr:row>
      <xdr:rowOff>114300</xdr:rowOff>
    </xdr:to>
    <xdr:sp macro="" textlink="">
      <xdr:nvSpPr>
        <xdr:cNvPr id="1838" name="AutoShape 81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304800</xdr:colOff>
      <xdr:row>816</xdr:row>
      <xdr:rowOff>76200</xdr:rowOff>
    </xdr:to>
    <xdr:sp macro="" textlink="">
      <xdr:nvSpPr>
        <xdr:cNvPr id="1839" name="AutoShape 8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815</xdr:row>
      <xdr:rowOff>0</xdr:rowOff>
    </xdr:from>
    <xdr:to>
      <xdr:col>5</xdr:col>
      <xdr:colOff>304800</xdr:colOff>
      <xdr:row>816</xdr:row>
      <xdr:rowOff>76200</xdr:rowOff>
    </xdr:to>
    <xdr:sp macro="" textlink="">
      <xdr:nvSpPr>
        <xdr:cNvPr id="1840" name="AutoShape 81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304800</xdr:colOff>
      <xdr:row>818</xdr:row>
      <xdr:rowOff>114300</xdr:rowOff>
    </xdr:to>
    <xdr:sp macro="" textlink="">
      <xdr:nvSpPr>
        <xdr:cNvPr id="1841" name="AutoShape 8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817</xdr:row>
      <xdr:rowOff>0</xdr:rowOff>
    </xdr:from>
    <xdr:to>
      <xdr:col>5</xdr:col>
      <xdr:colOff>304800</xdr:colOff>
      <xdr:row>818</xdr:row>
      <xdr:rowOff>114300</xdr:rowOff>
    </xdr:to>
    <xdr:sp macro="" textlink="">
      <xdr:nvSpPr>
        <xdr:cNvPr id="1842" name="AutoShape 8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304800</xdr:colOff>
      <xdr:row>820</xdr:row>
      <xdr:rowOff>114300</xdr:rowOff>
    </xdr:to>
    <xdr:sp macro="" textlink="">
      <xdr:nvSpPr>
        <xdr:cNvPr id="1843" name="AutoShape 81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819</xdr:row>
      <xdr:rowOff>0</xdr:rowOff>
    </xdr:from>
    <xdr:to>
      <xdr:col>5</xdr:col>
      <xdr:colOff>304800</xdr:colOff>
      <xdr:row>820</xdr:row>
      <xdr:rowOff>114300</xdr:rowOff>
    </xdr:to>
    <xdr:sp macro="" textlink="">
      <xdr:nvSpPr>
        <xdr:cNvPr id="1844" name="AutoShape 82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821</xdr:row>
      <xdr:rowOff>0</xdr:rowOff>
    </xdr:from>
    <xdr:to>
      <xdr:col>4</xdr:col>
      <xdr:colOff>304800</xdr:colOff>
      <xdr:row>822</xdr:row>
      <xdr:rowOff>114300</xdr:rowOff>
    </xdr:to>
    <xdr:sp macro="" textlink="">
      <xdr:nvSpPr>
        <xdr:cNvPr id="1845" name="AutoShape 82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821</xdr:row>
      <xdr:rowOff>0</xdr:rowOff>
    </xdr:from>
    <xdr:to>
      <xdr:col>5</xdr:col>
      <xdr:colOff>304800</xdr:colOff>
      <xdr:row>822</xdr:row>
      <xdr:rowOff>114300</xdr:rowOff>
    </xdr:to>
    <xdr:sp macro="" textlink="">
      <xdr:nvSpPr>
        <xdr:cNvPr id="1846" name="AutoShape 8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823</xdr:row>
      <xdr:rowOff>0</xdr:rowOff>
    </xdr:from>
    <xdr:to>
      <xdr:col>4</xdr:col>
      <xdr:colOff>304800</xdr:colOff>
      <xdr:row>824</xdr:row>
      <xdr:rowOff>76200</xdr:rowOff>
    </xdr:to>
    <xdr:sp macro="" textlink="">
      <xdr:nvSpPr>
        <xdr:cNvPr id="1847" name="AutoShape 82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823</xdr:row>
      <xdr:rowOff>0</xdr:rowOff>
    </xdr:from>
    <xdr:to>
      <xdr:col>5</xdr:col>
      <xdr:colOff>304800</xdr:colOff>
      <xdr:row>824</xdr:row>
      <xdr:rowOff>76200</xdr:rowOff>
    </xdr:to>
    <xdr:sp macro="" textlink="">
      <xdr:nvSpPr>
        <xdr:cNvPr id="1848" name="AutoShape 82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825</xdr:row>
      <xdr:rowOff>0</xdr:rowOff>
    </xdr:from>
    <xdr:to>
      <xdr:col>4</xdr:col>
      <xdr:colOff>304800</xdr:colOff>
      <xdr:row>826</xdr:row>
      <xdr:rowOff>114300</xdr:rowOff>
    </xdr:to>
    <xdr:sp macro="" textlink="">
      <xdr:nvSpPr>
        <xdr:cNvPr id="1849" name="AutoShape 8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825</xdr:row>
      <xdr:rowOff>0</xdr:rowOff>
    </xdr:from>
    <xdr:to>
      <xdr:col>5</xdr:col>
      <xdr:colOff>304800</xdr:colOff>
      <xdr:row>826</xdr:row>
      <xdr:rowOff>114300</xdr:rowOff>
    </xdr:to>
    <xdr:sp macro="" textlink="">
      <xdr:nvSpPr>
        <xdr:cNvPr id="1850" name="AutoShape 8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827</xdr:row>
      <xdr:rowOff>0</xdr:rowOff>
    </xdr:from>
    <xdr:to>
      <xdr:col>4</xdr:col>
      <xdr:colOff>304800</xdr:colOff>
      <xdr:row>828</xdr:row>
      <xdr:rowOff>114300</xdr:rowOff>
    </xdr:to>
    <xdr:sp macro="" textlink="">
      <xdr:nvSpPr>
        <xdr:cNvPr id="1851" name="AutoShape 82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827</xdr:row>
      <xdr:rowOff>0</xdr:rowOff>
    </xdr:from>
    <xdr:to>
      <xdr:col>5</xdr:col>
      <xdr:colOff>304800</xdr:colOff>
      <xdr:row>828</xdr:row>
      <xdr:rowOff>114300</xdr:rowOff>
    </xdr:to>
    <xdr:sp macro="" textlink="">
      <xdr:nvSpPr>
        <xdr:cNvPr id="1852" name="AutoShape 82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829</xdr:row>
      <xdr:rowOff>0</xdr:rowOff>
    </xdr:from>
    <xdr:to>
      <xdr:col>4</xdr:col>
      <xdr:colOff>304800</xdr:colOff>
      <xdr:row>830</xdr:row>
      <xdr:rowOff>114300</xdr:rowOff>
    </xdr:to>
    <xdr:sp macro="" textlink="">
      <xdr:nvSpPr>
        <xdr:cNvPr id="1853" name="AutoShape 8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829</xdr:row>
      <xdr:rowOff>0</xdr:rowOff>
    </xdr:from>
    <xdr:to>
      <xdr:col>5</xdr:col>
      <xdr:colOff>304800</xdr:colOff>
      <xdr:row>830</xdr:row>
      <xdr:rowOff>114300</xdr:rowOff>
    </xdr:to>
    <xdr:sp macro="" textlink="">
      <xdr:nvSpPr>
        <xdr:cNvPr id="1854" name="AutoShape 8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831</xdr:row>
      <xdr:rowOff>0</xdr:rowOff>
    </xdr:from>
    <xdr:to>
      <xdr:col>4</xdr:col>
      <xdr:colOff>304800</xdr:colOff>
      <xdr:row>832</xdr:row>
      <xdr:rowOff>76200</xdr:rowOff>
    </xdr:to>
    <xdr:sp macro="" textlink="">
      <xdr:nvSpPr>
        <xdr:cNvPr id="1855" name="AutoShape 8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831</xdr:row>
      <xdr:rowOff>0</xdr:rowOff>
    </xdr:from>
    <xdr:to>
      <xdr:col>5</xdr:col>
      <xdr:colOff>304800</xdr:colOff>
      <xdr:row>832</xdr:row>
      <xdr:rowOff>76200</xdr:rowOff>
    </xdr:to>
    <xdr:sp macro="" textlink="">
      <xdr:nvSpPr>
        <xdr:cNvPr id="1856" name="AutoShape 8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304800</xdr:colOff>
      <xdr:row>834</xdr:row>
      <xdr:rowOff>114300</xdr:rowOff>
    </xdr:to>
    <xdr:sp macro="" textlink="">
      <xdr:nvSpPr>
        <xdr:cNvPr id="1857" name="AutoShape 83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833</xdr:row>
      <xdr:rowOff>0</xdr:rowOff>
    </xdr:from>
    <xdr:to>
      <xdr:col>5</xdr:col>
      <xdr:colOff>304800</xdr:colOff>
      <xdr:row>834</xdr:row>
      <xdr:rowOff>114300</xdr:rowOff>
    </xdr:to>
    <xdr:sp macro="" textlink="">
      <xdr:nvSpPr>
        <xdr:cNvPr id="1858" name="AutoShape 8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304800</xdr:colOff>
      <xdr:row>836</xdr:row>
      <xdr:rowOff>114300</xdr:rowOff>
    </xdr:to>
    <xdr:sp macro="" textlink="">
      <xdr:nvSpPr>
        <xdr:cNvPr id="1859" name="AutoShape 83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835</xdr:row>
      <xdr:rowOff>0</xdr:rowOff>
    </xdr:from>
    <xdr:to>
      <xdr:col>5</xdr:col>
      <xdr:colOff>304800</xdr:colOff>
      <xdr:row>836</xdr:row>
      <xdr:rowOff>114300</xdr:rowOff>
    </xdr:to>
    <xdr:sp macro="" textlink="">
      <xdr:nvSpPr>
        <xdr:cNvPr id="1860" name="AutoShape 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304800</xdr:colOff>
      <xdr:row>838</xdr:row>
      <xdr:rowOff>76200</xdr:rowOff>
    </xdr:to>
    <xdr:sp macro="" textlink="">
      <xdr:nvSpPr>
        <xdr:cNvPr id="1861" name="AutoShape 83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837</xdr:row>
      <xdr:rowOff>0</xdr:rowOff>
    </xdr:from>
    <xdr:to>
      <xdr:col>5</xdr:col>
      <xdr:colOff>304800</xdr:colOff>
      <xdr:row>838</xdr:row>
      <xdr:rowOff>76200</xdr:rowOff>
    </xdr:to>
    <xdr:sp macro="" textlink="">
      <xdr:nvSpPr>
        <xdr:cNvPr id="1862" name="AutoShape 83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304800</xdr:colOff>
      <xdr:row>840</xdr:row>
      <xdr:rowOff>114300</xdr:rowOff>
    </xdr:to>
    <xdr:sp macro="" textlink="">
      <xdr:nvSpPr>
        <xdr:cNvPr id="1863" name="AutoShape 83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839</xdr:row>
      <xdr:rowOff>0</xdr:rowOff>
    </xdr:from>
    <xdr:to>
      <xdr:col>5</xdr:col>
      <xdr:colOff>304800</xdr:colOff>
      <xdr:row>840</xdr:row>
      <xdr:rowOff>114300</xdr:rowOff>
    </xdr:to>
    <xdr:sp macro="" textlink="">
      <xdr:nvSpPr>
        <xdr:cNvPr id="1864" name="AutoShape 8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304800</xdr:colOff>
      <xdr:row>842</xdr:row>
      <xdr:rowOff>76200</xdr:rowOff>
    </xdr:to>
    <xdr:sp macro="" textlink="">
      <xdr:nvSpPr>
        <xdr:cNvPr id="1865" name="AutoShape 84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841</xdr:row>
      <xdr:rowOff>0</xdr:rowOff>
    </xdr:from>
    <xdr:to>
      <xdr:col>5</xdr:col>
      <xdr:colOff>304800</xdr:colOff>
      <xdr:row>842</xdr:row>
      <xdr:rowOff>76200</xdr:rowOff>
    </xdr:to>
    <xdr:sp macro="" textlink="">
      <xdr:nvSpPr>
        <xdr:cNvPr id="1866" name="AutoShape 84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304800</xdr:colOff>
      <xdr:row>844</xdr:row>
      <xdr:rowOff>76200</xdr:rowOff>
    </xdr:to>
    <xdr:sp macro="" textlink="">
      <xdr:nvSpPr>
        <xdr:cNvPr id="1867" name="AutoShape 8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843</xdr:row>
      <xdr:rowOff>0</xdr:rowOff>
    </xdr:from>
    <xdr:to>
      <xdr:col>5</xdr:col>
      <xdr:colOff>304800</xdr:colOff>
      <xdr:row>844</xdr:row>
      <xdr:rowOff>76200</xdr:rowOff>
    </xdr:to>
    <xdr:sp macro="" textlink="">
      <xdr:nvSpPr>
        <xdr:cNvPr id="1868" name="AutoShape 8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304800</xdr:colOff>
      <xdr:row>846</xdr:row>
      <xdr:rowOff>114300</xdr:rowOff>
    </xdr:to>
    <xdr:sp macro="" textlink="">
      <xdr:nvSpPr>
        <xdr:cNvPr id="1869" name="AutoShape 84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845</xdr:row>
      <xdr:rowOff>0</xdr:rowOff>
    </xdr:from>
    <xdr:to>
      <xdr:col>5</xdr:col>
      <xdr:colOff>304800</xdr:colOff>
      <xdr:row>846</xdr:row>
      <xdr:rowOff>114300</xdr:rowOff>
    </xdr:to>
    <xdr:sp macro="" textlink="">
      <xdr:nvSpPr>
        <xdr:cNvPr id="1870" name="AutoShape 8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304800</xdr:colOff>
      <xdr:row>848</xdr:row>
      <xdr:rowOff>114300</xdr:rowOff>
    </xdr:to>
    <xdr:sp macro="" textlink="">
      <xdr:nvSpPr>
        <xdr:cNvPr id="1871" name="AutoShape 8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847</xdr:row>
      <xdr:rowOff>0</xdr:rowOff>
    </xdr:from>
    <xdr:to>
      <xdr:col>5</xdr:col>
      <xdr:colOff>304800</xdr:colOff>
      <xdr:row>848</xdr:row>
      <xdr:rowOff>114300</xdr:rowOff>
    </xdr:to>
    <xdr:sp macro="" textlink="">
      <xdr:nvSpPr>
        <xdr:cNvPr id="1872" name="AutoShape 8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304800</xdr:colOff>
      <xdr:row>850</xdr:row>
      <xdr:rowOff>114300</xdr:rowOff>
    </xdr:to>
    <xdr:sp macro="" textlink="">
      <xdr:nvSpPr>
        <xdr:cNvPr id="1873" name="AutoShape 84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849</xdr:row>
      <xdr:rowOff>0</xdr:rowOff>
    </xdr:from>
    <xdr:to>
      <xdr:col>5</xdr:col>
      <xdr:colOff>304800</xdr:colOff>
      <xdr:row>850</xdr:row>
      <xdr:rowOff>114300</xdr:rowOff>
    </xdr:to>
    <xdr:sp macro="" textlink="">
      <xdr:nvSpPr>
        <xdr:cNvPr id="1874" name="AutoShape 8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304800</xdr:colOff>
      <xdr:row>852</xdr:row>
      <xdr:rowOff>114300</xdr:rowOff>
    </xdr:to>
    <xdr:sp macro="" textlink="">
      <xdr:nvSpPr>
        <xdr:cNvPr id="1875" name="AutoShape 85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851</xdr:row>
      <xdr:rowOff>0</xdr:rowOff>
    </xdr:from>
    <xdr:to>
      <xdr:col>5</xdr:col>
      <xdr:colOff>304800</xdr:colOff>
      <xdr:row>852</xdr:row>
      <xdr:rowOff>114300</xdr:rowOff>
    </xdr:to>
    <xdr:sp macro="" textlink="">
      <xdr:nvSpPr>
        <xdr:cNvPr id="1876" name="AutoShape 8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304800</xdr:colOff>
      <xdr:row>854</xdr:row>
      <xdr:rowOff>114300</xdr:rowOff>
    </xdr:to>
    <xdr:sp macro="" textlink="">
      <xdr:nvSpPr>
        <xdr:cNvPr id="1877" name="AutoShape 8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853</xdr:row>
      <xdr:rowOff>0</xdr:rowOff>
    </xdr:from>
    <xdr:to>
      <xdr:col>5</xdr:col>
      <xdr:colOff>304800</xdr:colOff>
      <xdr:row>854</xdr:row>
      <xdr:rowOff>114300</xdr:rowOff>
    </xdr:to>
    <xdr:sp macro="" textlink="">
      <xdr:nvSpPr>
        <xdr:cNvPr id="1878" name="AutoShape 8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304800</xdr:colOff>
      <xdr:row>856</xdr:row>
      <xdr:rowOff>114300</xdr:rowOff>
    </xdr:to>
    <xdr:sp macro="" textlink="">
      <xdr:nvSpPr>
        <xdr:cNvPr id="1879" name="AutoShape 85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855</xdr:row>
      <xdr:rowOff>0</xdr:rowOff>
    </xdr:from>
    <xdr:to>
      <xdr:col>5</xdr:col>
      <xdr:colOff>304800</xdr:colOff>
      <xdr:row>856</xdr:row>
      <xdr:rowOff>114300</xdr:rowOff>
    </xdr:to>
    <xdr:sp macro="" textlink="">
      <xdr:nvSpPr>
        <xdr:cNvPr id="1880" name="AutoShape 85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304800</xdr:colOff>
      <xdr:row>858</xdr:row>
      <xdr:rowOff>114300</xdr:rowOff>
    </xdr:to>
    <xdr:sp macro="" textlink="">
      <xdr:nvSpPr>
        <xdr:cNvPr id="1881" name="AutoShape 85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857</xdr:row>
      <xdr:rowOff>0</xdr:rowOff>
    </xdr:from>
    <xdr:to>
      <xdr:col>5</xdr:col>
      <xdr:colOff>304800</xdr:colOff>
      <xdr:row>858</xdr:row>
      <xdr:rowOff>114300</xdr:rowOff>
    </xdr:to>
    <xdr:sp macro="" textlink="">
      <xdr:nvSpPr>
        <xdr:cNvPr id="1882" name="AutoShape 8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304800</xdr:colOff>
      <xdr:row>860</xdr:row>
      <xdr:rowOff>114300</xdr:rowOff>
    </xdr:to>
    <xdr:sp macro="" textlink="">
      <xdr:nvSpPr>
        <xdr:cNvPr id="1883" name="AutoShape 85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859</xdr:row>
      <xdr:rowOff>0</xdr:rowOff>
    </xdr:from>
    <xdr:to>
      <xdr:col>5</xdr:col>
      <xdr:colOff>304800</xdr:colOff>
      <xdr:row>860</xdr:row>
      <xdr:rowOff>114300</xdr:rowOff>
    </xdr:to>
    <xdr:sp macro="" textlink="">
      <xdr:nvSpPr>
        <xdr:cNvPr id="1884" name="AutoShape 86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304800</xdr:colOff>
      <xdr:row>862</xdr:row>
      <xdr:rowOff>114300</xdr:rowOff>
    </xdr:to>
    <xdr:sp macro="" textlink="">
      <xdr:nvSpPr>
        <xdr:cNvPr id="1885" name="AutoShape 8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861</xdr:row>
      <xdr:rowOff>0</xdr:rowOff>
    </xdr:from>
    <xdr:to>
      <xdr:col>5</xdr:col>
      <xdr:colOff>304800</xdr:colOff>
      <xdr:row>862</xdr:row>
      <xdr:rowOff>114300</xdr:rowOff>
    </xdr:to>
    <xdr:sp macro="" textlink="">
      <xdr:nvSpPr>
        <xdr:cNvPr id="1886" name="AutoShape 86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304800</xdr:colOff>
      <xdr:row>864</xdr:row>
      <xdr:rowOff>114300</xdr:rowOff>
    </xdr:to>
    <xdr:sp macro="" textlink="">
      <xdr:nvSpPr>
        <xdr:cNvPr id="1887" name="AutoShape 8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863</xdr:row>
      <xdr:rowOff>0</xdr:rowOff>
    </xdr:from>
    <xdr:to>
      <xdr:col>5</xdr:col>
      <xdr:colOff>304800</xdr:colOff>
      <xdr:row>864</xdr:row>
      <xdr:rowOff>114300</xdr:rowOff>
    </xdr:to>
    <xdr:sp macro="" textlink="">
      <xdr:nvSpPr>
        <xdr:cNvPr id="1888" name="AutoShape 86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304800</xdr:colOff>
      <xdr:row>866</xdr:row>
      <xdr:rowOff>76200</xdr:rowOff>
    </xdr:to>
    <xdr:sp macro="" textlink="">
      <xdr:nvSpPr>
        <xdr:cNvPr id="1889" name="AutoShape 8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865</xdr:row>
      <xdr:rowOff>0</xdr:rowOff>
    </xdr:from>
    <xdr:to>
      <xdr:col>5</xdr:col>
      <xdr:colOff>304800</xdr:colOff>
      <xdr:row>866</xdr:row>
      <xdr:rowOff>76200</xdr:rowOff>
    </xdr:to>
    <xdr:sp macro="" textlink="">
      <xdr:nvSpPr>
        <xdr:cNvPr id="1890" name="AutoShape 8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304800</xdr:colOff>
      <xdr:row>868</xdr:row>
      <xdr:rowOff>114300</xdr:rowOff>
    </xdr:to>
    <xdr:sp macro="" textlink="">
      <xdr:nvSpPr>
        <xdr:cNvPr id="1891" name="AutoShape 86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867</xdr:row>
      <xdr:rowOff>0</xdr:rowOff>
    </xdr:from>
    <xdr:to>
      <xdr:col>5</xdr:col>
      <xdr:colOff>304800</xdr:colOff>
      <xdr:row>868</xdr:row>
      <xdr:rowOff>114300</xdr:rowOff>
    </xdr:to>
    <xdr:sp macro="" textlink="">
      <xdr:nvSpPr>
        <xdr:cNvPr id="1892" name="AutoShape 86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304800</xdr:colOff>
      <xdr:row>870</xdr:row>
      <xdr:rowOff>76200</xdr:rowOff>
    </xdr:to>
    <xdr:sp macro="" textlink="">
      <xdr:nvSpPr>
        <xdr:cNvPr id="1893" name="AutoShape 8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869</xdr:row>
      <xdr:rowOff>0</xdr:rowOff>
    </xdr:from>
    <xdr:to>
      <xdr:col>5</xdr:col>
      <xdr:colOff>304800</xdr:colOff>
      <xdr:row>870</xdr:row>
      <xdr:rowOff>76200</xdr:rowOff>
    </xdr:to>
    <xdr:sp macro="" textlink="">
      <xdr:nvSpPr>
        <xdr:cNvPr id="1894" name="AutoShape 8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304800</xdr:colOff>
      <xdr:row>872</xdr:row>
      <xdr:rowOff>114300</xdr:rowOff>
    </xdr:to>
    <xdr:sp macro="" textlink="">
      <xdr:nvSpPr>
        <xdr:cNvPr id="1895" name="AutoShape 87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871</xdr:row>
      <xdr:rowOff>0</xdr:rowOff>
    </xdr:from>
    <xdr:to>
      <xdr:col>5</xdr:col>
      <xdr:colOff>304800</xdr:colOff>
      <xdr:row>872</xdr:row>
      <xdr:rowOff>114300</xdr:rowOff>
    </xdr:to>
    <xdr:sp macro="" textlink="">
      <xdr:nvSpPr>
        <xdr:cNvPr id="1896" name="AutoShape 8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304800</xdr:colOff>
      <xdr:row>874</xdr:row>
      <xdr:rowOff>76200</xdr:rowOff>
    </xdr:to>
    <xdr:sp macro="" textlink="">
      <xdr:nvSpPr>
        <xdr:cNvPr id="1897" name="AutoShape 87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873</xdr:row>
      <xdr:rowOff>0</xdr:rowOff>
    </xdr:from>
    <xdr:to>
      <xdr:col>5</xdr:col>
      <xdr:colOff>304800</xdr:colOff>
      <xdr:row>874</xdr:row>
      <xdr:rowOff>76200</xdr:rowOff>
    </xdr:to>
    <xdr:sp macro="" textlink="">
      <xdr:nvSpPr>
        <xdr:cNvPr id="1898" name="AutoShape 8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304800</xdr:colOff>
      <xdr:row>876</xdr:row>
      <xdr:rowOff>76200</xdr:rowOff>
    </xdr:to>
    <xdr:sp macro="" textlink="">
      <xdr:nvSpPr>
        <xdr:cNvPr id="1899" name="AutoShape 8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875</xdr:row>
      <xdr:rowOff>0</xdr:rowOff>
    </xdr:from>
    <xdr:to>
      <xdr:col>5</xdr:col>
      <xdr:colOff>304800</xdr:colOff>
      <xdr:row>876</xdr:row>
      <xdr:rowOff>76200</xdr:rowOff>
    </xdr:to>
    <xdr:sp macro="" textlink="">
      <xdr:nvSpPr>
        <xdr:cNvPr id="1900" name="AutoShape 87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304800</xdr:colOff>
      <xdr:row>878</xdr:row>
      <xdr:rowOff>114300</xdr:rowOff>
    </xdr:to>
    <xdr:sp macro="" textlink="">
      <xdr:nvSpPr>
        <xdr:cNvPr id="1901" name="AutoShape 8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877</xdr:row>
      <xdr:rowOff>0</xdr:rowOff>
    </xdr:from>
    <xdr:to>
      <xdr:col>5</xdr:col>
      <xdr:colOff>304800</xdr:colOff>
      <xdr:row>878</xdr:row>
      <xdr:rowOff>114300</xdr:rowOff>
    </xdr:to>
    <xdr:sp macro="" textlink="">
      <xdr:nvSpPr>
        <xdr:cNvPr id="1902" name="AutoShape 8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304800</xdr:colOff>
      <xdr:row>880</xdr:row>
      <xdr:rowOff>114300</xdr:rowOff>
    </xdr:to>
    <xdr:sp macro="" textlink="">
      <xdr:nvSpPr>
        <xdr:cNvPr id="1903" name="AutoShape 87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879</xdr:row>
      <xdr:rowOff>0</xdr:rowOff>
    </xdr:from>
    <xdr:to>
      <xdr:col>5</xdr:col>
      <xdr:colOff>304800</xdr:colOff>
      <xdr:row>880</xdr:row>
      <xdr:rowOff>114300</xdr:rowOff>
    </xdr:to>
    <xdr:sp macro="" textlink="">
      <xdr:nvSpPr>
        <xdr:cNvPr id="1904" name="AutoShape 88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304800</xdr:colOff>
      <xdr:row>882</xdr:row>
      <xdr:rowOff>114300</xdr:rowOff>
    </xdr:to>
    <xdr:sp macro="" textlink="">
      <xdr:nvSpPr>
        <xdr:cNvPr id="1905" name="AutoShape 88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881</xdr:row>
      <xdr:rowOff>0</xdr:rowOff>
    </xdr:from>
    <xdr:to>
      <xdr:col>5</xdr:col>
      <xdr:colOff>304800</xdr:colOff>
      <xdr:row>882</xdr:row>
      <xdr:rowOff>114300</xdr:rowOff>
    </xdr:to>
    <xdr:sp macro="" textlink="">
      <xdr:nvSpPr>
        <xdr:cNvPr id="1906" name="AutoShape 8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304800</xdr:colOff>
      <xdr:row>884</xdr:row>
      <xdr:rowOff>114300</xdr:rowOff>
    </xdr:to>
    <xdr:sp macro="" textlink="">
      <xdr:nvSpPr>
        <xdr:cNvPr id="1907" name="AutoShape 88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883</xdr:row>
      <xdr:rowOff>0</xdr:rowOff>
    </xdr:from>
    <xdr:to>
      <xdr:col>5</xdr:col>
      <xdr:colOff>304800</xdr:colOff>
      <xdr:row>884</xdr:row>
      <xdr:rowOff>114300</xdr:rowOff>
    </xdr:to>
    <xdr:sp macro="" textlink="">
      <xdr:nvSpPr>
        <xdr:cNvPr id="1908" name="AutoShape 8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304800</xdr:colOff>
      <xdr:row>886</xdr:row>
      <xdr:rowOff>114300</xdr:rowOff>
    </xdr:to>
    <xdr:sp macro="" textlink="">
      <xdr:nvSpPr>
        <xdr:cNvPr id="1909" name="AutoShape 8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885</xdr:row>
      <xdr:rowOff>0</xdr:rowOff>
    </xdr:from>
    <xdr:to>
      <xdr:col>5</xdr:col>
      <xdr:colOff>304800</xdr:colOff>
      <xdr:row>886</xdr:row>
      <xdr:rowOff>114300</xdr:rowOff>
    </xdr:to>
    <xdr:sp macro="" textlink="">
      <xdr:nvSpPr>
        <xdr:cNvPr id="1910" name="AutoShape 88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304800</xdr:colOff>
      <xdr:row>888</xdr:row>
      <xdr:rowOff>114300</xdr:rowOff>
    </xdr:to>
    <xdr:sp macro="" textlink="">
      <xdr:nvSpPr>
        <xdr:cNvPr id="1911" name="AutoShape 8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887</xdr:row>
      <xdr:rowOff>0</xdr:rowOff>
    </xdr:from>
    <xdr:to>
      <xdr:col>5</xdr:col>
      <xdr:colOff>304800</xdr:colOff>
      <xdr:row>888</xdr:row>
      <xdr:rowOff>114300</xdr:rowOff>
    </xdr:to>
    <xdr:sp macro="" textlink="">
      <xdr:nvSpPr>
        <xdr:cNvPr id="1912" name="AutoShape 88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304800</xdr:colOff>
      <xdr:row>890</xdr:row>
      <xdr:rowOff>114300</xdr:rowOff>
    </xdr:to>
    <xdr:sp macro="" textlink="">
      <xdr:nvSpPr>
        <xdr:cNvPr id="1913" name="AutoShape 8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889</xdr:row>
      <xdr:rowOff>0</xdr:rowOff>
    </xdr:from>
    <xdr:to>
      <xdr:col>5</xdr:col>
      <xdr:colOff>304800</xdr:colOff>
      <xdr:row>890</xdr:row>
      <xdr:rowOff>114300</xdr:rowOff>
    </xdr:to>
    <xdr:sp macro="" textlink="">
      <xdr:nvSpPr>
        <xdr:cNvPr id="1914" name="AutoShape 8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304800</xdr:colOff>
      <xdr:row>892</xdr:row>
      <xdr:rowOff>114300</xdr:rowOff>
    </xdr:to>
    <xdr:sp macro="" textlink="">
      <xdr:nvSpPr>
        <xdr:cNvPr id="1915" name="AutoShape 89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891</xdr:row>
      <xdr:rowOff>0</xdr:rowOff>
    </xdr:from>
    <xdr:to>
      <xdr:col>5</xdr:col>
      <xdr:colOff>304800</xdr:colOff>
      <xdr:row>892</xdr:row>
      <xdr:rowOff>114300</xdr:rowOff>
    </xdr:to>
    <xdr:sp macro="" textlink="">
      <xdr:nvSpPr>
        <xdr:cNvPr id="1916" name="AutoShape 8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304800</xdr:colOff>
      <xdr:row>894</xdr:row>
      <xdr:rowOff>76200</xdr:rowOff>
    </xdr:to>
    <xdr:sp macro="" textlink="">
      <xdr:nvSpPr>
        <xdr:cNvPr id="1917" name="AutoShape 89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893</xdr:row>
      <xdr:rowOff>0</xdr:rowOff>
    </xdr:from>
    <xdr:to>
      <xdr:col>5</xdr:col>
      <xdr:colOff>304800</xdr:colOff>
      <xdr:row>894</xdr:row>
      <xdr:rowOff>76200</xdr:rowOff>
    </xdr:to>
    <xdr:sp macro="" textlink="">
      <xdr:nvSpPr>
        <xdr:cNvPr id="1918" name="AutoShape 8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304800</xdr:colOff>
      <xdr:row>896</xdr:row>
      <xdr:rowOff>114300</xdr:rowOff>
    </xdr:to>
    <xdr:sp macro="" textlink="">
      <xdr:nvSpPr>
        <xdr:cNvPr id="1919" name="AutoShape 89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895</xdr:row>
      <xdr:rowOff>0</xdr:rowOff>
    </xdr:from>
    <xdr:to>
      <xdr:col>5</xdr:col>
      <xdr:colOff>304800</xdr:colOff>
      <xdr:row>896</xdr:row>
      <xdr:rowOff>114300</xdr:rowOff>
    </xdr:to>
    <xdr:sp macro="" textlink="">
      <xdr:nvSpPr>
        <xdr:cNvPr id="1920" name="AutoShape 89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304800</xdr:colOff>
      <xdr:row>898</xdr:row>
      <xdr:rowOff>76200</xdr:rowOff>
    </xdr:to>
    <xdr:sp macro="" textlink="">
      <xdr:nvSpPr>
        <xdr:cNvPr id="1921" name="AutoShape 8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897</xdr:row>
      <xdr:rowOff>0</xdr:rowOff>
    </xdr:from>
    <xdr:to>
      <xdr:col>5</xdr:col>
      <xdr:colOff>304800</xdr:colOff>
      <xdr:row>898</xdr:row>
      <xdr:rowOff>76200</xdr:rowOff>
    </xdr:to>
    <xdr:sp macro="" textlink="">
      <xdr:nvSpPr>
        <xdr:cNvPr id="1922" name="AutoShape 8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304800</xdr:colOff>
      <xdr:row>900</xdr:row>
      <xdr:rowOff>114300</xdr:rowOff>
    </xdr:to>
    <xdr:sp macro="" textlink="">
      <xdr:nvSpPr>
        <xdr:cNvPr id="1923" name="AutoShape 89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899</xdr:row>
      <xdr:rowOff>0</xdr:rowOff>
    </xdr:from>
    <xdr:to>
      <xdr:col>5</xdr:col>
      <xdr:colOff>304800</xdr:colOff>
      <xdr:row>900</xdr:row>
      <xdr:rowOff>114300</xdr:rowOff>
    </xdr:to>
    <xdr:sp macro="" textlink="">
      <xdr:nvSpPr>
        <xdr:cNvPr id="1924" name="AutoShape 9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304800</xdr:colOff>
      <xdr:row>902</xdr:row>
      <xdr:rowOff>114300</xdr:rowOff>
    </xdr:to>
    <xdr:sp macro="" textlink="">
      <xdr:nvSpPr>
        <xdr:cNvPr id="1925" name="AutoShape 90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901</xdr:row>
      <xdr:rowOff>0</xdr:rowOff>
    </xdr:from>
    <xdr:to>
      <xdr:col>5</xdr:col>
      <xdr:colOff>304800</xdr:colOff>
      <xdr:row>902</xdr:row>
      <xdr:rowOff>114300</xdr:rowOff>
    </xdr:to>
    <xdr:sp macro="" textlink="">
      <xdr:nvSpPr>
        <xdr:cNvPr id="1926" name="AutoShape 9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304800</xdr:colOff>
      <xdr:row>904</xdr:row>
      <xdr:rowOff>114300</xdr:rowOff>
    </xdr:to>
    <xdr:sp macro="" textlink="">
      <xdr:nvSpPr>
        <xdr:cNvPr id="1927" name="AutoShape 9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903</xdr:row>
      <xdr:rowOff>0</xdr:rowOff>
    </xdr:from>
    <xdr:to>
      <xdr:col>5</xdr:col>
      <xdr:colOff>304800</xdr:colOff>
      <xdr:row>904</xdr:row>
      <xdr:rowOff>114300</xdr:rowOff>
    </xdr:to>
    <xdr:sp macro="" textlink="">
      <xdr:nvSpPr>
        <xdr:cNvPr id="1928" name="AutoShape 9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304800</xdr:colOff>
      <xdr:row>906</xdr:row>
      <xdr:rowOff>76200</xdr:rowOff>
    </xdr:to>
    <xdr:sp macro="" textlink="">
      <xdr:nvSpPr>
        <xdr:cNvPr id="1929" name="AutoShape 90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905</xdr:row>
      <xdr:rowOff>0</xdr:rowOff>
    </xdr:from>
    <xdr:to>
      <xdr:col>5</xdr:col>
      <xdr:colOff>304800</xdr:colOff>
      <xdr:row>906</xdr:row>
      <xdr:rowOff>76200</xdr:rowOff>
    </xdr:to>
    <xdr:sp macro="" textlink="">
      <xdr:nvSpPr>
        <xdr:cNvPr id="1930" name="AutoShape 9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907</xdr:row>
      <xdr:rowOff>0</xdr:rowOff>
    </xdr:from>
    <xdr:to>
      <xdr:col>4</xdr:col>
      <xdr:colOff>304800</xdr:colOff>
      <xdr:row>908</xdr:row>
      <xdr:rowOff>114300</xdr:rowOff>
    </xdr:to>
    <xdr:sp macro="" textlink="">
      <xdr:nvSpPr>
        <xdr:cNvPr id="1931" name="AutoShape 90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907</xdr:row>
      <xdr:rowOff>0</xdr:rowOff>
    </xdr:from>
    <xdr:to>
      <xdr:col>5</xdr:col>
      <xdr:colOff>304800</xdr:colOff>
      <xdr:row>908</xdr:row>
      <xdr:rowOff>114300</xdr:rowOff>
    </xdr:to>
    <xdr:sp macro="" textlink="">
      <xdr:nvSpPr>
        <xdr:cNvPr id="1932" name="AutoShape 90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304800</xdr:colOff>
      <xdr:row>910</xdr:row>
      <xdr:rowOff>76200</xdr:rowOff>
    </xdr:to>
    <xdr:sp macro="" textlink="">
      <xdr:nvSpPr>
        <xdr:cNvPr id="1933" name="AutoShape 9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909</xdr:row>
      <xdr:rowOff>0</xdr:rowOff>
    </xdr:from>
    <xdr:to>
      <xdr:col>5</xdr:col>
      <xdr:colOff>304800</xdr:colOff>
      <xdr:row>910</xdr:row>
      <xdr:rowOff>76200</xdr:rowOff>
    </xdr:to>
    <xdr:sp macro="" textlink="">
      <xdr:nvSpPr>
        <xdr:cNvPr id="1934" name="AutoShape 91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304800</xdr:colOff>
      <xdr:row>912</xdr:row>
      <xdr:rowOff>114300</xdr:rowOff>
    </xdr:to>
    <xdr:sp macro="" textlink="">
      <xdr:nvSpPr>
        <xdr:cNvPr id="1935" name="AutoShape 91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911</xdr:row>
      <xdr:rowOff>0</xdr:rowOff>
    </xdr:from>
    <xdr:to>
      <xdr:col>5</xdr:col>
      <xdr:colOff>304800</xdr:colOff>
      <xdr:row>912</xdr:row>
      <xdr:rowOff>114300</xdr:rowOff>
    </xdr:to>
    <xdr:sp macro="" textlink="">
      <xdr:nvSpPr>
        <xdr:cNvPr id="1936" name="AutoShape 9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304800</xdr:colOff>
      <xdr:row>914</xdr:row>
      <xdr:rowOff>76200</xdr:rowOff>
    </xdr:to>
    <xdr:sp macro="" textlink="">
      <xdr:nvSpPr>
        <xdr:cNvPr id="1937" name="AutoShape 91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913</xdr:row>
      <xdr:rowOff>0</xdr:rowOff>
    </xdr:from>
    <xdr:to>
      <xdr:col>5</xdr:col>
      <xdr:colOff>304800</xdr:colOff>
      <xdr:row>914</xdr:row>
      <xdr:rowOff>76200</xdr:rowOff>
    </xdr:to>
    <xdr:sp macro="" textlink="">
      <xdr:nvSpPr>
        <xdr:cNvPr id="1938" name="AutoShape 91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304800</xdr:colOff>
      <xdr:row>916</xdr:row>
      <xdr:rowOff>114300</xdr:rowOff>
    </xdr:to>
    <xdr:sp macro="" textlink="">
      <xdr:nvSpPr>
        <xdr:cNvPr id="1939" name="AutoShape 9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915</xdr:row>
      <xdr:rowOff>0</xdr:rowOff>
    </xdr:from>
    <xdr:to>
      <xdr:col>5</xdr:col>
      <xdr:colOff>304800</xdr:colOff>
      <xdr:row>916</xdr:row>
      <xdr:rowOff>114300</xdr:rowOff>
    </xdr:to>
    <xdr:sp macro="" textlink="">
      <xdr:nvSpPr>
        <xdr:cNvPr id="1940" name="AutoShape 9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917</xdr:row>
      <xdr:rowOff>0</xdr:rowOff>
    </xdr:from>
    <xdr:to>
      <xdr:col>4</xdr:col>
      <xdr:colOff>304800</xdr:colOff>
      <xdr:row>918</xdr:row>
      <xdr:rowOff>114300</xdr:rowOff>
    </xdr:to>
    <xdr:sp macro="" textlink="">
      <xdr:nvSpPr>
        <xdr:cNvPr id="1941" name="AutoShape 91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917</xdr:row>
      <xdr:rowOff>0</xdr:rowOff>
    </xdr:from>
    <xdr:to>
      <xdr:col>5</xdr:col>
      <xdr:colOff>304800</xdr:colOff>
      <xdr:row>918</xdr:row>
      <xdr:rowOff>114300</xdr:rowOff>
    </xdr:to>
    <xdr:sp macro="" textlink="">
      <xdr:nvSpPr>
        <xdr:cNvPr id="1942" name="AutoShape 9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304800</xdr:colOff>
      <xdr:row>920</xdr:row>
      <xdr:rowOff>114300</xdr:rowOff>
    </xdr:to>
    <xdr:sp macro="" textlink="">
      <xdr:nvSpPr>
        <xdr:cNvPr id="1943" name="AutoShape 91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919</xdr:row>
      <xdr:rowOff>0</xdr:rowOff>
    </xdr:from>
    <xdr:to>
      <xdr:col>5</xdr:col>
      <xdr:colOff>304800</xdr:colOff>
      <xdr:row>920</xdr:row>
      <xdr:rowOff>114300</xdr:rowOff>
    </xdr:to>
    <xdr:sp macro="" textlink="">
      <xdr:nvSpPr>
        <xdr:cNvPr id="1944" name="AutoShape 9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304800</xdr:colOff>
      <xdr:row>922</xdr:row>
      <xdr:rowOff>114300</xdr:rowOff>
    </xdr:to>
    <xdr:sp macro="" textlink="">
      <xdr:nvSpPr>
        <xdr:cNvPr id="1945" name="AutoShape 9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921</xdr:row>
      <xdr:rowOff>0</xdr:rowOff>
    </xdr:from>
    <xdr:to>
      <xdr:col>5</xdr:col>
      <xdr:colOff>304800</xdr:colOff>
      <xdr:row>922</xdr:row>
      <xdr:rowOff>114300</xdr:rowOff>
    </xdr:to>
    <xdr:sp macro="" textlink="">
      <xdr:nvSpPr>
        <xdr:cNvPr id="1946" name="AutoShape 9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304800</xdr:colOff>
      <xdr:row>924</xdr:row>
      <xdr:rowOff>114300</xdr:rowOff>
    </xdr:to>
    <xdr:sp macro="" textlink="">
      <xdr:nvSpPr>
        <xdr:cNvPr id="1947" name="AutoShape 92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923</xdr:row>
      <xdr:rowOff>0</xdr:rowOff>
    </xdr:from>
    <xdr:to>
      <xdr:col>5</xdr:col>
      <xdr:colOff>304800</xdr:colOff>
      <xdr:row>924</xdr:row>
      <xdr:rowOff>114300</xdr:rowOff>
    </xdr:to>
    <xdr:sp macro="" textlink="">
      <xdr:nvSpPr>
        <xdr:cNvPr id="1948" name="AutoShape 9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304800</xdr:colOff>
      <xdr:row>926</xdr:row>
      <xdr:rowOff>114300</xdr:rowOff>
    </xdr:to>
    <xdr:sp macro="" textlink="">
      <xdr:nvSpPr>
        <xdr:cNvPr id="1949" name="AutoShape 92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925</xdr:row>
      <xdr:rowOff>0</xdr:rowOff>
    </xdr:from>
    <xdr:to>
      <xdr:col>5</xdr:col>
      <xdr:colOff>304800</xdr:colOff>
      <xdr:row>926</xdr:row>
      <xdr:rowOff>114300</xdr:rowOff>
    </xdr:to>
    <xdr:sp macro="" textlink="">
      <xdr:nvSpPr>
        <xdr:cNvPr id="1950" name="AutoShape 92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927</xdr:row>
      <xdr:rowOff>0</xdr:rowOff>
    </xdr:from>
    <xdr:to>
      <xdr:col>4</xdr:col>
      <xdr:colOff>304800</xdr:colOff>
      <xdr:row>928</xdr:row>
      <xdr:rowOff>114300</xdr:rowOff>
    </xdr:to>
    <xdr:sp macro="" textlink="">
      <xdr:nvSpPr>
        <xdr:cNvPr id="1951" name="AutoShape 9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927</xdr:row>
      <xdr:rowOff>0</xdr:rowOff>
    </xdr:from>
    <xdr:to>
      <xdr:col>5</xdr:col>
      <xdr:colOff>304800</xdr:colOff>
      <xdr:row>928</xdr:row>
      <xdr:rowOff>114300</xdr:rowOff>
    </xdr:to>
    <xdr:sp macro="" textlink="">
      <xdr:nvSpPr>
        <xdr:cNvPr id="1952" name="AutoShape 92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929</xdr:row>
      <xdr:rowOff>0</xdr:rowOff>
    </xdr:from>
    <xdr:to>
      <xdr:col>4</xdr:col>
      <xdr:colOff>304800</xdr:colOff>
      <xdr:row>930</xdr:row>
      <xdr:rowOff>114300</xdr:rowOff>
    </xdr:to>
    <xdr:sp macro="" textlink="">
      <xdr:nvSpPr>
        <xdr:cNvPr id="1953" name="AutoShape 92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929</xdr:row>
      <xdr:rowOff>0</xdr:rowOff>
    </xdr:from>
    <xdr:to>
      <xdr:col>5</xdr:col>
      <xdr:colOff>304800</xdr:colOff>
      <xdr:row>930</xdr:row>
      <xdr:rowOff>114300</xdr:rowOff>
    </xdr:to>
    <xdr:sp macro="" textlink="">
      <xdr:nvSpPr>
        <xdr:cNvPr id="1954" name="AutoShape 9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304800</xdr:colOff>
      <xdr:row>932</xdr:row>
      <xdr:rowOff>114300</xdr:rowOff>
    </xdr:to>
    <xdr:sp macro="" textlink="">
      <xdr:nvSpPr>
        <xdr:cNvPr id="1955" name="AutoShape 93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931</xdr:row>
      <xdr:rowOff>0</xdr:rowOff>
    </xdr:from>
    <xdr:to>
      <xdr:col>5</xdr:col>
      <xdr:colOff>304800</xdr:colOff>
      <xdr:row>932</xdr:row>
      <xdr:rowOff>114300</xdr:rowOff>
    </xdr:to>
    <xdr:sp macro="" textlink="">
      <xdr:nvSpPr>
        <xdr:cNvPr id="1956" name="AutoShape 93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304800</xdr:colOff>
      <xdr:row>934</xdr:row>
      <xdr:rowOff>114300</xdr:rowOff>
    </xdr:to>
    <xdr:sp macro="" textlink="">
      <xdr:nvSpPr>
        <xdr:cNvPr id="1957" name="AutoShape 9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304800</xdr:colOff>
      <xdr:row>934</xdr:row>
      <xdr:rowOff>114300</xdr:rowOff>
    </xdr:to>
    <xdr:sp macro="" textlink="">
      <xdr:nvSpPr>
        <xdr:cNvPr id="1958" name="AutoShape 93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935</xdr:row>
      <xdr:rowOff>0</xdr:rowOff>
    </xdr:from>
    <xdr:to>
      <xdr:col>4</xdr:col>
      <xdr:colOff>304800</xdr:colOff>
      <xdr:row>936</xdr:row>
      <xdr:rowOff>114300</xdr:rowOff>
    </xdr:to>
    <xdr:sp macro="" textlink="">
      <xdr:nvSpPr>
        <xdr:cNvPr id="1959" name="AutoShape 9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304800</xdr:colOff>
      <xdr:row>936</xdr:row>
      <xdr:rowOff>114300</xdr:rowOff>
    </xdr:to>
    <xdr:sp macro="" textlink="">
      <xdr:nvSpPr>
        <xdr:cNvPr id="1960" name="AutoShape 93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304800</xdr:colOff>
      <xdr:row>938</xdr:row>
      <xdr:rowOff>114300</xdr:rowOff>
    </xdr:to>
    <xdr:sp macro="" textlink="">
      <xdr:nvSpPr>
        <xdr:cNvPr id="1961" name="AutoShape 93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304800</xdr:colOff>
      <xdr:row>938</xdr:row>
      <xdr:rowOff>114300</xdr:rowOff>
    </xdr:to>
    <xdr:sp macro="" textlink="">
      <xdr:nvSpPr>
        <xdr:cNvPr id="1962" name="AutoShape 9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304800</xdr:colOff>
      <xdr:row>940</xdr:row>
      <xdr:rowOff>114300</xdr:rowOff>
    </xdr:to>
    <xdr:sp macro="" textlink="">
      <xdr:nvSpPr>
        <xdr:cNvPr id="1963" name="AutoShape 9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0</xdr:rowOff>
    </xdr:from>
    <xdr:to>
      <xdr:col>5</xdr:col>
      <xdr:colOff>304800</xdr:colOff>
      <xdr:row>940</xdr:row>
      <xdr:rowOff>114300</xdr:rowOff>
    </xdr:to>
    <xdr:sp macro="" textlink="">
      <xdr:nvSpPr>
        <xdr:cNvPr id="1964" name="AutoShape 9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941</xdr:row>
      <xdr:rowOff>0</xdr:rowOff>
    </xdr:from>
    <xdr:to>
      <xdr:col>4</xdr:col>
      <xdr:colOff>304800</xdr:colOff>
      <xdr:row>942</xdr:row>
      <xdr:rowOff>114300</xdr:rowOff>
    </xdr:to>
    <xdr:sp macro="" textlink="">
      <xdr:nvSpPr>
        <xdr:cNvPr id="1965" name="AutoShape 9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0</xdr:rowOff>
    </xdr:from>
    <xdr:to>
      <xdr:col>5</xdr:col>
      <xdr:colOff>304800</xdr:colOff>
      <xdr:row>942</xdr:row>
      <xdr:rowOff>114300</xdr:rowOff>
    </xdr:to>
    <xdr:sp macro="" textlink="">
      <xdr:nvSpPr>
        <xdr:cNvPr id="1966" name="AutoShape 94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943</xdr:row>
      <xdr:rowOff>0</xdr:rowOff>
    </xdr:from>
    <xdr:to>
      <xdr:col>4</xdr:col>
      <xdr:colOff>304800</xdr:colOff>
      <xdr:row>944</xdr:row>
      <xdr:rowOff>114300</xdr:rowOff>
    </xdr:to>
    <xdr:sp macro="" textlink="">
      <xdr:nvSpPr>
        <xdr:cNvPr id="1967" name="AutoShape 94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0</xdr:rowOff>
    </xdr:from>
    <xdr:to>
      <xdr:col>5</xdr:col>
      <xdr:colOff>304800</xdr:colOff>
      <xdr:row>944</xdr:row>
      <xdr:rowOff>114300</xdr:rowOff>
    </xdr:to>
    <xdr:sp macro="" textlink="">
      <xdr:nvSpPr>
        <xdr:cNvPr id="1968" name="AutoShape 94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945</xdr:row>
      <xdr:rowOff>0</xdr:rowOff>
    </xdr:from>
    <xdr:to>
      <xdr:col>4</xdr:col>
      <xdr:colOff>304800</xdr:colOff>
      <xdr:row>946</xdr:row>
      <xdr:rowOff>114300</xdr:rowOff>
    </xdr:to>
    <xdr:sp macro="" textlink="">
      <xdr:nvSpPr>
        <xdr:cNvPr id="1969" name="AutoShape 9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945</xdr:row>
      <xdr:rowOff>0</xdr:rowOff>
    </xdr:from>
    <xdr:to>
      <xdr:col>5</xdr:col>
      <xdr:colOff>304800</xdr:colOff>
      <xdr:row>946</xdr:row>
      <xdr:rowOff>114300</xdr:rowOff>
    </xdr:to>
    <xdr:sp macro="" textlink="">
      <xdr:nvSpPr>
        <xdr:cNvPr id="1970" name="AutoShape 9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304800</xdr:colOff>
      <xdr:row>948</xdr:row>
      <xdr:rowOff>114300</xdr:rowOff>
    </xdr:to>
    <xdr:sp macro="" textlink="">
      <xdr:nvSpPr>
        <xdr:cNvPr id="1971" name="AutoShape 9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947</xdr:row>
      <xdr:rowOff>0</xdr:rowOff>
    </xdr:from>
    <xdr:to>
      <xdr:col>5</xdr:col>
      <xdr:colOff>304800</xdr:colOff>
      <xdr:row>948</xdr:row>
      <xdr:rowOff>114300</xdr:rowOff>
    </xdr:to>
    <xdr:sp macro="" textlink="">
      <xdr:nvSpPr>
        <xdr:cNvPr id="1972" name="AutoShape 9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304800</xdr:colOff>
      <xdr:row>950</xdr:row>
      <xdr:rowOff>114300</xdr:rowOff>
    </xdr:to>
    <xdr:sp macro="" textlink="">
      <xdr:nvSpPr>
        <xdr:cNvPr id="1973" name="AutoShape 94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949</xdr:row>
      <xdr:rowOff>0</xdr:rowOff>
    </xdr:from>
    <xdr:to>
      <xdr:col>5</xdr:col>
      <xdr:colOff>304800</xdr:colOff>
      <xdr:row>950</xdr:row>
      <xdr:rowOff>114300</xdr:rowOff>
    </xdr:to>
    <xdr:sp macro="" textlink="">
      <xdr:nvSpPr>
        <xdr:cNvPr id="1974" name="AutoShape 95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951</xdr:row>
      <xdr:rowOff>0</xdr:rowOff>
    </xdr:from>
    <xdr:to>
      <xdr:col>4</xdr:col>
      <xdr:colOff>304800</xdr:colOff>
      <xdr:row>952</xdr:row>
      <xdr:rowOff>76200</xdr:rowOff>
    </xdr:to>
    <xdr:sp macro="" textlink="">
      <xdr:nvSpPr>
        <xdr:cNvPr id="1975" name="AutoShape 9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951</xdr:row>
      <xdr:rowOff>0</xdr:rowOff>
    </xdr:from>
    <xdr:to>
      <xdr:col>5</xdr:col>
      <xdr:colOff>304800</xdr:colOff>
      <xdr:row>952</xdr:row>
      <xdr:rowOff>76200</xdr:rowOff>
    </xdr:to>
    <xdr:sp macro="" textlink="">
      <xdr:nvSpPr>
        <xdr:cNvPr id="1976" name="AutoShape 95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953</xdr:row>
      <xdr:rowOff>0</xdr:rowOff>
    </xdr:from>
    <xdr:to>
      <xdr:col>4</xdr:col>
      <xdr:colOff>304800</xdr:colOff>
      <xdr:row>954</xdr:row>
      <xdr:rowOff>114300</xdr:rowOff>
    </xdr:to>
    <xdr:sp macro="" textlink="">
      <xdr:nvSpPr>
        <xdr:cNvPr id="1977" name="AutoShape 9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953</xdr:row>
      <xdr:rowOff>0</xdr:rowOff>
    </xdr:from>
    <xdr:to>
      <xdr:col>5</xdr:col>
      <xdr:colOff>304800</xdr:colOff>
      <xdr:row>954</xdr:row>
      <xdr:rowOff>114300</xdr:rowOff>
    </xdr:to>
    <xdr:sp macro="" textlink="">
      <xdr:nvSpPr>
        <xdr:cNvPr id="1978" name="AutoShape 9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304800</xdr:colOff>
      <xdr:row>956</xdr:row>
      <xdr:rowOff>114300</xdr:rowOff>
    </xdr:to>
    <xdr:sp macro="" textlink="">
      <xdr:nvSpPr>
        <xdr:cNvPr id="1979" name="AutoShape 95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955</xdr:row>
      <xdr:rowOff>0</xdr:rowOff>
    </xdr:from>
    <xdr:to>
      <xdr:col>5</xdr:col>
      <xdr:colOff>304800</xdr:colOff>
      <xdr:row>956</xdr:row>
      <xdr:rowOff>114300</xdr:rowOff>
    </xdr:to>
    <xdr:sp macro="" textlink="">
      <xdr:nvSpPr>
        <xdr:cNvPr id="1980" name="AutoShape 95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304800</xdr:colOff>
      <xdr:row>958</xdr:row>
      <xdr:rowOff>76200</xdr:rowOff>
    </xdr:to>
    <xdr:sp macro="" textlink="">
      <xdr:nvSpPr>
        <xdr:cNvPr id="1981" name="AutoShape 95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957</xdr:row>
      <xdr:rowOff>0</xdr:rowOff>
    </xdr:from>
    <xdr:to>
      <xdr:col>5</xdr:col>
      <xdr:colOff>304800</xdr:colOff>
      <xdr:row>958</xdr:row>
      <xdr:rowOff>76200</xdr:rowOff>
    </xdr:to>
    <xdr:sp macro="" textlink="">
      <xdr:nvSpPr>
        <xdr:cNvPr id="1982" name="AutoShape 95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304800</xdr:colOff>
      <xdr:row>960</xdr:row>
      <xdr:rowOff>114300</xdr:rowOff>
    </xdr:to>
    <xdr:sp macro="" textlink="">
      <xdr:nvSpPr>
        <xdr:cNvPr id="1983" name="AutoShape 9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959</xdr:row>
      <xdr:rowOff>0</xdr:rowOff>
    </xdr:from>
    <xdr:to>
      <xdr:col>5</xdr:col>
      <xdr:colOff>304800</xdr:colOff>
      <xdr:row>960</xdr:row>
      <xdr:rowOff>114300</xdr:rowOff>
    </xdr:to>
    <xdr:sp macro="" textlink="">
      <xdr:nvSpPr>
        <xdr:cNvPr id="1984" name="AutoShape 9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304800</xdr:colOff>
      <xdr:row>962</xdr:row>
      <xdr:rowOff>114300</xdr:rowOff>
    </xdr:to>
    <xdr:sp macro="" textlink="">
      <xdr:nvSpPr>
        <xdr:cNvPr id="1985" name="AutoShape 9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961</xdr:row>
      <xdr:rowOff>0</xdr:rowOff>
    </xdr:from>
    <xdr:to>
      <xdr:col>5</xdr:col>
      <xdr:colOff>304800</xdr:colOff>
      <xdr:row>962</xdr:row>
      <xdr:rowOff>114300</xdr:rowOff>
    </xdr:to>
    <xdr:sp macro="" textlink="">
      <xdr:nvSpPr>
        <xdr:cNvPr id="1986" name="AutoShape 96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963</xdr:row>
      <xdr:rowOff>0</xdr:rowOff>
    </xdr:from>
    <xdr:to>
      <xdr:col>4</xdr:col>
      <xdr:colOff>304800</xdr:colOff>
      <xdr:row>964</xdr:row>
      <xdr:rowOff>114300</xdr:rowOff>
    </xdr:to>
    <xdr:sp macro="" textlink="">
      <xdr:nvSpPr>
        <xdr:cNvPr id="1987" name="AutoShape 96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963</xdr:row>
      <xdr:rowOff>0</xdr:rowOff>
    </xdr:from>
    <xdr:to>
      <xdr:col>5</xdr:col>
      <xdr:colOff>304800</xdr:colOff>
      <xdr:row>964</xdr:row>
      <xdr:rowOff>114300</xdr:rowOff>
    </xdr:to>
    <xdr:sp macro="" textlink="">
      <xdr:nvSpPr>
        <xdr:cNvPr id="1988" name="AutoShape 9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304800</xdr:colOff>
      <xdr:row>966</xdr:row>
      <xdr:rowOff>114300</xdr:rowOff>
    </xdr:to>
    <xdr:sp macro="" textlink="">
      <xdr:nvSpPr>
        <xdr:cNvPr id="1989" name="AutoShape 96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965</xdr:row>
      <xdr:rowOff>0</xdr:rowOff>
    </xdr:from>
    <xdr:to>
      <xdr:col>5</xdr:col>
      <xdr:colOff>304800</xdr:colOff>
      <xdr:row>966</xdr:row>
      <xdr:rowOff>114300</xdr:rowOff>
    </xdr:to>
    <xdr:sp macro="" textlink="">
      <xdr:nvSpPr>
        <xdr:cNvPr id="1990" name="AutoShape 9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967</xdr:row>
      <xdr:rowOff>0</xdr:rowOff>
    </xdr:from>
    <xdr:to>
      <xdr:col>4</xdr:col>
      <xdr:colOff>304800</xdr:colOff>
      <xdr:row>968</xdr:row>
      <xdr:rowOff>114300</xdr:rowOff>
    </xdr:to>
    <xdr:sp macro="" textlink="">
      <xdr:nvSpPr>
        <xdr:cNvPr id="1991" name="AutoShape 9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967</xdr:row>
      <xdr:rowOff>0</xdr:rowOff>
    </xdr:from>
    <xdr:to>
      <xdr:col>5</xdr:col>
      <xdr:colOff>304800</xdr:colOff>
      <xdr:row>968</xdr:row>
      <xdr:rowOff>114300</xdr:rowOff>
    </xdr:to>
    <xdr:sp macro="" textlink="">
      <xdr:nvSpPr>
        <xdr:cNvPr id="1992" name="AutoShape 96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304800</xdr:colOff>
      <xdr:row>970</xdr:row>
      <xdr:rowOff>114300</xdr:rowOff>
    </xdr:to>
    <xdr:sp macro="" textlink="">
      <xdr:nvSpPr>
        <xdr:cNvPr id="1993" name="AutoShape 96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969</xdr:row>
      <xdr:rowOff>0</xdr:rowOff>
    </xdr:from>
    <xdr:to>
      <xdr:col>5</xdr:col>
      <xdr:colOff>304800</xdr:colOff>
      <xdr:row>970</xdr:row>
      <xdr:rowOff>114300</xdr:rowOff>
    </xdr:to>
    <xdr:sp macro="" textlink="">
      <xdr:nvSpPr>
        <xdr:cNvPr id="1994" name="AutoShape 97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304800</xdr:colOff>
      <xdr:row>972</xdr:row>
      <xdr:rowOff>114300</xdr:rowOff>
    </xdr:to>
    <xdr:sp macro="" textlink="">
      <xdr:nvSpPr>
        <xdr:cNvPr id="1995" name="AutoShape 97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971</xdr:row>
      <xdr:rowOff>0</xdr:rowOff>
    </xdr:from>
    <xdr:to>
      <xdr:col>5</xdr:col>
      <xdr:colOff>304800</xdr:colOff>
      <xdr:row>972</xdr:row>
      <xdr:rowOff>114300</xdr:rowOff>
    </xdr:to>
    <xdr:sp macro="" textlink="">
      <xdr:nvSpPr>
        <xdr:cNvPr id="1996" name="AutoShape 97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304800</xdr:colOff>
      <xdr:row>974</xdr:row>
      <xdr:rowOff>114300</xdr:rowOff>
    </xdr:to>
    <xdr:sp macro="" textlink="">
      <xdr:nvSpPr>
        <xdr:cNvPr id="1997" name="AutoShape 97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304800</xdr:colOff>
      <xdr:row>974</xdr:row>
      <xdr:rowOff>114300</xdr:rowOff>
    </xdr:to>
    <xdr:sp macro="" textlink="">
      <xdr:nvSpPr>
        <xdr:cNvPr id="1998" name="AutoShape 97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304800</xdr:colOff>
      <xdr:row>976</xdr:row>
      <xdr:rowOff>114300</xdr:rowOff>
    </xdr:to>
    <xdr:sp macro="" textlink="">
      <xdr:nvSpPr>
        <xdr:cNvPr id="1999" name="AutoShape 9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304800</xdr:colOff>
      <xdr:row>976</xdr:row>
      <xdr:rowOff>114300</xdr:rowOff>
    </xdr:to>
    <xdr:sp macro="" textlink="">
      <xdr:nvSpPr>
        <xdr:cNvPr id="2000" name="AutoShape 97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304800</xdr:colOff>
      <xdr:row>978</xdr:row>
      <xdr:rowOff>114300</xdr:rowOff>
    </xdr:to>
    <xdr:sp macro="" textlink="">
      <xdr:nvSpPr>
        <xdr:cNvPr id="2001" name="AutoShape 97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304800</xdr:colOff>
      <xdr:row>978</xdr:row>
      <xdr:rowOff>114300</xdr:rowOff>
    </xdr:to>
    <xdr:sp macro="" textlink="">
      <xdr:nvSpPr>
        <xdr:cNvPr id="2002" name="AutoShape 9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304800</xdr:colOff>
      <xdr:row>980</xdr:row>
      <xdr:rowOff>114300</xdr:rowOff>
    </xdr:to>
    <xdr:sp macro="" textlink="">
      <xdr:nvSpPr>
        <xdr:cNvPr id="2003" name="AutoShape 9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979</xdr:row>
      <xdr:rowOff>0</xdr:rowOff>
    </xdr:from>
    <xdr:to>
      <xdr:col>5</xdr:col>
      <xdr:colOff>304800</xdr:colOff>
      <xdr:row>980</xdr:row>
      <xdr:rowOff>114300</xdr:rowOff>
    </xdr:to>
    <xdr:sp macro="" textlink="">
      <xdr:nvSpPr>
        <xdr:cNvPr id="2004" name="AutoShape 9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304800</xdr:colOff>
      <xdr:row>982</xdr:row>
      <xdr:rowOff>76200</xdr:rowOff>
    </xdr:to>
    <xdr:sp macro="" textlink="">
      <xdr:nvSpPr>
        <xdr:cNvPr id="2005" name="AutoShape 9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981</xdr:row>
      <xdr:rowOff>0</xdr:rowOff>
    </xdr:from>
    <xdr:to>
      <xdr:col>5</xdr:col>
      <xdr:colOff>304800</xdr:colOff>
      <xdr:row>982</xdr:row>
      <xdr:rowOff>76200</xdr:rowOff>
    </xdr:to>
    <xdr:sp macro="" textlink="">
      <xdr:nvSpPr>
        <xdr:cNvPr id="2006" name="AutoShape 9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983</xdr:row>
      <xdr:rowOff>0</xdr:rowOff>
    </xdr:from>
    <xdr:to>
      <xdr:col>4</xdr:col>
      <xdr:colOff>304800</xdr:colOff>
      <xdr:row>984</xdr:row>
      <xdr:rowOff>114300</xdr:rowOff>
    </xdr:to>
    <xdr:sp macro="" textlink="">
      <xdr:nvSpPr>
        <xdr:cNvPr id="2007" name="AutoShape 9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983</xdr:row>
      <xdr:rowOff>0</xdr:rowOff>
    </xdr:from>
    <xdr:to>
      <xdr:col>5</xdr:col>
      <xdr:colOff>304800</xdr:colOff>
      <xdr:row>984</xdr:row>
      <xdr:rowOff>114300</xdr:rowOff>
    </xdr:to>
    <xdr:sp macro="" textlink="">
      <xdr:nvSpPr>
        <xdr:cNvPr id="2008" name="AutoShape 9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985</xdr:row>
      <xdr:rowOff>0</xdr:rowOff>
    </xdr:from>
    <xdr:to>
      <xdr:col>4</xdr:col>
      <xdr:colOff>304800</xdr:colOff>
      <xdr:row>986</xdr:row>
      <xdr:rowOff>114300</xdr:rowOff>
    </xdr:to>
    <xdr:sp macro="" textlink="">
      <xdr:nvSpPr>
        <xdr:cNvPr id="2009" name="AutoShape 9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985</xdr:row>
      <xdr:rowOff>0</xdr:rowOff>
    </xdr:from>
    <xdr:to>
      <xdr:col>5</xdr:col>
      <xdr:colOff>304800</xdr:colOff>
      <xdr:row>986</xdr:row>
      <xdr:rowOff>114300</xdr:rowOff>
    </xdr:to>
    <xdr:sp macro="" textlink="">
      <xdr:nvSpPr>
        <xdr:cNvPr id="2010" name="AutoShape 9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987</xdr:row>
      <xdr:rowOff>0</xdr:rowOff>
    </xdr:from>
    <xdr:to>
      <xdr:col>4</xdr:col>
      <xdr:colOff>304800</xdr:colOff>
      <xdr:row>988</xdr:row>
      <xdr:rowOff>76200</xdr:rowOff>
    </xdr:to>
    <xdr:sp macro="" textlink="">
      <xdr:nvSpPr>
        <xdr:cNvPr id="2011" name="AutoShape 98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987</xdr:row>
      <xdr:rowOff>0</xdr:rowOff>
    </xdr:from>
    <xdr:to>
      <xdr:col>5</xdr:col>
      <xdr:colOff>304800</xdr:colOff>
      <xdr:row>988</xdr:row>
      <xdr:rowOff>76200</xdr:rowOff>
    </xdr:to>
    <xdr:sp macro="" textlink="">
      <xdr:nvSpPr>
        <xdr:cNvPr id="2012" name="AutoShape 98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304800</xdr:colOff>
      <xdr:row>990</xdr:row>
      <xdr:rowOff>114300</xdr:rowOff>
    </xdr:to>
    <xdr:sp macro="" textlink="">
      <xdr:nvSpPr>
        <xdr:cNvPr id="2013" name="AutoShape 9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989</xdr:row>
      <xdr:rowOff>0</xdr:rowOff>
    </xdr:from>
    <xdr:to>
      <xdr:col>5</xdr:col>
      <xdr:colOff>304800</xdr:colOff>
      <xdr:row>990</xdr:row>
      <xdr:rowOff>114300</xdr:rowOff>
    </xdr:to>
    <xdr:sp macro="" textlink="">
      <xdr:nvSpPr>
        <xdr:cNvPr id="2014" name="AutoShape 99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991</xdr:row>
      <xdr:rowOff>0</xdr:rowOff>
    </xdr:from>
    <xdr:to>
      <xdr:col>4</xdr:col>
      <xdr:colOff>304800</xdr:colOff>
      <xdr:row>992</xdr:row>
      <xdr:rowOff>114300</xdr:rowOff>
    </xdr:to>
    <xdr:sp macro="" textlink="">
      <xdr:nvSpPr>
        <xdr:cNvPr id="2015" name="AutoShape 99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991</xdr:row>
      <xdr:rowOff>0</xdr:rowOff>
    </xdr:from>
    <xdr:to>
      <xdr:col>5</xdr:col>
      <xdr:colOff>304800</xdr:colOff>
      <xdr:row>992</xdr:row>
      <xdr:rowOff>114300</xdr:rowOff>
    </xdr:to>
    <xdr:sp macro="" textlink="">
      <xdr:nvSpPr>
        <xdr:cNvPr id="2016" name="AutoShape 99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304800</xdr:colOff>
      <xdr:row>994</xdr:row>
      <xdr:rowOff>114300</xdr:rowOff>
    </xdr:to>
    <xdr:sp macro="" textlink="">
      <xdr:nvSpPr>
        <xdr:cNvPr id="2017" name="AutoShape 99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993</xdr:row>
      <xdr:rowOff>0</xdr:rowOff>
    </xdr:from>
    <xdr:to>
      <xdr:col>5</xdr:col>
      <xdr:colOff>304800</xdr:colOff>
      <xdr:row>994</xdr:row>
      <xdr:rowOff>114300</xdr:rowOff>
    </xdr:to>
    <xdr:sp macro="" textlink="">
      <xdr:nvSpPr>
        <xdr:cNvPr id="2018" name="AutoShape 99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304800</xdr:colOff>
      <xdr:row>996</xdr:row>
      <xdr:rowOff>114300</xdr:rowOff>
    </xdr:to>
    <xdr:sp macro="" textlink="">
      <xdr:nvSpPr>
        <xdr:cNvPr id="2019" name="AutoShape 99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995</xdr:row>
      <xdr:rowOff>0</xdr:rowOff>
    </xdr:from>
    <xdr:to>
      <xdr:col>5</xdr:col>
      <xdr:colOff>304800</xdr:colOff>
      <xdr:row>996</xdr:row>
      <xdr:rowOff>114300</xdr:rowOff>
    </xdr:to>
    <xdr:sp macro="" textlink="">
      <xdr:nvSpPr>
        <xdr:cNvPr id="2020" name="AutoShape 99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997</xdr:row>
      <xdr:rowOff>0</xdr:rowOff>
    </xdr:from>
    <xdr:to>
      <xdr:col>4</xdr:col>
      <xdr:colOff>304800</xdr:colOff>
      <xdr:row>998</xdr:row>
      <xdr:rowOff>114300</xdr:rowOff>
    </xdr:to>
    <xdr:sp macro="" textlink="">
      <xdr:nvSpPr>
        <xdr:cNvPr id="2021" name="AutoShape 99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997</xdr:row>
      <xdr:rowOff>0</xdr:rowOff>
    </xdr:from>
    <xdr:to>
      <xdr:col>5</xdr:col>
      <xdr:colOff>304800</xdr:colOff>
      <xdr:row>998</xdr:row>
      <xdr:rowOff>114300</xdr:rowOff>
    </xdr:to>
    <xdr:sp macro="" textlink="">
      <xdr:nvSpPr>
        <xdr:cNvPr id="2022" name="AutoShape 99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999</xdr:row>
      <xdr:rowOff>0</xdr:rowOff>
    </xdr:from>
    <xdr:to>
      <xdr:col>4</xdr:col>
      <xdr:colOff>304800</xdr:colOff>
      <xdr:row>1000</xdr:row>
      <xdr:rowOff>114300</xdr:rowOff>
    </xdr:to>
    <xdr:sp macro="" textlink="">
      <xdr:nvSpPr>
        <xdr:cNvPr id="2023" name="AutoShape 99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999</xdr:row>
      <xdr:rowOff>0</xdr:rowOff>
    </xdr:from>
    <xdr:to>
      <xdr:col>5</xdr:col>
      <xdr:colOff>304800</xdr:colOff>
      <xdr:row>1000</xdr:row>
      <xdr:rowOff>114300</xdr:rowOff>
    </xdr:to>
    <xdr:sp macro="" textlink="">
      <xdr:nvSpPr>
        <xdr:cNvPr id="2024" name="AutoShape 10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1001</xdr:row>
      <xdr:rowOff>0</xdr:rowOff>
    </xdr:from>
    <xdr:to>
      <xdr:col>4</xdr:col>
      <xdr:colOff>304800</xdr:colOff>
      <xdr:row>1002</xdr:row>
      <xdr:rowOff>114300</xdr:rowOff>
    </xdr:to>
    <xdr:sp macro="" textlink="">
      <xdr:nvSpPr>
        <xdr:cNvPr id="2025" name="AutoShape 10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1001</xdr:row>
      <xdr:rowOff>0</xdr:rowOff>
    </xdr:from>
    <xdr:to>
      <xdr:col>5</xdr:col>
      <xdr:colOff>304800</xdr:colOff>
      <xdr:row>1002</xdr:row>
      <xdr:rowOff>114300</xdr:rowOff>
    </xdr:to>
    <xdr:sp macro="" textlink="">
      <xdr:nvSpPr>
        <xdr:cNvPr id="2026" name="AutoShape 100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1003</xdr:row>
      <xdr:rowOff>0</xdr:rowOff>
    </xdr:from>
    <xdr:to>
      <xdr:col>4</xdr:col>
      <xdr:colOff>304800</xdr:colOff>
      <xdr:row>1004</xdr:row>
      <xdr:rowOff>76200</xdr:rowOff>
    </xdr:to>
    <xdr:sp macro="" textlink="">
      <xdr:nvSpPr>
        <xdr:cNvPr id="2027" name="AutoShape 10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1003</xdr:row>
      <xdr:rowOff>0</xdr:rowOff>
    </xdr:from>
    <xdr:to>
      <xdr:col>5</xdr:col>
      <xdr:colOff>304800</xdr:colOff>
      <xdr:row>1004</xdr:row>
      <xdr:rowOff>76200</xdr:rowOff>
    </xdr:to>
    <xdr:sp macro="" textlink="">
      <xdr:nvSpPr>
        <xdr:cNvPr id="2028" name="AutoShape 100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1005</xdr:row>
      <xdr:rowOff>0</xdr:rowOff>
    </xdr:from>
    <xdr:to>
      <xdr:col>4</xdr:col>
      <xdr:colOff>304800</xdr:colOff>
      <xdr:row>1006</xdr:row>
      <xdr:rowOff>114300</xdr:rowOff>
    </xdr:to>
    <xdr:sp macro="" textlink="">
      <xdr:nvSpPr>
        <xdr:cNvPr id="2029" name="AutoShape 10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1005</xdr:row>
      <xdr:rowOff>0</xdr:rowOff>
    </xdr:from>
    <xdr:to>
      <xdr:col>5</xdr:col>
      <xdr:colOff>304800</xdr:colOff>
      <xdr:row>1006</xdr:row>
      <xdr:rowOff>114300</xdr:rowOff>
    </xdr:to>
    <xdr:sp macro="" textlink="">
      <xdr:nvSpPr>
        <xdr:cNvPr id="2030" name="AutoShape 100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1007</xdr:row>
      <xdr:rowOff>0</xdr:rowOff>
    </xdr:from>
    <xdr:to>
      <xdr:col>4</xdr:col>
      <xdr:colOff>304800</xdr:colOff>
      <xdr:row>1008</xdr:row>
      <xdr:rowOff>76200</xdr:rowOff>
    </xdr:to>
    <xdr:sp macro="" textlink="">
      <xdr:nvSpPr>
        <xdr:cNvPr id="2031" name="AutoShape 100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1007</xdr:row>
      <xdr:rowOff>0</xdr:rowOff>
    </xdr:from>
    <xdr:to>
      <xdr:col>5</xdr:col>
      <xdr:colOff>304800</xdr:colOff>
      <xdr:row>1008</xdr:row>
      <xdr:rowOff>76200</xdr:rowOff>
    </xdr:to>
    <xdr:sp macro="" textlink="">
      <xdr:nvSpPr>
        <xdr:cNvPr id="2032" name="AutoShape 100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1009</xdr:row>
      <xdr:rowOff>0</xdr:rowOff>
    </xdr:from>
    <xdr:to>
      <xdr:col>4</xdr:col>
      <xdr:colOff>304800</xdr:colOff>
      <xdr:row>1010</xdr:row>
      <xdr:rowOff>114300</xdr:rowOff>
    </xdr:to>
    <xdr:sp macro="" textlink="">
      <xdr:nvSpPr>
        <xdr:cNvPr id="2033" name="AutoShape 10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1009</xdr:row>
      <xdr:rowOff>0</xdr:rowOff>
    </xdr:from>
    <xdr:to>
      <xdr:col>5</xdr:col>
      <xdr:colOff>304800</xdr:colOff>
      <xdr:row>1010</xdr:row>
      <xdr:rowOff>114300</xdr:rowOff>
    </xdr:to>
    <xdr:sp macro="" textlink="">
      <xdr:nvSpPr>
        <xdr:cNvPr id="2034" name="AutoShape 10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1011</xdr:row>
      <xdr:rowOff>0</xdr:rowOff>
    </xdr:from>
    <xdr:to>
      <xdr:col>4</xdr:col>
      <xdr:colOff>304800</xdr:colOff>
      <xdr:row>1012</xdr:row>
      <xdr:rowOff>114300</xdr:rowOff>
    </xdr:to>
    <xdr:sp macro="" textlink="">
      <xdr:nvSpPr>
        <xdr:cNvPr id="2035" name="AutoShape 101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1011</xdr:row>
      <xdr:rowOff>0</xdr:rowOff>
    </xdr:from>
    <xdr:to>
      <xdr:col>5</xdr:col>
      <xdr:colOff>304800</xdr:colOff>
      <xdr:row>1012</xdr:row>
      <xdr:rowOff>114300</xdr:rowOff>
    </xdr:to>
    <xdr:sp macro="" textlink="">
      <xdr:nvSpPr>
        <xdr:cNvPr id="2036" name="AutoShape 101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1013</xdr:row>
      <xdr:rowOff>0</xdr:rowOff>
    </xdr:from>
    <xdr:to>
      <xdr:col>4</xdr:col>
      <xdr:colOff>304800</xdr:colOff>
      <xdr:row>1014</xdr:row>
      <xdr:rowOff>114300</xdr:rowOff>
    </xdr:to>
    <xdr:sp macro="" textlink="">
      <xdr:nvSpPr>
        <xdr:cNvPr id="2037" name="AutoShape 101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1013</xdr:row>
      <xdr:rowOff>0</xdr:rowOff>
    </xdr:from>
    <xdr:to>
      <xdr:col>5</xdr:col>
      <xdr:colOff>304800</xdr:colOff>
      <xdr:row>1014</xdr:row>
      <xdr:rowOff>114300</xdr:rowOff>
    </xdr:to>
    <xdr:sp macro="" textlink="">
      <xdr:nvSpPr>
        <xdr:cNvPr id="2038" name="AutoShape 10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1015</xdr:row>
      <xdr:rowOff>0</xdr:rowOff>
    </xdr:from>
    <xdr:to>
      <xdr:col>4</xdr:col>
      <xdr:colOff>304800</xdr:colOff>
      <xdr:row>1016</xdr:row>
      <xdr:rowOff>114300</xdr:rowOff>
    </xdr:to>
    <xdr:sp macro="" textlink="">
      <xdr:nvSpPr>
        <xdr:cNvPr id="2039" name="AutoShape 101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1015</xdr:row>
      <xdr:rowOff>0</xdr:rowOff>
    </xdr:from>
    <xdr:to>
      <xdr:col>5</xdr:col>
      <xdr:colOff>304800</xdr:colOff>
      <xdr:row>1016</xdr:row>
      <xdr:rowOff>114300</xdr:rowOff>
    </xdr:to>
    <xdr:sp macro="" textlink="">
      <xdr:nvSpPr>
        <xdr:cNvPr id="2040" name="AutoShape 101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1017</xdr:row>
      <xdr:rowOff>0</xdr:rowOff>
    </xdr:from>
    <xdr:to>
      <xdr:col>4</xdr:col>
      <xdr:colOff>304800</xdr:colOff>
      <xdr:row>1018</xdr:row>
      <xdr:rowOff>76200</xdr:rowOff>
    </xdr:to>
    <xdr:sp macro="" textlink="">
      <xdr:nvSpPr>
        <xdr:cNvPr id="2041" name="AutoShape 101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1017</xdr:row>
      <xdr:rowOff>0</xdr:rowOff>
    </xdr:from>
    <xdr:to>
      <xdr:col>5</xdr:col>
      <xdr:colOff>304800</xdr:colOff>
      <xdr:row>1018</xdr:row>
      <xdr:rowOff>76200</xdr:rowOff>
    </xdr:to>
    <xdr:sp macro="" textlink="">
      <xdr:nvSpPr>
        <xdr:cNvPr id="2042" name="AutoShape 101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1019</xdr:row>
      <xdr:rowOff>0</xdr:rowOff>
    </xdr:from>
    <xdr:to>
      <xdr:col>4</xdr:col>
      <xdr:colOff>304800</xdr:colOff>
      <xdr:row>1020</xdr:row>
      <xdr:rowOff>76200</xdr:rowOff>
    </xdr:to>
    <xdr:sp macro="" textlink="">
      <xdr:nvSpPr>
        <xdr:cNvPr id="2043" name="AutoShape 101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1019</xdr:row>
      <xdr:rowOff>0</xdr:rowOff>
    </xdr:from>
    <xdr:to>
      <xdr:col>5</xdr:col>
      <xdr:colOff>304800</xdr:colOff>
      <xdr:row>1020</xdr:row>
      <xdr:rowOff>76200</xdr:rowOff>
    </xdr:to>
    <xdr:sp macro="" textlink="">
      <xdr:nvSpPr>
        <xdr:cNvPr id="2044" name="AutoShape 102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1021</xdr:row>
      <xdr:rowOff>0</xdr:rowOff>
    </xdr:from>
    <xdr:to>
      <xdr:col>4</xdr:col>
      <xdr:colOff>304800</xdr:colOff>
      <xdr:row>1022</xdr:row>
      <xdr:rowOff>114300</xdr:rowOff>
    </xdr:to>
    <xdr:sp macro="" textlink="">
      <xdr:nvSpPr>
        <xdr:cNvPr id="2045" name="AutoShape 10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1021</xdr:row>
      <xdr:rowOff>0</xdr:rowOff>
    </xdr:from>
    <xdr:to>
      <xdr:col>5</xdr:col>
      <xdr:colOff>304800</xdr:colOff>
      <xdr:row>1022</xdr:row>
      <xdr:rowOff>114300</xdr:rowOff>
    </xdr:to>
    <xdr:sp macro="" textlink="">
      <xdr:nvSpPr>
        <xdr:cNvPr id="2046" name="AutoShape 10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1023</xdr:row>
      <xdr:rowOff>0</xdr:rowOff>
    </xdr:from>
    <xdr:to>
      <xdr:col>4</xdr:col>
      <xdr:colOff>304800</xdr:colOff>
      <xdr:row>1024</xdr:row>
      <xdr:rowOff>114300</xdr:rowOff>
    </xdr:to>
    <xdr:sp macro="" textlink="">
      <xdr:nvSpPr>
        <xdr:cNvPr id="2047" name="AutoShape 102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1023</xdr:row>
      <xdr:rowOff>0</xdr:rowOff>
    </xdr:from>
    <xdr:to>
      <xdr:col>5</xdr:col>
      <xdr:colOff>304800</xdr:colOff>
      <xdr:row>1024</xdr:row>
      <xdr:rowOff>114300</xdr:rowOff>
    </xdr:to>
    <xdr:sp macro="" textlink="">
      <xdr:nvSpPr>
        <xdr:cNvPr id="4096" name="AutoShape 10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1025</xdr:row>
      <xdr:rowOff>0</xdr:rowOff>
    </xdr:from>
    <xdr:to>
      <xdr:col>4</xdr:col>
      <xdr:colOff>304800</xdr:colOff>
      <xdr:row>1026</xdr:row>
      <xdr:rowOff>114300</xdr:rowOff>
    </xdr:to>
    <xdr:sp macro="" textlink="">
      <xdr:nvSpPr>
        <xdr:cNvPr id="4097" name="AutoShape 102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1025</xdr:row>
      <xdr:rowOff>0</xdr:rowOff>
    </xdr:from>
    <xdr:to>
      <xdr:col>5</xdr:col>
      <xdr:colOff>304800</xdr:colOff>
      <xdr:row>1026</xdr:row>
      <xdr:rowOff>114300</xdr:rowOff>
    </xdr:to>
    <xdr:sp macro="" textlink="">
      <xdr:nvSpPr>
        <xdr:cNvPr id="4098" name="AutoShape 102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1027</xdr:row>
      <xdr:rowOff>0</xdr:rowOff>
    </xdr:from>
    <xdr:to>
      <xdr:col>4</xdr:col>
      <xdr:colOff>304800</xdr:colOff>
      <xdr:row>1028</xdr:row>
      <xdr:rowOff>76200</xdr:rowOff>
    </xdr:to>
    <xdr:sp macro="" textlink="">
      <xdr:nvSpPr>
        <xdr:cNvPr id="4099" name="AutoShape 102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1027</xdr:row>
      <xdr:rowOff>0</xdr:rowOff>
    </xdr:from>
    <xdr:to>
      <xdr:col>5</xdr:col>
      <xdr:colOff>304800</xdr:colOff>
      <xdr:row>1028</xdr:row>
      <xdr:rowOff>76200</xdr:rowOff>
    </xdr:to>
    <xdr:sp macro="" textlink="">
      <xdr:nvSpPr>
        <xdr:cNvPr id="4100" name="AutoShape 10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1029</xdr:row>
      <xdr:rowOff>0</xdr:rowOff>
    </xdr:from>
    <xdr:to>
      <xdr:col>4</xdr:col>
      <xdr:colOff>304800</xdr:colOff>
      <xdr:row>1030</xdr:row>
      <xdr:rowOff>114300</xdr:rowOff>
    </xdr:to>
    <xdr:sp macro="" textlink="">
      <xdr:nvSpPr>
        <xdr:cNvPr id="4101" name="AutoShape 10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1029</xdr:row>
      <xdr:rowOff>0</xdr:rowOff>
    </xdr:from>
    <xdr:to>
      <xdr:col>5</xdr:col>
      <xdr:colOff>304800</xdr:colOff>
      <xdr:row>1030</xdr:row>
      <xdr:rowOff>114300</xdr:rowOff>
    </xdr:to>
    <xdr:sp macro="" textlink="">
      <xdr:nvSpPr>
        <xdr:cNvPr id="4102" name="AutoShape 103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1031</xdr:row>
      <xdr:rowOff>0</xdr:rowOff>
    </xdr:from>
    <xdr:to>
      <xdr:col>4</xdr:col>
      <xdr:colOff>304800</xdr:colOff>
      <xdr:row>1032</xdr:row>
      <xdr:rowOff>76200</xdr:rowOff>
    </xdr:to>
    <xdr:sp macro="" textlink="">
      <xdr:nvSpPr>
        <xdr:cNvPr id="4103" name="AutoShape 103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1031</xdr:row>
      <xdr:rowOff>0</xdr:rowOff>
    </xdr:from>
    <xdr:to>
      <xdr:col>5</xdr:col>
      <xdr:colOff>304800</xdr:colOff>
      <xdr:row>1032</xdr:row>
      <xdr:rowOff>76200</xdr:rowOff>
    </xdr:to>
    <xdr:sp macro="" textlink="">
      <xdr:nvSpPr>
        <xdr:cNvPr id="4104" name="AutoShape 10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1033</xdr:row>
      <xdr:rowOff>0</xdr:rowOff>
    </xdr:from>
    <xdr:to>
      <xdr:col>4</xdr:col>
      <xdr:colOff>304800</xdr:colOff>
      <xdr:row>1034</xdr:row>
      <xdr:rowOff>114300</xdr:rowOff>
    </xdr:to>
    <xdr:sp macro="" textlink="">
      <xdr:nvSpPr>
        <xdr:cNvPr id="4105" name="AutoShape 103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1033</xdr:row>
      <xdr:rowOff>0</xdr:rowOff>
    </xdr:from>
    <xdr:to>
      <xdr:col>5</xdr:col>
      <xdr:colOff>304800</xdr:colOff>
      <xdr:row>1034</xdr:row>
      <xdr:rowOff>114300</xdr:rowOff>
    </xdr:to>
    <xdr:sp macro="" textlink="">
      <xdr:nvSpPr>
        <xdr:cNvPr id="4106" name="AutoShape 103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1035</xdr:row>
      <xdr:rowOff>0</xdr:rowOff>
    </xdr:from>
    <xdr:to>
      <xdr:col>4</xdr:col>
      <xdr:colOff>304800</xdr:colOff>
      <xdr:row>1036</xdr:row>
      <xdr:rowOff>114300</xdr:rowOff>
    </xdr:to>
    <xdr:sp macro="" textlink="">
      <xdr:nvSpPr>
        <xdr:cNvPr id="4107" name="AutoShape 103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1035</xdr:row>
      <xdr:rowOff>0</xdr:rowOff>
    </xdr:from>
    <xdr:to>
      <xdr:col>5</xdr:col>
      <xdr:colOff>304800</xdr:colOff>
      <xdr:row>1036</xdr:row>
      <xdr:rowOff>114300</xdr:rowOff>
    </xdr:to>
    <xdr:sp macro="" textlink="">
      <xdr:nvSpPr>
        <xdr:cNvPr id="4108" name="AutoShape 103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1037</xdr:row>
      <xdr:rowOff>0</xdr:rowOff>
    </xdr:from>
    <xdr:to>
      <xdr:col>4</xdr:col>
      <xdr:colOff>304800</xdr:colOff>
      <xdr:row>1038</xdr:row>
      <xdr:rowOff>114300</xdr:rowOff>
    </xdr:to>
    <xdr:sp macro="" textlink="">
      <xdr:nvSpPr>
        <xdr:cNvPr id="4109" name="AutoShape 10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1037</xdr:row>
      <xdr:rowOff>0</xdr:rowOff>
    </xdr:from>
    <xdr:to>
      <xdr:col>5</xdr:col>
      <xdr:colOff>304800</xdr:colOff>
      <xdr:row>1038</xdr:row>
      <xdr:rowOff>114300</xdr:rowOff>
    </xdr:to>
    <xdr:sp macro="" textlink="">
      <xdr:nvSpPr>
        <xdr:cNvPr id="4110" name="AutoShape 10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1039</xdr:row>
      <xdr:rowOff>0</xdr:rowOff>
    </xdr:from>
    <xdr:to>
      <xdr:col>4</xdr:col>
      <xdr:colOff>304800</xdr:colOff>
      <xdr:row>1040</xdr:row>
      <xdr:rowOff>114300</xdr:rowOff>
    </xdr:to>
    <xdr:sp macro="" textlink="">
      <xdr:nvSpPr>
        <xdr:cNvPr id="4111" name="AutoShape 103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1039</xdr:row>
      <xdr:rowOff>0</xdr:rowOff>
    </xdr:from>
    <xdr:to>
      <xdr:col>5</xdr:col>
      <xdr:colOff>304800</xdr:colOff>
      <xdr:row>1040</xdr:row>
      <xdr:rowOff>114300</xdr:rowOff>
    </xdr:to>
    <xdr:sp macro="" textlink="">
      <xdr:nvSpPr>
        <xdr:cNvPr id="4112" name="AutoShape 10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1041</xdr:row>
      <xdr:rowOff>0</xdr:rowOff>
    </xdr:from>
    <xdr:to>
      <xdr:col>4</xdr:col>
      <xdr:colOff>304800</xdr:colOff>
      <xdr:row>1042</xdr:row>
      <xdr:rowOff>114300</xdr:rowOff>
    </xdr:to>
    <xdr:sp macro="" textlink="">
      <xdr:nvSpPr>
        <xdr:cNvPr id="4113" name="AutoShape 10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1041</xdr:row>
      <xdr:rowOff>0</xdr:rowOff>
    </xdr:from>
    <xdr:to>
      <xdr:col>5</xdr:col>
      <xdr:colOff>304800</xdr:colOff>
      <xdr:row>1042</xdr:row>
      <xdr:rowOff>114300</xdr:rowOff>
    </xdr:to>
    <xdr:sp macro="" textlink="">
      <xdr:nvSpPr>
        <xdr:cNvPr id="4114" name="AutoShape 10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1043</xdr:row>
      <xdr:rowOff>0</xdr:rowOff>
    </xdr:from>
    <xdr:to>
      <xdr:col>4</xdr:col>
      <xdr:colOff>304800</xdr:colOff>
      <xdr:row>1044</xdr:row>
      <xdr:rowOff>76200</xdr:rowOff>
    </xdr:to>
    <xdr:sp macro="" textlink="">
      <xdr:nvSpPr>
        <xdr:cNvPr id="4115" name="AutoShape 104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1043</xdr:row>
      <xdr:rowOff>0</xdr:rowOff>
    </xdr:from>
    <xdr:to>
      <xdr:col>5</xdr:col>
      <xdr:colOff>304800</xdr:colOff>
      <xdr:row>1044</xdr:row>
      <xdr:rowOff>76200</xdr:rowOff>
    </xdr:to>
    <xdr:sp macro="" textlink="">
      <xdr:nvSpPr>
        <xdr:cNvPr id="4116" name="AutoShape 104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1045</xdr:row>
      <xdr:rowOff>0</xdr:rowOff>
    </xdr:from>
    <xdr:to>
      <xdr:col>4</xdr:col>
      <xdr:colOff>304800</xdr:colOff>
      <xdr:row>1046</xdr:row>
      <xdr:rowOff>114300</xdr:rowOff>
    </xdr:to>
    <xdr:sp macro="" textlink="">
      <xdr:nvSpPr>
        <xdr:cNvPr id="4117" name="AutoShape 104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1045</xdr:row>
      <xdr:rowOff>0</xdr:rowOff>
    </xdr:from>
    <xdr:to>
      <xdr:col>5</xdr:col>
      <xdr:colOff>304800</xdr:colOff>
      <xdr:row>1046</xdr:row>
      <xdr:rowOff>114300</xdr:rowOff>
    </xdr:to>
    <xdr:sp macro="" textlink="">
      <xdr:nvSpPr>
        <xdr:cNvPr id="4118" name="AutoShape 104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1047</xdr:row>
      <xdr:rowOff>0</xdr:rowOff>
    </xdr:from>
    <xdr:to>
      <xdr:col>4</xdr:col>
      <xdr:colOff>304800</xdr:colOff>
      <xdr:row>1048</xdr:row>
      <xdr:rowOff>76200</xdr:rowOff>
    </xdr:to>
    <xdr:sp macro="" textlink="">
      <xdr:nvSpPr>
        <xdr:cNvPr id="4119" name="AutoShape 104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1047</xdr:row>
      <xdr:rowOff>0</xdr:rowOff>
    </xdr:from>
    <xdr:to>
      <xdr:col>5</xdr:col>
      <xdr:colOff>304800</xdr:colOff>
      <xdr:row>1048</xdr:row>
      <xdr:rowOff>76200</xdr:rowOff>
    </xdr:to>
    <xdr:sp macro="" textlink="">
      <xdr:nvSpPr>
        <xdr:cNvPr id="4120" name="AutoShape 10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1049</xdr:row>
      <xdr:rowOff>0</xdr:rowOff>
    </xdr:from>
    <xdr:to>
      <xdr:col>4</xdr:col>
      <xdr:colOff>304800</xdr:colOff>
      <xdr:row>1050</xdr:row>
      <xdr:rowOff>114300</xdr:rowOff>
    </xdr:to>
    <xdr:sp macro="" textlink="">
      <xdr:nvSpPr>
        <xdr:cNvPr id="4121" name="AutoShape 104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1049</xdr:row>
      <xdr:rowOff>0</xdr:rowOff>
    </xdr:from>
    <xdr:to>
      <xdr:col>5</xdr:col>
      <xdr:colOff>304800</xdr:colOff>
      <xdr:row>1050</xdr:row>
      <xdr:rowOff>114300</xdr:rowOff>
    </xdr:to>
    <xdr:sp macro="" textlink="">
      <xdr:nvSpPr>
        <xdr:cNvPr id="4122" name="AutoShape 105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1051</xdr:row>
      <xdr:rowOff>0</xdr:rowOff>
    </xdr:from>
    <xdr:to>
      <xdr:col>4</xdr:col>
      <xdr:colOff>304800</xdr:colOff>
      <xdr:row>1052</xdr:row>
      <xdr:rowOff>114300</xdr:rowOff>
    </xdr:to>
    <xdr:sp macro="" textlink="">
      <xdr:nvSpPr>
        <xdr:cNvPr id="4123" name="AutoShape 105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1051</xdr:row>
      <xdr:rowOff>0</xdr:rowOff>
    </xdr:from>
    <xdr:to>
      <xdr:col>5</xdr:col>
      <xdr:colOff>304800</xdr:colOff>
      <xdr:row>1052</xdr:row>
      <xdr:rowOff>114300</xdr:rowOff>
    </xdr:to>
    <xdr:sp macro="" textlink="">
      <xdr:nvSpPr>
        <xdr:cNvPr id="4124" name="AutoShape 10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1053</xdr:row>
      <xdr:rowOff>0</xdr:rowOff>
    </xdr:from>
    <xdr:to>
      <xdr:col>4</xdr:col>
      <xdr:colOff>304800</xdr:colOff>
      <xdr:row>1054</xdr:row>
      <xdr:rowOff>114300</xdr:rowOff>
    </xdr:to>
    <xdr:sp macro="" textlink="">
      <xdr:nvSpPr>
        <xdr:cNvPr id="4125" name="AutoShape 105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1053</xdr:row>
      <xdr:rowOff>0</xdr:rowOff>
    </xdr:from>
    <xdr:to>
      <xdr:col>5</xdr:col>
      <xdr:colOff>304800</xdr:colOff>
      <xdr:row>1054</xdr:row>
      <xdr:rowOff>114300</xdr:rowOff>
    </xdr:to>
    <xdr:sp macro="" textlink="">
      <xdr:nvSpPr>
        <xdr:cNvPr id="4126" name="AutoShape 105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1055</xdr:row>
      <xdr:rowOff>0</xdr:rowOff>
    </xdr:from>
    <xdr:to>
      <xdr:col>4</xdr:col>
      <xdr:colOff>304800</xdr:colOff>
      <xdr:row>1056</xdr:row>
      <xdr:rowOff>76200</xdr:rowOff>
    </xdr:to>
    <xdr:sp macro="" textlink="">
      <xdr:nvSpPr>
        <xdr:cNvPr id="4127" name="AutoShape 10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1055</xdr:row>
      <xdr:rowOff>0</xdr:rowOff>
    </xdr:from>
    <xdr:to>
      <xdr:col>5</xdr:col>
      <xdr:colOff>304800</xdr:colOff>
      <xdr:row>1056</xdr:row>
      <xdr:rowOff>76200</xdr:rowOff>
    </xdr:to>
    <xdr:sp macro="" textlink="">
      <xdr:nvSpPr>
        <xdr:cNvPr id="4128" name="AutoShape 105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1057</xdr:row>
      <xdr:rowOff>0</xdr:rowOff>
    </xdr:from>
    <xdr:to>
      <xdr:col>4</xdr:col>
      <xdr:colOff>304800</xdr:colOff>
      <xdr:row>1058</xdr:row>
      <xdr:rowOff>114300</xdr:rowOff>
    </xdr:to>
    <xdr:sp macro="" textlink="">
      <xdr:nvSpPr>
        <xdr:cNvPr id="4129" name="AutoShape 10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1057</xdr:row>
      <xdr:rowOff>0</xdr:rowOff>
    </xdr:from>
    <xdr:to>
      <xdr:col>5</xdr:col>
      <xdr:colOff>304800</xdr:colOff>
      <xdr:row>1058</xdr:row>
      <xdr:rowOff>114300</xdr:rowOff>
    </xdr:to>
    <xdr:sp macro="" textlink="">
      <xdr:nvSpPr>
        <xdr:cNvPr id="4130" name="AutoShape 105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1059</xdr:row>
      <xdr:rowOff>0</xdr:rowOff>
    </xdr:from>
    <xdr:to>
      <xdr:col>4</xdr:col>
      <xdr:colOff>304800</xdr:colOff>
      <xdr:row>1060</xdr:row>
      <xdr:rowOff>76200</xdr:rowOff>
    </xdr:to>
    <xdr:sp macro="" textlink="">
      <xdr:nvSpPr>
        <xdr:cNvPr id="4131" name="AutoShape 105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1059</xdr:row>
      <xdr:rowOff>0</xdr:rowOff>
    </xdr:from>
    <xdr:to>
      <xdr:col>5</xdr:col>
      <xdr:colOff>304800</xdr:colOff>
      <xdr:row>1060</xdr:row>
      <xdr:rowOff>76200</xdr:rowOff>
    </xdr:to>
    <xdr:sp macro="" textlink="">
      <xdr:nvSpPr>
        <xdr:cNvPr id="4132" name="AutoShape 10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1061</xdr:row>
      <xdr:rowOff>0</xdr:rowOff>
    </xdr:from>
    <xdr:to>
      <xdr:col>4</xdr:col>
      <xdr:colOff>304800</xdr:colOff>
      <xdr:row>1062</xdr:row>
      <xdr:rowOff>114300</xdr:rowOff>
    </xdr:to>
    <xdr:sp macro="" textlink="">
      <xdr:nvSpPr>
        <xdr:cNvPr id="4133" name="AutoShape 106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1061</xdr:row>
      <xdr:rowOff>0</xdr:rowOff>
    </xdr:from>
    <xdr:to>
      <xdr:col>5</xdr:col>
      <xdr:colOff>304800</xdr:colOff>
      <xdr:row>1062</xdr:row>
      <xdr:rowOff>114300</xdr:rowOff>
    </xdr:to>
    <xdr:sp macro="" textlink="">
      <xdr:nvSpPr>
        <xdr:cNvPr id="4134" name="AutoShape 10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1063</xdr:row>
      <xdr:rowOff>0</xdr:rowOff>
    </xdr:from>
    <xdr:to>
      <xdr:col>4</xdr:col>
      <xdr:colOff>304800</xdr:colOff>
      <xdr:row>1064</xdr:row>
      <xdr:rowOff>114300</xdr:rowOff>
    </xdr:to>
    <xdr:sp macro="" textlink="">
      <xdr:nvSpPr>
        <xdr:cNvPr id="4135" name="AutoShape 106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1063</xdr:row>
      <xdr:rowOff>0</xdr:rowOff>
    </xdr:from>
    <xdr:to>
      <xdr:col>5</xdr:col>
      <xdr:colOff>304800</xdr:colOff>
      <xdr:row>1064</xdr:row>
      <xdr:rowOff>114300</xdr:rowOff>
    </xdr:to>
    <xdr:sp macro="" textlink="">
      <xdr:nvSpPr>
        <xdr:cNvPr id="4136" name="AutoShape 10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1065</xdr:row>
      <xdr:rowOff>0</xdr:rowOff>
    </xdr:from>
    <xdr:to>
      <xdr:col>4</xdr:col>
      <xdr:colOff>304800</xdr:colOff>
      <xdr:row>1066</xdr:row>
      <xdr:rowOff>114300</xdr:rowOff>
    </xdr:to>
    <xdr:sp macro="" textlink="">
      <xdr:nvSpPr>
        <xdr:cNvPr id="4137" name="AutoShape 106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1065</xdr:row>
      <xdr:rowOff>0</xdr:rowOff>
    </xdr:from>
    <xdr:to>
      <xdr:col>5</xdr:col>
      <xdr:colOff>304800</xdr:colOff>
      <xdr:row>1066</xdr:row>
      <xdr:rowOff>114300</xdr:rowOff>
    </xdr:to>
    <xdr:sp macro="" textlink="">
      <xdr:nvSpPr>
        <xdr:cNvPr id="4138" name="AutoShape 106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1067</xdr:row>
      <xdr:rowOff>0</xdr:rowOff>
    </xdr:from>
    <xdr:to>
      <xdr:col>4</xdr:col>
      <xdr:colOff>304800</xdr:colOff>
      <xdr:row>1068</xdr:row>
      <xdr:rowOff>76200</xdr:rowOff>
    </xdr:to>
    <xdr:sp macro="" textlink="">
      <xdr:nvSpPr>
        <xdr:cNvPr id="4139" name="AutoShape 106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1067</xdr:row>
      <xdr:rowOff>0</xdr:rowOff>
    </xdr:from>
    <xdr:to>
      <xdr:col>5</xdr:col>
      <xdr:colOff>304800</xdr:colOff>
      <xdr:row>1068</xdr:row>
      <xdr:rowOff>76200</xdr:rowOff>
    </xdr:to>
    <xdr:sp macro="" textlink="">
      <xdr:nvSpPr>
        <xdr:cNvPr id="4140" name="AutoShape 10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1069</xdr:row>
      <xdr:rowOff>0</xdr:rowOff>
    </xdr:from>
    <xdr:to>
      <xdr:col>4</xdr:col>
      <xdr:colOff>304800</xdr:colOff>
      <xdr:row>1070</xdr:row>
      <xdr:rowOff>114300</xdr:rowOff>
    </xdr:to>
    <xdr:sp macro="" textlink="">
      <xdr:nvSpPr>
        <xdr:cNvPr id="4141" name="AutoShape 10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1069</xdr:row>
      <xdr:rowOff>0</xdr:rowOff>
    </xdr:from>
    <xdr:to>
      <xdr:col>5</xdr:col>
      <xdr:colOff>304800</xdr:colOff>
      <xdr:row>1070</xdr:row>
      <xdr:rowOff>114300</xdr:rowOff>
    </xdr:to>
    <xdr:sp macro="" textlink="">
      <xdr:nvSpPr>
        <xdr:cNvPr id="4142" name="AutoShape 107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1071</xdr:row>
      <xdr:rowOff>0</xdr:rowOff>
    </xdr:from>
    <xdr:to>
      <xdr:col>4</xdr:col>
      <xdr:colOff>304800</xdr:colOff>
      <xdr:row>1072</xdr:row>
      <xdr:rowOff>114300</xdr:rowOff>
    </xdr:to>
    <xdr:sp macro="" textlink="">
      <xdr:nvSpPr>
        <xdr:cNvPr id="4143" name="AutoShape 107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1071</xdr:row>
      <xdr:rowOff>0</xdr:rowOff>
    </xdr:from>
    <xdr:to>
      <xdr:col>5</xdr:col>
      <xdr:colOff>304800</xdr:colOff>
      <xdr:row>1072</xdr:row>
      <xdr:rowOff>114300</xdr:rowOff>
    </xdr:to>
    <xdr:sp macro="" textlink="">
      <xdr:nvSpPr>
        <xdr:cNvPr id="4144" name="AutoShape 10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1073</xdr:row>
      <xdr:rowOff>0</xdr:rowOff>
    </xdr:from>
    <xdr:to>
      <xdr:col>4</xdr:col>
      <xdr:colOff>304800</xdr:colOff>
      <xdr:row>1074</xdr:row>
      <xdr:rowOff>114300</xdr:rowOff>
    </xdr:to>
    <xdr:sp macro="" textlink="">
      <xdr:nvSpPr>
        <xdr:cNvPr id="4145" name="AutoShape 107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1073</xdr:row>
      <xdr:rowOff>0</xdr:rowOff>
    </xdr:from>
    <xdr:to>
      <xdr:col>5</xdr:col>
      <xdr:colOff>304800</xdr:colOff>
      <xdr:row>1074</xdr:row>
      <xdr:rowOff>114300</xdr:rowOff>
    </xdr:to>
    <xdr:sp macro="" textlink="">
      <xdr:nvSpPr>
        <xdr:cNvPr id="4146" name="AutoShape 107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1075</xdr:row>
      <xdr:rowOff>0</xdr:rowOff>
    </xdr:from>
    <xdr:to>
      <xdr:col>4</xdr:col>
      <xdr:colOff>304800</xdr:colOff>
      <xdr:row>1076</xdr:row>
      <xdr:rowOff>76200</xdr:rowOff>
    </xdr:to>
    <xdr:sp macro="" textlink="">
      <xdr:nvSpPr>
        <xdr:cNvPr id="4147" name="AutoShape 10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1075</xdr:row>
      <xdr:rowOff>0</xdr:rowOff>
    </xdr:from>
    <xdr:to>
      <xdr:col>5</xdr:col>
      <xdr:colOff>304800</xdr:colOff>
      <xdr:row>1076</xdr:row>
      <xdr:rowOff>76200</xdr:rowOff>
    </xdr:to>
    <xdr:sp macro="" textlink="">
      <xdr:nvSpPr>
        <xdr:cNvPr id="4148" name="AutoShape 107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1077</xdr:row>
      <xdr:rowOff>0</xdr:rowOff>
    </xdr:from>
    <xdr:to>
      <xdr:col>4</xdr:col>
      <xdr:colOff>304800</xdr:colOff>
      <xdr:row>1078</xdr:row>
      <xdr:rowOff>114300</xdr:rowOff>
    </xdr:to>
    <xdr:sp macro="" textlink="">
      <xdr:nvSpPr>
        <xdr:cNvPr id="4149" name="AutoShape 107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1077</xdr:row>
      <xdr:rowOff>0</xdr:rowOff>
    </xdr:from>
    <xdr:to>
      <xdr:col>5</xdr:col>
      <xdr:colOff>304800</xdr:colOff>
      <xdr:row>1078</xdr:row>
      <xdr:rowOff>114300</xdr:rowOff>
    </xdr:to>
    <xdr:sp macro="" textlink="">
      <xdr:nvSpPr>
        <xdr:cNvPr id="4150" name="AutoShape 10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1079</xdr:row>
      <xdr:rowOff>0</xdr:rowOff>
    </xdr:from>
    <xdr:to>
      <xdr:col>4</xdr:col>
      <xdr:colOff>304800</xdr:colOff>
      <xdr:row>1080</xdr:row>
      <xdr:rowOff>114300</xdr:rowOff>
    </xdr:to>
    <xdr:sp macro="" textlink="">
      <xdr:nvSpPr>
        <xdr:cNvPr id="4151" name="AutoShape 10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1079</xdr:row>
      <xdr:rowOff>0</xdr:rowOff>
    </xdr:from>
    <xdr:to>
      <xdr:col>5</xdr:col>
      <xdr:colOff>304800</xdr:colOff>
      <xdr:row>1080</xdr:row>
      <xdr:rowOff>114300</xdr:rowOff>
    </xdr:to>
    <xdr:sp macro="" textlink="">
      <xdr:nvSpPr>
        <xdr:cNvPr id="4152" name="AutoShape 10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1081</xdr:row>
      <xdr:rowOff>0</xdr:rowOff>
    </xdr:from>
    <xdr:to>
      <xdr:col>4</xdr:col>
      <xdr:colOff>304800</xdr:colOff>
      <xdr:row>1082</xdr:row>
      <xdr:rowOff>114300</xdr:rowOff>
    </xdr:to>
    <xdr:sp macro="" textlink="">
      <xdr:nvSpPr>
        <xdr:cNvPr id="4153" name="AutoShape 108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1081</xdr:row>
      <xdr:rowOff>0</xdr:rowOff>
    </xdr:from>
    <xdr:to>
      <xdr:col>5</xdr:col>
      <xdr:colOff>304800</xdr:colOff>
      <xdr:row>1082</xdr:row>
      <xdr:rowOff>114300</xdr:rowOff>
    </xdr:to>
    <xdr:sp macro="" textlink="">
      <xdr:nvSpPr>
        <xdr:cNvPr id="4154" name="AutoShape 108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1083</xdr:row>
      <xdr:rowOff>0</xdr:rowOff>
    </xdr:from>
    <xdr:to>
      <xdr:col>4</xdr:col>
      <xdr:colOff>304800</xdr:colOff>
      <xdr:row>1084</xdr:row>
      <xdr:rowOff>76200</xdr:rowOff>
    </xdr:to>
    <xdr:sp macro="" textlink="">
      <xdr:nvSpPr>
        <xdr:cNvPr id="4155" name="AutoShape 10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1083</xdr:row>
      <xdr:rowOff>0</xdr:rowOff>
    </xdr:from>
    <xdr:to>
      <xdr:col>5</xdr:col>
      <xdr:colOff>304800</xdr:colOff>
      <xdr:row>1084</xdr:row>
      <xdr:rowOff>76200</xdr:rowOff>
    </xdr:to>
    <xdr:sp macro="" textlink="">
      <xdr:nvSpPr>
        <xdr:cNvPr id="4156" name="AutoShape 108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1085</xdr:row>
      <xdr:rowOff>0</xdr:rowOff>
    </xdr:from>
    <xdr:to>
      <xdr:col>4</xdr:col>
      <xdr:colOff>304800</xdr:colOff>
      <xdr:row>1086</xdr:row>
      <xdr:rowOff>114300</xdr:rowOff>
    </xdr:to>
    <xdr:sp macro="" textlink="">
      <xdr:nvSpPr>
        <xdr:cNvPr id="4157" name="AutoShape 108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1085</xdr:row>
      <xdr:rowOff>0</xdr:rowOff>
    </xdr:from>
    <xdr:to>
      <xdr:col>5</xdr:col>
      <xdr:colOff>304800</xdr:colOff>
      <xdr:row>1086</xdr:row>
      <xdr:rowOff>114300</xdr:rowOff>
    </xdr:to>
    <xdr:sp macro="" textlink="">
      <xdr:nvSpPr>
        <xdr:cNvPr id="4158" name="AutoShape 108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1087</xdr:row>
      <xdr:rowOff>0</xdr:rowOff>
    </xdr:from>
    <xdr:to>
      <xdr:col>4</xdr:col>
      <xdr:colOff>304800</xdr:colOff>
      <xdr:row>1088</xdr:row>
      <xdr:rowOff>114300</xdr:rowOff>
    </xdr:to>
    <xdr:sp macro="" textlink="">
      <xdr:nvSpPr>
        <xdr:cNvPr id="4159" name="AutoShape 108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1087</xdr:row>
      <xdr:rowOff>0</xdr:rowOff>
    </xdr:from>
    <xdr:to>
      <xdr:col>5</xdr:col>
      <xdr:colOff>304800</xdr:colOff>
      <xdr:row>1088</xdr:row>
      <xdr:rowOff>114300</xdr:rowOff>
    </xdr:to>
    <xdr:sp macro="" textlink="">
      <xdr:nvSpPr>
        <xdr:cNvPr id="4160" name="AutoShape 10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1089</xdr:row>
      <xdr:rowOff>0</xdr:rowOff>
    </xdr:from>
    <xdr:to>
      <xdr:col>4</xdr:col>
      <xdr:colOff>304800</xdr:colOff>
      <xdr:row>1090</xdr:row>
      <xdr:rowOff>114300</xdr:rowOff>
    </xdr:to>
    <xdr:sp macro="" textlink="">
      <xdr:nvSpPr>
        <xdr:cNvPr id="4161" name="AutoShape 10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1089</xdr:row>
      <xdr:rowOff>0</xdr:rowOff>
    </xdr:from>
    <xdr:to>
      <xdr:col>5</xdr:col>
      <xdr:colOff>304800</xdr:colOff>
      <xdr:row>1090</xdr:row>
      <xdr:rowOff>114300</xdr:rowOff>
    </xdr:to>
    <xdr:sp macro="" textlink="">
      <xdr:nvSpPr>
        <xdr:cNvPr id="4162" name="AutoShape 109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1091</xdr:row>
      <xdr:rowOff>0</xdr:rowOff>
    </xdr:from>
    <xdr:to>
      <xdr:col>4</xdr:col>
      <xdr:colOff>304800</xdr:colOff>
      <xdr:row>1092</xdr:row>
      <xdr:rowOff>114300</xdr:rowOff>
    </xdr:to>
    <xdr:sp macro="" textlink="">
      <xdr:nvSpPr>
        <xdr:cNvPr id="4163" name="AutoShape 10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1091</xdr:row>
      <xdr:rowOff>0</xdr:rowOff>
    </xdr:from>
    <xdr:to>
      <xdr:col>5</xdr:col>
      <xdr:colOff>304800</xdr:colOff>
      <xdr:row>1092</xdr:row>
      <xdr:rowOff>114300</xdr:rowOff>
    </xdr:to>
    <xdr:sp macro="" textlink="">
      <xdr:nvSpPr>
        <xdr:cNvPr id="4164" name="AutoShape 109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1093</xdr:row>
      <xdr:rowOff>0</xdr:rowOff>
    </xdr:from>
    <xdr:to>
      <xdr:col>4</xdr:col>
      <xdr:colOff>304800</xdr:colOff>
      <xdr:row>1094</xdr:row>
      <xdr:rowOff>114300</xdr:rowOff>
    </xdr:to>
    <xdr:sp macro="" textlink="">
      <xdr:nvSpPr>
        <xdr:cNvPr id="4165" name="AutoShape 10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1093</xdr:row>
      <xdr:rowOff>0</xdr:rowOff>
    </xdr:from>
    <xdr:to>
      <xdr:col>5</xdr:col>
      <xdr:colOff>304800</xdr:colOff>
      <xdr:row>1094</xdr:row>
      <xdr:rowOff>114300</xdr:rowOff>
    </xdr:to>
    <xdr:sp macro="" textlink="">
      <xdr:nvSpPr>
        <xdr:cNvPr id="4166" name="AutoShape 10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1095</xdr:row>
      <xdr:rowOff>0</xdr:rowOff>
    </xdr:from>
    <xdr:to>
      <xdr:col>4</xdr:col>
      <xdr:colOff>304800</xdr:colOff>
      <xdr:row>1096</xdr:row>
      <xdr:rowOff>114300</xdr:rowOff>
    </xdr:to>
    <xdr:sp macro="" textlink="">
      <xdr:nvSpPr>
        <xdr:cNvPr id="4167" name="AutoShape 10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1095</xdr:row>
      <xdr:rowOff>0</xdr:rowOff>
    </xdr:from>
    <xdr:to>
      <xdr:col>5</xdr:col>
      <xdr:colOff>304800</xdr:colOff>
      <xdr:row>1096</xdr:row>
      <xdr:rowOff>114300</xdr:rowOff>
    </xdr:to>
    <xdr:sp macro="" textlink="">
      <xdr:nvSpPr>
        <xdr:cNvPr id="4168" name="AutoShape 109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1097</xdr:row>
      <xdr:rowOff>0</xdr:rowOff>
    </xdr:from>
    <xdr:to>
      <xdr:col>4</xdr:col>
      <xdr:colOff>304800</xdr:colOff>
      <xdr:row>1098</xdr:row>
      <xdr:rowOff>76200</xdr:rowOff>
    </xdr:to>
    <xdr:sp macro="" textlink="">
      <xdr:nvSpPr>
        <xdr:cNvPr id="4169" name="AutoShape 109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1097</xdr:row>
      <xdr:rowOff>0</xdr:rowOff>
    </xdr:from>
    <xdr:to>
      <xdr:col>5</xdr:col>
      <xdr:colOff>304800</xdr:colOff>
      <xdr:row>1098</xdr:row>
      <xdr:rowOff>76200</xdr:rowOff>
    </xdr:to>
    <xdr:sp macro="" textlink="">
      <xdr:nvSpPr>
        <xdr:cNvPr id="4170" name="AutoShape 10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1099</xdr:row>
      <xdr:rowOff>0</xdr:rowOff>
    </xdr:from>
    <xdr:to>
      <xdr:col>4</xdr:col>
      <xdr:colOff>304800</xdr:colOff>
      <xdr:row>1100</xdr:row>
      <xdr:rowOff>114300</xdr:rowOff>
    </xdr:to>
    <xdr:sp macro="" textlink="">
      <xdr:nvSpPr>
        <xdr:cNvPr id="4171" name="AutoShape 109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1099</xdr:row>
      <xdr:rowOff>0</xdr:rowOff>
    </xdr:from>
    <xdr:to>
      <xdr:col>5</xdr:col>
      <xdr:colOff>304800</xdr:colOff>
      <xdr:row>1100</xdr:row>
      <xdr:rowOff>114300</xdr:rowOff>
    </xdr:to>
    <xdr:sp macro="" textlink="">
      <xdr:nvSpPr>
        <xdr:cNvPr id="4172" name="AutoShape 110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1101</xdr:row>
      <xdr:rowOff>0</xdr:rowOff>
    </xdr:from>
    <xdr:to>
      <xdr:col>4</xdr:col>
      <xdr:colOff>304800</xdr:colOff>
      <xdr:row>1102</xdr:row>
      <xdr:rowOff>114300</xdr:rowOff>
    </xdr:to>
    <xdr:sp macro="" textlink="">
      <xdr:nvSpPr>
        <xdr:cNvPr id="4173" name="AutoShape 110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1101</xdr:row>
      <xdr:rowOff>0</xdr:rowOff>
    </xdr:from>
    <xdr:to>
      <xdr:col>5</xdr:col>
      <xdr:colOff>304800</xdr:colOff>
      <xdr:row>1102</xdr:row>
      <xdr:rowOff>114300</xdr:rowOff>
    </xdr:to>
    <xdr:sp macro="" textlink="">
      <xdr:nvSpPr>
        <xdr:cNvPr id="4174" name="AutoShape 1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1103</xdr:row>
      <xdr:rowOff>0</xdr:rowOff>
    </xdr:from>
    <xdr:to>
      <xdr:col>4</xdr:col>
      <xdr:colOff>304800</xdr:colOff>
      <xdr:row>1104</xdr:row>
      <xdr:rowOff>114300</xdr:rowOff>
    </xdr:to>
    <xdr:sp macro="" textlink="">
      <xdr:nvSpPr>
        <xdr:cNvPr id="4175" name="AutoShape 110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1103</xdr:row>
      <xdr:rowOff>0</xdr:rowOff>
    </xdr:from>
    <xdr:to>
      <xdr:col>5</xdr:col>
      <xdr:colOff>304800</xdr:colOff>
      <xdr:row>1104</xdr:row>
      <xdr:rowOff>114300</xdr:rowOff>
    </xdr:to>
    <xdr:sp macro="" textlink="">
      <xdr:nvSpPr>
        <xdr:cNvPr id="4176" name="AutoShape 110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1105</xdr:row>
      <xdr:rowOff>0</xdr:rowOff>
    </xdr:from>
    <xdr:to>
      <xdr:col>4</xdr:col>
      <xdr:colOff>304800</xdr:colOff>
      <xdr:row>1106</xdr:row>
      <xdr:rowOff>76200</xdr:rowOff>
    </xdr:to>
    <xdr:sp macro="" textlink="">
      <xdr:nvSpPr>
        <xdr:cNvPr id="4177" name="AutoShape 110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1105</xdr:row>
      <xdr:rowOff>0</xdr:rowOff>
    </xdr:from>
    <xdr:to>
      <xdr:col>5</xdr:col>
      <xdr:colOff>304800</xdr:colOff>
      <xdr:row>1106</xdr:row>
      <xdr:rowOff>76200</xdr:rowOff>
    </xdr:to>
    <xdr:sp macro="" textlink="">
      <xdr:nvSpPr>
        <xdr:cNvPr id="4178" name="AutoShape 1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1107</xdr:row>
      <xdr:rowOff>0</xdr:rowOff>
    </xdr:from>
    <xdr:to>
      <xdr:col>4</xdr:col>
      <xdr:colOff>304800</xdr:colOff>
      <xdr:row>1108</xdr:row>
      <xdr:rowOff>76200</xdr:rowOff>
    </xdr:to>
    <xdr:sp macro="" textlink="">
      <xdr:nvSpPr>
        <xdr:cNvPr id="4179" name="AutoShape 110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1107</xdr:row>
      <xdr:rowOff>0</xdr:rowOff>
    </xdr:from>
    <xdr:to>
      <xdr:col>5</xdr:col>
      <xdr:colOff>304800</xdr:colOff>
      <xdr:row>1108</xdr:row>
      <xdr:rowOff>76200</xdr:rowOff>
    </xdr:to>
    <xdr:sp macro="" textlink="">
      <xdr:nvSpPr>
        <xdr:cNvPr id="4180" name="AutoShape 110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1109</xdr:row>
      <xdr:rowOff>0</xdr:rowOff>
    </xdr:from>
    <xdr:to>
      <xdr:col>4</xdr:col>
      <xdr:colOff>304800</xdr:colOff>
      <xdr:row>1110</xdr:row>
      <xdr:rowOff>114300</xdr:rowOff>
    </xdr:to>
    <xdr:sp macro="" textlink="">
      <xdr:nvSpPr>
        <xdr:cNvPr id="4181" name="AutoShape 11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1109</xdr:row>
      <xdr:rowOff>0</xdr:rowOff>
    </xdr:from>
    <xdr:to>
      <xdr:col>5</xdr:col>
      <xdr:colOff>304800</xdr:colOff>
      <xdr:row>1110</xdr:row>
      <xdr:rowOff>114300</xdr:rowOff>
    </xdr:to>
    <xdr:sp macro="" textlink="">
      <xdr:nvSpPr>
        <xdr:cNvPr id="4182" name="AutoShape 11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1111</xdr:row>
      <xdr:rowOff>0</xdr:rowOff>
    </xdr:from>
    <xdr:to>
      <xdr:col>4</xdr:col>
      <xdr:colOff>304800</xdr:colOff>
      <xdr:row>1112</xdr:row>
      <xdr:rowOff>114300</xdr:rowOff>
    </xdr:to>
    <xdr:sp macro="" textlink="">
      <xdr:nvSpPr>
        <xdr:cNvPr id="4183" name="AutoShape 111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1111</xdr:row>
      <xdr:rowOff>0</xdr:rowOff>
    </xdr:from>
    <xdr:to>
      <xdr:col>5</xdr:col>
      <xdr:colOff>304800</xdr:colOff>
      <xdr:row>1112</xdr:row>
      <xdr:rowOff>114300</xdr:rowOff>
    </xdr:to>
    <xdr:sp macro="" textlink="">
      <xdr:nvSpPr>
        <xdr:cNvPr id="4184" name="AutoShape 111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1113</xdr:row>
      <xdr:rowOff>0</xdr:rowOff>
    </xdr:from>
    <xdr:to>
      <xdr:col>4</xdr:col>
      <xdr:colOff>304800</xdr:colOff>
      <xdr:row>1114</xdr:row>
      <xdr:rowOff>114300</xdr:rowOff>
    </xdr:to>
    <xdr:sp macro="" textlink="">
      <xdr:nvSpPr>
        <xdr:cNvPr id="4185" name="AutoShape 111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1113</xdr:row>
      <xdr:rowOff>0</xdr:rowOff>
    </xdr:from>
    <xdr:to>
      <xdr:col>5</xdr:col>
      <xdr:colOff>304800</xdr:colOff>
      <xdr:row>1114</xdr:row>
      <xdr:rowOff>114300</xdr:rowOff>
    </xdr:to>
    <xdr:sp macro="" textlink="">
      <xdr:nvSpPr>
        <xdr:cNvPr id="4186" name="AutoShape 111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1115</xdr:row>
      <xdr:rowOff>0</xdr:rowOff>
    </xdr:from>
    <xdr:to>
      <xdr:col>4</xdr:col>
      <xdr:colOff>304800</xdr:colOff>
      <xdr:row>1116</xdr:row>
      <xdr:rowOff>114300</xdr:rowOff>
    </xdr:to>
    <xdr:sp macro="" textlink="">
      <xdr:nvSpPr>
        <xdr:cNvPr id="4187" name="AutoShape 11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1115</xdr:row>
      <xdr:rowOff>0</xdr:rowOff>
    </xdr:from>
    <xdr:to>
      <xdr:col>5</xdr:col>
      <xdr:colOff>304800</xdr:colOff>
      <xdr:row>1116</xdr:row>
      <xdr:rowOff>114300</xdr:rowOff>
    </xdr:to>
    <xdr:sp macro="" textlink="">
      <xdr:nvSpPr>
        <xdr:cNvPr id="4188" name="AutoShape 111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1117</xdr:row>
      <xdr:rowOff>0</xdr:rowOff>
    </xdr:from>
    <xdr:to>
      <xdr:col>4</xdr:col>
      <xdr:colOff>304800</xdr:colOff>
      <xdr:row>1118</xdr:row>
      <xdr:rowOff>76200</xdr:rowOff>
    </xdr:to>
    <xdr:sp macro="" textlink="">
      <xdr:nvSpPr>
        <xdr:cNvPr id="4189" name="AutoShape 111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1117</xdr:row>
      <xdr:rowOff>0</xdr:rowOff>
    </xdr:from>
    <xdr:to>
      <xdr:col>5</xdr:col>
      <xdr:colOff>304800</xdr:colOff>
      <xdr:row>1118</xdr:row>
      <xdr:rowOff>76200</xdr:rowOff>
    </xdr:to>
    <xdr:sp macro="" textlink="">
      <xdr:nvSpPr>
        <xdr:cNvPr id="4190" name="AutoShape 111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1119</xdr:row>
      <xdr:rowOff>0</xdr:rowOff>
    </xdr:from>
    <xdr:to>
      <xdr:col>4</xdr:col>
      <xdr:colOff>304800</xdr:colOff>
      <xdr:row>1120</xdr:row>
      <xdr:rowOff>114300</xdr:rowOff>
    </xdr:to>
    <xdr:sp macro="" textlink="">
      <xdr:nvSpPr>
        <xdr:cNvPr id="4191" name="AutoShape 111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1119</xdr:row>
      <xdr:rowOff>0</xdr:rowOff>
    </xdr:from>
    <xdr:to>
      <xdr:col>5</xdr:col>
      <xdr:colOff>304800</xdr:colOff>
      <xdr:row>1120</xdr:row>
      <xdr:rowOff>114300</xdr:rowOff>
    </xdr:to>
    <xdr:sp macro="" textlink="">
      <xdr:nvSpPr>
        <xdr:cNvPr id="4192" name="AutoShape 11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1121</xdr:row>
      <xdr:rowOff>0</xdr:rowOff>
    </xdr:from>
    <xdr:to>
      <xdr:col>4</xdr:col>
      <xdr:colOff>304800</xdr:colOff>
      <xdr:row>1122</xdr:row>
      <xdr:rowOff>114300</xdr:rowOff>
    </xdr:to>
    <xdr:sp macro="" textlink="">
      <xdr:nvSpPr>
        <xdr:cNvPr id="4193" name="AutoShape 112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1121</xdr:row>
      <xdr:rowOff>0</xdr:rowOff>
    </xdr:from>
    <xdr:to>
      <xdr:col>5</xdr:col>
      <xdr:colOff>304800</xdr:colOff>
      <xdr:row>1122</xdr:row>
      <xdr:rowOff>114300</xdr:rowOff>
    </xdr:to>
    <xdr:sp macro="" textlink="">
      <xdr:nvSpPr>
        <xdr:cNvPr id="4194" name="AutoShape 112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1123</xdr:row>
      <xdr:rowOff>0</xdr:rowOff>
    </xdr:from>
    <xdr:to>
      <xdr:col>4</xdr:col>
      <xdr:colOff>304800</xdr:colOff>
      <xdr:row>1124</xdr:row>
      <xdr:rowOff>114300</xdr:rowOff>
    </xdr:to>
    <xdr:sp macro="" textlink="">
      <xdr:nvSpPr>
        <xdr:cNvPr id="4195" name="AutoShape 11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1123</xdr:row>
      <xdr:rowOff>0</xdr:rowOff>
    </xdr:from>
    <xdr:to>
      <xdr:col>5</xdr:col>
      <xdr:colOff>304800</xdr:colOff>
      <xdr:row>1124</xdr:row>
      <xdr:rowOff>114300</xdr:rowOff>
    </xdr:to>
    <xdr:sp macro="" textlink="">
      <xdr:nvSpPr>
        <xdr:cNvPr id="4196" name="AutoShape 11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1125</xdr:row>
      <xdr:rowOff>0</xdr:rowOff>
    </xdr:from>
    <xdr:to>
      <xdr:col>4</xdr:col>
      <xdr:colOff>304800</xdr:colOff>
      <xdr:row>1126</xdr:row>
      <xdr:rowOff>114300</xdr:rowOff>
    </xdr:to>
    <xdr:sp macro="" textlink="">
      <xdr:nvSpPr>
        <xdr:cNvPr id="4197" name="AutoShape 112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1125</xdr:row>
      <xdr:rowOff>0</xdr:rowOff>
    </xdr:from>
    <xdr:to>
      <xdr:col>5</xdr:col>
      <xdr:colOff>304800</xdr:colOff>
      <xdr:row>1126</xdr:row>
      <xdr:rowOff>114300</xdr:rowOff>
    </xdr:to>
    <xdr:sp macro="" textlink="">
      <xdr:nvSpPr>
        <xdr:cNvPr id="4198" name="AutoShape 112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304800</xdr:colOff>
      <xdr:row>1128</xdr:row>
      <xdr:rowOff>114300</xdr:rowOff>
    </xdr:to>
    <xdr:sp macro="" textlink="">
      <xdr:nvSpPr>
        <xdr:cNvPr id="4199" name="AutoShape 11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1127</xdr:row>
      <xdr:rowOff>0</xdr:rowOff>
    </xdr:from>
    <xdr:to>
      <xdr:col>5</xdr:col>
      <xdr:colOff>304800</xdr:colOff>
      <xdr:row>1128</xdr:row>
      <xdr:rowOff>114300</xdr:rowOff>
    </xdr:to>
    <xdr:sp macro="" textlink="">
      <xdr:nvSpPr>
        <xdr:cNvPr id="4200" name="AutoShape 112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304800</xdr:colOff>
      <xdr:row>1130</xdr:row>
      <xdr:rowOff>114300</xdr:rowOff>
    </xdr:to>
    <xdr:sp macro="" textlink="">
      <xdr:nvSpPr>
        <xdr:cNvPr id="4201" name="AutoShape 1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1129</xdr:row>
      <xdr:rowOff>0</xdr:rowOff>
    </xdr:from>
    <xdr:to>
      <xdr:col>5</xdr:col>
      <xdr:colOff>304800</xdr:colOff>
      <xdr:row>1130</xdr:row>
      <xdr:rowOff>114300</xdr:rowOff>
    </xdr:to>
    <xdr:sp macro="" textlink="">
      <xdr:nvSpPr>
        <xdr:cNvPr id="4202" name="AutoShape 113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1131</xdr:row>
      <xdr:rowOff>0</xdr:rowOff>
    </xdr:from>
    <xdr:to>
      <xdr:col>4</xdr:col>
      <xdr:colOff>304800</xdr:colOff>
      <xdr:row>1132</xdr:row>
      <xdr:rowOff>76200</xdr:rowOff>
    </xdr:to>
    <xdr:sp macro="" textlink="">
      <xdr:nvSpPr>
        <xdr:cNvPr id="4203" name="AutoShape 11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1131</xdr:row>
      <xdr:rowOff>0</xdr:rowOff>
    </xdr:from>
    <xdr:to>
      <xdr:col>5</xdr:col>
      <xdr:colOff>304800</xdr:colOff>
      <xdr:row>1132</xdr:row>
      <xdr:rowOff>76200</xdr:rowOff>
    </xdr:to>
    <xdr:sp macro="" textlink="">
      <xdr:nvSpPr>
        <xdr:cNvPr id="4204" name="AutoShape 113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1133</xdr:row>
      <xdr:rowOff>0</xdr:rowOff>
    </xdr:from>
    <xdr:to>
      <xdr:col>4</xdr:col>
      <xdr:colOff>304800</xdr:colOff>
      <xdr:row>1134</xdr:row>
      <xdr:rowOff>76200</xdr:rowOff>
    </xdr:to>
    <xdr:sp macro="" textlink="">
      <xdr:nvSpPr>
        <xdr:cNvPr id="4205" name="AutoShape 1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1133</xdr:row>
      <xdr:rowOff>0</xdr:rowOff>
    </xdr:from>
    <xdr:to>
      <xdr:col>5</xdr:col>
      <xdr:colOff>304800</xdr:colOff>
      <xdr:row>1134</xdr:row>
      <xdr:rowOff>76200</xdr:rowOff>
    </xdr:to>
    <xdr:sp macro="" textlink="">
      <xdr:nvSpPr>
        <xdr:cNvPr id="4206" name="AutoShape 113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1135</xdr:row>
      <xdr:rowOff>0</xdr:rowOff>
    </xdr:from>
    <xdr:to>
      <xdr:col>4</xdr:col>
      <xdr:colOff>304800</xdr:colOff>
      <xdr:row>1136</xdr:row>
      <xdr:rowOff>114300</xdr:rowOff>
    </xdr:to>
    <xdr:sp macro="" textlink="">
      <xdr:nvSpPr>
        <xdr:cNvPr id="4207" name="AutoShape 113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1135</xdr:row>
      <xdr:rowOff>0</xdr:rowOff>
    </xdr:from>
    <xdr:to>
      <xdr:col>5</xdr:col>
      <xdr:colOff>304800</xdr:colOff>
      <xdr:row>1136</xdr:row>
      <xdr:rowOff>114300</xdr:rowOff>
    </xdr:to>
    <xdr:sp macro="" textlink="">
      <xdr:nvSpPr>
        <xdr:cNvPr id="4208" name="AutoShape 11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1137</xdr:row>
      <xdr:rowOff>0</xdr:rowOff>
    </xdr:from>
    <xdr:to>
      <xdr:col>4</xdr:col>
      <xdr:colOff>304800</xdr:colOff>
      <xdr:row>1138</xdr:row>
      <xdr:rowOff>114300</xdr:rowOff>
    </xdr:to>
    <xdr:sp macro="" textlink="">
      <xdr:nvSpPr>
        <xdr:cNvPr id="4209" name="AutoShape 11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1137</xdr:row>
      <xdr:rowOff>0</xdr:rowOff>
    </xdr:from>
    <xdr:to>
      <xdr:col>5</xdr:col>
      <xdr:colOff>304800</xdr:colOff>
      <xdr:row>1138</xdr:row>
      <xdr:rowOff>114300</xdr:rowOff>
    </xdr:to>
    <xdr:sp macro="" textlink="">
      <xdr:nvSpPr>
        <xdr:cNvPr id="4210" name="AutoShape 11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1139</xdr:row>
      <xdr:rowOff>0</xdr:rowOff>
    </xdr:from>
    <xdr:to>
      <xdr:col>4</xdr:col>
      <xdr:colOff>304800</xdr:colOff>
      <xdr:row>1140</xdr:row>
      <xdr:rowOff>114300</xdr:rowOff>
    </xdr:to>
    <xdr:sp macro="" textlink="">
      <xdr:nvSpPr>
        <xdr:cNvPr id="4211" name="AutoShape 113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1139</xdr:row>
      <xdr:rowOff>0</xdr:rowOff>
    </xdr:from>
    <xdr:to>
      <xdr:col>5</xdr:col>
      <xdr:colOff>304800</xdr:colOff>
      <xdr:row>1140</xdr:row>
      <xdr:rowOff>114300</xdr:rowOff>
    </xdr:to>
    <xdr:sp macro="" textlink="">
      <xdr:nvSpPr>
        <xdr:cNvPr id="4212" name="AutoShape 114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1141</xdr:row>
      <xdr:rowOff>0</xdr:rowOff>
    </xdr:from>
    <xdr:to>
      <xdr:col>4</xdr:col>
      <xdr:colOff>304800</xdr:colOff>
      <xdr:row>1142</xdr:row>
      <xdr:rowOff>114300</xdr:rowOff>
    </xdr:to>
    <xdr:sp macro="" textlink="">
      <xdr:nvSpPr>
        <xdr:cNvPr id="4213" name="AutoShape 114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1141</xdr:row>
      <xdr:rowOff>0</xdr:rowOff>
    </xdr:from>
    <xdr:to>
      <xdr:col>5</xdr:col>
      <xdr:colOff>304800</xdr:colOff>
      <xdr:row>1142</xdr:row>
      <xdr:rowOff>114300</xdr:rowOff>
    </xdr:to>
    <xdr:sp macro="" textlink="">
      <xdr:nvSpPr>
        <xdr:cNvPr id="4214" name="AutoShape 11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1143</xdr:row>
      <xdr:rowOff>0</xdr:rowOff>
    </xdr:from>
    <xdr:to>
      <xdr:col>4</xdr:col>
      <xdr:colOff>304800</xdr:colOff>
      <xdr:row>1144</xdr:row>
      <xdr:rowOff>114300</xdr:rowOff>
    </xdr:to>
    <xdr:sp macro="" textlink="">
      <xdr:nvSpPr>
        <xdr:cNvPr id="4215" name="AutoShape 11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1143</xdr:row>
      <xdr:rowOff>0</xdr:rowOff>
    </xdr:from>
    <xdr:to>
      <xdr:col>5</xdr:col>
      <xdr:colOff>304800</xdr:colOff>
      <xdr:row>1144</xdr:row>
      <xdr:rowOff>114300</xdr:rowOff>
    </xdr:to>
    <xdr:sp macro="" textlink="">
      <xdr:nvSpPr>
        <xdr:cNvPr id="4216" name="AutoShape 114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1145</xdr:row>
      <xdr:rowOff>0</xdr:rowOff>
    </xdr:from>
    <xdr:to>
      <xdr:col>4</xdr:col>
      <xdr:colOff>304800</xdr:colOff>
      <xdr:row>1146</xdr:row>
      <xdr:rowOff>114300</xdr:rowOff>
    </xdr:to>
    <xdr:sp macro="" textlink="">
      <xdr:nvSpPr>
        <xdr:cNvPr id="4217" name="AutoShape 114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1145</xdr:row>
      <xdr:rowOff>0</xdr:rowOff>
    </xdr:from>
    <xdr:to>
      <xdr:col>5</xdr:col>
      <xdr:colOff>304800</xdr:colOff>
      <xdr:row>1146</xdr:row>
      <xdr:rowOff>114300</xdr:rowOff>
    </xdr:to>
    <xdr:sp macro="" textlink="">
      <xdr:nvSpPr>
        <xdr:cNvPr id="4218" name="AutoShape 11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1147</xdr:row>
      <xdr:rowOff>0</xdr:rowOff>
    </xdr:from>
    <xdr:to>
      <xdr:col>4</xdr:col>
      <xdr:colOff>304800</xdr:colOff>
      <xdr:row>1148</xdr:row>
      <xdr:rowOff>114300</xdr:rowOff>
    </xdr:to>
    <xdr:sp macro="" textlink="">
      <xdr:nvSpPr>
        <xdr:cNvPr id="4219" name="AutoShape 11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1147</xdr:row>
      <xdr:rowOff>0</xdr:rowOff>
    </xdr:from>
    <xdr:to>
      <xdr:col>5</xdr:col>
      <xdr:colOff>304800</xdr:colOff>
      <xdr:row>1148</xdr:row>
      <xdr:rowOff>114300</xdr:rowOff>
    </xdr:to>
    <xdr:sp macro="" textlink="">
      <xdr:nvSpPr>
        <xdr:cNvPr id="4220" name="AutoShape 11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1149</xdr:row>
      <xdr:rowOff>0</xdr:rowOff>
    </xdr:from>
    <xdr:to>
      <xdr:col>4</xdr:col>
      <xdr:colOff>304800</xdr:colOff>
      <xdr:row>1150</xdr:row>
      <xdr:rowOff>114300</xdr:rowOff>
    </xdr:to>
    <xdr:sp macro="" textlink="">
      <xdr:nvSpPr>
        <xdr:cNvPr id="4221" name="AutoShape 114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1149</xdr:row>
      <xdr:rowOff>0</xdr:rowOff>
    </xdr:from>
    <xdr:to>
      <xdr:col>5</xdr:col>
      <xdr:colOff>304800</xdr:colOff>
      <xdr:row>1150</xdr:row>
      <xdr:rowOff>114300</xdr:rowOff>
    </xdr:to>
    <xdr:sp macro="" textlink="">
      <xdr:nvSpPr>
        <xdr:cNvPr id="4222" name="AutoShape 115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1151</xdr:row>
      <xdr:rowOff>0</xdr:rowOff>
    </xdr:from>
    <xdr:to>
      <xdr:col>4</xdr:col>
      <xdr:colOff>304800</xdr:colOff>
      <xdr:row>1152</xdr:row>
      <xdr:rowOff>76200</xdr:rowOff>
    </xdr:to>
    <xdr:sp macro="" textlink="">
      <xdr:nvSpPr>
        <xdr:cNvPr id="4223" name="AutoShape 11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1151</xdr:row>
      <xdr:rowOff>0</xdr:rowOff>
    </xdr:from>
    <xdr:to>
      <xdr:col>5</xdr:col>
      <xdr:colOff>304800</xdr:colOff>
      <xdr:row>1152</xdr:row>
      <xdr:rowOff>76200</xdr:rowOff>
    </xdr:to>
    <xdr:sp macro="" textlink="">
      <xdr:nvSpPr>
        <xdr:cNvPr id="4224" name="AutoShape 115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1153</xdr:row>
      <xdr:rowOff>0</xdr:rowOff>
    </xdr:from>
    <xdr:to>
      <xdr:col>4</xdr:col>
      <xdr:colOff>304800</xdr:colOff>
      <xdr:row>1154</xdr:row>
      <xdr:rowOff>114300</xdr:rowOff>
    </xdr:to>
    <xdr:sp macro="" textlink="">
      <xdr:nvSpPr>
        <xdr:cNvPr id="4225" name="AutoShape 1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1153</xdr:row>
      <xdr:rowOff>0</xdr:rowOff>
    </xdr:from>
    <xdr:to>
      <xdr:col>5</xdr:col>
      <xdr:colOff>304800</xdr:colOff>
      <xdr:row>1154</xdr:row>
      <xdr:rowOff>114300</xdr:rowOff>
    </xdr:to>
    <xdr:sp macro="" textlink="">
      <xdr:nvSpPr>
        <xdr:cNvPr id="4226" name="AutoShape 11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1155</xdr:row>
      <xdr:rowOff>0</xdr:rowOff>
    </xdr:from>
    <xdr:to>
      <xdr:col>4</xdr:col>
      <xdr:colOff>304800</xdr:colOff>
      <xdr:row>1156</xdr:row>
      <xdr:rowOff>114300</xdr:rowOff>
    </xdr:to>
    <xdr:sp macro="" textlink="">
      <xdr:nvSpPr>
        <xdr:cNvPr id="4227" name="AutoShape 11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1155</xdr:row>
      <xdr:rowOff>0</xdr:rowOff>
    </xdr:from>
    <xdr:to>
      <xdr:col>5</xdr:col>
      <xdr:colOff>304800</xdr:colOff>
      <xdr:row>1156</xdr:row>
      <xdr:rowOff>114300</xdr:rowOff>
    </xdr:to>
    <xdr:sp macro="" textlink="">
      <xdr:nvSpPr>
        <xdr:cNvPr id="4228" name="AutoShape 115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1157</xdr:row>
      <xdr:rowOff>0</xdr:rowOff>
    </xdr:from>
    <xdr:to>
      <xdr:col>4</xdr:col>
      <xdr:colOff>304800</xdr:colOff>
      <xdr:row>1158</xdr:row>
      <xdr:rowOff>114300</xdr:rowOff>
    </xdr:to>
    <xdr:sp macro="" textlink="">
      <xdr:nvSpPr>
        <xdr:cNvPr id="4229" name="AutoShape 1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1157</xdr:row>
      <xdr:rowOff>0</xdr:rowOff>
    </xdr:from>
    <xdr:to>
      <xdr:col>5</xdr:col>
      <xdr:colOff>304800</xdr:colOff>
      <xdr:row>1158</xdr:row>
      <xdr:rowOff>114300</xdr:rowOff>
    </xdr:to>
    <xdr:sp macro="" textlink="">
      <xdr:nvSpPr>
        <xdr:cNvPr id="4230" name="AutoShape 11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1159</xdr:row>
      <xdr:rowOff>0</xdr:rowOff>
    </xdr:from>
    <xdr:to>
      <xdr:col>4</xdr:col>
      <xdr:colOff>304800</xdr:colOff>
      <xdr:row>1160</xdr:row>
      <xdr:rowOff>76200</xdr:rowOff>
    </xdr:to>
    <xdr:sp macro="" textlink="">
      <xdr:nvSpPr>
        <xdr:cNvPr id="4231" name="AutoShape 11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1159</xdr:row>
      <xdr:rowOff>0</xdr:rowOff>
    </xdr:from>
    <xdr:to>
      <xdr:col>5</xdr:col>
      <xdr:colOff>304800</xdr:colOff>
      <xdr:row>1160</xdr:row>
      <xdr:rowOff>76200</xdr:rowOff>
    </xdr:to>
    <xdr:sp macro="" textlink="">
      <xdr:nvSpPr>
        <xdr:cNvPr id="4232" name="AutoShape 116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1161</xdr:row>
      <xdr:rowOff>0</xdr:rowOff>
    </xdr:from>
    <xdr:to>
      <xdr:col>4</xdr:col>
      <xdr:colOff>304800</xdr:colOff>
      <xdr:row>1162</xdr:row>
      <xdr:rowOff>114300</xdr:rowOff>
    </xdr:to>
    <xdr:sp macro="" textlink="">
      <xdr:nvSpPr>
        <xdr:cNvPr id="4233" name="AutoShape 11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1161</xdr:row>
      <xdr:rowOff>0</xdr:rowOff>
    </xdr:from>
    <xdr:to>
      <xdr:col>5</xdr:col>
      <xdr:colOff>304800</xdr:colOff>
      <xdr:row>1162</xdr:row>
      <xdr:rowOff>114300</xdr:rowOff>
    </xdr:to>
    <xdr:sp macro="" textlink="">
      <xdr:nvSpPr>
        <xdr:cNvPr id="4234" name="AutoShape 116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1163</xdr:row>
      <xdr:rowOff>0</xdr:rowOff>
    </xdr:from>
    <xdr:to>
      <xdr:col>4</xdr:col>
      <xdr:colOff>304800</xdr:colOff>
      <xdr:row>1164</xdr:row>
      <xdr:rowOff>76200</xdr:rowOff>
    </xdr:to>
    <xdr:sp macro="" textlink="">
      <xdr:nvSpPr>
        <xdr:cNvPr id="4235" name="AutoShape 116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1163</xdr:row>
      <xdr:rowOff>0</xdr:rowOff>
    </xdr:from>
    <xdr:to>
      <xdr:col>5</xdr:col>
      <xdr:colOff>304800</xdr:colOff>
      <xdr:row>1164</xdr:row>
      <xdr:rowOff>76200</xdr:rowOff>
    </xdr:to>
    <xdr:sp macro="" textlink="">
      <xdr:nvSpPr>
        <xdr:cNvPr id="4236" name="AutoShape 116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1165</xdr:row>
      <xdr:rowOff>0</xdr:rowOff>
    </xdr:from>
    <xdr:to>
      <xdr:col>4</xdr:col>
      <xdr:colOff>304800</xdr:colOff>
      <xdr:row>1166</xdr:row>
      <xdr:rowOff>114300</xdr:rowOff>
    </xdr:to>
    <xdr:sp macro="" textlink="">
      <xdr:nvSpPr>
        <xdr:cNvPr id="4237" name="AutoShape 11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1165</xdr:row>
      <xdr:rowOff>0</xdr:rowOff>
    </xdr:from>
    <xdr:to>
      <xdr:col>5</xdr:col>
      <xdr:colOff>304800</xdr:colOff>
      <xdr:row>1166</xdr:row>
      <xdr:rowOff>114300</xdr:rowOff>
    </xdr:to>
    <xdr:sp macro="" textlink="">
      <xdr:nvSpPr>
        <xdr:cNvPr id="4238" name="AutoShape 11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1167</xdr:row>
      <xdr:rowOff>0</xdr:rowOff>
    </xdr:from>
    <xdr:to>
      <xdr:col>4</xdr:col>
      <xdr:colOff>304800</xdr:colOff>
      <xdr:row>1168</xdr:row>
      <xdr:rowOff>114300</xdr:rowOff>
    </xdr:to>
    <xdr:sp macro="" textlink="">
      <xdr:nvSpPr>
        <xdr:cNvPr id="4239" name="AutoShape 116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1167</xdr:row>
      <xdr:rowOff>0</xdr:rowOff>
    </xdr:from>
    <xdr:to>
      <xdr:col>5</xdr:col>
      <xdr:colOff>304800</xdr:colOff>
      <xdr:row>1168</xdr:row>
      <xdr:rowOff>114300</xdr:rowOff>
    </xdr:to>
    <xdr:sp macro="" textlink="">
      <xdr:nvSpPr>
        <xdr:cNvPr id="4240" name="AutoShape 116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1169</xdr:row>
      <xdr:rowOff>0</xdr:rowOff>
    </xdr:from>
    <xdr:to>
      <xdr:col>4</xdr:col>
      <xdr:colOff>304800</xdr:colOff>
      <xdr:row>1170</xdr:row>
      <xdr:rowOff>114300</xdr:rowOff>
    </xdr:to>
    <xdr:sp macro="" textlink="">
      <xdr:nvSpPr>
        <xdr:cNvPr id="4241" name="AutoShape 116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1169</xdr:row>
      <xdr:rowOff>0</xdr:rowOff>
    </xdr:from>
    <xdr:to>
      <xdr:col>5</xdr:col>
      <xdr:colOff>304800</xdr:colOff>
      <xdr:row>1170</xdr:row>
      <xdr:rowOff>114300</xdr:rowOff>
    </xdr:to>
    <xdr:sp macro="" textlink="">
      <xdr:nvSpPr>
        <xdr:cNvPr id="4242" name="AutoShape 117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1171</xdr:row>
      <xdr:rowOff>0</xdr:rowOff>
    </xdr:from>
    <xdr:to>
      <xdr:col>4</xdr:col>
      <xdr:colOff>304800</xdr:colOff>
      <xdr:row>1172</xdr:row>
      <xdr:rowOff>114300</xdr:rowOff>
    </xdr:to>
    <xdr:sp macro="" textlink="">
      <xdr:nvSpPr>
        <xdr:cNvPr id="4243" name="AutoShape 117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1171</xdr:row>
      <xdr:rowOff>0</xdr:rowOff>
    </xdr:from>
    <xdr:to>
      <xdr:col>5</xdr:col>
      <xdr:colOff>304800</xdr:colOff>
      <xdr:row>1172</xdr:row>
      <xdr:rowOff>114300</xdr:rowOff>
    </xdr:to>
    <xdr:sp macro="" textlink="">
      <xdr:nvSpPr>
        <xdr:cNvPr id="4244" name="AutoShape 11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1173</xdr:row>
      <xdr:rowOff>0</xdr:rowOff>
    </xdr:from>
    <xdr:to>
      <xdr:col>4</xdr:col>
      <xdr:colOff>304800</xdr:colOff>
      <xdr:row>1174</xdr:row>
      <xdr:rowOff>114300</xdr:rowOff>
    </xdr:to>
    <xdr:sp macro="" textlink="">
      <xdr:nvSpPr>
        <xdr:cNvPr id="4245" name="AutoShape 117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1173</xdr:row>
      <xdr:rowOff>0</xdr:rowOff>
    </xdr:from>
    <xdr:to>
      <xdr:col>5</xdr:col>
      <xdr:colOff>304800</xdr:colOff>
      <xdr:row>1174</xdr:row>
      <xdr:rowOff>114300</xdr:rowOff>
    </xdr:to>
    <xdr:sp macro="" textlink="">
      <xdr:nvSpPr>
        <xdr:cNvPr id="4246" name="AutoShape 11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1175</xdr:row>
      <xdr:rowOff>0</xdr:rowOff>
    </xdr:from>
    <xdr:to>
      <xdr:col>4</xdr:col>
      <xdr:colOff>304800</xdr:colOff>
      <xdr:row>1176</xdr:row>
      <xdr:rowOff>114300</xdr:rowOff>
    </xdr:to>
    <xdr:sp macro="" textlink="">
      <xdr:nvSpPr>
        <xdr:cNvPr id="4247" name="AutoShape 117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1175</xdr:row>
      <xdr:rowOff>0</xdr:rowOff>
    </xdr:from>
    <xdr:to>
      <xdr:col>5</xdr:col>
      <xdr:colOff>304800</xdr:colOff>
      <xdr:row>1176</xdr:row>
      <xdr:rowOff>114300</xdr:rowOff>
    </xdr:to>
    <xdr:sp macro="" textlink="">
      <xdr:nvSpPr>
        <xdr:cNvPr id="4248" name="AutoShape 117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1177</xdr:row>
      <xdr:rowOff>0</xdr:rowOff>
    </xdr:from>
    <xdr:to>
      <xdr:col>4</xdr:col>
      <xdr:colOff>304800</xdr:colOff>
      <xdr:row>1178</xdr:row>
      <xdr:rowOff>114300</xdr:rowOff>
    </xdr:to>
    <xdr:sp macro="" textlink="">
      <xdr:nvSpPr>
        <xdr:cNvPr id="4249" name="AutoShape 117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1177</xdr:row>
      <xdr:rowOff>0</xdr:rowOff>
    </xdr:from>
    <xdr:to>
      <xdr:col>5</xdr:col>
      <xdr:colOff>304800</xdr:colOff>
      <xdr:row>1178</xdr:row>
      <xdr:rowOff>114300</xdr:rowOff>
    </xdr:to>
    <xdr:sp macro="" textlink="">
      <xdr:nvSpPr>
        <xdr:cNvPr id="4250" name="AutoShape 11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1179</xdr:row>
      <xdr:rowOff>0</xdr:rowOff>
    </xdr:from>
    <xdr:to>
      <xdr:col>4</xdr:col>
      <xdr:colOff>304800</xdr:colOff>
      <xdr:row>1180</xdr:row>
      <xdr:rowOff>114300</xdr:rowOff>
    </xdr:to>
    <xdr:sp macro="" textlink="">
      <xdr:nvSpPr>
        <xdr:cNvPr id="4251" name="AutoShape 117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1179</xdr:row>
      <xdr:rowOff>0</xdr:rowOff>
    </xdr:from>
    <xdr:to>
      <xdr:col>5</xdr:col>
      <xdr:colOff>304800</xdr:colOff>
      <xdr:row>1180</xdr:row>
      <xdr:rowOff>114300</xdr:rowOff>
    </xdr:to>
    <xdr:sp macro="" textlink="">
      <xdr:nvSpPr>
        <xdr:cNvPr id="4252" name="AutoShape 11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1181</xdr:row>
      <xdr:rowOff>0</xdr:rowOff>
    </xdr:from>
    <xdr:to>
      <xdr:col>4</xdr:col>
      <xdr:colOff>304800</xdr:colOff>
      <xdr:row>1182</xdr:row>
      <xdr:rowOff>76200</xdr:rowOff>
    </xdr:to>
    <xdr:sp macro="" textlink="">
      <xdr:nvSpPr>
        <xdr:cNvPr id="4253" name="AutoShape 118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1181</xdr:row>
      <xdr:rowOff>0</xdr:rowOff>
    </xdr:from>
    <xdr:to>
      <xdr:col>5</xdr:col>
      <xdr:colOff>304800</xdr:colOff>
      <xdr:row>1182</xdr:row>
      <xdr:rowOff>76200</xdr:rowOff>
    </xdr:to>
    <xdr:sp macro="" textlink="">
      <xdr:nvSpPr>
        <xdr:cNvPr id="4254" name="AutoShape 11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1183</xdr:row>
      <xdr:rowOff>0</xdr:rowOff>
    </xdr:from>
    <xdr:to>
      <xdr:col>4</xdr:col>
      <xdr:colOff>304800</xdr:colOff>
      <xdr:row>1184</xdr:row>
      <xdr:rowOff>114300</xdr:rowOff>
    </xdr:to>
    <xdr:sp macro="" textlink="">
      <xdr:nvSpPr>
        <xdr:cNvPr id="4255" name="AutoShape 118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1183</xdr:row>
      <xdr:rowOff>0</xdr:rowOff>
    </xdr:from>
    <xdr:to>
      <xdr:col>5</xdr:col>
      <xdr:colOff>304800</xdr:colOff>
      <xdr:row>1184</xdr:row>
      <xdr:rowOff>114300</xdr:rowOff>
    </xdr:to>
    <xdr:sp macro="" textlink="">
      <xdr:nvSpPr>
        <xdr:cNvPr id="4256" name="AutoShape 118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1185</xdr:row>
      <xdr:rowOff>0</xdr:rowOff>
    </xdr:from>
    <xdr:to>
      <xdr:col>4</xdr:col>
      <xdr:colOff>304800</xdr:colOff>
      <xdr:row>1186</xdr:row>
      <xdr:rowOff>114300</xdr:rowOff>
    </xdr:to>
    <xdr:sp macro="" textlink="">
      <xdr:nvSpPr>
        <xdr:cNvPr id="4257" name="AutoShape 118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1185</xdr:row>
      <xdr:rowOff>0</xdr:rowOff>
    </xdr:from>
    <xdr:to>
      <xdr:col>5</xdr:col>
      <xdr:colOff>304800</xdr:colOff>
      <xdr:row>1186</xdr:row>
      <xdr:rowOff>114300</xdr:rowOff>
    </xdr:to>
    <xdr:sp macro="" textlink="">
      <xdr:nvSpPr>
        <xdr:cNvPr id="4258" name="AutoShape 11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1187</xdr:row>
      <xdr:rowOff>0</xdr:rowOff>
    </xdr:from>
    <xdr:to>
      <xdr:col>4</xdr:col>
      <xdr:colOff>304800</xdr:colOff>
      <xdr:row>1188</xdr:row>
      <xdr:rowOff>114300</xdr:rowOff>
    </xdr:to>
    <xdr:sp macro="" textlink="">
      <xdr:nvSpPr>
        <xdr:cNvPr id="4259" name="AutoShape 118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1187</xdr:row>
      <xdr:rowOff>0</xdr:rowOff>
    </xdr:from>
    <xdr:to>
      <xdr:col>5</xdr:col>
      <xdr:colOff>304800</xdr:colOff>
      <xdr:row>1188</xdr:row>
      <xdr:rowOff>114300</xdr:rowOff>
    </xdr:to>
    <xdr:sp macro="" textlink="">
      <xdr:nvSpPr>
        <xdr:cNvPr id="4260" name="AutoShape 118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1189</xdr:row>
      <xdr:rowOff>0</xdr:rowOff>
    </xdr:from>
    <xdr:to>
      <xdr:col>4</xdr:col>
      <xdr:colOff>304800</xdr:colOff>
      <xdr:row>1190</xdr:row>
      <xdr:rowOff>114300</xdr:rowOff>
    </xdr:to>
    <xdr:sp macro="" textlink="">
      <xdr:nvSpPr>
        <xdr:cNvPr id="4261" name="AutoShape 11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1189</xdr:row>
      <xdr:rowOff>0</xdr:rowOff>
    </xdr:from>
    <xdr:to>
      <xdr:col>5</xdr:col>
      <xdr:colOff>304800</xdr:colOff>
      <xdr:row>1190</xdr:row>
      <xdr:rowOff>114300</xdr:rowOff>
    </xdr:to>
    <xdr:sp macro="" textlink="">
      <xdr:nvSpPr>
        <xdr:cNvPr id="4262" name="AutoShape 11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1191</xdr:row>
      <xdr:rowOff>0</xdr:rowOff>
    </xdr:from>
    <xdr:to>
      <xdr:col>4</xdr:col>
      <xdr:colOff>304800</xdr:colOff>
      <xdr:row>1192</xdr:row>
      <xdr:rowOff>114300</xdr:rowOff>
    </xdr:to>
    <xdr:sp macro="" textlink="">
      <xdr:nvSpPr>
        <xdr:cNvPr id="4263" name="AutoShape 119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1191</xdr:row>
      <xdr:rowOff>0</xdr:rowOff>
    </xdr:from>
    <xdr:to>
      <xdr:col>5</xdr:col>
      <xdr:colOff>304800</xdr:colOff>
      <xdr:row>1192</xdr:row>
      <xdr:rowOff>114300</xdr:rowOff>
    </xdr:to>
    <xdr:sp macro="" textlink="">
      <xdr:nvSpPr>
        <xdr:cNvPr id="4264" name="AutoShape 119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1193</xdr:row>
      <xdr:rowOff>0</xdr:rowOff>
    </xdr:from>
    <xdr:to>
      <xdr:col>4</xdr:col>
      <xdr:colOff>304800</xdr:colOff>
      <xdr:row>1194</xdr:row>
      <xdr:rowOff>76200</xdr:rowOff>
    </xdr:to>
    <xdr:sp macro="" textlink="">
      <xdr:nvSpPr>
        <xdr:cNvPr id="4265" name="AutoShape 11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1193</xdr:row>
      <xdr:rowOff>0</xdr:rowOff>
    </xdr:from>
    <xdr:to>
      <xdr:col>5</xdr:col>
      <xdr:colOff>304800</xdr:colOff>
      <xdr:row>1194</xdr:row>
      <xdr:rowOff>76200</xdr:rowOff>
    </xdr:to>
    <xdr:sp macro="" textlink="">
      <xdr:nvSpPr>
        <xdr:cNvPr id="4266" name="AutoShape 119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1195</xdr:row>
      <xdr:rowOff>0</xdr:rowOff>
    </xdr:from>
    <xdr:to>
      <xdr:col>4</xdr:col>
      <xdr:colOff>304800</xdr:colOff>
      <xdr:row>1196</xdr:row>
      <xdr:rowOff>114300</xdr:rowOff>
    </xdr:to>
    <xdr:sp macro="" textlink="">
      <xdr:nvSpPr>
        <xdr:cNvPr id="4267" name="AutoShape 11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1195</xdr:row>
      <xdr:rowOff>0</xdr:rowOff>
    </xdr:from>
    <xdr:to>
      <xdr:col>5</xdr:col>
      <xdr:colOff>304800</xdr:colOff>
      <xdr:row>1196</xdr:row>
      <xdr:rowOff>114300</xdr:rowOff>
    </xdr:to>
    <xdr:sp macro="" textlink="">
      <xdr:nvSpPr>
        <xdr:cNvPr id="4268" name="AutoShape 119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1197</xdr:row>
      <xdr:rowOff>0</xdr:rowOff>
    </xdr:from>
    <xdr:to>
      <xdr:col>4</xdr:col>
      <xdr:colOff>304800</xdr:colOff>
      <xdr:row>1198</xdr:row>
      <xdr:rowOff>114300</xdr:rowOff>
    </xdr:to>
    <xdr:sp macro="" textlink="">
      <xdr:nvSpPr>
        <xdr:cNvPr id="4269" name="AutoShape 11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304800</xdr:colOff>
      <xdr:row>1198</xdr:row>
      <xdr:rowOff>114300</xdr:rowOff>
    </xdr:to>
    <xdr:sp macro="" textlink="">
      <xdr:nvSpPr>
        <xdr:cNvPr id="4270" name="AutoShape 11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1199</xdr:row>
      <xdr:rowOff>0</xdr:rowOff>
    </xdr:from>
    <xdr:to>
      <xdr:col>4</xdr:col>
      <xdr:colOff>304800</xdr:colOff>
      <xdr:row>1200</xdr:row>
      <xdr:rowOff>114300</xdr:rowOff>
    </xdr:to>
    <xdr:sp macro="" textlink="">
      <xdr:nvSpPr>
        <xdr:cNvPr id="4271" name="AutoShape 11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304800</xdr:colOff>
      <xdr:row>1200</xdr:row>
      <xdr:rowOff>114300</xdr:rowOff>
    </xdr:to>
    <xdr:sp macro="" textlink="">
      <xdr:nvSpPr>
        <xdr:cNvPr id="4272" name="AutoShape 12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1201</xdr:row>
      <xdr:rowOff>0</xdr:rowOff>
    </xdr:from>
    <xdr:to>
      <xdr:col>4</xdr:col>
      <xdr:colOff>304800</xdr:colOff>
      <xdr:row>1202</xdr:row>
      <xdr:rowOff>114300</xdr:rowOff>
    </xdr:to>
    <xdr:sp macro="" textlink="">
      <xdr:nvSpPr>
        <xdr:cNvPr id="4273" name="AutoShape 12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304800</xdr:colOff>
      <xdr:row>1202</xdr:row>
      <xdr:rowOff>114300</xdr:rowOff>
    </xdr:to>
    <xdr:sp macro="" textlink="">
      <xdr:nvSpPr>
        <xdr:cNvPr id="4274" name="AutoShape 120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1203</xdr:row>
      <xdr:rowOff>0</xdr:rowOff>
    </xdr:from>
    <xdr:to>
      <xdr:col>4</xdr:col>
      <xdr:colOff>304800</xdr:colOff>
      <xdr:row>1204</xdr:row>
      <xdr:rowOff>76200</xdr:rowOff>
    </xdr:to>
    <xdr:sp macro="" textlink="">
      <xdr:nvSpPr>
        <xdr:cNvPr id="4275" name="AutoShape 12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1203</xdr:row>
      <xdr:rowOff>0</xdr:rowOff>
    </xdr:from>
    <xdr:to>
      <xdr:col>5</xdr:col>
      <xdr:colOff>304800</xdr:colOff>
      <xdr:row>1204</xdr:row>
      <xdr:rowOff>76200</xdr:rowOff>
    </xdr:to>
    <xdr:sp macro="" textlink="">
      <xdr:nvSpPr>
        <xdr:cNvPr id="4276" name="AutoShape 12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1205</xdr:row>
      <xdr:rowOff>0</xdr:rowOff>
    </xdr:from>
    <xdr:to>
      <xdr:col>4</xdr:col>
      <xdr:colOff>304800</xdr:colOff>
      <xdr:row>1206</xdr:row>
      <xdr:rowOff>114300</xdr:rowOff>
    </xdr:to>
    <xdr:sp macro="" textlink="">
      <xdr:nvSpPr>
        <xdr:cNvPr id="4277" name="AutoShape 12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1205</xdr:row>
      <xdr:rowOff>0</xdr:rowOff>
    </xdr:from>
    <xdr:to>
      <xdr:col>5</xdr:col>
      <xdr:colOff>304800</xdr:colOff>
      <xdr:row>1206</xdr:row>
      <xdr:rowOff>114300</xdr:rowOff>
    </xdr:to>
    <xdr:sp macro="" textlink="">
      <xdr:nvSpPr>
        <xdr:cNvPr id="4278" name="AutoShape 12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1207</xdr:row>
      <xdr:rowOff>0</xdr:rowOff>
    </xdr:from>
    <xdr:to>
      <xdr:col>4</xdr:col>
      <xdr:colOff>304800</xdr:colOff>
      <xdr:row>1208</xdr:row>
      <xdr:rowOff>114300</xdr:rowOff>
    </xdr:to>
    <xdr:sp macro="" textlink="">
      <xdr:nvSpPr>
        <xdr:cNvPr id="4279" name="AutoShape 12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1207</xdr:row>
      <xdr:rowOff>0</xdr:rowOff>
    </xdr:from>
    <xdr:to>
      <xdr:col>5</xdr:col>
      <xdr:colOff>304800</xdr:colOff>
      <xdr:row>1208</xdr:row>
      <xdr:rowOff>114300</xdr:rowOff>
    </xdr:to>
    <xdr:sp macro="" textlink="">
      <xdr:nvSpPr>
        <xdr:cNvPr id="4280" name="AutoShape 12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1209</xdr:row>
      <xdr:rowOff>0</xdr:rowOff>
    </xdr:from>
    <xdr:to>
      <xdr:col>4</xdr:col>
      <xdr:colOff>304800</xdr:colOff>
      <xdr:row>1210</xdr:row>
      <xdr:rowOff>114300</xdr:rowOff>
    </xdr:to>
    <xdr:sp macro="" textlink="">
      <xdr:nvSpPr>
        <xdr:cNvPr id="4281" name="AutoShape 120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1209</xdr:row>
      <xdr:rowOff>0</xdr:rowOff>
    </xdr:from>
    <xdr:to>
      <xdr:col>5</xdr:col>
      <xdr:colOff>304800</xdr:colOff>
      <xdr:row>1210</xdr:row>
      <xdr:rowOff>114300</xdr:rowOff>
    </xdr:to>
    <xdr:sp macro="" textlink="">
      <xdr:nvSpPr>
        <xdr:cNvPr id="4282" name="AutoShape 12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1211</xdr:row>
      <xdr:rowOff>0</xdr:rowOff>
    </xdr:from>
    <xdr:to>
      <xdr:col>4</xdr:col>
      <xdr:colOff>304800</xdr:colOff>
      <xdr:row>1212</xdr:row>
      <xdr:rowOff>76200</xdr:rowOff>
    </xdr:to>
    <xdr:sp macro="" textlink="">
      <xdr:nvSpPr>
        <xdr:cNvPr id="4283" name="AutoShape 12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1211</xdr:row>
      <xdr:rowOff>0</xdr:rowOff>
    </xdr:from>
    <xdr:to>
      <xdr:col>5</xdr:col>
      <xdr:colOff>304800</xdr:colOff>
      <xdr:row>1212</xdr:row>
      <xdr:rowOff>76200</xdr:rowOff>
    </xdr:to>
    <xdr:sp macro="" textlink="">
      <xdr:nvSpPr>
        <xdr:cNvPr id="4284" name="AutoShape 121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1213</xdr:row>
      <xdr:rowOff>0</xdr:rowOff>
    </xdr:from>
    <xdr:to>
      <xdr:col>4</xdr:col>
      <xdr:colOff>304800</xdr:colOff>
      <xdr:row>1214</xdr:row>
      <xdr:rowOff>114300</xdr:rowOff>
    </xdr:to>
    <xdr:sp macro="" textlink="">
      <xdr:nvSpPr>
        <xdr:cNvPr id="4285" name="AutoShape 121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1213</xdr:row>
      <xdr:rowOff>0</xdr:rowOff>
    </xdr:from>
    <xdr:to>
      <xdr:col>5</xdr:col>
      <xdr:colOff>304800</xdr:colOff>
      <xdr:row>1214</xdr:row>
      <xdr:rowOff>114300</xdr:rowOff>
    </xdr:to>
    <xdr:sp macro="" textlink="">
      <xdr:nvSpPr>
        <xdr:cNvPr id="4286" name="AutoShape 121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1215</xdr:row>
      <xdr:rowOff>0</xdr:rowOff>
    </xdr:from>
    <xdr:to>
      <xdr:col>4</xdr:col>
      <xdr:colOff>304800</xdr:colOff>
      <xdr:row>1216</xdr:row>
      <xdr:rowOff>114300</xdr:rowOff>
    </xdr:to>
    <xdr:sp macro="" textlink="">
      <xdr:nvSpPr>
        <xdr:cNvPr id="4287" name="AutoShape 1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1215</xdr:row>
      <xdr:rowOff>0</xdr:rowOff>
    </xdr:from>
    <xdr:to>
      <xdr:col>5</xdr:col>
      <xdr:colOff>304800</xdr:colOff>
      <xdr:row>1216</xdr:row>
      <xdr:rowOff>114300</xdr:rowOff>
    </xdr:to>
    <xdr:sp macro="" textlink="">
      <xdr:nvSpPr>
        <xdr:cNvPr id="4288" name="AutoShape 121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1217</xdr:row>
      <xdr:rowOff>0</xdr:rowOff>
    </xdr:from>
    <xdr:to>
      <xdr:col>4</xdr:col>
      <xdr:colOff>304800</xdr:colOff>
      <xdr:row>1218</xdr:row>
      <xdr:rowOff>114300</xdr:rowOff>
    </xdr:to>
    <xdr:sp macro="" textlink="">
      <xdr:nvSpPr>
        <xdr:cNvPr id="4289" name="AutoShape 121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1217</xdr:row>
      <xdr:rowOff>0</xdr:rowOff>
    </xdr:from>
    <xdr:to>
      <xdr:col>5</xdr:col>
      <xdr:colOff>304800</xdr:colOff>
      <xdr:row>1218</xdr:row>
      <xdr:rowOff>114300</xdr:rowOff>
    </xdr:to>
    <xdr:sp macro="" textlink="">
      <xdr:nvSpPr>
        <xdr:cNvPr id="4290" name="AutoShape 12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1219</xdr:row>
      <xdr:rowOff>0</xdr:rowOff>
    </xdr:from>
    <xdr:to>
      <xdr:col>4</xdr:col>
      <xdr:colOff>304800</xdr:colOff>
      <xdr:row>1220</xdr:row>
      <xdr:rowOff>76200</xdr:rowOff>
    </xdr:to>
    <xdr:sp macro="" textlink="">
      <xdr:nvSpPr>
        <xdr:cNvPr id="4291" name="AutoShape 121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1219</xdr:row>
      <xdr:rowOff>0</xdr:rowOff>
    </xdr:from>
    <xdr:to>
      <xdr:col>5</xdr:col>
      <xdr:colOff>304800</xdr:colOff>
      <xdr:row>1220</xdr:row>
      <xdr:rowOff>76200</xdr:rowOff>
    </xdr:to>
    <xdr:sp macro="" textlink="">
      <xdr:nvSpPr>
        <xdr:cNvPr id="4292" name="AutoShape 12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304800</xdr:colOff>
      <xdr:row>1222</xdr:row>
      <xdr:rowOff>114300</xdr:rowOff>
    </xdr:to>
    <xdr:sp macro="" textlink="">
      <xdr:nvSpPr>
        <xdr:cNvPr id="4293" name="AutoShape 12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1221</xdr:row>
      <xdr:rowOff>0</xdr:rowOff>
    </xdr:from>
    <xdr:to>
      <xdr:col>5</xdr:col>
      <xdr:colOff>304800</xdr:colOff>
      <xdr:row>1222</xdr:row>
      <xdr:rowOff>114300</xdr:rowOff>
    </xdr:to>
    <xdr:sp macro="" textlink="">
      <xdr:nvSpPr>
        <xdr:cNvPr id="4294" name="AutoShape 12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304800</xdr:colOff>
      <xdr:row>1224</xdr:row>
      <xdr:rowOff>76200</xdr:rowOff>
    </xdr:to>
    <xdr:sp macro="" textlink="">
      <xdr:nvSpPr>
        <xdr:cNvPr id="4295" name="AutoShape 122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1223</xdr:row>
      <xdr:rowOff>0</xdr:rowOff>
    </xdr:from>
    <xdr:to>
      <xdr:col>5</xdr:col>
      <xdr:colOff>304800</xdr:colOff>
      <xdr:row>1224</xdr:row>
      <xdr:rowOff>76200</xdr:rowOff>
    </xdr:to>
    <xdr:sp macro="" textlink="">
      <xdr:nvSpPr>
        <xdr:cNvPr id="4296" name="AutoShape 12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1225</xdr:row>
      <xdr:rowOff>0</xdr:rowOff>
    </xdr:from>
    <xdr:to>
      <xdr:col>4</xdr:col>
      <xdr:colOff>304800</xdr:colOff>
      <xdr:row>1226</xdr:row>
      <xdr:rowOff>114300</xdr:rowOff>
    </xdr:to>
    <xdr:sp macro="" textlink="">
      <xdr:nvSpPr>
        <xdr:cNvPr id="4297" name="AutoShape 12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1225</xdr:row>
      <xdr:rowOff>0</xdr:rowOff>
    </xdr:from>
    <xdr:to>
      <xdr:col>5</xdr:col>
      <xdr:colOff>304800</xdr:colOff>
      <xdr:row>1226</xdr:row>
      <xdr:rowOff>114300</xdr:rowOff>
    </xdr:to>
    <xdr:sp macro="" textlink="">
      <xdr:nvSpPr>
        <xdr:cNvPr id="4298" name="AutoShape 12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1227</xdr:row>
      <xdr:rowOff>0</xdr:rowOff>
    </xdr:from>
    <xdr:to>
      <xdr:col>4</xdr:col>
      <xdr:colOff>304800</xdr:colOff>
      <xdr:row>1228</xdr:row>
      <xdr:rowOff>114300</xdr:rowOff>
    </xdr:to>
    <xdr:sp macro="" textlink="">
      <xdr:nvSpPr>
        <xdr:cNvPr id="4299" name="AutoShape 12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1227</xdr:row>
      <xdr:rowOff>0</xdr:rowOff>
    </xdr:from>
    <xdr:to>
      <xdr:col>5</xdr:col>
      <xdr:colOff>304800</xdr:colOff>
      <xdr:row>1228</xdr:row>
      <xdr:rowOff>114300</xdr:rowOff>
    </xdr:to>
    <xdr:sp macro="" textlink="">
      <xdr:nvSpPr>
        <xdr:cNvPr id="4300" name="AutoShape 122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304800</xdr:colOff>
      <xdr:row>1230</xdr:row>
      <xdr:rowOff>114300</xdr:rowOff>
    </xdr:to>
    <xdr:sp macro="" textlink="">
      <xdr:nvSpPr>
        <xdr:cNvPr id="4301" name="AutoShape 12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1229</xdr:row>
      <xdr:rowOff>0</xdr:rowOff>
    </xdr:from>
    <xdr:to>
      <xdr:col>5</xdr:col>
      <xdr:colOff>304800</xdr:colOff>
      <xdr:row>1230</xdr:row>
      <xdr:rowOff>114300</xdr:rowOff>
    </xdr:to>
    <xdr:sp macro="" textlink="">
      <xdr:nvSpPr>
        <xdr:cNvPr id="4302" name="AutoShape 12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3" name="AutoShape 123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4" name="AutoShape 123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5" name="AutoShape 123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6" name="AutoShape 123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7" name="AutoShape 12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8" name="AutoShape 12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9" name="AutoShape 12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0" name="AutoShape 12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1" name="AutoShape 123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2" name="AutoShape 12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3" name="AutoShape 124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4" name="AutoShape 12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5" name="AutoShape 12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6" name="AutoShape 124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7" name="AutoShape 12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8" name="AutoShape 12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9" name="AutoShape 124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0" name="AutoShape 12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1" name="AutoShape 124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2" name="AutoShape 125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3" name="AutoShape 125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4" name="AutoShape 125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5" name="AutoShape 12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6" name="AutoShape 125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7" name="AutoShape 125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8" name="AutoShape 125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9" name="AutoShape 125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0" name="AutoShape 125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1" name="AutoShape 12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2" name="AutoShape 12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3" name="AutoShape 126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4" name="AutoShape 126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5" name="AutoShape 126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6" name="AutoShape 126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7" name="AutoShape 12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8" name="AutoShape 12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9" name="AutoShape 126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0" name="AutoShape 126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1" name="AutoShape 12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2" name="AutoShape 12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3" name="AutoShape 127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4" name="AutoShape 12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5" name="AutoShape 12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6" name="AutoShape 127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7" name="AutoShape 12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8" name="AutoShape 12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9" name="AutoShape 127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0" name="AutoShape 12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1" name="AutoShape 127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2" name="AutoShape 128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3" name="AutoShape 128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4" name="AutoShape 12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5" name="AutoShape 1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6" name="AutoShape 128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7" name="AutoShape 128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8" name="AutoShape 128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9" name="AutoShape 12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0" name="AutoShape 128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1" name="AutoShape 128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2" name="AutoShape 129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3" name="AutoShape 12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4" name="AutoShape 129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5" name="AutoShape 129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6" name="AutoShape 129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7" name="AutoShape 129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8" name="AutoShape 129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9" name="AutoShape 129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0" name="AutoShape 129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1" name="AutoShape 129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2" name="AutoShape 13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3" name="AutoShape 130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4" name="AutoShape 13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5" name="AutoShape 130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6" name="AutoShape 130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7" name="AutoShape 13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8" name="AutoShape 13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9" name="AutoShape 130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0" name="AutoShape 130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1" name="AutoShape 130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2" name="AutoShape 131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3" name="AutoShape 13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4" name="AutoShape 131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5" name="AutoShape 131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6" name="AutoShape 13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7" name="AutoShape 13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8" name="AutoShape 13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9" name="AutoShape 131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0" name="AutoShape 13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1" name="AutoShape 131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2" name="AutoShape 13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3" name="AutoShape 132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4" name="AutoShape 132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5" name="AutoShape 13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6" name="AutoShape 132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7" name="AutoShape 1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8" name="AutoShape 13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9" name="AutoShape 132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0" name="AutoShape 13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1" name="AutoShape 13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2" name="AutoShape 13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3" name="AutoShape 133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4" name="AutoShape 133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5" name="AutoShape 133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6" name="AutoShape 133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7" name="AutoShape 133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8" name="AutoShape 133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9" name="AutoShape 133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0" name="AutoShape 13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1" name="AutoShape 133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2" name="AutoShape 13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3" name="AutoShape 13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4" name="AutoShape 13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5" name="AutoShape 13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6" name="AutoShape 134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7" name="AutoShape 134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8" name="AutoShape 134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9" name="AutoShape 134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0" name="AutoShape 134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1" name="AutoShape 134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2" name="AutoShape 135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3" name="AutoShape 135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4" name="AutoShape 135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5" name="AutoShape 135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6" name="AutoShape 13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7" name="AutoShape 135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8" name="AutoShape 13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9" name="AutoShape 13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0" name="AutoShape 135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1" name="AutoShape 135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2" name="AutoShape 136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3" name="AutoShape 13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4" name="AutoShape 136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5" name="AutoShape 136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6" name="AutoShape 136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7" name="AutoShape 136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8" name="AutoShape 136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9" name="AutoShape 13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0" name="AutoShape 13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1" name="AutoShape 136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2" name="AutoShape 13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3" name="AutoShape 137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4" name="AutoShape 13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5" name="AutoShape 13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6" name="AutoShape 13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7" name="AutoShape 137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8" name="AutoShape 137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9" name="AutoShape 13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0" name="AutoShape 137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1" name="AutoShape 13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2" name="AutoShape 13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3" name="AutoShape 138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4" name="AutoShape 13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5" name="AutoShape 138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6" name="AutoShape 138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7" name="AutoShape 138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8" name="AutoShape 138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9" name="AutoShape 138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0" name="AutoShape 138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1" name="AutoShape 13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2" name="AutoShape 13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3" name="AutoShape 13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4" name="AutoShape 139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5" name="AutoShape 139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6" name="AutoShape 13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7" name="AutoShape 1395" descr="Team Toews"/>
        <xdr:cNvSpPr>
          <a:spLocks noChangeAspect="1" noChangeArrowheads="1"/>
        </xdr:cNvSpPr>
      </xdr:nvSpPr>
      <xdr:spPr bwMode="auto">
        <a:xfrm>
          <a:off x="9906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8" name="AutoShape 1396" descr="Team Foligno"/>
        <xdr:cNvSpPr>
          <a:spLocks noChangeAspect="1" noChangeArrowheads="1"/>
        </xdr:cNvSpPr>
      </xdr:nvSpPr>
      <xdr:spPr bwMode="auto">
        <a:xfrm>
          <a:off x="17145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9" name="AutoShape 139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0" name="AutoShape 13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1" name="AutoShape 13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2" name="AutoShape 14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3" name="AutoShape 140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4" name="AutoShape 140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5" name="AutoShape 140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6" name="AutoShape 140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7" name="AutoShape 140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8" name="AutoShape 14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9" name="AutoShape 14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0" name="AutoShape 140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1" name="AutoShape 140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2" name="AutoShape 14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3" name="AutoShape 14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4" name="AutoShape 14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5" name="AutoShape 141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6" name="AutoShape 14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7" name="AutoShape 141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8" name="AutoShape 141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9" name="AutoShape 141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0" name="AutoShape 141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1" name="AutoShape 141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2" name="AutoShape 14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3" name="AutoShape 14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4" name="AutoShape 142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5" name="AutoShape 14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6" name="AutoShape 142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7" name="AutoShape 142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8" name="AutoShape 14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9" name="AutoShape 142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0" name="AutoShape 142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1" name="AutoShape 14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2" name="AutoShape 143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3" name="AutoShape 14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4" name="AutoShape 143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5" name="AutoShape 14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6" name="AutoShape 143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7" name="AutoShape 14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8" name="AutoShape 143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9" name="AutoShape 143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0" name="AutoShape 143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1" name="AutoShape 14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2" name="AutoShape 144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3" name="AutoShape 1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4" name="AutoShape 144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5" name="AutoShape 144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6" name="AutoShape 144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7" name="AutoShape 14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8" name="AutoShape 144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9" name="AutoShape 14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0" name="AutoShape 144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1" name="AutoShape 144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2" name="AutoShape 145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3" name="AutoShape 14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4" name="AutoShape 145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5" name="AutoShape 1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6" name="AutoShape 145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7" name="AutoShape 145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8" name="AutoShape 14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9" name="AutoShape 145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0" name="AutoShape 145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1" name="AutoShape 145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2" name="AutoShape 14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3" name="AutoShape 146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4" name="AutoShape 14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5" name="AutoShape 14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6" name="AutoShape 146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7" name="AutoShape 14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8" name="AutoShape 146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9" name="AutoShape 146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0" name="AutoShape 1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1" name="AutoShape 14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2" name="AutoShape 147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3" name="AutoShape 147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4" name="AutoShape 147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5" name="AutoShape 147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6" name="AutoShape 1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7" name="AutoShape 147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8" name="AutoShape 14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9" name="AutoShape 14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0" name="AutoShape 14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1" name="AutoShape 1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2" name="AutoShape 148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3" name="AutoShape 14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4" name="AutoShape 14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5" name="AutoShape 148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6" name="AutoShape 14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7" name="AutoShape 14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8" name="AutoShape 148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9" name="AutoShape 148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0" name="AutoShape 14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1" name="AutoShape 148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2" name="AutoShape 14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3" name="AutoShape 149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4" name="AutoShape 14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5" name="AutoShape 14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6" name="AutoShape 14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7" name="AutoShape 149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8" name="AutoShape 14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9" name="AutoShape 14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0" name="AutoShape 149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1" name="AutoShape 14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2" name="AutoShape 15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3" name="AutoShape 15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4" name="AutoShape 150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5" name="AutoShape 15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6" name="AutoShape 15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7" name="AutoShape 150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8" name="AutoShape 15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9" name="AutoShape 15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0" name="AutoShape 15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1" name="AutoShape 1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2" name="AutoShape 151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3" name="AutoShape 15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4" name="AutoShape 151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5" name="AutoShape 151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6" name="AutoShape 151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7" name="AutoShape 15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8" name="AutoShape 151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9" name="AutoShape 151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0" name="AutoShape 15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1" name="AutoShape 151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2" name="AutoShape 1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3" name="AutoShape 152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4" name="AutoShape 15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5" name="AutoShape 15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6" name="AutoShape 152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7" name="AutoShape 152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8" name="AutoShape 152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9" name="AutoShape 152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0" name="AutoShape 15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1" name="AutoShape 152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2" name="AutoShape 153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3" name="AutoShape 15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4" name="AutoShape 15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5" name="AutoShape 153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6" name="AutoShape 15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7" name="AutoShape 153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8" name="AutoShape 153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9" name="AutoShape 153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0" name="AutoShape 153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1" name="AutoShape 15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2" name="AutoShape 154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3" name="AutoShape 15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4" name="AutoShape 154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5" name="AutoShape 154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6" name="AutoShape 154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7" name="AutoShape 154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8" name="AutoShape 154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9" name="AutoShape 15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0" name="AutoShape 154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1" name="AutoShape 15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2" name="AutoShape 155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3" name="AutoShape 15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4" name="AutoShape 15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5" name="AutoShape 15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6" name="AutoShape 155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7" name="AutoShape 15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8" name="AutoShape 155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9" name="AutoShape 155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0" name="AutoShape 15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1" name="AutoShape 155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2" name="AutoShape 15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3" name="AutoShape 15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4" name="AutoShape 15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5" name="AutoShape 156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6" name="AutoShape 156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7" name="AutoShape 15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8" name="AutoShape 15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9" name="AutoShape 156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0" name="AutoShape 156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1" name="AutoShape 15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2" name="AutoShape 15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3" name="AutoShape 157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4" name="AutoShape 15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5" name="AutoShape 15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6" name="AutoShape 15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7" name="AutoShape 157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8" name="AutoShape 157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9" name="AutoShape 15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0" name="AutoShape 157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1" name="AutoShape 15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2" name="AutoShape 15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3" name="AutoShape 15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4" name="AutoShape 158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5" name="AutoShape 15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6" name="AutoShape 15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7" name="AutoShape 158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8" name="AutoShape 15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9" name="AutoShape 158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0" name="AutoShape 15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1" name="AutoShape 158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2" name="AutoShape 159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3" name="AutoShape 15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4" name="AutoShape 159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5" name="AutoShape 15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6" name="AutoShape 15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7" name="AutoShape 15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8" name="AutoShape 159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9" name="AutoShape 159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0" name="AutoShape 15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1" name="AutoShape 159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2" name="AutoShape 160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3" name="AutoShape 160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4" name="AutoShape 16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5" name="AutoShape 160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6" name="AutoShape 16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7" name="AutoShape 16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8" name="AutoShape 16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9" name="AutoShape 160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0" name="AutoShape 160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1" name="AutoShape 160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2" name="AutoShape 161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3" name="AutoShape 161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4" name="AutoShape 16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5" name="AutoShape 16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6" name="AutoShape 161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7" name="AutoShape 161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8" name="AutoShape 16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9" name="AutoShape 161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0" name="AutoShape 16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1" name="AutoShape 161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2" name="AutoShape 162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3" name="AutoShape 162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4" name="AutoShape 16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5" name="AutoShape 162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6" name="AutoShape 16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7" name="AutoShape 16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8" name="AutoShape 16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9" name="AutoShape 162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0" name="AutoShape 16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1" name="AutoShape 16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2" name="AutoShape 163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3" name="AutoShape 1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4" name="AutoShape 16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5" name="AutoShape 163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6" name="AutoShape 163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7" name="AutoShape 16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8" name="AutoShape 16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9" name="AutoShape 16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0" name="AutoShape 163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1" name="AutoShape 16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2" name="AutoShape 16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3" name="AutoShape 1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4" name="AutoShape 164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5" name="AutoShape 16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6" name="AutoShape 164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7" name="AutoShape 164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8" name="AutoShape 16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9" name="AutoShape 164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0" name="AutoShape 16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1" name="AutoShape 164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2" name="AutoShape 16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3" name="AutoShape 165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4" name="AutoShape 165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5" name="AutoShape 16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6" name="AutoShape 16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7" name="AutoShape 16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8" name="AutoShape 165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9" name="AutoShape 165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0" name="AutoShape 165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1" name="AutoShape 16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2" name="AutoShape 166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3" name="AutoShape 16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4" name="AutoShape 166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5" name="AutoShape 166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6" name="AutoShape 16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7" name="AutoShape 166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8" name="AutoShape 166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9" name="AutoShape 16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0" name="AutoShape 16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1" name="AutoShape 166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2" name="AutoShape 167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3" name="AutoShape 16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4" name="AutoShape 167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5" name="AutoShape 167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6" name="AutoShape 1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7" name="AutoShape 167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8" name="AutoShape 167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9" name="AutoShape 16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0" name="AutoShape 16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1" name="AutoShape 167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2" name="AutoShape 168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3" name="AutoShape 168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4" name="AutoShape 16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5" name="AutoShape 16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6" name="AutoShape 16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7" name="AutoShape 168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8" name="AutoShape 168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9" name="AutoShape 16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0" name="AutoShape 16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1" name="AutoShape 16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2" name="AutoShape 16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3" name="AutoShape 16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4" name="AutoShape 16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5" name="AutoShape 16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6" name="AutoShape 16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7" name="AutoShape 16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8" name="AutoShape 169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9" name="AutoShape 169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0" name="AutoShape 169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1" name="AutoShape 169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2" name="AutoShape 170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3" name="AutoShape 17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4" name="AutoShape 17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5" name="AutoShape 17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6" name="AutoShape 17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7" name="AutoShape 17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8" name="AutoShape 170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9" name="AutoShape 170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0" name="AutoShape 170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1" name="AutoShape 170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2" name="AutoShape 171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3" name="AutoShape 17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4" name="AutoShape 171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5" name="AutoShape 17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6" name="AutoShape 17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7" name="AutoShape 17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8" name="AutoShape 171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9" name="AutoShape 17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0" name="AutoShape 17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1" name="AutoShape 171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2" name="AutoShape 17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3" name="AutoShape 17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4" name="AutoShape 17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5" name="AutoShape 17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6" name="AutoShape 172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7" name="AutoShape 172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8" name="AutoShape 172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9" name="AutoShape 172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0" name="AutoShape 172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1" name="AutoShape 17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2" name="AutoShape 173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3" name="AutoShape 173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4" name="AutoShape 17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5" name="AutoShape 17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6" name="AutoShape 173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7" name="AutoShape 17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8" name="AutoShape 173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9" name="AutoShape 173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0" name="AutoShape 17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1" name="AutoShape 17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2" name="AutoShape 17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3" name="AutoShape 1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4" name="AutoShape 17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5" name="AutoShape 17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6" name="AutoShape 17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7" name="AutoShape 17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8" name="AutoShape 174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9" name="AutoShape 17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0" name="AutoShape 174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1" name="AutoShape 174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2" name="AutoShape 175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3" name="AutoShape 17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4" name="AutoShape 17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5" name="AutoShape 17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6" name="AutoShape 175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7" name="AutoShape 17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8" name="AutoShape 175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9" name="AutoShape 175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0" name="AutoShape 1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1" name="AutoShape 17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2" name="AutoShape 176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3" name="AutoShape 17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4" name="AutoShape 176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5" name="AutoShape 17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6" name="AutoShape 176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7" name="AutoShape 17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8" name="AutoShape 176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9" name="AutoShape 176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0" name="AutoShape 176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1" name="AutoShape 1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2" name="AutoShape 17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3" name="AutoShape 177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4" name="AutoShape 17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5" name="AutoShape 177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6" name="AutoShape 177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7" name="AutoShape 17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8" name="AutoShape 17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9" name="AutoShape 17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0" name="AutoShape 17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1" name="AutoShape 177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2" name="AutoShape 1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3" name="AutoShape 178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4" name="AutoShape 178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5" name="AutoShape 178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6" name="AutoShape 178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7" name="AutoShape 17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8" name="AutoShape 178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9" name="AutoShape 17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0" name="AutoShape 17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1" name="AutoShape 178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2" name="AutoShape 179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3" name="AutoShape 17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4" name="AutoShape 17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5" name="AutoShape 17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6" name="AutoShape 179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7" name="AutoShape 17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8" name="AutoShape 179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9" name="AutoShape 179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0" name="AutoShape 17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1" name="AutoShape 179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2" name="AutoShape 18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3" name="AutoShape 180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4" name="AutoShape 18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5" name="AutoShape 180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6" name="AutoShape 18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7" name="AutoShape 180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8" name="AutoShape 180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9" name="AutoShape 18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0" name="AutoShape 180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1" name="AutoShape 180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2" name="AutoShape 181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3" name="AutoShape 18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4" name="AutoShape 181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5" name="AutoShape 181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6" name="AutoShape 181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7" name="AutoShape 181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8" name="AutoShape 18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9" name="AutoShape 181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0" name="AutoShape 181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1" name="AutoShape 181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2" name="AutoShape 182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3" name="AutoShape 182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4" name="AutoShape 182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5" name="AutoShape 182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6" name="AutoShape 182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7" name="AutoShape 18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8" name="AutoShape 182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9" name="AutoShape 18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0" name="AutoShape 18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1" name="AutoShape 18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2" name="AutoShape 183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3" name="AutoShape 183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4" name="AutoShape 18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5" name="AutoShape 18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6" name="AutoShape 183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7" name="AutoShape 18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8" name="AutoShape 1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9" name="AutoShape 18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0" name="AutoShape 18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1" name="AutoShape 18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2" name="AutoShape 184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3" name="AutoShape 18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4" name="AutoShape 184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5" name="AutoShape 184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6" name="AutoShape 184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7" name="AutoShape 184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8" name="AutoShape 18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9" name="AutoShape 184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0" name="AutoShape 184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1" name="AutoShape 18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2" name="AutoShape 185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3" name="AutoShape 18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4" name="AutoShape 185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5" name="AutoShape 18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6" name="AutoShape 18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7" name="AutoShape 18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8" name="AutoShape 18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9" name="AutoShape 185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0" name="AutoShape 185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1" name="AutoShape 18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2" name="AutoShape 18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3" name="AutoShape 18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4" name="AutoShape 18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5" name="AutoShape 186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6" name="AutoShape 18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7" name="AutoShape 18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8" name="AutoShape 18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9" name="AutoShape 18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40" name="AutoShape 186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48" name="AutoShape 4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49" name="AutoShape 43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0" name="AutoShape 43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1" name="AutoShape 43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2" name="AutoShape 437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3" name="AutoShape 43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4" name="AutoShape 43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5" name="AutoShape 440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6" name="AutoShape 44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7" name="AutoShape 4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8" name="AutoShape 44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9" name="AutoShape 4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0" name="AutoShape 4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1" name="AutoShape 44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2" name="AutoShape 44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3" name="AutoShape 44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64" name="AutoShape 44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65" name="AutoShape 450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6" name="AutoShape 45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7" name="AutoShape 45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8" name="AutoShape 45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9" name="AutoShape 45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0" name="AutoShape 45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1" name="AutoShape 4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72" name="AutoShape 45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73" name="AutoShape 4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4" name="AutoShape 45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5" name="AutoShape 46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6" name="AutoShape 46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7" name="AutoShape 4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8" name="AutoShape 46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9" name="AutoShape 46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0" name="AutoShape 465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1" name="AutoShape 46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2" name="AutoShape 46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3" name="AutoShape 468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4" name="AutoShape 46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5" name="AutoShape 47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6" name="AutoShape 47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7" name="AutoShape 47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8" name="AutoShape 47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9" name="AutoShape 47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0" name="AutoShape 47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1" name="AutoShape 47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2" name="AutoShape 47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3" name="AutoShape 47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094" name="AutoShape 47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095" name="AutoShape 48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6" name="AutoShape 48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7" name="AutoShape 48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98" name="AutoShape 48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99" name="AutoShape 48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0" name="AutoShape 48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1" name="AutoShape 4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02" name="AutoShape 48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03" name="AutoShape 48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4" name="AutoShape 48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5" name="AutoShape 49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6" name="AutoShape 49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7" name="AutoShape 4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8" name="AutoShape 49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9" name="AutoShape 49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0" name="AutoShape 49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1" name="AutoShape 496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2" name="AutoShape 49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3" name="AutoShape 49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14" name="AutoShape 49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15" name="AutoShape 50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16" name="AutoShape 50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17" name="AutoShape 50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8" name="AutoShape 50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9" name="AutoShape 50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20" name="AutoShape 50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21" name="AutoShape 5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2" name="AutoShape 50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3" name="AutoShape 50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4" name="AutoShape 50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5" name="AutoShape 5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6" name="AutoShape 51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7" name="AutoShape 5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8" name="AutoShape 51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9" name="AutoShape 514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0" name="AutoShape 51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1" name="AutoShape 51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2" name="AutoShape 51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3" name="AutoShape 51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4" name="AutoShape 51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5" name="AutoShape 5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6" name="AutoShape 521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7" name="AutoShape 5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8" name="AutoShape 52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9" name="AutoShape 52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0" name="AutoShape 525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1" name="AutoShape 52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2" name="AutoShape 5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3" name="AutoShape 52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44" name="AutoShape 529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45" name="AutoShape 5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6" name="AutoShape 531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7" name="AutoShape 53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8" name="AutoShape 5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9" name="AutoShape 53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50" name="AutoShape 53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51" name="AutoShape 5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2" name="AutoShape 53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3" name="AutoShape 53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4" name="AutoShape 53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5" name="AutoShape 54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6" name="AutoShape 54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7" name="AutoShape 54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8" name="AutoShape 54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9" name="AutoShape 5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0" name="AutoShape 5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1" name="AutoShape 54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62" name="AutoShape 54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63" name="AutoShape 54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4" name="AutoShape 54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5" name="AutoShape 5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6" name="AutoShape 55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7" name="AutoShape 55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8" name="AutoShape 55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9" name="AutoShape 55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0" name="AutoShape 55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1" name="AutoShape 55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72" name="AutoShape 55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73" name="AutoShape 55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74" name="AutoShape 55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75" name="AutoShape 56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6" name="AutoShape 56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7" name="AutoShape 5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8" name="AutoShape 56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9" name="AutoShape 56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0" name="AutoShape 56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1" name="AutoShape 56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2" name="AutoShape 56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3" name="AutoShape 56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4" name="AutoShape 5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5" name="AutoShape 570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6" name="AutoShape 571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7" name="AutoShape 57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8" name="AutoShape 57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9" name="AutoShape 57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0" name="AutoShape 57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1" name="AutoShape 57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2" name="AutoShape 57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3" name="AutoShape 578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4" name="AutoShape 57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5" name="AutoShape 58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6" name="AutoShape 58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7" name="AutoShape 582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8" name="AutoShape 58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9" name="AutoShape 584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0" name="AutoShape 58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1" name="AutoShape 58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2" name="AutoShape 58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3" name="AutoShape 58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4" name="AutoShape 58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5" name="AutoShape 59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6" name="AutoShape 59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7" name="AutoShape 59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8" name="AutoShape 59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9" name="AutoShape 59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0" name="AutoShape 5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1" name="AutoShape 59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2" name="AutoShape 59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3" name="AutoShape 59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4" name="AutoShape 59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5" name="AutoShape 6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6" name="AutoShape 6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7" name="AutoShape 6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8" name="AutoShape 60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9" name="AutoShape 6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0" name="AutoShape 60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1" name="AutoShape 6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2" name="AutoShape 60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3" name="AutoShape 60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4" name="AutoShape 60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5" name="AutoShape 610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6" name="AutoShape 61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7" name="AutoShape 6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8" name="AutoShape 61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9" name="AutoShape 61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0" name="AutoShape 61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1" name="AutoShape 61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2" name="AutoShape 61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3" name="AutoShape 61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4" name="AutoShape 6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5" name="AutoShape 6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6" name="AutoShape 62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7" name="AutoShape 6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8" name="AutoShape 62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9" name="AutoShape 62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0" name="AutoShape 62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1" name="AutoShape 6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2" name="AutoShape 6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3" name="AutoShape 62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4" name="AutoShape 62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5" name="AutoShape 6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6" name="AutoShape 631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7" name="AutoShape 6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48" name="AutoShape 63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49" name="AutoShape 63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0" name="AutoShape 63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1" name="AutoShape 6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2" name="AutoShape 63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3" name="AutoShape 63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4" name="AutoShape 639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5" name="AutoShape 640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6" name="AutoShape 64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7" name="AutoShape 64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8" name="AutoShape 64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9" name="AutoShape 64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0" name="AutoShape 64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1" name="AutoShape 6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2" name="AutoShape 64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3" name="AutoShape 648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4" name="AutoShape 64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5" name="AutoShape 65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6" name="AutoShape 65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7" name="AutoShape 6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68" name="AutoShape 653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69" name="AutoShape 65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270" name="AutoShape 65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271" name="AutoShape 65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72" name="AutoShape 65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73" name="AutoShape 65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74" name="AutoShape 65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75" name="AutoShape 660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276" name="AutoShape 66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277" name="AutoShape 66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78" name="AutoShape 66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79" name="AutoShape 66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0" name="AutoShape 66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1" name="AutoShape 666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2" name="AutoShape 66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3" name="AutoShape 66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4" name="AutoShape 66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5" name="AutoShape 67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6" name="AutoShape 671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7" name="AutoShape 672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8" name="AutoShape 67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9" name="AutoShape 674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0" name="AutoShape 675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1" name="AutoShape 67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92" name="AutoShape 67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93" name="AutoShape 67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94" name="AutoShape 679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95" name="AutoShape 68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6" name="AutoShape 68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7" name="AutoShape 68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8" name="AutoShape 68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9" name="AutoShape 68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0" name="AutoShape 68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1" name="AutoShape 68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2" name="AutoShape 68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3" name="AutoShape 68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4" name="AutoShape 68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5" name="AutoShape 6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6" name="AutoShape 69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7" name="AutoShape 6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8" name="AutoShape 69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9" name="AutoShape 69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10" name="AutoShape 695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11" name="AutoShape 69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2" name="AutoShape 69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3" name="AutoShape 69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4" name="AutoShape 69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5" name="AutoShape 7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6" name="AutoShape 701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7" name="AutoShape 7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8" name="AutoShape 70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9" name="AutoShape 70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20" name="AutoShape 70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21" name="AutoShape 70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22" name="AutoShape 70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23" name="AutoShape 70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24" name="AutoShape 70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25" name="AutoShape 71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26" name="AutoShape 71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27" name="AutoShape 71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28" name="AutoShape 71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29" name="AutoShape 7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0" name="AutoShape 71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1" name="AutoShape 716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32" name="AutoShape 71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33" name="AutoShape 71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34" name="AutoShape 71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35" name="AutoShape 720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6" name="AutoShape 721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7" name="AutoShape 7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8" name="AutoShape 72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9" name="AutoShape 724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40" name="AutoShape 725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41" name="AutoShape 72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2" name="AutoShape 72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3" name="AutoShape 72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4" name="AutoShape 72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5" name="AutoShape 7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6" name="AutoShape 73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7" name="AutoShape 73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8" name="AutoShape 7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9" name="AutoShape 7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50" name="AutoShape 735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51" name="AutoShape 73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52" name="AutoShape 73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53" name="AutoShape 73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54" name="AutoShape 7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55" name="AutoShape 74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56" name="AutoShape 74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57" name="AutoShape 7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58" name="AutoShape 74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59" name="AutoShape 74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0" name="AutoShape 745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1" name="AutoShape 7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2" name="AutoShape 74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3" name="AutoShape 74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4" name="AutoShape 74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5" name="AutoShape 75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6" name="AutoShape 75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7" name="AutoShape 752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8" name="AutoShape 75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9" name="AutoShape 754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70" name="AutoShape 75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71" name="AutoShape 75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2" name="AutoShape 757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3" name="AutoShape 7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74" name="AutoShape 75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75" name="AutoShape 76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6" name="AutoShape 76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7" name="AutoShape 7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8" name="AutoShape 763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9" name="AutoShape 7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80" name="AutoShape 765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81" name="AutoShape 76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82" name="AutoShape 76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83" name="AutoShape 76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84" name="AutoShape 7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85" name="AutoShape 77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86" name="AutoShape 771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87" name="AutoShape 77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88" name="AutoShape 77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89" name="AutoShape 77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90" name="AutoShape 77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91" name="AutoShape 77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2" name="AutoShape 77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3" name="AutoShape 77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4" name="AutoShape 77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5" name="AutoShape 78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6" name="AutoShape 78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7" name="AutoShape 782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8" name="AutoShape 78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9" name="AutoShape 78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0" name="AutoShape 78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1" name="AutoShape 7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02" name="AutoShape 78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03" name="AutoShape 78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4" name="AutoShape 789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5" name="AutoShape 7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6" name="AutoShape 79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7" name="AutoShape 79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8" name="AutoShape 79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9" name="AutoShape 7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0" name="AutoShape 7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1" name="AutoShape 79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2" name="AutoShape 797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3" name="AutoShape 79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14" name="AutoShape 79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15" name="AutoShape 80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6" name="AutoShape 80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7" name="AutoShape 802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8" name="AutoShape 80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9" name="AutoShape 8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0" name="AutoShape 80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1" name="AutoShape 8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2" name="AutoShape 80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3" name="AutoShape 808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4" name="AutoShape 80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5" name="AutoShape 8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6" name="AutoShape 81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7" name="AutoShape 8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8" name="AutoShape 8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9" name="AutoShape 8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0" name="AutoShape 81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1" name="AutoShape 816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32" name="AutoShape 81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33" name="AutoShape 81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4" name="AutoShape 81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5" name="AutoShape 820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6" name="AutoShape 82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7" name="AutoShape 82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8" name="AutoShape 823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9" name="AutoShape 824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440" name="AutoShape 82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441" name="AutoShape 82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2" name="AutoShape 8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3" name="AutoShape 82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4" name="AutoShape 82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5" name="AutoShape 8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6" name="AutoShape 83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7" name="AutoShape 83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48" name="AutoShape 83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49" name="AutoShape 8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50" name="AutoShape 83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51" name="AutoShape 83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2" name="AutoShape 83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3" name="AutoShape 8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4" name="AutoShape 839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5" name="AutoShape 840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6" name="AutoShape 8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7" name="AutoShape 8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58" name="AutoShape 84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59" name="AutoShape 84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460" name="AutoShape 84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461" name="AutoShape 84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2" name="AutoShape 84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3" name="AutoShape 84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4" name="AutoShape 8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5" name="AutoShape 85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6" name="AutoShape 85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7" name="AutoShape 85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68" name="AutoShape 85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69" name="AutoShape 85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0" name="AutoShape 85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1" name="AutoShape 8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2" name="AutoShape 85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3" name="AutoShape 85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4" name="AutoShape 85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5" name="AutoShape 86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6" name="AutoShape 86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7" name="AutoShape 86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8" name="AutoShape 86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9" name="AutoShape 86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0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1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2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3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180975</xdr:rowOff>
    </xdr:to>
    <xdr:sp macro="" textlink="">
      <xdr:nvSpPr>
        <xdr:cNvPr id="2484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180975</xdr:rowOff>
    </xdr:to>
    <xdr:sp macro="" textlink="">
      <xdr:nvSpPr>
        <xdr:cNvPr id="2485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9525</xdr:rowOff>
    </xdr:to>
    <xdr:sp macro="" textlink="">
      <xdr:nvSpPr>
        <xdr:cNvPr id="2486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9525</xdr:rowOff>
    </xdr:to>
    <xdr:sp macro="" textlink="">
      <xdr:nvSpPr>
        <xdr:cNvPr id="2487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8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9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90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91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492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493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494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495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496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497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498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499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0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1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2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3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4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5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06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07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8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9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10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11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2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3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4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5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6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7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8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9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0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1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2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3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4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5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6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7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1234</xdr:row>
      <xdr:rowOff>133350</xdr:rowOff>
    </xdr:to>
    <xdr:sp macro="" textlink="">
      <xdr:nvSpPr>
        <xdr:cNvPr id="2528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1234</xdr:row>
      <xdr:rowOff>133350</xdr:rowOff>
    </xdr:to>
    <xdr:sp macro="" textlink="">
      <xdr:nvSpPr>
        <xdr:cNvPr id="2529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0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1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2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3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4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5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6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7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8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9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0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1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2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3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4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5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6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7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8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9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0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1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2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3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4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5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6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7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8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9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60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61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62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63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4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5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6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7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8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9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0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1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2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3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4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5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76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77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8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9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0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1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2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3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4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5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86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87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8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9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0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1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2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3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94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95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96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97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8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9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0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1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2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3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4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5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6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7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8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9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0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1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2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3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4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5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6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7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8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9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620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621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2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3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4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5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6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7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8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9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0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1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2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3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4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5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6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7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8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9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40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41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2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3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4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5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6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7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8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9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0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1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2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3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4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5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6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7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8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9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0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1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2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3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4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5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6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7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8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9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0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1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2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3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4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5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6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7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8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9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0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1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2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3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4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5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6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7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8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9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0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1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2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3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4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5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6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7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8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9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0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1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2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3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4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5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6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7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8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9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0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1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2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3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4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5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6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7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8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9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0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1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2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3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4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5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6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7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8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9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0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1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2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3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4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5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6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7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8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9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0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1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2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3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4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5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6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7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8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9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0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1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2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3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4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5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6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7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8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9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0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1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2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3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4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5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6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7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8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9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0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1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2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3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4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5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6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7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8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9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0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1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2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3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4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5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6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7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8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9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0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1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2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3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4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5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6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7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8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9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800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801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802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803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hl.com/ice/schedulebymonth.htm?month=201503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ports.yahoo.com/nhl/teams/nyi" TargetMode="External"/><Relationship Id="rId13" Type="http://schemas.openxmlformats.org/officeDocument/2006/relationships/hyperlink" Target="http://sports.yahoo.com/nhl/teams/ott" TargetMode="External"/><Relationship Id="rId18" Type="http://schemas.openxmlformats.org/officeDocument/2006/relationships/hyperlink" Target="http://sports.yahoo.com/nhl/teams/wpg" TargetMode="External"/><Relationship Id="rId3" Type="http://schemas.openxmlformats.org/officeDocument/2006/relationships/hyperlink" Target="http://sports.yahoo.com/nhl/stats/byteam?cat=teamstats&amp;conference=NHL&amp;year=season_2014&amp;cut_type=0&amp;sort=406" TargetMode="External"/><Relationship Id="rId21" Type="http://schemas.openxmlformats.org/officeDocument/2006/relationships/hyperlink" Target="http://sports.yahoo.com/nhl/teams/mon" TargetMode="External"/><Relationship Id="rId7" Type="http://schemas.openxmlformats.org/officeDocument/2006/relationships/hyperlink" Target="http://sports.yahoo.com/nhl/teams/nyr" TargetMode="External"/><Relationship Id="rId12" Type="http://schemas.openxmlformats.org/officeDocument/2006/relationships/hyperlink" Target="http://sports.yahoo.com/nhl/teams/van" TargetMode="External"/><Relationship Id="rId17" Type="http://schemas.openxmlformats.org/officeDocument/2006/relationships/hyperlink" Target="http://sports.yahoo.com/nhl/teams/nas" TargetMode="External"/><Relationship Id="rId2" Type="http://schemas.openxmlformats.org/officeDocument/2006/relationships/hyperlink" Target="http://sports.yahoo.com/nhl/stats/byteam?cat=teamstats&amp;conference=NHL&amp;year=season_2014&amp;cut_type=0&amp;sort=400" TargetMode="External"/><Relationship Id="rId16" Type="http://schemas.openxmlformats.org/officeDocument/2006/relationships/hyperlink" Target="http://sports.yahoo.com/nhl/teams/min" TargetMode="External"/><Relationship Id="rId20" Type="http://schemas.openxmlformats.org/officeDocument/2006/relationships/hyperlink" Target="http://sports.yahoo.com/nhl/teams/pit" TargetMode="External"/><Relationship Id="rId1" Type="http://schemas.openxmlformats.org/officeDocument/2006/relationships/hyperlink" Target="http://sports.yahoo.com/nhl/stats/byteam" TargetMode="External"/><Relationship Id="rId6" Type="http://schemas.openxmlformats.org/officeDocument/2006/relationships/hyperlink" Target="http://sports.yahoo.com/nhl/teams/tam" TargetMode="External"/><Relationship Id="rId11" Type="http://schemas.openxmlformats.org/officeDocument/2006/relationships/hyperlink" Target="http://sports.yahoo.com/nhl/teams/cgy" TargetMode="External"/><Relationship Id="rId5" Type="http://schemas.openxmlformats.org/officeDocument/2006/relationships/hyperlink" Target="http://sports.yahoo.com/nhl/stats/byteam?cat=teamstats&amp;conference=NHL&amp;year=season_2014&amp;cut_type=0&amp;sort=444" TargetMode="External"/><Relationship Id="rId15" Type="http://schemas.openxmlformats.org/officeDocument/2006/relationships/hyperlink" Target="http://sports.yahoo.com/nhl/teams/ana" TargetMode="External"/><Relationship Id="rId10" Type="http://schemas.openxmlformats.org/officeDocument/2006/relationships/hyperlink" Target="http://sports.yahoo.com/nhl/teams/was" TargetMode="External"/><Relationship Id="rId19" Type="http://schemas.openxmlformats.org/officeDocument/2006/relationships/hyperlink" Target="http://sports.yahoo.com/nhl/teams/chi" TargetMode="External"/><Relationship Id="rId4" Type="http://schemas.openxmlformats.org/officeDocument/2006/relationships/hyperlink" Target="http://sports.yahoo.com/nhl/stats/byteam?cat=teamstats&amp;conference=NHL&amp;year=season_2014&amp;cut_type=0&amp;sort=443" TargetMode="External"/><Relationship Id="rId9" Type="http://schemas.openxmlformats.org/officeDocument/2006/relationships/hyperlink" Target="http://sports.yahoo.com/nhl/teams/stl" TargetMode="External"/><Relationship Id="rId14" Type="http://schemas.openxmlformats.org/officeDocument/2006/relationships/hyperlink" Target="http://sports.yahoo.com/nhl/teams/det" TargetMode="Externa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http://sports.yahoo.com/nhl/players/5013" TargetMode="External"/><Relationship Id="rId21" Type="http://schemas.openxmlformats.org/officeDocument/2006/relationships/hyperlink" Target="http://sports.yahoo.com/nhl/teams/cgy" TargetMode="External"/><Relationship Id="rId170" Type="http://schemas.openxmlformats.org/officeDocument/2006/relationships/hyperlink" Target="http://sports.yahoo.com/nhl/players/3344" TargetMode="External"/><Relationship Id="rId268" Type="http://schemas.openxmlformats.org/officeDocument/2006/relationships/hyperlink" Target="http://sports.yahoo.com/nhl/players/3947" TargetMode="External"/><Relationship Id="rId475" Type="http://schemas.openxmlformats.org/officeDocument/2006/relationships/hyperlink" Target="http://sports.yahoo.com/nhl/teams/ari" TargetMode="External"/><Relationship Id="rId682" Type="http://schemas.openxmlformats.org/officeDocument/2006/relationships/hyperlink" Target="http://sports.yahoo.com/nhl/players/5480" TargetMode="External"/><Relationship Id="rId128" Type="http://schemas.openxmlformats.org/officeDocument/2006/relationships/hyperlink" Target="http://sports.yahoo.com/nhl/players/4683" TargetMode="External"/><Relationship Id="rId335" Type="http://schemas.openxmlformats.org/officeDocument/2006/relationships/hyperlink" Target="http://sports.yahoo.com/nhl/teams/col" TargetMode="External"/><Relationship Id="rId542" Type="http://schemas.openxmlformats.org/officeDocument/2006/relationships/hyperlink" Target="http://sports.yahoo.com/nhl/players/6391" TargetMode="External"/><Relationship Id="rId987" Type="http://schemas.openxmlformats.org/officeDocument/2006/relationships/hyperlink" Target="http://sports.yahoo.com/nhl/teams/pit" TargetMode="External"/><Relationship Id="rId1172" Type="http://schemas.openxmlformats.org/officeDocument/2006/relationships/hyperlink" Target="http://sports.yahoo.com/nhl/players/4713" TargetMode="External"/><Relationship Id="rId402" Type="http://schemas.openxmlformats.org/officeDocument/2006/relationships/hyperlink" Target="http://sports.yahoo.com/nhl/players/3938" TargetMode="External"/><Relationship Id="rId847" Type="http://schemas.openxmlformats.org/officeDocument/2006/relationships/hyperlink" Target="http://sports.yahoo.com/nhl/teams/los" TargetMode="External"/><Relationship Id="rId1032" Type="http://schemas.openxmlformats.org/officeDocument/2006/relationships/hyperlink" Target="http://sports.yahoo.com/nhl/players/5560" TargetMode="External"/><Relationship Id="rId1477" Type="http://schemas.openxmlformats.org/officeDocument/2006/relationships/hyperlink" Target="http://sports.yahoo.com/nhl/teams/los" TargetMode="External"/><Relationship Id="rId1684" Type="http://schemas.openxmlformats.org/officeDocument/2006/relationships/hyperlink" Target="http://sports.yahoo.com/nhl/players/5439" TargetMode="External"/><Relationship Id="rId707" Type="http://schemas.openxmlformats.org/officeDocument/2006/relationships/hyperlink" Target="http://sports.yahoo.com/nhl/teams/phi" TargetMode="External"/><Relationship Id="rId914" Type="http://schemas.openxmlformats.org/officeDocument/2006/relationships/hyperlink" Target="http://sports.yahoo.com/nhl/players/2124" TargetMode="External"/><Relationship Id="rId1337" Type="http://schemas.openxmlformats.org/officeDocument/2006/relationships/hyperlink" Target="http://sports.yahoo.com/nhl/teams/dal" TargetMode="External"/><Relationship Id="rId1544" Type="http://schemas.openxmlformats.org/officeDocument/2006/relationships/hyperlink" Target="http://sports.yahoo.com/nhl/players/4444" TargetMode="External"/><Relationship Id="rId1751" Type="http://schemas.openxmlformats.org/officeDocument/2006/relationships/hyperlink" Target="http://sports.yahoo.com/nhl/teams/nas" TargetMode="External"/><Relationship Id="rId43" Type="http://schemas.openxmlformats.org/officeDocument/2006/relationships/hyperlink" Target="http://sports.yahoo.com/nhl/teams/ana" TargetMode="External"/><Relationship Id="rId1404" Type="http://schemas.openxmlformats.org/officeDocument/2006/relationships/hyperlink" Target="http://sports.yahoo.com/nhl/players/5643" TargetMode="External"/><Relationship Id="rId1611" Type="http://schemas.openxmlformats.org/officeDocument/2006/relationships/hyperlink" Target="http://sports.yahoo.com/nhl/teams/nyr" TargetMode="External"/><Relationship Id="rId192" Type="http://schemas.openxmlformats.org/officeDocument/2006/relationships/hyperlink" Target="http://sports.yahoo.com/nhl/players/5020" TargetMode="External"/><Relationship Id="rId1709" Type="http://schemas.openxmlformats.org/officeDocument/2006/relationships/hyperlink" Target="http://sports.yahoo.com/nhl/teams/cgy" TargetMode="External"/><Relationship Id="rId497" Type="http://schemas.openxmlformats.org/officeDocument/2006/relationships/hyperlink" Target="http://sports.yahoo.com/nhl/teams/buf" TargetMode="External"/><Relationship Id="rId357" Type="http://schemas.openxmlformats.org/officeDocument/2006/relationships/hyperlink" Target="http://sports.yahoo.com/nhl/teams/phi" TargetMode="External"/><Relationship Id="rId1194" Type="http://schemas.openxmlformats.org/officeDocument/2006/relationships/hyperlink" Target="http://sports.yahoo.com/nhl/players/5953" TargetMode="External"/><Relationship Id="rId217" Type="http://schemas.openxmlformats.org/officeDocument/2006/relationships/hyperlink" Target="http://sports.yahoo.com/nhl/teams/was" TargetMode="External"/><Relationship Id="rId564" Type="http://schemas.openxmlformats.org/officeDocument/2006/relationships/hyperlink" Target="http://sports.yahoo.com/nhl/players/5648" TargetMode="External"/><Relationship Id="rId771" Type="http://schemas.openxmlformats.org/officeDocument/2006/relationships/hyperlink" Target="http://sports.yahoo.com/nhl/teams/nas" TargetMode="External"/><Relationship Id="rId869" Type="http://schemas.openxmlformats.org/officeDocument/2006/relationships/hyperlink" Target="http://sports.yahoo.com/nhl/teams/min" TargetMode="External"/><Relationship Id="rId1499" Type="http://schemas.openxmlformats.org/officeDocument/2006/relationships/hyperlink" Target="http://sports.yahoo.com/nhl/teams/col" TargetMode="External"/><Relationship Id="rId424" Type="http://schemas.openxmlformats.org/officeDocument/2006/relationships/hyperlink" Target="http://sports.yahoo.com/nhl/players/4079" TargetMode="External"/><Relationship Id="rId631" Type="http://schemas.openxmlformats.org/officeDocument/2006/relationships/hyperlink" Target="http://sports.yahoo.com/nhl/teams/cgy" TargetMode="External"/><Relationship Id="rId729" Type="http://schemas.openxmlformats.org/officeDocument/2006/relationships/hyperlink" Target="http://sports.yahoo.com/nhl/teams/nyi" TargetMode="External"/><Relationship Id="rId1054" Type="http://schemas.openxmlformats.org/officeDocument/2006/relationships/hyperlink" Target="http://sports.yahoo.com/nhl/players/4989" TargetMode="External"/><Relationship Id="rId1261" Type="http://schemas.openxmlformats.org/officeDocument/2006/relationships/hyperlink" Target="http://sports.yahoo.com/nhl/teams/njd" TargetMode="External"/><Relationship Id="rId1359" Type="http://schemas.openxmlformats.org/officeDocument/2006/relationships/hyperlink" Target="http://sports.yahoo.com/nhl/teams/buf" TargetMode="External"/><Relationship Id="rId936" Type="http://schemas.openxmlformats.org/officeDocument/2006/relationships/hyperlink" Target="http://sports.yahoo.com/nhl/players/1963" TargetMode="External"/><Relationship Id="rId1121" Type="http://schemas.openxmlformats.org/officeDocument/2006/relationships/hyperlink" Target="http://sports.yahoo.com/nhl/teams/stl" TargetMode="External"/><Relationship Id="rId1219" Type="http://schemas.openxmlformats.org/officeDocument/2006/relationships/hyperlink" Target="http://sports.yahoo.com/nhl/teams/car" TargetMode="External"/><Relationship Id="rId1566" Type="http://schemas.openxmlformats.org/officeDocument/2006/relationships/hyperlink" Target="http://sports.yahoo.com/nhl/players/5308" TargetMode="External"/><Relationship Id="rId65" Type="http://schemas.openxmlformats.org/officeDocument/2006/relationships/hyperlink" Target="http://sports.yahoo.com/nhl/teams/ott" TargetMode="External"/><Relationship Id="rId1426" Type="http://schemas.openxmlformats.org/officeDocument/2006/relationships/hyperlink" Target="http://sports.yahoo.com/nhl/players/4585" TargetMode="External"/><Relationship Id="rId1633" Type="http://schemas.openxmlformats.org/officeDocument/2006/relationships/hyperlink" Target="http://sports.yahoo.com/nhl/teams/tor" TargetMode="External"/><Relationship Id="rId1700" Type="http://schemas.openxmlformats.org/officeDocument/2006/relationships/hyperlink" Target="http://sports.yahoo.com/nhl/players/4705" TargetMode="External"/><Relationship Id="rId281" Type="http://schemas.openxmlformats.org/officeDocument/2006/relationships/hyperlink" Target="http://sports.yahoo.com/nhl/teams/nyi" TargetMode="External"/><Relationship Id="rId141" Type="http://schemas.openxmlformats.org/officeDocument/2006/relationships/hyperlink" Target="http://sports.yahoo.com/nhl/teams/bos" TargetMode="External"/><Relationship Id="rId379" Type="http://schemas.openxmlformats.org/officeDocument/2006/relationships/hyperlink" Target="http://sports.yahoo.com/nhl/teams/nas" TargetMode="External"/><Relationship Id="rId586" Type="http://schemas.openxmlformats.org/officeDocument/2006/relationships/hyperlink" Target="http://sports.yahoo.com/nhl/players/5988" TargetMode="External"/><Relationship Id="rId793" Type="http://schemas.openxmlformats.org/officeDocument/2006/relationships/hyperlink" Target="http://sports.yahoo.com/nhl/teams/stl" TargetMode="External"/><Relationship Id="rId7" Type="http://schemas.openxmlformats.org/officeDocument/2006/relationships/hyperlink" Target="http://sports.yahoo.com/nhl/teams/dal" TargetMode="External"/><Relationship Id="rId239" Type="http://schemas.openxmlformats.org/officeDocument/2006/relationships/hyperlink" Target="http://sports.yahoo.com/nhl/teams/nas" TargetMode="External"/><Relationship Id="rId446" Type="http://schemas.openxmlformats.org/officeDocument/2006/relationships/hyperlink" Target="http://sports.yahoo.com/nhl/players/4021" TargetMode="External"/><Relationship Id="rId653" Type="http://schemas.openxmlformats.org/officeDocument/2006/relationships/hyperlink" Target="http://sports.yahoo.com/nhl/teams/cob" TargetMode="External"/><Relationship Id="rId1076" Type="http://schemas.openxmlformats.org/officeDocument/2006/relationships/hyperlink" Target="http://sports.yahoo.com/nhl/players/2859" TargetMode="External"/><Relationship Id="rId1283" Type="http://schemas.openxmlformats.org/officeDocument/2006/relationships/hyperlink" Target="http://sports.yahoo.com/nhl/teams/mon" TargetMode="External"/><Relationship Id="rId1490" Type="http://schemas.openxmlformats.org/officeDocument/2006/relationships/hyperlink" Target="http://sports.yahoo.com/nhl/players/5989" TargetMode="External"/><Relationship Id="rId306" Type="http://schemas.openxmlformats.org/officeDocument/2006/relationships/hyperlink" Target="http://sports.yahoo.com/nhl/players/5104" TargetMode="External"/><Relationship Id="rId860" Type="http://schemas.openxmlformats.org/officeDocument/2006/relationships/hyperlink" Target="http://sports.yahoo.com/nhl/players/3912" TargetMode="External"/><Relationship Id="rId958" Type="http://schemas.openxmlformats.org/officeDocument/2006/relationships/hyperlink" Target="http://sports.yahoo.com/nhl/players/3109" TargetMode="External"/><Relationship Id="rId1143" Type="http://schemas.openxmlformats.org/officeDocument/2006/relationships/hyperlink" Target="http://sports.yahoo.com/nhl/teams/san" TargetMode="External"/><Relationship Id="rId1588" Type="http://schemas.openxmlformats.org/officeDocument/2006/relationships/hyperlink" Target="http://sports.yahoo.com/nhl/players/3785" TargetMode="External"/><Relationship Id="rId87" Type="http://schemas.openxmlformats.org/officeDocument/2006/relationships/hyperlink" Target="http://sports.yahoo.com/nhl/teams/nas" TargetMode="External"/><Relationship Id="rId513" Type="http://schemas.openxmlformats.org/officeDocument/2006/relationships/hyperlink" Target="http://sports.yahoo.com/nhl/teams/chi" TargetMode="External"/><Relationship Id="rId720" Type="http://schemas.openxmlformats.org/officeDocument/2006/relationships/hyperlink" Target="http://sports.yahoo.com/nhl/players/4671" TargetMode="External"/><Relationship Id="rId818" Type="http://schemas.openxmlformats.org/officeDocument/2006/relationships/hyperlink" Target="http://sports.yahoo.com/nhl/players/4194" TargetMode="External"/><Relationship Id="rId1350" Type="http://schemas.openxmlformats.org/officeDocument/2006/relationships/hyperlink" Target="http://sports.yahoo.com/nhl/players/5063" TargetMode="External"/><Relationship Id="rId1448" Type="http://schemas.openxmlformats.org/officeDocument/2006/relationships/hyperlink" Target="http://sports.yahoo.com/nhl/players/5102" TargetMode="External"/><Relationship Id="rId1655" Type="http://schemas.openxmlformats.org/officeDocument/2006/relationships/hyperlink" Target="http://sports.yahoo.com/nhl/teams/ana" TargetMode="External"/><Relationship Id="rId1003" Type="http://schemas.openxmlformats.org/officeDocument/2006/relationships/hyperlink" Target="http://sports.yahoo.com/nhl/teams/stl" TargetMode="External"/><Relationship Id="rId1210" Type="http://schemas.openxmlformats.org/officeDocument/2006/relationships/hyperlink" Target="http://sports.yahoo.com/nhl/players/3492" TargetMode="External"/><Relationship Id="rId1308" Type="http://schemas.openxmlformats.org/officeDocument/2006/relationships/hyperlink" Target="http://sports.yahoo.com/nhl/players/4973" TargetMode="External"/><Relationship Id="rId1515" Type="http://schemas.openxmlformats.org/officeDocument/2006/relationships/hyperlink" Target="http://sports.yahoo.com/nhl/teams/bos" TargetMode="External"/><Relationship Id="rId1722" Type="http://schemas.openxmlformats.org/officeDocument/2006/relationships/hyperlink" Target="http://sports.yahoo.com/nhl/players/5372" TargetMode="External"/><Relationship Id="rId14" Type="http://schemas.openxmlformats.org/officeDocument/2006/relationships/hyperlink" Target="http://sports.yahoo.com/nhl/players/3637" TargetMode="External"/><Relationship Id="rId163" Type="http://schemas.openxmlformats.org/officeDocument/2006/relationships/hyperlink" Target="http://sports.yahoo.com/nhl/teams/phi" TargetMode="External"/><Relationship Id="rId370" Type="http://schemas.openxmlformats.org/officeDocument/2006/relationships/hyperlink" Target="http://sports.yahoo.com/nhl/players/3091" TargetMode="External"/><Relationship Id="rId230" Type="http://schemas.openxmlformats.org/officeDocument/2006/relationships/hyperlink" Target="http://sports.yahoo.com/nhl/players/4023" TargetMode="External"/><Relationship Id="rId468" Type="http://schemas.openxmlformats.org/officeDocument/2006/relationships/hyperlink" Target="http://sports.yahoo.com/nhl/players/4188" TargetMode="External"/><Relationship Id="rId675" Type="http://schemas.openxmlformats.org/officeDocument/2006/relationships/hyperlink" Target="http://sports.yahoo.com/nhl/teams/buf" TargetMode="External"/><Relationship Id="rId882" Type="http://schemas.openxmlformats.org/officeDocument/2006/relationships/hyperlink" Target="http://sports.yahoo.com/nhl/players/5349" TargetMode="External"/><Relationship Id="rId1098" Type="http://schemas.openxmlformats.org/officeDocument/2006/relationships/hyperlink" Target="http://sports.yahoo.com/nhl/players/3013" TargetMode="External"/><Relationship Id="rId328" Type="http://schemas.openxmlformats.org/officeDocument/2006/relationships/hyperlink" Target="http://sports.yahoo.com/nhl/players/2411" TargetMode="External"/><Relationship Id="rId535" Type="http://schemas.openxmlformats.org/officeDocument/2006/relationships/hyperlink" Target="http://sports.yahoo.com/nhl/teams/fla" TargetMode="External"/><Relationship Id="rId742" Type="http://schemas.openxmlformats.org/officeDocument/2006/relationships/hyperlink" Target="http://sports.yahoo.com/nhl/players/4677" TargetMode="External"/><Relationship Id="rId1165" Type="http://schemas.openxmlformats.org/officeDocument/2006/relationships/hyperlink" Target="http://sports.yahoo.com/nhl/teams/tam" TargetMode="External"/><Relationship Id="rId1372" Type="http://schemas.openxmlformats.org/officeDocument/2006/relationships/hyperlink" Target="http://sports.yahoo.com/nhl/players/1764" TargetMode="External"/><Relationship Id="rId602" Type="http://schemas.openxmlformats.org/officeDocument/2006/relationships/hyperlink" Target="http://sports.yahoo.com/nhl/players/5227" TargetMode="External"/><Relationship Id="rId1025" Type="http://schemas.openxmlformats.org/officeDocument/2006/relationships/hyperlink" Target="http://sports.yahoo.com/nhl/teams/pit" TargetMode="External"/><Relationship Id="rId1232" Type="http://schemas.openxmlformats.org/officeDocument/2006/relationships/hyperlink" Target="http://sports.yahoo.com/nhl/players/5423" TargetMode="External"/><Relationship Id="rId1677" Type="http://schemas.openxmlformats.org/officeDocument/2006/relationships/hyperlink" Target="http://sports.yahoo.com/nhl/teams/cgy" TargetMode="External"/><Relationship Id="rId907" Type="http://schemas.openxmlformats.org/officeDocument/2006/relationships/hyperlink" Target="http://sports.yahoo.com/nhl/teams/pit" TargetMode="External"/><Relationship Id="rId1537" Type="http://schemas.openxmlformats.org/officeDocument/2006/relationships/hyperlink" Target="http://sports.yahoo.com/nhl/teams/van" TargetMode="External"/><Relationship Id="rId1744" Type="http://schemas.openxmlformats.org/officeDocument/2006/relationships/hyperlink" Target="http://sports.yahoo.com/nhl/players/5220" TargetMode="External"/><Relationship Id="rId36" Type="http://schemas.openxmlformats.org/officeDocument/2006/relationships/hyperlink" Target="http://sports.yahoo.com/nhl/players/4964" TargetMode="External"/><Relationship Id="rId1604" Type="http://schemas.openxmlformats.org/officeDocument/2006/relationships/hyperlink" Target="http://sports.yahoo.com/nhl/players/6063" TargetMode="External"/><Relationship Id="rId185" Type="http://schemas.openxmlformats.org/officeDocument/2006/relationships/hyperlink" Target="http://sports.yahoo.com/nhl/teams/tor" TargetMode="External"/><Relationship Id="rId392" Type="http://schemas.openxmlformats.org/officeDocument/2006/relationships/hyperlink" Target="http://sports.yahoo.com/nhl/players/3162" TargetMode="External"/><Relationship Id="rId697" Type="http://schemas.openxmlformats.org/officeDocument/2006/relationships/hyperlink" Target="http://sports.yahoo.com/nhl/teams/tor" TargetMode="External"/><Relationship Id="rId252" Type="http://schemas.openxmlformats.org/officeDocument/2006/relationships/hyperlink" Target="http://sports.yahoo.com/nhl/players/4306" TargetMode="External"/><Relationship Id="rId1187" Type="http://schemas.openxmlformats.org/officeDocument/2006/relationships/hyperlink" Target="http://sports.yahoo.com/nhl/teams/njd" TargetMode="External"/><Relationship Id="rId112" Type="http://schemas.openxmlformats.org/officeDocument/2006/relationships/hyperlink" Target="http://sports.yahoo.com/nhl/players/5363" TargetMode="External"/><Relationship Id="rId557" Type="http://schemas.openxmlformats.org/officeDocument/2006/relationships/hyperlink" Target="http://sports.yahoo.com/nhl/teams/cgy" TargetMode="External"/><Relationship Id="rId764" Type="http://schemas.openxmlformats.org/officeDocument/2006/relationships/hyperlink" Target="http://sports.yahoo.com/nhl/players/4881" TargetMode="External"/><Relationship Id="rId971" Type="http://schemas.openxmlformats.org/officeDocument/2006/relationships/hyperlink" Target="http://sports.yahoo.com/nhl/teams/col" TargetMode="External"/><Relationship Id="rId1394" Type="http://schemas.openxmlformats.org/officeDocument/2006/relationships/hyperlink" Target="http://sports.yahoo.com/nhl/players/5931" TargetMode="External"/><Relationship Id="rId1699" Type="http://schemas.openxmlformats.org/officeDocument/2006/relationships/hyperlink" Target="http://sports.yahoo.com/nhl/teams/pit" TargetMode="External"/><Relationship Id="rId417" Type="http://schemas.openxmlformats.org/officeDocument/2006/relationships/hyperlink" Target="http://sports.yahoo.com/nhl/teams/ana" TargetMode="External"/><Relationship Id="rId624" Type="http://schemas.openxmlformats.org/officeDocument/2006/relationships/hyperlink" Target="http://sports.yahoo.com/nhl/players/4633" TargetMode="External"/><Relationship Id="rId831" Type="http://schemas.openxmlformats.org/officeDocument/2006/relationships/hyperlink" Target="http://sports.yahoo.com/nhl/teams/tam" TargetMode="External"/><Relationship Id="rId1047" Type="http://schemas.openxmlformats.org/officeDocument/2006/relationships/hyperlink" Target="http://sports.yahoo.com/nhl/teams/chi" TargetMode="External"/><Relationship Id="rId1254" Type="http://schemas.openxmlformats.org/officeDocument/2006/relationships/hyperlink" Target="http://sports.yahoo.com/nhl/players/5044" TargetMode="External"/><Relationship Id="rId1461" Type="http://schemas.openxmlformats.org/officeDocument/2006/relationships/hyperlink" Target="http://sports.yahoo.com/nhl/teams/det" TargetMode="External"/><Relationship Id="rId929" Type="http://schemas.openxmlformats.org/officeDocument/2006/relationships/hyperlink" Target="http://sports.yahoo.com/nhl/teams/njd" TargetMode="External"/><Relationship Id="rId1114" Type="http://schemas.openxmlformats.org/officeDocument/2006/relationships/hyperlink" Target="http://sports.yahoo.com/nhl/players/4996" TargetMode="External"/><Relationship Id="rId1321" Type="http://schemas.openxmlformats.org/officeDocument/2006/relationships/hyperlink" Target="http://sports.yahoo.com/nhl/teams/fla" TargetMode="External"/><Relationship Id="rId1559" Type="http://schemas.openxmlformats.org/officeDocument/2006/relationships/hyperlink" Target="http://sports.yahoo.com/nhl/teams/van" TargetMode="External"/><Relationship Id="rId1766" Type="http://schemas.openxmlformats.org/officeDocument/2006/relationships/hyperlink" Target="http://sports.yahoo.com/nhl/players/4018" TargetMode="External"/><Relationship Id="rId58" Type="http://schemas.openxmlformats.org/officeDocument/2006/relationships/hyperlink" Target="http://sports.yahoo.com/nhl/players/2680" TargetMode="External"/><Relationship Id="rId1419" Type="http://schemas.openxmlformats.org/officeDocument/2006/relationships/hyperlink" Target="http://sports.yahoo.com/nhl/teams/stl" TargetMode="External"/><Relationship Id="rId1626" Type="http://schemas.openxmlformats.org/officeDocument/2006/relationships/hyperlink" Target="http://sports.yahoo.com/nhl/players/5078" TargetMode="External"/><Relationship Id="rId274" Type="http://schemas.openxmlformats.org/officeDocument/2006/relationships/hyperlink" Target="http://sports.yahoo.com/nhl/players/4351" TargetMode="External"/><Relationship Id="rId481" Type="http://schemas.openxmlformats.org/officeDocument/2006/relationships/hyperlink" Target="http://sports.yahoo.com/nhl/teams/edm" TargetMode="External"/><Relationship Id="rId69" Type="http://schemas.openxmlformats.org/officeDocument/2006/relationships/hyperlink" Target="http://sports.yahoo.com/nhl/teams/los" TargetMode="External"/><Relationship Id="rId134" Type="http://schemas.openxmlformats.org/officeDocument/2006/relationships/hyperlink" Target="http://sports.yahoo.com/nhl/players/4930" TargetMode="External"/><Relationship Id="rId579" Type="http://schemas.openxmlformats.org/officeDocument/2006/relationships/hyperlink" Target="http://sports.yahoo.com/nhl/teams/tor" TargetMode="External"/><Relationship Id="rId786" Type="http://schemas.openxmlformats.org/officeDocument/2006/relationships/hyperlink" Target="http://sports.yahoo.com/nhl/players/5403" TargetMode="External"/><Relationship Id="rId993" Type="http://schemas.openxmlformats.org/officeDocument/2006/relationships/hyperlink" Target="http://sports.yahoo.com/nhl/teams/phi" TargetMode="External"/><Relationship Id="rId1637" Type="http://schemas.openxmlformats.org/officeDocument/2006/relationships/hyperlink" Target="http://sports.yahoo.com/nhl/teams/phi" TargetMode="External"/><Relationship Id="rId341" Type="http://schemas.openxmlformats.org/officeDocument/2006/relationships/hyperlink" Target="http://sports.yahoo.com/nhl/teams/tam" TargetMode="External"/><Relationship Id="rId439" Type="http://schemas.openxmlformats.org/officeDocument/2006/relationships/hyperlink" Target="http://sports.yahoo.com/nhl/teams/nas" TargetMode="External"/><Relationship Id="rId646" Type="http://schemas.openxmlformats.org/officeDocument/2006/relationships/hyperlink" Target="http://sports.yahoo.com/nhl/players/4711" TargetMode="External"/><Relationship Id="rId1069" Type="http://schemas.openxmlformats.org/officeDocument/2006/relationships/hyperlink" Target="http://sports.yahoo.com/nhl/teams/los" TargetMode="External"/><Relationship Id="rId1276" Type="http://schemas.openxmlformats.org/officeDocument/2006/relationships/hyperlink" Target="http://sports.yahoo.com/nhl/players/1757" TargetMode="External"/><Relationship Id="rId1483" Type="http://schemas.openxmlformats.org/officeDocument/2006/relationships/hyperlink" Target="http://sports.yahoo.com/nhl/teams/fla" TargetMode="External"/><Relationship Id="rId1704" Type="http://schemas.openxmlformats.org/officeDocument/2006/relationships/hyperlink" Target="http://sports.yahoo.com/nhl/players/5769" TargetMode="External"/><Relationship Id="rId201" Type="http://schemas.openxmlformats.org/officeDocument/2006/relationships/hyperlink" Target="http://sports.yahoo.com/nhl/teams/tam" TargetMode="External"/><Relationship Id="rId285" Type="http://schemas.openxmlformats.org/officeDocument/2006/relationships/hyperlink" Target="http://sports.yahoo.com/nhl/teams/ari" TargetMode="External"/><Relationship Id="rId506" Type="http://schemas.openxmlformats.org/officeDocument/2006/relationships/hyperlink" Target="http://sports.yahoo.com/nhl/players/2185" TargetMode="External"/><Relationship Id="rId853" Type="http://schemas.openxmlformats.org/officeDocument/2006/relationships/hyperlink" Target="http://sports.yahoo.com/nhl/teams/buf" TargetMode="External"/><Relationship Id="rId1136" Type="http://schemas.openxmlformats.org/officeDocument/2006/relationships/hyperlink" Target="http://sports.yahoo.com/nhl/players/3389" TargetMode="External"/><Relationship Id="rId1690" Type="http://schemas.openxmlformats.org/officeDocument/2006/relationships/hyperlink" Target="http://sports.yahoo.com/nhl/players/4489" TargetMode="External"/><Relationship Id="rId492" Type="http://schemas.openxmlformats.org/officeDocument/2006/relationships/hyperlink" Target="http://sports.yahoo.com/nhl/players/4183" TargetMode="External"/><Relationship Id="rId713" Type="http://schemas.openxmlformats.org/officeDocument/2006/relationships/hyperlink" Target="http://sports.yahoo.com/nhl/teams/was" TargetMode="External"/><Relationship Id="rId797" Type="http://schemas.openxmlformats.org/officeDocument/2006/relationships/hyperlink" Target="http://sports.yahoo.com/nhl/teams/los" TargetMode="External"/><Relationship Id="rId920" Type="http://schemas.openxmlformats.org/officeDocument/2006/relationships/hyperlink" Target="http://sports.yahoo.com/nhl/players/5922" TargetMode="External"/><Relationship Id="rId1343" Type="http://schemas.openxmlformats.org/officeDocument/2006/relationships/hyperlink" Target="http://sports.yahoo.com/nhl/teams/van" TargetMode="External"/><Relationship Id="rId1550" Type="http://schemas.openxmlformats.org/officeDocument/2006/relationships/hyperlink" Target="http://sports.yahoo.com/nhl/players/4379" TargetMode="External"/><Relationship Id="rId1648" Type="http://schemas.openxmlformats.org/officeDocument/2006/relationships/hyperlink" Target="http://sports.yahoo.com/nhl/players/5089" TargetMode="External"/><Relationship Id="rId145" Type="http://schemas.openxmlformats.org/officeDocument/2006/relationships/hyperlink" Target="http://sports.yahoo.com/nhl/teams/nyr" TargetMode="External"/><Relationship Id="rId352" Type="http://schemas.openxmlformats.org/officeDocument/2006/relationships/hyperlink" Target="http://sports.yahoo.com/nhl/players/2104" TargetMode="External"/><Relationship Id="rId1203" Type="http://schemas.openxmlformats.org/officeDocument/2006/relationships/hyperlink" Target="http://sports.yahoo.com/nhl/teams/wpg" TargetMode="External"/><Relationship Id="rId1287" Type="http://schemas.openxmlformats.org/officeDocument/2006/relationships/hyperlink" Target="http://sports.yahoo.com/nhl/teams/njd" TargetMode="External"/><Relationship Id="rId1410" Type="http://schemas.openxmlformats.org/officeDocument/2006/relationships/hyperlink" Target="http://sports.yahoo.com/nhl/players/5028" TargetMode="External"/><Relationship Id="rId1508" Type="http://schemas.openxmlformats.org/officeDocument/2006/relationships/hyperlink" Target="http://sports.yahoo.com/nhl/players/5465" TargetMode="External"/><Relationship Id="rId212" Type="http://schemas.openxmlformats.org/officeDocument/2006/relationships/hyperlink" Target="http://sports.yahoo.com/nhl/players/3371" TargetMode="External"/><Relationship Id="rId657" Type="http://schemas.openxmlformats.org/officeDocument/2006/relationships/hyperlink" Target="http://sports.yahoo.com/nhl/teams/car" TargetMode="External"/><Relationship Id="rId864" Type="http://schemas.openxmlformats.org/officeDocument/2006/relationships/hyperlink" Target="http://sports.yahoo.com/nhl/players/2529" TargetMode="External"/><Relationship Id="rId1494" Type="http://schemas.openxmlformats.org/officeDocument/2006/relationships/hyperlink" Target="http://sports.yahoo.com/nhl/players/5136" TargetMode="External"/><Relationship Id="rId1715" Type="http://schemas.openxmlformats.org/officeDocument/2006/relationships/hyperlink" Target="http://sports.yahoo.com/nhl/teams/bos" TargetMode="External"/><Relationship Id="rId296" Type="http://schemas.openxmlformats.org/officeDocument/2006/relationships/hyperlink" Target="http://sports.yahoo.com/nhl/players/4482" TargetMode="External"/><Relationship Id="rId517" Type="http://schemas.openxmlformats.org/officeDocument/2006/relationships/hyperlink" Target="http://sports.yahoo.com/nhl/teams/cgy" TargetMode="External"/><Relationship Id="rId724" Type="http://schemas.openxmlformats.org/officeDocument/2006/relationships/hyperlink" Target="http://sports.yahoo.com/nhl/players/4473" TargetMode="External"/><Relationship Id="rId931" Type="http://schemas.openxmlformats.org/officeDocument/2006/relationships/hyperlink" Target="http://sports.yahoo.com/nhl/teams/cob" TargetMode="External"/><Relationship Id="rId1147" Type="http://schemas.openxmlformats.org/officeDocument/2006/relationships/hyperlink" Target="http://sports.yahoo.com/nhl/teams/fla" TargetMode="External"/><Relationship Id="rId1354" Type="http://schemas.openxmlformats.org/officeDocument/2006/relationships/hyperlink" Target="http://sports.yahoo.com/nhl/players/5286" TargetMode="External"/><Relationship Id="rId1561" Type="http://schemas.openxmlformats.org/officeDocument/2006/relationships/hyperlink" Target="http://sports.yahoo.com/nhl/teams/pit" TargetMode="External"/><Relationship Id="rId60" Type="http://schemas.openxmlformats.org/officeDocument/2006/relationships/hyperlink" Target="http://sports.yahoo.com/nhl/players/5470" TargetMode="External"/><Relationship Id="rId156" Type="http://schemas.openxmlformats.org/officeDocument/2006/relationships/hyperlink" Target="http://sports.yahoo.com/nhl/players/5279" TargetMode="External"/><Relationship Id="rId363" Type="http://schemas.openxmlformats.org/officeDocument/2006/relationships/hyperlink" Target="http://sports.yahoo.com/nhl/teams/min" TargetMode="External"/><Relationship Id="rId570" Type="http://schemas.openxmlformats.org/officeDocument/2006/relationships/hyperlink" Target="http://sports.yahoo.com/nhl/players/5504" TargetMode="External"/><Relationship Id="rId1007" Type="http://schemas.openxmlformats.org/officeDocument/2006/relationships/hyperlink" Target="http://sports.yahoo.com/nhl/teams/ott" TargetMode="External"/><Relationship Id="rId1214" Type="http://schemas.openxmlformats.org/officeDocument/2006/relationships/hyperlink" Target="http://sports.yahoo.com/nhl/players/4160" TargetMode="External"/><Relationship Id="rId1421" Type="http://schemas.openxmlformats.org/officeDocument/2006/relationships/hyperlink" Target="http://sports.yahoo.com/nhl/teams/edm" TargetMode="External"/><Relationship Id="rId1659" Type="http://schemas.openxmlformats.org/officeDocument/2006/relationships/hyperlink" Target="http://sports.yahoo.com/nhl/teams/phi" TargetMode="External"/><Relationship Id="rId223" Type="http://schemas.openxmlformats.org/officeDocument/2006/relationships/hyperlink" Target="http://sports.yahoo.com/nhl/teams/buf" TargetMode="External"/><Relationship Id="rId430" Type="http://schemas.openxmlformats.org/officeDocument/2006/relationships/hyperlink" Target="http://sports.yahoo.com/nhl/players/4250" TargetMode="External"/><Relationship Id="rId668" Type="http://schemas.openxmlformats.org/officeDocument/2006/relationships/hyperlink" Target="http://sports.yahoo.com/nhl/players/4694" TargetMode="External"/><Relationship Id="rId875" Type="http://schemas.openxmlformats.org/officeDocument/2006/relationships/hyperlink" Target="http://sports.yahoo.com/nhl/teams/chi" TargetMode="External"/><Relationship Id="rId1060" Type="http://schemas.openxmlformats.org/officeDocument/2006/relationships/hyperlink" Target="http://sports.yahoo.com/nhl/players/4645" TargetMode="External"/><Relationship Id="rId1298" Type="http://schemas.openxmlformats.org/officeDocument/2006/relationships/hyperlink" Target="http://sports.yahoo.com/nhl/players/5404" TargetMode="External"/><Relationship Id="rId1519" Type="http://schemas.openxmlformats.org/officeDocument/2006/relationships/hyperlink" Target="http://sports.yahoo.com/nhl/teams/chi" TargetMode="External"/><Relationship Id="rId1726" Type="http://schemas.openxmlformats.org/officeDocument/2006/relationships/hyperlink" Target="http://sports.yahoo.com/nhl/players/5926" TargetMode="External"/><Relationship Id="rId18" Type="http://schemas.openxmlformats.org/officeDocument/2006/relationships/hyperlink" Target="http://sports.yahoo.com/nhl/players/4962" TargetMode="External"/><Relationship Id="rId528" Type="http://schemas.openxmlformats.org/officeDocument/2006/relationships/hyperlink" Target="http://sports.yahoo.com/nhl/players/4481" TargetMode="External"/><Relationship Id="rId735" Type="http://schemas.openxmlformats.org/officeDocument/2006/relationships/hyperlink" Target="http://sports.yahoo.com/nhl/teams/nyr" TargetMode="External"/><Relationship Id="rId942" Type="http://schemas.openxmlformats.org/officeDocument/2006/relationships/hyperlink" Target="http://sports.yahoo.com/nhl/players/4483" TargetMode="External"/><Relationship Id="rId1158" Type="http://schemas.openxmlformats.org/officeDocument/2006/relationships/hyperlink" Target="http://sports.yahoo.com/nhl/players/5448" TargetMode="External"/><Relationship Id="rId1365" Type="http://schemas.openxmlformats.org/officeDocument/2006/relationships/hyperlink" Target="http://sports.yahoo.com/nhl/teams/nyi" TargetMode="External"/><Relationship Id="rId1572" Type="http://schemas.openxmlformats.org/officeDocument/2006/relationships/hyperlink" Target="http://sports.yahoo.com/nhl/players/5971" TargetMode="External"/><Relationship Id="rId167" Type="http://schemas.openxmlformats.org/officeDocument/2006/relationships/hyperlink" Target="http://sports.yahoo.com/nhl/teams/nyr" TargetMode="External"/><Relationship Id="rId374" Type="http://schemas.openxmlformats.org/officeDocument/2006/relationships/hyperlink" Target="http://sports.yahoo.com/nhl/players/4953" TargetMode="External"/><Relationship Id="rId581" Type="http://schemas.openxmlformats.org/officeDocument/2006/relationships/hyperlink" Target="http://sports.yahoo.com/nhl/teams/min" TargetMode="External"/><Relationship Id="rId1018" Type="http://schemas.openxmlformats.org/officeDocument/2006/relationships/hyperlink" Target="http://sports.yahoo.com/nhl/players/4700" TargetMode="External"/><Relationship Id="rId1225" Type="http://schemas.openxmlformats.org/officeDocument/2006/relationships/hyperlink" Target="http://sports.yahoo.com/nhl/teams/cob" TargetMode="External"/><Relationship Id="rId1432" Type="http://schemas.openxmlformats.org/officeDocument/2006/relationships/hyperlink" Target="http://sports.yahoo.com/nhl/players/4994" TargetMode="External"/><Relationship Id="rId71" Type="http://schemas.openxmlformats.org/officeDocument/2006/relationships/hyperlink" Target="http://sports.yahoo.com/nhl/teams/chi" TargetMode="External"/><Relationship Id="rId234" Type="http://schemas.openxmlformats.org/officeDocument/2006/relationships/hyperlink" Target="http://sports.yahoo.com/nhl/players/3667" TargetMode="External"/><Relationship Id="rId679" Type="http://schemas.openxmlformats.org/officeDocument/2006/relationships/hyperlink" Target="http://sports.yahoo.com/nhl/teams/car" TargetMode="External"/><Relationship Id="rId802" Type="http://schemas.openxmlformats.org/officeDocument/2006/relationships/hyperlink" Target="http://sports.yahoo.com/nhl/players/4966" TargetMode="External"/><Relationship Id="rId886" Type="http://schemas.openxmlformats.org/officeDocument/2006/relationships/hyperlink" Target="http://sports.yahoo.com/nhl/players/4754" TargetMode="External"/><Relationship Id="rId1737" Type="http://schemas.openxmlformats.org/officeDocument/2006/relationships/hyperlink" Target="http://sports.yahoo.com/nhl/teams/phi" TargetMode="External"/><Relationship Id="rId2" Type="http://schemas.openxmlformats.org/officeDocument/2006/relationships/hyperlink" Target="http://sports.yahoo.com/nhl/stats/byposition?pos=C,RW,LW,D&amp;conference=NHL&amp;year=season_2014&amp;qualified=1&amp;sort=TEAM_ABBR" TargetMode="External"/><Relationship Id="rId29" Type="http://schemas.openxmlformats.org/officeDocument/2006/relationships/hyperlink" Target="http://sports.yahoo.com/nhl/teams/stl" TargetMode="External"/><Relationship Id="rId441" Type="http://schemas.openxmlformats.org/officeDocument/2006/relationships/hyperlink" Target="http://sports.yahoo.com/nhl/teams/car" TargetMode="External"/><Relationship Id="rId539" Type="http://schemas.openxmlformats.org/officeDocument/2006/relationships/hyperlink" Target="http://sports.yahoo.com/nhl/teams/nyr" TargetMode="External"/><Relationship Id="rId746" Type="http://schemas.openxmlformats.org/officeDocument/2006/relationships/hyperlink" Target="http://sports.yahoo.com/nhl/players/2499" TargetMode="External"/><Relationship Id="rId1071" Type="http://schemas.openxmlformats.org/officeDocument/2006/relationships/hyperlink" Target="http://sports.yahoo.com/nhl/teams/los" TargetMode="External"/><Relationship Id="rId1169" Type="http://schemas.openxmlformats.org/officeDocument/2006/relationships/hyperlink" Target="http://sports.yahoo.com/nhl/teams/min" TargetMode="External"/><Relationship Id="rId1376" Type="http://schemas.openxmlformats.org/officeDocument/2006/relationships/hyperlink" Target="http://sports.yahoo.com/nhl/players/6616" TargetMode="External"/><Relationship Id="rId1583" Type="http://schemas.openxmlformats.org/officeDocument/2006/relationships/hyperlink" Target="http://sports.yahoo.com/nhl/teams/fla" TargetMode="External"/><Relationship Id="rId178" Type="http://schemas.openxmlformats.org/officeDocument/2006/relationships/hyperlink" Target="http://sports.yahoo.com/nhl/players/2145" TargetMode="External"/><Relationship Id="rId301" Type="http://schemas.openxmlformats.org/officeDocument/2006/relationships/hyperlink" Target="http://sports.yahoo.com/nhl/teams/pit" TargetMode="External"/><Relationship Id="rId953" Type="http://schemas.openxmlformats.org/officeDocument/2006/relationships/hyperlink" Target="http://sports.yahoo.com/nhl/teams/nyi" TargetMode="External"/><Relationship Id="rId1029" Type="http://schemas.openxmlformats.org/officeDocument/2006/relationships/hyperlink" Target="http://sports.yahoo.com/nhl/teams/fla" TargetMode="External"/><Relationship Id="rId1236" Type="http://schemas.openxmlformats.org/officeDocument/2006/relationships/hyperlink" Target="http://sports.yahoo.com/nhl/players/4866" TargetMode="External"/><Relationship Id="rId82" Type="http://schemas.openxmlformats.org/officeDocument/2006/relationships/hyperlink" Target="http://sports.yahoo.com/nhl/players/5691" TargetMode="External"/><Relationship Id="rId385" Type="http://schemas.openxmlformats.org/officeDocument/2006/relationships/hyperlink" Target="http://sports.yahoo.com/nhl/teams/cob" TargetMode="External"/><Relationship Id="rId592" Type="http://schemas.openxmlformats.org/officeDocument/2006/relationships/hyperlink" Target="http://sports.yahoo.com/nhl/players/4260" TargetMode="External"/><Relationship Id="rId606" Type="http://schemas.openxmlformats.org/officeDocument/2006/relationships/hyperlink" Target="http://sports.yahoo.com/nhl/players/6191" TargetMode="External"/><Relationship Id="rId813" Type="http://schemas.openxmlformats.org/officeDocument/2006/relationships/hyperlink" Target="http://sports.yahoo.com/nhl/teams/cob" TargetMode="External"/><Relationship Id="rId1443" Type="http://schemas.openxmlformats.org/officeDocument/2006/relationships/hyperlink" Target="http://sports.yahoo.com/nhl/teams/san" TargetMode="External"/><Relationship Id="rId1650" Type="http://schemas.openxmlformats.org/officeDocument/2006/relationships/hyperlink" Target="http://sports.yahoo.com/nhl/players/5021" TargetMode="External"/><Relationship Id="rId1748" Type="http://schemas.openxmlformats.org/officeDocument/2006/relationships/hyperlink" Target="http://sports.yahoo.com/nhl/players/5035" TargetMode="External"/><Relationship Id="rId245" Type="http://schemas.openxmlformats.org/officeDocument/2006/relationships/hyperlink" Target="http://sports.yahoo.com/nhl/teams/stl" TargetMode="External"/><Relationship Id="rId452" Type="http://schemas.openxmlformats.org/officeDocument/2006/relationships/hyperlink" Target="http://sports.yahoo.com/nhl/players/3354" TargetMode="External"/><Relationship Id="rId897" Type="http://schemas.openxmlformats.org/officeDocument/2006/relationships/hyperlink" Target="http://sports.yahoo.com/nhl/teams/phi" TargetMode="External"/><Relationship Id="rId1082" Type="http://schemas.openxmlformats.org/officeDocument/2006/relationships/hyperlink" Target="http://sports.yahoo.com/nhl/players/4051" TargetMode="External"/><Relationship Id="rId1303" Type="http://schemas.openxmlformats.org/officeDocument/2006/relationships/hyperlink" Target="http://sports.yahoo.com/nhl/teams/tor" TargetMode="External"/><Relationship Id="rId1510" Type="http://schemas.openxmlformats.org/officeDocument/2006/relationships/hyperlink" Target="http://sports.yahoo.com/nhl/players/4652" TargetMode="External"/><Relationship Id="rId105" Type="http://schemas.openxmlformats.org/officeDocument/2006/relationships/hyperlink" Target="http://sports.yahoo.com/nhl/teams/cob" TargetMode="External"/><Relationship Id="rId312" Type="http://schemas.openxmlformats.org/officeDocument/2006/relationships/hyperlink" Target="http://sports.yahoo.com/nhl/players/4817" TargetMode="External"/><Relationship Id="rId757" Type="http://schemas.openxmlformats.org/officeDocument/2006/relationships/hyperlink" Target="http://sports.yahoo.com/nhl/teams/was" TargetMode="External"/><Relationship Id="rId964" Type="http://schemas.openxmlformats.org/officeDocument/2006/relationships/hyperlink" Target="http://sports.yahoo.com/nhl/players/6365" TargetMode="External"/><Relationship Id="rId1387" Type="http://schemas.openxmlformats.org/officeDocument/2006/relationships/hyperlink" Target="http://sports.yahoo.com/nhl/teams/tor" TargetMode="External"/><Relationship Id="rId1594" Type="http://schemas.openxmlformats.org/officeDocument/2006/relationships/hyperlink" Target="http://sports.yahoo.com/nhl/players/4936" TargetMode="External"/><Relationship Id="rId1608" Type="http://schemas.openxmlformats.org/officeDocument/2006/relationships/hyperlink" Target="http://sports.yahoo.com/nhl/players/1833" TargetMode="External"/><Relationship Id="rId93" Type="http://schemas.openxmlformats.org/officeDocument/2006/relationships/hyperlink" Target="http://sports.yahoo.com/nhl/teams/dal" TargetMode="External"/><Relationship Id="rId189" Type="http://schemas.openxmlformats.org/officeDocument/2006/relationships/hyperlink" Target="http://sports.yahoo.com/nhl/teams/wpg" TargetMode="External"/><Relationship Id="rId396" Type="http://schemas.openxmlformats.org/officeDocument/2006/relationships/hyperlink" Target="http://sports.yahoo.com/nhl/players/5598" TargetMode="External"/><Relationship Id="rId617" Type="http://schemas.openxmlformats.org/officeDocument/2006/relationships/hyperlink" Target="http://sports.yahoo.com/nhl/teams/san" TargetMode="External"/><Relationship Id="rId824" Type="http://schemas.openxmlformats.org/officeDocument/2006/relationships/hyperlink" Target="http://sports.yahoo.com/nhl/players/3361" TargetMode="External"/><Relationship Id="rId1247" Type="http://schemas.openxmlformats.org/officeDocument/2006/relationships/hyperlink" Target="http://sports.yahoo.com/nhl/teams/bos" TargetMode="External"/><Relationship Id="rId1454" Type="http://schemas.openxmlformats.org/officeDocument/2006/relationships/hyperlink" Target="http://sports.yahoo.com/nhl/players/6197" TargetMode="External"/><Relationship Id="rId1661" Type="http://schemas.openxmlformats.org/officeDocument/2006/relationships/hyperlink" Target="http://sports.yahoo.com/nhl/teams/chi" TargetMode="External"/><Relationship Id="rId256" Type="http://schemas.openxmlformats.org/officeDocument/2006/relationships/hyperlink" Target="http://sports.yahoo.com/nhl/players/3928" TargetMode="External"/><Relationship Id="rId463" Type="http://schemas.openxmlformats.org/officeDocument/2006/relationships/hyperlink" Target="http://sports.yahoo.com/nhl/teams/bos" TargetMode="External"/><Relationship Id="rId670" Type="http://schemas.openxmlformats.org/officeDocument/2006/relationships/hyperlink" Target="http://sports.yahoo.com/nhl/players/3871" TargetMode="External"/><Relationship Id="rId1093" Type="http://schemas.openxmlformats.org/officeDocument/2006/relationships/hyperlink" Target="http://sports.yahoo.com/nhl/teams/cob" TargetMode="External"/><Relationship Id="rId1107" Type="http://schemas.openxmlformats.org/officeDocument/2006/relationships/hyperlink" Target="http://sports.yahoo.com/nhl/teams/ott" TargetMode="External"/><Relationship Id="rId1314" Type="http://schemas.openxmlformats.org/officeDocument/2006/relationships/hyperlink" Target="http://sports.yahoo.com/nhl/players/5386" TargetMode="External"/><Relationship Id="rId1521" Type="http://schemas.openxmlformats.org/officeDocument/2006/relationships/hyperlink" Target="http://sports.yahoo.com/nhl/teams/ari" TargetMode="External"/><Relationship Id="rId1759" Type="http://schemas.openxmlformats.org/officeDocument/2006/relationships/hyperlink" Target="http://sports.yahoo.com/nhl/teams/ari" TargetMode="External"/><Relationship Id="rId116" Type="http://schemas.openxmlformats.org/officeDocument/2006/relationships/hyperlink" Target="http://sports.yahoo.com/nhl/players/3861" TargetMode="External"/><Relationship Id="rId323" Type="http://schemas.openxmlformats.org/officeDocument/2006/relationships/hyperlink" Target="http://sports.yahoo.com/nhl/teams/min" TargetMode="External"/><Relationship Id="rId530" Type="http://schemas.openxmlformats.org/officeDocument/2006/relationships/hyperlink" Target="http://sports.yahoo.com/nhl/players/4118" TargetMode="External"/><Relationship Id="rId768" Type="http://schemas.openxmlformats.org/officeDocument/2006/relationships/hyperlink" Target="http://sports.yahoo.com/nhl/players/5413" TargetMode="External"/><Relationship Id="rId975" Type="http://schemas.openxmlformats.org/officeDocument/2006/relationships/hyperlink" Target="http://sports.yahoo.com/nhl/teams/van" TargetMode="External"/><Relationship Id="rId1160" Type="http://schemas.openxmlformats.org/officeDocument/2006/relationships/hyperlink" Target="http://sports.yahoo.com/nhl/players/5513" TargetMode="External"/><Relationship Id="rId1398" Type="http://schemas.openxmlformats.org/officeDocument/2006/relationships/hyperlink" Target="http://sports.yahoo.com/nhl/players/3178" TargetMode="External"/><Relationship Id="rId1619" Type="http://schemas.openxmlformats.org/officeDocument/2006/relationships/hyperlink" Target="http://sports.yahoo.com/nhl/teams/cgy" TargetMode="External"/><Relationship Id="rId20" Type="http://schemas.openxmlformats.org/officeDocument/2006/relationships/hyperlink" Target="http://sports.yahoo.com/nhl/players/3174" TargetMode="External"/><Relationship Id="rId628" Type="http://schemas.openxmlformats.org/officeDocument/2006/relationships/hyperlink" Target="http://sports.yahoo.com/nhl/players/2848" TargetMode="External"/><Relationship Id="rId835" Type="http://schemas.openxmlformats.org/officeDocument/2006/relationships/hyperlink" Target="http://sports.yahoo.com/nhl/teams/los" TargetMode="External"/><Relationship Id="rId1258" Type="http://schemas.openxmlformats.org/officeDocument/2006/relationships/hyperlink" Target="http://sports.yahoo.com/nhl/players/5039" TargetMode="External"/><Relationship Id="rId1465" Type="http://schemas.openxmlformats.org/officeDocument/2006/relationships/hyperlink" Target="http://sports.yahoo.com/nhl/teams/cgy" TargetMode="External"/><Relationship Id="rId1672" Type="http://schemas.openxmlformats.org/officeDocument/2006/relationships/hyperlink" Target="http://sports.yahoo.com/nhl/players/5408" TargetMode="External"/><Relationship Id="rId267" Type="http://schemas.openxmlformats.org/officeDocument/2006/relationships/hyperlink" Target="http://sports.yahoo.com/nhl/teams/chi" TargetMode="External"/><Relationship Id="rId474" Type="http://schemas.openxmlformats.org/officeDocument/2006/relationships/hyperlink" Target="http://sports.yahoo.com/nhl/players/5291" TargetMode="External"/><Relationship Id="rId1020" Type="http://schemas.openxmlformats.org/officeDocument/2006/relationships/hyperlink" Target="http://sports.yahoo.com/nhl/players/3346" TargetMode="External"/><Relationship Id="rId1118" Type="http://schemas.openxmlformats.org/officeDocument/2006/relationships/hyperlink" Target="http://sports.yahoo.com/nhl/players/5263" TargetMode="External"/><Relationship Id="rId1325" Type="http://schemas.openxmlformats.org/officeDocument/2006/relationships/hyperlink" Target="http://sports.yahoo.com/nhl/teams/buf" TargetMode="External"/><Relationship Id="rId1532" Type="http://schemas.openxmlformats.org/officeDocument/2006/relationships/hyperlink" Target="http://sports.yahoo.com/nhl/players/5428" TargetMode="External"/><Relationship Id="rId127" Type="http://schemas.openxmlformats.org/officeDocument/2006/relationships/hyperlink" Target="http://sports.yahoo.com/nhl/teams/det" TargetMode="External"/><Relationship Id="rId681" Type="http://schemas.openxmlformats.org/officeDocument/2006/relationships/hyperlink" Target="http://sports.yahoo.com/nhl/teams/van" TargetMode="External"/><Relationship Id="rId779" Type="http://schemas.openxmlformats.org/officeDocument/2006/relationships/hyperlink" Target="http://sports.yahoo.com/nhl/teams/bos" TargetMode="External"/><Relationship Id="rId902" Type="http://schemas.openxmlformats.org/officeDocument/2006/relationships/hyperlink" Target="http://sports.yahoo.com/nhl/players/4132" TargetMode="External"/><Relationship Id="rId986" Type="http://schemas.openxmlformats.org/officeDocument/2006/relationships/hyperlink" Target="http://sports.yahoo.com/nhl/players/4980" TargetMode="External"/><Relationship Id="rId31" Type="http://schemas.openxmlformats.org/officeDocument/2006/relationships/hyperlink" Target="http://sports.yahoo.com/nhl/teams/van" TargetMode="External"/><Relationship Id="rId334" Type="http://schemas.openxmlformats.org/officeDocument/2006/relationships/hyperlink" Target="http://sports.yahoo.com/nhl/players/5980" TargetMode="External"/><Relationship Id="rId541" Type="http://schemas.openxmlformats.org/officeDocument/2006/relationships/hyperlink" Target="http://sports.yahoo.com/nhl/teams/stl" TargetMode="External"/><Relationship Id="rId639" Type="http://schemas.openxmlformats.org/officeDocument/2006/relationships/hyperlink" Target="http://sports.yahoo.com/nhl/teams/nyr" TargetMode="External"/><Relationship Id="rId1171" Type="http://schemas.openxmlformats.org/officeDocument/2006/relationships/hyperlink" Target="http://sports.yahoo.com/nhl/teams/san" TargetMode="External"/><Relationship Id="rId1269" Type="http://schemas.openxmlformats.org/officeDocument/2006/relationships/hyperlink" Target="http://sports.yahoo.com/nhl/teams/min" TargetMode="External"/><Relationship Id="rId1476" Type="http://schemas.openxmlformats.org/officeDocument/2006/relationships/hyperlink" Target="http://sports.yahoo.com/nhl/players/3665" TargetMode="External"/><Relationship Id="rId180" Type="http://schemas.openxmlformats.org/officeDocument/2006/relationships/hyperlink" Target="http://sports.yahoo.com/nhl/players/5366" TargetMode="External"/><Relationship Id="rId278" Type="http://schemas.openxmlformats.org/officeDocument/2006/relationships/hyperlink" Target="http://sports.yahoo.com/nhl/players/4480" TargetMode="External"/><Relationship Id="rId401" Type="http://schemas.openxmlformats.org/officeDocument/2006/relationships/hyperlink" Target="http://sports.yahoo.com/nhl/teams/edm" TargetMode="External"/><Relationship Id="rId846" Type="http://schemas.openxmlformats.org/officeDocument/2006/relationships/hyperlink" Target="http://sports.yahoo.com/nhl/players/4765" TargetMode="External"/><Relationship Id="rId1031" Type="http://schemas.openxmlformats.org/officeDocument/2006/relationships/hyperlink" Target="http://sports.yahoo.com/nhl/teams/van" TargetMode="External"/><Relationship Id="rId1129" Type="http://schemas.openxmlformats.org/officeDocument/2006/relationships/hyperlink" Target="http://sports.yahoo.com/nhl/teams/fla" TargetMode="External"/><Relationship Id="rId1683" Type="http://schemas.openxmlformats.org/officeDocument/2006/relationships/hyperlink" Target="http://sports.yahoo.com/nhl/teams/san" TargetMode="External"/><Relationship Id="rId485" Type="http://schemas.openxmlformats.org/officeDocument/2006/relationships/hyperlink" Target="http://sports.yahoo.com/nhl/teams/chi" TargetMode="External"/><Relationship Id="rId692" Type="http://schemas.openxmlformats.org/officeDocument/2006/relationships/hyperlink" Target="http://sports.yahoo.com/nhl/players/3704" TargetMode="External"/><Relationship Id="rId706" Type="http://schemas.openxmlformats.org/officeDocument/2006/relationships/hyperlink" Target="http://sports.yahoo.com/nhl/players/1767" TargetMode="External"/><Relationship Id="rId913" Type="http://schemas.openxmlformats.org/officeDocument/2006/relationships/hyperlink" Target="http://sports.yahoo.com/nhl/teams/nyi" TargetMode="External"/><Relationship Id="rId1336" Type="http://schemas.openxmlformats.org/officeDocument/2006/relationships/hyperlink" Target="http://sports.yahoo.com/nhl/players/5014" TargetMode="External"/><Relationship Id="rId1543" Type="http://schemas.openxmlformats.org/officeDocument/2006/relationships/hyperlink" Target="http://sports.yahoo.com/nhl/teams/chi" TargetMode="External"/><Relationship Id="rId1750" Type="http://schemas.openxmlformats.org/officeDocument/2006/relationships/hyperlink" Target="http://sports.yahoo.com/nhl/players/4137" TargetMode="External"/><Relationship Id="rId42" Type="http://schemas.openxmlformats.org/officeDocument/2006/relationships/hyperlink" Target="http://sports.yahoo.com/nhl/players/3357" TargetMode="External"/><Relationship Id="rId138" Type="http://schemas.openxmlformats.org/officeDocument/2006/relationships/hyperlink" Target="http://sports.yahoo.com/nhl/players/3801" TargetMode="External"/><Relationship Id="rId345" Type="http://schemas.openxmlformats.org/officeDocument/2006/relationships/hyperlink" Target="http://sports.yahoo.com/nhl/teams/min" TargetMode="External"/><Relationship Id="rId552" Type="http://schemas.openxmlformats.org/officeDocument/2006/relationships/hyperlink" Target="http://sports.yahoo.com/nhl/players/3366" TargetMode="External"/><Relationship Id="rId997" Type="http://schemas.openxmlformats.org/officeDocument/2006/relationships/hyperlink" Target="http://sports.yahoo.com/nhl/teams/nyi" TargetMode="External"/><Relationship Id="rId1182" Type="http://schemas.openxmlformats.org/officeDocument/2006/relationships/hyperlink" Target="http://sports.yahoo.com/nhl/players/4309" TargetMode="External"/><Relationship Id="rId1403" Type="http://schemas.openxmlformats.org/officeDocument/2006/relationships/hyperlink" Target="http://sports.yahoo.com/nhl/teams/tor" TargetMode="External"/><Relationship Id="rId1610" Type="http://schemas.openxmlformats.org/officeDocument/2006/relationships/hyperlink" Target="http://sports.yahoo.com/nhl/players/3011" TargetMode="External"/><Relationship Id="rId191" Type="http://schemas.openxmlformats.org/officeDocument/2006/relationships/hyperlink" Target="http://sports.yahoo.com/nhl/teams/car" TargetMode="External"/><Relationship Id="rId205" Type="http://schemas.openxmlformats.org/officeDocument/2006/relationships/hyperlink" Target="http://sports.yahoo.com/nhl/teams/mon" TargetMode="External"/><Relationship Id="rId412" Type="http://schemas.openxmlformats.org/officeDocument/2006/relationships/hyperlink" Target="http://sports.yahoo.com/nhl/players/5686" TargetMode="External"/><Relationship Id="rId857" Type="http://schemas.openxmlformats.org/officeDocument/2006/relationships/hyperlink" Target="http://sports.yahoo.com/nhl/teams/car" TargetMode="External"/><Relationship Id="rId1042" Type="http://schemas.openxmlformats.org/officeDocument/2006/relationships/hyperlink" Target="http://sports.yahoo.com/nhl/players/4447" TargetMode="External"/><Relationship Id="rId1487" Type="http://schemas.openxmlformats.org/officeDocument/2006/relationships/hyperlink" Target="http://sports.yahoo.com/nhl/teams/min" TargetMode="External"/><Relationship Id="rId1694" Type="http://schemas.openxmlformats.org/officeDocument/2006/relationships/hyperlink" Target="http://sports.yahoo.com/nhl/players/4507" TargetMode="External"/><Relationship Id="rId1708" Type="http://schemas.openxmlformats.org/officeDocument/2006/relationships/hyperlink" Target="http://sports.yahoo.com/nhl/players/5795" TargetMode="External"/><Relationship Id="rId289" Type="http://schemas.openxmlformats.org/officeDocument/2006/relationships/hyperlink" Target="http://sports.yahoo.com/nhl/teams/wpg" TargetMode="External"/><Relationship Id="rId496" Type="http://schemas.openxmlformats.org/officeDocument/2006/relationships/hyperlink" Target="http://sports.yahoo.com/nhl/players/5694" TargetMode="External"/><Relationship Id="rId717" Type="http://schemas.openxmlformats.org/officeDocument/2006/relationships/hyperlink" Target="http://sports.yahoo.com/nhl/teams/van" TargetMode="External"/><Relationship Id="rId924" Type="http://schemas.openxmlformats.org/officeDocument/2006/relationships/hyperlink" Target="http://sports.yahoo.com/nhl/players/2845" TargetMode="External"/><Relationship Id="rId1347" Type="http://schemas.openxmlformats.org/officeDocument/2006/relationships/hyperlink" Target="http://sports.yahoo.com/nhl/teams/phi" TargetMode="External"/><Relationship Id="rId1554" Type="http://schemas.openxmlformats.org/officeDocument/2006/relationships/hyperlink" Target="http://sports.yahoo.com/nhl/players/5401" TargetMode="External"/><Relationship Id="rId1761" Type="http://schemas.openxmlformats.org/officeDocument/2006/relationships/hyperlink" Target="http://sports.yahoo.com/nhl/teams/nyr" TargetMode="External"/><Relationship Id="rId53" Type="http://schemas.openxmlformats.org/officeDocument/2006/relationships/hyperlink" Target="http://sports.yahoo.com/nhl/teams/chi" TargetMode="External"/><Relationship Id="rId149" Type="http://schemas.openxmlformats.org/officeDocument/2006/relationships/hyperlink" Target="http://sports.yahoo.com/nhl/teams/ott" TargetMode="External"/><Relationship Id="rId356" Type="http://schemas.openxmlformats.org/officeDocument/2006/relationships/hyperlink" Target="http://sports.yahoo.com/nhl/players/5369" TargetMode="External"/><Relationship Id="rId563" Type="http://schemas.openxmlformats.org/officeDocument/2006/relationships/hyperlink" Target="http://sports.yahoo.com/nhl/teams/col" TargetMode="External"/><Relationship Id="rId770" Type="http://schemas.openxmlformats.org/officeDocument/2006/relationships/hyperlink" Target="http://sports.yahoo.com/nhl/players/5024" TargetMode="External"/><Relationship Id="rId1193" Type="http://schemas.openxmlformats.org/officeDocument/2006/relationships/hyperlink" Target="http://sports.yahoo.com/nhl/teams/van" TargetMode="External"/><Relationship Id="rId1207" Type="http://schemas.openxmlformats.org/officeDocument/2006/relationships/hyperlink" Target="http://sports.yahoo.com/nhl/teams/nyr" TargetMode="External"/><Relationship Id="rId1414" Type="http://schemas.openxmlformats.org/officeDocument/2006/relationships/hyperlink" Target="http://sports.yahoo.com/nhl/players/5004" TargetMode="External"/><Relationship Id="rId1621" Type="http://schemas.openxmlformats.org/officeDocument/2006/relationships/hyperlink" Target="http://sports.yahoo.com/nhl/teams/stl" TargetMode="External"/><Relationship Id="rId216" Type="http://schemas.openxmlformats.org/officeDocument/2006/relationships/hyperlink" Target="http://sports.yahoo.com/nhl/players/4704" TargetMode="External"/><Relationship Id="rId423" Type="http://schemas.openxmlformats.org/officeDocument/2006/relationships/hyperlink" Target="http://sports.yahoo.com/nhl/teams/ana" TargetMode="External"/><Relationship Id="rId868" Type="http://schemas.openxmlformats.org/officeDocument/2006/relationships/hyperlink" Target="http://sports.yahoo.com/nhl/players/5946" TargetMode="External"/><Relationship Id="rId1053" Type="http://schemas.openxmlformats.org/officeDocument/2006/relationships/hyperlink" Target="http://sports.yahoo.com/nhl/teams/san" TargetMode="External"/><Relationship Id="rId1260" Type="http://schemas.openxmlformats.org/officeDocument/2006/relationships/hyperlink" Target="http://sports.yahoo.com/nhl/players/3874" TargetMode="External"/><Relationship Id="rId1498" Type="http://schemas.openxmlformats.org/officeDocument/2006/relationships/hyperlink" Target="http://sports.yahoo.com/nhl/players/4778" TargetMode="External"/><Relationship Id="rId1719" Type="http://schemas.openxmlformats.org/officeDocument/2006/relationships/hyperlink" Target="http://sports.yahoo.com/nhl/teams/car" TargetMode="External"/><Relationship Id="rId630" Type="http://schemas.openxmlformats.org/officeDocument/2006/relationships/hyperlink" Target="http://sports.yahoo.com/nhl/players/4130" TargetMode="External"/><Relationship Id="rId728" Type="http://schemas.openxmlformats.org/officeDocument/2006/relationships/hyperlink" Target="http://sports.yahoo.com/nhl/players/2449" TargetMode="External"/><Relationship Id="rId935" Type="http://schemas.openxmlformats.org/officeDocument/2006/relationships/hyperlink" Target="http://sports.yahoo.com/nhl/teams/det" TargetMode="External"/><Relationship Id="rId1358" Type="http://schemas.openxmlformats.org/officeDocument/2006/relationships/hyperlink" Target="http://sports.yahoo.com/nhl/players/4983" TargetMode="External"/><Relationship Id="rId1565" Type="http://schemas.openxmlformats.org/officeDocument/2006/relationships/hyperlink" Target="http://sports.yahoo.com/nhl/teams/chi" TargetMode="External"/><Relationship Id="rId64" Type="http://schemas.openxmlformats.org/officeDocument/2006/relationships/hyperlink" Target="http://sports.yahoo.com/nhl/players/5152" TargetMode="External"/><Relationship Id="rId367" Type="http://schemas.openxmlformats.org/officeDocument/2006/relationships/hyperlink" Target="http://sports.yahoo.com/nhl/teams/ari" TargetMode="External"/><Relationship Id="rId574" Type="http://schemas.openxmlformats.org/officeDocument/2006/relationships/hyperlink" Target="http://sports.yahoo.com/nhl/players/4599" TargetMode="External"/><Relationship Id="rId1120" Type="http://schemas.openxmlformats.org/officeDocument/2006/relationships/hyperlink" Target="http://sports.yahoo.com/nhl/players/4758" TargetMode="External"/><Relationship Id="rId1218" Type="http://schemas.openxmlformats.org/officeDocument/2006/relationships/hyperlink" Target="http://sports.yahoo.com/nhl/players/4885" TargetMode="External"/><Relationship Id="rId1425" Type="http://schemas.openxmlformats.org/officeDocument/2006/relationships/hyperlink" Target="http://sports.yahoo.com/nhl/teams/mon" TargetMode="External"/><Relationship Id="rId227" Type="http://schemas.openxmlformats.org/officeDocument/2006/relationships/hyperlink" Target="http://sports.yahoo.com/nhl/teams/mon" TargetMode="External"/><Relationship Id="rId781" Type="http://schemas.openxmlformats.org/officeDocument/2006/relationships/hyperlink" Target="http://sports.yahoo.com/nhl/teams/det" TargetMode="External"/><Relationship Id="rId879" Type="http://schemas.openxmlformats.org/officeDocument/2006/relationships/hyperlink" Target="http://sports.yahoo.com/nhl/teams/wpg" TargetMode="External"/><Relationship Id="rId1632" Type="http://schemas.openxmlformats.org/officeDocument/2006/relationships/hyperlink" Target="http://sports.yahoo.com/nhl/players/5304" TargetMode="External"/><Relationship Id="rId434" Type="http://schemas.openxmlformats.org/officeDocument/2006/relationships/hyperlink" Target="http://sports.yahoo.com/nhl/players/3356" TargetMode="External"/><Relationship Id="rId641" Type="http://schemas.openxmlformats.org/officeDocument/2006/relationships/hyperlink" Target="http://sports.yahoo.com/nhl/teams/ana" TargetMode="External"/><Relationship Id="rId739" Type="http://schemas.openxmlformats.org/officeDocument/2006/relationships/hyperlink" Target="http://sports.yahoo.com/nhl/teams/col" TargetMode="External"/><Relationship Id="rId1064" Type="http://schemas.openxmlformats.org/officeDocument/2006/relationships/hyperlink" Target="http://sports.yahoo.com/nhl/players/4912" TargetMode="External"/><Relationship Id="rId1271" Type="http://schemas.openxmlformats.org/officeDocument/2006/relationships/hyperlink" Target="http://sports.yahoo.com/nhl/teams/njd" TargetMode="External"/><Relationship Id="rId1369" Type="http://schemas.openxmlformats.org/officeDocument/2006/relationships/hyperlink" Target="http://sports.yahoo.com/nhl/teams/det" TargetMode="External"/><Relationship Id="rId1576" Type="http://schemas.openxmlformats.org/officeDocument/2006/relationships/hyperlink" Target="http://sports.yahoo.com/nhl/players/6322" TargetMode="External"/><Relationship Id="rId280" Type="http://schemas.openxmlformats.org/officeDocument/2006/relationships/hyperlink" Target="http://sports.yahoo.com/nhl/players/4990" TargetMode="External"/><Relationship Id="rId501" Type="http://schemas.openxmlformats.org/officeDocument/2006/relationships/hyperlink" Target="http://sports.yahoo.com/nhl/teams/tor" TargetMode="External"/><Relationship Id="rId946" Type="http://schemas.openxmlformats.org/officeDocument/2006/relationships/hyperlink" Target="http://sports.yahoo.com/nhl/players/5373" TargetMode="External"/><Relationship Id="rId1131" Type="http://schemas.openxmlformats.org/officeDocument/2006/relationships/hyperlink" Target="http://sports.yahoo.com/nhl/teams/edm" TargetMode="External"/><Relationship Id="rId1229" Type="http://schemas.openxmlformats.org/officeDocument/2006/relationships/hyperlink" Target="http://sports.yahoo.com/nhl/teams/tor" TargetMode="External"/><Relationship Id="rId75" Type="http://schemas.openxmlformats.org/officeDocument/2006/relationships/hyperlink" Target="http://sports.yahoo.com/nhl/teams/edm" TargetMode="External"/><Relationship Id="rId140" Type="http://schemas.openxmlformats.org/officeDocument/2006/relationships/hyperlink" Target="http://sports.yahoo.com/nhl/players/3383" TargetMode="External"/><Relationship Id="rId378" Type="http://schemas.openxmlformats.org/officeDocument/2006/relationships/hyperlink" Target="http://sports.yahoo.com/nhl/players/3952" TargetMode="External"/><Relationship Id="rId585" Type="http://schemas.openxmlformats.org/officeDocument/2006/relationships/hyperlink" Target="http://sports.yahoo.com/nhl/teams/van" TargetMode="External"/><Relationship Id="rId792" Type="http://schemas.openxmlformats.org/officeDocument/2006/relationships/hyperlink" Target="http://sports.yahoo.com/nhl/players/5409" TargetMode="External"/><Relationship Id="rId806" Type="http://schemas.openxmlformats.org/officeDocument/2006/relationships/hyperlink" Target="http://sports.yahoo.com/nhl/players/5696" TargetMode="External"/><Relationship Id="rId1436" Type="http://schemas.openxmlformats.org/officeDocument/2006/relationships/hyperlink" Target="http://sports.yahoo.com/nhl/players/6083" TargetMode="External"/><Relationship Id="rId1643" Type="http://schemas.openxmlformats.org/officeDocument/2006/relationships/hyperlink" Target="http://sports.yahoo.com/nhl/teams/pit" TargetMode="External"/><Relationship Id="rId6" Type="http://schemas.openxmlformats.org/officeDocument/2006/relationships/hyperlink" Target="http://sports.yahoo.com/nhl/players/4519" TargetMode="External"/><Relationship Id="rId238" Type="http://schemas.openxmlformats.org/officeDocument/2006/relationships/hyperlink" Target="http://sports.yahoo.com/nhl/players/3387" TargetMode="External"/><Relationship Id="rId445" Type="http://schemas.openxmlformats.org/officeDocument/2006/relationships/hyperlink" Target="http://sports.yahoo.com/nhl/teams/nyr" TargetMode="External"/><Relationship Id="rId652" Type="http://schemas.openxmlformats.org/officeDocument/2006/relationships/hyperlink" Target="http://sports.yahoo.com/nhl/players/4794" TargetMode="External"/><Relationship Id="rId1075" Type="http://schemas.openxmlformats.org/officeDocument/2006/relationships/hyperlink" Target="http://sports.yahoo.com/nhl/teams/tam" TargetMode="External"/><Relationship Id="rId1282" Type="http://schemas.openxmlformats.org/officeDocument/2006/relationships/hyperlink" Target="http://sports.yahoo.com/nhl/players/2964" TargetMode="External"/><Relationship Id="rId1503" Type="http://schemas.openxmlformats.org/officeDocument/2006/relationships/hyperlink" Target="http://sports.yahoo.com/nhl/teams/tor" TargetMode="External"/><Relationship Id="rId1710" Type="http://schemas.openxmlformats.org/officeDocument/2006/relationships/hyperlink" Target="http://sports.yahoo.com/nhl/players/4777" TargetMode="External"/><Relationship Id="rId291" Type="http://schemas.openxmlformats.org/officeDocument/2006/relationships/hyperlink" Target="http://sports.yahoo.com/nhl/teams/nyi" TargetMode="External"/><Relationship Id="rId305" Type="http://schemas.openxmlformats.org/officeDocument/2006/relationships/hyperlink" Target="http://sports.yahoo.com/nhl/teams/bos" TargetMode="External"/><Relationship Id="rId512" Type="http://schemas.openxmlformats.org/officeDocument/2006/relationships/hyperlink" Target="http://sports.yahoo.com/nhl/players/3814" TargetMode="External"/><Relationship Id="rId957" Type="http://schemas.openxmlformats.org/officeDocument/2006/relationships/hyperlink" Target="http://sports.yahoo.com/nhl/teams/col" TargetMode="External"/><Relationship Id="rId1142" Type="http://schemas.openxmlformats.org/officeDocument/2006/relationships/hyperlink" Target="http://sports.yahoo.com/nhl/players/5647" TargetMode="External"/><Relationship Id="rId1587" Type="http://schemas.openxmlformats.org/officeDocument/2006/relationships/hyperlink" Target="http://sports.yahoo.com/nhl/teams/ana" TargetMode="External"/><Relationship Id="rId86" Type="http://schemas.openxmlformats.org/officeDocument/2006/relationships/hyperlink" Target="http://sports.yahoo.com/nhl/players/1933" TargetMode="External"/><Relationship Id="rId151" Type="http://schemas.openxmlformats.org/officeDocument/2006/relationships/hyperlink" Target="http://sports.yahoo.com/nhl/teams/min" TargetMode="External"/><Relationship Id="rId389" Type="http://schemas.openxmlformats.org/officeDocument/2006/relationships/hyperlink" Target="http://sports.yahoo.com/nhl/teams/fla" TargetMode="External"/><Relationship Id="rId596" Type="http://schemas.openxmlformats.org/officeDocument/2006/relationships/hyperlink" Target="http://sports.yahoo.com/nhl/players/5591" TargetMode="External"/><Relationship Id="rId817" Type="http://schemas.openxmlformats.org/officeDocument/2006/relationships/hyperlink" Target="http://sports.yahoo.com/nhl/teams/min" TargetMode="External"/><Relationship Id="rId1002" Type="http://schemas.openxmlformats.org/officeDocument/2006/relationships/hyperlink" Target="http://sports.yahoo.com/nhl/players/2588" TargetMode="External"/><Relationship Id="rId1447" Type="http://schemas.openxmlformats.org/officeDocument/2006/relationships/hyperlink" Target="http://sports.yahoo.com/nhl/teams/ott" TargetMode="External"/><Relationship Id="rId1654" Type="http://schemas.openxmlformats.org/officeDocument/2006/relationships/hyperlink" Target="http://sports.yahoo.com/nhl/players/5382" TargetMode="External"/><Relationship Id="rId249" Type="http://schemas.openxmlformats.org/officeDocument/2006/relationships/hyperlink" Target="http://sports.yahoo.com/nhl/teams/nas" TargetMode="External"/><Relationship Id="rId456" Type="http://schemas.openxmlformats.org/officeDocument/2006/relationships/hyperlink" Target="http://sports.yahoo.com/nhl/players/2937" TargetMode="External"/><Relationship Id="rId663" Type="http://schemas.openxmlformats.org/officeDocument/2006/relationships/hyperlink" Target="http://sports.yahoo.com/nhl/teams/mon" TargetMode="External"/><Relationship Id="rId870" Type="http://schemas.openxmlformats.org/officeDocument/2006/relationships/hyperlink" Target="http://sports.yahoo.com/nhl/players/4386" TargetMode="External"/><Relationship Id="rId1086" Type="http://schemas.openxmlformats.org/officeDocument/2006/relationships/hyperlink" Target="http://sports.yahoo.com/nhl/players/5702" TargetMode="External"/><Relationship Id="rId1293" Type="http://schemas.openxmlformats.org/officeDocument/2006/relationships/hyperlink" Target="http://sports.yahoo.com/nhl/teams/buf" TargetMode="External"/><Relationship Id="rId1307" Type="http://schemas.openxmlformats.org/officeDocument/2006/relationships/hyperlink" Target="http://sports.yahoo.com/nhl/teams/san" TargetMode="External"/><Relationship Id="rId1514" Type="http://schemas.openxmlformats.org/officeDocument/2006/relationships/hyperlink" Target="http://sports.yahoo.com/nhl/players/5486" TargetMode="External"/><Relationship Id="rId1721" Type="http://schemas.openxmlformats.org/officeDocument/2006/relationships/hyperlink" Target="http://sports.yahoo.com/nhl/teams/fla" TargetMode="External"/><Relationship Id="rId13" Type="http://schemas.openxmlformats.org/officeDocument/2006/relationships/hyperlink" Target="http://sports.yahoo.com/nhl/teams/phi" TargetMode="External"/><Relationship Id="rId109" Type="http://schemas.openxmlformats.org/officeDocument/2006/relationships/hyperlink" Target="http://sports.yahoo.com/nhl/teams/mon" TargetMode="External"/><Relationship Id="rId316" Type="http://schemas.openxmlformats.org/officeDocument/2006/relationships/hyperlink" Target="http://sports.yahoo.com/nhl/players/5632" TargetMode="External"/><Relationship Id="rId523" Type="http://schemas.openxmlformats.org/officeDocument/2006/relationships/hyperlink" Target="http://sports.yahoo.com/nhl/teams/wpg" TargetMode="External"/><Relationship Id="rId968" Type="http://schemas.openxmlformats.org/officeDocument/2006/relationships/hyperlink" Target="http://sports.yahoo.com/nhl/players/4071" TargetMode="External"/><Relationship Id="rId1153" Type="http://schemas.openxmlformats.org/officeDocument/2006/relationships/hyperlink" Target="http://sports.yahoo.com/nhl/teams/ana" TargetMode="External"/><Relationship Id="rId1598" Type="http://schemas.openxmlformats.org/officeDocument/2006/relationships/hyperlink" Target="http://sports.yahoo.com/nhl/players/4871" TargetMode="External"/><Relationship Id="rId97" Type="http://schemas.openxmlformats.org/officeDocument/2006/relationships/hyperlink" Target="http://sports.yahoo.com/nhl/teams/chi" TargetMode="External"/><Relationship Id="rId730" Type="http://schemas.openxmlformats.org/officeDocument/2006/relationships/hyperlink" Target="http://sports.yahoo.com/nhl/players/3601" TargetMode="External"/><Relationship Id="rId828" Type="http://schemas.openxmlformats.org/officeDocument/2006/relationships/hyperlink" Target="http://sports.yahoo.com/nhl/players/4693" TargetMode="External"/><Relationship Id="rId1013" Type="http://schemas.openxmlformats.org/officeDocument/2006/relationships/hyperlink" Target="http://sports.yahoo.com/nhl/teams/pit" TargetMode="External"/><Relationship Id="rId1360" Type="http://schemas.openxmlformats.org/officeDocument/2006/relationships/hyperlink" Target="http://sports.yahoo.com/nhl/players/6010" TargetMode="External"/><Relationship Id="rId1458" Type="http://schemas.openxmlformats.org/officeDocument/2006/relationships/hyperlink" Target="http://sports.yahoo.com/nhl/players/4783" TargetMode="External"/><Relationship Id="rId1665" Type="http://schemas.openxmlformats.org/officeDocument/2006/relationships/hyperlink" Target="http://sports.yahoo.com/nhl/teams/mon" TargetMode="External"/><Relationship Id="rId162" Type="http://schemas.openxmlformats.org/officeDocument/2006/relationships/hyperlink" Target="http://sports.yahoo.com/nhl/players/3833" TargetMode="External"/><Relationship Id="rId467" Type="http://schemas.openxmlformats.org/officeDocument/2006/relationships/hyperlink" Target="http://sports.yahoo.com/nhl/teams/san" TargetMode="External"/><Relationship Id="rId1097" Type="http://schemas.openxmlformats.org/officeDocument/2006/relationships/hyperlink" Target="http://sports.yahoo.com/nhl/teams/buf" TargetMode="External"/><Relationship Id="rId1220" Type="http://schemas.openxmlformats.org/officeDocument/2006/relationships/hyperlink" Target="http://sports.yahoo.com/nhl/players/4925" TargetMode="External"/><Relationship Id="rId1318" Type="http://schemas.openxmlformats.org/officeDocument/2006/relationships/hyperlink" Target="http://sports.yahoo.com/nhl/players/4009" TargetMode="External"/><Relationship Id="rId1525" Type="http://schemas.openxmlformats.org/officeDocument/2006/relationships/hyperlink" Target="http://sports.yahoo.com/nhl/teams/nas" TargetMode="External"/><Relationship Id="rId674" Type="http://schemas.openxmlformats.org/officeDocument/2006/relationships/hyperlink" Target="http://sports.yahoo.com/nhl/players/4684" TargetMode="External"/><Relationship Id="rId881" Type="http://schemas.openxmlformats.org/officeDocument/2006/relationships/hyperlink" Target="http://sports.yahoo.com/nhl/teams/ari" TargetMode="External"/><Relationship Id="rId979" Type="http://schemas.openxmlformats.org/officeDocument/2006/relationships/hyperlink" Target="http://sports.yahoo.com/nhl/teams/ari" TargetMode="External"/><Relationship Id="rId1732" Type="http://schemas.openxmlformats.org/officeDocument/2006/relationships/hyperlink" Target="http://sports.yahoo.com/nhl/players/5912" TargetMode="External"/><Relationship Id="rId24" Type="http://schemas.openxmlformats.org/officeDocument/2006/relationships/hyperlink" Target="http://sports.yahoo.com/nhl/players/4008" TargetMode="External"/><Relationship Id="rId327" Type="http://schemas.openxmlformats.org/officeDocument/2006/relationships/hyperlink" Target="http://sports.yahoo.com/nhl/teams/car" TargetMode="External"/><Relationship Id="rId534" Type="http://schemas.openxmlformats.org/officeDocument/2006/relationships/hyperlink" Target="http://sports.yahoo.com/nhl/players/1923" TargetMode="External"/><Relationship Id="rId741" Type="http://schemas.openxmlformats.org/officeDocument/2006/relationships/hyperlink" Target="http://sports.yahoo.com/nhl/teams/bos" TargetMode="External"/><Relationship Id="rId839" Type="http://schemas.openxmlformats.org/officeDocument/2006/relationships/hyperlink" Target="http://sports.yahoo.com/nhl/teams/cob" TargetMode="External"/><Relationship Id="rId1164" Type="http://schemas.openxmlformats.org/officeDocument/2006/relationships/hyperlink" Target="http://sports.yahoo.com/nhl/players/4929" TargetMode="External"/><Relationship Id="rId1371" Type="http://schemas.openxmlformats.org/officeDocument/2006/relationships/hyperlink" Target="http://sports.yahoo.com/nhl/teams/njd" TargetMode="External"/><Relationship Id="rId1469" Type="http://schemas.openxmlformats.org/officeDocument/2006/relationships/hyperlink" Target="http://sports.yahoo.com/nhl/teams/ana" TargetMode="External"/><Relationship Id="rId173" Type="http://schemas.openxmlformats.org/officeDocument/2006/relationships/hyperlink" Target="http://sports.yahoo.com/nhl/teams/nyr" TargetMode="External"/><Relationship Id="rId380" Type="http://schemas.openxmlformats.org/officeDocument/2006/relationships/hyperlink" Target="http://sports.yahoo.com/nhl/players/5981" TargetMode="External"/><Relationship Id="rId601" Type="http://schemas.openxmlformats.org/officeDocument/2006/relationships/hyperlink" Target="http://sports.yahoo.com/nhl/teams/los" TargetMode="External"/><Relationship Id="rId1024" Type="http://schemas.openxmlformats.org/officeDocument/2006/relationships/hyperlink" Target="http://sports.yahoo.com/nhl/players/2726" TargetMode="External"/><Relationship Id="rId1231" Type="http://schemas.openxmlformats.org/officeDocument/2006/relationships/hyperlink" Target="http://sports.yahoo.com/nhl/teams/edm" TargetMode="External"/><Relationship Id="rId1676" Type="http://schemas.openxmlformats.org/officeDocument/2006/relationships/hyperlink" Target="http://sports.yahoo.com/nhl/players/5424" TargetMode="External"/><Relationship Id="rId240" Type="http://schemas.openxmlformats.org/officeDocument/2006/relationships/hyperlink" Target="http://sports.yahoo.com/nhl/players/3705" TargetMode="External"/><Relationship Id="rId478" Type="http://schemas.openxmlformats.org/officeDocument/2006/relationships/hyperlink" Target="http://sports.yahoo.com/nhl/players/3978" TargetMode="External"/><Relationship Id="rId685" Type="http://schemas.openxmlformats.org/officeDocument/2006/relationships/hyperlink" Target="http://sports.yahoo.com/nhl/teams/ott" TargetMode="External"/><Relationship Id="rId892" Type="http://schemas.openxmlformats.org/officeDocument/2006/relationships/hyperlink" Target="http://sports.yahoo.com/nhl/players/3359" TargetMode="External"/><Relationship Id="rId906" Type="http://schemas.openxmlformats.org/officeDocument/2006/relationships/hyperlink" Target="http://sports.yahoo.com/nhl/players/3233" TargetMode="External"/><Relationship Id="rId1329" Type="http://schemas.openxmlformats.org/officeDocument/2006/relationships/hyperlink" Target="http://sports.yahoo.com/nhl/teams/edm" TargetMode="External"/><Relationship Id="rId1536" Type="http://schemas.openxmlformats.org/officeDocument/2006/relationships/hyperlink" Target="http://sports.yahoo.com/nhl/players/5515" TargetMode="External"/><Relationship Id="rId1743" Type="http://schemas.openxmlformats.org/officeDocument/2006/relationships/hyperlink" Target="http://sports.yahoo.com/nhl/teams/col" TargetMode="External"/><Relationship Id="rId35" Type="http://schemas.openxmlformats.org/officeDocument/2006/relationships/hyperlink" Target="http://sports.yahoo.com/nhl/teams/tam" TargetMode="External"/><Relationship Id="rId100" Type="http://schemas.openxmlformats.org/officeDocument/2006/relationships/hyperlink" Target="http://sports.yahoo.com/nhl/players/3983" TargetMode="External"/><Relationship Id="rId338" Type="http://schemas.openxmlformats.org/officeDocument/2006/relationships/hyperlink" Target="http://sports.yahoo.com/nhl/players/2525" TargetMode="External"/><Relationship Id="rId545" Type="http://schemas.openxmlformats.org/officeDocument/2006/relationships/hyperlink" Target="http://sports.yahoo.com/nhl/teams/los" TargetMode="External"/><Relationship Id="rId752" Type="http://schemas.openxmlformats.org/officeDocument/2006/relationships/hyperlink" Target="http://sports.yahoo.com/nhl/players/3172" TargetMode="External"/><Relationship Id="rId1175" Type="http://schemas.openxmlformats.org/officeDocument/2006/relationships/hyperlink" Target="http://sports.yahoo.com/nhl/teams/ari" TargetMode="External"/><Relationship Id="rId1382" Type="http://schemas.openxmlformats.org/officeDocument/2006/relationships/hyperlink" Target="http://sports.yahoo.com/nhl/players/2953" TargetMode="External"/><Relationship Id="rId1603" Type="http://schemas.openxmlformats.org/officeDocument/2006/relationships/hyperlink" Target="http://sports.yahoo.com/nhl/teams/chi" TargetMode="External"/><Relationship Id="rId184" Type="http://schemas.openxmlformats.org/officeDocument/2006/relationships/hyperlink" Target="http://sports.yahoo.com/nhl/players/4629" TargetMode="External"/><Relationship Id="rId391" Type="http://schemas.openxmlformats.org/officeDocument/2006/relationships/hyperlink" Target="http://sports.yahoo.com/nhl/teams/was" TargetMode="External"/><Relationship Id="rId405" Type="http://schemas.openxmlformats.org/officeDocument/2006/relationships/hyperlink" Target="http://sports.yahoo.com/nhl/teams/det" TargetMode="External"/><Relationship Id="rId612" Type="http://schemas.openxmlformats.org/officeDocument/2006/relationships/hyperlink" Target="http://sports.yahoo.com/nhl/players/3794" TargetMode="External"/><Relationship Id="rId1035" Type="http://schemas.openxmlformats.org/officeDocument/2006/relationships/hyperlink" Target="http://sports.yahoo.com/nhl/teams/njd" TargetMode="External"/><Relationship Id="rId1242" Type="http://schemas.openxmlformats.org/officeDocument/2006/relationships/hyperlink" Target="http://sports.yahoo.com/nhl/players/4391" TargetMode="External"/><Relationship Id="rId1687" Type="http://schemas.openxmlformats.org/officeDocument/2006/relationships/hyperlink" Target="http://sports.yahoo.com/nhl/teams/phi" TargetMode="External"/><Relationship Id="rId251" Type="http://schemas.openxmlformats.org/officeDocument/2006/relationships/hyperlink" Target="http://sports.yahoo.com/nhl/teams/stl" TargetMode="External"/><Relationship Id="rId489" Type="http://schemas.openxmlformats.org/officeDocument/2006/relationships/hyperlink" Target="http://sports.yahoo.com/nhl/teams/pit" TargetMode="External"/><Relationship Id="rId696" Type="http://schemas.openxmlformats.org/officeDocument/2006/relationships/hyperlink" Target="http://sports.yahoo.com/nhl/players/3110" TargetMode="External"/><Relationship Id="rId917" Type="http://schemas.openxmlformats.org/officeDocument/2006/relationships/hyperlink" Target="http://sports.yahoo.com/nhl/teams/pit" TargetMode="External"/><Relationship Id="rId1102" Type="http://schemas.openxmlformats.org/officeDocument/2006/relationships/hyperlink" Target="http://sports.yahoo.com/nhl/players/3926" TargetMode="External"/><Relationship Id="rId1547" Type="http://schemas.openxmlformats.org/officeDocument/2006/relationships/hyperlink" Target="http://sports.yahoo.com/nhl/teams/san" TargetMode="External"/><Relationship Id="rId1754" Type="http://schemas.openxmlformats.org/officeDocument/2006/relationships/hyperlink" Target="http://sports.yahoo.com/nhl/players/4057" TargetMode="External"/><Relationship Id="rId46" Type="http://schemas.openxmlformats.org/officeDocument/2006/relationships/hyperlink" Target="http://sports.yahoo.com/nhl/players/4261" TargetMode="External"/><Relationship Id="rId349" Type="http://schemas.openxmlformats.org/officeDocument/2006/relationships/hyperlink" Target="http://sports.yahoo.com/nhl/teams/dal" TargetMode="External"/><Relationship Id="rId556" Type="http://schemas.openxmlformats.org/officeDocument/2006/relationships/hyperlink" Target="http://sports.yahoo.com/nhl/players/4263" TargetMode="External"/><Relationship Id="rId763" Type="http://schemas.openxmlformats.org/officeDocument/2006/relationships/hyperlink" Target="http://sports.yahoo.com/nhl/teams/was" TargetMode="External"/><Relationship Id="rId1186" Type="http://schemas.openxmlformats.org/officeDocument/2006/relationships/hyperlink" Target="http://sports.yahoo.com/nhl/players/5713" TargetMode="External"/><Relationship Id="rId1393" Type="http://schemas.openxmlformats.org/officeDocument/2006/relationships/hyperlink" Target="http://sports.yahoo.com/nhl/teams/car" TargetMode="External"/><Relationship Id="rId1407" Type="http://schemas.openxmlformats.org/officeDocument/2006/relationships/hyperlink" Target="http://sports.yahoo.com/nhl/teams/njd" TargetMode="External"/><Relationship Id="rId1614" Type="http://schemas.openxmlformats.org/officeDocument/2006/relationships/hyperlink" Target="http://sports.yahoo.com/nhl/players/5142" TargetMode="External"/><Relationship Id="rId111" Type="http://schemas.openxmlformats.org/officeDocument/2006/relationships/hyperlink" Target="http://sports.yahoo.com/nhl/teams/san" TargetMode="External"/><Relationship Id="rId195" Type="http://schemas.openxmlformats.org/officeDocument/2006/relationships/hyperlink" Target="http://sports.yahoo.com/nhl/teams/min" TargetMode="External"/><Relationship Id="rId209" Type="http://schemas.openxmlformats.org/officeDocument/2006/relationships/hyperlink" Target="http://sports.yahoo.com/nhl/teams/ana" TargetMode="External"/><Relationship Id="rId416" Type="http://schemas.openxmlformats.org/officeDocument/2006/relationships/hyperlink" Target="http://sports.yahoo.com/nhl/players/3571" TargetMode="External"/><Relationship Id="rId970" Type="http://schemas.openxmlformats.org/officeDocument/2006/relationships/hyperlink" Target="http://sports.yahoo.com/nhl/players/6578" TargetMode="External"/><Relationship Id="rId1046" Type="http://schemas.openxmlformats.org/officeDocument/2006/relationships/hyperlink" Target="http://sports.yahoo.com/nhl/players/4025" TargetMode="External"/><Relationship Id="rId1253" Type="http://schemas.openxmlformats.org/officeDocument/2006/relationships/hyperlink" Target="http://sports.yahoo.com/nhl/teams/fla" TargetMode="External"/><Relationship Id="rId1698" Type="http://schemas.openxmlformats.org/officeDocument/2006/relationships/hyperlink" Target="http://sports.yahoo.com/nhl/players/4512" TargetMode="External"/><Relationship Id="rId623" Type="http://schemas.openxmlformats.org/officeDocument/2006/relationships/hyperlink" Target="http://sports.yahoo.com/nhl/teams/fla" TargetMode="External"/><Relationship Id="rId830" Type="http://schemas.openxmlformats.org/officeDocument/2006/relationships/hyperlink" Target="http://sports.yahoo.com/nhl/players/5388" TargetMode="External"/><Relationship Id="rId928" Type="http://schemas.openxmlformats.org/officeDocument/2006/relationships/hyperlink" Target="http://sports.yahoo.com/nhl/players/4744" TargetMode="External"/><Relationship Id="rId1460" Type="http://schemas.openxmlformats.org/officeDocument/2006/relationships/hyperlink" Target="http://sports.yahoo.com/nhl/players/5240" TargetMode="External"/><Relationship Id="rId1558" Type="http://schemas.openxmlformats.org/officeDocument/2006/relationships/hyperlink" Target="http://sports.yahoo.com/nhl/players/5973" TargetMode="External"/><Relationship Id="rId1765" Type="http://schemas.openxmlformats.org/officeDocument/2006/relationships/hyperlink" Target="http://sports.yahoo.com/nhl/teams/tam" TargetMode="External"/><Relationship Id="rId57" Type="http://schemas.openxmlformats.org/officeDocument/2006/relationships/hyperlink" Target="http://sports.yahoo.com/nhl/teams/san" TargetMode="External"/><Relationship Id="rId262" Type="http://schemas.openxmlformats.org/officeDocument/2006/relationships/hyperlink" Target="http://sports.yahoo.com/nhl/players/5238" TargetMode="External"/><Relationship Id="rId567" Type="http://schemas.openxmlformats.org/officeDocument/2006/relationships/hyperlink" Target="http://sports.yahoo.com/nhl/teams/min" TargetMode="External"/><Relationship Id="rId1113" Type="http://schemas.openxmlformats.org/officeDocument/2006/relationships/hyperlink" Target="http://sports.yahoo.com/nhl/teams/dal" TargetMode="External"/><Relationship Id="rId1197" Type="http://schemas.openxmlformats.org/officeDocument/2006/relationships/hyperlink" Target="http://sports.yahoo.com/nhl/teams/mon" TargetMode="External"/><Relationship Id="rId1320" Type="http://schemas.openxmlformats.org/officeDocument/2006/relationships/hyperlink" Target="http://sports.yahoo.com/nhl/players/5009" TargetMode="External"/><Relationship Id="rId1418" Type="http://schemas.openxmlformats.org/officeDocument/2006/relationships/hyperlink" Target="http://sports.yahoo.com/nhl/players/5400" TargetMode="External"/><Relationship Id="rId122" Type="http://schemas.openxmlformats.org/officeDocument/2006/relationships/hyperlink" Target="http://sports.yahoo.com/nhl/players/4241" TargetMode="External"/><Relationship Id="rId774" Type="http://schemas.openxmlformats.org/officeDocument/2006/relationships/hyperlink" Target="http://sports.yahoo.com/nhl/players/3472" TargetMode="External"/><Relationship Id="rId981" Type="http://schemas.openxmlformats.org/officeDocument/2006/relationships/hyperlink" Target="http://sports.yahoo.com/nhl/teams/stl" TargetMode="External"/><Relationship Id="rId1057" Type="http://schemas.openxmlformats.org/officeDocument/2006/relationships/hyperlink" Target="http://sports.yahoo.com/nhl/teams/edm" TargetMode="External"/><Relationship Id="rId1625" Type="http://schemas.openxmlformats.org/officeDocument/2006/relationships/hyperlink" Target="http://sports.yahoo.com/nhl/teams/car" TargetMode="External"/><Relationship Id="rId427" Type="http://schemas.openxmlformats.org/officeDocument/2006/relationships/hyperlink" Target="http://sports.yahoo.com/nhl/teams/edm" TargetMode="External"/><Relationship Id="rId634" Type="http://schemas.openxmlformats.org/officeDocument/2006/relationships/hyperlink" Target="http://sports.yahoo.com/nhl/players/3203" TargetMode="External"/><Relationship Id="rId841" Type="http://schemas.openxmlformats.org/officeDocument/2006/relationships/hyperlink" Target="http://sports.yahoo.com/nhl/teams/njd" TargetMode="External"/><Relationship Id="rId1264" Type="http://schemas.openxmlformats.org/officeDocument/2006/relationships/hyperlink" Target="http://sports.yahoo.com/nhl/players/4868" TargetMode="External"/><Relationship Id="rId1471" Type="http://schemas.openxmlformats.org/officeDocument/2006/relationships/hyperlink" Target="http://sports.yahoo.com/nhl/teams/pit" TargetMode="External"/><Relationship Id="rId1569" Type="http://schemas.openxmlformats.org/officeDocument/2006/relationships/hyperlink" Target="http://sports.yahoo.com/nhl/teams/nas" TargetMode="External"/><Relationship Id="rId273" Type="http://schemas.openxmlformats.org/officeDocument/2006/relationships/hyperlink" Target="http://sports.yahoo.com/nhl/teams/bos" TargetMode="External"/><Relationship Id="rId480" Type="http://schemas.openxmlformats.org/officeDocument/2006/relationships/hyperlink" Target="http://sports.yahoo.com/nhl/players/5714" TargetMode="External"/><Relationship Id="rId701" Type="http://schemas.openxmlformats.org/officeDocument/2006/relationships/hyperlink" Target="http://sports.yahoo.com/nhl/teams/edm" TargetMode="External"/><Relationship Id="rId939" Type="http://schemas.openxmlformats.org/officeDocument/2006/relationships/hyperlink" Target="http://sports.yahoo.com/nhl/teams/tor" TargetMode="External"/><Relationship Id="rId1124" Type="http://schemas.openxmlformats.org/officeDocument/2006/relationships/hyperlink" Target="http://sports.yahoo.com/nhl/players/4478" TargetMode="External"/><Relationship Id="rId1331" Type="http://schemas.openxmlformats.org/officeDocument/2006/relationships/hyperlink" Target="http://sports.yahoo.com/nhl/teams/los" TargetMode="External"/><Relationship Id="rId68" Type="http://schemas.openxmlformats.org/officeDocument/2006/relationships/hyperlink" Target="http://sports.yahoo.com/nhl/players/3788" TargetMode="External"/><Relationship Id="rId133" Type="http://schemas.openxmlformats.org/officeDocument/2006/relationships/hyperlink" Target="http://sports.yahoo.com/nhl/teams/col" TargetMode="External"/><Relationship Id="rId340" Type="http://schemas.openxmlformats.org/officeDocument/2006/relationships/hyperlink" Target="http://sports.yahoo.com/nhl/players/5626" TargetMode="External"/><Relationship Id="rId578" Type="http://schemas.openxmlformats.org/officeDocument/2006/relationships/hyperlink" Target="http://sports.yahoo.com/nhl/players/4695" TargetMode="External"/><Relationship Id="rId785" Type="http://schemas.openxmlformats.org/officeDocument/2006/relationships/hyperlink" Target="http://sports.yahoo.com/nhl/teams/tam" TargetMode="External"/><Relationship Id="rId992" Type="http://schemas.openxmlformats.org/officeDocument/2006/relationships/hyperlink" Target="http://sports.yahoo.com/nhl/players/4323" TargetMode="External"/><Relationship Id="rId1429" Type="http://schemas.openxmlformats.org/officeDocument/2006/relationships/hyperlink" Target="http://sports.yahoo.com/nhl/teams/bos" TargetMode="External"/><Relationship Id="rId1636" Type="http://schemas.openxmlformats.org/officeDocument/2006/relationships/hyperlink" Target="http://sports.yahoo.com/nhl/players/5252" TargetMode="External"/><Relationship Id="rId200" Type="http://schemas.openxmlformats.org/officeDocument/2006/relationships/hyperlink" Target="http://sports.yahoo.com/nhl/players/3759" TargetMode="External"/><Relationship Id="rId438" Type="http://schemas.openxmlformats.org/officeDocument/2006/relationships/hyperlink" Target="http://sports.yahoo.com/nhl/players/4275" TargetMode="External"/><Relationship Id="rId645" Type="http://schemas.openxmlformats.org/officeDocument/2006/relationships/hyperlink" Target="http://sports.yahoo.com/nhl/teams/san" TargetMode="External"/><Relationship Id="rId852" Type="http://schemas.openxmlformats.org/officeDocument/2006/relationships/hyperlink" Target="http://sports.yahoo.com/nhl/players/5345" TargetMode="External"/><Relationship Id="rId1068" Type="http://schemas.openxmlformats.org/officeDocument/2006/relationships/hyperlink" Target="http://sports.yahoo.com/nhl/players/3271" TargetMode="External"/><Relationship Id="rId1275" Type="http://schemas.openxmlformats.org/officeDocument/2006/relationships/hyperlink" Target="http://sports.yahoo.com/nhl/teams/cgy" TargetMode="External"/><Relationship Id="rId1482" Type="http://schemas.openxmlformats.org/officeDocument/2006/relationships/hyperlink" Target="http://sports.yahoo.com/nhl/players/3446" TargetMode="External"/><Relationship Id="rId1703" Type="http://schemas.openxmlformats.org/officeDocument/2006/relationships/hyperlink" Target="http://sports.yahoo.com/nhl/teams/nyr" TargetMode="External"/><Relationship Id="rId284" Type="http://schemas.openxmlformats.org/officeDocument/2006/relationships/hyperlink" Target="http://sports.yahoo.com/nhl/players/4245" TargetMode="External"/><Relationship Id="rId491" Type="http://schemas.openxmlformats.org/officeDocument/2006/relationships/hyperlink" Target="http://sports.yahoo.com/nhl/teams/phi" TargetMode="External"/><Relationship Id="rId505" Type="http://schemas.openxmlformats.org/officeDocument/2006/relationships/hyperlink" Target="http://sports.yahoo.com/nhl/teams/dal" TargetMode="External"/><Relationship Id="rId712" Type="http://schemas.openxmlformats.org/officeDocument/2006/relationships/hyperlink" Target="http://sports.yahoo.com/nhl/players/3287" TargetMode="External"/><Relationship Id="rId1135" Type="http://schemas.openxmlformats.org/officeDocument/2006/relationships/hyperlink" Target="http://sports.yahoo.com/nhl/teams/det" TargetMode="External"/><Relationship Id="rId1342" Type="http://schemas.openxmlformats.org/officeDocument/2006/relationships/hyperlink" Target="http://sports.yahoo.com/nhl/players/5601" TargetMode="External"/><Relationship Id="rId79" Type="http://schemas.openxmlformats.org/officeDocument/2006/relationships/hyperlink" Target="http://sports.yahoo.com/nhl/teams/tam" TargetMode="External"/><Relationship Id="rId144" Type="http://schemas.openxmlformats.org/officeDocument/2006/relationships/hyperlink" Target="http://sports.yahoo.com/nhl/players/4992" TargetMode="External"/><Relationship Id="rId589" Type="http://schemas.openxmlformats.org/officeDocument/2006/relationships/hyperlink" Target="http://sports.yahoo.com/nhl/teams/dal" TargetMode="External"/><Relationship Id="rId796" Type="http://schemas.openxmlformats.org/officeDocument/2006/relationships/hyperlink" Target="http://sports.yahoo.com/nhl/players/2528" TargetMode="External"/><Relationship Id="rId1202" Type="http://schemas.openxmlformats.org/officeDocument/2006/relationships/hyperlink" Target="http://sports.yahoo.com/nhl/players/4641" TargetMode="External"/><Relationship Id="rId1647" Type="http://schemas.openxmlformats.org/officeDocument/2006/relationships/hyperlink" Target="http://sports.yahoo.com/nhl/teams/pit" TargetMode="External"/><Relationship Id="rId351" Type="http://schemas.openxmlformats.org/officeDocument/2006/relationships/hyperlink" Target="http://sports.yahoo.com/nhl/teams/was" TargetMode="External"/><Relationship Id="rId449" Type="http://schemas.openxmlformats.org/officeDocument/2006/relationships/hyperlink" Target="http://sports.yahoo.com/nhl/teams/phi" TargetMode="External"/><Relationship Id="rId656" Type="http://schemas.openxmlformats.org/officeDocument/2006/relationships/hyperlink" Target="http://sports.yahoo.com/nhl/players/3417" TargetMode="External"/><Relationship Id="rId863" Type="http://schemas.openxmlformats.org/officeDocument/2006/relationships/hyperlink" Target="http://sports.yahoo.com/nhl/teams/ott" TargetMode="External"/><Relationship Id="rId1079" Type="http://schemas.openxmlformats.org/officeDocument/2006/relationships/hyperlink" Target="http://sports.yahoo.com/nhl/teams/mon" TargetMode="External"/><Relationship Id="rId1286" Type="http://schemas.openxmlformats.org/officeDocument/2006/relationships/hyperlink" Target="http://sports.yahoo.com/nhl/players/3493" TargetMode="External"/><Relationship Id="rId1493" Type="http://schemas.openxmlformats.org/officeDocument/2006/relationships/hyperlink" Target="http://sports.yahoo.com/nhl/teams/was" TargetMode="External"/><Relationship Id="rId1507" Type="http://schemas.openxmlformats.org/officeDocument/2006/relationships/hyperlink" Target="http://sports.yahoo.com/nhl/teams/edm" TargetMode="External"/><Relationship Id="rId1714" Type="http://schemas.openxmlformats.org/officeDocument/2006/relationships/hyperlink" Target="http://sports.yahoo.com/nhl/players/3974" TargetMode="External"/><Relationship Id="rId211" Type="http://schemas.openxmlformats.org/officeDocument/2006/relationships/hyperlink" Target="http://sports.yahoo.com/nhl/teams/fla" TargetMode="External"/><Relationship Id="rId295" Type="http://schemas.openxmlformats.org/officeDocument/2006/relationships/hyperlink" Target="http://sports.yahoo.com/nhl/teams/los" TargetMode="External"/><Relationship Id="rId309" Type="http://schemas.openxmlformats.org/officeDocument/2006/relationships/hyperlink" Target="http://sports.yahoo.com/nhl/teams/pit" TargetMode="External"/><Relationship Id="rId516" Type="http://schemas.openxmlformats.org/officeDocument/2006/relationships/hyperlink" Target="http://sports.yahoo.com/nhl/players/4492" TargetMode="External"/><Relationship Id="rId1146" Type="http://schemas.openxmlformats.org/officeDocument/2006/relationships/hyperlink" Target="http://sports.yahoo.com/nhl/players/4708" TargetMode="External"/><Relationship Id="rId723" Type="http://schemas.openxmlformats.org/officeDocument/2006/relationships/hyperlink" Target="http://sports.yahoo.com/nhl/teams/buf" TargetMode="External"/><Relationship Id="rId930" Type="http://schemas.openxmlformats.org/officeDocument/2006/relationships/hyperlink" Target="http://sports.yahoo.com/nhl/players/4138" TargetMode="External"/><Relationship Id="rId1006" Type="http://schemas.openxmlformats.org/officeDocument/2006/relationships/hyperlink" Target="http://sports.yahoo.com/nhl/players/5261" TargetMode="External"/><Relationship Id="rId1353" Type="http://schemas.openxmlformats.org/officeDocument/2006/relationships/hyperlink" Target="http://sports.yahoo.com/nhl/teams/cob" TargetMode="External"/><Relationship Id="rId1560" Type="http://schemas.openxmlformats.org/officeDocument/2006/relationships/hyperlink" Target="http://sports.yahoo.com/nhl/players/5977" TargetMode="External"/><Relationship Id="rId1658" Type="http://schemas.openxmlformats.org/officeDocument/2006/relationships/hyperlink" Target="http://sports.yahoo.com/nhl/players/5026" TargetMode="External"/><Relationship Id="rId155" Type="http://schemas.openxmlformats.org/officeDocument/2006/relationships/hyperlink" Target="http://sports.yahoo.com/nhl/teams/fla" TargetMode="External"/><Relationship Id="rId362" Type="http://schemas.openxmlformats.org/officeDocument/2006/relationships/hyperlink" Target="http://sports.yahoo.com/nhl/players/4965" TargetMode="External"/><Relationship Id="rId1213" Type="http://schemas.openxmlformats.org/officeDocument/2006/relationships/hyperlink" Target="http://sports.yahoo.com/nhl/teams/car" TargetMode="External"/><Relationship Id="rId1297" Type="http://schemas.openxmlformats.org/officeDocument/2006/relationships/hyperlink" Target="http://sports.yahoo.com/nhl/teams/cgy" TargetMode="External"/><Relationship Id="rId1420" Type="http://schemas.openxmlformats.org/officeDocument/2006/relationships/hyperlink" Target="http://sports.yahoo.com/nhl/players/5399" TargetMode="External"/><Relationship Id="rId1518" Type="http://schemas.openxmlformats.org/officeDocument/2006/relationships/hyperlink" Target="http://sports.yahoo.com/nhl/players/5436" TargetMode="External"/><Relationship Id="rId222" Type="http://schemas.openxmlformats.org/officeDocument/2006/relationships/hyperlink" Target="http://sports.yahoo.com/nhl/players/4502" TargetMode="External"/><Relationship Id="rId667" Type="http://schemas.openxmlformats.org/officeDocument/2006/relationships/hyperlink" Target="http://sports.yahoo.com/nhl/teams/wpg" TargetMode="External"/><Relationship Id="rId874" Type="http://schemas.openxmlformats.org/officeDocument/2006/relationships/hyperlink" Target="http://sports.yahoo.com/nhl/players/4697" TargetMode="External"/><Relationship Id="rId1725" Type="http://schemas.openxmlformats.org/officeDocument/2006/relationships/hyperlink" Target="http://sports.yahoo.com/nhl/teams/tam" TargetMode="External"/><Relationship Id="rId17" Type="http://schemas.openxmlformats.org/officeDocument/2006/relationships/hyperlink" Target="http://sports.yahoo.com/nhl/teams/was" TargetMode="External"/><Relationship Id="rId527" Type="http://schemas.openxmlformats.org/officeDocument/2006/relationships/hyperlink" Target="http://sports.yahoo.com/nhl/teams/pit" TargetMode="External"/><Relationship Id="rId734" Type="http://schemas.openxmlformats.org/officeDocument/2006/relationships/hyperlink" Target="http://sports.yahoo.com/nhl/players/1868" TargetMode="External"/><Relationship Id="rId941" Type="http://schemas.openxmlformats.org/officeDocument/2006/relationships/hyperlink" Target="http://sports.yahoo.com/nhl/teams/det" TargetMode="External"/><Relationship Id="rId1157" Type="http://schemas.openxmlformats.org/officeDocument/2006/relationships/hyperlink" Target="http://sports.yahoo.com/nhl/teams/ott" TargetMode="External"/><Relationship Id="rId1364" Type="http://schemas.openxmlformats.org/officeDocument/2006/relationships/hyperlink" Target="http://sports.yahoo.com/nhl/players/6255" TargetMode="External"/><Relationship Id="rId1571" Type="http://schemas.openxmlformats.org/officeDocument/2006/relationships/hyperlink" Target="http://sports.yahoo.com/nhl/teams/san" TargetMode="External"/><Relationship Id="rId70" Type="http://schemas.openxmlformats.org/officeDocument/2006/relationships/hyperlink" Target="http://sports.yahoo.com/nhl/players/4240" TargetMode="External"/><Relationship Id="rId166" Type="http://schemas.openxmlformats.org/officeDocument/2006/relationships/hyperlink" Target="http://sports.yahoo.com/nhl/players/3885" TargetMode="External"/><Relationship Id="rId373" Type="http://schemas.openxmlformats.org/officeDocument/2006/relationships/hyperlink" Target="http://sports.yahoo.com/nhl/teams/det" TargetMode="External"/><Relationship Id="rId580" Type="http://schemas.openxmlformats.org/officeDocument/2006/relationships/hyperlink" Target="http://sports.yahoo.com/nhl/players/5232" TargetMode="External"/><Relationship Id="rId801" Type="http://schemas.openxmlformats.org/officeDocument/2006/relationships/hyperlink" Target="http://sports.yahoo.com/nhl/teams/njd" TargetMode="External"/><Relationship Id="rId1017" Type="http://schemas.openxmlformats.org/officeDocument/2006/relationships/hyperlink" Target="http://sports.yahoo.com/nhl/teams/ari" TargetMode="External"/><Relationship Id="rId1224" Type="http://schemas.openxmlformats.org/officeDocument/2006/relationships/hyperlink" Target="http://sports.yahoo.com/nhl/players/4945" TargetMode="External"/><Relationship Id="rId1431" Type="http://schemas.openxmlformats.org/officeDocument/2006/relationships/hyperlink" Target="http://sports.yahoo.com/nhl/teams/pit" TargetMode="External"/><Relationship Id="rId1669" Type="http://schemas.openxmlformats.org/officeDocument/2006/relationships/hyperlink" Target="http://sports.yahoo.com/nhl/teams/min" TargetMode="External"/><Relationship Id="rId1" Type="http://schemas.openxmlformats.org/officeDocument/2006/relationships/hyperlink" Target="http://sports.yahoo.com/nhl/stats/byposition?pos=C,RW,LW,D&amp;conference=NHL&amp;year=season_2014&amp;qualified=1&amp;sort=LAST_NAME" TargetMode="External"/><Relationship Id="rId233" Type="http://schemas.openxmlformats.org/officeDocument/2006/relationships/hyperlink" Target="http://sports.yahoo.com/nhl/teams/nyr" TargetMode="External"/><Relationship Id="rId440" Type="http://schemas.openxmlformats.org/officeDocument/2006/relationships/hyperlink" Target="http://sports.yahoo.com/nhl/players/5410" TargetMode="External"/><Relationship Id="rId678" Type="http://schemas.openxmlformats.org/officeDocument/2006/relationships/hyperlink" Target="http://sports.yahoo.com/nhl/players/2939" TargetMode="External"/><Relationship Id="rId885" Type="http://schemas.openxmlformats.org/officeDocument/2006/relationships/hyperlink" Target="http://sports.yahoo.com/nhl/teams/buf" TargetMode="External"/><Relationship Id="rId1070" Type="http://schemas.openxmlformats.org/officeDocument/2006/relationships/hyperlink" Target="http://sports.yahoo.com/nhl/players/5221" TargetMode="External"/><Relationship Id="rId1529" Type="http://schemas.openxmlformats.org/officeDocument/2006/relationships/hyperlink" Target="http://sports.yahoo.com/nhl/teams/bos" TargetMode="External"/><Relationship Id="rId1736" Type="http://schemas.openxmlformats.org/officeDocument/2006/relationships/hyperlink" Target="http://sports.yahoo.com/nhl/players/3976" TargetMode="External"/><Relationship Id="rId28" Type="http://schemas.openxmlformats.org/officeDocument/2006/relationships/hyperlink" Target="http://sports.yahoo.com/nhl/players/4976" TargetMode="External"/><Relationship Id="rId300" Type="http://schemas.openxmlformats.org/officeDocument/2006/relationships/hyperlink" Target="http://sports.yahoo.com/nhl/players/4265" TargetMode="External"/><Relationship Id="rId538" Type="http://schemas.openxmlformats.org/officeDocument/2006/relationships/hyperlink" Target="http://sports.yahoo.com/nhl/players/2786" TargetMode="External"/><Relationship Id="rId745" Type="http://schemas.openxmlformats.org/officeDocument/2006/relationships/hyperlink" Target="http://sports.yahoo.com/nhl/teams/njd" TargetMode="External"/><Relationship Id="rId952" Type="http://schemas.openxmlformats.org/officeDocument/2006/relationships/hyperlink" Target="http://sports.yahoo.com/nhl/players/3995" TargetMode="External"/><Relationship Id="rId1168" Type="http://schemas.openxmlformats.org/officeDocument/2006/relationships/hyperlink" Target="http://sports.yahoo.com/nhl/players/4832" TargetMode="External"/><Relationship Id="rId1375" Type="http://schemas.openxmlformats.org/officeDocument/2006/relationships/hyperlink" Target="http://sports.yahoo.com/nhl/teams/los" TargetMode="External"/><Relationship Id="rId1582" Type="http://schemas.openxmlformats.org/officeDocument/2006/relationships/hyperlink" Target="http://sports.yahoo.com/nhl/players/2415" TargetMode="External"/><Relationship Id="rId81" Type="http://schemas.openxmlformats.org/officeDocument/2006/relationships/hyperlink" Target="http://sports.yahoo.com/nhl/teams/van" TargetMode="External"/><Relationship Id="rId177" Type="http://schemas.openxmlformats.org/officeDocument/2006/relationships/hyperlink" Target="http://sports.yahoo.com/nhl/teams/pit" TargetMode="External"/><Relationship Id="rId384" Type="http://schemas.openxmlformats.org/officeDocument/2006/relationships/hyperlink" Target="http://sports.yahoo.com/nhl/players/3880" TargetMode="External"/><Relationship Id="rId591" Type="http://schemas.openxmlformats.org/officeDocument/2006/relationships/hyperlink" Target="http://sports.yahoo.com/nhl/teams/dal" TargetMode="External"/><Relationship Id="rId605" Type="http://schemas.openxmlformats.org/officeDocument/2006/relationships/hyperlink" Target="http://sports.yahoo.com/nhl/teams/car" TargetMode="External"/><Relationship Id="rId812" Type="http://schemas.openxmlformats.org/officeDocument/2006/relationships/hyperlink" Target="http://sports.yahoo.com/nhl/players/5405" TargetMode="External"/><Relationship Id="rId1028" Type="http://schemas.openxmlformats.org/officeDocument/2006/relationships/hyperlink" Target="http://sports.yahoo.com/nhl/players/2795" TargetMode="External"/><Relationship Id="rId1235" Type="http://schemas.openxmlformats.org/officeDocument/2006/relationships/hyperlink" Target="http://sports.yahoo.com/nhl/teams/cob" TargetMode="External"/><Relationship Id="rId1442" Type="http://schemas.openxmlformats.org/officeDocument/2006/relationships/hyperlink" Target="http://sports.yahoo.com/nhl/players/5933" TargetMode="External"/><Relationship Id="rId244" Type="http://schemas.openxmlformats.org/officeDocument/2006/relationships/hyperlink" Target="http://sports.yahoo.com/nhl/players/4939" TargetMode="External"/><Relationship Id="rId689" Type="http://schemas.openxmlformats.org/officeDocument/2006/relationships/hyperlink" Target="http://sports.yahoo.com/nhl/teams/ari" TargetMode="External"/><Relationship Id="rId896" Type="http://schemas.openxmlformats.org/officeDocument/2006/relationships/hyperlink" Target="http://sports.yahoo.com/nhl/players/3768" TargetMode="External"/><Relationship Id="rId1081" Type="http://schemas.openxmlformats.org/officeDocument/2006/relationships/hyperlink" Target="http://sports.yahoo.com/nhl/teams/chi" TargetMode="External"/><Relationship Id="rId1302" Type="http://schemas.openxmlformats.org/officeDocument/2006/relationships/hyperlink" Target="http://sports.yahoo.com/nhl/players/4759" TargetMode="External"/><Relationship Id="rId1747" Type="http://schemas.openxmlformats.org/officeDocument/2006/relationships/hyperlink" Target="http://sports.yahoo.com/nhl/teams/nas" TargetMode="External"/><Relationship Id="rId39" Type="http://schemas.openxmlformats.org/officeDocument/2006/relationships/hyperlink" Target="http://sports.yahoo.com/nhl/teams/san" TargetMode="External"/><Relationship Id="rId451" Type="http://schemas.openxmlformats.org/officeDocument/2006/relationships/hyperlink" Target="http://sports.yahoo.com/nhl/teams/tam" TargetMode="External"/><Relationship Id="rId549" Type="http://schemas.openxmlformats.org/officeDocument/2006/relationships/hyperlink" Target="http://sports.yahoo.com/nhl/teams/ott" TargetMode="External"/><Relationship Id="rId756" Type="http://schemas.openxmlformats.org/officeDocument/2006/relationships/hyperlink" Target="http://sports.yahoo.com/nhl/players/2530" TargetMode="External"/><Relationship Id="rId1179" Type="http://schemas.openxmlformats.org/officeDocument/2006/relationships/hyperlink" Target="http://sports.yahoo.com/nhl/teams/bos" TargetMode="External"/><Relationship Id="rId1386" Type="http://schemas.openxmlformats.org/officeDocument/2006/relationships/hyperlink" Target="http://sports.yahoo.com/nhl/players/5117" TargetMode="External"/><Relationship Id="rId1593" Type="http://schemas.openxmlformats.org/officeDocument/2006/relationships/hyperlink" Target="http://sports.yahoo.com/nhl/teams/fla" TargetMode="External"/><Relationship Id="rId1607" Type="http://schemas.openxmlformats.org/officeDocument/2006/relationships/hyperlink" Target="http://sports.yahoo.com/nhl/teams/car" TargetMode="External"/><Relationship Id="rId104" Type="http://schemas.openxmlformats.org/officeDocument/2006/relationships/hyperlink" Target="http://sports.yahoo.com/nhl/players/2418" TargetMode="External"/><Relationship Id="rId188" Type="http://schemas.openxmlformats.org/officeDocument/2006/relationships/hyperlink" Target="http://sports.yahoo.com/nhl/players/5368" TargetMode="External"/><Relationship Id="rId311" Type="http://schemas.openxmlformats.org/officeDocument/2006/relationships/hyperlink" Target="http://sports.yahoo.com/nhl/teams/cob" TargetMode="External"/><Relationship Id="rId395" Type="http://schemas.openxmlformats.org/officeDocument/2006/relationships/hyperlink" Target="http://sports.yahoo.com/nhl/teams/min" TargetMode="External"/><Relationship Id="rId409" Type="http://schemas.openxmlformats.org/officeDocument/2006/relationships/hyperlink" Target="http://sports.yahoo.com/nhl/teams/njd" TargetMode="External"/><Relationship Id="rId963" Type="http://schemas.openxmlformats.org/officeDocument/2006/relationships/hyperlink" Target="http://sports.yahoo.com/nhl/teams/det" TargetMode="External"/><Relationship Id="rId1039" Type="http://schemas.openxmlformats.org/officeDocument/2006/relationships/hyperlink" Target="http://sports.yahoo.com/nhl/teams/stl" TargetMode="External"/><Relationship Id="rId1246" Type="http://schemas.openxmlformats.org/officeDocument/2006/relationships/hyperlink" Target="http://sports.yahoo.com/nhl/players/5184" TargetMode="External"/><Relationship Id="rId92" Type="http://schemas.openxmlformats.org/officeDocument/2006/relationships/hyperlink" Target="http://sports.yahoo.com/nhl/players/2900" TargetMode="External"/><Relationship Id="rId616" Type="http://schemas.openxmlformats.org/officeDocument/2006/relationships/hyperlink" Target="http://sports.yahoo.com/nhl/players/6361" TargetMode="External"/><Relationship Id="rId823" Type="http://schemas.openxmlformats.org/officeDocument/2006/relationships/hyperlink" Target="http://sports.yahoo.com/nhl/teams/nas" TargetMode="External"/><Relationship Id="rId1453" Type="http://schemas.openxmlformats.org/officeDocument/2006/relationships/hyperlink" Target="http://sports.yahoo.com/nhl/teams/stl" TargetMode="External"/><Relationship Id="rId1660" Type="http://schemas.openxmlformats.org/officeDocument/2006/relationships/hyperlink" Target="http://sports.yahoo.com/nhl/players/5387" TargetMode="External"/><Relationship Id="rId1758" Type="http://schemas.openxmlformats.org/officeDocument/2006/relationships/hyperlink" Target="http://sports.yahoo.com/nhl/players/5707" TargetMode="External"/><Relationship Id="rId255" Type="http://schemas.openxmlformats.org/officeDocument/2006/relationships/hyperlink" Target="http://sports.yahoo.com/nhl/teams/fla" TargetMode="External"/><Relationship Id="rId462" Type="http://schemas.openxmlformats.org/officeDocument/2006/relationships/hyperlink" Target="http://sports.yahoo.com/nhl/players/3898" TargetMode="External"/><Relationship Id="rId1092" Type="http://schemas.openxmlformats.org/officeDocument/2006/relationships/hyperlink" Target="http://sports.yahoo.com/nhl/players/4895" TargetMode="External"/><Relationship Id="rId1106" Type="http://schemas.openxmlformats.org/officeDocument/2006/relationships/hyperlink" Target="http://sports.yahoo.com/nhl/players/4689" TargetMode="External"/><Relationship Id="rId1313" Type="http://schemas.openxmlformats.org/officeDocument/2006/relationships/hyperlink" Target="http://sports.yahoo.com/nhl/teams/ott" TargetMode="External"/><Relationship Id="rId1397" Type="http://schemas.openxmlformats.org/officeDocument/2006/relationships/hyperlink" Target="http://sports.yahoo.com/nhl/teams/tam" TargetMode="External"/><Relationship Id="rId1520" Type="http://schemas.openxmlformats.org/officeDocument/2006/relationships/hyperlink" Target="http://sports.yahoo.com/nhl/players/6397" TargetMode="External"/><Relationship Id="rId115" Type="http://schemas.openxmlformats.org/officeDocument/2006/relationships/hyperlink" Target="http://sports.yahoo.com/nhl/teams/col" TargetMode="External"/><Relationship Id="rId322" Type="http://schemas.openxmlformats.org/officeDocument/2006/relationships/hyperlink" Target="http://sports.yahoo.com/nhl/players/4969" TargetMode="External"/><Relationship Id="rId767" Type="http://schemas.openxmlformats.org/officeDocument/2006/relationships/hyperlink" Target="http://sports.yahoo.com/nhl/teams/nyr" TargetMode="External"/><Relationship Id="rId974" Type="http://schemas.openxmlformats.org/officeDocument/2006/relationships/hyperlink" Target="http://sports.yahoo.com/nhl/players/6190" TargetMode="External"/><Relationship Id="rId1618" Type="http://schemas.openxmlformats.org/officeDocument/2006/relationships/hyperlink" Target="http://sports.yahoo.com/nhl/players/2753" TargetMode="External"/><Relationship Id="rId199" Type="http://schemas.openxmlformats.org/officeDocument/2006/relationships/hyperlink" Target="http://sports.yahoo.com/nhl/teams/cgy" TargetMode="External"/><Relationship Id="rId627" Type="http://schemas.openxmlformats.org/officeDocument/2006/relationships/hyperlink" Target="http://sports.yahoo.com/nhl/teams/wpg" TargetMode="External"/><Relationship Id="rId834" Type="http://schemas.openxmlformats.org/officeDocument/2006/relationships/hyperlink" Target="http://sports.yahoo.com/nhl/players/5710" TargetMode="External"/><Relationship Id="rId1257" Type="http://schemas.openxmlformats.org/officeDocument/2006/relationships/hyperlink" Target="http://sports.yahoo.com/nhl/teams/cob" TargetMode="External"/><Relationship Id="rId1464" Type="http://schemas.openxmlformats.org/officeDocument/2006/relationships/hyperlink" Target="http://sports.yahoo.com/nhl/players/6001" TargetMode="External"/><Relationship Id="rId1671" Type="http://schemas.openxmlformats.org/officeDocument/2006/relationships/hyperlink" Target="http://sports.yahoo.com/nhl/teams/cob" TargetMode="External"/><Relationship Id="rId266" Type="http://schemas.openxmlformats.org/officeDocument/2006/relationships/hyperlink" Target="http://sports.yahoo.com/nhl/players/3041" TargetMode="External"/><Relationship Id="rId473" Type="http://schemas.openxmlformats.org/officeDocument/2006/relationships/hyperlink" Target="http://sports.yahoo.com/nhl/teams/min" TargetMode="External"/><Relationship Id="rId680" Type="http://schemas.openxmlformats.org/officeDocument/2006/relationships/hyperlink" Target="http://sports.yahoo.com/nhl/players/4537" TargetMode="External"/><Relationship Id="rId901" Type="http://schemas.openxmlformats.org/officeDocument/2006/relationships/hyperlink" Target="http://sports.yahoo.com/nhl/teams/phi" TargetMode="External"/><Relationship Id="rId1117" Type="http://schemas.openxmlformats.org/officeDocument/2006/relationships/hyperlink" Target="http://sports.yahoo.com/nhl/teams/cob" TargetMode="External"/><Relationship Id="rId1324" Type="http://schemas.openxmlformats.org/officeDocument/2006/relationships/hyperlink" Target="http://sports.yahoo.com/nhl/players/3944" TargetMode="External"/><Relationship Id="rId1531" Type="http://schemas.openxmlformats.org/officeDocument/2006/relationships/hyperlink" Target="http://sports.yahoo.com/nhl/teams/wpg" TargetMode="External"/><Relationship Id="rId1769" Type="http://schemas.openxmlformats.org/officeDocument/2006/relationships/hyperlink" Target="http://sports.yahoo.com/nhl/teams/buf" TargetMode="External"/><Relationship Id="rId30" Type="http://schemas.openxmlformats.org/officeDocument/2006/relationships/hyperlink" Target="http://sports.yahoo.com/nhl/players/2103" TargetMode="External"/><Relationship Id="rId126" Type="http://schemas.openxmlformats.org/officeDocument/2006/relationships/hyperlink" Target="http://sports.yahoo.com/nhl/players/4792" TargetMode="External"/><Relationship Id="rId333" Type="http://schemas.openxmlformats.org/officeDocument/2006/relationships/hyperlink" Target="http://sports.yahoo.com/nhl/teams/tam" TargetMode="External"/><Relationship Id="rId540" Type="http://schemas.openxmlformats.org/officeDocument/2006/relationships/hyperlink" Target="http://sports.yahoo.com/nhl/players/4005" TargetMode="External"/><Relationship Id="rId778" Type="http://schemas.openxmlformats.org/officeDocument/2006/relationships/hyperlink" Target="http://sports.yahoo.com/nhl/players/5018" TargetMode="External"/><Relationship Id="rId985" Type="http://schemas.openxmlformats.org/officeDocument/2006/relationships/hyperlink" Target="http://sports.yahoo.com/nhl/teams/bos" TargetMode="External"/><Relationship Id="rId1170" Type="http://schemas.openxmlformats.org/officeDocument/2006/relationships/hyperlink" Target="http://sports.yahoo.com/nhl/players/1781" TargetMode="External"/><Relationship Id="rId1629" Type="http://schemas.openxmlformats.org/officeDocument/2006/relationships/hyperlink" Target="http://sports.yahoo.com/nhl/teams/cob" TargetMode="External"/><Relationship Id="rId638" Type="http://schemas.openxmlformats.org/officeDocument/2006/relationships/hyperlink" Target="http://sports.yahoo.com/nhl/players/5376" TargetMode="External"/><Relationship Id="rId845" Type="http://schemas.openxmlformats.org/officeDocument/2006/relationships/hyperlink" Target="http://sports.yahoo.com/nhl/teams/phi" TargetMode="External"/><Relationship Id="rId1030" Type="http://schemas.openxmlformats.org/officeDocument/2006/relationships/hyperlink" Target="http://sports.yahoo.com/nhl/players/4828" TargetMode="External"/><Relationship Id="rId1268" Type="http://schemas.openxmlformats.org/officeDocument/2006/relationships/hyperlink" Target="http://sports.yahoo.com/nhl/players/2130" TargetMode="External"/><Relationship Id="rId1475" Type="http://schemas.openxmlformats.org/officeDocument/2006/relationships/hyperlink" Target="http://sports.yahoo.com/nhl/teams/ana" TargetMode="External"/><Relationship Id="rId1682" Type="http://schemas.openxmlformats.org/officeDocument/2006/relationships/hyperlink" Target="http://sports.yahoo.com/nhl/players/4567" TargetMode="External"/><Relationship Id="rId277" Type="http://schemas.openxmlformats.org/officeDocument/2006/relationships/hyperlink" Target="http://sports.yahoo.com/nhl/teams/njd" TargetMode="External"/><Relationship Id="rId400" Type="http://schemas.openxmlformats.org/officeDocument/2006/relationships/hyperlink" Target="http://sports.yahoo.com/nhl/players/3781" TargetMode="External"/><Relationship Id="rId484" Type="http://schemas.openxmlformats.org/officeDocument/2006/relationships/hyperlink" Target="http://sports.yahoo.com/nhl/players/3352" TargetMode="External"/><Relationship Id="rId705" Type="http://schemas.openxmlformats.org/officeDocument/2006/relationships/hyperlink" Target="http://sports.yahoo.com/nhl/teams/was" TargetMode="External"/><Relationship Id="rId1128" Type="http://schemas.openxmlformats.org/officeDocument/2006/relationships/hyperlink" Target="http://sports.yahoo.com/nhl/players/2121" TargetMode="External"/><Relationship Id="rId1335" Type="http://schemas.openxmlformats.org/officeDocument/2006/relationships/hyperlink" Target="http://sports.yahoo.com/nhl/teams/det" TargetMode="External"/><Relationship Id="rId1542" Type="http://schemas.openxmlformats.org/officeDocument/2006/relationships/hyperlink" Target="http://sports.yahoo.com/nhl/players/6340" TargetMode="External"/><Relationship Id="rId137" Type="http://schemas.openxmlformats.org/officeDocument/2006/relationships/hyperlink" Target="http://sports.yahoo.com/nhl/teams/ana" TargetMode="External"/><Relationship Id="rId344" Type="http://schemas.openxmlformats.org/officeDocument/2006/relationships/hyperlink" Target="http://sports.yahoo.com/nhl/players/3345" TargetMode="External"/><Relationship Id="rId691" Type="http://schemas.openxmlformats.org/officeDocument/2006/relationships/hyperlink" Target="http://sports.yahoo.com/nhl/teams/cob" TargetMode="External"/><Relationship Id="rId789" Type="http://schemas.openxmlformats.org/officeDocument/2006/relationships/hyperlink" Target="http://sports.yahoo.com/nhl/teams/det" TargetMode="External"/><Relationship Id="rId912" Type="http://schemas.openxmlformats.org/officeDocument/2006/relationships/hyperlink" Target="http://sports.yahoo.com/nhl/players/3895" TargetMode="External"/><Relationship Id="rId996" Type="http://schemas.openxmlformats.org/officeDocument/2006/relationships/hyperlink" Target="http://sports.yahoo.com/nhl/players/4692" TargetMode="External"/><Relationship Id="rId41" Type="http://schemas.openxmlformats.org/officeDocument/2006/relationships/hyperlink" Target="http://sports.yahoo.com/nhl/teams/pit" TargetMode="External"/><Relationship Id="rId551" Type="http://schemas.openxmlformats.org/officeDocument/2006/relationships/hyperlink" Target="http://sports.yahoo.com/nhl/teams/san" TargetMode="External"/><Relationship Id="rId649" Type="http://schemas.openxmlformats.org/officeDocument/2006/relationships/hyperlink" Target="http://sports.yahoo.com/nhl/teams/ana" TargetMode="External"/><Relationship Id="rId856" Type="http://schemas.openxmlformats.org/officeDocument/2006/relationships/hyperlink" Target="http://sports.yahoo.com/nhl/players/5312" TargetMode="External"/><Relationship Id="rId1181" Type="http://schemas.openxmlformats.org/officeDocument/2006/relationships/hyperlink" Target="http://sports.yahoo.com/nhl/teams/col" TargetMode="External"/><Relationship Id="rId1279" Type="http://schemas.openxmlformats.org/officeDocument/2006/relationships/hyperlink" Target="http://sports.yahoo.com/nhl/teams/van" TargetMode="External"/><Relationship Id="rId1402" Type="http://schemas.openxmlformats.org/officeDocument/2006/relationships/hyperlink" Target="http://sports.yahoo.com/nhl/players/5936" TargetMode="External"/><Relationship Id="rId1486" Type="http://schemas.openxmlformats.org/officeDocument/2006/relationships/hyperlink" Target="http://sports.yahoo.com/nhl/players/3108" TargetMode="External"/><Relationship Id="rId1707" Type="http://schemas.openxmlformats.org/officeDocument/2006/relationships/hyperlink" Target="http://sports.yahoo.com/nhl/teams/tam" TargetMode="External"/><Relationship Id="rId190" Type="http://schemas.openxmlformats.org/officeDocument/2006/relationships/hyperlink" Target="http://sports.yahoo.com/nhl/players/5010" TargetMode="External"/><Relationship Id="rId204" Type="http://schemas.openxmlformats.org/officeDocument/2006/relationships/hyperlink" Target="http://sports.yahoo.com/nhl/players/5120" TargetMode="External"/><Relationship Id="rId288" Type="http://schemas.openxmlformats.org/officeDocument/2006/relationships/hyperlink" Target="http://sports.yahoo.com/nhl/players/4383" TargetMode="External"/><Relationship Id="rId411" Type="http://schemas.openxmlformats.org/officeDocument/2006/relationships/hyperlink" Target="http://sports.yahoo.com/nhl/teams/ott" TargetMode="External"/><Relationship Id="rId509" Type="http://schemas.openxmlformats.org/officeDocument/2006/relationships/hyperlink" Target="http://sports.yahoo.com/nhl/teams/ana" TargetMode="External"/><Relationship Id="rId1041" Type="http://schemas.openxmlformats.org/officeDocument/2006/relationships/hyperlink" Target="http://sports.yahoo.com/nhl/teams/bos" TargetMode="External"/><Relationship Id="rId1139" Type="http://schemas.openxmlformats.org/officeDocument/2006/relationships/hyperlink" Target="http://sports.yahoo.com/nhl/teams/fla" TargetMode="External"/><Relationship Id="rId1346" Type="http://schemas.openxmlformats.org/officeDocument/2006/relationships/hyperlink" Target="http://sports.yahoo.com/nhl/players/5613" TargetMode="External"/><Relationship Id="rId1693" Type="http://schemas.openxmlformats.org/officeDocument/2006/relationships/hyperlink" Target="http://sports.yahoo.com/nhl/teams/ana" TargetMode="External"/><Relationship Id="rId495" Type="http://schemas.openxmlformats.org/officeDocument/2006/relationships/hyperlink" Target="http://sports.yahoo.com/nhl/teams/tam" TargetMode="External"/><Relationship Id="rId716" Type="http://schemas.openxmlformats.org/officeDocument/2006/relationships/hyperlink" Target="http://sports.yahoo.com/nhl/players/4935" TargetMode="External"/><Relationship Id="rId923" Type="http://schemas.openxmlformats.org/officeDocument/2006/relationships/hyperlink" Target="http://sports.yahoo.com/nhl/teams/nas" TargetMode="External"/><Relationship Id="rId1553" Type="http://schemas.openxmlformats.org/officeDocument/2006/relationships/hyperlink" Target="http://sports.yahoo.com/nhl/teams/van" TargetMode="External"/><Relationship Id="rId1760" Type="http://schemas.openxmlformats.org/officeDocument/2006/relationships/hyperlink" Target="http://sports.yahoo.com/nhl/players/5266" TargetMode="External"/><Relationship Id="rId52" Type="http://schemas.openxmlformats.org/officeDocument/2006/relationships/hyperlink" Target="http://sports.yahoo.com/nhl/players/3981" TargetMode="External"/><Relationship Id="rId148" Type="http://schemas.openxmlformats.org/officeDocument/2006/relationships/hyperlink" Target="http://sports.yahoo.com/nhl/players/3776" TargetMode="External"/><Relationship Id="rId355" Type="http://schemas.openxmlformats.org/officeDocument/2006/relationships/hyperlink" Target="http://sports.yahoo.com/nhl/teams/nyi" TargetMode="External"/><Relationship Id="rId562" Type="http://schemas.openxmlformats.org/officeDocument/2006/relationships/hyperlink" Target="http://sports.yahoo.com/nhl/players/3692" TargetMode="External"/><Relationship Id="rId1192" Type="http://schemas.openxmlformats.org/officeDocument/2006/relationships/hyperlink" Target="http://sports.yahoo.com/nhl/players/5374" TargetMode="External"/><Relationship Id="rId1206" Type="http://schemas.openxmlformats.org/officeDocument/2006/relationships/hyperlink" Target="http://sports.yahoo.com/nhl/players/4310" TargetMode="External"/><Relationship Id="rId1413" Type="http://schemas.openxmlformats.org/officeDocument/2006/relationships/hyperlink" Target="http://sports.yahoo.com/nhl/teams/col" TargetMode="External"/><Relationship Id="rId1620" Type="http://schemas.openxmlformats.org/officeDocument/2006/relationships/hyperlink" Target="http://sports.yahoo.com/nhl/players/3565" TargetMode="External"/><Relationship Id="rId215" Type="http://schemas.openxmlformats.org/officeDocument/2006/relationships/hyperlink" Target="http://sports.yahoo.com/nhl/teams/los" TargetMode="External"/><Relationship Id="rId422" Type="http://schemas.openxmlformats.org/officeDocument/2006/relationships/hyperlink" Target="http://sports.yahoo.com/nhl/players/4352" TargetMode="External"/><Relationship Id="rId867" Type="http://schemas.openxmlformats.org/officeDocument/2006/relationships/hyperlink" Target="http://sports.yahoo.com/nhl/teams/col" TargetMode="External"/><Relationship Id="rId1052" Type="http://schemas.openxmlformats.org/officeDocument/2006/relationships/hyperlink" Target="http://sports.yahoo.com/nhl/players/5251" TargetMode="External"/><Relationship Id="rId1497" Type="http://schemas.openxmlformats.org/officeDocument/2006/relationships/hyperlink" Target="http://sports.yahoo.com/nhl/teams/njd" TargetMode="External"/><Relationship Id="rId1718" Type="http://schemas.openxmlformats.org/officeDocument/2006/relationships/hyperlink" Target="http://sports.yahoo.com/nhl/players/5819" TargetMode="External"/><Relationship Id="rId299" Type="http://schemas.openxmlformats.org/officeDocument/2006/relationships/hyperlink" Target="http://sports.yahoo.com/nhl/teams/los" TargetMode="External"/><Relationship Id="rId727" Type="http://schemas.openxmlformats.org/officeDocument/2006/relationships/hyperlink" Target="http://sports.yahoo.com/nhl/teams/car" TargetMode="External"/><Relationship Id="rId934" Type="http://schemas.openxmlformats.org/officeDocument/2006/relationships/hyperlink" Target="http://sports.yahoo.com/nhl/players/3796" TargetMode="External"/><Relationship Id="rId1357" Type="http://schemas.openxmlformats.org/officeDocument/2006/relationships/hyperlink" Target="http://sports.yahoo.com/nhl/teams/ott" TargetMode="External"/><Relationship Id="rId1564" Type="http://schemas.openxmlformats.org/officeDocument/2006/relationships/hyperlink" Target="http://sports.yahoo.com/nhl/players/6718" TargetMode="External"/><Relationship Id="rId63" Type="http://schemas.openxmlformats.org/officeDocument/2006/relationships/hyperlink" Target="http://sports.yahoo.com/nhl/teams/tam" TargetMode="External"/><Relationship Id="rId159" Type="http://schemas.openxmlformats.org/officeDocument/2006/relationships/hyperlink" Target="http://sports.yahoo.com/nhl/teams/pit" TargetMode="External"/><Relationship Id="rId366" Type="http://schemas.openxmlformats.org/officeDocument/2006/relationships/hyperlink" Target="http://sports.yahoo.com/nhl/players/1354" TargetMode="External"/><Relationship Id="rId573" Type="http://schemas.openxmlformats.org/officeDocument/2006/relationships/hyperlink" Target="http://sports.yahoo.com/nhl/teams/nyr" TargetMode="External"/><Relationship Id="rId780" Type="http://schemas.openxmlformats.org/officeDocument/2006/relationships/hyperlink" Target="http://sports.yahoo.com/nhl/players/5976" TargetMode="External"/><Relationship Id="rId1217" Type="http://schemas.openxmlformats.org/officeDocument/2006/relationships/hyperlink" Target="http://sports.yahoo.com/nhl/teams/phi" TargetMode="External"/><Relationship Id="rId1424" Type="http://schemas.openxmlformats.org/officeDocument/2006/relationships/hyperlink" Target="http://sports.yahoo.com/nhl/players/4982" TargetMode="External"/><Relationship Id="rId1631" Type="http://schemas.openxmlformats.org/officeDocument/2006/relationships/hyperlink" Target="http://sports.yahoo.com/nhl/teams/edm" TargetMode="External"/><Relationship Id="rId226" Type="http://schemas.openxmlformats.org/officeDocument/2006/relationships/hyperlink" Target="http://sports.yahoo.com/nhl/players/5683" TargetMode="External"/><Relationship Id="rId433" Type="http://schemas.openxmlformats.org/officeDocument/2006/relationships/hyperlink" Target="http://sports.yahoo.com/nhl/teams/nyi" TargetMode="External"/><Relationship Id="rId878" Type="http://schemas.openxmlformats.org/officeDocument/2006/relationships/hyperlink" Target="http://sports.yahoo.com/nhl/players/3411" TargetMode="External"/><Relationship Id="rId1063" Type="http://schemas.openxmlformats.org/officeDocument/2006/relationships/hyperlink" Target="http://sports.yahoo.com/nhl/teams/tor" TargetMode="External"/><Relationship Id="rId1270" Type="http://schemas.openxmlformats.org/officeDocument/2006/relationships/hyperlink" Target="http://sports.yahoo.com/nhl/players/3949" TargetMode="External"/><Relationship Id="rId1729" Type="http://schemas.openxmlformats.org/officeDocument/2006/relationships/hyperlink" Target="http://sports.yahoo.com/nhl/teams/los" TargetMode="External"/><Relationship Id="rId640" Type="http://schemas.openxmlformats.org/officeDocument/2006/relationships/hyperlink" Target="http://sports.yahoo.com/nhl/players/4710" TargetMode="External"/><Relationship Id="rId738" Type="http://schemas.openxmlformats.org/officeDocument/2006/relationships/hyperlink" Target="http://sports.yahoo.com/nhl/players/5295" TargetMode="External"/><Relationship Id="rId945" Type="http://schemas.openxmlformats.org/officeDocument/2006/relationships/hyperlink" Target="http://sports.yahoo.com/nhl/teams/edm" TargetMode="External"/><Relationship Id="rId1368" Type="http://schemas.openxmlformats.org/officeDocument/2006/relationships/hyperlink" Target="http://sports.yahoo.com/nhl/players/5570" TargetMode="External"/><Relationship Id="rId1575" Type="http://schemas.openxmlformats.org/officeDocument/2006/relationships/hyperlink" Target="http://sports.yahoo.com/nhl/teams/tor" TargetMode="External"/><Relationship Id="rId74" Type="http://schemas.openxmlformats.org/officeDocument/2006/relationships/hyperlink" Target="http://sports.yahoo.com/nhl/players/4498" TargetMode="External"/><Relationship Id="rId377" Type="http://schemas.openxmlformats.org/officeDocument/2006/relationships/hyperlink" Target="http://sports.yahoo.com/nhl/teams/min" TargetMode="External"/><Relationship Id="rId500" Type="http://schemas.openxmlformats.org/officeDocument/2006/relationships/hyperlink" Target="http://sports.yahoo.com/nhl/players/3347" TargetMode="External"/><Relationship Id="rId584" Type="http://schemas.openxmlformats.org/officeDocument/2006/relationships/hyperlink" Target="http://sports.yahoo.com/nhl/players/4153" TargetMode="External"/><Relationship Id="rId805" Type="http://schemas.openxmlformats.org/officeDocument/2006/relationships/hyperlink" Target="http://sports.yahoo.com/nhl/teams/mon" TargetMode="External"/><Relationship Id="rId1130" Type="http://schemas.openxmlformats.org/officeDocument/2006/relationships/hyperlink" Target="http://sports.yahoo.com/nhl/players/5190" TargetMode="External"/><Relationship Id="rId1228" Type="http://schemas.openxmlformats.org/officeDocument/2006/relationships/hyperlink" Target="http://sports.yahoo.com/nhl/players/4148" TargetMode="External"/><Relationship Id="rId1435" Type="http://schemas.openxmlformats.org/officeDocument/2006/relationships/hyperlink" Target="http://sports.yahoo.com/nhl/teams/wpg" TargetMode="External"/><Relationship Id="rId5" Type="http://schemas.openxmlformats.org/officeDocument/2006/relationships/hyperlink" Target="http://sports.yahoo.com/nhl/stats/byposition?pos=C,RW,LW,D&amp;conference=NHL&amp;year=season_2014&amp;qualified=1&amp;sort=2" TargetMode="External"/><Relationship Id="rId237" Type="http://schemas.openxmlformats.org/officeDocument/2006/relationships/hyperlink" Target="http://sports.yahoo.com/nhl/teams/chi" TargetMode="External"/><Relationship Id="rId791" Type="http://schemas.openxmlformats.org/officeDocument/2006/relationships/hyperlink" Target="http://sports.yahoo.com/nhl/teams/nas" TargetMode="External"/><Relationship Id="rId889" Type="http://schemas.openxmlformats.org/officeDocument/2006/relationships/hyperlink" Target="http://sports.yahoo.com/nhl/teams/van" TargetMode="External"/><Relationship Id="rId1074" Type="http://schemas.openxmlformats.org/officeDocument/2006/relationships/hyperlink" Target="http://sports.yahoo.com/nhl/players/5641" TargetMode="External"/><Relationship Id="rId1642" Type="http://schemas.openxmlformats.org/officeDocument/2006/relationships/hyperlink" Target="http://sports.yahoo.com/nhl/players/5397" TargetMode="External"/><Relationship Id="rId444" Type="http://schemas.openxmlformats.org/officeDocument/2006/relationships/hyperlink" Target="http://sports.yahoo.com/nhl/players/4251" TargetMode="External"/><Relationship Id="rId651" Type="http://schemas.openxmlformats.org/officeDocument/2006/relationships/hyperlink" Target="http://sports.yahoo.com/nhl/teams/wpg" TargetMode="External"/><Relationship Id="rId749" Type="http://schemas.openxmlformats.org/officeDocument/2006/relationships/hyperlink" Target="http://sports.yahoo.com/nhl/teams/tam" TargetMode="External"/><Relationship Id="rId1281" Type="http://schemas.openxmlformats.org/officeDocument/2006/relationships/hyperlink" Target="http://sports.yahoo.com/nhl/teams/bos" TargetMode="External"/><Relationship Id="rId1379" Type="http://schemas.openxmlformats.org/officeDocument/2006/relationships/hyperlink" Target="http://sports.yahoo.com/nhl/teams/det" TargetMode="External"/><Relationship Id="rId1502" Type="http://schemas.openxmlformats.org/officeDocument/2006/relationships/hyperlink" Target="http://sports.yahoo.com/nhl/players/5452" TargetMode="External"/><Relationship Id="rId1586" Type="http://schemas.openxmlformats.org/officeDocument/2006/relationships/hyperlink" Target="http://sports.yahoo.com/nhl/players/3666" TargetMode="External"/><Relationship Id="rId290" Type="http://schemas.openxmlformats.org/officeDocument/2006/relationships/hyperlink" Target="http://sports.yahoo.com/nhl/players/5928" TargetMode="External"/><Relationship Id="rId304" Type="http://schemas.openxmlformats.org/officeDocument/2006/relationships/hyperlink" Target="http://sports.yahoo.com/nhl/players/5639" TargetMode="External"/><Relationship Id="rId388" Type="http://schemas.openxmlformats.org/officeDocument/2006/relationships/hyperlink" Target="http://sports.yahoo.com/nhl/players/4959" TargetMode="External"/><Relationship Id="rId511" Type="http://schemas.openxmlformats.org/officeDocument/2006/relationships/hyperlink" Target="http://sports.yahoo.com/nhl/teams/mon" TargetMode="External"/><Relationship Id="rId609" Type="http://schemas.openxmlformats.org/officeDocument/2006/relationships/hyperlink" Target="http://sports.yahoo.com/nhl/teams/tor" TargetMode="External"/><Relationship Id="rId956" Type="http://schemas.openxmlformats.org/officeDocument/2006/relationships/hyperlink" Target="http://sports.yahoo.com/nhl/players/1949" TargetMode="External"/><Relationship Id="rId1141" Type="http://schemas.openxmlformats.org/officeDocument/2006/relationships/hyperlink" Target="http://sports.yahoo.com/nhl/teams/det" TargetMode="External"/><Relationship Id="rId1239" Type="http://schemas.openxmlformats.org/officeDocument/2006/relationships/hyperlink" Target="http://sports.yahoo.com/nhl/teams/buf" TargetMode="External"/><Relationship Id="rId85" Type="http://schemas.openxmlformats.org/officeDocument/2006/relationships/hyperlink" Target="http://sports.yahoo.com/nhl/teams/wpg" TargetMode="External"/><Relationship Id="rId150" Type="http://schemas.openxmlformats.org/officeDocument/2006/relationships/hyperlink" Target="http://sports.yahoo.com/nhl/players/2994" TargetMode="External"/><Relationship Id="rId595" Type="http://schemas.openxmlformats.org/officeDocument/2006/relationships/hyperlink" Target="http://sports.yahoo.com/nhl/teams/det" TargetMode="External"/><Relationship Id="rId816" Type="http://schemas.openxmlformats.org/officeDocument/2006/relationships/hyperlink" Target="http://sports.yahoo.com/nhl/players/5371" TargetMode="External"/><Relationship Id="rId1001" Type="http://schemas.openxmlformats.org/officeDocument/2006/relationships/hyperlink" Target="http://sports.yahoo.com/nhl/teams/phi" TargetMode="External"/><Relationship Id="rId1446" Type="http://schemas.openxmlformats.org/officeDocument/2006/relationships/hyperlink" Target="http://sports.yahoo.com/nhl/players/4891" TargetMode="External"/><Relationship Id="rId1653" Type="http://schemas.openxmlformats.org/officeDocument/2006/relationships/hyperlink" Target="http://sports.yahoo.com/nhl/teams/mon" TargetMode="External"/><Relationship Id="rId248" Type="http://schemas.openxmlformats.org/officeDocument/2006/relationships/hyperlink" Target="http://sports.yahoo.com/nhl/players/5396" TargetMode="External"/><Relationship Id="rId455" Type="http://schemas.openxmlformats.org/officeDocument/2006/relationships/hyperlink" Target="http://sports.yahoo.com/nhl/teams/ari" TargetMode="External"/><Relationship Id="rId662" Type="http://schemas.openxmlformats.org/officeDocument/2006/relationships/hyperlink" Target="http://sports.yahoo.com/nhl/players/3262" TargetMode="External"/><Relationship Id="rId1085" Type="http://schemas.openxmlformats.org/officeDocument/2006/relationships/hyperlink" Target="http://sports.yahoo.com/nhl/teams/stl" TargetMode="External"/><Relationship Id="rId1292" Type="http://schemas.openxmlformats.org/officeDocument/2006/relationships/hyperlink" Target="http://sports.yahoo.com/nhl/players/3208" TargetMode="External"/><Relationship Id="rId1306" Type="http://schemas.openxmlformats.org/officeDocument/2006/relationships/hyperlink" Target="http://sports.yahoo.com/nhl/players/5257" TargetMode="External"/><Relationship Id="rId1513" Type="http://schemas.openxmlformats.org/officeDocument/2006/relationships/hyperlink" Target="http://sports.yahoo.com/nhl/teams/njd" TargetMode="External"/><Relationship Id="rId1720" Type="http://schemas.openxmlformats.org/officeDocument/2006/relationships/hyperlink" Target="http://sports.yahoo.com/nhl/players/4780" TargetMode="External"/><Relationship Id="rId12" Type="http://schemas.openxmlformats.org/officeDocument/2006/relationships/hyperlink" Target="http://sports.yahoo.com/nhl/players/4246" TargetMode="External"/><Relationship Id="rId108" Type="http://schemas.openxmlformats.org/officeDocument/2006/relationships/hyperlink" Target="http://sports.yahoo.com/nhl/players/3005" TargetMode="External"/><Relationship Id="rId315" Type="http://schemas.openxmlformats.org/officeDocument/2006/relationships/hyperlink" Target="http://sports.yahoo.com/nhl/teams/tor" TargetMode="External"/><Relationship Id="rId522" Type="http://schemas.openxmlformats.org/officeDocument/2006/relationships/hyperlink" Target="http://sports.yahoo.com/nhl/players/4485" TargetMode="External"/><Relationship Id="rId967" Type="http://schemas.openxmlformats.org/officeDocument/2006/relationships/hyperlink" Target="http://sports.yahoo.com/nhl/teams/ott" TargetMode="External"/><Relationship Id="rId1152" Type="http://schemas.openxmlformats.org/officeDocument/2006/relationships/hyperlink" Target="http://sports.yahoo.com/nhl/players/3024" TargetMode="External"/><Relationship Id="rId1597" Type="http://schemas.openxmlformats.org/officeDocument/2006/relationships/hyperlink" Target="http://sports.yahoo.com/nhl/teams/cgy" TargetMode="External"/><Relationship Id="rId96" Type="http://schemas.openxmlformats.org/officeDocument/2006/relationships/hyperlink" Target="http://sports.yahoo.com/nhl/players/1640" TargetMode="External"/><Relationship Id="rId161" Type="http://schemas.openxmlformats.org/officeDocument/2006/relationships/hyperlink" Target="http://sports.yahoo.com/nhl/teams/col" TargetMode="External"/><Relationship Id="rId399" Type="http://schemas.openxmlformats.org/officeDocument/2006/relationships/hyperlink" Target="http://sports.yahoo.com/nhl/teams/njd" TargetMode="External"/><Relationship Id="rId827" Type="http://schemas.openxmlformats.org/officeDocument/2006/relationships/hyperlink" Target="http://sports.yahoo.com/nhl/teams/dal" TargetMode="External"/><Relationship Id="rId1012" Type="http://schemas.openxmlformats.org/officeDocument/2006/relationships/hyperlink" Target="http://sports.yahoo.com/nhl/players/3438" TargetMode="External"/><Relationship Id="rId1457" Type="http://schemas.openxmlformats.org/officeDocument/2006/relationships/hyperlink" Target="http://sports.yahoo.com/nhl/teams/was" TargetMode="External"/><Relationship Id="rId1664" Type="http://schemas.openxmlformats.org/officeDocument/2006/relationships/hyperlink" Target="http://sports.yahoo.com/nhl/players/5636" TargetMode="External"/><Relationship Id="rId259" Type="http://schemas.openxmlformats.org/officeDocument/2006/relationships/hyperlink" Target="http://sports.yahoo.com/nhl/teams/fla" TargetMode="External"/><Relationship Id="rId466" Type="http://schemas.openxmlformats.org/officeDocument/2006/relationships/hyperlink" Target="http://sports.yahoo.com/nhl/players/5697" TargetMode="External"/><Relationship Id="rId673" Type="http://schemas.openxmlformats.org/officeDocument/2006/relationships/hyperlink" Target="http://sports.yahoo.com/nhl/teams/was" TargetMode="External"/><Relationship Id="rId880" Type="http://schemas.openxmlformats.org/officeDocument/2006/relationships/hyperlink" Target="http://sports.yahoo.com/nhl/players/3655" TargetMode="External"/><Relationship Id="rId1096" Type="http://schemas.openxmlformats.org/officeDocument/2006/relationships/hyperlink" Target="http://sports.yahoo.com/nhl/players/3824" TargetMode="External"/><Relationship Id="rId1317" Type="http://schemas.openxmlformats.org/officeDocument/2006/relationships/hyperlink" Target="http://sports.yahoo.com/nhl/teams/cob" TargetMode="External"/><Relationship Id="rId1524" Type="http://schemas.openxmlformats.org/officeDocument/2006/relationships/hyperlink" Target="http://sports.yahoo.com/nhl/players/5420" TargetMode="External"/><Relationship Id="rId1731" Type="http://schemas.openxmlformats.org/officeDocument/2006/relationships/hyperlink" Target="http://sports.yahoo.com/nhl/teams/col" TargetMode="External"/><Relationship Id="rId23" Type="http://schemas.openxmlformats.org/officeDocument/2006/relationships/hyperlink" Target="http://sports.yahoo.com/nhl/teams/van" TargetMode="External"/><Relationship Id="rId119" Type="http://schemas.openxmlformats.org/officeDocument/2006/relationships/hyperlink" Target="http://sports.yahoo.com/nhl/teams/san" TargetMode="External"/><Relationship Id="rId326" Type="http://schemas.openxmlformats.org/officeDocument/2006/relationships/hyperlink" Target="http://sports.yahoo.com/nhl/players/5984" TargetMode="External"/><Relationship Id="rId533" Type="http://schemas.openxmlformats.org/officeDocument/2006/relationships/hyperlink" Target="http://sports.yahoo.com/nhl/teams/nas" TargetMode="External"/><Relationship Id="rId978" Type="http://schemas.openxmlformats.org/officeDocument/2006/relationships/hyperlink" Target="http://sports.yahoo.com/nhl/players/3735" TargetMode="External"/><Relationship Id="rId1163" Type="http://schemas.openxmlformats.org/officeDocument/2006/relationships/hyperlink" Target="http://sports.yahoo.com/nhl/teams/pit" TargetMode="External"/><Relationship Id="rId1370" Type="http://schemas.openxmlformats.org/officeDocument/2006/relationships/hyperlink" Target="http://sports.yahoo.com/nhl/players/6294" TargetMode="External"/><Relationship Id="rId740" Type="http://schemas.openxmlformats.org/officeDocument/2006/relationships/hyperlink" Target="http://sports.yahoo.com/nhl/players/1700" TargetMode="External"/><Relationship Id="rId838" Type="http://schemas.openxmlformats.org/officeDocument/2006/relationships/hyperlink" Target="http://sports.yahoo.com/nhl/players/3741" TargetMode="External"/><Relationship Id="rId1023" Type="http://schemas.openxmlformats.org/officeDocument/2006/relationships/hyperlink" Target="http://sports.yahoo.com/nhl/teams/van" TargetMode="External"/><Relationship Id="rId1468" Type="http://schemas.openxmlformats.org/officeDocument/2006/relationships/hyperlink" Target="http://sports.yahoo.com/nhl/players/5203" TargetMode="External"/><Relationship Id="rId1675" Type="http://schemas.openxmlformats.org/officeDocument/2006/relationships/hyperlink" Target="http://sports.yahoo.com/nhl/teams/phi" TargetMode="External"/><Relationship Id="rId172" Type="http://schemas.openxmlformats.org/officeDocument/2006/relationships/hyperlink" Target="http://sports.yahoo.com/nhl/players/1772" TargetMode="External"/><Relationship Id="rId477" Type="http://schemas.openxmlformats.org/officeDocument/2006/relationships/hyperlink" Target="http://sports.yahoo.com/nhl/teams/ana" TargetMode="External"/><Relationship Id="rId600" Type="http://schemas.openxmlformats.org/officeDocument/2006/relationships/hyperlink" Target="http://sports.yahoo.com/nhl/players/3990" TargetMode="External"/><Relationship Id="rId684" Type="http://schemas.openxmlformats.org/officeDocument/2006/relationships/hyperlink" Target="http://sports.yahoo.com/nhl/players/5695" TargetMode="External"/><Relationship Id="rId1230" Type="http://schemas.openxmlformats.org/officeDocument/2006/relationships/hyperlink" Target="http://sports.yahoo.com/nhl/players/5019" TargetMode="External"/><Relationship Id="rId1328" Type="http://schemas.openxmlformats.org/officeDocument/2006/relationships/hyperlink" Target="http://sports.yahoo.com/nhl/players/4630" TargetMode="External"/><Relationship Id="rId1535" Type="http://schemas.openxmlformats.org/officeDocument/2006/relationships/hyperlink" Target="http://sports.yahoo.com/nhl/teams/ari" TargetMode="External"/><Relationship Id="rId337" Type="http://schemas.openxmlformats.org/officeDocument/2006/relationships/hyperlink" Target="http://sports.yahoo.com/nhl/teams/chi" TargetMode="External"/><Relationship Id="rId891" Type="http://schemas.openxmlformats.org/officeDocument/2006/relationships/hyperlink" Target="http://sports.yahoo.com/nhl/teams/bos" TargetMode="External"/><Relationship Id="rId905" Type="http://schemas.openxmlformats.org/officeDocument/2006/relationships/hyperlink" Target="http://sports.yahoo.com/nhl/teams/nyr" TargetMode="External"/><Relationship Id="rId989" Type="http://schemas.openxmlformats.org/officeDocument/2006/relationships/hyperlink" Target="http://sports.yahoo.com/nhl/teams/col" TargetMode="External"/><Relationship Id="rId1742" Type="http://schemas.openxmlformats.org/officeDocument/2006/relationships/hyperlink" Target="http://sports.yahoo.com/nhl/players/5213" TargetMode="External"/><Relationship Id="rId34" Type="http://schemas.openxmlformats.org/officeDocument/2006/relationships/hyperlink" Target="http://sports.yahoo.com/nhl/players/5256" TargetMode="External"/><Relationship Id="rId544" Type="http://schemas.openxmlformats.org/officeDocument/2006/relationships/hyperlink" Target="http://sports.yahoo.com/nhl/players/3351" TargetMode="External"/><Relationship Id="rId751" Type="http://schemas.openxmlformats.org/officeDocument/2006/relationships/hyperlink" Target="http://sports.yahoo.com/nhl/teams/nyi" TargetMode="External"/><Relationship Id="rId849" Type="http://schemas.openxmlformats.org/officeDocument/2006/relationships/hyperlink" Target="http://sports.yahoo.com/nhl/teams/fla" TargetMode="External"/><Relationship Id="rId1174" Type="http://schemas.openxmlformats.org/officeDocument/2006/relationships/hyperlink" Target="http://sports.yahoo.com/nhl/players/5381" TargetMode="External"/><Relationship Id="rId1381" Type="http://schemas.openxmlformats.org/officeDocument/2006/relationships/hyperlink" Target="http://sports.yahoo.com/nhl/teams/njd" TargetMode="External"/><Relationship Id="rId1479" Type="http://schemas.openxmlformats.org/officeDocument/2006/relationships/hyperlink" Target="http://sports.yahoo.com/nhl/teams/cob" TargetMode="External"/><Relationship Id="rId1602" Type="http://schemas.openxmlformats.org/officeDocument/2006/relationships/hyperlink" Target="http://sports.yahoo.com/nhl/players/6009" TargetMode="External"/><Relationship Id="rId1686" Type="http://schemas.openxmlformats.org/officeDocument/2006/relationships/hyperlink" Target="http://sports.yahoo.com/nhl/players/5264" TargetMode="External"/><Relationship Id="rId183" Type="http://schemas.openxmlformats.org/officeDocument/2006/relationships/hyperlink" Target="http://sports.yahoo.com/nhl/teams/phi" TargetMode="External"/><Relationship Id="rId390" Type="http://schemas.openxmlformats.org/officeDocument/2006/relationships/hyperlink" Target="http://sports.yahoo.com/nhl/players/3577" TargetMode="External"/><Relationship Id="rId404" Type="http://schemas.openxmlformats.org/officeDocument/2006/relationships/hyperlink" Target="http://sports.yahoo.com/nhl/players/3249" TargetMode="External"/><Relationship Id="rId611" Type="http://schemas.openxmlformats.org/officeDocument/2006/relationships/hyperlink" Target="http://sports.yahoo.com/nhl/teams/fla" TargetMode="External"/><Relationship Id="rId1034" Type="http://schemas.openxmlformats.org/officeDocument/2006/relationships/hyperlink" Target="http://sports.yahoo.com/nhl/players/1485" TargetMode="External"/><Relationship Id="rId1241" Type="http://schemas.openxmlformats.org/officeDocument/2006/relationships/hyperlink" Target="http://sports.yahoo.com/nhl/teams/cob" TargetMode="External"/><Relationship Id="rId1339" Type="http://schemas.openxmlformats.org/officeDocument/2006/relationships/hyperlink" Target="http://sports.yahoo.com/nhl/teams/ana" TargetMode="External"/><Relationship Id="rId250" Type="http://schemas.openxmlformats.org/officeDocument/2006/relationships/hyperlink" Target="http://sports.yahoo.com/nhl/players/4253" TargetMode="External"/><Relationship Id="rId488" Type="http://schemas.openxmlformats.org/officeDocument/2006/relationships/hyperlink" Target="http://sports.yahoo.com/nhl/players/3835" TargetMode="External"/><Relationship Id="rId695" Type="http://schemas.openxmlformats.org/officeDocument/2006/relationships/hyperlink" Target="http://sports.yahoo.com/nhl/teams/was" TargetMode="External"/><Relationship Id="rId709" Type="http://schemas.openxmlformats.org/officeDocument/2006/relationships/hyperlink" Target="http://sports.yahoo.com/nhl/teams/mon" TargetMode="External"/><Relationship Id="rId916" Type="http://schemas.openxmlformats.org/officeDocument/2006/relationships/hyperlink" Target="http://sports.yahoo.com/nhl/players/4517" TargetMode="External"/><Relationship Id="rId1101" Type="http://schemas.openxmlformats.org/officeDocument/2006/relationships/hyperlink" Target="http://sports.yahoo.com/nhl/teams/ari" TargetMode="External"/><Relationship Id="rId1546" Type="http://schemas.openxmlformats.org/officeDocument/2006/relationships/hyperlink" Target="http://sports.yahoo.com/nhl/players/4392" TargetMode="External"/><Relationship Id="rId1753" Type="http://schemas.openxmlformats.org/officeDocument/2006/relationships/hyperlink" Target="http://sports.yahoo.com/nhl/teams/chi" TargetMode="External"/><Relationship Id="rId45" Type="http://schemas.openxmlformats.org/officeDocument/2006/relationships/hyperlink" Target="http://sports.yahoo.com/nhl/teams/nyr" TargetMode="External"/><Relationship Id="rId110" Type="http://schemas.openxmlformats.org/officeDocument/2006/relationships/hyperlink" Target="http://sports.yahoo.com/nhl/players/3358" TargetMode="External"/><Relationship Id="rId348" Type="http://schemas.openxmlformats.org/officeDocument/2006/relationships/hyperlink" Target="http://sports.yahoo.com/nhl/players/3184" TargetMode="External"/><Relationship Id="rId555" Type="http://schemas.openxmlformats.org/officeDocument/2006/relationships/hyperlink" Target="http://sports.yahoo.com/nhl/teams/mon" TargetMode="External"/><Relationship Id="rId762" Type="http://schemas.openxmlformats.org/officeDocument/2006/relationships/hyperlink" Target="http://sports.yahoo.com/nhl/players/2491" TargetMode="External"/><Relationship Id="rId1185" Type="http://schemas.openxmlformats.org/officeDocument/2006/relationships/hyperlink" Target="http://sports.yahoo.com/nhl/teams/ari" TargetMode="External"/><Relationship Id="rId1392" Type="http://schemas.openxmlformats.org/officeDocument/2006/relationships/hyperlink" Target="http://sports.yahoo.com/nhl/players/5040" TargetMode="External"/><Relationship Id="rId1406" Type="http://schemas.openxmlformats.org/officeDocument/2006/relationships/hyperlink" Target="http://sports.yahoo.com/nhl/players/4037" TargetMode="External"/><Relationship Id="rId1613" Type="http://schemas.openxmlformats.org/officeDocument/2006/relationships/hyperlink" Target="http://sports.yahoo.com/nhl/teams/cgy" TargetMode="External"/><Relationship Id="rId194" Type="http://schemas.openxmlformats.org/officeDocument/2006/relationships/hyperlink" Target="http://sports.yahoo.com/nhl/players/2842" TargetMode="External"/><Relationship Id="rId208" Type="http://schemas.openxmlformats.org/officeDocument/2006/relationships/hyperlink" Target="http://sports.yahoo.com/nhl/players/3331" TargetMode="External"/><Relationship Id="rId415" Type="http://schemas.openxmlformats.org/officeDocument/2006/relationships/hyperlink" Target="http://sports.yahoo.com/nhl/teams/ana" TargetMode="External"/><Relationship Id="rId622" Type="http://schemas.openxmlformats.org/officeDocument/2006/relationships/hyperlink" Target="http://sports.yahoo.com/nhl/players/3812" TargetMode="External"/><Relationship Id="rId1045" Type="http://schemas.openxmlformats.org/officeDocument/2006/relationships/hyperlink" Target="http://sports.yahoo.com/nhl/teams/min" TargetMode="External"/><Relationship Id="rId1252" Type="http://schemas.openxmlformats.org/officeDocument/2006/relationships/hyperlink" Target="http://sports.yahoo.com/nhl/players/2724" TargetMode="External"/><Relationship Id="rId1697" Type="http://schemas.openxmlformats.org/officeDocument/2006/relationships/hyperlink" Target="http://sports.yahoo.com/nhl/teams/mon" TargetMode="External"/><Relationship Id="rId261" Type="http://schemas.openxmlformats.org/officeDocument/2006/relationships/hyperlink" Target="http://sports.yahoo.com/nhl/teams/nyi" TargetMode="External"/><Relationship Id="rId499" Type="http://schemas.openxmlformats.org/officeDocument/2006/relationships/hyperlink" Target="http://sports.yahoo.com/nhl/teams/ana" TargetMode="External"/><Relationship Id="rId927" Type="http://schemas.openxmlformats.org/officeDocument/2006/relationships/hyperlink" Target="http://sports.yahoo.com/nhl/teams/col" TargetMode="External"/><Relationship Id="rId1112" Type="http://schemas.openxmlformats.org/officeDocument/2006/relationships/hyperlink" Target="http://sports.yahoo.com/nhl/players/5375" TargetMode="External"/><Relationship Id="rId1557" Type="http://schemas.openxmlformats.org/officeDocument/2006/relationships/hyperlink" Target="http://sports.yahoo.com/nhl/teams/bos" TargetMode="External"/><Relationship Id="rId1764" Type="http://schemas.openxmlformats.org/officeDocument/2006/relationships/hyperlink" Target="http://sports.yahoo.com/nhl/players/4709" TargetMode="External"/><Relationship Id="rId56" Type="http://schemas.openxmlformats.org/officeDocument/2006/relationships/hyperlink" Target="http://sports.yahoo.com/nhl/players/1600" TargetMode="External"/><Relationship Id="rId359" Type="http://schemas.openxmlformats.org/officeDocument/2006/relationships/hyperlink" Target="http://sports.yahoo.com/nhl/teams/ana" TargetMode="External"/><Relationship Id="rId566" Type="http://schemas.openxmlformats.org/officeDocument/2006/relationships/hyperlink" Target="http://sports.yahoo.com/nhl/players/5032" TargetMode="External"/><Relationship Id="rId773" Type="http://schemas.openxmlformats.org/officeDocument/2006/relationships/hyperlink" Target="http://sports.yahoo.com/nhl/teams/ana" TargetMode="External"/><Relationship Id="rId1196" Type="http://schemas.openxmlformats.org/officeDocument/2006/relationships/hyperlink" Target="http://sports.yahoo.com/nhl/players/6014" TargetMode="External"/><Relationship Id="rId1417" Type="http://schemas.openxmlformats.org/officeDocument/2006/relationships/hyperlink" Target="http://sports.yahoo.com/nhl/teams/wpg" TargetMode="External"/><Relationship Id="rId1624" Type="http://schemas.openxmlformats.org/officeDocument/2006/relationships/hyperlink" Target="http://sports.yahoo.com/nhl/players/6353" TargetMode="External"/><Relationship Id="rId121" Type="http://schemas.openxmlformats.org/officeDocument/2006/relationships/hyperlink" Target="http://sports.yahoo.com/nhl/teams/edm" TargetMode="External"/><Relationship Id="rId219" Type="http://schemas.openxmlformats.org/officeDocument/2006/relationships/hyperlink" Target="http://sports.yahoo.com/nhl/teams/stl" TargetMode="External"/><Relationship Id="rId426" Type="http://schemas.openxmlformats.org/officeDocument/2006/relationships/hyperlink" Target="http://sports.yahoo.com/nhl/players/4162" TargetMode="External"/><Relationship Id="rId633" Type="http://schemas.openxmlformats.org/officeDocument/2006/relationships/hyperlink" Target="http://sports.yahoo.com/nhl/teams/los" TargetMode="External"/><Relationship Id="rId980" Type="http://schemas.openxmlformats.org/officeDocument/2006/relationships/hyperlink" Target="http://sports.yahoo.com/nhl/players/3217" TargetMode="External"/><Relationship Id="rId1056" Type="http://schemas.openxmlformats.org/officeDocument/2006/relationships/hyperlink" Target="http://sports.yahoo.com/nhl/players/4954" TargetMode="External"/><Relationship Id="rId1263" Type="http://schemas.openxmlformats.org/officeDocument/2006/relationships/hyperlink" Target="http://sports.yahoo.com/nhl/teams/edm" TargetMode="External"/><Relationship Id="rId840" Type="http://schemas.openxmlformats.org/officeDocument/2006/relationships/hyperlink" Target="http://sports.yahoo.com/nhl/players/3133" TargetMode="External"/><Relationship Id="rId938" Type="http://schemas.openxmlformats.org/officeDocument/2006/relationships/hyperlink" Target="http://sports.yahoo.com/nhl/players/4017" TargetMode="External"/><Relationship Id="rId1470" Type="http://schemas.openxmlformats.org/officeDocument/2006/relationships/hyperlink" Target="http://sports.yahoo.com/nhl/players/5902" TargetMode="External"/><Relationship Id="rId1568" Type="http://schemas.openxmlformats.org/officeDocument/2006/relationships/hyperlink" Target="http://sports.yahoo.com/nhl/players/6480" TargetMode="External"/><Relationship Id="rId67" Type="http://schemas.openxmlformats.org/officeDocument/2006/relationships/hyperlink" Target="http://sports.yahoo.com/nhl/teams/stl" TargetMode="External"/><Relationship Id="rId272" Type="http://schemas.openxmlformats.org/officeDocument/2006/relationships/hyperlink" Target="http://sports.yahoo.com/nhl/players/5370" TargetMode="External"/><Relationship Id="rId577" Type="http://schemas.openxmlformats.org/officeDocument/2006/relationships/hyperlink" Target="http://sports.yahoo.com/nhl/teams/los" TargetMode="External"/><Relationship Id="rId700" Type="http://schemas.openxmlformats.org/officeDocument/2006/relationships/hyperlink" Target="http://sports.yahoo.com/nhl/players/5380" TargetMode="External"/><Relationship Id="rId1123" Type="http://schemas.openxmlformats.org/officeDocument/2006/relationships/hyperlink" Target="http://sports.yahoo.com/nhl/teams/cob" TargetMode="External"/><Relationship Id="rId1330" Type="http://schemas.openxmlformats.org/officeDocument/2006/relationships/hyperlink" Target="http://sports.yahoo.com/nhl/players/5446" TargetMode="External"/><Relationship Id="rId1428" Type="http://schemas.openxmlformats.org/officeDocument/2006/relationships/hyperlink" Target="http://sports.yahoo.com/nhl/players/5660" TargetMode="External"/><Relationship Id="rId1635" Type="http://schemas.openxmlformats.org/officeDocument/2006/relationships/hyperlink" Target="http://sports.yahoo.com/nhl/teams/buf" TargetMode="External"/><Relationship Id="rId132" Type="http://schemas.openxmlformats.org/officeDocument/2006/relationships/hyperlink" Target="http://sports.yahoo.com/nhl/players/4786" TargetMode="External"/><Relationship Id="rId784" Type="http://schemas.openxmlformats.org/officeDocument/2006/relationships/hyperlink" Target="http://sports.yahoo.com/nhl/players/3385" TargetMode="External"/><Relationship Id="rId991" Type="http://schemas.openxmlformats.org/officeDocument/2006/relationships/hyperlink" Target="http://sports.yahoo.com/nhl/teams/nas" TargetMode="External"/><Relationship Id="rId1067" Type="http://schemas.openxmlformats.org/officeDocument/2006/relationships/hyperlink" Target="http://sports.yahoo.com/nhl/teams/stl" TargetMode="External"/><Relationship Id="rId437" Type="http://schemas.openxmlformats.org/officeDocument/2006/relationships/hyperlink" Target="http://sports.yahoo.com/nhl/teams/van" TargetMode="External"/><Relationship Id="rId644" Type="http://schemas.openxmlformats.org/officeDocument/2006/relationships/hyperlink" Target="http://sports.yahoo.com/nhl/players/3829" TargetMode="External"/><Relationship Id="rId851" Type="http://schemas.openxmlformats.org/officeDocument/2006/relationships/hyperlink" Target="http://sports.yahoo.com/nhl/teams/cob" TargetMode="External"/><Relationship Id="rId1274" Type="http://schemas.openxmlformats.org/officeDocument/2006/relationships/hyperlink" Target="http://sports.yahoo.com/nhl/players/5330" TargetMode="External"/><Relationship Id="rId1481" Type="http://schemas.openxmlformats.org/officeDocument/2006/relationships/hyperlink" Target="http://sports.yahoo.com/nhl/teams/buf" TargetMode="External"/><Relationship Id="rId1579" Type="http://schemas.openxmlformats.org/officeDocument/2006/relationships/hyperlink" Target="http://sports.yahoo.com/nhl/teams/dal" TargetMode="External"/><Relationship Id="rId1702" Type="http://schemas.openxmlformats.org/officeDocument/2006/relationships/hyperlink" Target="http://sports.yahoo.com/nhl/players/5030" TargetMode="External"/><Relationship Id="rId283" Type="http://schemas.openxmlformats.org/officeDocument/2006/relationships/hyperlink" Target="http://sports.yahoo.com/nhl/teams/wpg" TargetMode="External"/><Relationship Id="rId490" Type="http://schemas.openxmlformats.org/officeDocument/2006/relationships/hyperlink" Target="http://sports.yahoo.com/nhl/players/5278" TargetMode="External"/><Relationship Id="rId504" Type="http://schemas.openxmlformats.org/officeDocument/2006/relationships/hyperlink" Target="http://sports.yahoo.com/nhl/players/3047" TargetMode="External"/><Relationship Id="rId711" Type="http://schemas.openxmlformats.org/officeDocument/2006/relationships/hyperlink" Target="http://sports.yahoo.com/nhl/teams/nyr" TargetMode="External"/><Relationship Id="rId949" Type="http://schemas.openxmlformats.org/officeDocument/2006/relationships/hyperlink" Target="http://sports.yahoo.com/nhl/teams/chi" TargetMode="External"/><Relationship Id="rId1134" Type="http://schemas.openxmlformats.org/officeDocument/2006/relationships/hyperlink" Target="http://sports.yahoo.com/nhl/players/5084" TargetMode="External"/><Relationship Id="rId1341" Type="http://schemas.openxmlformats.org/officeDocument/2006/relationships/hyperlink" Target="http://sports.yahoo.com/nhl/teams/edm" TargetMode="External"/><Relationship Id="rId78" Type="http://schemas.openxmlformats.org/officeDocument/2006/relationships/hyperlink" Target="http://sports.yahoo.com/nhl/players/5573" TargetMode="External"/><Relationship Id="rId143" Type="http://schemas.openxmlformats.org/officeDocument/2006/relationships/hyperlink" Target="http://sports.yahoo.com/nhl/teams/col" TargetMode="External"/><Relationship Id="rId350" Type="http://schemas.openxmlformats.org/officeDocument/2006/relationships/hyperlink" Target="http://sports.yahoo.com/nhl/players/4986" TargetMode="External"/><Relationship Id="rId588" Type="http://schemas.openxmlformats.org/officeDocument/2006/relationships/hyperlink" Target="http://sports.yahoo.com/nhl/players/5605" TargetMode="External"/><Relationship Id="rId795" Type="http://schemas.openxmlformats.org/officeDocument/2006/relationships/hyperlink" Target="http://sports.yahoo.com/nhl/teams/mon" TargetMode="External"/><Relationship Id="rId809" Type="http://schemas.openxmlformats.org/officeDocument/2006/relationships/hyperlink" Target="http://sports.yahoo.com/nhl/teams/tor" TargetMode="External"/><Relationship Id="rId1201" Type="http://schemas.openxmlformats.org/officeDocument/2006/relationships/hyperlink" Target="http://sports.yahoo.com/nhl/teams/phi" TargetMode="External"/><Relationship Id="rId1439" Type="http://schemas.openxmlformats.org/officeDocument/2006/relationships/hyperlink" Target="http://sports.yahoo.com/nhl/teams/van" TargetMode="External"/><Relationship Id="rId1646" Type="http://schemas.openxmlformats.org/officeDocument/2006/relationships/hyperlink" Target="http://sports.yahoo.com/nhl/players/5574" TargetMode="External"/><Relationship Id="rId9" Type="http://schemas.openxmlformats.org/officeDocument/2006/relationships/hyperlink" Target="http://sports.yahoo.com/nhl/teams/nyi" TargetMode="External"/><Relationship Id="rId210" Type="http://schemas.openxmlformats.org/officeDocument/2006/relationships/hyperlink" Target="http://sports.yahoo.com/nhl/players/35" TargetMode="External"/><Relationship Id="rId448" Type="http://schemas.openxmlformats.org/officeDocument/2006/relationships/hyperlink" Target="http://sports.yahoo.com/nhl/players/4496" TargetMode="External"/><Relationship Id="rId655" Type="http://schemas.openxmlformats.org/officeDocument/2006/relationships/hyperlink" Target="http://sports.yahoo.com/nhl/teams/los" TargetMode="External"/><Relationship Id="rId862" Type="http://schemas.openxmlformats.org/officeDocument/2006/relationships/hyperlink" Target="http://sports.yahoo.com/nhl/players/5996" TargetMode="External"/><Relationship Id="rId1078" Type="http://schemas.openxmlformats.org/officeDocument/2006/relationships/hyperlink" Target="http://sports.yahoo.com/nhl/players/5378" TargetMode="External"/><Relationship Id="rId1285" Type="http://schemas.openxmlformats.org/officeDocument/2006/relationships/hyperlink" Target="http://sports.yahoo.com/nhl/teams/ari" TargetMode="External"/><Relationship Id="rId1492" Type="http://schemas.openxmlformats.org/officeDocument/2006/relationships/hyperlink" Target="http://sports.yahoo.com/nhl/players/5059" TargetMode="External"/><Relationship Id="rId1506" Type="http://schemas.openxmlformats.org/officeDocument/2006/relationships/hyperlink" Target="http://sports.yahoo.com/nhl/players/4598" TargetMode="External"/><Relationship Id="rId1713" Type="http://schemas.openxmlformats.org/officeDocument/2006/relationships/hyperlink" Target="http://sports.yahoo.com/nhl/teams/col" TargetMode="External"/><Relationship Id="rId294" Type="http://schemas.openxmlformats.org/officeDocument/2006/relationships/hyperlink" Target="http://sports.yahoo.com/nhl/players/4819" TargetMode="External"/><Relationship Id="rId308" Type="http://schemas.openxmlformats.org/officeDocument/2006/relationships/hyperlink" Target="http://sports.yahoo.com/nhl/players/3340" TargetMode="External"/><Relationship Id="rId515" Type="http://schemas.openxmlformats.org/officeDocument/2006/relationships/hyperlink" Target="http://sports.yahoo.com/nhl/teams/phi" TargetMode="External"/><Relationship Id="rId722" Type="http://schemas.openxmlformats.org/officeDocument/2006/relationships/hyperlink" Target="http://sports.yahoo.com/nhl/players/5987" TargetMode="External"/><Relationship Id="rId1145" Type="http://schemas.openxmlformats.org/officeDocument/2006/relationships/hyperlink" Target="http://sports.yahoo.com/nhl/teams/chi" TargetMode="External"/><Relationship Id="rId1352" Type="http://schemas.openxmlformats.org/officeDocument/2006/relationships/hyperlink" Target="http://sports.yahoo.com/nhl/players/5998" TargetMode="External"/><Relationship Id="rId89" Type="http://schemas.openxmlformats.org/officeDocument/2006/relationships/hyperlink" Target="http://sports.yahoo.com/nhl/teams/cgy" TargetMode="External"/><Relationship Id="rId154" Type="http://schemas.openxmlformats.org/officeDocument/2006/relationships/hyperlink" Target="http://sports.yahoo.com/nhl/players/5364" TargetMode="External"/><Relationship Id="rId361" Type="http://schemas.openxmlformats.org/officeDocument/2006/relationships/hyperlink" Target="http://sports.yahoo.com/nhl/teams/nas" TargetMode="External"/><Relationship Id="rId599" Type="http://schemas.openxmlformats.org/officeDocument/2006/relationships/hyperlink" Target="http://sports.yahoo.com/nhl/teams/nas" TargetMode="External"/><Relationship Id="rId1005" Type="http://schemas.openxmlformats.org/officeDocument/2006/relationships/hyperlink" Target="http://sports.yahoo.com/nhl/teams/stl" TargetMode="External"/><Relationship Id="rId1212" Type="http://schemas.openxmlformats.org/officeDocument/2006/relationships/hyperlink" Target="http://sports.yahoo.com/nhl/players/4490" TargetMode="External"/><Relationship Id="rId1657" Type="http://schemas.openxmlformats.org/officeDocument/2006/relationships/hyperlink" Target="http://sports.yahoo.com/nhl/teams/nyr" TargetMode="External"/><Relationship Id="rId459" Type="http://schemas.openxmlformats.org/officeDocument/2006/relationships/hyperlink" Target="http://sports.yahoo.com/nhl/teams/dal" TargetMode="External"/><Relationship Id="rId666" Type="http://schemas.openxmlformats.org/officeDocument/2006/relationships/hyperlink" Target="http://sports.yahoo.com/nhl/players/5689" TargetMode="External"/><Relationship Id="rId873" Type="http://schemas.openxmlformats.org/officeDocument/2006/relationships/hyperlink" Target="http://sports.yahoo.com/nhl/teams/san" TargetMode="External"/><Relationship Id="rId1089" Type="http://schemas.openxmlformats.org/officeDocument/2006/relationships/hyperlink" Target="http://sports.yahoo.com/nhl/teams/los" TargetMode="External"/><Relationship Id="rId1296" Type="http://schemas.openxmlformats.org/officeDocument/2006/relationships/hyperlink" Target="http://sports.yahoo.com/nhl/players/4301" TargetMode="External"/><Relationship Id="rId1517" Type="http://schemas.openxmlformats.org/officeDocument/2006/relationships/hyperlink" Target="http://sports.yahoo.com/nhl/teams/min" TargetMode="External"/><Relationship Id="rId1724" Type="http://schemas.openxmlformats.org/officeDocument/2006/relationships/hyperlink" Target="http://sports.yahoo.com/nhl/players/5929" TargetMode="External"/><Relationship Id="rId16" Type="http://schemas.openxmlformats.org/officeDocument/2006/relationships/hyperlink" Target="http://sports.yahoo.com/nhl/players/3982" TargetMode="External"/><Relationship Id="rId221" Type="http://schemas.openxmlformats.org/officeDocument/2006/relationships/hyperlink" Target="http://sports.yahoo.com/nhl/teams/los" TargetMode="External"/><Relationship Id="rId319" Type="http://schemas.openxmlformats.org/officeDocument/2006/relationships/hyperlink" Target="http://sports.yahoo.com/nhl/teams/nas" TargetMode="External"/><Relationship Id="rId526" Type="http://schemas.openxmlformats.org/officeDocument/2006/relationships/hyperlink" Target="http://sports.yahoo.com/nhl/players/3806" TargetMode="External"/><Relationship Id="rId1156" Type="http://schemas.openxmlformats.org/officeDocument/2006/relationships/hyperlink" Target="http://sports.yahoo.com/nhl/players/2112" TargetMode="External"/><Relationship Id="rId1363" Type="http://schemas.openxmlformats.org/officeDocument/2006/relationships/hyperlink" Target="http://sports.yahoo.com/nhl/teams/buf" TargetMode="External"/><Relationship Id="rId733" Type="http://schemas.openxmlformats.org/officeDocument/2006/relationships/hyperlink" Target="http://sports.yahoo.com/nhl/teams/pit" TargetMode="External"/><Relationship Id="rId940" Type="http://schemas.openxmlformats.org/officeDocument/2006/relationships/hyperlink" Target="http://sports.yahoo.com/nhl/players/3883" TargetMode="External"/><Relationship Id="rId1016" Type="http://schemas.openxmlformats.org/officeDocument/2006/relationships/hyperlink" Target="http://sports.yahoo.com/nhl/players/4701" TargetMode="External"/><Relationship Id="rId1570" Type="http://schemas.openxmlformats.org/officeDocument/2006/relationships/hyperlink" Target="http://sports.yahoo.com/nhl/players/6201" TargetMode="External"/><Relationship Id="rId1668" Type="http://schemas.openxmlformats.org/officeDocument/2006/relationships/hyperlink" Target="http://sports.yahoo.com/nhl/players/5556" TargetMode="External"/><Relationship Id="rId165" Type="http://schemas.openxmlformats.org/officeDocument/2006/relationships/hyperlink" Target="http://sports.yahoo.com/nhl/teams/chi" TargetMode="External"/><Relationship Id="rId372" Type="http://schemas.openxmlformats.org/officeDocument/2006/relationships/hyperlink" Target="http://sports.yahoo.com/nhl/players/4981" TargetMode="External"/><Relationship Id="rId677" Type="http://schemas.openxmlformats.org/officeDocument/2006/relationships/hyperlink" Target="http://sports.yahoo.com/nhl/teams/det" TargetMode="External"/><Relationship Id="rId800" Type="http://schemas.openxmlformats.org/officeDocument/2006/relationships/hyperlink" Target="http://sports.yahoo.com/nhl/players/5749" TargetMode="External"/><Relationship Id="rId1223" Type="http://schemas.openxmlformats.org/officeDocument/2006/relationships/hyperlink" Target="http://sports.yahoo.com/nhl/teams/was" TargetMode="External"/><Relationship Id="rId1430" Type="http://schemas.openxmlformats.org/officeDocument/2006/relationships/hyperlink" Target="http://sports.yahoo.com/nhl/players/5659" TargetMode="External"/><Relationship Id="rId1528" Type="http://schemas.openxmlformats.org/officeDocument/2006/relationships/hyperlink" Target="http://sports.yahoo.com/nhl/players/4960" TargetMode="External"/><Relationship Id="rId232" Type="http://schemas.openxmlformats.org/officeDocument/2006/relationships/hyperlink" Target="http://sports.yahoo.com/nhl/players/4984" TargetMode="External"/><Relationship Id="rId884" Type="http://schemas.openxmlformats.org/officeDocument/2006/relationships/hyperlink" Target="http://sports.yahoo.com/nhl/players/3660" TargetMode="External"/><Relationship Id="rId1735" Type="http://schemas.openxmlformats.org/officeDocument/2006/relationships/hyperlink" Target="http://sports.yahoo.com/nhl/teams/wpg" TargetMode="External"/><Relationship Id="rId27" Type="http://schemas.openxmlformats.org/officeDocument/2006/relationships/hyperlink" Target="http://sports.yahoo.com/nhl/teams/phi" TargetMode="External"/><Relationship Id="rId537" Type="http://schemas.openxmlformats.org/officeDocument/2006/relationships/hyperlink" Target="http://sports.yahoo.com/nhl/teams/ana" TargetMode="External"/><Relationship Id="rId744" Type="http://schemas.openxmlformats.org/officeDocument/2006/relationships/hyperlink" Target="http://sports.yahoo.com/nhl/players/4917" TargetMode="External"/><Relationship Id="rId951" Type="http://schemas.openxmlformats.org/officeDocument/2006/relationships/hyperlink" Target="http://sports.yahoo.com/nhl/teams/min" TargetMode="External"/><Relationship Id="rId1167" Type="http://schemas.openxmlformats.org/officeDocument/2006/relationships/hyperlink" Target="http://sports.yahoo.com/nhl/teams/tor" TargetMode="External"/><Relationship Id="rId1374" Type="http://schemas.openxmlformats.org/officeDocument/2006/relationships/hyperlink" Target="http://sports.yahoo.com/nhl/players/4549" TargetMode="External"/><Relationship Id="rId1581" Type="http://schemas.openxmlformats.org/officeDocument/2006/relationships/hyperlink" Target="http://sports.yahoo.com/nhl/teams/san" TargetMode="External"/><Relationship Id="rId1679" Type="http://schemas.openxmlformats.org/officeDocument/2006/relationships/hyperlink" Target="http://sports.yahoo.com/nhl/teams/nyi" TargetMode="External"/><Relationship Id="rId80" Type="http://schemas.openxmlformats.org/officeDocument/2006/relationships/hyperlink" Target="http://sports.yahoo.com/nhl/players/2598" TargetMode="External"/><Relationship Id="rId176" Type="http://schemas.openxmlformats.org/officeDocument/2006/relationships/hyperlink" Target="http://sports.yahoo.com/nhl/players/4207" TargetMode="External"/><Relationship Id="rId383" Type="http://schemas.openxmlformats.org/officeDocument/2006/relationships/hyperlink" Target="http://sports.yahoo.com/nhl/teams/ott" TargetMode="External"/><Relationship Id="rId590" Type="http://schemas.openxmlformats.org/officeDocument/2006/relationships/hyperlink" Target="http://sports.yahoo.com/nhl/players/4578" TargetMode="External"/><Relationship Id="rId604" Type="http://schemas.openxmlformats.org/officeDocument/2006/relationships/hyperlink" Target="http://sports.yahoo.com/nhl/players/3980" TargetMode="External"/><Relationship Id="rId811" Type="http://schemas.openxmlformats.org/officeDocument/2006/relationships/hyperlink" Target="http://sports.yahoo.com/nhl/teams/cgy" TargetMode="External"/><Relationship Id="rId1027" Type="http://schemas.openxmlformats.org/officeDocument/2006/relationships/hyperlink" Target="http://sports.yahoo.com/nhl/teams/ott" TargetMode="External"/><Relationship Id="rId1234" Type="http://schemas.openxmlformats.org/officeDocument/2006/relationships/hyperlink" Target="http://sports.yahoo.com/nhl/players/5293" TargetMode="External"/><Relationship Id="rId1441" Type="http://schemas.openxmlformats.org/officeDocument/2006/relationships/hyperlink" Target="http://sports.yahoo.com/nhl/teams/nyi" TargetMode="External"/><Relationship Id="rId243" Type="http://schemas.openxmlformats.org/officeDocument/2006/relationships/hyperlink" Target="http://sports.yahoo.com/nhl/teams/det" TargetMode="External"/><Relationship Id="rId450" Type="http://schemas.openxmlformats.org/officeDocument/2006/relationships/hyperlink" Target="http://sports.yahoo.com/nhl/players/5982" TargetMode="External"/><Relationship Id="rId688" Type="http://schemas.openxmlformats.org/officeDocument/2006/relationships/hyperlink" Target="http://sports.yahoo.com/nhl/players/3656" TargetMode="External"/><Relationship Id="rId895" Type="http://schemas.openxmlformats.org/officeDocument/2006/relationships/hyperlink" Target="http://sports.yahoo.com/nhl/teams/cob" TargetMode="External"/><Relationship Id="rId909" Type="http://schemas.openxmlformats.org/officeDocument/2006/relationships/hyperlink" Target="http://sports.yahoo.com/nhl/teams/njd" TargetMode="External"/><Relationship Id="rId1080" Type="http://schemas.openxmlformats.org/officeDocument/2006/relationships/hyperlink" Target="http://sports.yahoo.com/nhl/players/5698" TargetMode="External"/><Relationship Id="rId1301" Type="http://schemas.openxmlformats.org/officeDocument/2006/relationships/hyperlink" Target="http://sports.yahoo.com/nhl/teams/san" TargetMode="External"/><Relationship Id="rId1539" Type="http://schemas.openxmlformats.org/officeDocument/2006/relationships/hyperlink" Target="http://sports.yahoo.com/nhl/teams/buf" TargetMode="External"/><Relationship Id="rId1746" Type="http://schemas.openxmlformats.org/officeDocument/2006/relationships/hyperlink" Target="http://sports.yahoo.com/nhl/players/4134" TargetMode="External"/><Relationship Id="rId38" Type="http://schemas.openxmlformats.org/officeDocument/2006/relationships/hyperlink" Target="http://sports.yahoo.com/nhl/players/3985" TargetMode="External"/><Relationship Id="rId103" Type="http://schemas.openxmlformats.org/officeDocument/2006/relationships/hyperlink" Target="http://sports.yahoo.com/nhl/teams/nyr" TargetMode="External"/><Relationship Id="rId310" Type="http://schemas.openxmlformats.org/officeDocument/2006/relationships/hyperlink" Target="http://sports.yahoo.com/nhl/players/5282" TargetMode="External"/><Relationship Id="rId548" Type="http://schemas.openxmlformats.org/officeDocument/2006/relationships/hyperlink" Target="http://sports.yahoo.com/nhl/players/1796" TargetMode="External"/><Relationship Id="rId755" Type="http://schemas.openxmlformats.org/officeDocument/2006/relationships/hyperlink" Target="http://sports.yahoo.com/nhl/teams/ott" TargetMode="External"/><Relationship Id="rId962" Type="http://schemas.openxmlformats.org/officeDocument/2006/relationships/hyperlink" Target="http://sports.yahoo.com/nhl/players/4266" TargetMode="External"/><Relationship Id="rId1178" Type="http://schemas.openxmlformats.org/officeDocument/2006/relationships/hyperlink" Target="http://sports.yahoo.com/nhl/players/5615" TargetMode="External"/><Relationship Id="rId1385" Type="http://schemas.openxmlformats.org/officeDocument/2006/relationships/hyperlink" Target="http://sports.yahoo.com/nhl/teams/nyi" TargetMode="External"/><Relationship Id="rId1592" Type="http://schemas.openxmlformats.org/officeDocument/2006/relationships/hyperlink" Target="http://sports.yahoo.com/nhl/players/5358" TargetMode="External"/><Relationship Id="rId1606" Type="http://schemas.openxmlformats.org/officeDocument/2006/relationships/hyperlink" Target="http://sports.yahoo.com/nhl/players/5294" TargetMode="External"/><Relationship Id="rId91" Type="http://schemas.openxmlformats.org/officeDocument/2006/relationships/hyperlink" Target="http://sports.yahoo.com/nhl/teams/min" TargetMode="External"/><Relationship Id="rId187" Type="http://schemas.openxmlformats.org/officeDocument/2006/relationships/hyperlink" Target="http://sports.yahoo.com/nhl/teams/nyr" TargetMode="External"/><Relationship Id="rId394" Type="http://schemas.openxmlformats.org/officeDocument/2006/relationships/hyperlink" Target="http://sports.yahoo.com/nhl/players/4988" TargetMode="External"/><Relationship Id="rId408" Type="http://schemas.openxmlformats.org/officeDocument/2006/relationships/hyperlink" Target="http://sports.yahoo.com/nhl/players/1844" TargetMode="External"/><Relationship Id="rId615" Type="http://schemas.openxmlformats.org/officeDocument/2006/relationships/hyperlink" Target="http://sports.yahoo.com/nhl/teams/tam" TargetMode="External"/><Relationship Id="rId822" Type="http://schemas.openxmlformats.org/officeDocument/2006/relationships/hyperlink" Target="http://sports.yahoo.com/nhl/players/5189" TargetMode="External"/><Relationship Id="rId1038" Type="http://schemas.openxmlformats.org/officeDocument/2006/relationships/hyperlink" Target="http://sports.yahoo.com/nhl/players/1573" TargetMode="External"/><Relationship Id="rId1245" Type="http://schemas.openxmlformats.org/officeDocument/2006/relationships/hyperlink" Target="http://sports.yahoo.com/nhl/teams/cob" TargetMode="External"/><Relationship Id="rId1452" Type="http://schemas.openxmlformats.org/officeDocument/2006/relationships/hyperlink" Target="http://sports.yahoo.com/nhl/players/4690" TargetMode="External"/><Relationship Id="rId254" Type="http://schemas.openxmlformats.org/officeDocument/2006/relationships/hyperlink" Target="http://sports.yahoo.com/nhl/players/3021" TargetMode="External"/><Relationship Id="rId699" Type="http://schemas.openxmlformats.org/officeDocument/2006/relationships/hyperlink" Target="http://sports.yahoo.com/nhl/teams/cob" TargetMode="External"/><Relationship Id="rId1091" Type="http://schemas.openxmlformats.org/officeDocument/2006/relationships/hyperlink" Target="http://sports.yahoo.com/nhl/teams/dal" TargetMode="External"/><Relationship Id="rId1105" Type="http://schemas.openxmlformats.org/officeDocument/2006/relationships/hyperlink" Target="http://sports.yahoo.com/nhl/teams/edm" TargetMode="External"/><Relationship Id="rId1312" Type="http://schemas.openxmlformats.org/officeDocument/2006/relationships/hyperlink" Target="http://sports.yahoo.com/nhl/players/5385" TargetMode="External"/><Relationship Id="rId1757" Type="http://schemas.openxmlformats.org/officeDocument/2006/relationships/hyperlink" Target="http://sports.yahoo.com/nhl/teams/was" TargetMode="External"/><Relationship Id="rId49" Type="http://schemas.openxmlformats.org/officeDocument/2006/relationships/hyperlink" Target="http://sports.yahoo.com/nhl/teams/san" TargetMode="External"/><Relationship Id="rId114" Type="http://schemas.openxmlformats.org/officeDocument/2006/relationships/hyperlink" Target="http://sports.yahoo.com/nhl/players/1453" TargetMode="External"/><Relationship Id="rId461" Type="http://schemas.openxmlformats.org/officeDocument/2006/relationships/hyperlink" Target="http://sports.yahoo.com/nhl/teams/ana" TargetMode="External"/><Relationship Id="rId559" Type="http://schemas.openxmlformats.org/officeDocument/2006/relationships/hyperlink" Target="http://sports.yahoo.com/nhl/teams/nas" TargetMode="External"/><Relationship Id="rId766" Type="http://schemas.openxmlformats.org/officeDocument/2006/relationships/hyperlink" Target="http://sports.yahoo.com/nhl/players/3991" TargetMode="External"/><Relationship Id="rId1189" Type="http://schemas.openxmlformats.org/officeDocument/2006/relationships/hyperlink" Target="http://sports.yahoo.com/nhl/teams/tor" TargetMode="External"/><Relationship Id="rId1396" Type="http://schemas.openxmlformats.org/officeDocument/2006/relationships/hyperlink" Target="http://sports.yahoo.com/nhl/players/5712" TargetMode="External"/><Relationship Id="rId1617" Type="http://schemas.openxmlformats.org/officeDocument/2006/relationships/hyperlink" Target="http://sports.yahoo.com/nhl/teams/ana" TargetMode="External"/><Relationship Id="rId198" Type="http://schemas.openxmlformats.org/officeDocument/2006/relationships/hyperlink" Target="http://sports.yahoo.com/nhl/players/3614" TargetMode="External"/><Relationship Id="rId321" Type="http://schemas.openxmlformats.org/officeDocument/2006/relationships/hyperlink" Target="http://sports.yahoo.com/nhl/teams/fla" TargetMode="External"/><Relationship Id="rId419" Type="http://schemas.openxmlformats.org/officeDocument/2006/relationships/hyperlink" Target="http://sports.yahoo.com/nhl/teams/pit" TargetMode="External"/><Relationship Id="rId626" Type="http://schemas.openxmlformats.org/officeDocument/2006/relationships/hyperlink" Target="http://sports.yahoo.com/nhl/players/4235" TargetMode="External"/><Relationship Id="rId973" Type="http://schemas.openxmlformats.org/officeDocument/2006/relationships/hyperlink" Target="http://sports.yahoo.com/nhl/teams/car" TargetMode="External"/><Relationship Id="rId1049" Type="http://schemas.openxmlformats.org/officeDocument/2006/relationships/hyperlink" Target="http://sports.yahoo.com/nhl/teams/car" TargetMode="External"/><Relationship Id="rId1256" Type="http://schemas.openxmlformats.org/officeDocument/2006/relationships/hyperlink" Target="http://sports.yahoo.com/nhl/players/5062" TargetMode="External"/><Relationship Id="rId833" Type="http://schemas.openxmlformats.org/officeDocument/2006/relationships/hyperlink" Target="http://sports.yahoo.com/nhl/teams/buf" TargetMode="External"/><Relationship Id="rId1116" Type="http://schemas.openxmlformats.org/officeDocument/2006/relationships/hyperlink" Target="http://sports.yahoo.com/nhl/players/3784" TargetMode="External"/><Relationship Id="rId1463" Type="http://schemas.openxmlformats.org/officeDocument/2006/relationships/hyperlink" Target="http://sports.yahoo.com/nhl/teams/ari" TargetMode="External"/><Relationship Id="rId1670" Type="http://schemas.openxmlformats.org/officeDocument/2006/relationships/hyperlink" Target="http://sports.yahoo.com/nhl/players/4546" TargetMode="External"/><Relationship Id="rId1768" Type="http://schemas.openxmlformats.org/officeDocument/2006/relationships/hyperlink" Target="http://sports.yahoo.com/nhl/players/5187" TargetMode="External"/><Relationship Id="rId265" Type="http://schemas.openxmlformats.org/officeDocument/2006/relationships/hyperlink" Target="http://sports.yahoo.com/nhl/teams/wpg" TargetMode="External"/><Relationship Id="rId472" Type="http://schemas.openxmlformats.org/officeDocument/2006/relationships/hyperlink" Target="http://sports.yahoo.com/nhl/players/5319" TargetMode="External"/><Relationship Id="rId900" Type="http://schemas.openxmlformats.org/officeDocument/2006/relationships/hyperlink" Target="http://sports.yahoo.com/nhl/players/4475" TargetMode="External"/><Relationship Id="rId1323" Type="http://schemas.openxmlformats.org/officeDocument/2006/relationships/hyperlink" Target="http://sports.yahoo.com/nhl/teams/san" TargetMode="External"/><Relationship Id="rId1530" Type="http://schemas.openxmlformats.org/officeDocument/2006/relationships/hyperlink" Target="http://sports.yahoo.com/nhl/players/4946" TargetMode="External"/><Relationship Id="rId1628" Type="http://schemas.openxmlformats.org/officeDocument/2006/relationships/hyperlink" Target="http://sports.yahoo.com/nhl/players/3291" TargetMode="External"/><Relationship Id="rId125" Type="http://schemas.openxmlformats.org/officeDocument/2006/relationships/hyperlink" Target="http://sports.yahoo.com/nhl/teams/cgy" TargetMode="External"/><Relationship Id="rId332" Type="http://schemas.openxmlformats.org/officeDocument/2006/relationships/hyperlink" Target="http://sports.yahoo.com/nhl/players/4174" TargetMode="External"/><Relationship Id="rId777" Type="http://schemas.openxmlformats.org/officeDocument/2006/relationships/hyperlink" Target="http://sports.yahoo.com/nhl/teams/ari" TargetMode="External"/><Relationship Id="rId984" Type="http://schemas.openxmlformats.org/officeDocument/2006/relationships/hyperlink" Target="http://sports.yahoo.com/nhl/players/3274" TargetMode="External"/><Relationship Id="rId637" Type="http://schemas.openxmlformats.org/officeDocument/2006/relationships/hyperlink" Target="http://sports.yahoo.com/nhl/teams/col" TargetMode="External"/><Relationship Id="rId844" Type="http://schemas.openxmlformats.org/officeDocument/2006/relationships/hyperlink" Target="http://sports.yahoo.com/nhl/players/4874" TargetMode="External"/><Relationship Id="rId1267" Type="http://schemas.openxmlformats.org/officeDocument/2006/relationships/hyperlink" Target="http://sports.yahoo.com/nhl/teams/fla" TargetMode="External"/><Relationship Id="rId1474" Type="http://schemas.openxmlformats.org/officeDocument/2006/relationships/hyperlink" Target="http://sports.yahoo.com/nhl/players/4802" TargetMode="External"/><Relationship Id="rId1681" Type="http://schemas.openxmlformats.org/officeDocument/2006/relationships/hyperlink" Target="http://sports.yahoo.com/nhl/teams/ari" TargetMode="External"/><Relationship Id="rId276" Type="http://schemas.openxmlformats.org/officeDocument/2006/relationships/hyperlink" Target="http://sports.yahoo.com/nhl/players/2991" TargetMode="External"/><Relationship Id="rId483" Type="http://schemas.openxmlformats.org/officeDocument/2006/relationships/hyperlink" Target="http://sports.yahoo.com/nhl/teams/van" TargetMode="External"/><Relationship Id="rId690" Type="http://schemas.openxmlformats.org/officeDocument/2006/relationships/hyperlink" Target="http://sports.yahoo.com/nhl/players/4892" TargetMode="External"/><Relationship Id="rId704" Type="http://schemas.openxmlformats.org/officeDocument/2006/relationships/hyperlink" Target="http://sports.yahoo.com/nhl/players/4380" TargetMode="External"/><Relationship Id="rId911" Type="http://schemas.openxmlformats.org/officeDocument/2006/relationships/hyperlink" Target="http://sports.yahoo.com/nhl/teams/mon" TargetMode="External"/><Relationship Id="rId1127" Type="http://schemas.openxmlformats.org/officeDocument/2006/relationships/hyperlink" Target="http://sports.yahoo.com/nhl/teams/min" TargetMode="External"/><Relationship Id="rId1334" Type="http://schemas.openxmlformats.org/officeDocument/2006/relationships/hyperlink" Target="http://sports.yahoo.com/nhl/players/5416" TargetMode="External"/><Relationship Id="rId1541" Type="http://schemas.openxmlformats.org/officeDocument/2006/relationships/hyperlink" Target="http://sports.yahoo.com/nhl/teams/chi" TargetMode="External"/><Relationship Id="rId40" Type="http://schemas.openxmlformats.org/officeDocument/2006/relationships/hyperlink" Target="http://sports.yahoo.com/nhl/players/3638" TargetMode="External"/><Relationship Id="rId136" Type="http://schemas.openxmlformats.org/officeDocument/2006/relationships/hyperlink" Target="http://sports.yahoo.com/nhl/players/3365" TargetMode="External"/><Relationship Id="rId343" Type="http://schemas.openxmlformats.org/officeDocument/2006/relationships/hyperlink" Target="http://sports.yahoo.com/nhl/teams/edm" TargetMode="External"/><Relationship Id="rId550" Type="http://schemas.openxmlformats.org/officeDocument/2006/relationships/hyperlink" Target="http://sports.yahoo.com/nhl/players/5415" TargetMode="External"/><Relationship Id="rId788" Type="http://schemas.openxmlformats.org/officeDocument/2006/relationships/hyperlink" Target="http://sports.yahoo.com/nhl/players/3710" TargetMode="External"/><Relationship Id="rId995" Type="http://schemas.openxmlformats.org/officeDocument/2006/relationships/hyperlink" Target="http://sports.yahoo.com/nhl/teams/san" TargetMode="External"/><Relationship Id="rId1180" Type="http://schemas.openxmlformats.org/officeDocument/2006/relationships/hyperlink" Target="http://sports.yahoo.com/nhl/players/4114" TargetMode="External"/><Relationship Id="rId1401" Type="http://schemas.openxmlformats.org/officeDocument/2006/relationships/hyperlink" Target="http://sports.yahoo.com/nhl/teams/stl" TargetMode="External"/><Relationship Id="rId1639" Type="http://schemas.openxmlformats.org/officeDocument/2006/relationships/hyperlink" Target="http://sports.yahoo.com/nhl/teams/van" TargetMode="External"/><Relationship Id="rId203" Type="http://schemas.openxmlformats.org/officeDocument/2006/relationships/hyperlink" Target="http://sports.yahoo.com/nhl/teams/mon" TargetMode="External"/><Relationship Id="rId648" Type="http://schemas.openxmlformats.org/officeDocument/2006/relationships/hyperlink" Target="http://sports.yahoo.com/nhl/players/6399" TargetMode="External"/><Relationship Id="rId855" Type="http://schemas.openxmlformats.org/officeDocument/2006/relationships/hyperlink" Target="http://sports.yahoo.com/nhl/teams/buf" TargetMode="External"/><Relationship Id="rId1040" Type="http://schemas.openxmlformats.org/officeDocument/2006/relationships/hyperlink" Target="http://sports.yahoo.com/nhl/players/5821" TargetMode="External"/><Relationship Id="rId1278" Type="http://schemas.openxmlformats.org/officeDocument/2006/relationships/hyperlink" Target="http://sports.yahoo.com/nhl/players/4782" TargetMode="External"/><Relationship Id="rId1485" Type="http://schemas.openxmlformats.org/officeDocument/2006/relationships/hyperlink" Target="http://sports.yahoo.com/nhl/teams/njd" TargetMode="External"/><Relationship Id="rId1692" Type="http://schemas.openxmlformats.org/officeDocument/2006/relationships/hyperlink" Target="http://sports.yahoo.com/nhl/players/5508" TargetMode="External"/><Relationship Id="rId1706" Type="http://schemas.openxmlformats.org/officeDocument/2006/relationships/hyperlink" Target="http://sports.yahoo.com/nhl/players/3899" TargetMode="External"/><Relationship Id="rId287" Type="http://schemas.openxmlformats.org/officeDocument/2006/relationships/hyperlink" Target="http://sports.yahoo.com/nhl/teams/cgy" TargetMode="External"/><Relationship Id="rId410" Type="http://schemas.openxmlformats.org/officeDocument/2006/relationships/hyperlink" Target="http://sports.yahoo.com/nhl/players/3329" TargetMode="External"/><Relationship Id="rId494" Type="http://schemas.openxmlformats.org/officeDocument/2006/relationships/hyperlink" Target="http://sports.yahoo.com/nhl/players/4575" TargetMode="External"/><Relationship Id="rId508" Type="http://schemas.openxmlformats.org/officeDocument/2006/relationships/hyperlink" Target="http://sports.yahoo.com/nhl/players/3802" TargetMode="External"/><Relationship Id="rId715" Type="http://schemas.openxmlformats.org/officeDocument/2006/relationships/hyperlink" Target="http://sports.yahoo.com/nhl/teams/cob" TargetMode="External"/><Relationship Id="rId922" Type="http://schemas.openxmlformats.org/officeDocument/2006/relationships/hyperlink" Target="http://sports.yahoo.com/nhl/players/4883" TargetMode="External"/><Relationship Id="rId1138" Type="http://schemas.openxmlformats.org/officeDocument/2006/relationships/hyperlink" Target="http://sports.yahoo.com/nhl/players/2607" TargetMode="External"/><Relationship Id="rId1345" Type="http://schemas.openxmlformats.org/officeDocument/2006/relationships/hyperlink" Target="http://sports.yahoo.com/nhl/teams/edm" TargetMode="External"/><Relationship Id="rId1552" Type="http://schemas.openxmlformats.org/officeDocument/2006/relationships/hyperlink" Target="http://sports.yahoo.com/nhl/players/4920" TargetMode="External"/><Relationship Id="rId147" Type="http://schemas.openxmlformats.org/officeDocument/2006/relationships/hyperlink" Target="http://sports.yahoo.com/nhl/teams/car" TargetMode="External"/><Relationship Id="rId354" Type="http://schemas.openxmlformats.org/officeDocument/2006/relationships/hyperlink" Target="http://sports.yahoo.com/nhl/players/4696" TargetMode="External"/><Relationship Id="rId799" Type="http://schemas.openxmlformats.org/officeDocument/2006/relationships/hyperlink" Target="http://sports.yahoo.com/nhl/teams/pit" TargetMode="External"/><Relationship Id="rId1191" Type="http://schemas.openxmlformats.org/officeDocument/2006/relationships/hyperlink" Target="http://sports.yahoo.com/nhl/teams/nas" TargetMode="External"/><Relationship Id="rId1205" Type="http://schemas.openxmlformats.org/officeDocument/2006/relationships/hyperlink" Target="http://sports.yahoo.com/nhl/teams/pit" TargetMode="External"/><Relationship Id="rId51" Type="http://schemas.openxmlformats.org/officeDocument/2006/relationships/hyperlink" Target="http://sports.yahoo.com/nhl/teams/det" TargetMode="External"/><Relationship Id="rId561" Type="http://schemas.openxmlformats.org/officeDocument/2006/relationships/hyperlink" Target="http://sports.yahoo.com/nhl/teams/cob" TargetMode="External"/><Relationship Id="rId659" Type="http://schemas.openxmlformats.org/officeDocument/2006/relationships/hyperlink" Target="http://sports.yahoo.com/nhl/teams/nyi" TargetMode="External"/><Relationship Id="rId866" Type="http://schemas.openxmlformats.org/officeDocument/2006/relationships/hyperlink" Target="http://sports.yahoo.com/nhl/players/3283" TargetMode="External"/><Relationship Id="rId1289" Type="http://schemas.openxmlformats.org/officeDocument/2006/relationships/hyperlink" Target="http://sports.yahoo.com/nhl/teams/edm" TargetMode="External"/><Relationship Id="rId1412" Type="http://schemas.openxmlformats.org/officeDocument/2006/relationships/hyperlink" Target="http://sports.yahoo.com/nhl/players/4977" TargetMode="External"/><Relationship Id="rId1496" Type="http://schemas.openxmlformats.org/officeDocument/2006/relationships/hyperlink" Target="http://sports.yahoo.com/nhl/players/5709" TargetMode="External"/><Relationship Id="rId1717" Type="http://schemas.openxmlformats.org/officeDocument/2006/relationships/hyperlink" Target="http://sports.yahoo.com/nhl/teams/van" TargetMode="External"/><Relationship Id="rId214" Type="http://schemas.openxmlformats.org/officeDocument/2006/relationships/hyperlink" Target="http://sports.yahoo.com/nhl/players/2416" TargetMode="External"/><Relationship Id="rId298" Type="http://schemas.openxmlformats.org/officeDocument/2006/relationships/hyperlink" Target="http://sports.yahoo.com/nhl/players/2468" TargetMode="External"/><Relationship Id="rId421" Type="http://schemas.openxmlformats.org/officeDocument/2006/relationships/hyperlink" Target="http://sports.yahoo.com/nhl/teams/cgy" TargetMode="External"/><Relationship Id="rId519" Type="http://schemas.openxmlformats.org/officeDocument/2006/relationships/hyperlink" Target="http://sports.yahoo.com/nhl/teams/wpg" TargetMode="External"/><Relationship Id="rId1051" Type="http://schemas.openxmlformats.org/officeDocument/2006/relationships/hyperlink" Target="http://sports.yahoo.com/nhl/teams/pit" TargetMode="External"/><Relationship Id="rId1149" Type="http://schemas.openxmlformats.org/officeDocument/2006/relationships/hyperlink" Target="http://sports.yahoo.com/nhl/teams/ari" TargetMode="External"/><Relationship Id="rId1356" Type="http://schemas.openxmlformats.org/officeDocument/2006/relationships/hyperlink" Target="http://sports.yahoo.com/nhl/players/1500" TargetMode="External"/><Relationship Id="rId158" Type="http://schemas.openxmlformats.org/officeDocument/2006/relationships/hyperlink" Target="http://sports.yahoo.com/nhl/players/4064" TargetMode="External"/><Relationship Id="rId726" Type="http://schemas.openxmlformats.org/officeDocument/2006/relationships/hyperlink" Target="http://sports.yahoo.com/nhl/players/5347" TargetMode="External"/><Relationship Id="rId933" Type="http://schemas.openxmlformats.org/officeDocument/2006/relationships/hyperlink" Target="http://sports.yahoo.com/nhl/teams/fla" TargetMode="External"/><Relationship Id="rId1009" Type="http://schemas.openxmlformats.org/officeDocument/2006/relationships/hyperlink" Target="http://sports.yahoo.com/nhl/teams/tor" TargetMode="External"/><Relationship Id="rId1563" Type="http://schemas.openxmlformats.org/officeDocument/2006/relationships/hyperlink" Target="http://sports.yahoo.com/nhl/teams/njd" TargetMode="External"/><Relationship Id="rId62" Type="http://schemas.openxmlformats.org/officeDocument/2006/relationships/hyperlink" Target="http://sports.yahoo.com/nhl/players/5425" TargetMode="External"/><Relationship Id="rId365" Type="http://schemas.openxmlformats.org/officeDocument/2006/relationships/hyperlink" Target="http://sports.yahoo.com/nhl/teams/dal" TargetMode="External"/><Relationship Id="rId572" Type="http://schemas.openxmlformats.org/officeDocument/2006/relationships/hyperlink" Target="http://sports.yahoo.com/nhl/players/3375" TargetMode="External"/><Relationship Id="rId1216" Type="http://schemas.openxmlformats.org/officeDocument/2006/relationships/hyperlink" Target="http://sports.yahoo.com/nhl/players/4748" TargetMode="External"/><Relationship Id="rId1423" Type="http://schemas.openxmlformats.org/officeDocument/2006/relationships/hyperlink" Target="http://sports.yahoo.com/nhl/teams/det" TargetMode="External"/><Relationship Id="rId1630" Type="http://schemas.openxmlformats.org/officeDocument/2006/relationships/hyperlink" Target="http://sports.yahoo.com/nhl/players/5986" TargetMode="External"/><Relationship Id="rId225" Type="http://schemas.openxmlformats.org/officeDocument/2006/relationships/hyperlink" Target="http://sports.yahoo.com/nhl/teams/ott" TargetMode="External"/><Relationship Id="rId432" Type="http://schemas.openxmlformats.org/officeDocument/2006/relationships/hyperlink" Target="http://sports.yahoo.com/nhl/players/4771" TargetMode="External"/><Relationship Id="rId877" Type="http://schemas.openxmlformats.org/officeDocument/2006/relationships/hyperlink" Target="http://sports.yahoo.com/nhl/teams/nas" TargetMode="External"/><Relationship Id="rId1062" Type="http://schemas.openxmlformats.org/officeDocument/2006/relationships/hyperlink" Target="http://sports.yahoo.com/nhl/players/3269" TargetMode="External"/><Relationship Id="rId1728" Type="http://schemas.openxmlformats.org/officeDocument/2006/relationships/hyperlink" Target="http://sports.yahoo.com/nhl/players/3890" TargetMode="External"/><Relationship Id="rId737" Type="http://schemas.openxmlformats.org/officeDocument/2006/relationships/hyperlink" Target="http://sports.yahoo.com/nhl/teams/buf" TargetMode="External"/><Relationship Id="rId944" Type="http://schemas.openxmlformats.org/officeDocument/2006/relationships/hyperlink" Target="http://sports.yahoo.com/nhl/players/3170" TargetMode="External"/><Relationship Id="rId1367" Type="http://schemas.openxmlformats.org/officeDocument/2006/relationships/hyperlink" Target="http://sports.yahoo.com/nhl/teams/col" TargetMode="External"/><Relationship Id="rId1574" Type="http://schemas.openxmlformats.org/officeDocument/2006/relationships/hyperlink" Target="http://sports.yahoo.com/nhl/players/3703" TargetMode="External"/><Relationship Id="rId73" Type="http://schemas.openxmlformats.org/officeDocument/2006/relationships/hyperlink" Target="http://sports.yahoo.com/nhl/teams/ott" TargetMode="External"/><Relationship Id="rId169" Type="http://schemas.openxmlformats.org/officeDocument/2006/relationships/hyperlink" Target="http://sports.yahoo.com/nhl/teams/wpg" TargetMode="External"/><Relationship Id="rId376" Type="http://schemas.openxmlformats.org/officeDocument/2006/relationships/hyperlink" Target="http://sports.yahoo.com/nhl/players/3998" TargetMode="External"/><Relationship Id="rId583" Type="http://schemas.openxmlformats.org/officeDocument/2006/relationships/hyperlink" Target="http://sports.yahoo.com/nhl/teams/njd" TargetMode="External"/><Relationship Id="rId790" Type="http://schemas.openxmlformats.org/officeDocument/2006/relationships/hyperlink" Target="http://sports.yahoo.com/nhl/players/5329" TargetMode="External"/><Relationship Id="rId804" Type="http://schemas.openxmlformats.org/officeDocument/2006/relationships/hyperlink" Target="http://sports.yahoo.com/nhl/players/5642" TargetMode="External"/><Relationship Id="rId1227" Type="http://schemas.openxmlformats.org/officeDocument/2006/relationships/hyperlink" Target="http://sports.yahoo.com/nhl/teams/buf" TargetMode="External"/><Relationship Id="rId1434" Type="http://schemas.openxmlformats.org/officeDocument/2006/relationships/hyperlink" Target="http://sports.yahoo.com/nhl/players/4249" TargetMode="External"/><Relationship Id="rId1641" Type="http://schemas.openxmlformats.org/officeDocument/2006/relationships/hyperlink" Target="http://sports.yahoo.com/nhl/teams/cgy" TargetMode="External"/><Relationship Id="rId4" Type="http://schemas.openxmlformats.org/officeDocument/2006/relationships/hyperlink" Target="http://sports.yahoo.com/nhl/stats/byposition?pos=C,RW,LW,D&amp;conference=NHL&amp;year=season_2014&amp;qualified=1&amp;sort=1" TargetMode="External"/><Relationship Id="rId236" Type="http://schemas.openxmlformats.org/officeDocument/2006/relationships/hyperlink" Target="http://sports.yahoo.com/nhl/players/3266" TargetMode="External"/><Relationship Id="rId443" Type="http://schemas.openxmlformats.org/officeDocument/2006/relationships/hyperlink" Target="http://sports.yahoo.com/nhl/teams/edm" TargetMode="External"/><Relationship Id="rId650" Type="http://schemas.openxmlformats.org/officeDocument/2006/relationships/hyperlink" Target="http://sports.yahoo.com/nhl/players/5434" TargetMode="External"/><Relationship Id="rId888" Type="http://schemas.openxmlformats.org/officeDocument/2006/relationships/hyperlink" Target="http://sports.yahoo.com/nhl/players/3843" TargetMode="External"/><Relationship Id="rId1073" Type="http://schemas.openxmlformats.org/officeDocument/2006/relationships/hyperlink" Target="http://sports.yahoo.com/nhl/teams/edm" TargetMode="External"/><Relationship Id="rId1280" Type="http://schemas.openxmlformats.org/officeDocument/2006/relationships/hyperlink" Target="http://sports.yahoo.com/nhl/players/1920" TargetMode="External"/><Relationship Id="rId1501" Type="http://schemas.openxmlformats.org/officeDocument/2006/relationships/hyperlink" Target="http://sports.yahoo.com/nhl/teams/bos" TargetMode="External"/><Relationship Id="rId1739" Type="http://schemas.openxmlformats.org/officeDocument/2006/relationships/hyperlink" Target="http://sports.yahoo.com/nhl/teams/tam" TargetMode="External"/><Relationship Id="rId303" Type="http://schemas.openxmlformats.org/officeDocument/2006/relationships/hyperlink" Target="http://sports.yahoo.com/nhl/teams/cob" TargetMode="External"/><Relationship Id="rId748" Type="http://schemas.openxmlformats.org/officeDocument/2006/relationships/hyperlink" Target="http://sports.yahoo.com/nhl/players/5791" TargetMode="External"/><Relationship Id="rId955" Type="http://schemas.openxmlformats.org/officeDocument/2006/relationships/hyperlink" Target="http://sports.yahoo.com/nhl/teams/wpg" TargetMode="External"/><Relationship Id="rId1140" Type="http://schemas.openxmlformats.org/officeDocument/2006/relationships/hyperlink" Target="http://sports.yahoo.com/nhl/players/4877" TargetMode="External"/><Relationship Id="rId1378" Type="http://schemas.openxmlformats.org/officeDocument/2006/relationships/hyperlink" Target="http://sports.yahoo.com/nhl/players/1571" TargetMode="External"/><Relationship Id="rId1585" Type="http://schemas.openxmlformats.org/officeDocument/2006/relationships/hyperlink" Target="http://sports.yahoo.com/nhl/teams/mon" TargetMode="External"/><Relationship Id="rId84" Type="http://schemas.openxmlformats.org/officeDocument/2006/relationships/hyperlink" Target="http://sports.yahoo.com/nhl/players/3640" TargetMode="External"/><Relationship Id="rId387" Type="http://schemas.openxmlformats.org/officeDocument/2006/relationships/hyperlink" Target="http://sports.yahoo.com/nhl/teams/buf" TargetMode="External"/><Relationship Id="rId510" Type="http://schemas.openxmlformats.org/officeDocument/2006/relationships/hyperlink" Target="http://sports.yahoo.com/nhl/players/4544" TargetMode="External"/><Relationship Id="rId594" Type="http://schemas.openxmlformats.org/officeDocument/2006/relationships/hyperlink" Target="http://sports.yahoo.com/nhl/players/3000" TargetMode="External"/><Relationship Id="rId608" Type="http://schemas.openxmlformats.org/officeDocument/2006/relationships/hyperlink" Target="http://sports.yahoo.com/nhl/players/4493" TargetMode="External"/><Relationship Id="rId815" Type="http://schemas.openxmlformats.org/officeDocument/2006/relationships/hyperlink" Target="http://sports.yahoo.com/nhl/teams/chi" TargetMode="External"/><Relationship Id="rId1238" Type="http://schemas.openxmlformats.org/officeDocument/2006/relationships/hyperlink" Target="http://sports.yahoo.com/nhl/players/4574" TargetMode="External"/><Relationship Id="rId1445" Type="http://schemas.openxmlformats.org/officeDocument/2006/relationships/hyperlink" Target="http://sports.yahoo.com/nhl/teams/min" TargetMode="External"/><Relationship Id="rId1652" Type="http://schemas.openxmlformats.org/officeDocument/2006/relationships/hyperlink" Target="http://sports.yahoo.com/nhl/players/4317" TargetMode="External"/><Relationship Id="rId247" Type="http://schemas.openxmlformats.org/officeDocument/2006/relationships/hyperlink" Target="http://sports.yahoo.com/nhl/teams/det" TargetMode="External"/><Relationship Id="rId899" Type="http://schemas.openxmlformats.org/officeDocument/2006/relationships/hyperlink" Target="http://sports.yahoo.com/nhl/teams/edm" TargetMode="External"/><Relationship Id="rId1000" Type="http://schemas.openxmlformats.org/officeDocument/2006/relationships/hyperlink" Target="http://sports.yahoo.com/nhl/players/4094" TargetMode="External"/><Relationship Id="rId1084" Type="http://schemas.openxmlformats.org/officeDocument/2006/relationships/hyperlink" Target="http://sports.yahoo.com/nhl/players/4410" TargetMode="External"/><Relationship Id="rId1305" Type="http://schemas.openxmlformats.org/officeDocument/2006/relationships/hyperlink" Target="http://sports.yahoo.com/nhl/teams/wpg" TargetMode="External"/><Relationship Id="rId107" Type="http://schemas.openxmlformats.org/officeDocument/2006/relationships/hyperlink" Target="http://sports.yahoo.com/nhl/teams/mon" TargetMode="External"/><Relationship Id="rId454" Type="http://schemas.openxmlformats.org/officeDocument/2006/relationships/hyperlink" Target="http://sports.yahoo.com/nhl/players/2764" TargetMode="External"/><Relationship Id="rId661" Type="http://schemas.openxmlformats.org/officeDocument/2006/relationships/hyperlink" Target="http://sports.yahoo.com/nhl/teams/mon" TargetMode="External"/><Relationship Id="rId759" Type="http://schemas.openxmlformats.org/officeDocument/2006/relationships/hyperlink" Target="http://sports.yahoo.com/nhl/teams/chi" TargetMode="External"/><Relationship Id="rId966" Type="http://schemas.openxmlformats.org/officeDocument/2006/relationships/hyperlink" Target="http://sports.yahoo.com/nhl/players/4860" TargetMode="External"/><Relationship Id="rId1291" Type="http://schemas.openxmlformats.org/officeDocument/2006/relationships/hyperlink" Target="http://sports.yahoo.com/nhl/teams/was" TargetMode="External"/><Relationship Id="rId1389" Type="http://schemas.openxmlformats.org/officeDocument/2006/relationships/hyperlink" Target="http://sports.yahoo.com/nhl/teams/edm" TargetMode="External"/><Relationship Id="rId1512" Type="http://schemas.openxmlformats.org/officeDocument/2006/relationships/hyperlink" Target="http://sports.yahoo.com/nhl/players/5296" TargetMode="External"/><Relationship Id="rId1596" Type="http://schemas.openxmlformats.org/officeDocument/2006/relationships/hyperlink" Target="http://sports.yahoo.com/nhl/players/5076" TargetMode="External"/><Relationship Id="rId11" Type="http://schemas.openxmlformats.org/officeDocument/2006/relationships/hyperlink" Target="http://sports.yahoo.com/nhl/teams/pit" TargetMode="External"/><Relationship Id="rId314" Type="http://schemas.openxmlformats.org/officeDocument/2006/relationships/hyperlink" Target="http://sports.yahoo.com/nhl/players/4687" TargetMode="External"/><Relationship Id="rId398" Type="http://schemas.openxmlformats.org/officeDocument/2006/relationships/hyperlink" Target="http://sports.yahoo.com/nhl/players/1389" TargetMode="External"/><Relationship Id="rId521" Type="http://schemas.openxmlformats.org/officeDocument/2006/relationships/hyperlink" Target="http://sports.yahoo.com/nhl/teams/car" TargetMode="External"/><Relationship Id="rId619" Type="http://schemas.openxmlformats.org/officeDocument/2006/relationships/hyperlink" Target="http://sports.yahoo.com/nhl/teams/van" TargetMode="External"/><Relationship Id="rId1151" Type="http://schemas.openxmlformats.org/officeDocument/2006/relationships/hyperlink" Target="http://sports.yahoo.com/nhl/teams/ari" TargetMode="External"/><Relationship Id="rId1249" Type="http://schemas.openxmlformats.org/officeDocument/2006/relationships/hyperlink" Target="http://sports.yahoo.com/nhl/teams/dal" TargetMode="External"/><Relationship Id="rId95" Type="http://schemas.openxmlformats.org/officeDocument/2006/relationships/hyperlink" Target="http://sports.yahoo.com/nhl/teams/los" TargetMode="External"/><Relationship Id="rId160" Type="http://schemas.openxmlformats.org/officeDocument/2006/relationships/hyperlink" Target="http://sports.yahoo.com/nhl/players/5281" TargetMode="External"/><Relationship Id="rId826" Type="http://schemas.openxmlformats.org/officeDocument/2006/relationships/hyperlink" Target="http://sports.yahoo.com/nhl/players/5606" TargetMode="External"/><Relationship Id="rId1011" Type="http://schemas.openxmlformats.org/officeDocument/2006/relationships/hyperlink" Target="http://sports.yahoo.com/nhl/teams/nyr" TargetMode="External"/><Relationship Id="rId1109" Type="http://schemas.openxmlformats.org/officeDocument/2006/relationships/hyperlink" Target="http://sports.yahoo.com/nhl/teams/ana" TargetMode="External"/><Relationship Id="rId1456" Type="http://schemas.openxmlformats.org/officeDocument/2006/relationships/hyperlink" Target="http://sports.yahoo.com/nhl/players/5644" TargetMode="External"/><Relationship Id="rId1663" Type="http://schemas.openxmlformats.org/officeDocument/2006/relationships/hyperlink" Target="http://sports.yahoo.com/nhl/teams/was" TargetMode="External"/><Relationship Id="rId258" Type="http://schemas.openxmlformats.org/officeDocument/2006/relationships/hyperlink" Target="http://sports.yahoo.com/nhl/players/4979" TargetMode="External"/><Relationship Id="rId465" Type="http://schemas.openxmlformats.org/officeDocument/2006/relationships/hyperlink" Target="http://sports.yahoo.com/nhl/teams/det" TargetMode="External"/><Relationship Id="rId672" Type="http://schemas.openxmlformats.org/officeDocument/2006/relationships/hyperlink" Target="http://sports.yahoo.com/nhl/players/6002" TargetMode="External"/><Relationship Id="rId1095" Type="http://schemas.openxmlformats.org/officeDocument/2006/relationships/hyperlink" Target="http://sports.yahoo.com/nhl/teams/dal" TargetMode="External"/><Relationship Id="rId1316" Type="http://schemas.openxmlformats.org/officeDocument/2006/relationships/hyperlink" Target="http://sports.yahoo.com/nhl/players/5682" TargetMode="External"/><Relationship Id="rId1523" Type="http://schemas.openxmlformats.org/officeDocument/2006/relationships/hyperlink" Target="http://sports.yahoo.com/nhl/teams/mon" TargetMode="External"/><Relationship Id="rId1730" Type="http://schemas.openxmlformats.org/officeDocument/2006/relationships/hyperlink" Target="http://sports.yahoo.com/nhl/players/5881" TargetMode="External"/><Relationship Id="rId22" Type="http://schemas.openxmlformats.org/officeDocument/2006/relationships/hyperlink" Target="http://sports.yahoo.com/nhl/players/2102" TargetMode="External"/><Relationship Id="rId118" Type="http://schemas.openxmlformats.org/officeDocument/2006/relationships/hyperlink" Target="http://sports.yahoo.com/nhl/players/1644" TargetMode="External"/><Relationship Id="rId325" Type="http://schemas.openxmlformats.org/officeDocument/2006/relationships/hyperlink" Target="http://sports.yahoo.com/nhl/teams/van" TargetMode="External"/><Relationship Id="rId532" Type="http://schemas.openxmlformats.org/officeDocument/2006/relationships/hyperlink" Target="http://sports.yahoo.com/nhl/players/4691" TargetMode="External"/><Relationship Id="rId977" Type="http://schemas.openxmlformats.org/officeDocument/2006/relationships/hyperlink" Target="http://sports.yahoo.com/nhl/teams/edm" TargetMode="External"/><Relationship Id="rId1162" Type="http://schemas.openxmlformats.org/officeDocument/2006/relationships/hyperlink" Target="http://sports.yahoo.com/nhl/players/2475" TargetMode="External"/><Relationship Id="rId171" Type="http://schemas.openxmlformats.org/officeDocument/2006/relationships/hyperlink" Target="http://sports.yahoo.com/nhl/teams/min" TargetMode="External"/><Relationship Id="rId837" Type="http://schemas.openxmlformats.org/officeDocument/2006/relationships/hyperlink" Target="http://sports.yahoo.com/nhl/teams/min" TargetMode="External"/><Relationship Id="rId1022" Type="http://schemas.openxmlformats.org/officeDocument/2006/relationships/hyperlink" Target="http://sports.yahoo.com/nhl/players/4495" TargetMode="External"/><Relationship Id="rId1467" Type="http://schemas.openxmlformats.org/officeDocument/2006/relationships/hyperlink" Target="http://sports.yahoo.com/nhl/teams/ari" TargetMode="External"/><Relationship Id="rId1674" Type="http://schemas.openxmlformats.org/officeDocument/2006/relationships/hyperlink" Target="http://sports.yahoo.com/nhl/players/5435" TargetMode="External"/><Relationship Id="rId269" Type="http://schemas.openxmlformats.org/officeDocument/2006/relationships/hyperlink" Target="http://sports.yahoo.com/nhl/teams/was" TargetMode="External"/><Relationship Id="rId476" Type="http://schemas.openxmlformats.org/officeDocument/2006/relationships/hyperlink" Target="http://sports.yahoo.com/nhl/players/5391" TargetMode="External"/><Relationship Id="rId683" Type="http://schemas.openxmlformats.org/officeDocument/2006/relationships/hyperlink" Target="http://sports.yahoo.com/nhl/teams/ari" TargetMode="External"/><Relationship Id="rId890" Type="http://schemas.openxmlformats.org/officeDocument/2006/relationships/hyperlink" Target="http://sports.yahoo.com/nhl/players/3123" TargetMode="External"/><Relationship Id="rId904" Type="http://schemas.openxmlformats.org/officeDocument/2006/relationships/hyperlink" Target="http://sports.yahoo.com/nhl/players/5130" TargetMode="External"/><Relationship Id="rId1327" Type="http://schemas.openxmlformats.org/officeDocument/2006/relationships/hyperlink" Target="http://sports.yahoo.com/nhl/teams/cgy" TargetMode="External"/><Relationship Id="rId1534" Type="http://schemas.openxmlformats.org/officeDocument/2006/relationships/hyperlink" Target="http://sports.yahoo.com/nhl/players/4587" TargetMode="External"/><Relationship Id="rId1741" Type="http://schemas.openxmlformats.org/officeDocument/2006/relationships/hyperlink" Target="http://sports.yahoo.com/nhl/teams/dal" TargetMode="External"/><Relationship Id="rId33" Type="http://schemas.openxmlformats.org/officeDocument/2006/relationships/hyperlink" Target="http://sports.yahoo.com/nhl/teams/tam" TargetMode="External"/><Relationship Id="rId129" Type="http://schemas.openxmlformats.org/officeDocument/2006/relationships/hyperlink" Target="http://sports.yahoo.com/nhl/teams/col" TargetMode="External"/><Relationship Id="rId336" Type="http://schemas.openxmlformats.org/officeDocument/2006/relationships/hyperlink" Target="http://sports.yahoo.com/nhl/players/2780" TargetMode="External"/><Relationship Id="rId543" Type="http://schemas.openxmlformats.org/officeDocument/2006/relationships/hyperlink" Target="http://sports.yahoo.com/nhl/teams/bos" TargetMode="External"/><Relationship Id="rId988" Type="http://schemas.openxmlformats.org/officeDocument/2006/relationships/hyperlink" Target="http://sports.yahoo.com/nhl/players/1737" TargetMode="External"/><Relationship Id="rId1173" Type="http://schemas.openxmlformats.org/officeDocument/2006/relationships/hyperlink" Target="http://sports.yahoo.com/nhl/teams/nyi" TargetMode="External"/><Relationship Id="rId1380" Type="http://schemas.openxmlformats.org/officeDocument/2006/relationships/hyperlink" Target="http://sports.yahoo.com/nhl/players/1753" TargetMode="External"/><Relationship Id="rId1601" Type="http://schemas.openxmlformats.org/officeDocument/2006/relationships/hyperlink" Target="http://sports.yahoo.com/nhl/teams/tor" TargetMode="External"/><Relationship Id="rId182" Type="http://schemas.openxmlformats.org/officeDocument/2006/relationships/hyperlink" Target="http://sports.yahoo.com/nhl/players/4328" TargetMode="External"/><Relationship Id="rId403" Type="http://schemas.openxmlformats.org/officeDocument/2006/relationships/hyperlink" Target="http://sports.yahoo.com/nhl/teams/chi" TargetMode="External"/><Relationship Id="rId750" Type="http://schemas.openxmlformats.org/officeDocument/2006/relationships/hyperlink" Target="http://sports.yahoo.com/nhl/players/3965" TargetMode="External"/><Relationship Id="rId848" Type="http://schemas.openxmlformats.org/officeDocument/2006/relationships/hyperlink" Target="http://sports.yahoo.com/nhl/players/3132" TargetMode="External"/><Relationship Id="rId1033" Type="http://schemas.openxmlformats.org/officeDocument/2006/relationships/hyperlink" Target="http://sports.yahoo.com/nhl/teams/dal" TargetMode="External"/><Relationship Id="rId1478" Type="http://schemas.openxmlformats.org/officeDocument/2006/relationships/hyperlink" Target="http://sports.yahoo.com/nhl/players/5785" TargetMode="External"/><Relationship Id="rId1685" Type="http://schemas.openxmlformats.org/officeDocument/2006/relationships/hyperlink" Target="http://sports.yahoo.com/nhl/teams/car" TargetMode="External"/><Relationship Id="rId487" Type="http://schemas.openxmlformats.org/officeDocument/2006/relationships/hyperlink" Target="http://sports.yahoo.com/nhl/teams/was" TargetMode="External"/><Relationship Id="rId610" Type="http://schemas.openxmlformats.org/officeDocument/2006/relationships/hyperlink" Target="http://sports.yahoo.com/nhl/players/5193" TargetMode="External"/><Relationship Id="rId694" Type="http://schemas.openxmlformats.org/officeDocument/2006/relationships/hyperlink" Target="http://sports.yahoo.com/nhl/players/4244" TargetMode="External"/><Relationship Id="rId708" Type="http://schemas.openxmlformats.org/officeDocument/2006/relationships/hyperlink" Target="http://sports.yahoo.com/nhl/players/5015" TargetMode="External"/><Relationship Id="rId915" Type="http://schemas.openxmlformats.org/officeDocument/2006/relationships/hyperlink" Target="http://sports.yahoo.com/nhl/teams/njd" TargetMode="External"/><Relationship Id="rId1240" Type="http://schemas.openxmlformats.org/officeDocument/2006/relationships/hyperlink" Target="http://sports.yahoo.com/nhl/players/5421" TargetMode="External"/><Relationship Id="rId1338" Type="http://schemas.openxmlformats.org/officeDocument/2006/relationships/hyperlink" Target="http://sports.yahoo.com/nhl/players/5525" TargetMode="External"/><Relationship Id="rId1545" Type="http://schemas.openxmlformats.org/officeDocument/2006/relationships/hyperlink" Target="http://sports.yahoo.com/nhl/teams/wpg" TargetMode="External"/><Relationship Id="rId347" Type="http://schemas.openxmlformats.org/officeDocument/2006/relationships/hyperlink" Target="http://sports.yahoo.com/nhl/teams/tam" TargetMode="External"/><Relationship Id="rId999" Type="http://schemas.openxmlformats.org/officeDocument/2006/relationships/hyperlink" Target="http://sports.yahoo.com/nhl/teams/stl" TargetMode="External"/><Relationship Id="rId1100" Type="http://schemas.openxmlformats.org/officeDocument/2006/relationships/hyperlink" Target="http://sports.yahoo.com/nhl/players/4632" TargetMode="External"/><Relationship Id="rId1184" Type="http://schemas.openxmlformats.org/officeDocument/2006/relationships/hyperlink" Target="http://sports.yahoo.com/nhl/players/6060" TargetMode="External"/><Relationship Id="rId1405" Type="http://schemas.openxmlformats.org/officeDocument/2006/relationships/hyperlink" Target="http://sports.yahoo.com/nhl/teams/cob" TargetMode="External"/><Relationship Id="rId1752" Type="http://schemas.openxmlformats.org/officeDocument/2006/relationships/hyperlink" Target="http://sports.yahoo.com/nhl/players/4067" TargetMode="External"/><Relationship Id="rId44" Type="http://schemas.openxmlformats.org/officeDocument/2006/relationships/hyperlink" Target="http://sports.yahoo.com/nhl/players/3153" TargetMode="External"/><Relationship Id="rId554" Type="http://schemas.openxmlformats.org/officeDocument/2006/relationships/hyperlink" Target="http://sports.yahoo.com/nhl/players/4252" TargetMode="External"/><Relationship Id="rId761" Type="http://schemas.openxmlformats.org/officeDocument/2006/relationships/hyperlink" Target="http://sports.yahoo.com/nhl/teams/car" TargetMode="External"/><Relationship Id="rId859" Type="http://schemas.openxmlformats.org/officeDocument/2006/relationships/hyperlink" Target="http://sports.yahoo.com/nhl/teams/stl" TargetMode="External"/><Relationship Id="rId1391" Type="http://schemas.openxmlformats.org/officeDocument/2006/relationships/hyperlink" Target="http://sports.yahoo.com/nhl/teams/pit" TargetMode="External"/><Relationship Id="rId1489" Type="http://schemas.openxmlformats.org/officeDocument/2006/relationships/hyperlink" Target="http://sports.yahoo.com/nhl/teams/stl" TargetMode="External"/><Relationship Id="rId1612" Type="http://schemas.openxmlformats.org/officeDocument/2006/relationships/hyperlink" Target="http://sports.yahoo.com/nhl/players/6357" TargetMode="External"/><Relationship Id="rId1696" Type="http://schemas.openxmlformats.org/officeDocument/2006/relationships/hyperlink" Target="http://sports.yahoo.com/nhl/players/4530" TargetMode="External"/><Relationship Id="rId193" Type="http://schemas.openxmlformats.org/officeDocument/2006/relationships/hyperlink" Target="http://sports.yahoo.com/nhl/teams/los" TargetMode="External"/><Relationship Id="rId207" Type="http://schemas.openxmlformats.org/officeDocument/2006/relationships/hyperlink" Target="http://sports.yahoo.com/nhl/teams/phi" TargetMode="External"/><Relationship Id="rId414" Type="http://schemas.openxmlformats.org/officeDocument/2006/relationships/hyperlink" Target="http://sports.yahoo.com/nhl/players/4972" TargetMode="External"/><Relationship Id="rId498" Type="http://schemas.openxmlformats.org/officeDocument/2006/relationships/hyperlink" Target="http://sports.yahoo.com/nhl/players/4706" TargetMode="External"/><Relationship Id="rId621" Type="http://schemas.openxmlformats.org/officeDocument/2006/relationships/hyperlink" Target="http://sports.yahoo.com/nhl/teams/njd" TargetMode="External"/><Relationship Id="rId1044" Type="http://schemas.openxmlformats.org/officeDocument/2006/relationships/hyperlink" Target="http://sports.yahoo.com/nhl/players/1765" TargetMode="External"/><Relationship Id="rId1251" Type="http://schemas.openxmlformats.org/officeDocument/2006/relationships/hyperlink" Target="http://sports.yahoo.com/nhl/teams/cgy" TargetMode="External"/><Relationship Id="rId1349" Type="http://schemas.openxmlformats.org/officeDocument/2006/relationships/hyperlink" Target="http://sports.yahoo.com/nhl/teams/stl" TargetMode="External"/><Relationship Id="rId260" Type="http://schemas.openxmlformats.org/officeDocument/2006/relationships/hyperlink" Target="http://sports.yahoo.com/nhl/players/3918" TargetMode="External"/><Relationship Id="rId719" Type="http://schemas.openxmlformats.org/officeDocument/2006/relationships/hyperlink" Target="http://sports.yahoo.com/nhl/teams/edm" TargetMode="External"/><Relationship Id="rId926" Type="http://schemas.openxmlformats.org/officeDocument/2006/relationships/hyperlink" Target="http://sports.yahoo.com/nhl/players/3967" TargetMode="External"/><Relationship Id="rId1111" Type="http://schemas.openxmlformats.org/officeDocument/2006/relationships/hyperlink" Target="http://sports.yahoo.com/nhl/teams/phi" TargetMode="External"/><Relationship Id="rId1556" Type="http://schemas.openxmlformats.org/officeDocument/2006/relationships/hyperlink" Target="http://sports.yahoo.com/nhl/players/5939" TargetMode="External"/><Relationship Id="rId1763" Type="http://schemas.openxmlformats.org/officeDocument/2006/relationships/hyperlink" Target="http://sports.yahoo.com/nhl/teams/cgy" TargetMode="External"/><Relationship Id="rId55" Type="http://schemas.openxmlformats.org/officeDocument/2006/relationships/hyperlink" Target="http://sports.yahoo.com/nhl/teams/ott" TargetMode="External"/><Relationship Id="rId120" Type="http://schemas.openxmlformats.org/officeDocument/2006/relationships/hyperlink" Target="http://sports.yahoo.com/nhl/players/5362" TargetMode="External"/><Relationship Id="rId358" Type="http://schemas.openxmlformats.org/officeDocument/2006/relationships/hyperlink" Target="http://sports.yahoo.com/nhl/players/5346" TargetMode="External"/><Relationship Id="rId565" Type="http://schemas.openxmlformats.org/officeDocument/2006/relationships/hyperlink" Target="http://sports.yahoo.com/nhl/teams/ott" TargetMode="External"/><Relationship Id="rId772" Type="http://schemas.openxmlformats.org/officeDocument/2006/relationships/hyperlink" Target="http://sports.yahoo.com/nhl/players/3698" TargetMode="External"/><Relationship Id="rId1195" Type="http://schemas.openxmlformats.org/officeDocument/2006/relationships/hyperlink" Target="http://sports.yahoo.com/nhl/teams/edm" TargetMode="External"/><Relationship Id="rId1209" Type="http://schemas.openxmlformats.org/officeDocument/2006/relationships/hyperlink" Target="http://sports.yahoo.com/nhl/teams/ari" TargetMode="External"/><Relationship Id="rId1416" Type="http://schemas.openxmlformats.org/officeDocument/2006/relationships/hyperlink" Target="http://sports.yahoo.com/nhl/players/4606" TargetMode="External"/><Relationship Id="rId1623" Type="http://schemas.openxmlformats.org/officeDocument/2006/relationships/hyperlink" Target="http://sports.yahoo.com/nhl/teams/nas" TargetMode="External"/><Relationship Id="rId218" Type="http://schemas.openxmlformats.org/officeDocument/2006/relationships/hyperlink" Target="http://sports.yahoo.com/nhl/players/4474" TargetMode="External"/><Relationship Id="rId425" Type="http://schemas.openxmlformats.org/officeDocument/2006/relationships/hyperlink" Target="http://sports.yahoo.com/nhl/teams/was" TargetMode="External"/><Relationship Id="rId632" Type="http://schemas.openxmlformats.org/officeDocument/2006/relationships/hyperlink" Target="http://sports.yahoo.com/nhl/players/3986" TargetMode="External"/><Relationship Id="rId1055" Type="http://schemas.openxmlformats.org/officeDocument/2006/relationships/hyperlink" Target="http://sports.yahoo.com/nhl/teams/ana" TargetMode="External"/><Relationship Id="rId1262" Type="http://schemas.openxmlformats.org/officeDocument/2006/relationships/hyperlink" Target="http://sports.yahoo.com/nhl/players/4128" TargetMode="External"/><Relationship Id="rId271" Type="http://schemas.openxmlformats.org/officeDocument/2006/relationships/hyperlink" Target="http://sports.yahoo.com/nhl/teams/ari" TargetMode="External"/><Relationship Id="rId937" Type="http://schemas.openxmlformats.org/officeDocument/2006/relationships/hyperlink" Target="http://sports.yahoo.com/nhl/teams/los" TargetMode="External"/><Relationship Id="rId1122" Type="http://schemas.openxmlformats.org/officeDocument/2006/relationships/hyperlink" Target="http://sports.yahoo.com/nhl/players/5127" TargetMode="External"/><Relationship Id="rId1567" Type="http://schemas.openxmlformats.org/officeDocument/2006/relationships/hyperlink" Target="http://sports.yahoo.com/nhl/teams/ari" TargetMode="External"/><Relationship Id="rId66" Type="http://schemas.openxmlformats.org/officeDocument/2006/relationships/hyperlink" Target="http://sports.yahoo.com/nhl/players/3136" TargetMode="External"/><Relationship Id="rId131" Type="http://schemas.openxmlformats.org/officeDocument/2006/relationships/hyperlink" Target="http://sports.yahoo.com/nhl/teams/was" TargetMode="External"/><Relationship Id="rId369" Type="http://schemas.openxmlformats.org/officeDocument/2006/relationships/hyperlink" Target="http://sports.yahoo.com/nhl/teams/san" TargetMode="External"/><Relationship Id="rId576" Type="http://schemas.openxmlformats.org/officeDocument/2006/relationships/hyperlink" Target="http://sports.yahoo.com/nhl/players/4559" TargetMode="External"/><Relationship Id="rId783" Type="http://schemas.openxmlformats.org/officeDocument/2006/relationships/hyperlink" Target="http://sports.yahoo.com/nhl/teams/nyi" TargetMode="External"/><Relationship Id="rId990" Type="http://schemas.openxmlformats.org/officeDocument/2006/relationships/hyperlink" Target="http://sports.yahoo.com/nhl/players/3120" TargetMode="External"/><Relationship Id="rId1427" Type="http://schemas.openxmlformats.org/officeDocument/2006/relationships/hyperlink" Target="http://sports.yahoo.com/nhl/teams/cob" TargetMode="External"/><Relationship Id="rId1634" Type="http://schemas.openxmlformats.org/officeDocument/2006/relationships/hyperlink" Target="http://sports.yahoo.com/nhl/players/5733" TargetMode="External"/><Relationship Id="rId229" Type="http://schemas.openxmlformats.org/officeDocument/2006/relationships/hyperlink" Target="http://sports.yahoo.com/nhl/teams/nyr" TargetMode="External"/><Relationship Id="rId436" Type="http://schemas.openxmlformats.org/officeDocument/2006/relationships/hyperlink" Target="http://sports.yahoo.com/nhl/players/3838" TargetMode="External"/><Relationship Id="rId643" Type="http://schemas.openxmlformats.org/officeDocument/2006/relationships/hyperlink" Target="http://sports.yahoo.com/nhl/teams/san" TargetMode="External"/><Relationship Id="rId1066" Type="http://schemas.openxmlformats.org/officeDocument/2006/relationships/hyperlink" Target="http://sports.yahoo.com/nhl/players/2856" TargetMode="External"/><Relationship Id="rId1273" Type="http://schemas.openxmlformats.org/officeDocument/2006/relationships/hyperlink" Target="http://sports.yahoo.com/nhl/teams/bos" TargetMode="External"/><Relationship Id="rId1480" Type="http://schemas.openxmlformats.org/officeDocument/2006/relationships/hyperlink" Target="http://sports.yahoo.com/nhl/players/5950" TargetMode="External"/><Relationship Id="rId850" Type="http://schemas.openxmlformats.org/officeDocument/2006/relationships/hyperlink" Target="http://sports.yahoo.com/nhl/players/2891" TargetMode="External"/><Relationship Id="rId948" Type="http://schemas.openxmlformats.org/officeDocument/2006/relationships/hyperlink" Target="http://sports.yahoo.com/nhl/players/1930" TargetMode="External"/><Relationship Id="rId1133" Type="http://schemas.openxmlformats.org/officeDocument/2006/relationships/hyperlink" Target="http://sports.yahoo.com/nhl/teams/tam" TargetMode="External"/><Relationship Id="rId1578" Type="http://schemas.openxmlformats.org/officeDocument/2006/relationships/hyperlink" Target="http://sports.yahoo.com/nhl/players/5183" TargetMode="External"/><Relationship Id="rId1701" Type="http://schemas.openxmlformats.org/officeDocument/2006/relationships/hyperlink" Target="http://sports.yahoo.com/nhl/teams/col" TargetMode="External"/><Relationship Id="rId77" Type="http://schemas.openxmlformats.org/officeDocument/2006/relationships/hyperlink" Target="http://sports.yahoo.com/nhl/teams/stl" TargetMode="External"/><Relationship Id="rId282" Type="http://schemas.openxmlformats.org/officeDocument/2006/relationships/hyperlink" Target="http://sports.yahoo.com/nhl/players/3992" TargetMode="External"/><Relationship Id="rId503" Type="http://schemas.openxmlformats.org/officeDocument/2006/relationships/hyperlink" Target="http://sports.yahoo.com/nhl/teams/tor" TargetMode="External"/><Relationship Id="rId587" Type="http://schemas.openxmlformats.org/officeDocument/2006/relationships/hyperlink" Target="http://sports.yahoo.com/nhl/teams/van" TargetMode="External"/><Relationship Id="rId710" Type="http://schemas.openxmlformats.org/officeDocument/2006/relationships/hyperlink" Target="http://sports.yahoo.com/nhl/players/3789" TargetMode="External"/><Relationship Id="rId808" Type="http://schemas.openxmlformats.org/officeDocument/2006/relationships/hyperlink" Target="http://sports.yahoo.com/nhl/players/4766" TargetMode="External"/><Relationship Id="rId1340" Type="http://schemas.openxmlformats.org/officeDocument/2006/relationships/hyperlink" Target="http://sports.yahoo.com/nhl/players/5979" TargetMode="External"/><Relationship Id="rId1438" Type="http://schemas.openxmlformats.org/officeDocument/2006/relationships/hyperlink" Target="http://sports.yahoo.com/nhl/players/4142" TargetMode="External"/><Relationship Id="rId1645" Type="http://schemas.openxmlformats.org/officeDocument/2006/relationships/hyperlink" Target="http://sports.yahoo.com/nhl/teams/wpg" TargetMode="External"/><Relationship Id="rId8" Type="http://schemas.openxmlformats.org/officeDocument/2006/relationships/hyperlink" Target="http://sports.yahoo.com/nhl/players/4681" TargetMode="External"/><Relationship Id="rId142" Type="http://schemas.openxmlformats.org/officeDocument/2006/relationships/hyperlink" Target="http://sports.yahoo.com/nhl/players/1763" TargetMode="External"/><Relationship Id="rId447" Type="http://schemas.openxmlformats.org/officeDocument/2006/relationships/hyperlink" Target="http://sports.yahoo.com/nhl/teams/van" TargetMode="External"/><Relationship Id="rId794" Type="http://schemas.openxmlformats.org/officeDocument/2006/relationships/hyperlink" Target="http://sports.yahoo.com/nhl/players/3748" TargetMode="External"/><Relationship Id="rId1077" Type="http://schemas.openxmlformats.org/officeDocument/2006/relationships/hyperlink" Target="http://sports.yahoo.com/nhl/teams/was" TargetMode="External"/><Relationship Id="rId1200" Type="http://schemas.openxmlformats.org/officeDocument/2006/relationships/hyperlink" Target="http://sports.yahoo.com/nhl/players/5700" TargetMode="External"/><Relationship Id="rId654" Type="http://schemas.openxmlformats.org/officeDocument/2006/relationships/hyperlink" Target="http://sports.yahoo.com/nhl/players/4424" TargetMode="External"/><Relationship Id="rId861" Type="http://schemas.openxmlformats.org/officeDocument/2006/relationships/hyperlink" Target="http://sports.yahoo.com/nhl/teams/det" TargetMode="External"/><Relationship Id="rId959" Type="http://schemas.openxmlformats.org/officeDocument/2006/relationships/hyperlink" Target="http://sports.yahoo.com/nhl/teams/bos" TargetMode="External"/><Relationship Id="rId1284" Type="http://schemas.openxmlformats.org/officeDocument/2006/relationships/hyperlink" Target="http://sports.yahoo.com/nhl/players/5445" TargetMode="External"/><Relationship Id="rId1491" Type="http://schemas.openxmlformats.org/officeDocument/2006/relationships/hyperlink" Target="http://sports.yahoo.com/nhl/teams/dal" TargetMode="External"/><Relationship Id="rId1505" Type="http://schemas.openxmlformats.org/officeDocument/2006/relationships/hyperlink" Target="http://sports.yahoo.com/nhl/teams/cgy" TargetMode="External"/><Relationship Id="rId1589" Type="http://schemas.openxmlformats.org/officeDocument/2006/relationships/hyperlink" Target="http://sports.yahoo.com/nhl/teams/cgy" TargetMode="External"/><Relationship Id="rId1712" Type="http://schemas.openxmlformats.org/officeDocument/2006/relationships/hyperlink" Target="http://sports.yahoo.com/nhl/players/5716" TargetMode="External"/><Relationship Id="rId293" Type="http://schemas.openxmlformats.org/officeDocument/2006/relationships/hyperlink" Target="http://sports.yahoo.com/nhl/teams/buf" TargetMode="External"/><Relationship Id="rId307" Type="http://schemas.openxmlformats.org/officeDocument/2006/relationships/hyperlink" Target="http://sports.yahoo.com/nhl/teams/dal" TargetMode="External"/><Relationship Id="rId514" Type="http://schemas.openxmlformats.org/officeDocument/2006/relationships/hyperlink" Target="http://sports.yahoo.com/nhl/players/5966" TargetMode="External"/><Relationship Id="rId721" Type="http://schemas.openxmlformats.org/officeDocument/2006/relationships/hyperlink" Target="http://sports.yahoo.com/nhl/teams/car" TargetMode="External"/><Relationship Id="rId1144" Type="http://schemas.openxmlformats.org/officeDocument/2006/relationships/hyperlink" Target="http://sports.yahoo.com/nhl/players/3689" TargetMode="External"/><Relationship Id="rId1351" Type="http://schemas.openxmlformats.org/officeDocument/2006/relationships/hyperlink" Target="http://sports.yahoo.com/nhl/teams/chi" TargetMode="External"/><Relationship Id="rId1449" Type="http://schemas.openxmlformats.org/officeDocument/2006/relationships/hyperlink" Target="http://sports.yahoo.com/nhl/teams/col" TargetMode="External"/><Relationship Id="rId88" Type="http://schemas.openxmlformats.org/officeDocument/2006/relationships/hyperlink" Target="http://sports.yahoo.com/nhl/players/5985" TargetMode="External"/><Relationship Id="rId153" Type="http://schemas.openxmlformats.org/officeDocument/2006/relationships/hyperlink" Target="http://sports.yahoo.com/nhl/teams/tam" TargetMode="External"/><Relationship Id="rId360" Type="http://schemas.openxmlformats.org/officeDocument/2006/relationships/hyperlink" Target="http://sports.yahoo.com/nhl/players/3818" TargetMode="External"/><Relationship Id="rId598" Type="http://schemas.openxmlformats.org/officeDocument/2006/relationships/hyperlink" Target="http://sports.yahoo.com/nhl/players/1657" TargetMode="External"/><Relationship Id="rId819" Type="http://schemas.openxmlformats.org/officeDocument/2006/relationships/hyperlink" Target="http://sports.yahoo.com/nhl/teams/nyi" TargetMode="External"/><Relationship Id="rId1004" Type="http://schemas.openxmlformats.org/officeDocument/2006/relationships/hyperlink" Target="http://sports.yahoo.com/nhl/players/4675" TargetMode="External"/><Relationship Id="rId1211" Type="http://schemas.openxmlformats.org/officeDocument/2006/relationships/hyperlink" Target="http://sports.yahoo.com/nhl/teams/buf" TargetMode="External"/><Relationship Id="rId1656" Type="http://schemas.openxmlformats.org/officeDocument/2006/relationships/hyperlink" Target="http://sports.yahoo.com/nhl/players/4970" TargetMode="External"/><Relationship Id="rId220" Type="http://schemas.openxmlformats.org/officeDocument/2006/relationships/hyperlink" Target="http://sports.yahoo.com/nhl/players/4472" TargetMode="External"/><Relationship Id="rId458" Type="http://schemas.openxmlformats.org/officeDocument/2006/relationships/hyperlink" Target="http://sports.yahoo.com/nhl/players/2849" TargetMode="External"/><Relationship Id="rId665" Type="http://schemas.openxmlformats.org/officeDocument/2006/relationships/hyperlink" Target="http://sports.yahoo.com/nhl/teams/fla" TargetMode="External"/><Relationship Id="rId872" Type="http://schemas.openxmlformats.org/officeDocument/2006/relationships/hyperlink" Target="http://sports.yahoo.com/nhl/players/4886" TargetMode="External"/><Relationship Id="rId1088" Type="http://schemas.openxmlformats.org/officeDocument/2006/relationships/hyperlink" Target="http://sports.yahoo.com/nhl/players/4615" TargetMode="External"/><Relationship Id="rId1295" Type="http://schemas.openxmlformats.org/officeDocument/2006/relationships/hyperlink" Target="http://sports.yahoo.com/nhl/teams/san" TargetMode="External"/><Relationship Id="rId1309" Type="http://schemas.openxmlformats.org/officeDocument/2006/relationships/hyperlink" Target="http://sports.yahoo.com/nhl/teams/ari" TargetMode="External"/><Relationship Id="rId1516" Type="http://schemas.openxmlformats.org/officeDocument/2006/relationships/hyperlink" Target="http://sports.yahoo.com/nhl/players/4506" TargetMode="External"/><Relationship Id="rId1723" Type="http://schemas.openxmlformats.org/officeDocument/2006/relationships/hyperlink" Target="http://sports.yahoo.com/nhl/teams/col" TargetMode="External"/><Relationship Id="rId15" Type="http://schemas.openxmlformats.org/officeDocument/2006/relationships/hyperlink" Target="http://sports.yahoo.com/nhl/teams/was" TargetMode="External"/><Relationship Id="rId318" Type="http://schemas.openxmlformats.org/officeDocument/2006/relationships/hyperlink" Target="http://sports.yahoo.com/nhl/players/1934" TargetMode="External"/><Relationship Id="rId525" Type="http://schemas.openxmlformats.org/officeDocument/2006/relationships/hyperlink" Target="http://sports.yahoo.com/nhl/teams/bos" TargetMode="External"/><Relationship Id="rId732" Type="http://schemas.openxmlformats.org/officeDocument/2006/relationships/hyperlink" Target="http://sports.yahoo.com/nhl/players/2992" TargetMode="External"/><Relationship Id="rId1155" Type="http://schemas.openxmlformats.org/officeDocument/2006/relationships/hyperlink" Target="http://sports.yahoo.com/nhl/teams/pit" TargetMode="External"/><Relationship Id="rId1362" Type="http://schemas.openxmlformats.org/officeDocument/2006/relationships/hyperlink" Target="http://sports.yahoo.com/nhl/players/4834" TargetMode="External"/><Relationship Id="rId99" Type="http://schemas.openxmlformats.org/officeDocument/2006/relationships/hyperlink" Target="http://sports.yahoo.com/nhl/teams/wpg" TargetMode="External"/><Relationship Id="rId164" Type="http://schemas.openxmlformats.org/officeDocument/2006/relationships/hyperlink" Target="http://sports.yahoo.com/nhl/players/5411" TargetMode="External"/><Relationship Id="rId371" Type="http://schemas.openxmlformats.org/officeDocument/2006/relationships/hyperlink" Target="http://sports.yahoo.com/nhl/teams/van" TargetMode="External"/><Relationship Id="rId1015" Type="http://schemas.openxmlformats.org/officeDocument/2006/relationships/hyperlink" Target="http://sports.yahoo.com/nhl/teams/cgy" TargetMode="External"/><Relationship Id="rId1222" Type="http://schemas.openxmlformats.org/officeDocument/2006/relationships/hyperlink" Target="http://sports.yahoo.com/nhl/players/4882" TargetMode="External"/><Relationship Id="rId1667" Type="http://schemas.openxmlformats.org/officeDocument/2006/relationships/hyperlink" Target="http://sports.yahoo.com/nhl/teams/car" TargetMode="External"/><Relationship Id="rId469" Type="http://schemas.openxmlformats.org/officeDocument/2006/relationships/hyperlink" Target="http://sports.yahoo.com/nhl/teams/nyi" TargetMode="External"/><Relationship Id="rId676" Type="http://schemas.openxmlformats.org/officeDocument/2006/relationships/hyperlink" Target="http://sports.yahoo.com/nhl/players/3722" TargetMode="External"/><Relationship Id="rId883" Type="http://schemas.openxmlformats.org/officeDocument/2006/relationships/hyperlink" Target="http://sports.yahoo.com/nhl/teams/mon" TargetMode="External"/><Relationship Id="rId1099" Type="http://schemas.openxmlformats.org/officeDocument/2006/relationships/hyperlink" Target="http://sports.yahoo.com/nhl/teams/wpg" TargetMode="External"/><Relationship Id="rId1527" Type="http://schemas.openxmlformats.org/officeDocument/2006/relationships/hyperlink" Target="http://sports.yahoo.com/nhl/teams/tor" TargetMode="External"/><Relationship Id="rId1734" Type="http://schemas.openxmlformats.org/officeDocument/2006/relationships/hyperlink" Target="http://sports.yahoo.com/nhl/players/5377" TargetMode="External"/><Relationship Id="rId26" Type="http://schemas.openxmlformats.org/officeDocument/2006/relationships/hyperlink" Target="http://sports.yahoo.com/nhl/players/4002" TargetMode="External"/><Relationship Id="rId231" Type="http://schemas.openxmlformats.org/officeDocument/2006/relationships/hyperlink" Target="http://sports.yahoo.com/nhl/teams/stl" TargetMode="External"/><Relationship Id="rId329" Type="http://schemas.openxmlformats.org/officeDocument/2006/relationships/hyperlink" Target="http://sports.yahoo.com/nhl/teams/det" TargetMode="External"/><Relationship Id="rId536" Type="http://schemas.openxmlformats.org/officeDocument/2006/relationships/hyperlink" Target="http://sports.yahoo.com/nhl/players/3176" TargetMode="External"/><Relationship Id="rId1166" Type="http://schemas.openxmlformats.org/officeDocument/2006/relationships/hyperlink" Target="http://sports.yahoo.com/nhl/players/4703" TargetMode="External"/><Relationship Id="rId1373" Type="http://schemas.openxmlformats.org/officeDocument/2006/relationships/hyperlink" Target="http://sports.yahoo.com/nhl/teams/mon" TargetMode="External"/><Relationship Id="rId175" Type="http://schemas.openxmlformats.org/officeDocument/2006/relationships/hyperlink" Target="http://sports.yahoo.com/nhl/teams/nyi" TargetMode="External"/><Relationship Id="rId743" Type="http://schemas.openxmlformats.org/officeDocument/2006/relationships/hyperlink" Target="http://sports.yahoo.com/nhl/teams/cgy" TargetMode="External"/><Relationship Id="rId950" Type="http://schemas.openxmlformats.org/officeDocument/2006/relationships/hyperlink" Target="http://sports.yahoo.com/nhl/players/3972" TargetMode="External"/><Relationship Id="rId1026" Type="http://schemas.openxmlformats.org/officeDocument/2006/relationships/hyperlink" Target="http://sports.yahoo.com/nhl/players/3526" TargetMode="External"/><Relationship Id="rId1580" Type="http://schemas.openxmlformats.org/officeDocument/2006/relationships/hyperlink" Target="http://sports.yahoo.com/nhl/players/5941" TargetMode="External"/><Relationship Id="rId1678" Type="http://schemas.openxmlformats.org/officeDocument/2006/relationships/hyperlink" Target="http://sports.yahoo.com/nhl/players/5259" TargetMode="External"/><Relationship Id="rId382" Type="http://schemas.openxmlformats.org/officeDocument/2006/relationships/hyperlink" Target="http://sports.yahoo.com/nhl/players/3701" TargetMode="External"/><Relationship Id="rId603" Type="http://schemas.openxmlformats.org/officeDocument/2006/relationships/hyperlink" Target="http://sports.yahoo.com/nhl/teams/los" TargetMode="External"/><Relationship Id="rId687" Type="http://schemas.openxmlformats.org/officeDocument/2006/relationships/hyperlink" Target="http://sports.yahoo.com/nhl/teams/san" TargetMode="External"/><Relationship Id="rId810" Type="http://schemas.openxmlformats.org/officeDocument/2006/relationships/hyperlink" Target="http://sports.yahoo.com/nhl/players/3292" TargetMode="External"/><Relationship Id="rId908" Type="http://schemas.openxmlformats.org/officeDocument/2006/relationships/hyperlink" Target="http://sports.yahoo.com/nhl/players/5011" TargetMode="External"/><Relationship Id="rId1233" Type="http://schemas.openxmlformats.org/officeDocument/2006/relationships/hyperlink" Target="http://sports.yahoo.com/nhl/teams/ari" TargetMode="External"/><Relationship Id="rId1440" Type="http://schemas.openxmlformats.org/officeDocument/2006/relationships/hyperlink" Target="http://sports.yahoo.com/nhl/players/5684" TargetMode="External"/><Relationship Id="rId1538" Type="http://schemas.openxmlformats.org/officeDocument/2006/relationships/hyperlink" Target="http://sports.yahoo.com/nhl/players/6368" TargetMode="External"/><Relationship Id="rId242" Type="http://schemas.openxmlformats.org/officeDocument/2006/relationships/hyperlink" Target="http://sports.yahoo.com/nhl/players/4396" TargetMode="External"/><Relationship Id="rId894" Type="http://schemas.openxmlformats.org/officeDocument/2006/relationships/hyperlink" Target="http://sports.yahoo.com/nhl/players/3632" TargetMode="External"/><Relationship Id="rId1177" Type="http://schemas.openxmlformats.org/officeDocument/2006/relationships/hyperlink" Target="http://sports.yahoo.com/nhl/teams/bos" TargetMode="External"/><Relationship Id="rId1300" Type="http://schemas.openxmlformats.org/officeDocument/2006/relationships/hyperlink" Target="http://sports.yahoo.com/nhl/players/5997" TargetMode="External"/><Relationship Id="rId1745" Type="http://schemas.openxmlformats.org/officeDocument/2006/relationships/hyperlink" Target="http://sports.yahoo.com/nhl/teams/col" TargetMode="External"/><Relationship Id="rId37" Type="http://schemas.openxmlformats.org/officeDocument/2006/relationships/hyperlink" Target="http://sports.yahoo.com/nhl/teams/cob" TargetMode="External"/><Relationship Id="rId102" Type="http://schemas.openxmlformats.org/officeDocument/2006/relationships/hyperlink" Target="http://sports.yahoo.com/nhl/players/3987" TargetMode="External"/><Relationship Id="rId547" Type="http://schemas.openxmlformats.org/officeDocument/2006/relationships/hyperlink" Target="http://sports.yahoo.com/nhl/teams/pit" TargetMode="External"/><Relationship Id="rId754" Type="http://schemas.openxmlformats.org/officeDocument/2006/relationships/hyperlink" Target="http://sports.yahoo.com/nhl/players/5462" TargetMode="External"/><Relationship Id="rId961" Type="http://schemas.openxmlformats.org/officeDocument/2006/relationships/hyperlink" Target="http://sports.yahoo.com/nhl/teams/stl" TargetMode="External"/><Relationship Id="rId1384" Type="http://schemas.openxmlformats.org/officeDocument/2006/relationships/hyperlink" Target="http://sports.yahoo.com/nhl/players/1907" TargetMode="External"/><Relationship Id="rId1591" Type="http://schemas.openxmlformats.org/officeDocument/2006/relationships/hyperlink" Target="http://sports.yahoo.com/nhl/teams/was" TargetMode="External"/><Relationship Id="rId1605" Type="http://schemas.openxmlformats.org/officeDocument/2006/relationships/hyperlink" Target="http://sports.yahoo.com/nhl/teams/edm" TargetMode="External"/><Relationship Id="rId1689" Type="http://schemas.openxmlformats.org/officeDocument/2006/relationships/hyperlink" Target="http://sports.yahoo.com/nhl/teams/pit" TargetMode="External"/><Relationship Id="rId90" Type="http://schemas.openxmlformats.org/officeDocument/2006/relationships/hyperlink" Target="http://sports.yahoo.com/nhl/players/3355" TargetMode="External"/><Relationship Id="rId186" Type="http://schemas.openxmlformats.org/officeDocument/2006/relationships/hyperlink" Target="http://sports.yahoo.com/nhl/players/4921" TargetMode="External"/><Relationship Id="rId393" Type="http://schemas.openxmlformats.org/officeDocument/2006/relationships/hyperlink" Target="http://sports.yahoo.com/nhl/teams/nyi" TargetMode="External"/><Relationship Id="rId407" Type="http://schemas.openxmlformats.org/officeDocument/2006/relationships/hyperlink" Target="http://sports.yahoo.com/nhl/teams/cgy" TargetMode="External"/><Relationship Id="rId614" Type="http://schemas.openxmlformats.org/officeDocument/2006/relationships/hyperlink" Target="http://sports.yahoo.com/nhl/players/3363" TargetMode="External"/><Relationship Id="rId821" Type="http://schemas.openxmlformats.org/officeDocument/2006/relationships/hyperlink" Target="http://sports.yahoo.com/nhl/teams/edm" TargetMode="External"/><Relationship Id="rId1037" Type="http://schemas.openxmlformats.org/officeDocument/2006/relationships/hyperlink" Target="http://sports.yahoo.com/nhl/teams/nas" TargetMode="External"/><Relationship Id="rId1244" Type="http://schemas.openxmlformats.org/officeDocument/2006/relationships/hyperlink" Target="http://sports.yahoo.com/nhl/players/4152" TargetMode="External"/><Relationship Id="rId1451" Type="http://schemas.openxmlformats.org/officeDocument/2006/relationships/hyperlink" Target="http://sports.yahoo.com/nhl/teams/ari" TargetMode="External"/><Relationship Id="rId253" Type="http://schemas.openxmlformats.org/officeDocument/2006/relationships/hyperlink" Target="http://sports.yahoo.com/nhl/teams/bos" TargetMode="External"/><Relationship Id="rId460" Type="http://schemas.openxmlformats.org/officeDocument/2006/relationships/hyperlink" Target="http://sports.yahoo.com/nhl/players/4426" TargetMode="External"/><Relationship Id="rId698" Type="http://schemas.openxmlformats.org/officeDocument/2006/relationships/hyperlink" Target="http://sports.yahoo.com/nhl/players/6006" TargetMode="External"/><Relationship Id="rId919" Type="http://schemas.openxmlformats.org/officeDocument/2006/relationships/hyperlink" Target="http://sports.yahoo.com/nhl/teams/ott" TargetMode="External"/><Relationship Id="rId1090" Type="http://schemas.openxmlformats.org/officeDocument/2006/relationships/hyperlink" Target="http://sports.yahoo.com/nhl/players/3239" TargetMode="External"/><Relationship Id="rId1104" Type="http://schemas.openxmlformats.org/officeDocument/2006/relationships/hyperlink" Target="http://sports.yahoo.com/nhl/players/4650" TargetMode="External"/><Relationship Id="rId1311" Type="http://schemas.openxmlformats.org/officeDocument/2006/relationships/hyperlink" Target="http://sports.yahoo.com/nhl/teams/min" TargetMode="External"/><Relationship Id="rId1549" Type="http://schemas.openxmlformats.org/officeDocument/2006/relationships/hyperlink" Target="http://sports.yahoo.com/nhl/teams/edm" TargetMode="External"/><Relationship Id="rId1756" Type="http://schemas.openxmlformats.org/officeDocument/2006/relationships/hyperlink" Target="http://sports.yahoo.com/nhl/players/3977" TargetMode="External"/><Relationship Id="rId48" Type="http://schemas.openxmlformats.org/officeDocument/2006/relationships/hyperlink" Target="http://sports.yahoo.com/nhl/players/4248" TargetMode="External"/><Relationship Id="rId113" Type="http://schemas.openxmlformats.org/officeDocument/2006/relationships/hyperlink" Target="http://sports.yahoo.com/nhl/teams/col" TargetMode="External"/><Relationship Id="rId320" Type="http://schemas.openxmlformats.org/officeDocument/2006/relationships/hyperlink" Target="http://sports.yahoo.com/nhl/players/6367" TargetMode="External"/><Relationship Id="rId558" Type="http://schemas.openxmlformats.org/officeDocument/2006/relationships/hyperlink" Target="http://sports.yahoo.com/nhl/players/5983" TargetMode="External"/><Relationship Id="rId765" Type="http://schemas.openxmlformats.org/officeDocument/2006/relationships/hyperlink" Target="http://sports.yahoo.com/nhl/teams/san" TargetMode="External"/><Relationship Id="rId972" Type="http://schemas.openxmlformats.org/officeDocument/2006/relationships/hyperlink" Target="http://sports.yahoo.com/nhl/players/3961" TargetMode="External"/><Relationship Id="rId1188" Type="http://schemas.openxmlformats.org/officeDocument/2006/relationships/hyperlink" Target="http://sports.yahoo.com/nhl/players/1797" TargetMode="External"/><Relationship Id="rId1395" Type="http://schemas.openxmlformats.org/officeDocument/2006/relationships/hyperlink" Target="http://sports.yahoo.com/nhl/teams/buf" TargetMode="External"/><Relationship Id="rId1409" Type="http://schemas.openxmlformats.org/officeDocument/2006/relationships/hyperlink" Target="http://sports.yahoo.com/nhl/teams/nyr" TargetMode="External"/><Relationship Id="rId1616" Type="http://schemas.openxmlformats.org/officeDocument/2006/relationships/hyperlink" Target="http://sports.yahoo.com/nhl/players/5095" TargetMode="External"/><Relationship Id="rId197" Type="http://schemas.openxmlformats.org/officeDocument/2006/relationships/hyperlink" Target="http://sports.yahoo.com/nhl/teams/ott" TargetMode="External"/><Relationship Id="rId418" Type="http://schemas.openxmlformats.org/officeDocument/2006/relationships/hyperlink" Target="http://sports.yahoo.com/nhl/players/3867" TargetMode="External"/><Relationship Id="rId625" Type="http://schemas.openxmlformats.org/officeDocument/2006/relationships/hyperlink" Target="http://sports.yahoo.com/nhl/teams/min" TargetMode="External"/><Relationship Id="rId832" Type="http://schemas.openxmlformats.org/officeDocument/2006/relationships/hyperlink" Target="http://sports.yahoo.com/nhl/players/5029" TargetMode="External"/><Relationship Id="rId1048" Type="http://schemas.openxmlformats.org/officeDocument/2006/relationships/hyperlink" Target="http://sports.yahoo.com/nhl/players/2571" TargetMode="External"/><Relationship Id="rId1255" Type="http://schemas.openxmlformats.org/officeDocument/2006/relationships/hyperlink" Target="http://sports.yahoo.com/nhl/teams/mon" TargetMode="External"/><Relationship Id="rId1462" Type="http://schemas.openxmlformats.org/officeDocument/2006/relationships/hyperlink" Target="http://sports.yahoo.com/nhl/players/5353" TargetMode="External"/><Relationship Id="rId264" Type="http://schemas.openxmlformats.org/officeDocument/2006/relationships/hyperlink" Target="http://sports.yahoo.com/nhl/players/3649" TargetMode="External"/><Relationship Id="rId471" Type="http://schemas.openxmlformats.org/officeDocument/2006/relationships/hyperlink" Target="http://sports.yahoo.com/nhl/teams/car" TargetMode="External"/><Relationship Id="rId1115" Type="http://schemas.openxmlformats.org/officeDocument/2006/relationships/hyperlink" Target="http://sports.yahoo.com/nhl/teams/cob" TargetMode="External"/><Relationship Id="rId1322" Type="http://schemas.openxmlformats.org/officeDocument/2006/relationships/hyperlink" Target="http://sports.yahoo.com/nhl/players/3892" TargetMode="External"/><Relationship Id="rId1767" Type="http://schemas.openxmlformats.org/officeDocument/2006/relationships/hyperlink" Target="http://sports.yahoo.com/nhl/teams/tam" TargetMode="External"/><Relationship Id="rId59" Type="http://schemas.openxmlformats.org/officeDocument/2006/relationships/hyperlink" Target="http://sports.yahoo.com/nhl/teams/det" TargetMode="External"/><Relationship Id="rId124" Type="http://schemas.openxmlformats.org/officeDocument/2006/relationships/hyperlink" Target="http://sports.yahoo.com/nhl/players/3508" TargetMode="External"/><Relationship Id="rId569" Type="http://schemas.openxmlformats.org/officeDocument/2006/relationships/hyperlink" Target="http://sports.yahoo.com/nhl/teams/tor" TargetMode="External"/><Relationship Id="rId776" Type="http://schemas.openxmlformats.org/officeDocument/2006/relationships/hyperlink" Target="http://sports.yahoo.com/nhl/players/4568" TargetMode="External"/><Relationship Id="rId983" Type="http://schemas.openxmlformats.org/officeDocument/2006/relationships/hyperlink" Target="http://sports.yahoo.com/nhl/teams/mon" TargetMode="External"/><Relationship Id="rId1199" Type="http://schemas.openxmlformats.org/officeDocument/2006/relationships/hyperlink" Target="http://sports.yahoo.com/nhl/teams/buf" TargetMode="External"/><Relationship Id="rId1627" Type="http://schemas.openxmlformats.org/officeDocument/2006/relationships/hyperlink" Target="http://sports.yahoo.com/nhl/teams/car" TargetMode="External"/><Relationship Id="rId331" Type="http://schemas.openxmlformats.org/officeDocument/2006/relationships/hyperlink" Target="http://sports.yahoo.com/nhl/teams/ana" TargetMode="External"/><Relationship Id="rId429" Type="http://schemas.openxmlformats.org/officeDocument/2006/relationships/hyperlink" Target="http://sports.yahoo.com/nhl/teams/det" TargetMode="External"/><Relationship Id="rId636" Type="http://schemas.openxmlformats.org/officeDocument/2006/relationships/hyperlink" Target="http://sports.yahoo.com/nhl/players/3979" TargetMode="External"/><Relationship Id="rId1059" Type="http://schemas.openxmlformats.org/officeDocument/2006/relationships/hyperlink" Target="http://sports.yahoo.com/nhl/teams/min" TargetMode="External"/><Relationship Id="rId1266" Type="http://schemas.openxmlformats.org/officeDocument/2006/relationships/hyperlink" Target="http://sports.yahoo.com/nhl/players/4858" TargetMode="External"/><Relationship Id="rId1473" Type="http://schemas.openxmlformats.org/officeDocument/2006/relationships/hyperlink" Target="http://sports.yahoo.com/nhl/teams/cgy" TargetMode="External"/><Relationship Id="rId843" Type="http://schemas.openxmlformats.org/officeDocument/2006/relationships/hyperlink" Target="http://sports.yahoo.com/nhl/teams/phi" TargetMode="External"/><Relationship Id="rId1126" Type="http://schemas.openxmlformats.org/officeDocument/2006/relationships/hyperlink" Target="http://sports.yahoo.com/nhl/players/4702" TargetMode="External"/><Relationship Id="rId1680" Type="http://schemas.openxmlformats.org/officeDocument/2006/relationships/hyperlink" Target="http://sports.yahoo.com/nhl/players/4569" TargetMode="External"/><Relationship Id="rId275" Type="http://schemas.openxmlformats.org/officeDocument/2006/relationships/hyperlink" Target="http://sports.yahoo.com/nhl/teams/bos" TargetMode="External"/><Relationship Id="rId482" Type="http://schemas.openxmlformats.org/officeDocument/2006/relationships/hyperlink" Target="http://sports.yahoo.com/nhl/players/4020" TargetMode="External"/><Relationship Id="rId703" Type="http://schemas.openxmlformats.org/officeDocument/2006/relationships/hyperlink" Target="http://sports.yahoo.com/nhl/teams/nyr" TargetMode="External"/><Relationship Id="rId910" Type="http://schemas.openxmlformats.org/officeDocument/2006/relationships/hyperlink" Target="http://sports.yahoo.com/nhl/players/1189" TargetMode="External"/><Relationship Id="rId1333" Type="http://schemas.openxmlformats.org/officeDocument/2006/relationships/hyperlink" Target="http://sports.yahoo.com/nhl/teams/ott" TargetMode="External"/><Relationship Id="rId1540" Type="http://schemas.openxmlformats.org/officeDocument/2006/relationships/hyperlink" Target="http://sports.yahoo.com/nhl/players/4462" TargetMode="External"/><Relationship Id="rId1638" Type="http://schemas.openxmlformats.org/officeDocument/2006/relationships/hyperlink" Target="http://sports.yahoo.com/nhl/players/5390" TargetMode="External"/><Relationship Id="rId135" Type="http://schemas.openxmlformats.org/officeDocument/2006/relationships/hyperlink" Target="http://sports.yahoo.com/nhl/teams/nas" TargetMode="External"/><Relationship Id="rId342" Type="http://schemas.openxmlformats.org/officeDocument/2006/relationships/hyperlink" Target="http://sports.yahoo.com/nhl/players/4961" TargetMode="External"/><Relationship Id="rId787" Type="http://schemas.openxmlformats.org/officeDocument/2006/relationships/hyperlink" Target="http://sports.yahoo.com/nhl/teams/det" TargetMode="External"/><Relationship Id="rId994" Type="http://schemas.openxmlformats.org/officeDocument/2006/relationships/hyperlink" Target="http://sports.yahoo.com/nhl/players/6290" TargetMode="External"/><Relationship Id="rId1400" Type="http://schemas.openxmlformats.org/officeDocument/2006/relationships/hyperlink" Target="http://sports.yahoo.com/nhl/players/4313" TargetMode="External"/><Relationship Id="rId202" Type="http://schemas.openxmlformats.org/officeDocument/2006/relationships/hyperlink" Target="http://sports.yahoo.com/nhl/players/4554" TargetMode="External"/><Relationship Id="rId647" Type="http://schemas.openxmlformats.org/officeDocument/2006/relationships/hyperlink" Target="http://sports.yahoo.com/nhl/teams/ott" TargetMode="External"/><Relationship Id="rId854" Type="http://schemas.openxmlformats.org/officeDocument/2006/relationships/hyperlink" Target="http://sports.yahoo.com/nhl/players/5995" TargetMode="External"/><Relationship Id="rId1277" Type="http://schemas.openxmlformats.org/officeDocument/2006/relationships/hyperlink" Target="http://sports.yahoo.com/nhl/teams/mon" TargetMode="External"/><Relationship Id="rId1484" Type="http://schemas.openxmlformats.org/officeDocument/2006/relationships/hyperlink" Target="http://sports.yahoo.com/nhl/players/6297" TargetMode="External"/><Relationship Id="rId1691" Type="http://schemas.openxmlformats.org/officeDocument/2006/relationships/hyperlink" Target="http://sports.yahoo.com/nhl/teams/col" TargetMode="External"/><Relationship Id="rId1705" Type="http://schemas.openxmlformats.org/officeDocument/2006/relationships/hyperlink" Target="http://sports.yahoo.com/nhl/teams/phi" TargetMode="External"/><Relationship Id="rId286" Type="http://schemas.openxmlformats.org/officeDocument/2006/relationships/hyperlink" Target="http://sports.yahoo.com/nhl/players/4732" TargetMode="External"/><Relationship Id="rId493" Type="http://schemas.openxmlformats.org/officeDocument/2006/relationships/hyperlink" Target="http://sports.yahoo.com/nhl/teams/cgy" TargetMode="External"/><Relationship Id="rId507" Type="http://schemas.openxmlformats.org/officeDocument/2006/relationships/hyperlink" Target="http://sports.yahoo.com/nhl/teams/dal" TargetMode="External"/><Relationship Id="rId714" Type="http://schemas.openxmlformats.org/officeDocument/2006/relationships/hyperlink" Target="http://sports.yahoo.com/nhl/players/5993" TargetMode="External"/><Relationship Id="rId921" Type="http://schemas.openxmlformats.org/officeDocument/2006/relationships/hyperlink" Target="http://sports.yahoo.com/nhl/teams/tam" TargetMode="External"/><Relationship Id="rId1137" Type="http://schemas.openxmlformats.org/officeDocument/2006/relationships/hyperlink" Target="http://sports.yahoo.com/nhl/teams/nyi" TargetMode="External"/><Relationship Id="rId1344" Type="http://schemas.openxmlformats.org/officeDocument/2006/relationships/hyperlink" Target="http://sports.yahoo.com/nhl/players/5549" TargetMode="External"/><Relationship Id="rId1551" Type="http://schemas.openxmlformats.org/officeDocument/2006/relationships/hyperlink" Target="http://sports.yahoo.com/nhl/teams/nyr" TargetMode="External"/><Relationship Id="rId50" Type="http://schemas.openxmlformats.org/officeDocument/2006/relationships/hyperlink" Target="http://sports.yahoo.com/nhl/players/2503" TargetMode="External"/><Relationship Id="rId146" Type="http://schemas.openxmlformats.org/officeDocument/2006/relationships/hyperlink" Target="http://sports.yahoo.com/nhl/players/3342" TargetMode="External"/><Relationship Id="rId353" Type="http://schemas.openxmlformats.org/officeDocument/2006/relationships/hyperlink" Target="http://sports.yahoo.com/nhl/teams/chi" TargetMode="External"/><Relationship Id="rId560" Type="http://schemas.openxmlformats.org/officeDocument/2006/relationships/hyperlink" Target="http://sports.yahoo.com/nhl/players/4289" TargetMode="External"/><Relationship Id="rId798" Type="http://schemas.openxmlformats.org/officeDocument/2006/relationships/hyperlink" Target="http://sports.yahoo.com/nhl/players/4257" TargetMode="External"/><Relationship Id="rId1190" Type="http://schemas.openxmlformats.org/officeDocument/2006/relationships/hyperlink" Target="http://sports.yahoo.com/nhl/players/2564" TargetMode="External"/><Relationship Id="rId1204" Type="http://schemas.openxmlformats.org/officeDocument/2006/relationships/hyperlink" Target="http://sports.yahoo.com/nhl/players/4012" TargetMode="External"/><Relationship Id="rId1411" Type="http://schemas.openxmlformats.org/officeDocument/2006/relationships/hyperlink" Target="http://sports.yahoo.com/nhl/teams/phi" TargetMode="External"/><Relationship Id="rId1649" Type="http://schemas.openxmlformats.org/officeDocument/2006/relationships/hyperlink" Target="http://sports.yahoo.com/nhl/teams/tor" TargetMode="External"/><Relationship Id="rId213" Type="http://schemas.openxmlformats.org/officeDocument/2006/relationships/hyperlink" Target="http://sports.yahoo.com/nhl/teams/bos" TargetMode="External"/><Relationship Id="rId420" Type="http://schemas.openxmlformats.org/officeDocument/2006/relationships/hyperlink" Target="http://sports.yahoo.com/nhl/players/5207" TargetMode="External"/><Relationship Id="rId658" Type="http://schemas.openxmlformats.org/officeDocument/2006/relationships/hyperlink" Target="http://sports.yahoo.com/nhl/players/4243" TargetMode="External"/><Relationship Id="rId865" Type="http://schemas.openxmlformats.org/officeDocument/2006/relationships/hyperlink" Target="http://sports.yahoo.com/nhl/teams/phi" TargetMode="External"/><Relationship Id="rId1050" Type="http://schemas.openxmlformats.org/officeDocument/2006/relationships/hyperlink" Target="http://sports.yahoo.com/nhl/players/2837" TargetMode="External"/><Relationship Id="rId1288" Type="http://schemas.openxmlformats.org/officeDocument/2006/relationships/hyperlink" Target="http://sports.yahoo.com/nhl/players/4363" TargetMode="External"/><Relationship Id="rId1495" Type="http://schemas.openxmlformats.org/officeDocument/2006/relationships/hyperlink" Target="http://sports.yahoo.com/nhl/teams/edm" TargetMode="External"/><Relationship Id="rId1509" Type="http://schemas.openxmlformats.org/officeDocument/2006/relationships/hyperlink" Target="http://sports.yahoo.com/nhl/teams/njd" TargetMode="External"/><Relationship Id="rId1716" Type="http://schemas.openxmlformats.org/officeDocument/2006/relationships/hyperlink" Target="http://sports.yahoo.com/nhl/players/5715" TargetMode="External"/><Relationship Id="rId297" Type="http://schemas.openxmlformats.org/officeDocument/2006/relationships/hyperlink" Target="http://sports.yahoo.com/nhl/teams/nyi" TargetMode="External"/><Relationship Id="rId518" Type="http://schemas.openxmlformats.org/officeDocument/2006/relationships/hyperlink" Target="http://sports.yahoo.com/nhl/players/3709" TargetMode="External"/><Relationship Id="rId725" Type="http://schemas.openxmlformats.org/officeDocument/2006/relationships/hyperlink" Target="http://sports.yahoo.com/nhl/teams/buf" TargetMode="External"/><Relationship Id="rId932" Type="http://schemas.openxmlformats.org/officeDocument/2006/relationships/hyperlink" Target="http://sports.yahoo.com/nhl/players/4963" TargetMode="External"/><Relationship Id="rId1148" Type="http://schemas.openxmlformats.org/officeDocument/2006/relationships/hyperlink" Target="http://sports.yahoo.com/nhl/players/5070" TargetMode="External"/><Relationship Id="rId1355" Type="http://schemas.openxmlformats.org/officeDocument/2006/relationships/hyperlink" Target="http://sports.yahoo.com/nhl/teams/nyi" TargetMode="External"/><Relationship Id="rId1562" Type="http://schemas.openxmlformats.org/officeDocument/2006/relationships/hyperlink" Target="http://sports.yahoo.com/nhl/players/6196" TargetMode="External"/><Relationship Id="rId157" Type="http://schemas.openxmlformats.org/officeDocument/2006/relationships/hyperlink" Target="http://sports.yahoo.com/nhl/teams/det" TargetMode="External"/><Relationship Id="rId364" Type="http://schemas.openxmlformats.org/officeDocument/2006/relationships/hyperlink" Target="http://sports.yahoo.com/nhl/players/4287" TargetMode="External"/><Relationship Id="rId1008" Type="http://schemas.openxmlformats.org/officeDocument/2006/relationships/hyperlink" Target="http://sports.yahoo.com/nhl/players/1792" TargetMode="External"/><Relationship Id="rId1215" Type="http://schemas.openxmlformats.org/officeDocument/2006/relationships/hyperlink" Target="http://sports.yahoo.com/nhl/teams/col" TargetMode="External"/><Relationship Id="rId1422" Type="http://schemas.openxmlformats.org/officeDocument/2006/relationships/hyperlink" Target="http://sports.yahoo.com/nhl/players/4580" TargetMode="External"/><Relationship Id="rId61" Type="http://schemas.openxmlformats.org/officeDocument/2006/relationships/hyperlink" Target="http://sports.yahoo.com/nhl/teams/cgy" TargetMode="External"/><Relationship Id="rId571" Type="http://schemas.openxmlformats.org/officeDocument/2006/relationships/hyperlink" Target="http://sports.yahoo.com/nhl/teams/chi" TargetMode="External"/><Relationship Id="rId669" Type="http://schemas.openxmlformats.org/officeDocument/2006/relationships/hyperlink" Target="http://sports.yahoo.com/nhl/teams/fla" TargetMode="External"/><Relationship Id="rId876" Type="http://schemas.openxmlformats.org/officeDocument/2006/relationships/hyperlink" Target="http://sports.yahoo.com/nhl/players/3055" TargetMode="External"/><Relationship Id="rId1299" Type="http://schemas.openxmlformats.org/officeDocument/2006/relationships/hyperlink" Target="http://sports.yahoo.com/nhl/teams/van" TargetMode="External"/><Relationship Id="rId1727" Type="http://schemas.openxmlformats.org/officeDocument/2006/relationships/hyperlink" Target="http://sports.yahoo.com/nhl/teams/nyr" TargetMode="External"/><Relationship Id="rId19" Type="http://schemas.openxmlformats.org/officeDocument/2006/relationships/hyperlink" Target="http://sports.yahoo.com/nhl/teams/dal" TargetMode="External"/><Relationship Id="rId224" Type="http://schemas.openxmlformats.org/officeDocument/2006/relationships/hyperlink" Target="http://sports.yahoo.com/nhl/players/5367" TargetMode="External"/><Relationship Id="rId431" Type="http://schemas.openxmlformats.org/officeDocument/2006/relationships/hyperlink" Target="http://sports.yahoo.com/nhl/teams/pit" TargetMode="External"/><Relationship Id="rId529" Type="http://schemas.openxmlformats.org/officeDocument/2006/relationships/hyperlink" Target="http://sports.yahoo.com/nhl/teams/ari" TargetMode="External"/><Relationship Id="rId736" Type="http://schemas.openxmlformats.org/officeDocument/2006/relationships/hyperlink" Target="http://sports.yahoo.com/nhl/players/4779" TargetMode="External"/><Relationship Id="rId1061" Type="http://schemas.openxmlformats.org/officeDocument/2006/relationships/hyperlink" Target="http://sports.yahoo.com/nhl/teams/nas" TargetMode="External"/><Relationship Id="rId1159" Type="http://schemas.openxmlformats.org/officeDocument/2006/relationships/hyperlink" Target="http://sports.yahoo.com/nhl/teams/los" TargetMode="External"/><Relationship Id="rId1366" Type="http://schemas.openxmlformats.org/officeDocument/2006/relationships/hyperlink" Target="http://sports.yahoo.com/nhl/players/6358" TargetMode="External"/><Relationship Id="rId168" Type="http://schemas.openxmlformats.org/officeDocument/2006/relationships/hyperlink" Target="http://sports.yahoo.com/nhl/players/3994" TargetMode="External"/><Relationship Id="rId943" Type="http://schemas.openxmlformats.org/officeDocument/2006/relationships/hyperlink" Target="http://sports.yahoo.com/nhl/teams/buf" TargetMode="External"/><Relationship Id="rId1019" Type="http://schemas.openxmlformats.org/officeDocument/2006/relationships/hyperlink" Target="http://sports.yahoo.com/nhl/teams/njd" TargetMode="External"/><Relationship Id="rId1573" Type="http://schemas.openxmlformats.org/officeDocument/2006/relationships/hyperlink" Target="http://sports.yahoo.com/nhl/teams/fla" TargetMode="External"/><Relationship Id="rId72" Type="http://schemas.openxmlformats.org/officeDocument/2006/relationships/hyperlink" Target="http://sports.yahoo.com/nhl/players/4242" TargetMode="External"/><Relationship Id="rId375" Type="http://schemas.openxmlformats.org/officeDocument/2006/relationships/hyperlink" Target="http://sports.yahoo.com/nhl/teams/cob" TargetMode="External"/><Relationship Id="rId582" Type="http://schemas.openxmlformats.org/officeDocument/2006/relationships/hyperlink" Target="http://sports.yahoo.com/nhl/players/3657" TargetMode="External"/><Relationship Id="rId803" Type="http://schemas.openxmlformats.org/officeDocument/2006/relationships/hyperlink" Target="http://sports.yahoo.com/nhl/teams/bos" TargetMode="External"/><Relationship Id="rId1226" Type="http://schemas.openxmlformats.org/officeDocument/2006/relationships/hyperlink" Target="http://sports.yahoo.com/nhl/players/5627" TargetMode="External"/><Relationship Id="rId1433" Type="http://schemas.openxmlformats.org/officeDocument/2006/relationships/hyperlink" Target="http://sports.yahoo.com/nhl/teams/cob" TargetMode="External"/><Relationship Id="rId1640" Type="http://schemas.openxmlformats.org/officeDocument/2006/relationships/hyperlink" Target="http://sports.yahoo.com/nhl/players/4359" TargetMode="External"/><Relationship Id="rId1738" Type="http://schemas.openxmlformats.org/officeDocument/2006/relationships/hyperlink" Target="http://sports.yahoo.com/nhl/players/5690" TargetMode="External"/><Relationship Id="rId3" Type="http://schemas.openxmlformats.org/officeDocument/2006/relationships/hyperlink" Target="http://sports.yahoo.com/nhl/stats/byposition?pos=C,RW,LW,D&amp;conference=NHL&amp;year=season_2014&amp;qualified=1&amp;sort=0" TargetMode="External"/><Relationship Id="rId235" Type="http://schemas.openxmlformats.org/officeDocument/2006/relationships/hyperlink" Target="http://sports.yahoo.com/nhl/teams/was" TargetMode="External"/><Relationship Id="rId442" Type="http://schemas.openxmlformats.org/officeDocument/2006/relationships/hyperlink" Target="http://sports.yahoo.com/nhl/players/5681" TargetMode="External"/><Relationship Id="rId887" Type="http://schemas.openxmlformats.org/officeDocument/2006/relationships/hyperlink" Target="http://sports.yahoo.com/nhl/teams/nyi" TargetMode="External"/><Relationship Id="rId1072" Type="http://schemas.openxmlformats.org/officeDocument/2006/relationships/hyperlink" Target="http://sports.yahoo.com/nhl/players/6369" TargetMode="External"/><Relationship Id="rId1500" Type="http://schemas.openxmlformats.org/officeDocument/2006/relationships/hyperlink" Target="http://sports.yahoo.com/nhl/players/5384" TargetMode="External"/><Relationship Id="rId302" Type="http://schemas.openxmlformats.org/officeDocument/2006/relationships/hyperlink" Target="http://sports.yahoo.com/nhl/players/3777" TargetMode="External"/><Relationship Id="rId747" Type="http://schemas.openxmlformats.org/officeDocument/2006/relationships/hyperlink" Target="http://sports.yahoo.com/nhl/teams/njd" TargetMode="External"/><Relationship Id="rId954" Type="http://schemas.openxmlformats.org/officeDocument/2006/relationships/hyperlink" Target="http://sports.yahoo.com/nhl/players/3081" TargetMode="External"/><Relationship Id="rId1377" Type="http://schemas.openxmlformats.org/officeDocument/2006/relationships/hyperlink" Target="http://sports.yahoo.com/nhl/teams/was" TargetMode="External"/><Relationship Id="rId1584" Type="http://schemas.openxmlformats.org/officeDocument/2006/relationships/hyperlink" Target="http://sports.yahoo.com/nhl/players/4896" TargetMode="External"/><Relationship Id="rId83" Type="http://schemas.openxmlformats.org/officeDocument/2006/relationships/hyperlink" Target="http://sports.yahoo.com/nhl/teams/nas" TargetMode="External"/><Relationship Id="rId179" Type="http://schemas.openxmlformats.org/officeDocument/2006/relationships/hyperlink" Target="http://sports.yahoo.com/nhl/teams/mon" TargetMode="External"/><Relationship Id="rId386" Type="http://schemas.openxmlformats.org/officeDocument/2006/relationships/hyperlink" Target="http://sports.yahoo.com/nhl/players/2144" TargetMode="External"/><Relationship Id="rId593" Type="http://schemas.openxmlformats.org/officeDocument/2006/relationships/hyperlink" Target="http://sports.yahoo.com/nhl/teams/car" TargetMode="External"/><Relationship Id="rId607" Type="http://schemas.openxmlformats.org/officeDocument/2006/relationships/hyperlink" Target="http://sports.yahoo.com/nhl/teams/cgy" TargetMode="External"/><Relationship Id="rId814" Type="http://schemas.openxmlformats.org/officeDocument/2006/relationships/hyperlink" Target="http://sports.yahoo.com/nhl/players/4958" TargetMode="External"/><Relationship Id="rId1237" Type="http://schemas.openxmlformats.org/officeDocument/2006/relationships/hyperlink" Target="http://sports.yahoo.com/nhl/teams/cgy" TargetMode="External"/><Relationship Id="rId1444" Type="http://schemas.openxmlformats.org/officeDocument/2006/relationships/hyperlink" Target="http://sports.yahoo.com/nhl/players/4262" TargetMode="External"/><Relationship Id="rId1651" Type="http://schemas.openxmlformats.org/officeDocument/2006/relationships/hyperlink" Target="http://sports.yahoo.com/nhl/teams/edm" TargetMode="External"/><Relationship Id="rId246" Type="http://schemas.openxmlformats.org/officeDocument/2006/relationships/hyperlink" Target="http://sports.yahoo.com/nhl/players/2517" TargetMode="External"/><Relationship Id="rId453" Type="http://schemas.openxmlformats.org/officeDocument/2006/relationships/hyperlink" Target="http://sports.yahoo.com/nhl/teams/njd" TargetMode="External"/><Relationship Id="rId660" Type="http://schemas.openxmlformats.org/officeDocument/2006/relationships/hyperlink" Target="http://sports.yahoo.com/nhl/players/4849" TargetMode="External"/><Relationship Id="rId898" Type="http://schemas.openxmlformats.org/officeDocument/2006/relationships/hyperlink" Target="http://sports.yahoo.com/nhl/players/1929" TargetMode="External"/><Relationship Id="rId1083" Type="http://schemas.openxmlformats.org/officeDocument/2006/relationships/hyperlink" Target="http://sports.yahoo.com/nhl/teams/wpg" TargetMode="External"/><Relationship Id="rId1290" Type="http://schemas.openxmlformats.org/officeDocument/2006/relationships/hyperlink" Target="http://sports.yahoo.com/nhl/players/5932" TargetMode="External"/><Relationship Id="rId1304" Type="http://schemas.openxmlformats.org/officeDocument/2006/relationships/hyperlink" Target="http://sports.yahoo.com/nhl/players/4401" TargetMode="External"/><Relationship Id="rId1511" Type="http://schemas.openxmlformats.org/officeDocument/2006/relationships/hyperlink" Target="http://sports.yahoo.com/nhl/teams/tor" TargetMode="External"/><Relationship Id="rId1749" Type="http://schemas.openxmlformats.org/officeDocument/2006/relationships/hyperlink" Target="http://sports.yahoo.com/nhl/teams/tor" TargetMode="External"/><Relationship Id="rId106" Type="http://schemas.openxmlformats.org/officeDocument/2006/relationships/hyperlink" Target="http://sports.yahoo.com/nhl/players/4558" TargetMode="External"/><Relationship Id="rId313" Type="http://schemas.openxmlformats.org/officeDocument/2006/relationships/hyperlink" Target="http://sports.yahoo.com/nhl/teams/dal" TargetMode="External"/><Relationship Id="rId758" Type="http://schemas.openxmlformats.org/officeDocument/2006/relationships/hyperlink" Target="http://sports.yahoo.com/nhl/players/4206" TargetMode="External"/><Relationship Id="rId965" Type="http://schemas.openxmlformats.org/officeDocument/2006/relationships/hyperlink" Target="http://sports.yahoo.com/nhl/teams/phi" TargetMode="External"/><Relationship Id="rId1150" Type="http://schemas.openxmlformats.org/officeDocument/2006/relationships/hyperlink" Target="http://sports.yahoo.com/nhl/players/5092" TargetMode="External"/><Relationship Id="rId1388" Type="http://schemas.openxmlformats.org/officeDocument/2006/relationships/hyperlink" Target="http://sports.yahoo.com/nhl/players/3955" TargetMode="External"/><Relationship Id="rId1595" Type="http://schemas.openxmlformats.org/officeDocument/2006/relationships/hyperlink" Target="http://sports.yahoo.com/nhl/teams/nyr" TargetMode="External"/><Relationship Id="rId1609" Type="http://schemas.openxmlformats.org/officeDocument/2006/relationships/hyperlink" Target="http://sports.yahoo.com/nhl/teams/chi" TargetMode="External"/><Relationship Id="rId10" Type="http://schemas.openxmlformats.org/officeDocument/2006/relationships/hyperlink" Target="http://sports.yahoo.com/nhl/players/3737" TargetMode="External"/><Relationship Id="rId94" Type="http://schemas.openxmlformats.org/officeDocument/2006/relationships/hyperlink" Target="http://sports.yahoo.com/nhl/players/3349" TargetMode="External"/><Relationship Id="rId397" Type="http://schemas.openxmlformats.org/officeDocument/2006/relationships/hyperlink" Target="http://sports.yahoo.com/nhl/teams/nyr" TargetMode="External"/><Relationship Id="rId520" Type="http://schemas.openxmlformats.org/officeDocument/2006/relationships/hyperlink" Target="http://sports.yahoo.com/nhl/players/4436" TargetMode="External"/><Relationship Id="rId618" Type="http://schemas.openxmlformats.org/officeDocument/2006/relationships/hyperlink" Target="http://sports.yahoo.com/nhl/players/5334" TargetMode="External"/><Relationship Id="rId825" Type="http://schemas.openxmlformats.org/officeDocument/2006/relationships/hyperlink" Target="http://sports.yahoo.com/nhl/teams/los" TargetMode="External"/><Relationship Id="rId1248" Type="http://schemas.openxmlformats.org/officeDocument/2006/relationships/hyperlink" Target="http://sports.yahoo.com/nhl/players/5949" TargetMode="External"/><Relationship Id="rId1455" Type="http://schemas.openxmlformats.org/officeDocument/2006/relationships/hyperlink" Target="http://sports.yahoo.com/nhl/teams/col" TargetMode="External"/><Relationship Id="rId1662" Type="http://schemas.openxmlformats.org/officeDocument/2006/relationships/hyperlink" Target="http://sports.yahoo.com/nhl/players/5635" TargetMode="External"/><Relationship Id="rId257" Type="http://schemas.openxmlformats.org/officeDocument/2006/relationships/hyperlink" Target="http://sports.yahoo.com/nhl/teams/bos" TargetMode="External"/><Relationship Id="rId464" Type="http://schemas.openxmlformats.org/officeDocument/2006/relationships/hyperlink" Target="http://sports.yahoo.com/nhl/players/5927" TargetMode="External"/><Relationship Id="rId1010" Type="http://schemas.openxmlformats.org/officeDocument/2006/relationships/hyperlink" Target="http://sports.yahoo.com/nhl/players/4270" TargetMode="External"/><Relationship Id="rId1094" Type="http://schemas.openxmlformats.org/officeDocument/2006/relationships/hyperlink" Target="http://sports.yahoo.com/nhl/players/5412" TargetMode="External"/><Relationship Id="rId1108" Type="http://schemas.openxmlformats.org/officeDocument/2006/relationships/hyperlink" Target="http://sports.yahoo.com/nhl/players/3809" TargetMode="External"/><Relationship Id="rId1315" Type="http://schemas.openxmlformats.org/officeDocument/2006/relationships/hyperlink" Target="http://sports.yahoo.com/nhl/teams/tor" TargetMode="External"/><Relationship Id="rId117" Type="http://schemas.openxmlformats.org/officeDocument/2006/relationships/hyperlink" Target="http://sports.yahoo.com/nhl/teams/stl" TargetMode="External"/><Relationship Id="rId671" Type="http://schemas.openxmlformats.org/officeDocument/2006/relationships/hyperlink" Target="http://sports.yahoo.com/nhl/teams/njd" TargetMode="External"/><Relationship Id="rId769" Type="http://schemas.openxmlformats.org/officeDocument/2006/relationships/hyperlink" Target="http://sports.yahoo.com/nhl/teams/cgy" TargetMode="External"/><Relationship Id="rId976" Type="http://schemas.openxmlformats.org/officeDocument/2006/relationships/hyperlink" Target="http://sports.yahoo.com/nhl/players/5241" TargetMode="External"/><Relationship Id="rId1399" Type="http://schemas.openxmlformats.org/officeDocument/2006/relationships/hyperlink" Target="http://sports.yahoo.com/nhl/teams/buf" TargetMode="External"/><Relationship Id="rId324" Type="http://schemas.openxmlformats.org/officeDocument/2006/relationships/hyperlink" Target="http://sports.yahoo.com/nhl/players/4838" TargetMode="External"/><Relationship Id="rId531" Type="http://schemas.openxmlformats.org/officeDocument/2006/relationships/hyperlink" Target="http://sports.yahoo.com/nhl/teams/van" TargetMode="External"/><Relationship Id="rId629" Type="http://schemas.openxmlformats.org/officeDocument/2006/relationships/hyperlink" Target="http://sports.yahoo.com/nhl/teams/van" TargetMode="External"/><Relationship Id="rId1161" Type="http://schemas.openxmlformats.org/officeDocument/2006/relationships/hyperlink" Target="http://sports.yahoo.com/nhl/teams/tam" TargetMode="External"/><Relationship Id="rId1259" Type="http://schemas.openxmlformats.org/officeDocument/2006/relationships/hyperlink" Target="http://sports.yahoo.com/nhl/teams/phi" TargetMode="External"/><Relationship Id="rId1466" Type="http://schemas.openxmlformats.org/officeDocument/2006/relationships/hyperlink" Target="http://sports.yahoo.com/nhl/players/5747" TargetMode="External"/><Relationship Id="rId836" Type="http://schemas.openxmlformats.org/officeDocument/2006/relationships/hyperlink" Target="http://sports.yahoo.com/nhl/players/5687" TargetMode="External"/><Relationship Id="rId1021" Type="http://schemas.openxmlformats.org/officeDocument/2006/relationships/hyperlink" Target="http://sports.yahoo.com/nhl/teams/tam" TargetMode="External"/><Relationship Id="rId1119" Type="http://schemas.openxmlformats.org/officeDocument/2006/relationships/hyperlink" Target="http://sports.yahoo.com/nhl/teams/wpg" TargetMode="External"/><Relationship Id="rId1673" Type="http://schemas.openxmlformats.org/officeDocument/2006/relationships/hyperlink" Target="http://sports.yahoo.com/nhl/teams/bos" TargetMode="External"/><Relationship Id="rId903" Type="http://schemas.openxmlformats.org/officeDocument/2006/relationships/hyperlink" Target="http://sports.yahoo.com/nhl/teams/mon" TargetMode="External"/><Relationship Id="rId1326" Type="http://schemas.openxmlformats.org/officeDocument/2006/relationships/hyperlink" Target="http://sports.yahoo.com/nhl/players/5634" TargetMode="External"/><Relationship Id="rId1533" Type="http://schemas.openxmlformats.org/officeDocument/2006/relationships/hyperlink" Target="http://sports.yahoo.com/nhl/teams/ott" TargetMode="External"/><Relationship Id="rId1740" Type="http://schemas.openxmlformats.org/officeDocument/2006/relationships/hyperlink" Target="http://sports.yahoo.com/nhl/players/4127" TargetMode="External"/><Relationship Id="rId32" Type="http://schemas.openxmlformats.org/officeDocument/2006/relationships/hyperlink" Target="http://sports.yahoo.com/nhl/players/4471" TargetMode="External"/><Relationship Id="rId1600" Type="http://schemas.openxmlformats.org/officeDocument/2006/relationships/hyperlink" Target="http://sports.yahoo.com/nhl/players/2955" TargetMode="External"/><Relationship Id="rId181" Type="http://schemas.openxmlformats.org/officeDocument/2006/relationships/hyperlink" Target="http://sports.yahoo.com/nhl/teams/nyi" TargetMode="External"/><Relationship Id="rId279" Type="http://schemas.openxmlformats.org/officeDocument/2006/relationships/hyperlink" Target="http://sports.yahoo.com/nhl/teams/nas" TargetMode="External"/><Relationship Id="rId486" Type="http://schemas.openxmlformats.org/officeDocument/2006/relationships/hyperlink" Target="http://sports.yahoo.com/nhl/players/3805" TargetMode="External"/><Relationship Id="rId693" Type="http://schemas.openxmlformats.org/officeDocument/2006/relationships/hyperlink" Target="http://sports.yahoo.com/nhl/teams/van" TargetMode="External"/><Relationship Id="rId139" Type="http://schemas.openxmlformats.org/officeDocument/2006/relationships/hyperlink" Target="http://sports.yahoo.com/nhl/teams/stl" TargetMode="External"/><Relationship Id="rId346" Type="http://schemas.openxmlformats.org/officeDocument/2006/relationships/hyperlink" Target="http://sports.yahoo.com/nhl/players/4682" TargetMode="External"/><Relationship Id="rId553" Type="http://schemas.openxmlformats.org/officeDocument/2006/relationships/hyperlink" Target="http://sports.yahoo.com/nhl/teams/dal" TargetMode="External"/><Relationship Id="rId760" Type="http://schemas.openxmlformats.org/officeDocument/2006/relationships/hyperlink" Target="http://sports.yahoo.com/nhl/players/3261" TargetMode="External"/><Relationship Id="rId998" Type="http://schemas.openxmlformats.org/officeDocument/2006/relationships/hyperlink" Target="http://sports.yahoo.com/nhl/players/4186" TargetMode="External"/><Relationship Id="rId1183" Type="http://schemas.openxmlformats.org/officeDocument/2006/relationships/hyperlink" Target="http://sports.yahoo.com/nhl/teams/buf" TargetMode="External"/><Relationship Id="rId1390" Type="http://schemas.openxmlformats.org/officeDocument/2006/relationships/hyperlink" Target="http://sports.yahoo.com/nhl/players/5053" TargetMode="External"/><Relationship Id="rId206" Type="http://schemas.openxmlformats.org/officeDocument/2006/relationships/hyperlink" Target="http://sports.yahoo.com/nhl/players/4685" TargetMode="External"/><Relationship Id="rId413" Type="http://schemas.openxmlformats.org/officeDocument/2006/relationships/hyperlink" Target="http://sports.yahoo.com/nhl/teams/ana" TargetMode="External"/><Relationship Id="rId858" Type="http://schemas.openxmlformats.org/officeDocument/2006/relationships/hyperlink" Target="http://sports.yahoo.com/nhl/players/2026" TargetMode="External"/><Relationship Id="rId1043" Type="http://schemas.openxmlformats.org/officeDocument/2006/relationships/hyperlink" Target="http://sports.yahoo.com/nhl/teams/car" TargetMode="External"/><Relationship Id="rId1488" Type="http://schemas.openxmlformats.org/officeDocument/2006/relationships/hyperlink" Target="http://sports.yahoo.com/nhl/players/3889" TargetMode="External"/><Relationship Id="rId1695" Type="http://schemas.openxmlformats.org/officeDocument/2006/relationships/hyperlink" Target="http://sports.yahoo.com/nhl/teams/ari" TargetMode="External"/><Relationship Id="rId620" Type="http://schemas.openxmlformats.org/officeDocument/2006/relationships/hyperlink" Target="http://sports.yahoo.com/nhl/players/5365" TargetMode="External"/><Relationship Id="rId718" Type="http://schemas.openxmlformats.org/officeDocument/2006/relationships/hyperlink" Target="http://sports.yahoo.com/nhl/players/5323" TargetMode="External"/><Relationship Id="rId925" Type="http://schemas.openxmlformats.org/officeDocument/2006/relationships/hyperlink" Target="http://sports.yahoo.com/nhl/teams/njd" TargetMode="External"/><Relationship Id="rId1250" Type="http://schemas.openxmlformats.org/officeDocument/2006/relationships/hyperlink" Target="http://sports.yahoo.com/nhl/players/5106" TargetMode="External"/><Relationship Id="rId1348" Type="http://schemas.openxmlformats.org/officeDocument/2006/relationships/hyperlink" Target="http://sports.yahoo.com/nhl/players/5865" TargetMode="External"/><Relationship Id="rId1555" Type="http://schemas.openxmlformats.org/officeDocument/2006/relationships/hyperlink" Target="http://sports.yahoo.com/nhl/teams/fla" TargetMode="External"/><Relationship Id="rId1762" Type="http://schemas.openxmlformats.org/officeDocument/2006/relationships/hyperlink" Target="http://sports.yahoo.com/nhl/players/5037" TargetMode="External"/><Relationship Id="rId1110" Type="http://schemas.openxmlformats.org/officeDocument/2006/relationships/hyperlink" Target="http://sports.yahoo.com/nhl/players/2853" TargetMode="External"/><Relationship Id="rId1208" Type="http://schemas.openxmlformats.org/officeDocument/2006/relationships/hyperlink" Target="http://sports.yahoo.com/nhl/players/3392" TargetMode="External"/><Relationship Id="rId1415" Type="http://schemas.openxmlformats.org/officeDocument/2006/relationships/hyperlink" Target="http://sports.yahoo.com/nhl/teams/edm" TargetMode="External"/><Relationship Id="rId54" Type="http://schemas.openxmlformats.org/officeDocument/2006/relationships/hyperlink" Target="http://sports.yahoo.com/nhl/players/4491" TargetMode="External"/><Relationship Id="rId1622" Type="http://schemas.openxmlformats.org/officeDocument/2006/relationships/hyperlink" Target="http://sports.yahoo.com/nhl/players/6377" TargetMode="External"/><Relationship Id="rId270" Type="http://schemas.openxmlformats.org/officeDocument/2006/relationships/hyperlink" Target="http://sports.yahoo.com/nhl/players/4686" TargetMode="External"/><Relationship Id="rId130" Type="http://schemas.openxmlformats.org/officeDocument/2006/relationships/hyperlink" Target="http://sports.yahoo.com/nhl/players/4503" TargetMode="External"/><Relationship Id="rId368" Type="http://schemas.openxmlformats.org/officeDocument/2006/relationships/hyperlink" Target="http://sports.yahoo.com/nhl/players/4944" TargetMode="External"/><Relationship Id="rId575" Type="http://schemas.openxmlformats.org/officeDocument/2006/relationships/hyperlink" Target="http://sports.yahoo.com/nhl/teams/dal" TargetMode="External"/><Relationship Id="rId782" Type="http://schemas.openxmlformats.org/officeDocument/2006/relationships/hyperlink" Target="http://sports.yahoo.com/nhl/players/4773" TargetMode="External"/><Relationship Id="rId228" Type="http://schemas.openxmlformats.org/officeDocument/2006/relationships/hyperlink" Target="http://sports.yahoo.com/nhl/players/4699" TargetMode="External"/><Relationship Id="rId435" Type="http://schemas.openxmlformats.org/officeDocument/2006/relationships/hyperlink" Target="http://sports.yahoo.com/nhl/teams/was" TargetMode="External"/><Relationship Id="rId642" Type="http://schemas.openxmlformats.org/officeDocument/2006/relationships/hyperlink" Target="http://sports.yahoo.com/nhl/players/4888" TargetMode="External"/><Relationship Id="rId1065" Type="http://schemas.openxmlformats.org/officeDocument/2006/relationships/hyperlink" Target="http://sports.yahoo.com/nhl/teams/chi" TargetMode="External"/><Relationship Id="rId1272" Type="http://schemas.openxmlformats.org/officeDocument/2006/relationships/hyperlink" Target="http://sports.yahoo.com/nhl/players/4894" TargetMode="External"/><Relationship Id="rId502" Type="http://schemas.openxmlformats.org/officeDocument/2006/relationships/hyperlink" Target="http://sports.yahoo.com/nhl/players/5685" TargetMode="External"/><Relationship Id="rId947" Type="http://schemas.openxmlformats.org/officeDocument/2006/relationships/hyperlink" Target="http://sports.yahoo.com/nhl/teams/car" TargetMode="External"/><Relationship Id="rId1132" Type="http://schemas.openxmlformats.org/officeDocument/2006/relationships/hyperlink" Target="http://sports.yahoo.com/nhl/players/1979" TargetMode="External"/><Relationship Id="rId1577" Type="http://schemas.openxmlformats.org/officeDocument/2006/relationships/hyperlink" Target="http://sports.yahoo.com/nhl/teams/ari" TargetMode="External"/><Relationship Id="rId76" Type="http://schemas.openxmlformats.org/officeDocument/2006/relationships/hyperlink" Target="http://sports.yahoo.com/nhl/players/4974" TargetMode="External"/><Relationship Id="rId807" Type="http://schemas.openxmlformats.org/officeDocument/2006/relationships/hyperlink" Target="http://sports.yahoo.com/nhl/teams/was" TargetMode="External"/><Relationship Id="rId1437" Type="http://schemas.openxmlformats.org/officeDocument/2006/relationships/hyperlink" Target="http://sports.yahoo.com/nhl/teams/wpg" TargetMode="External"/><Relationship Id="rId1644" Type="http://schemas.openxmlformats.org/officeDocument/2006/relationships/hyperlink" Target="http://sports.yahoo.com/nhl/players/5596" TargetMode="External"/><Relationship Id="rId1504" Type="http://schemas.openxmlformats.org/officeDocument/2006/relationships/hyperlink" Target="http://sports.yahoo.com/nhl/players/6370" TargetMode="External"/><Relationship Id="rId1711" Type="http://schemas.openxmlformats.org/officeDocument/2006/relationships/hyperlink" Target="http://sports.yahoo.com/nhl/teams/wpg" TargetMode="External"/><Relationship Id="rId292" Type="http://schemas.openxmlformats.org/officeDocument/2006/relationships/hyperlink" Target="http://sports.yahoo.com/nhl/players/4040" TargetMode="External"/><Relationship Id="rId597" Type="http://schemas.openxmlformats.org/officeDocument/2006/relationships/hyperlink" Target="http://sports.yahoo.com/nhl/teams/dal" TargetMode="External"/><Relationship Id="rId152" Type="http://schemas.openxmlformats.org/officeDocument/2006/relationships/hyperlink" Target="http://sports.yahoo.com/nhl/players/3886" TargetMode="External"/><Relationship Id="rId457" Type="http://schemas.openxmlformats.org/officeDocument/2006/relationships/hyperlink" Target="http://sports.yahoo.com/nhl/teams/edm" TargetMode="External"/><Relationship Id="rId1087" Type="http://schemas.openxmlformats.org/officeDocument/2006/relationships/hyperlink" Target="http://sports.yahoo.com/nhl/teams/pit" TargetMode="External"/><Relationship Id="rId1294" Type="http://schemas.openxmlformats.org/officeDocument/2006/relationships/hyperlink" Target="http://sports.yahoo.com/nhl/players/4110" TargetMode="External"/><Relationship Id="rId664" Type="http://schemas.openxmlformats.org/officeDocument/2006/relationships/hyperlink" Target="http://sports.yahoo.com/nhl/players/5431" TargetMode="External"/><Relationship Id="rId871" Type="http://schemas.openxmlformats.org/officeDocument/2006/relationships/hyperlink" Target="http://sports.yahoo.com/nhl/teams/col" TargetMode="External"/><Relationship Id="rId969" Type="http://schemas.openxmlformats.org/officeDocument/2006/relationships/hyperlink" Target="http://sports.yahoo.com/nhl/teams/col" TargetMode="External"/><Relationship Id="rId1599" Type="http://schemas.openxmlformats.org/officeDocument/2006/relationships/hyperlink" Target="http://sports.yahoo.com/nhl/teams/cob" TargetMode="External"/><Relationship Id="rId317" Type="http://schemas.openxmlformats.org/officeDocument/2006/relationships/hyperlink" Target="http://sports.yahoo.com/nhl/teams/bos" TargetMode="External"/><Relationship Id="rId524" Type="http://schemas.openxmlformats.org/officeDocument/2006/relationships/hyperlink" Target="http://sports.yahoo.com/nhl/players/2800" TargetMode="External"/><Relationship Id="rId731" Type="http://schemas.openxmlformats.org/officeDocument/2006/relationships/hyperlink" Target="http://sports.yahoo.com/nhl/teams/min" TargetMode="External"/><Relationship Id="rId1154" Type="http://schemas.openxmlformats.org/officeDocument/2006/relationships/hyperlink" Target="http://sports.yahoo.com/nhl/players/5688" TargetMode="External"/><Relationship Id="rId1361" Type="http://schemas.openxmlformats.org/officeDocument/2006/relationships/hyperlink" Target="http://sports.yahoo.com/nhl/teams/mon" TargetMode="External"/><Relationship Id="rId1459" Type="http://schemas.openxmlformats.org/officeDocument/2006/relationships/hyperlink" Target="http://sports.yahoo.com/nhl/teams/col" TargetMode="External"/><Relationship Id="rId98" Type="http://schemas.openxmlformats.org/officeDocument/2006/relationships/hyperlink" Target="http://sports.yahoo.com/nhl/players/3641" TargetMode="External"/><Relationship Id="rId829" Type="http://schemas.openxmlformats.org/officeDocument/2006/relationships/hyperlink" Target="http://sports.yahoo.com/nhl/teams/van" TargetMode="External"/><Relationship Id="rId1014" Type="http://schemas.openxmlformats.org/officeDocument/2006/relationships/hyperlink" Target="http://sports.yahoo.com/nhl/players/3487" TargetMode="External"/><Relationship Id="rId1221" Type="http://schemas.openxmlformats.org/officeDocument/2006/relationships/hyperlink" Target="http://sports.yahoo.com/nhl/teams/ana" TargetMode="External"/><Relationship Id="rId1666" Type="http://schemas.openxmlformats.org/officeDocument/2006/relationships/hyperlink" Target="http://sports.yahoo.com/nhl/players/5558" TargetMode="External"/><Relationship Id="rId1319" Type="http://schemas.openxmlformats.org/officeDocument/2006/relationships/hyperlink" Target="http://sports.yahoo.com/nhl/teams/nyr" TargetMode="External"/><Relationship Id="rId1526" Type="http://schemas.openxmlformats.org/officeDocument/2006/relationships/hyperlink" Target="http://sports.yahoo.com/nhl/players/6714" TargetMode="External"/><Relationship Id="rId1733" Type="http://schemas.openxmlformats.org/officeDocument/2006/relationships/hyperlink" Target="http://sports.yahoo.com/nhl/teams/was" TargetMode="External"/><Relationship Id="rId25" Type="http://schemas.openxmlformats.org/officeDocument/2006/relationships/hyperlink" Target="http://sports.yahoo.com/nhl/teams/cob" TargetMode="External"/><Relationship Id="rId174" Type="http://schemas.openxmlformats.org/officeDocument/2006/relationships/hyperlink" Target="http://sports.yahoo.com/nhl/players/3988" TargetMode="External"/><Relationship Id="rId381" Type="http://schemas.openxmlformats.org/officeDocument/2006/relationships/hyperlink" Target="http://sports.yahoo.com/nhl/teams/fla" TargetMode="External"/><Relationship Id="rId241" Type="http://schemas.openxmlformats.org/officeDocument/2006/relationships/hyperlink" Target="http://sports.yahoo.com/nhl/teams/wpg" TargetMode="External"/><Relationship Id="rId479" Type="http://schemas.openxmlformats.org/officeDocument/2006/relationships/hyperlink" Target="http://sports.yahoo.com/nhl/teams/wpg" TargetMode="External"/><Relationship Id="rId686" Type="http://schemas.openxmlformats.org/officeDocument/2006/relationships/hyperlink" Target="http://sports.yahoo.com/nhl/players/5744" TargetMode="External"/><Relationship Id="rId893" Type="http://schemas.openxmlformats.org/officeDocument/2006/relationships/hyperlink" Target="http://sports.yahoo.com/nhl/teams/wpg" TargetMode="External"/><Relationship Id="rId339" Type="http://schemas.openxmlformats.org/officeDocument/2006/relationships/hyperlink" Target="http://sports.yahoo.com/nhl/teams/fla" TargetMode="External"/><Relationship Id="rId546" Type="http://schemas.openxmlformats.org/officeDocument/2006/relationships/hyperlink" Target="http://sports.yahoo.com/nhl/players/4539" TargetMode="External"/><Relationship Id="rId753" Type="http://schemas.openxmlformats.org/officeDocument/2006/relationships/hyperlink" Target="http://sports.yahoo.com/nhl/teams/min" TargetMode="External"/><Relationship Id="rId1176" Type="http://schemas.openxmlformats.org/officeDocument/2006/relationships/hyperlink" Target="http://sports.yahoo.com/nhl/players/3816" TargetMode="External"/><Relationship Id="rId1383" Type="http://schemas.openxmlformats.org/officeDocument/2006/relationships/hyperlink" Target="http://sports.yahoo.com/nhl/teams/min" TargetMode="External"/><Relationship Id="rId101" Type="http://schemas.openxmlformats.org/officeDocument/2006/relationships/hyperlink" Target="http://sports.yahoo.com/nhl/teams/tor" TargetMode="External"/><Relationship Id="rId406" Type="http://schemas.openxmlformats.org/officeDocument/2006/relationships/hyperlink" Target="http://sports.yahoo.com/nhl/players/3951" TargetMode="External"/><Relationship Id="rId960" Type="http://schemas.openxmlformats.org/officeDocument/2006/relationships/hyperlink" Target="http://sports.yahoo.com/nhl/players/3103" TargetMode="External"/><Relationship Id="rId1036" Type="http://schemas.openxmlformats.org/officeDocument/2006/relationships/hyperlink" Target="http://sports.yahoo.com/nhl/players/5335" TargetMode="External"/><Relationship Id="rId1243" Type="http://schemas.openxmlformats.org/officeDocument/2006/relationships/hyperlink" Target="http://sports.yahoo.com/nhl/teams/car" TargetMode="External"/><Relationship Id="rId1590" Type="http://schemas.openxmlformats.org/officeDocument/2006/relationships/hyperlink" Target="http://sports.yahoo.com/nhl/players/4842" TargetMode="External"/><Relationship Id="rId1688" Type="http://schemas.openxmlformats.org/officeDocument/2006/relationships/hyperlink" Target="http://sports.yahoo.com/nhl/players/5509" TargetMode="External"/><Relationship Id="rId613" Type="http://schemas.openxmlformats.org/officeDocument/2006/relationships/hyperlink" Target="http://sports.yahoo.com/nhl/teams/ari" TargetMode="External"/><Relationship Id="rId820" Type="http://schemas.openxmlformats.org/officeDocument/2006/relationships/hyperlink" Target="http://sports.yahoo.com/nhl/players/4286" TargetMode="External"/><Relationship Id="rId918" Type="http://schemas.openxmlformats.org/officeDocument/2006/relationships/hyperlink" Target="http://sports.yahoo.com/nhl/players/4862" TargetMode="External"/><Relationship Id="rId1450" Type="http://schemas.openxmlformats.org/officeDocument/2006/relationships/hyperlink" Target="http://sports.yahoo.com/nhl/players/5617" TargetMode="External"/><Relationship Id="rId1548" Type="http://schemas.openxmlformats.org/officeDocument/2006/relationships/hyperlink" Target="http://sports.yahoo.com/nhl/players/6346" TargetMode="External"/><Relationship Id="rId1755" Type="http://schemas.openxmlformats.org/officeDocument/2006/relationships/hyperlink" Target="http://sports.yahoo.com/nhl/teams/san" TargetMode="External"/><Relationship Id="rId1103" Type="http://schemas.openxmlformats.org/officeDocument/2006/relationships/hyperlink" Target="http://sports.yahoo.com/nhl/teams/tor" TargetMode="External"/><Relationship Id="rId1310" Type="http://schemas.openxmlformats.org/officeDocument/2006/relationships/hyperlink" Target="http://sports.yahoo.com/nhl/players/4181" TargetMode="External"/><Relationship Id="rId1408" Type="http://schemas.openxmlformats.org/officeDocument/2006/relationships/hyperlink" Target="http://sports.yahoo.com/nhl/players/5247" TargetMode="External"/><Relationship Id="rId47" Type="http://schemas.openxmlformats.org/officeDocument/2006/relationships/hyperlink" Target="http://sports.yahoo.com/nhl/teams/mon" TargetMode="External"/><Relationship Id="rId1615" Type="http://schemas.openxmlformats.org/officeDocument/2006/relationships/hyperlink" Target="http://sports.yahoo.com/nhl/teams/nas" TargetMode="External"/><Relationship Id="rId196" Type="http://schemas.openxmlformats.org/officeDocument/2006/relationships/hyperlink" Target="http://sports.yahoo.com/nhl/players/4805" TargetMode="External"/><Relationship Id="rId263" Type="http://schemas.openxmlformats.org/officeDocument/2006/relationships/hyperlink" Target="http://sports.yahoo.com/nhl/teams/njd" TargetMode="External"/><Relationship Id="rId470" Type="http://schemas.openxmlformats.org/officeDocument/2006/relationships/hyperlink" Target="http://sports.yahoo.com/nhl/players/4967" TargetMode="External"/><Relationship Id="rId123" Type="http://schemas.openxmlformats.org/officeDocument/2006/relationships/hyperlink" Target="http://sports.yahoo.com/nhl/teams/tor" TargetMode="External"/><Relationship Id="rId330" Type="http://schemas.openxmlformats.org/officeDocument/2006/relationships/hyperlink" Target="http://sports.yahoo.com/nhl/players/5343" TargetMode="External"/><Relationship Id="rId568" Type="http://schemas.openxmlformats.org/officeDocument/2006/relationships/hyperlink" Target="http://sports.yahoo.com/nhl/players/5672" TargetMode="External"/><Relationship Id="rId775" Type="http://schemas.openxmlformats.org/officeDocument/2006/relationships/hyperlink" Target="http://sports.yahoo.com/nhl/teams/bos" TargetMode="External"/><Relationship Id="rId982" Type="http://schemas.openxmlformats.org/officeDocument/2006/relationships/hyperlink" Target="http://sports.yahoo.com/nhl/players/3268" TargetMode="External"/><Relationship Id="rId1198" Type="http://schemas.openxmlformats.org/officeDocument/2006/relationships/hyperlink" Target="http://sports.yahoo.com/nhl/players/5692" TargetMode="External"/><Relationship Id="rId428" Type="http://schemas.openxmlformats.org/officeDocument/2006/relationships/hyperlink" Target="http://sports.yahoo.com/nhl/players/4065" TargetMode="External"/><Relationship Id="rId635" Type="http://schemas.openxmlformats.org/officeDocument/2006/relationships/hyperlink" Target="http://sports.yahoo.com/nhl/teams/ana" TargetMode="External"/><Relationship Id="rId842" Type="http://schemas.openxmlformats.org/officeDocument/2006/relationships/hyperlink" Target="http://sports.yahoo.com/nhl/players/2852" TargetMode="External"/><Relationship Id="rId1058" Type="http://schemas.openxmlformats.org/officeDocument/2006/relationships/hyperlink" Target="http://sports.yahoo.com/nhl/players/6348" TargetMode="External"/><Relationship Id="rId1265" Type="http://schemas.openxmlformats.org/officeDocument/2006/relationships/hyperlink" Target="http://sports.yahoo.com/nhl/teams/tor" TargetMode="External"/><Relationship Id="rId1472" Type="http://schemas.openxmlformats.org/officeDocument/2006/relationships/hyperlink" Target="http://sports.yahoo.com/nhl/players/3645" TargetMode="External"/><Relationship Id="rId702" Type="http://schemas.openxmlformats.org/officeDocument/2006/relationships/hyperlink" Target="http://sports.yahoo.com/nhl/players/3953" TargetMode="External"/><Relationship Id="rId1125" Type="http://schemas.openxmlformats.org/officeDocument/2006/relationships/hyperlink" Target="http://sports.yahoo.com/nhl/teams/wpg" TargetMode="External"/><Relationship Id="rId1332" Type="http://schemas.openxmlformats.org/officeDocument/2006/relationships/hyperlink" Target="http://sports.yahoo.com/nhl/players/45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31"/>
  <sheetViews>
    <sheetView workbookViewId="0">
      <selection activeCell="J2" sqref="J2"/>
    </sheetView>
  </sheetViews>
  <sheetFormatPr defaultRowHeight="15" x14ac:dyDescent="0.25"/>
  <cols>
    <col min="1" max="1" width="13.7109375" style="1" bestFit="1" customWidth="1"/>
    <col min="2" max="3" width="9.140625" style="1"/>
    <col min="4" max="4" width="17.85546875" bestFit="1" customWidth="1"/>
    <col min="5" max="6" width="13.7109375" bestFit="1" customWidth="1"/>
    <col min="7" max="7" width="7.7109375" bestFit="1" customWidth="1"/>
    <col min="8" max="8" width="6.28515625" bestFit="1" customWidth="1"/>
    <col min="9" max="9" width="12.7109375" style="1" bestFit="1" customWidth="1"/>
    <col min="10" max="16384" width="9.140625" style="1"/>
  </cols>
  <sheetData>
    <row r="1" spans="1:18" x14ac:dyDescent="0.25">
      <c r="A1" s="1" t="s">
        <v>174</v>
      </c>
      <c r="B1" s="1" t="s">
        <v>175</v>
      </c>
      <c r="D1" s="1" t="s">
        <v>1226</v>
      </c>
      <c r="E1" s="1" t="s">
        <v>28</v>
      </c>
      <c r="F1" s="1" t="s">
        <v>29</v>
      </c>
      <c r="G1" s="1" t="s">
        <v>28</v>
      </c>
      <c r="H1" s="1" t="s">
        <v>29</v>
      </c>
      <c r="I1" s="1" t="s">
        <v>30</v>
      </c>
      <c r="J1" s="1" t="s">
        <v>186</v>
      </c>
      <c r="K1" s="1" t="s">
        <v>188</v>
      </c>
      <c r="N1" s="1" t="s">
        <v>189</v>
      </c>
      <c r="O1" s="1" t="s">
        <v>190</v>
      </c>
      <c r="P1" s="1">
        <v>5945.6991320668985</v>
      </c>
    </row>
    <row r="2" spans="1:18" ht="15" customHeight="1" x14ac:dyDescent="0.25">
      <c r="A2" t="s">
        <v>37</v>
      </c>
      <c r="B2" s="2">
        <v>85.692546667350939</v>
      </c>
      <c r="D2" t="s">
        <v>31</v>
      </c>
      <c r="E2" t="s">
        <v>229</v>
      </c>
      <c r="F2" t="s">
        <v>0</v>
      </c>
      <c r="G2" s="57">
        <v>4</v>
      </c>
      <c r="H2">
        <v>3</v>
      </c>
      <c r="I2" s="1">
        <v>-1</v>
      </c>
      <c r="J2" s="1">
        <v>-0.13309152016643111</v>
      </c>
      <c r="K2" s="1">
        <v>0.75153031240734935</v>
      </c>
    </row>
    <row r="3" spans="1:18" x14ac:dyDescent="0.25">
      <c r="A3" t="s">
        <v>38</v>
      </c>
      <c r="B3" s="2">
        <v>85.591059508876953</v>
      </c>
      <c r="D3" t="s">
        <v>31</v>
      </c>
      <c r="E3" t="s">
        <v>1</v>
      </c>
      <c r="F3" t="s">
        <v>2</v>
      </c>
      <c r="G3" s="57">
        <v>1</v>
      </c>
      <c r="H3">
        <v>2</v>
      </c>
      <c r="I3" s="1">
        <v>1</v>
      </c>
      <c r="J3" s="1">
        <v>0.48741353642961371</v>
      </c>
      <c r="K3" s="1">
        <v>0.26274488263559492</v>
      </c>
      <c r="N3" s="1" t="s">
        <v>191</v>
      </c>
      <c r="O3" s="1">
        <v>50</v>
      </c>
      <c r="P3" s="1">
        <v>85</v>
      </c>
      <c r="Q3" s="1">
        <v>100</v>
      </c>
      <c r="R3" s="1">
        <v>85.000000002730019</v>
      </c>
    </row>
    <row r="4" spans="1:18" ht="15" customHeight="1" x14ac:dyDescent="0.25">
      <c r="A4" t="s">
        <v>36</v>
      </c>
      <c r="B4" s="2">
        <v>85.565630099333077</v>
      </c>
      <c r="D4" t="s">
        <v>31</v>
      </c>
      <c r="E4" t="s">
        <v>3</v>
      </c>
      <c r="F4" t="s">
        <v>4</v>
      </c>
      <c r="G4" s="57">
        <v>4</v>
      </c>
      <c r="H4">
        <v>2</v>
      </c>
      <c r="I4" s="1">
        <v>-2</v>
      </c>
      <c r="J4" s="1">
        <v>0.30294900316025064</v>
      </c>
      <c r="K4" s="1">
        <v>5.3035741111567924</v>
      </c>
    </row>
    <row r="5" spans="1:18" ht="20.25" customHeight="1" x14ac:dyDescent="0.25">
      <c r="A5" t="s">
        <v>20</v>
      </c>
      <c r="B5" s="2">
        <v>85.511373496341363</v>
      </c>
      <c r="D5" t="s">
        <v>31</v>
      </c>
      <c r="E5" t="s">
        <v>32</v>
      </c>
      <c r="F5" t="s">
        <v>33</v>
      </c>
      <c r="G5" s="57">
        <v>4</v>
      </c>
      <c r="H5">
        <v>0</v>
      </c>
      <c r="I5" s="1">
        <v>-4</v>
      </c>
      <c r="J5" s="1">
        <v>0.47678653324763332</v>
      </c>
      <c r="K5" s="1">
        <v>20.041617664267363</v>
      </c>
    </row>
    <row r="6" spans="1:18" ht="15" customHeight="1" x14ac:dyDescent="0.25">
      <c r="A6" t="s">
        <v>12</v>
      </c>
      <c r="B6" s="2">
        <v>85.443832764071232</v>
      </c>
      <c r="D6" t="s">
        <v>34</v>
      </c>
      <c r="E6" t="s">
        <v>7</v>
      </c>
      <c r="F6" t="s">
        <v>8</v>
      </c>
      <c r="G6" s="57">
        <v>3</v>
      </c>
      <c r="H6">
        <v>1</v>
      </c>
      <c r="I6" s="1">
        <v>-2</v>
      </c>
      <c r="J6" s="1">
        <v>-0.91956215482026948</v>
      </c>
      <c r="K6" s="1">
        <v>1.1673459372966193</v>
      </c>
    </row>
    <row r="7" spans="1:18" ht="21" customHeight="1" x14ac:dyDescent="0.25">
      <c r="A7" t="s">
        <v>23</v>
      </c>
      <c r="B7" s="2">
        <v>85.393390148463709</v>
      </c>
      <c r="D7" t="s">
        <v>34</v>
      </c>
      <c r="E7" t="s">
        <v>35</v>
      </c>
      <c r="F7" t="s">
        <v>1</v>
      </c>
      <c r="G7" s="57">
        <v>6</v>
      </c>
      <c r="H7">
        <v>4</v>
      </c>
      <c r="I7" s="1">
        <v>-2</v>
      </c>
      <c r="J7" s="1">
        <v>0.41731469411186595</v>
      </c>
      <c r="K7" s="1">
        <v>5.843410330369144</v>
      </c>
      <c r="O7" s="55" t="s">
        <v>223</v>
      </c>
    </row>
    <row r="8" spans="1:18" ht="15" customHeight="1" x14ac:dyDescent="0.25">
      <c r="A8" t="s">
        <v>224</v>
      </c>
      <c r="B8" s="2">
        <v>85.356636710209884</v>
      </c>
      <c r="D8" t="s">
        <v>34</v>
      </c>
      <c r="E8" t="s">
        <v>10</v>
      </c>
      <c r="F8" t="s">
        <v>11</v>
      </c>
      <c r="G8" s="57">
        <v>4</v>
      </c>
      <c r="H8">
        <v>6</v>
      </c>
      <c r="I8" s="1">
        <v>2</v>
      </c>
      <c r="J8" s="1">
        <v>0.2716033887165139</v>
      </c>
      <c r="K8" s="1">
        <v>2.9873548458962382</v>
      </c>
    </row>
    <row r="9" spans="1:18" x14ac:dyDescent="0.25">
      <c r="A9" t="s">
        <v>19</v>
      </c>
      <c r="B9" s="2">
        <v>85.325331323693163</v>
      </c>
      <c r="D9" t="s">
        <v>34</v>
      </c>
      <c r="E9" t="s">
        <v>229</v>
      </c>
      <c r="F9" t="s">
        <v>12</v>
      </c>
      <c r="G9" s="57">
        <v>2</v>
      </c>
      <c r="H9">
        <v>1</v>
      </c>
      <c r="I9" s="1">
        <v>-1</v>
      </c>
      <c r="J9" s="1">
        <v>0.33199654448928584</v>
      </c>
      <c r="K9" s="1">
        <v>1.774214794531398</v>
      </c>
    </row>
    <row r="10" spans="1:18" ht="15" customHeight="1" x14ac:dyDescent="0.25">
      <c r="A10" t="s">
        <v>25</v>
      </c>
      <c r="B10" s="2">
        <v>85.284500943294887</v>
      </c>
      <c r="D10" t="s">
        <v>34</v>
      </c>
      <c r="E10" t="s">
        <v>2</v>
      </c>
      <c r="F10" t="s">
        <v>13</v>
      </c>
      <c r="G10" s="57">
        <v>1</v>
      </c>
      <c r="H10">
        <v>2</v>
      </c>
      <c r="I10" s="1">
        <v>1</v>
      </c>
      <c r="J10" s="1">
        <v>0.37300762857121583</v>
      </c>
      <c r="K10" s="1">
        <v>0.39311943382989045</v>
      </c>
    </row>
    <row r="11" spans="1:18" x14ac:dyDescent="0.25">
      <c r="A11" t="s">
        <v>40</v>
      </c>
      <c r="B11" s="2">
        <v>85.262198663292523</v>
      </c>
      <c r="D11" t="s">
        <v>34</v>
      </c>
      <c r="E11" t="s">
        <v>14</v>
      </c>
      <c r="F11" t="s">
        <v>36</v>
      </c>
      <c r="G11" s="57">
        <v>2</v>
      </c>
      <c r="H11">
        <v>3</v>
      </c>
      <c r="I11" s="1">
        <v>1</v>
      </c>
      <c r="J11" s="1">
        <v>1.0338643480562979</v>
      </c>
      <c r="K11" s="1">
        <v>1.1467940692780874E-3</v>
      </c>
    </row>
    <row r="12" spans="1:18" ht="15" customHeight="1" x14ac:dyDescent="0.25">
      <c r="A12" t="s">
        <v>4</v>
      </c>
      <c r="B12" s="2">
        <v>85.255075950527825</v>
      </c>
      <c r="D12" t="s">
        <v>34</v>
      </c>
      <c r="E12" t="s">
        <v>37</v>
      </c>
      <c r="F12" t="s">
        <v>38</v>
      </c>
      <c r="G12" s="57">
        <v>3</v>
      </c>
      <c r="H12">
        <v>2</v>
      </c>
      <c r="I12" s="1">
        <v>-1</v>
      </c>
      <c r="J12" s="1">
        <v>0.14331333215395148</v>
      </c>
      <c r="K12" s="1">
        <v>1.3071653754809718</v>
      </c>
    </row>
    <row r="13" spans="1:18" x14ac:dyDescent="0.25">
      <c r="A13" t="s">
        <v>18</v>
      </c>
      <c r="B13" s="2">
        <v>85.244480647711768</v>
      </c>
      <c r="D13" t="s">
        <v>34</v>
      </c>
      <c r="E13" t="s">
        <v>18</v>
      </c>
      <c r="F13" t="s">
        <v>19</v>
      </c>
      <c r="G13" s="57">
        <v>2</v>
      </c>
      <c r="H13">
        <v>3</v>
      </c>
      <c r="I13" s="1">
        <v>1</v>
      </c>
      <c r="J13" s="1">
        <v>0.32565116660933313</v>
      </c>
      <c r="K13" s="1">
        <v>0.45474634909535339</v>
      </c>
    </row>
    <row r="14" spans="1:18" ht="15" customHeight="1" x14ac:dyDescent="0.25">
      <c r="A14" t="s">
        <v>3</v>
      </c>
      <c r="B14" s="2">
        <v>85.196927437995512</v>
      </c>
      <c r="D14" t="s">
        <v>34</v>
      </c>
      <c r="E14" t="s">
        <v>20</v>
      </c>
      <c r="F14" t="s">
        <v>21</v>
      </c>
      <c r="G14" s="57">
        <v>3</v>
      </c>
      <c r="H14">
        <v>2</v>
      </c>
      <c r="I14" s="1">
        <v>-1</v>
      </c>
      <c r="J14" s="1">
        <v>-0.20299610845225402</v>
      </c>
      <c r="K14" s="1">
        <v>0.63521520314225122</v>
      </c>
    </row>
    <row r="15" spans="1:18" x14ac:dyDescent="0.25">
      <c r="A15" t="s">
        <v>33</v>
      </c>
      <c r="B15" s="2">
        <v>85.156269438501965</v>
      </c>
      <c r="D15" t="s">
        <v>34</v>
      </c>
      <c r="E15" t="s">
        <v>22</v>
      </c>
      <c r="F15" t="s">
        <v>23</v>
      </c>
      <c r="G15" s="57">
        <v>0</v>
      </c>
      <c r="H15">
        <v>5</v>
      </c>
      <c r="I15" s="1">
        <v>5</v>
      </c>
      <c r="J15" s="1">
        <v>0.67391310608029187</v>
      </c>
      <c r="K15" s="1">
        <v>18.71502781374387</v>
      </c>
    </row>
    <row r="16" spans="1:18" ht="15" customHeight="1" x14ac:dyDescent="0.25">
      <c r="A16" t="s">
        <v>13</v>
      </c>
      <c r="B16" s="2">
        <v>85.139829919535245</v>
      </c>
      <c r="D16" t="s">
        <v>34</v>
      </c>
      <c r="E16" t="s">
        <v>4</v>
      </c>
      <c r="F16" t="s">
        <v>24</v>
      </c>
      <c r="G16" s="57">
        <v>5</v>
      </c>
      <c r="H16">
        <v>2</v>
      </c>
      <c r="I16" s="1">
        <v>-3</v>
      </c>
      <c r="J16" s="1">
        <v>-1.0184436941757582</v>
      </c>
      <c r="K16" s="1">
        <v>3.9265653931518161</v>
      </c>
    </row>
    <row r="17" spans="1:11" x14ac:dyDescent="0.25">
      <c r="A17" t="s">
        <v>11</v>
      </c>
      <c r="B17" s="2">
        <v>85.123173596557152</v>
      </c>
      <c r="D17" t="s">
        <v>34</v>
      </c>
      <c r="E17" t="s">
        <v>25</v>
      </c>
      <c r="F17" t="s">
        <v>176</v>
      </c>
      <c r="G17" s="57">
        <v>6</v>
      </c>
      <c r="H17">
        <v>2</v>
      </c>
      <c r="I17" s="1">
        <v>-4</v>
      </c>
      <c r="J17" s="1">
        <v>-1.2440154858362575</v>
      </c>
      <c r="K17" s="1">
        <v>7.5954506423103592</v>
      </c>
    </row>
    <row r="18" spans="1:11" ht="18" customHeight="1" x14ac:dyDescent="0.25">
      <c r="A18" t="s">
        <v>10</v>
      </c>
      <c r="B18" s="2">
        <v>85.096370698468576</v>
      </c>
      <c r="D18" t="s">
        <v>39</v>
      </c>
      <c r="E18" t="s">
        <v>40</v>
      </c>
      <c r="F18" t="s">
        <v>27</v>
      </c>
      <c r="G18" s="57">
        <v>5</v>
      </c>
      <c r="H18">
        <v>3</v>
      </c>
      <c r="I18" s="1">
        <v>-2</v>
      </c>
      <c r="J18" s="1">
        <v>-0.45698598672329638</v>
      </c>
      <c r="K18" s="1">
        <v>2.3808922451682792</v>
      </c>
    </row>
    <row r="19" spans="1:11" x14ac:dyDescent="0.25">
      <c r="A19" t="s">
        <v>21</v>
      </c>
      <c r="B19" s="2">
        <v>85.063576897261171</v>
      </c>
      <c r="D19" t="s">
        <v>41</v>
      </c>
      <c r="E19" t="s">
        <v>12</v>
      </c>
      <c r="F19" t="s">
        <v>2</v>
      </c>
      <c r="G19" s="57">
        <v>4</v>
      </c>
      <c r="H19">
        <v>0</v>
      </c>
      <c r="I19" s="1">
        <v>-4</v>
      </c>
      <c r="J19" s="1">
        <v>-0.18740949185132649</v>
      </c>
      <c r="K19" s="1">
        <v>14.53584638282536</v>
      </c>
    </row>
    <row r="20" spans="1:11" ht="15" customHeight="1" x14ac:dyDescent="0.25">
      <c r="A20" t="s">
        <v>2</v>
      </c>
      <c r="B20" s="2">
        <v>85.011622781591967</v>
      </c>
      <c r="D20" t="s">
        <v>41</v>
      </c>
      <c r="E20" t="s">
        <v>11</v>
      </c>
      <c r="F20" t="s">
        <v>0</v>
      </c>
      <c r="G20" s="57">
        <v>5</v>
      </c>
      <c r="H20">
        <v>2</v>
      </c>
      <c r="I20" s="1">
        <v>-3</v>
      </c>
      <c r="J20" s="1">
        <v>-0.47969887481886531</v>
      </c>
      <c r="K20" s="1">
        <v>6.3519177615892932</v>
      </c>
    </row>
    <row r="21" spans="1:11" x14ac:dyDescent="0.25">
      <c r="A21" t="s">
        <v>22</v>
      </c>
      <c r="B21" s="2">
        <v>84.964277533011355</v>
      </c>
      <c r="D21" t="s">
        <v>41</v>
      </c>
      <c r="E21" t="s">
        <v>10</v>
      </c>
      <c r="F21" t="s">
        <v>13</v>
      </c>
      <c r="G21" s="57">
        <v>3</v>
      </c>
      <c r="H21">
        <v>2</v>
      </c>
      <c r="I21" s="1">
        <v>-1</v>
      </c>
      <c r="J21" s="1">
        <v>0.28825971169460729</v>
      </c>
      <c r="K21" s="1">
        <v>1.6596130847754726</v>
      </c>
    </row>
    <row r="22" spans="1:11" ht="15" customHeight="1" x14ac:dyDescent="0.25">
      <c r="A22" t="s">
        <v>32</v>
      </c>
      <c r="B22" s="2">
        <v>84.92428339588227</v>
      </c>
      <c r="D22" t="s">
        <v>41</v>
      </c>
      <c r="E22" t="s">
        <v>18</v>
      </c>
      <c r="F22" t="s">
        <v>36</v>
      </c>
      <c r="G22" s="57">
        <v>3</v>
      </c>
      <c r="H22">
        <v>2</v>
      </c>
      <c r="I22" s="1">
        <v>-1</v>
      </c>
      <c r="J22" s="1">
        <v>0.56594994224924733</v>
      </c>
      <c r="K22" s="1">
        <v>2.4521992216304209</v>
      </c>
    </row>
    <row r="23" spans="1:11" x14ac:dyDescent="0.25">
      <c r="A23" t="s">
        <v>7</v>
      </c>
      <c r="B23" s="2">
        <v>84.836649722883806</v>
      </c>
      <c r="D23" t="s">
        <v>41</v>
      </c>
      <c r="E23" t="s">
        <v>35</v>
      </c>
      <c r="F23" t="s">
        <v>14</v>
      </c>
      <c r="G23" s="57">
        <v>5</v>
      </c>
      <c r="H23">
        <v>1</v>
      </c>
      <c r="I23" s="1">
        <v>-4</v>
      </c>
      <c r="J23" s="1">
        <v>0.42487120022629199</v>
      </c>
      <c r="K23" s="1">
        <v>19.579485138592066</v>
      </c>
    </row>
    <row r="24" spans="1:11" ht="15" customHeight="1" x14ac:dyDescent="0.25">
      <c r="A24" t="s">
        <v>14</v>
      </c>
      <c r="B24" s="2">
        <v>84.776566241904717</v>
      </c>
      <c r="D24" t="s">
        <v>41</v>
      </c>
      <c r="E24" t="s">
        <v>27</v>
      </c>
      <c r="F24" t="s">
        <v>40</v>
      </c>
      <c r="G24" s="57">
        <v>3</v>
      </c>
      <c r="H24">
        <v>4</v>
      </c>
      <c r="I24" s="1">
        <v>1</v>
      </c>
      <c r="J24" s="1">
        <v>0.9465869679791723</v>
      </c>
      <c r="K24" s="1">
        <v>2.8529519896579652E-3</v>
      </c>
    </row>
    <row r="25" spans="1:11" x14ac:dyDescent="0.25">
      <c r="A25" t="s">
        <v>1</v>
      </c>
      <c r="B25" s="2">
        <v>84.769009735790291</v>
      </c>
      <c r="D25" t="s">
        <v>41</v>
      </c>
      <c r="E25" t="s">
        <v>229</v>
      </c>
      <c r="F25" t="s">
        <v>1</v>
      </c>
      <c r="G25" s="57">
        <v>4</v>
      </c>
      <c r="H25">
        <v>3</v>
      </c>
      <c r="I25" s="1">
        <v>-1</v>
      </c>
      <c r="J25" s="1">
        <v>-0.34282648379165437</v>
      </c>
      <c r="K25" s="1">
        <v>0.43187703040564074</v>
      </c>
    </row>
    <row r="26" spans="1:11" ht="18" customHeight="1" x14ac:dyDescent="0.25">
      <c r="A26" t="s">
        <v>35</v>
      </c>
      <c r="B26" s="2">
        <v>84.596495532306363</v>
      </c>
      <c r="D26" t="s">
        <v>41</v>
      </c>
      <c r="E26" t="s">
        <v>37</v>
      </c>
      <c r="F26" t="s">
        <v>7</v>
      </c>
      <c r="G26" s="57">
        <v>2</v>
      </c>
      <c r="H26">
        <v>5</v>
      </c>
      <c r="I26" s="1">
        <v>3</v>
      </c>
      <c r="J26" s="1">
        <v>-0.61109645383919542</v>
      </c>
      <c r="K26" s="1">
        <v>13.040017598930012</v>
      </c>
    </row>
    <row r="27" spans="1:11" x14ac:dyDescent="0.25">
      <c r="A27" t="s">
        <v>27</v>
      </c>
      <c r="B27" s="2">
        <v>84.560412185941288</v>
      </c>
      <c r="D27" t="s">
        <v>41</v>
      </c>
      <c r="E27" t="s">
        <v>4</v>
      </c>
      <c r="F27" t="s">
        <v>38</v>
      </c>
      <c r="G27" s="57">
        <v>1</v>
      </c>
      <c r="H27">
        <v>4</v>
      </c>
      <c r="I27" s="1">
        <v>3</v>
      </c>
      <c r="J27" s="1">
        <v>0.58078404897706548</v>
      </c>
      <c r="K27" s="1">
        <v>5.8526058176838012</v>
      </c>
    </row>
    <row r="28" spans="1:11" ht="15" customHeight="1" x14ac:dyDescent="0.25">
      <c r="A28" t="s">
        <v>0</v>
      </c>
      <c r="B28" s="2">
        <v>84.398674231110348</v>
      </c>
      <c r="D28" t="s">
        <v>41</v>
      </c>
      <c r="E28" t="s">
        <v>21</v>
      </c>
      <c r="F28" t="s">
        <v>19</v>
      </c>
      <c r="G28" s="57">
        <v>1</v>
      </c>
      <c r="H28">
        <v>4</v>
      </c>
      <c r="I28" s="1">
        <v>3</v>
      </c>
      <c r="J28" s="1">
        <v>0.50655491705992972</v>
      </c>
      <c r="K28" s="1">
        <v>6.2172683816380143</v>
      </c>
    </row>
    <row r="29" spans="1:11" x14ac:dyDescent="0.25">
      <c r="A29" t="s">
        <v>24</v>
      </c>
      <c r="B29" s="2">
        <v>83.991831765724129</v>
      </c>
      <c r="D29" t="s">
        <v>41</v>
      </c>
      <c r="E29" t="s">
        <v>8</v>
      </c>
      <c r="F29" t="s">
        <v>20</v>
      </c>
      <c r="G29" s="57">
        <v>2</v>
      </c>
      <c r="H29">
        <v>6</v>
      </c>
      <c r="I29" s="1">
        <v>4</v>
      </c>
      <c r="J29" s="1">
        <v>2.0838869095337031</v>
      </c>
      <c r="K29" s="1">
        <v>3.6714893754563032</v>
      </c>
    </row>
    <row r="30" spans="1:11" ht="15" customHeight="1" x14ac:dyDescent="0.25">
      <c r="A30" t="s">
        <v>176</v>
      </c>
      <c r="B30" s="2">
        <v>83.795684966830692</v>
      </c>
      <c r="D30" t="s">
        <v>41</v>
      </c>
      <c r="E30" t="s">
        <v>23</v>
      </c>
      <c r="F30" t="s">
        <v>22</v>
      </c>
      <c r="G30" s="57">
        <v>3</v>
      </c>
      <c r="H30">
        <v>0</v>
      </c>
      <c r="I30" s="1">
        <v>-3</v>
      </c>
      <c r="J30" s="1">
        <v>-0.18431212482441595</v>
      </c>
      <c r="K30" s="1">
        <v>7.9280982104107958</v>
      </c>
    </row>
    <row r="31" spans="1:11" x14ac:dyDescent="0.25">
      <c r="A31" t="s">
        <v>8</v>
      </c>
      <c r="B31" s="2">
        <v>83.672287077435598</v>
      </c>
      <c r="D31" t="s">
        <v>41</v>
      </c>
      <c r="E31" t="s">
        <v>33</v>
      </c>
      <c r="F31" t="s">
        <v>176</v>
      </c>
      <c r="G31" s="57">
        <v>2</v>
      </c>
      <c r="H31">
        <v>3</v>
      </c>
      <c r="I31" s="1">
        <v>1</v>
      </c>
      <c r="J31" s="1">
        <v>-1.1157839810433359</v>
      </c>
      <c r="K31" s="1">
        <v>4.4765418544395867</v>
      </c>
    </row>
    <row r="32" spans="1:11" ht="15" customHeight="1" x14ac:dyDescent="0.25">
      <c r="D32" t="s">
        <v>41</v>
      </c>
      <c r="E32" t="s">
        <v>24</v>
      </c>
      <c r="F32" t="s">
        <v>3</v>
      </c>
      <c r="G32" s="57">
        <v>4</v>
      </c>
      <c r="H32">
        <v>5</v>
      </c>
      <c r="I32" s="1">
        <v>1</v>
      </c>
      <c r="J32" s="1">
        <v>1.4498961628993214</v>
      </c>
      <c r="K32" s="1">
        <v>0.20240655739153277</v>
      </c>
    </row>
    <row r="33" spans="1:11" x14ac:dyDescent="0.25">
      <c r="A33" s="1" t="s">
        <v>187</v>
      </c>
      <c r="B33" s="2">
        <v>0.24480049062793263</v>
      </c>
      <c r="D33" t="s">
        <v>41</v>
      </c>
      <c r="E33" t="s">
        <v>25</v>
      </c>
      <c r="F33" t="s">
        <v>32</v>
      </c>
      <c r="G33" s="57">
        <v>0</v>
      </c>
      <c r="H33">
        <v>3</v>
      </c>
      <c r="I33" s="1">
        <v>3</v>
      </c>
      <c r="J33" s="1">
        <v>-0.11541705678467906</v>
      </c>
      <c r="K33" s="1">
        <v>9.7058234377049128</v>
      </c>
    </row>
    <row r="34" spans="1:11" ht="15" customHeight="1" x14ac:dyDescent="0.25">
      <c r="D34" t="s">
        <v>42</v>
      </c>
      <c r="E34" t="s">
        <v>0</v>
      </c>
      <c r="F34" t="s">
        <v>37</v>
      </c>
      <c r="G34" s="57">
        <v>6</v>
      </c>
      <c r="H34">
        <v>3</v>
      </c>
      <c r="I34" s="1">
        <v>-3</v>
      </c>
      <c r="J34" s="1">
        <v>1.5386729268685286</v>
      </c>
      <c r="K34" s="1">
        <v>20.599551937089338</v>
      </c>
    </row>
    <row r="35" spans="1:11" x14ac:dyDescent="0.25">
      <c r="D35" t="s">
        <v>42</v>
      </c>
      <c r="E35" t="s">
        <v>25</v>
      </c>
      <c r="F35" t="s">
        <v>33</v>
      </c>
      <c r="G35" s="57">
        <v>1</v>
      </c>
      <c r="H35">
        <v>4</v>
      </c>
      <c r="I35" s="1">
        <v>3</v>
      </c>
      <c r="J35" s="1">
        <v>0.11656898583501629</v>
      </c>
      <c r="K35" s="1">
        <v>8.3141744134485069</v>
      </c>
    </row>
    <row r="36" spans="1:11" ht="15" customHeight="1" x14ac:dyDescent="0.25">
      <c r="D36" t="s">
        <v>43</v>
      </c>
      <c r="E36" t="s">
        <v>22</v>
      </c>
      <c r="F36" t="s">
        <v>2</v>
      </c>
      <c r="G36" s="57">
        <v>2</v>
      </c>
      <c r="H36">
        <v>1</v>
      </c>
      <c r="I36" s="1">
        <v>-1</v>
      </c>
      <c r="J36" s="1">
        <v>0.29214573920855003</v>
      </c>
      <c r="K36" s="1">
        <v>1.6696406113548101</v>
      </c>
    </row>
    <row r="37" spans="1:11" x14ac:dyDescent="0.25">
      <c r="D37" t="s">
        <v>43</v>
      </c>
      <c r="E37" t="s">
        <v>10</v>
      </c>
      <c r="F37" t="s">
        <v>8</v>
      </c>
      <c r="G37" s="57">
        <v>5</v>
      </c>
      <c r="H37">
        <v>1</v>
      </c>
      <c r="I37" s="1">
        <v>-4</v>
      </c>
      <c r="J37" s="1">
        <v>-1.1792831304050395</v>
      </c>
      <c r="K37" s="1">
        <v>7.9564436584175935</v>
      </c>
    </row>
    <row r="38" spans="1:11" ht="15" customHeight="1" x14ac:dyDescent="0.25">
      <c r="D38" t="s">
        <v>43</v>
      </c>
      <c r="E38" t="s">
        <v>18</v>
      </c>
      <c r="F38" t="s">
        <v>14</v>
      </c>
      <c r="G38" s="57">
        <v>1</v>
      </c>
      <c r="H38">
        <v>0</v>
      </c>
      <c r="I38" s="1">
        <v>-1</v>
      </c>
      <c r="J38" s="1">
        <v>-0.22311391517911261</v>
      </c>
      <c r="K38" s="1">
        <v>0.60355198878832705</v>
      </c>
    </row>
    <row r="39" spans="1:11" x14ac:dyDescent="0.25">
      <c r="D39" t="s">
        <v>43</v>
      </c>
      <c r="E39" t="s">
        <v>229</v>
      </c>
      <c r="F39" t="s">
        <v>36</v>
      </c>
      <c r="G39" s="57">
        <v>1</v>
      </c>
      <c r="H39">
        <v>7</v>
      </c>
      <c r="I39" s="1">
        <v>6</v>
      </c>
      <c r="J39" s="1">
        <v>0.45379387975113161</v>
      </c>
      <c r="K39" s="1">
        <v>30.760402328286006</v>
      </c>
    </row>
    <row r="40" spans="1:11" ht="15" customHeight="1" x14ac:dyDescent="0.25">
      <c r="D40" t="s">
        <v>44</v>
      </c>
      <c r="E40" t="s">
        <v>40</v>
      </c>
      <c r="F40" t="s">
        <v>37</v>
      </c>
      <c r="G40" s="57">
        <v>6</v>
      </c>
      <c r="H40">
        <v>3</v>
      </c>
      <c r="I40" s="1">
        <v>-3</v>
      </c>
      <c r="J40" s="1">
        <v>0.67514849468635418</v>
      </c>
      <c r="K40" s="1">
        <v>13.506716457995376</v>
      </c>
    </row>
    <row r="41" spans="1:11" x14ac:dyDescent="0.25">
      <c r="D41" t="s">
        <v>44</v>
      </c>
      <c r="E41" t="s">
        <v>10</v>
      </c>
      <c r="F41" t="s">
        <v>1</v>
      </c>
      <c r="G41" s="57">
        <v>4</v>
      </c>
      <c r="H41">
        <v>3</v>
      </c>
      <c r="I41" s="1">
        <v>-1</v>
      </c>
      <c r="J41" s="1">
        <v>-8.2560472050346334E-2</v>
      </c>
      <c r="K41" s="1">
        <v>0.8416952874444833</v>
      </c>
    </row>
    <row r="42" spans="1:11" ht="15" customHeight="1" x14ac:dyDescent="0.25">
      <c r="D42" t="s">
        <v>44</v>
      </c>
      <c r="E42" t="s">
        <v>32</v>
      </c>
      <c r="F42" t="s">
        <v>12</v>
      </c>
      <c r="G42" s="57">
        <v>6</v>
      </c>
      <c r="H42">
        <v>5</v>
      </c>
      <c r="I42" s="1">
        <v>-1</v>
      </c>
      <c r="J42" s="1">
        <v>0.76434985881689954</v>
      </c>
      <c r="K42" s="1">
        <v>3.1129304243072133</v>
      </c>
    </row>
    <row r="43" spans="1:11" x14ac:dyDescent="0.25">
      <c r="D43" t="s">
        <v>44</v>
      </c>
      <c r="E43" t="s">
        <v>21</v>
      </c>
      <c r="F43" t="s">
        <v>7</v>
      </c>
      <c r="G43" s="57">
        <v>4</v>
      </c>
      <c r="H43">
        <v>2</v>
      </c>
      <c r="I43" s="1">
        <v>-2</v>
      </c>
      <c r="J43" s="1">
        <v>1.7873316250572202E-2</v>
      </c>
      <c r="K43" s="1">
        <v>4.0718127204360819</v>
      </c>
    </row>
    <row r="44" spans="1:11" ht="15" customHeight="1" x14ac:dyDescent="0.25">
      <c r="D44" t="s">
        <v>44</v>
      </c>
      <c r="E44" t="s">
        <v>8</v>
      </c>
      <c r="F44" t="s">
        <v>27</v>
      </c>
      <c r="G44" s="57">
        <v>4</v>
      </c>
      <c r="H44">
        <v>3</v>
      </c>
      <c r="I44" s="1">
        <v>-1</v>
      </c>
      <c r="J44" s="1">
        <v>1.1329255991336282</v>
      </c>
      <c r="K44" s="1">
        <v>4.5493716114395468</v>
      </c>
    </row>
    <row r="45" spans="1:11" x14ac:dyDescent="0.25">
      <c r="D45" t="s">
        <v>44</v>
      </c>
      <c r="E45" t="s">
        <v>22</v>
      </c>
      <c r="F45" t="s">
        <v>0</v>
      </c>
      <c r="G45" s="57">
        <v>2</v>
      </c>
      <c r="H45">
        <v>3</v>
      </c>
      <c r="I45" s="1">
        <v>1</v>
      </c>
      <c r="J45" s="1">
        <v>-0.32080281127306876</v>
      </c>
      <c r="K45" s="1">
        <v>1.7445200662668416</v>
      </c>
    </row>
    <row r="46" spans="1:11" ht="15" customHeight="1" x14ac:dyDescent="0.25">
      <c r="D46" t="s">
        <v>44</v>
      </c>
      <c r="E46" t="s">
        <v>35</v>
      </c>
      <c r="F46" t="s">
        <v>36</v>
      </c>
      <c r="G46" s="57">
        <v>2</v>
      </c>
      <c r="H46">
        <v>1</v>
      </c>
      <c r="I46" s="1">
        <v>-1</v>
      </c>
      <c r="J46" s="1">
        <v>1.2139350576546519</v>
      </c>
      <c r="K46" s="1">
        <v>4.9015084395123072</v>
      </c>
    </row>
    <row r="47" spans="1:11" x14ac:dyDescent="0.25">
      <c r="D47" t="s">
        <v>44</v>
      </c>
      <c r="E47" t="s">
        <v>4</v>
      </c>
      <c r="F47" t="s">
        <v>19</v>
      </c>
      <c r="G47" s="57">
        <v>3</v>
      </c>
      <c r="H47">
        <v>2</v>
      </c>
      <c r="I47" s="1">
        <v>-1</v>
      </c>
      <c r="J47" s="1">
        <v>0.3150558637932761</v>
      </c>
      <c r="K47" s="1">
        <v>1.7293719248970796</v>
      </c>
    </row>
    <row r="48" spans="1:11" ht="15" customHeight="1" x14ac:dyDescent="0.25">
      <c r="D48" t="s">
        <v>44</v>
      </c>
      <c r="E48" t="s">
        <v>24</v>
      </c>
      <c r="F48" t="s">
        <v>33</v>
      </c>
      <c r="G48" s="57">
        <v>1</v>
      </c>
      <c r="H48">
        <v>6</v>
      </c>
      <c r="I48" s="1">
        <v>5</v>
      </c>
      <c r="J48" s="1">
        <v>1.4092381634057745</v>
      </c>
      <c r="K48" s="1">
        <v>12.893570567141536</v>
      </c>
    </row>
    <row r="49" spans="4:11" x14ac:dyDescent="0.25">
      <c r="D49" t="s">
        <v>45</v>
      </c>
      <c r="E49" t="s">
        <v>2</v>
      </c>
      <c r="F49" t="s">
        <v>13</v>
      </c>
      <c r="G49" s="57">
        <v>3</v>
      </c>
      <c r="H49">
        <v>2</v>
      </c>
      <c r="I49" s="1">
        <v>-1</v>
      </c>
      <c r="J49" s="1">
        <v>0.37300762857121583</v>
      </c>
      <c r="K49" s="1">
        <v>1.8851499481147538</v>
      </c>
    </row>
    <row r="50" spans="4:11" ht="15" customHeight="1" x14ac:dyDescent="0.25">
      <c r="D50" t="s">
        <v>45</v>
      </c>
      <c r="E50" t="s">
        <v>4</v>
      </c>
      <c r="F50" t="s">
        <v>20</v>
      </c>
      <c r="G50" s="57">
        <v>2</v>
      </c>
      <c r="H50">
        <v>1</v>
      </c>
      <c r="I50" s="1">
        <v>-1</v>
      </c>
      <c r="J50" s="1">
        <v>0.50109803644147632</v>
      </c>
      <c r="K50" s="1">
        <v>2.2532953150084558</v>
      </c>
    </row>
    <row r="51" spans="4:11" x14ac:dyDescent="0.25">
      <c r="D51" t="s">
        <v>45</v>
      </c>
      <c r="E51" t="s">
        <v>24</v>
      </c>
      <c r="F51" t="s">
        <v>176</v>
      </c>
      <c r="G51" s="57">
        <v>4</v>
      </c>
      <c r="H51">
        <v>7</v>
      </c>
      <c r="I51" s="1">
        <v>3</v>
      </c>
      <c r="J51" s="1">
        <v>4.8653691734500626E-2</v>
      </c>
      <c r="K51" s="1">
        <v>8.7104450313123927</v>
      </c>
    </row>
    <row r="52" spans="4:11" ht="18" customHeight="1" x14ac:dyDescent="0.25">
      <c r="D52" t="s">
        <v>46</v>
      </c>
      <c r="E52" t="s">
        <v>32</v>
      </c>
      <c r="F52" t="s">
        <v>40</v>
      </c>
      <c r="G52" s="57">
        <v>3</v>
      </c>
      <c r="H52">
        <v>4</v>
      </c>
      <c r="I52" s="1">
        <v>1</v>
      </c>
      <c r="J52" s="1">
        <v>0.58271575803819076</v>
      </c>
      <c r="K52" s="1">
        <v>0.17412613858964177</v>
      </c>
    </row>
    <row r="53" spans="4:11" x14ac:dyDescent="0.25">
      <c r="D53" t="s">
        <v>46</v>
      </c>
      <c r="E53" t="s">
        <v>21</v>
      </c>
      <c r="F53" t="s">
        <v>11</v>
      </c>
      <c r="G53" s="57">
        <v>3</v>
      </c>
      <c r="H53">
        <v>2</v>
      </c>
      <c r="I53" s="1">
        <v>-1</v>
      </c>
      <c r="J53" s="1">
        <v>0.30439718992391818</v>
      </c>
      <c r="K53" s="1">
        <v>1.7014520290814144</v>
      </c>
    </row>
    <row r="54" spans="4:11" ht="15" customHeight="1" x14ac:dyDescent="0.25">
      <c r="D54" t="s">
        <v>46</v>
      </c>
      <c r="E54" t="s">
        <v>35</v>
      </c>
      <c r="F54" t="s">
        <v>12</v>
      </c>
      <c r="G54" s="57">
        <v>2</v>
      </c>
      <c r="H54">
        <v>6</v>
      </c>
      <c r="I54" s="1">
        <v>4</v>
      </c>
      <c r="J54" s="1">
        <v>1.0921377223928062</v>
      </c>
      <c r="K54" s="1">
        <v>8.4556630255308978</v>
      </c>
    </row>
    <row r="55" spans="4:11" x14ac:dyDescent="0.25">
      <c r="D55" t="s">
        <v>46</v>
      </c>
      <c r="E55" t="s">
        <v>27</v>
      </c>
      <c r="F55" t="s">
        <v>37</v>
      </c>
      <c r="G55" s="57">
        <v>1</v>
      </c>
      <c r="H55">
        <v>2</v>
      </c>
      <c r="I55" s="1">
        <v>1</v>
      </c>
      <c r="J55" s="1">
        <v>1.3769349720375885</v>
      </c>
      <c r="K55" s="1">
        <v>0.14207997314497764</v>
      </c>
    </row>
    <row r="56" spans="4:11" ht="15" customHeight="1" x14ac:dyDescent="0.25">
      <c r="D56" t="s">
        <v>46</v>
      </c>
      <c r="E56" t="s">
        <v>2</v>
      </c>
      <c r="F56" t="s">
        <v>229</v>
      </c>
      <c r="G56" s="57">
        <v>4</v>
      </c>
      <c r="H56">
        <v>6</v>
      </c>
      <c r="I56" s="1">
        <v>2</v>
      </c>
      <c r="J56" s="1">
        <v>0.58981441924585454</v>
      </c>
      <c r="K56" s="1">
        <v>1.9886233721669064</v>
      </c>
    </row>
    <row r="57" spans="4:11" x14ac:dyDescent="0.25">
      <c r="D57" t="s">
        <v>46</v>
      </c>
      <c r="E57" t="s">
        <v>22</v>
      </c>
      <c r="F57" t="s">
        <v>18</v>
      </c>
      <c r="G57" s="57">
        <v>3</v>
      </c>
      <c r="H57">
        <v>5</v>
      </c>
      <c r="I57" s="1">
        <v>2</v>
      </c>
      <c r="J57" s="1">
        <v>0.52500360532835089</v>
      </c>
      <c r="K57" s="1">
        <v>2.1756143642943631</v>
      </c>
    </row>
    <row r="58" spans="4:11" ht="15" customHeight="1" x14ac:dyDescent="0.25">
      <c r="D58" t="s">
        <v>46</v>
      </c>
      <c r="E58" t="s">
        <v>38</v>
      </c>
      <c r="F58" t="s">
        <v>33</v>
      </c>
      <c r="G58" s="57">
        <v>0</v>
      </c>
      <c r="H58">
        <v>1</v>
      </c>
      <c r="I58" s="1">
        <v>1</v>
      </c>
      <c r="J58" s="1">
        <v>-0.18998957974704922</v>
      </c>
      <c r="K58" s="1">
        <v>1.4160751999065588</v>
      </c>
    </row>
    <row r="59" spans="4:11" x14ac:dyDescent="0.25">
      <c r="D59" t="s">
        <v>47</v>
      </c>
      <c r="E59" t="s">
        <v>14</v>
      </c>
      <c r="F59" t="s">
        <v>8</v>
      </c>
      <c r="G59" s="57">
        <v>1</v>
      </c>
      <c r="H59">
        <v>0</v>
      </c>
      <c r="I59" s="1">
        <v>-1</v>
      </c>
      <c r="J59" s="1">
        <v>-0.85947867384118126</v>
      </c>
      <c r="K59" s="1">
        <v>1.9746243105433114E-2</v>
      </c>
    </row>
    <row r="60" spans="4:11" ht="15" customHeight="1" x14ac:dyDescent="0.25">
      <c r="D60" t="s">
        <v>47</v>
      </c>
      <c r="E60" t="s">
        <v>4</v>
      </c>
      <c r="F60" t="s">
        <v>7</v>
      </c>
      <c r="G60" s="57">
        <v>2</v>
      </c>
      <c r="H60">
        <v>3</v>
      </c>
      <c r="I60" s="1">
        <v>1</v>
      </c>
      <c r="J60" s="1">
        <v>-0.17362573701608142</v>
      </c>
      <c r="K60" s="1">
        <v>1.3773973705865403</v>
      </c>
    </row>
    <row r="61" spans="4:11" x14ac:dyDescent="0.25">
      <c r="D61" t="s">
        <v>47</v>
      </c>
      <c r="E61" t="s">
        <v>13</v>
      </c>
      <c r="F61" t="s">
        <v>0</v>
      </c>
      <c r="G61" s="57">
        <v>4</v>
      </c>
      <c r="H61">
        <v>1</v>
      </c>
      <c r="I61" s="1">
        <v>-3</v>
      </c>
      <c r="J61" s="1">
        <v>-0.49635519779695869</v>
      </c>
      <c r="K61" s="1">
        <v>6.2682372955983059</v>
      </c>
    </row>
    <row r="62" spans="4:11" ht="15" customHeight="1" x14ac:dyDescent="0.25">
      <c r="D62" t="s">
        <v>47</v>
      </c>
      <c r="E62" t="s">
        <v>19</v>
      </c>
      <c r="F62" t="s">
        <v>25</v>
      </c>
      <c r="G62" s="57">
        <v>2</v>
      </c>
      <c r="H62">
        <v>0</v>
      </c>
      <c r="I62" s="1">
        <v>-2</v>
      </c>
      <c r="J62" s="1">
        <v>0.20397011022966183</v>
      </c>
      <c r="K62" s="1">
        <v>4.8574842467857478</v>
      </c>
    </row>
    <row r="63" spans="4:11" x14ac:dyDescent="0.25">
      <c r="D63" t="s">
        <v>47</v>
      </c>
      <c r="E63" t="s">
        <v>3</v>
      </c>
      <c r="F63" t="s">
        <v>24</v>
      </c>
      <c r="G63" s="57">
        <v>2</v>
      </c>
      <c r="H63">
        <v>0</v>
      </c>
      <c r="I63" s="1">
        <v>-2</v>
      </c>
      <c r="J63" s="1">
        <v>-0.96029518164344552</v>
      </c>
      <c r="K63" s="1">
        <v>1.080986109313836</v>
      </c>
    </row>
    <row r="64" spans="4:11" ht="15" customHeight="1" x14ac:dyDescent="0.25">
      <c r="D64" t="s">
        <v>47</v>
      </c>
      <c r="E64" t="s">
        <v>23</v>
      </c>
      <c r="F64" t="s">
        <v>10</v>
      </c>
      <c r="G64" s="57">
        <v>1</v>
      </c>
      <c r="H64">
        <v>2</v>
      </c>
      <c r="I64" s="1">
        <v>1</v>
      </c>
      <c r="J64" s="1">
        <v>-5.2218959367195339E-2</v>
      </c>
      <c r="K64" s="1">
        <v>1.1071647384517835</v>
      </c>
    </row>
    <row r="65" spans="4:11" x14ac:dyDescent="0.25">
      <c r="D65" t="s">
        <v>48</v>
      </c>
      <c r="E65" t="s">
        <v>2</v>
      </c>
      <c r="F65" t="s">
        <v>8</v>
      </c>
      <c r="G65" s="57">
        <v>4</v>
      </c>
      <c r="H65">
        <v>0</v>
      </c>
      <c r="I65" s="1">
        <v>-4</v>
      </c>
      <c r="J65" s="1">
        <v>-1.094535213528431</v>
      </c>
      <c r="K65" s="1">
        <v>8.4417256254262796</v>
      </c>
    </row>
    <row r="66" spans="4:11" ht="15" customHeight="1" x14ac:dyDescent="0.25">
      <c r="D66" t="s">
        <v>48</v>
      </c>
      <c r="E66" t="s">
        <v>22</v>
      </c>
      <c r="F66" t="s">
        <v>229</v>
      </c>
      <c r="G66" s="57">
        <v>2</v>
      </c>
      <c r="H66">
        <v>3</v>
      </c>
      <c r="I66" s="1">
        <v>1</v>
      </c>
      <c r="J66" s="1">
        <v>0.6371596678264666</v>
      </c>
      <c r="K66" s="1">
        <v>0.13165310665180005</v>
      </c>
    </row>
    <row r="67" spans="4:11" x14ac:dyDescent="0.25">
      <c r="D67" t="s">
        <v>48</v>
      </c>
      <c r="E67" t="s">
        <v>7</v>
      </c>
      <c r="F67" t="s">
        <v>18</v>
      </c>
      <c r="G67" s="57">
        <v>2</v>
      </c>
      <c r="H67">
        <v>3</v>
      </c>
      <c r="I67" s="1">
        <v>1</v>
      </c>
      <c r="J67" s="1">
        <v>0.65263141545590031</v>
      </c>
      <c r="K67" s="1">
        <v>0.12066493352817133</v>
      </c>
    </row>
    <row r="68" spans="4:11" ht="15" customHeight="1" x14ac:dyDescent="0.25">
      <c r="D68" t="s">
        <v>48</v>
      </c>
      <c r="E68" t="s">
        <v>0</v>
      </c>
      <c r="F68" t="s">
        <v>13</v>
      </c>
      <c r="G68" s="57">
        <v>0</v>
      </c>
      <c r="H68">
        <v>1</v>
      </c>
      <c r="I68" s="1">
        <v>1</v>
      </c>
      <c r="J68" s="1">
        <v>0.98595617905283461</v>
      </c>
      <c r="K68" s="1">
        <v>1.9722890679604128E-4</v>
      </c>
    </row>
    <row r="69" spans="4:11" x14ac:dyDescent="0.25">
      <c r="D69" t="s">
        <v>48</v>
      </c>
      <c r="E69" t="s">
        <v>32</v>
      </c>
      <c r="F69" t="s">
        <v>35</v>
      </c>
      <c r="G69" s="57">
        <v>4</v>
      </c>
      <c r="H69">
        <v>2</v>
      </c>
      <c r="I69" s="1">
        <v>-2</v>
      </c>
      <c r="J69" s="1">
        <v>-8.2987372947968652E-2</v>
      </c>
      <c r="K69" s="1">
        <v>3.6749374122769307</v>
      </c>
    </row>
    <row r="70" spans="4:11" ht="15" customHeight="1" x14ac:dyDescent="0.25">
      <c r="D70" t="s">
        <v>48</v>
      </c>
      <c r="E70" t="s">
        <v>40</v>
      </c>
      <c r="F70" t="s">
        <v>11</v>
      </c>
      <c r="G70" s="57">
        <v>1</v>
      </c>
      <c r="H70">
        <v>3</v>
      </c>
      <c r="I70" s="1">
        <v>2</v>
      </c>
      <c r="J70" s="1">
        <v>0.10577542389256678</v>
      </c>
      <c r="K70" s="1">
        <v>3.5880867447293849</v>
      </c>
    </row>
    <row r="71" spans="4:11" x14ac:dyDescent="0.25">
      <c r="D71" t="s">
        <v>48</v>
      </c>
      <c r="E71" t="s">
        <v>14</v>
      </c>
      <c r="F71" t="s">
        <v>12</v>
      </c>
      <c r="G71" s="57">
        <v>1</v>
      </c>
      <c r="H71">
        <v>2</v>
      </c>
      <c r="I71" s="1">
        <v>1</v>
      </c>
      <c r="J71" s="1">
        <v>0.91206701279445213</v>
      </c>
      <c r="K71" s="1">
        <v>7.7322102388910465E-3</v>
      </c>
    </row>
    <row r="72" spans="4:11" ht="15" customHeight="1" x14ac:dyDescent="0.25">
      <c r="D72" t="s">
        <v>48</v>
      </c>
      <c r="E72" t="s">
        <v>1</v>
      </c>
      <c r="F72" t="s">
        <v>21</v>
      </c>
      <c r="G72" s="57">
        <v>6</v>
      </c>
      <c r="H72">
        <v>5</v>
      </c>
      <c r="I72" s="1">
        <v>-1</v>
      </c>
      <c r="J72" s="1">
        <v>0.53936765209881798</v>
      </c>
      <c r="K72" s="1">
        <v>2.3696527683282276</v>
      </c>
    </row>
    <row r="73" spans="4:11" x14ac:dyDescent="0.25">
      <c r="D73" t="s">
        <v>48</v>
      </c>
      <c r="E73" t="s">
        <v>19</v>
      </c>
      <c r="F73" t="s">
        <v>20</v>
      </c>
      <c r="G73" s="57">
        <v>1</v>
      </c>
      <c r="H73">
        <v>2</v>
      </c>
      <c r="I73" s="1">
        <v>1</v>
      </c>
      <c r="J73" s="1">
        <v>0.43084266327613818</v>
      </c>
      <c r="K73" s="1">
        <v>0.32394007394659941</v>
      </c>
    </row>
    <row r="74" spans="4:11" ht="18" customHeight="1" x14ac:dyDescent="0.25">
      <c r="D74" t="s">
        <v>48</v>
      </c>
      <c r="E74" t="s">
        <v>38</v>
      </c>
      <c r="F74" t="s">
        <v>176</v>
      </c>
      <c r="G74" s="57">
        <v>6</v>
      </c>
      <c r="H74">
        <v>1</v>
      </c>
      <c r="I74" s="1">
        <v>-5</v>
      </c>
      <c r="J74" s="1">
        <v>-1.5505740514183231</v>
      </c>
      <c r="K74" s="1">
        <v>11.898539374748601</v>
      </c>
    </row>
    <row r="75" spans="4:11" x14ac:dyDescent="0.25">
      <c r="D75" t="s">
        <v>48</v>
      </c>
      <c r="E75" t="s">
        <v>36</v>
      </c>
      <c r="F75" t="s">
        <v>3</v>
      </c>
      <c r="G75" s="57">
        <v>4</v>
      </c>
      <c r="H75">
        <v>2</v>
      </c>
      <c r="I75" s="1">
        <v>-2</v>
      </c>
      <c r="J75" s="1">
        <v>-0.12390217070962706</v>
      </c>
      <c r="K75" s="1">
        <v>3.5197430650680492</v>
      </c>
    </row>
    <row r="76" spans="4:11" ht="15" customHeight="1" x14ac:dyDescent="0.25">
      <c r="D76" t="s">
        <v>49</v>
      </c>
      <c r="E76" t="s">
        <v>23</v>
      </c>
      <c r="F76" t="s">
        <v>33</v>
      </c>
      <c r="G76" s="57">
        <v>1</v>
      </c>
      <c r="H76">
        <v>2</v>
      </c>
      <c r="I76" s="1">
        <v>1</v>
      </c>
      <c r="J76" s="1">
        <v>7.6797806661943468E-3</v>
      </c>
      <c r="K76" s="1">
        <v>0.98469941769869218</v>
      </c>
    </row>
    <row r="77" spans="4:11" x14ac:dyDescent="0.25">
      <c r="D77" t="s">
        <v>49</v>
      </c>
      <c r="E77" t="s">
        <v>32</v>
      </c>
      <c r="F77" t="s">
        <v>37</v>
      </c>
      <c r="G77" s="57">
        <v>0</v>
      </c>
      <c r="H77">
        <v>4</v>
      </c>
      <c r="I77" s="1">
        <v>4</v>
      </c>
      <c r="J77" s="1">
        <v>1.013063762096607</v>
      </c>
      <c r="K77" s="1">
        <v>8.9217880893004757</v>
      </c>
    </row>
    <row r="78" spans="4:11" ht="15" customHeight="1" x14ac:dyDescent="0.25">
      <c r="D78" t="s">
        <v>49</v>
      </c>
      <c r="E78" t="s">
        <v>4</v>
      </c>
      <c r="F78" t="s">
        <v>25</v>
      </c>
      <c r="G78" s="57">
        <v>4</v>
      </c>
      <c r="H78">
        <v>1</v>
      </c>
      <c r="I78" s="1">
        <v>-3</v>
      </c>
      <c r="J78" s="1">
        <v>0.27422548339499997</v>
      </c>
      <c r="K78" s="1">
        <v>10.720552516113221</v>
      </c>
    </row>
    <row r="79" spans="4:11" x14ac:dyDescent="0.25">
      <c r="D79" t="s">
        <v>49</v>
      </c>
      <c r="E79" t="s">
        <v>38</v>
      </c>
      <c r="F79" t="s">
        <v>10</v>
      </c>
      <c r="G79" s="57">
        <v>0</v>
      </c>
      <c r="H79">
        <v>3</v>
      </c>
      <c r="I79" s="1">
        <v>3</v>
      </c>
      <c r="J79" s="1">
        <v>-0.24988831978043891</v>
      </c>
      <c r="K79" s="1">
        <v>10.561774091045324</v>
      </c>
    </row>
    <row r="80" spans="4:11" ht="15" customHeight="1" x14ac:dyDescent="0.25">
      <c r="D80" t="s">
        <v>50</v>
      </c>
      <c r="E80" t="s">
        <v>36</v>
      </c>
      <c r="F80" t="s">
        <v>24</v>
      </c>
      <c r="G80" s="57">
        <v>2</v>
      </c>
      <c r="H80">
        <v>3</v>
      </c>
      <c r="I80" s="1">
        <v>1</v>
      </c>
      <c r="J80" s="1">
        <v>-1.3289978429810105</v>
      </c>
      <c r="K80" s="1">
        <v>5.4242309526102002</v>
      </c>
    </row>
    <row r="81" spans="4:11" x14ac:dyDescent="0.25">
      <c r="D81" t="s">
        <v>51</v>
      </c>
      <c r="E81" t="s">
        <v>32</v>
      </c>
      <c r="F81" t="s">
        <v>2</v>
      </c>
      <c r="G81" s="57">
        <v>3</v>
      </c>
      <c r="H81">
        <v>5</v>
      </c>
      <c r="I81" s="1">
        <v>2</v>
      </c>
      <c r="J81" s="1">
        <v>0.33213987633763509</v>
      </c>
      <c r="K81" s="1">
        <v>2.7817573921030392</v>
      </c>
    </row>
    <row r="82" spans="4:11" ht="15" customHeight="1" x14ac:dyDescent="0.25">
      <c r="D82" t="s">
        <v>51</v>
      </c>
      <c r="E82" t="s">
        <v>37</v>
      </c>
      <c r="F82" t="s">
        <v>35</v>
      </c>
      <c r="G82" s="57">
        <v>4</v>
      </c>
      <c r="H82">
        <v>3</v>
      </c>
      <c r="I82" s="1">
        <v>-1</v>
      </c>
      <c r="J82" s="1">
        <v>-0.85125064441663767</v>
      </c>
      <c r="K82" s="1">
        <v>2.2126370786465566E-2</v>
      </c>
    </row>
    <row r="83" spans="4:11" x14ac:dyDescent="0.25">
      <c r="D83" t="s">
        <v>51</v>
      </c>
      <c r="E83" t="s">
        <v>0</v>
      </c>
      <c r="F83" t="s">
        <v>40</v>
      </c>
      <c r="G83" s="57">
        <v>5</v>
      </c>
      <c r="H83">
        <v>2</v>
      </c>
      <c r="I83" s="1">
        <v>-3</v>
      </c>
      <c r="J83" s="1">
        <v>1.1083249228101124</v>
      </c>
      <c r="K83" s="1">
        <v>16.878333671382716</v>
      </c>
    </row>
    <row r="84" spans="4:11" ht="15" customHeight="1" x14ac:dyDescent="0.25">
      <c r="D84" t="s">
        <v>51</v>
      </c>
      <c r="E84" t="s">
        <v>13</v>
      </c>
      <c r="F84" t="s">
        <v>229</v>
      </c>
      <c r="G84" s="57">
        <v>1</v>
      </c>
      <c r="H84">
        <v>2</v>
      </c>
      <c r="I84" s="1">
        <v>1</v>
      </c>
      <c r="J84" s="1">
        <v>0.46160728130257667</v>
      </c>
      <c r="K84" s="1">
        <v>0.28986671954640281</v>
      </c>
    </row>
    <row r="85" spans="4:11" x14ac:dyDescent="0.25">
      <c r="D85" t="s">
        <v>51</v>
      </c>
      <c r="E85" t="s">
        <v>176</v>
      </c>
      <c r="F85" t="s">
        <v>19</v>
      </c>
      <c r="G85" s="57">
        <v>3</v>
      </c>
      <c r="H85">
        <v>4</v>
      </c>
      <c r="I85" s="1">
        <v>1</v>
      </c>
      <c r="J85" s="1">
        <v>1.7744468474904096</v>
      </c>
      <c r="K85" s="1">
        <v>0.59976791958783371</v>
      </c>
    </row>
    <row r="86" spans="4:11" ht="15" customHeight="1" x14ac:dyDescent="0.25">
      <c r="D86" t="s">
        <v>51</v>
      </c>
      <c r="E86" t="s">
        <v>27</v>
      </c>
      <c r="F86" t="s">
        <v>25</v>
      </c>
      <c r="G86" s="57">
        <v>1</v>
      </c>
      <c r="H86">
        <v>3</v>
      </c>
      <c r="I86" s="1">
        <v>2</v>
      </c>
      <c r="J86" s="1">
        <v>0.96888924798153653</v>
      </c>
      <c r="K86" s="1">
        <v>1.0631893829280812</v>
      </c>
    </row>
    <row r="87" spans="4:11" x14ac:dyDescent="0.25">
      <c r="D87" t="s">
        <v>51</v>
      </c>
      <c r="E87" t="s">
        <v>1</v>
      </c>
      <c r="F87" t="s">
        <v>20</v>
      </c>
      <c r="G87" s="57">
        <v>0</v>
      </c>
      <c r="H87">
        <v>4</v>
      </c>
      <c r="I87" s="1">
        <v>4</v>
      </c>
      <c r="J87" s="1">
        <v>0.98716425117900997</v>
      </c>
      <c r="K87" s="1">
        <v>9.0771792493737351</v>
      </c>
    </row>
    <row r="88" spans="4:11" ht="15" customHeight="1" x14ac:dyDescent="0.25">
      <c r="D88" t="s">
        <v>51</v>
      </c>
      <c r="E88" t="s">
        <v>3</v>
      </c>
      <c r="F88" t="s">
        <v>21</v>
      </c>
      <c r="G88" s="57">
        <v>3</v>
      </c>
      <c r="H88">
        <v>6</v>
      </c>
      <c r="I88" s="1">
        <v>3</v>
      </c>
      <c r="J88" s="1">
        <v>0.11144994989359702</v>
      </c>
      <c r="K88" s="1">
        <v>8.3437213919697033</v>
      </c>
    </row>
    <row r="89" spans="4:11" x14ac:dyDescent="0.25">
      <c r="D89" t="s">
        <v>51</v>
      </c>
      <c r="E89" t="s">
        <v>14</v>
      </c>
      <c r="F89" t="s">
        <v>22</v>
      </c>
      <c r="G89" s="57">
        <v>4</v>
      </c>
      <c r="H89">
        <v>3</v>
      </c>
      <c r="I89" s="1">
        <v>-1</v>
      </c>
      <c r="J89" s="1">
        <v>0.43251178173457561</v>
      </c>
      <c r="K89" s="1">
        <v>2.0520900048083686</v>
      </c>
    </row>
    <row r="90" spans="4:11" ht="15" customHeight="1" x14ac:dyDescent="0.25">
      <c r="D90" t="s">
        <v>51</v>
      </c>
      <c r="E90" t="s">
        <v>36</v>
      </c>
      <c r="F90" t="s">
        <v>4</v>
      </c>
      <c r="G90" s="57">
        <v>2</v>
      </c>
      <c r="H90">
        <v>1</v>
      </c>
      <c r="I90" s="1">
        <v>-1</v>
      </c>
      <c r="J90" s="1">
        <v>-6.5753658177314378E-2</v>
      </c>
      <c r="K90" s="1">
        <v>0.87281622720907037</v>
      </c>
    </row>
    <row r="91" spans="4:11" x14ac:dyDescent="0.25">
      <c r="D91" t="s">
        <v>52</v>
      </c>
      <c r="E91" t="s">
        <v>1</v>
      </c>
      <c r="F91" t="s">
        <v>11</v>
      </c>
      <c r="G91" s="57">
        <v>5</v>
      </c>
      <c r="H91">
        <v>3</v>
      </c>
      <c r="I91" s="1">
        <v>-2</v>
      </c>
      <c r="J91" s="1">
        <v>0.5989643513947982</v>
      </c>
      <c r="K91" s="1">
        <v>6.7546156998209845</v>
      </c>
    </row>
    <row r="92" spans="4:11" ht="15" customHeight="1" x14ac:dyDescent="0.25">
      <c r="D92" t="s">
        <v>52</v>
      </c>
      <c r="E92" t="s">
        <v>12</v>
      </c>
      <c r="F92" t="s">
        <v>24</v>
      </c>
      <c r="G92" s="57">
        <v>2</v>
      </c>
      <c r="H92">
        <v>3</v>
      </c>
      <c r="I92" s="1">
        <v>1</v>
      </c>
      <c r="J92" s="1">
        <v>-1.2072005077191648</v>
      </c>
      <c r="K92" s="1">
        <v>4.871734081275739</v>
      </c>
    </row>
    <row r="93" spans="4:11" x14ac:dyDescent="0.25">
      <c r="D93" t="s">
        <v>52</v>
      </c>
      <c r="E93" t="s">
        <v>8</v>
      </c>
      <c r="F93" t="s">
        <v>10</v>
      </c>
      <c r="G93" s="57">
        <v>1</v>
      </c>
      <c r="H93">
        <v>4</v>
      </c>
      <c r="I93" s="1">
        <v>3</v>
      </c>
      <c r="J93" s="1">
        <v>1.6688841116609154</v>
      </c>
      <c r="K93" s="1">
        <v>1.7718695081887503</v>
      </c>
    </row>
    <row r="94" spans="4:11" ht="15" customHeight="1" x14ac:dyDescent="0.25">
      <c r="D94" t="s">
        <v>53</v>
      </c>
      <c r="E94" t="s">
        <v>40</v>
      </c>
      <c r="F94" t="s">
        <v>2</v>
      </c>
      <c r="G94" s="57">
        <v>3</v>
      </c>
      <c r="H94">
        <v>2</v>
      </c>
      <c r="I94" s="1">
        <v>-1</v>
      </c>
      <c r="J94" s="1">
        <v>-5.7753910726177082E-3</v>
      </c>
      <c r="K94" s="1">
        <v>0.98848257299680631</v>
      </c>
    </row>
    <row r="95" spans="4:11" x14ac:dyDescent="0.25">
      <c r="D95" t="s">
        <v>53</v>
      </c>
      <c r="E95" t="s">
        <v>11</v>
      </c>
      <c r="F95" t="s">
        <v>13</v>
      </c>
      <c r="G95" s="57">
        <v>3</v>
      </c>
      <c r="H95">
        <v>4</v>
      </c>
      <c r="I95" s="1">
        <v>1</v>
      </c>
      <c r="J95" s="1">
        <v>0.26145681360603135</v>
      </c>
      <c r="K95" s="1">
        <v>0.54544603816895632</v>
      </c>
    </row>
    <row r="96" spans="4:11" ht="18" customHeight="1" x14ac:dyDescent="0.25">
      <c r="D96" t="s">
        <v>53</v>
      </c>
      <c r="E96" t="s">
        <v>3</v>
      </c>
      <c r="F96" t="s">
        <v>38</v>
      </c>
      <c r="G96" s="57">
        <v>4</v>
      </c>
      <c r="H96">
        <v>1</v>
      </c>
      <c r="I96" s="1">
        <v>-3</v>
      </c>
      <c r="J96" s="1">
        <v>0.63893256150937816</v>
      </c>
      <c r="K96" s="1">
        <v>13.241830187213205</v>
      </c>
    </row>
    <row r="97" spans="4:11" x14ac:dyDescent="0.25">
      <c r="D97" t="s">
        <v>53</v>
      </c>
      <c r="E97" t="s">
        <v>20</v>
      </c>
      <c r="F97" t="s">
        <v>19</v>
      </c>
      <c r="G97" s="57">
        <v>2</v>
      </c>
      <c r="H97">
        <v>3</v>
      </c>
      <c r="I97" s="1">
        <v>1</v>
      </c>
      <c r="J97" s="1">
        <v>5.875831797973774E-2</v>
      </c>
      <c r="K97" s="1">
        <v>0.88593590397233246</v>
      </c>
    </row>
    <row r="98" spans="4:11" ht="18" customHeight="1" x14ac:dyDescent="0.25">
      <c r="D98" t="s">
        <v>53</v>
      </c>
      <c r="E98" t="s">
        <v>176</v>
      </c>
      <c r="F98" t="s">
        <v>23</v>
      </c>
      <c r="G98" s="57">
        <v>0</v>
      </c>
      <c r="H98">
        <v>2</v>
      </c>
      <c r="I98" s="1">
        <v>2</v>
      </c>
      <c r="J98" s="1">
        <v>1.8425056722609554</v>
      </c>
      <c r="K98" s="1">
        <v>2.4804463269973591E-2</v>
      </c>
    </row>
    <row r="99" spans="4:11" x14ac:dyDescent="0.25">
      <c r="D99" t="s">
        <v>53</v>
      </c>
      <c r="E99" t="s">
        <v>27</v>
      </c>
      <c r="F99" t="s">
        <v>4</v>
      </c>
      <c r="G99" s="57">
        <v>0</v>
      </c>
      <c r="H99">
        <v>5</v>
      </c>
      <c r="I99" s="1">
        <v>5</v>
      </c>
      <c r="J99" s="1">
        <v>0.93946425521447452</v>
      </c>
      <c r="K99" s="1">
        <v>16.487950534680941</v>
      </c>
    </row>
    <row r="100" spans="4:11" ht="15" customHeight="1" x14ac:dyDescent="0.25">
      <c r="D100" t="s">
        <v>53</v>
      </c>
      <c r="E100" t="s">
        <v>8</v>
      </c>
      <c r="F100" t="s">
        <v>33</v>
      </c>
      <c r="G100" s="57">
        <v>0</v>
      </c>
      <c r="H100">
        <v>2</v>
      </c>
      <c r="I100" s="1">
        <v>2</v>
      </c>
      <c r="J100" s="1">
        <v>1.7287828516943051</v>
      </c>
      <c r="K100" s="1">
        <v>7.3558741535073288E-2</v>
      </c>
    </row>
    <row r="101" spans="4:11" x14ac:dyDescent="0.25">
      <c r="D101" t="s">
        <v>53</v>
      </c>
      <c r="E101" t="s">
        <v>7</v>
      </c>
      <c r="F101" t="s">
        <v>32</v>
      </c>
      <c r="G101" s="57">
        <v>5</v>
      </c>
      <c r="H101">
        <v>4</v>
      </c>
      <c r="I101" s="1">
        <v>-1</v>
      </c>
      <c r="J101" s="1">
        <v>0.33243416362640232</v>
      </c>
      <c r="K101" s="1">
        <v>1.7753808003987903</v>
      </c>
    </row>
    <row r="102" spans="4:11" ht="15" customHeight="1" x14ac:dyDescent="0.25">
      <c r="D102" t="s">
        <v>54</v>
      </c>
      <c r="E102" t="s">
        <v>21</v>
      </c>
      <c r="F102" t="s">
        <v>35</v>
      </c>
      <c r="G102" s="57">
        <v>3</v>
      </c>
      <c r="H102">
        <v>2</v>
      </c>
      <c r="I102" s="1">
        <v>-1</v>
      </c>
      <c r="J102" s="1">
        <v>-0.22228087432687005</v>
      </c>
      <c r="K102" s="1">
        <v>0.60484703843777765</v>
      </c>
    </row>
    <row r="103" spans="4:11" x14ac:dyDescent="0.25">
      <c r="D103" t="s">
        <v>54</v>
      </c>
      <c r="E103" t="s">
        <v>36</v>
      </c>
      <c r="F103" t="s">
        <v>25</v>
      </c>
      <c r="G103" s="57">
        <v>4</v>
      </c>
      <c r="H103">
        <v>2</v>
      </c>
      <c r="I103" s="1">
        <v>-2</v>
      </c>
      <c r="J103" s="1">
        <v>-3.632866541025237E-2</v>
      </c>
      <c r="K103" s="1">
        <v>3.8560051102894808</v>
      </c>
    </row>
    <row r="104" spans="4:11" ht="15" customHeight="1" x14ac:dyDescent="0.25">
      <c r="D104" t="s">
        <v>54</v>
      </c>
      <c r="E104" t="s">
        <v>3</v>
      </c>
      <c r="F104" t="s">
        <v>22</v>
      </c>
      <c r="G104" s="57">
        <v>3</v>
      </c>
      <c r="H104">
        <v>7</v>
      </c>
      <c r="I104" s="1">
        <v>4</v>
      </c>
      <c r="J104" s="1">
        <v>1.2150585643780687E-2</v>
      </c>
      <c r="K104" s="1">
        <v>15.902942951581242</v>
      </c>
    </row>
    <row r="105" spans="4:11" x14ac:dyDescent="0.25">
      <c r="D105" t="s">
        <v>54</v>
      </c>
      <c r="E105" t="s">
        <v>27</v>
      </c>
      <c r="F105" t="s">
        <v>24</v>
      </c>
      <c r="G105" s="57">
        <v>3</v>
      </c>
      <c r="H105">
        <v>6</v>
      </c>
      <c r="I105" s="1">
        <v>3</v>
      </c>
      <c r="J105" s="1">
        <v>-0.32377992958922164</v>
      </c>
      <c r="K105" s="1">
        <v>11.047513020340132</v>
      </c>
    </row>
    <row r="106" spans="4:11" ht="15" customHeight="1" x14ac:dyDescent="0.25">
      <c r="D106" t="s">
        <v>54</v>
      </c>
      <c r="E106" t="s">
        <v>7</v>
      </c>
      <c r="F106" t="s">
        <v>10</v>
      </c>
      <c r="G106" s="57">
        <v>1</v>
      </c>
      <c r="H106">
        <v>4</v>
      </c>
      <c r="I106" s="1">
        <v>3</v>
      </c>
      <c r="J106" s="1">
        <v>0.50452146621270799</v>
      </c>
      <c r="K106" s="1">
        <v>6.2274131125931724</v>
      </c>
    </row>
    <row r="107" spans="4:11" x14ac:dyDescent="0.25">
      <c r="D107" t="s">
        <v>55</v>
      </c>
      <c r="E107" t="s">
        <v>8</v>
      </c>
      <c r="F107" t="s">
        <v>32</v>
      </c>
      <c r="G107" s="57">
        <v>2</v>
      </c>
      <c r="H107">
        <v>1</v>
      </c>
      <c r="I107" s="1">
        <v>-1</v>
      </c>
      <c r="J107" s="1">
        <v>1.4967968090746098</v>
      </c>
      <c r="K107" s="1">
        <v>6.2339943058051537</v>
      </c>
    </row>
    <row r="108" spans="4:11" ht="15" customHeight="1" x14ac:dyDescent="0.25">
      <c r="D108" t="s">
        <v>55</v>
      </c>
      <c r="E108" t="s">
        <v>2</v>
      </c>
      <c r="F108" t="s">
        <v>0</v>
      </c>
      <c r="G108" s="57">
        <v>4</v>
      </c>
      <c r="H108">
        <v>1</v>
      </c>
      <c r="I108" s="1">
        <v>-3</v>
      </c>
      <c r="J108" s="1">
        <v>-0.36814805985368082</v>
      </c>
      <c r="K108" s="1">
        <v>6.9266446348519448</v>
      </c>
    </row>
    <row r="109" spans="4:11" x14ac:dyDescent="0.25">
      <c r="D109" t="s">
        <v>55</v>
      </c>
      <c r="E109" t="s">
        <v>37</v>
      </c>
      <c r="F109" t="s">
        <v>229</v>
      </c>
      <c r="G109" s="57">
        <v>1</v>
      </c>
      <c r="H109">
        <v>3</v>
      </c>
      <c r="I109" s="1">
        <v>2</v>
      </c>
      <c r="J109" s="1">
        <v>-9.1109466513117354E-2</v>
      </c>
      <c r="K109" s="1">
        <v>4.3727388009407742</v>
      </c>
    </row>
    <row r="110" spans="4:11" ht="15" customHeight="1" x14ac:dyDescent="0.25">
      <c r="D110" t="s">
        <v>55</v>
      </c>
      <c r="E110" t="s">
        <v>35</v>
      </c>
      <c r="F110" t="s">
        <v>18</v>
      </c>
      <c r="G110" s="57">
        <v>3</v>
      </c>
      <c r="H110">
        <v>2</v>
      </c>
      <c r="I110" s="1">
        <v>-1</v>
      </c>
      <c r="J110" s="1">
        <v>0.89278560603334256</v>
      </c>
      <c r="K110" s="1">
        <v>3.5826373504070079</v>
      </c>
    </row>
    <row r="111" spans="4:11" x14ac:dyDescent="0.25">
      <c r="D111" t="s">
        <v>55</v>
      </c>
      <c r="E111" t="s">
        <v>21</v>
      </c>
      <c r="F111" t="s">
        <v>40</v>
      </c>
      <c r="G111" s="57">
        <v>5</v>
      </c>
      <c r="H111">
        <v>7</v>
      </c>
      <c r="I111" s="1">
        <v>2</v>
      </c>
      <c r="J111" s="1">
        <v>0.44342225665928936</v>
      </c>
      <c r="K111" s="1">
        <v>2.4229342710636592</v>
      </c>
    </row>
    <row r="112" spans="4:11" ht="15" customHeight="1" x14ac:dyDescent="0.25">
      <c r="D112" t="s">
        <v>55</v>
      </c>
      <c r="E112" t="s">
        <v>13</v>
      </c>
      <c r="F112" t="s">
        <v>1</v>
      </c>
      <c r="G112" s="57">
        <v>2</v>
      </c>
      <c r="H112">
        <v>4</v>
      </c>
      <c r="I112" s="1">
        <v>2</v>
      </c>
      <c r="J112" s="1">
        <v>-0.12601969311701566</v>
      </c>
      <c r="K112" s="1">
        <v>4.5199597355213692</v>
      </c>
    </row>
    <row r="113" spans="4:11" x14ac:dyDescent="0.25">
      <c r="D113" t="s">
        <v>55</v>
      </c>
      <c r="E113" t="s">
        <v>20</v>
      </c>
      <c r="F113" t="s">
        <v>38</v>
      </c>
      <c r="G113" s="57">
        <v>2</v>
      </c>
      <c r="H113">
        <v>3</v>
      </c>
      <c r="I113" s="1">
        <v>1</v>
      </c>
      <c r="J113" s="1">
        <v>0.32448650316352712</v>
      </c>
      <c r="K113" s="1">
        <v>0.45631848440823947</v>
      </c>
    </row>
    <row r="114" spans="4:11" ht="15" customHeight="1" x14ac:dyDescent="0.25">
      <c r="D114" t="s">
        <v>55</v>
      </c>
      <c r="E114" t="s">
        <v>11</v>
      </c>
      <c r="F114" t="s">
        <v>19</v>
      </c>
      <c r="G114" s="57">
        <v>3</v>
      </c>
      <c r="H114">
        <v>0</v>
      </c>
      <c r="I114" s="1">
        <v>-3</v>
      </c>
      <c r="J114" s="1">
        <v>0.44695821776394951</v>
      </c>
      <c r="K114" s="1">
        <v>11.881520955010423</v>
      </c>
    </row>
    <row r="115" spans="4:11" x14ac:dyDescent="0.25">
      <c r="D115" t="s">
        <v>55</v>
      </c>
      <c r="E115" t="s">
        <v>36</v>
      </c>
      <c r="F115" t="s">
        <v>23</v>
      </c>
      <c r="G115" s="57">
        <v>2</v>
      </c>
      <c r="H115">
        <v>7</v>
      </c>
      <c r="I115" s="1">
        <v>5</v>
      </c>
      <c r="J115" s="1">
        <v>7.2560539758569575E-2</v>
      </c>
      <c r="K115" s="1">
        <v>24.279659634344359</v>
      </c>
    </row>
    <row r="116" spans="4:11" ht="18" customHeight="1" x14ac:dyDescent="0.25">
      <c r="D116" t="s">
        <v>55</v>
      </c>
      <c r="E116" t="s">
        <v>14</v>
      </c>
      <c r="F116" t="s">
        <v>176</v>
      </c>
      <c r="G116" s="57">
        <v>1</v>
      </c>
      <c r="H116">
        <v>2</v>
      </c>
      <c r="I116" s="1">
        <v>1</v>
      </c>
      <c r="J116" s="1">
        <v>-0.73608078444608793</v>
      </c>
      <c r="K116" s="1">
        <v>3.013976490122944</v>
      </c>
    </row>
    <row r="117" spans="4:11" x14ac:dyDescent="0.25">
      <c r="D117" t="s">
        <v>55</v>
      </c>
      <c r="E117" t="s">
        <v>12</v>
      </c>
      <c r="F117" t="s">
        <v>4</v>
      </c>
      <c r="G117" s="57">
        <v>3</v>
      </c>
      <c r="H117">
        <v>1</v>
      </c>
      <c r="I117" s="1">
        <v>-2</v>
      </c>
      <c r="J117" s="1">
        <v>5.6043677084531396E-2</v>
      </c>
      <c r="K117" s="1">
        <v>4.2273156020792806</v>
      </c>
    </row>
    <row r="118" spans="4:11" ht="15" customHeight="1" x14ac:dyDescent="0.25">
      <c r="D118" t="s">
        <v>56</v>
      </c>
      <c r="E118" t="s">
        <v>22</v>
      </c>
      <c r="F118" t="s">
        <v>25</v>
      </c>
      <c r="G118" s="57">
        <v>1</v>
      </c>
      <c r="H118">
        <v>2</v>
      </c>
      <c r="I118" s="1">
        <v>1</v>
      </c>
      <c r="J118" s="1">
        <v>0.56502390091146992</v>
      </c>
      <c r="K118" s="1">
        <v>0.18920420677827474</v>
      </c>
    </row>
    <row r="119" spans="4:11" x14ac:dyDescent="0.25">
      <c r="D119" t="s">
        <v>56</v>
      </c>
      <c r="E119" t="s">
        <v>7</v>
      </c>
      <c r="F119" t="s">
        <v>33</v>
      </c>
      <c r="G119" s="57">
        <v>2</v>
      </c>
      <c r="H119">
        <v>5</v>
      </c>
      <c r="I119" s="1">
        <v>3</v>
      </c>
      <c r="J119" s="1">
        <v>0.56442020624609768</v>
      </c>
      <c r="K119" s="1">
        <v>5.9320489317423011</v>
      </c>
    </row>
    <row r="120" spans="4:11" ht="15" customHeight="1" x14ac:dyDescent="0.25">
      <c r="D120" t="s">
        <v>56</v>
      </c>
      <c r="E120" t="s">
        <v>18</v>
      </c>
      <c r="F120" t="s">
        <v>20</v>
      </c>
      <c r="G120" s="57">
        <v>1</v>
      </c>
      <c r="H120">
        <v>2</v>
      </c>
      <c r="I120" s="1">
        <v>1</v>
      </c>
      <c r="J120" s="1">
        <v>0.51169333925753335</v>
      </c>
      <c r="K120" s="1">
        <v>0.23844339492545841</v>
      </c>
    </row>
    <row r="121" spans="4:11" x14ac:dyDescent="0.25">
      <c r="D121" t="s">
        <v>56</v>
      </c>
      <c r="E121" t="s">
        <v>32</v>
      </c>
      <c r="F121" t="s">
        <v>10</v>
      </c>
      <c r="G121" s="57">
        <v>4</v>
      </c>
      <c r="H121">
        <v>1</v>
      </c>
      <c r="I121" s="1">
        <v>-3</v>
      </c>
      <c r="J121" s="1">
        <v>0.41688779321424363</v>
      </c>
      <c r="K121" s="1">
        <v>11.675122191416504</v>
      </c>
    </row>
    <row r="122" spans="4:11" ht="15" customHeight="1" x14ac:dyDescent="0.25">
      <c r="D122" t="s">
        <v>56</v>
      </c>
      <c r="E122" t="s">
        <v>12</v>
      </c>
      <c r="F122" t="s">
        <v>3</v>
      </c>
      <c r="G122" s="57">
        <v>2</v>
      </c>
      <c r="H122">
        <v>4</v>
      </c>
      <c r="I122" s="1">
        <v>2</v>
      </c>
      <c r="J122" s="1">
        <v>-2.1048354477812836E-3</v>
      </c>
      <c r="K122" s="1">
        <v>4.0084237721233871</v>
      </c>
    </row>
    <row r="123" spans="4:11" x14ac:dyDescent="0.25">
      <c r="D123" t="s">
        <v>57</v>
      </c>
      <c r="E123" t="s">
        <v>23</v>
      </c>
      <c r="F123" t="s">
        <v>37</v>
      </c>
      <c r="G123" s="57">
        <v>4</v>
      </c>
      <c r="H123">
        <v>5</v>
      </c>
      <c r="I123" s="1">
        <v>1</v>
      </c>
      <c r="J123" s="1">
        <v>0.54395700951516801</v>
      </c>
      <c r="K123" s="1">
        <v>0.20797520917034856</v>
      </c>
    </row>
    <row r="124" spans="4:11" ht="15" customHeight="1" x14ac:dyDescent="0.25">
      <c r="D124" t="s">
        <v>57</v>
      </c>
      <c r="E124" t="s">
        <v>229</v>
      </c>
      <c r="F124" t="s">
        <v>24</v>
      </c>
      <c r="G124" s="57">
        <v>0</v>
      </c>
      <c r="H124">
        <v>3</v>
      </c>
      <c r="I124" s="1">
        <v>3</v>
      </c>
      <c r="J124" s="1">
        <v>-1.1200044538578169</v>
      </c>
      <c r="K124" s="1">
        <v>16.974436699808248</v>
      </c>
    </row>
    <row r="125" spans="4:11" x14ac:dyDescent="0.25">
      <c r="D125" t="s">
        <v>58</v>
      </c>
      <c r="E125" t="s">
        <v>23</v>
      </c>
      <c r="F125" t="s">
        <v>2</v>
      </c>
      <c r="G125" s="57">
        <v>4</v>
      </c>
      <c r="H125">
        <v>3</v>
      </c>
      <c r="I125" s="1">
        <v>-1</v>
      </c>
      <c r="J125" s="1">
        <v>-0.13696687624380388</v>
      </c>
      <c r="K125" s="1">
        <v>0.74482617270037776</v>
      </c>
    </row>
    <row r="126" spans="4:11" ht="15" customHeight="1" x14ac:dyDescent="0.25">
      <c r="D126" t="s">
        <v>58</v>
      </c>
      <c r="E126" t="s">
        <v>25</v>
      </c>
      <c r="F126" t="s">
        <v>40</v>
      </c>
      <c r="G126" s="57">
        <v>4</v>
      </c>
      <c r="H126">
        <v>3</v>
      </c>
      <c r="I126" s="1">
        <v>-1</v>
      </c>
      <c r="J126" s="1">
        <v>0.22249821062557373</v>
      </c>
      <c r="K126" s="1">
        <v>1.4945018749827297</v>
      </c>
    </row>
    <row r="127" spans="4:11" x14ac:dyDescent="0.25">
      <c r="D127" t="s">
        <v>58</v>
      </c>
      <c r="E127" t="s">
        <v>33</v>
      </c>
      <c r="F127" t="s">
        <v>1</v>
      </c>
      <c r="G127" s="57">
        <v>2</v>
      </c>
      <c r="H127">
        <v>3</v>
      </c>
      <c r="I127" s="1">
        <v>1</v>
      </c>
      <c r="J127" s="1">
        <v>-0.14245921208373602</v>
      </c>
      <c r="K127" s="1">
        <v>1.3052130512749909</v>
      </c>
    </row>
    <row r="128" spans="4:11" ht="18" customHeight="1" x14ac:dyDescent="0.25">
      <c r="D128" t="s">
        <v>58</v>
      </c>
      <c r="E128" t="s">
        <v>35</v>
      </c>
      <c r="F128" t="s">
        <v>11</v>
      </c>
      <c r="G128" s="57">
        <v>3</v>
      </c>
      <c r="H128">
        <v>8</v>
      </c>
      <c r="I128" s="1">
        <v>5</v>
      </c>
      <c r="J128" s="1">
        <v>0.77147855487872619</v>
      </c>
      <c r="K128" s="1">
        <v>17.880393611850504</v>
      </c>
    </row>
    <row r="129" spans="4:11" x14ac:dyDescent="0.25">
      <c r="D129" t="s">
        <v>58</v>
      </c>
      <c r="E129" t="s">
        <v>18</v>
      </c>
      <c r="F129" t="s">
        <v>7</v>
      </c>
      <c r="G129" s="57">
        <v>5</v>
      </c>
      <c r="H129">
        <v>2</v>
      </c>
      <c r="I129" s="1">
        <v>-3</v>
      </c>
      <c r="J129" s="1">
        <v>-0.16303043420002439</v>
      </c>
      <c r="K129" s="1">
        <v>8.0483963172753015</v>
      </c>
    </row>
    <row r="130" spans="4:11" ht="15" customHeight="1" x14ac:dyDescent="0.25">
      <c r="D130" t="s">
        <v>58</v>
      </c>
      <c r="E130" t="s">
        <v>8</v>
      </c>
      <c r="F130" t="s">
        <v>0</v>
      </c>
      <c r="G130" s="57">
        <v>0</v>
      </c>
      <c r="H130">
        <v>4</v>
      </c>
      <c r="I130" s="1">
        <v>4</v>
      </c>
      <c r="J130" s="1">
        <v>0.97118764430268811</v>
      </c>
      <c r="K130" s="1">
        <v>9.1737042860246998</v>
      </c>
    </row>
    <row r="131" spans="4:11" x14ac:dyDescent="0.25">
      <c r="D131" t="s">
        <v>58</v>
      </c>
      <c r="E131" t="s">
        <v>176</v>
      </c>
      <c r="F131" t="s">
        <v>36</v>
      </c>
      <c r="G131" s="57">
        <v>3</v>
      </c>
      <c r="H131">
        <v>7</v>
      </c>
      <c r="I131" s="1">
        <v>4</v>
      </c>
      <c r="J131" s="1">
        <v>2.0147456231303238</v>
      </c>
      <c r="K131" s="1">
        <v>3.9412349408802063</v>
      </c>
    </row>
    <row r="132" spans="4:11" ht="15" customHeight="1" x14ac:dyDescent="0.25">
      <c r="D132" t="s">
        <v>58</v>
      </c>
      <c r="E132" t="s">
        <v>10</v>
      </c>
      <c r="F132" t="s">
        <v>20</v>
      </c>
      <c r="G132" s="57">
        <v>1</v>
      </c>
      <c r="H132">
        <v>0</v>
      </c>
      <c r="I132" s="1">
        <v>-1</v>
      </c>
      <c r="J132" s="1">
        <v>0.65980328850072567</v>
      </c>
      <c r="K132" s="1">
        <v>2.7549469565178231</v>
      </c>
    </row>
    <row r="133" spans="4:11" x14ac:dyDescent="0.25">
      <c r="D133" t="s">
        <v>58</v>
      </c>
      <c r="E133" t="s">
        <v>38</v>
      </c>
      <c r="F133" t="s">
        <v>21</v>
      </c>
      <c r="G133" s="57">
        <v>4</v>
      </c>
      <c r="H133">
        <v>3</v>
      </c>
      <c r="I133" s="1">
        <v>-1</v>
      </c>
      <c r="J133" s="1">
        <v>-0.28268212098784318</v>
      </c>
      <c r="K133" s="1">
        <v>0.51454493955049929</v>
      </c>
    </row>
    <row r="134" spans="4:11" ht="15" customHeight="1" x14ac:dyDescent="0.25">
      <c r="D134" t="s">
        <v>58</v>
      </c>
      <c r="E134" t="s">
        <v>32</v>
      </c>
      <c r="F134" t="s">
        <v>22</v>
      </c>
      <c r="G134" s="57">
        <v>3</v>
      </c>
      <c r="H134">
        <v>2</v>
      </c>
      <c r="I134" s="1">
        <v>-1</v>
      </c>
      <c r="J134" s="1">
        <v>0.28479462775702302</v>
      </c>
      <c r="K134" s="1">
        <v>1.6506972355133074</v>
      </c>
    </row>
    <row r="135" spans="4:11" x14ac:dyDescent="0.25">
      <c r="D135" t="s">
        <v>58</v>
      </c>
      <c r="E135" t="s">
        <v>229</v>
      </c>
      <c r="F135" t="s">
        <v>4</v>
      </c>
      <c r="G135" s="57">
        <v>2</v>
      </c>
      <c r="H135">
        <v>1</v>
      </c>
      <c r="I135" s="1">
        <v>-1</v>
      </c>
      <c r="J135" s="1">
        <v>0.14323973094587927</v>
      </c>
      <c r="K135" s="1">
        <v>1.3069970824132064</v>
      </c>
    </row>
    <row r="136" spans="4:11" ht="15" customHeight="1" x14ac:dyDescent="0.25">
      <c r="D136" t="s">
        <v>58</v>
      </c>
      <c r="E136" t="s">
        <v>27</v>
      </c>
      <c r="F136" t="s">
        <v>3</v>
      </c>
      <c r="G136" s="57">
        <v>1</v>
      </c>
      <c r="H136">
        <v>4</v>
      </c>
      <c r="I136" s="1">
        <v>3</v>
      </c>
      <c r="J136" s="1">
        <v>0.88131574268216184</v>
      </c>
      <c r="K136" s="1">
        <v>4.4888229822064396</v>
      </c>
    </row>
    <row r="137" spans="4:11" x14ac:dyDescent="0.25">
      <c r="D137" t="s">
        <v>59</v>
      </c>
      <c r="E137" t="s">
        <v>13</v>
      </c>
      <c r="F137" t="s">
        <v>12</v>
      </c>
      <c r="G137" s="57">
        <v>4</v>
      </c>
      <c r="H137">
        <v>2</v>
      </c>
      <c r="I137" s="1">
        <v>-2</v>
      </c>
      <c r="J137" s="1">
        <v>0.54880333516392454</v>
      </c>
      <c r="K137" s="1">
        <v>6.4963984413427447</v>
      </c>
    </row>
    <row r="138" spans="4:11" ht="15" customHeight="1" x14ac:dyDescent="0.25">
      <c r="D138" t="s">
        <v>59</v>
      </c>
      <c r="E138" t="s">
        <v>19</v>
      </c>
      <c r="F138" t="s">
        <v>24</v>
      </c>
      <c r="G138" s="57">
        <v>4</v>
      </c>
      <c r="H138">
        <v>1</v>
      </c>
      <c r="I138" s="1">
        <v>-3</v>
      </c>
      <c r="J138" s="1">
        <v>-1.0886990673410963</v>
      </c>
      <c r="K138" s="1">
        <v>3.6530712551827951</v>
      </c>
    </row>
    <row r="139" spans="4:11" x14ac:dyDescent="0.25">
      <c r="D139" t="s">
        <v>60</v>
      </c>
      <c r="E139" t="s">
        <v>2</v>
      </c>
      <c r="F139" t="s">
        <v>8</v>
      </c>
      <c r="G139" s="57">
        <v>3</v>
      </c>
      <c r="H139">
        <v>2</v>
      </c>
      <c r="I139" s="1">
        <v>-1</v>
      </c>
      <c r="J139" s="1">
        <v>-1.094535213528431</v>
      </c>
      <c r="K139" s="1">
        <v>8.9369065968660389E-3</v>
      </c>
    </row>
    <row r="140" spans="4:11" ht="15" customHeight="1" x14ac:dyDescent="0.25">
      <c r="D140" t="s">
        <v>60</v>
      </c>
      <c r="E140" t="s">
        <v>25</v>
      </c>
      <c r="F140" t="s">
        <v>35</v>
      </c>
      <c r="G140" s="57">
        <v>1</v>
      </c>
      <c r="H140">
        <v>2</v>
      </c>
      <c r="I140" s="1">
        <v>1</v>
      </c>
      <c r="J140" s="1">
        <v>-0.44320492036058567</v>
      </c>
      <c r="K140" s="1">
        <v>2.0828404421530045</v>
      </c>
    </row>
    <row r="141" spans="4:11" x14ac:dyDescent="0.25">
      <c r="D141" t="s">
        <v>60</v>
      </c>
      <c r="E141" t="s">
        <v>33</v>
      </c>
      <c r="F141" t="s">
        <v>11</v>
      </c>
      <c r="G141" s="57">
        <v>0</v>
      </c>
      <c r="H141">
        <v>3</v>
      </c>
      <c r="I141" s="1">
        <v>3</v>
      </c>
      <c r="J141" s="1">
        <v>0.21170464868312422</v>
      </c>
      <c r="K141" s="1">
        <v>7.7745909661752997</v>
      </c>
    </row>
    <row r="142" spans="4:11" ht="15" customHeight="1" x14ac:dyDescent="0.25">
      <c r="D142" t="s">
        <v>60</v>
      </c>
      <c r="E142" t="s">
        <v>20</v>
      </c>
      <c r="F142" t="s">
        <v>18</v>
      </c>
      <c r="G142" s="57">
        <v>5</v>
      </c>
      <c r="H142">
        <v>4</v>
      </c>
      <c r="I142" s="1">
        <v>-1</v>
      </c>
      <c r="J142" s="1">
        <v>-2.2092358001657431E-2</v>
      </c>
      <c r="K142" s="1">
        <v>0.95630335627875851</v>
      </c>
    </row>
    <row r="143" spans="4:11" x14ac:dyDescent="0.25">
      <c r="D143" t="s">
        <v>60</v>
      </c>
      <c r="E143" t="s">
        <v>1</v>
      </c>
      <c r="F143" t="s">
        <v>36</v>
      </c>
      <c r="G143" s="57">
        <v>3</v>
      </c>
      <c r="H143">
        <v>4</v>
      </c>
      <c r="I143" s="1">
        <v>1</v>
      </c>
      <c r="J143" s="1">
        <v>1.0414208541707239</v>
      </c>
      <c r="K143" s="1">
        <v>1.715687160232379E-3</v>
      </c>
    </row>
    <row r="144" spans="4:11" ht="15" customHeight="1" x14ac:dyDescent="0.25">
      <c r="D144" t="s">
        <v>60</v>
      </c>
      <c r="E144" t="s">
        <v>176</v>
      </c>
      <c r="F144" t="s">
        <v>14</v>
      </c>
      <c r="G144" s="57">
        <v>1</v>
      </c>
      <c r="H144">
        <v>2</v>
      </c>
      <c r="I144" s="1">
        <v>1</v>
      </c>
      <c r="J144" s="1">
        <v>1.2256817657019639</v>
      </c>
      <c r="K144" s="1">
        <v>5.0932259370356107E-2</v>
      </c>
    </row>
    <row r="145" spans="4:11" x14ac:dyDescent="0.25">
      <c r="D145" t="s">
        <v>60</v>
      </c>
      <c r="E145" t="s">
        <v>10</v>
      </c>
      <c r="F145" t="s">
        <v>38</v>
      </c>
      <c r="G145" s="57">
        <v>0</v>
      </c>
      <c r="H145">
        <v>2</v>
      </c>
      <c r="I145" s="1">
        <v>2</v>
      </c>
      <c r="J145" s="1">
        <v>0.73948930103631483</v>
      </c>
      <c r="K145" s="1">
        <v>1.5888872222019181</v>
      </c>
    </row>
    <row r="146" spans="4:11" ht="15" customHeight="1" x14ac:dyDescent="0.25">
      <c r="D146" t="s">
        <v>60</v>
      </c>
      <c r="E146" t="s">
        <v>32</v>
      </c>
      <c r="F146" t="s">
        <v>23</v>
      </c>
      <c r="G146" s="57">
        <v>3</v>
      </c>
      <c r="H146">
        <v>4</v>
      </c>
      <c r="I146" s="1">
        <v>1</v>
      </c>
      <c r="J146" s="1">
        <v>0.71390724320937693</v>
      </c>
      <c r="K146" s="1">
        <v>8.1849065488058606E-2</v>
      </c>
    </row>
    <row r="147" spans="4:11" x14ac:dyDescent="0.25">
      <c r="D147" t="s">
        <v>60</v>
      </c>
      <c r="E147" t="s">
        <v>40</v>
      </c>
      <c r="F147" t="s">
        <v>22</v>
      </c>
      <c r="G147" s="57">
        <v>0</v>
      </c>
      <c r="H147">
        <v>5</v>
      </c>
      <c r="I147" s="1">
        <v>5</v>
      </c>
      <c r="J147" s="1">
        <v>-5.3120639653229773E-2</v>
      </c>
      <c r="K147" s="1">
        <v>25.534028198889466</v>
      </c>
    </row>
    <row r="148" spans="4:11" ht="15" customHeight="1" x14ac:dyDescent="0.25">
      <c r="D148" t="s">
        <v>60</v>
      </c>
      <c r="E148" t="s">
        <v>229</v>
      </c>
      <c r="F148" t="s">
        <v>3</v>
      </c>
      <c r="G148" s="57">
        <v>2</v>
      </c>
      <c r="H148">
        <v>3</v>
      </c>
      <c r="I148" s="1">
        <v>1</v>
      </c>
      <c r="J148" s="1">
        <v>8.5091218413566594E-2</v>
      </c>
      <c r="K148" s="1">
        <v>0.83705807862397208</v>
      </c>
    </row>
    <row r="149" spans="4:11" x14ac:dyDescent="0.25">
      <c r="D149" t="s">
        <v>61</v>
      </c>
      <c r="E149" t="s">
        <v>0</v>
      </c>
      <c r="F149" t="s">
        <v>7</v>
      </c>
      <c r="G149" s="57">
        <v>4</v>
      </c>
      <c r="H149">
        <v>1</v>
      </c>
      <c r="I149" s="1">
        <v>-3</v>
      </c>
      <c r="J149" s="1">
        <v>0.68277598240139525</v>
      </c>
      <c r="K149" s="1">
        <v>13.562838936552563</v>
      </c>
    </row>
    <row r="150" spans="4:11" ht="15" customHeight="1" x14ac:dyDescent="0.25">
      <c r="D150" t="s">
        <v>61</v>
      </c>
      <c r="E150" t="s">
        <v>33</v>
      </c>
      <c r="F150" t="s">
        <v>13</v>
      </c>
      <c r="G150" s="57">
        <v>2</v>
      </c>
      <c r="H150">
        <v>5</v>
      </c>
      <c r="I150" s="1">
        <v>3</v>
      </c>
      <c r="J150" s="1">
        <v>0.2283609716612176</v>
      </c>
      <c r="K150" s="1">
        <v>7.6819829034107494</v>
      </c>
    </row>
    <row r="151" spans="4:11" x14ac:dyDescent="0.25">
      <c r="D151" t="s">
        <v>61</v>
      </c>
      <c r="E151" t="s">
        <v>10</v>
      </c>
      <c r="F151" t="s">
        <v>21</v>
      </c>
      <c r="G151" s="57">
        <v>2</v>
      </c>
      <c r="H151">
        <v>1</v>
      </c>
      <c r="I151" s="1">
        <v>-1</v>
      </c>
      <c r="J151" s="1">
        <v>0.21200668942053369</v>
      </c>
      <c r="K151" s="1">
        <v>1.468960215200122</v>
      </c>
    </row>
    <row r="152" spans="4:11" ht="15" customHeight="1" x14ac:dyDescent="0.25">
      <c r="D152" t="s">
        <v>61</v>
      </c>
      <c r="E152" t="s">
        <v>19</v>
      </c>
      <c r="F152" t="s">
        <v>4</v>
      </c>
      <c r="G152" s="57">
        <v>3</v>
      </c>
      <c r="H152">
        <v>4</v>
      </c>
      <c r="I152" s="1">
        <v>1</v>
      </c>
      <c r="J152" s="1">
        <v>0.17454511746259982</v>
      </c>
      <c r="K152" s="1">
        <v>0.68137576310483317</v>
      </c>
    </row>
    <row r="153" spans="4:11" x14ac:dyDescent="0.25">
      <c r="D153" t="s">
        <v>62</v>
      </c>
      <c r="E153" t="s">
        <v>18</v>
      </c>
      <c r="F153" t="s">
        <v>2</v>
      </c>
      <c r="G153" s="57">
        <v>2</v>
      </c>
      <c r="H153">
        <v>4</v>
      </c>
      <c r="I153" s="1">
        <v>2</v>
      </c>
      <c r="J153" s="1">
        <v>1.1942624508137101E-2</v>
      </c>
      <c r="K153" s="1">
        <v>3.9523721282475939</v>
      </c>
    </row>
    <row r="154" spans="4:11" ht="15" customHeight="1" x14ac:dyDescent="0.25">
      <c r="D154" t="s">
        <v>62</v>
      </c>
      <c r="E154" t="s">
        <v>20</v>
      </c>
      <c r="F154" t="s">
        <v>0</v>
      </c>
      <c r="G154" s="57">
        <v>2</v>
      </c>
      <c r="H154">
        <v>3</v>
      </c>
      <c r="I154" s="1">
        <v>1</v>
      </c>
      <c r="J154" s="1">
        <v>-0.86789877460307707</v>
      </c>
      <c r="K154" s="1">
        <v>3.489045832163677</v>
      </c>
    </row>
    <row r="155" spans="4:11" x14ac:dyDescent="0.25">
      <c r="D155" t="s">
        <v>62</v>
      </c>
      <c r="E155" t="s">
        <v>12</v>
      </c>
      <c r="F155" t="s">
        <v>36</v>
      </c>
      <c r="G155" s="57">
        <v>3</v>
      </c>
      <c r="H155">
        <v>4</v>
      </c>
      <c r="I155" s="1">
        <v>1</v>
      </c>
      <c r="J155" s="1">
        <v>0.36659782588978373</v>
      </c>
      <c r="K155" s="1">
        <v>0.4011983141675487</v>
      </c>
    </row>
    <row r="156" spans="4:11" ht="15" customHeight="1" x14ac:dyDescent="0.25">
      <c r="D156" t="s">
        <v>62</v>
      </c>
      <c r="E156" t="s">
        <v>1</v>
      </c>
      <c r="F156" t="s">
        <v>14</v>
      </c>
      <c r="G156" s="57">
        <v>1</v>
      </c>
      <c r="H156">
        <v>2</v>
      </c>
      <c r="I156" s="1">
        <v>1</v>
      </c>
      <c r="J156" s="1">
        <v>0.252356996742364</v>
      </c>
      <c r="K156" s="1">
        <v>0.55897006032009755</v>
      </c>
    </row>
    <row r="157" spans="4:11" x14ac:dyDescent="0.25">
      <c r="D157" t="s">
        <v>62</v>
      </c>
      <c r="E157" t="s">
        <v>7</v>
      </c>
      <c r="F157" t="s">
        <v>35</v>
      </c>
      <c r="G157" s="57">
        <v>2</v>
      </c>
      <c r="H157">
        <v>3</v>
      </c>
      <c r="I157" s="1">
        <v>1</v>
      </c>
      <c r="J157" s="1">
        <v>4.6463000504957108E-3</v>
      </c>
      <c r="K157" s="1">
        <v>0.99072898800316778</v>
      </c>
    </row>
    <row r="158" spans="4:11" ht="15" customHeight="1" x14ac:dyDescent="0.25">
      <c r="D158" t="s">
        <v>62</v>
      </c>
      <c r="E158" t="s">
        <v>25</v>
      </c>
      <c r="F158" t="s">
        <v>37</v>
      </c>
      <c r="G158" s="57">
        <v>1</v>
      </c>
      <c r="H158">
        <v>0</v>
      </c>
      <c r="I158" s="1">
        <v>-1</v>
      </c>
      <c r="J158" s="1">
        <v>0.65284621468398996</v>
      </c>
      <c r="K158" s="1">
        <v>2.7319006093951943</v>
      </c>
    </row>
    <row r="159" spans="4:11" x14ac:dyDescent="0.25">
      <c r="D159" t="s">
        <v>62</v>
      </c>
      <c r="E159" t="s">
        <v>8</v>
      </c>
      <c r="F159" t="s">
        <v>11</v>
      </c>
      <c r="G159" s="57" t="s">
        <v>177</v>
      </c>
      <c r="H159">
        <v>5</v>
      </c>
      <c r="I159" s="1">
        <v>5</v>
      </c>
      <c r="J159" s="1">
        <v>1.6956870097494914</v>
      </c>
      <c r="K159" s="1">
        <v>10.918484337538258</v>
      </c>
    </row>
    <row r="160" spans="4:11" ht="15" customHeight="1" x14ac:dyDescent="0.25">
      <c r="D160" t="s">
        <v>62</v>
      </c>
      <c r="E160" t="s">
        <v>176</v>
      </c>
      <c r="F160" t="s">
        <v>27</v>
      </c>
      <c r="G160" s="57" t="s">
        <v>177</v>
      </c>
      <c r="H160">
        <v>3</v>
      </c>
      <c r="I160" s="1">
        <v>3</v>
      </c>
      <c r="J160" s="1">
        <v>1.0095277097385349</v>
      </c>
      <c r="K160" s="1">
        <v>3.9619799382987222</v>
      </c>
    </row>
    <row r="161" spans="4:11" x14ac:dyDescent="0.25">
      <c r="D161" t="s">
        <v>62</v>
      </c>
      <c r="E161" t="s">
        <v>22</v>
      </c>
      <c r="F161" t="s">
        <v>38</v>
      </c>
      <c r="G161" s="57" t="s">
        <v>178</v>
      </c>
      <c r="H161">
        <v>3</v>
      </c>
      <c r="I161" s="1">
        <v>1</v>
      </c>
      <c r="J161" s="1">
        <v>0.87158246649353543</v>
      </c>
      <c r="K161" s="1">
        <v>1.6491062911883948E-2</v>
      </c>
    </row>
    <row r="162" spans="4:11" ht="15" customHeight="1" x14ac:dyDescent="0.25">
      <c r="D162" t="s">
        <v>62</v>
      </c>
      <c r="E162" t="s">
        <v>21</v>
      </c>
      <c r="F162" t="s">
        <v>23</v>
      </c>
      <c r="G162" s="57" t="s">
        <v>179</v>
      </c>
      <c r="H162">
        <v>4</v>
      </c>
      <c r="I162" s="1">
        <v>3</v>
      </c>
      <c r="J162" s="1">
        <v>0.57461374183047553</v>
      </c>
      <c r="K162" s="1">
        <v>5.882498501317567</v>
      </c>
    </row>
    <row r="163" spans="4:11" x14ac:dyDescent="0.25">
      <c r="D163" t="s">
        <v>62</v>
      </c>
      <c r="E163" t="s">
        <v>3</v>
      </c>
      <c r="F163" t="s">
        <v>24</v>
      </c>
      <c r="G163" s="57" t="s">
        <v>180</v>
      </c>
      <c r="H163">
        <v>2</v>
      </c>
      <c r="I163" s="1">
        <v>-1</v>
      </c>
      <c r="J163" s="1">
        <v>-0.96029518164344552</v>
      </c>
      <c r="K163" s="1">
        <v>1.5764726007269859E-3</v>
      </c>
    </row>
    <row r="164" spans="4:11" ht="15" customHeight="1" x14ac:dyDescent="0.25">
      <c r="D164" t="s">
        <v>62</v>
      </c>
      <c r="E164" t="s">
        <v>40</v>
      </c>
      <c r="F164" t="s">
        <v>32</v>
      </c>
      <c r="G164" s="57" t="s">
        <v>179</v>
      </c>
      <c r="H164">
        <v>3</v>
      </c>
      <c r="I164" s="1">
        <v>2</v>
      </c>
      <c r="J164" s="1">
        <v>-9.3114776782314834E-2</v>
      </c>
      <c r="K164" s="1">
        <v>4.3811294687844793</v>
      </c>
    </row>
    <row r="165" spans="4:11" x14ac:dyDescent="0.25">
      <c r="D165" t="s">
        <v>63</v>
      </c>
      <c r="E165" t="s">
        <v>13</v>
      </c>
      <c r="F165" t="s">
        <v>8</v>
      </c>
      <c r="G165" s="57" t="s">
        <v>178</v>
      </c>
      <c r="H165">
        <v>3</v>
      </c>
      <c r="I165" s="1">
        <v>1</v>
      </c>
      <c r="J165" s="1">
        <v>-1.2227423514717088</v>
      </c>
      <c r="K165" s="1">
        <v>4.9405835610259814</v>
      </c>
    </row>
    <row r="166" spans="4:11" ht="15" customHeight="1" x14ac:dyDescent="0.25">
      <c r="D166" t="s">
        <v>63</v>
      </c>
      <c r="E166" t="s">
        <v>33</v>
      </c>
      <c r="F166" t="s">
        <v>27</v>
      </c>
      <c r="G166" s="57" t="s">
        <v>178</v>
      </c>
      <c r="H166">
        <v>3</v>
      </c>
      <c r="I166" s="1">
        <v>1</v>
      </c>
      <c r="J166" s="1">
        <v>-0.35105676193273894</v>
      </c>
      <c r="K166" s="1">
        <v>1.8253543739641775</v>
      </c>
    </row>
    <row r="167" spans="4:11" x14ac:dyDescent="0.25">
      <c r="D167" t="s">
        <v>63</v>
      </c>
      <c r="E167" t="s">
        <v>4</v>
      </c>
      <c r="F167" t="s">
        <v>229</v>
      </c>
      <c r="G167" s="57" t="s">
        <v>181</v>
      </c>
      <c r="H167">
        <v>2</v>
      </c>
      <c r="I167" s="1">
        <v>-4</v>
      </c>
      <c r="J167" s="1">
        <v>0.34636125030999665</v>
      </c>
      <c r="K167" s="1">
        <v>18.890856118196279</v>
      </c>
    </row>
    <row r="168" spans="4:11" ht="15" customHeight="1" x14ac:dyDescent="0.25">
      <c r="D168" t="s">
        <v>63</v>
      </c>
      <c r="E168" t="s">
        <v>176</v>
      </c>
      <c r="F168" t="s">
        <v>12</v>
      </c>
      <c r="G168" s="57" t="s">
        <v>181</v>
      </c>
      <c r="H168">
        <v>5</v>
      </c>
      <c r="I168" s="1">
        <v>-1</v>
      </c>
      <c r="J168" s="1">
        <v>1.892948287868478</v>
      </c>
      <c r="K168" s="1">
        <v>8.3691497962811585</v>
      </c>
    </row>
    <row r="169" spans="4:11" x14ac:dyDescent="0.25">
      <c r="D169" t="s">
        <v>63</v>
      </c>
      <c r="E169" t="s">
        <v>10</v>
      </c>
      <c r="F169" t="s">
        <v>22</v>
      </c>
      <c r="G169" s="57" t="s">
        <v>180</v>
      </c>
      <c r="H169">
        <v>2</v>
      </c>
      <c r="I169" s="1">
        <v>-1</v>
      </c>
      <c r="J169" s="1">
        <v>0.11270732517071735</v>
      </c>
      <c r="K169" s="1">
        <v>1.2381175914885725</v>
      </c>
    </row>
    <row r="170" spans="4:11" ht="15" customHeight="1" x14ac:dyDescent="0.25">
      <c r="D170" t="s">
        <v>63</v>
      </c>
      <c r="E170" t="s">
        <v>25</v>
      </c>
      <c r="F170" t="s">
        <v>20</v>
      </c>
      <c r="G170" s="57" t="s">
        <v>179</v>
      </c>
      <c r="H170">
        <v>0</v>
      </c>
      <c r="I170" s="1">
        <v>-1</v>
      </c>
      <c r="J170" s="1">
        <v>0.47167304367441432</v>
      </c>
      <c r="K170" s="1">
        <v>2.1658215474779148</v>
      </c>
    </row>
    <row r="171" spans="4:11" x14ac:dyDescent="0.25">
      <c r="D171" t="s">
        <v>63</v>
      </c>
      <c r="E171" t="s">
        <v>19</v>
      </c>
      <c r="F171" t="s">
        <v>3</v>
      </c>
      <c r="G171" s="57" t="s">
        <v>180</v>
      </c>
      <c r="H171">
        <v>1</v>
      </c>
      <c r="I171" s="1">
        <v>-2</v>
      </c>
      <c r="J171" s="1">
        <v>0.11639660493028714</v>
      </c>
      <c r="K171" s="1">
        <v>4.479134589360446</v>
      </c>
    </row>
    <row r="172" spans="4:11" ht="15" customHeight="1" x14ac:dyDescent="0.25">
      <c r="D172" t="s">
        <v>64</v>
      </c>
      <c r="E172" t="s">
        <v>38</v>
      </c>
      <c r="F172" t="s">
        <v>37</v>
      </c>
      <c r="G172" s="57" t="s">
        <v>182</v>
      </c>
      <c r="H172">
        <v>3</v>
      </c>
      <c r="I172" s="1">
        <v>-1</v>
      </c>
      <c r="J172" s="1">
        <v>0.34628764910192444</v>
      </c>
      <c r="K172" s="1">
        <v>1.8124904341243864</v>
      </c>
    </row>
    <row r="173" spans="4:11" x14ac:dyDescent="0.25">
      <c r="D173" t="s">
        <v>65</v>
      </c>
      <c r="E173" t="s">
        <v>14</v>
      </c>
      <c r="F173" t="s">
        <v>2</v>
      </c>
      <c r="G173" s="57" t="s">
        <v>179</v>
      </c>
      <c r="H173">
        <v>2</v>
      </c>
      <c r="I173" s="1">
        <v>1</v>
      </c>
      <c r="J173" s="1">
        <v>0.47985703031518767</v>
      </c>
      <c r="K173" s="1">
        <v>0.27054870891253557</v>
      </c>
    </row>
    <row r="174" spans="4:11" ht="15" customHeight="1" x14ac:dyDescent="0.25">
      <c r="D174" t="s">
        <v>65</v>
      </c>
      <c r="E174" t="s">
        <v>24</v>
      </c>
      <c r="F174" t="s">
        <v>1</v>
      </c>
      <c r="G174" s="57" t="s">
        <v>179</v>
      </c>
      <c r="H174">
        <v>4</v>
      </c>
      <c r="I174" s="1">
        <v>3</v>
      </c>
      <c r="J174" s="1">
        <v>1.0219784606941005</v>
      </c>
      <c r="K174" s="1">
        <v>3.9125692099580802</v>
      </c>
    </row>
    <row r="175" spans="4:11" x14ac:dyDescent="0.25">
      <c r="D175" t="s">
        <v>65</v>
      </c>
      <c r="E175" t="s">
        <v>4</v>
      </c>
      <c r="F175" t="s">
        <v>12</v>
      </c>
      <c r="G175" s="57" t="s">
        <v>182</v>
      </c>
      <c r="H175">
        <v>3</v>
      </c>
      <c r="I175" s="1">
        <v>-1</v>
      </c>
      <c r="J175" s="1">
        <v>0.43355730417134453</v>
      </c>
      <c r="K175" s="1">
        <v>2.0550865443430126</v>
      </c>
    </row>
    <row r="176" spans="4:11" ht="15" customHeight="1" x14ac:dyDescent="0.25">
      <c r="D176" t="s">
        <v>65</v>
      </c>
      <c r="E176" t="s">
        <v>27</v>
      </c>
      <c r="F176" t="s">
        <v>7</v>
      </c>
      <c r="G176" s="57" t="s">
        <v>182</v>
      </c>
      <c r="H176">
        <v>2</v>
      </c>
      <c r="I176" s="1">
        <v>-2</v>
      </c>
      <c r="J176" s="1">
        <v>0.52103802757045514</v>
      </c>
      <c r="K176" s="1">
        <v>6.3556327364563305</v>
      </c>
    </row>
    <row r="177" spans="4:11" x14ac:dyDescent="0.25">
      <c r="D177" t="s">
        <v>65</v>
      </c>
      <c r="E177" t="s">
        <v>38</v>
      </c>
      <c r="F177" t="s">
        <v>35</v>
      </c>
      <c r="G177" s="57" t="s">
        <v>179</v>
      </c>
      <c r="H177">
        <v>0</v>
      </c>
      <c r="I177" s="1">
        <v>-1</v>
      </c>
      <c r="J177" s="1">
        <v>-0.74976348594265119</v>
      </c>
      <c r="K177" s="1">
        <v>6.2618312967573725E-2</v>
      </c>
    </row>
    <row r="178" spans="4:11" ht="15" customHeight="1" x14ac:dyDescent="0.25">
      <c r="D178" t="s">
        <v>65</v>
      </c>
      <c r="E178" t="s">
        <v>20</v>
      </c>
      <c r="F178" t="s">
        <v>229</v>
      </c>
      <c r="G178" s="57" t="s">
        <v>183</v>
      </c>
      <c r="H178">
        <v>0</v>
      </c>
      <c r="I178" s="1">
        <v>-5</v>
      </c>
      <c r="J178" s="1">
        <v>9.0063704496458286E-2</v>
      </c>
      <c r="K178" s="1">
        <v>25.908748515832208</v>
      </c>
    </row>
    <row r="179" spans="4:11" x14ac:dyDescent="0.25">
      <c r="D179" t="s">
        <v>65</v>
      </c>
      <c r="E179" t="s">
        <v>13</v>
      </c>
      <c r="F179" t="s">
        <v>18</v>
      </c>
      <c r="G179" s="57" t="s">
        <v>179</v>
      </c>
      <c r="H179">
        <v>3</v>
      </c>
      <c r="I179" s="1">
        <v>2</v>
      </c>
      <c r="J179" s="1">
        <v>0.34945121880446095</v>
      </c>
      <c r="K179" s="1">
        <v>2.7243112791060793</v>
      </c>
    </row>
    <row r="180" spans="4:11" ht="15" customHeight="1" x14ac:dyDescent="0.25">
      <c r="D180" t="s">
        <v>65</v>
      </c>
      <c r="E180" t="s">
        <v>11</v>
      </c>
      <c r="F180" t="s">
        <v>23</v>
      </c>
      <c r="G180" s="57" t="s">
        <v>182</v>
      </c>
      <c r="H180">
        <v>1</v>
      </c>
      <c r="I180" s="1">
        <v>-3</v>
      </c>
      <c r="J180" s="1">
        <v>0.51501704253449532</v>
      </c>
      <c r="K180" s="1">
        <v>12.355344809307949</v>
      </c>
    </row>
    <row r="181" spans="4:11" x14ac:dyDescent="0.25">
      <c r="D181" t="s">
        <v>65</v>
      </c>
      <c r="E181" t="s">
        <v>19</v>
      </c>
      <c r="F181" t="s">
        <v>25</v>
      </c>
      <c r="G181" s="57" t="s">
        <v>179</v>
      </c>
      <c r="H181">
        <v>3</v>
      </c>
      <c r="I181" s="1">
        <v>2</v>
      </c>
      <c r="J181" s="1">
        <v>0.20397011022966183</v>
      </c>
      <c r="K181" s="1">
        <v>3.2257233649484531</v>
      </c>
    </row>
    <row r="182" spans="4:11" ht="15" customHeight="1" x14ac:dyDescent="0.25">
      <c r="D182" t="s">
        <v>65</v>
      </c>
      <c r="E182" t="s">
        <v>33</v>
      </c>
      <c r="F182" t="s">
        <v>21</v>
      </c>
      <c r="G182" s="57" t="s">
        <v>180</v>
      </c>
      <c r="H182">
        <v>1</v>
      </c>
      <c r="I182" s="1">
        <v>-2</v>
      </c>
      <c r="J182" s="1">
        <v>0.152107949387144</v>
      </c>
      <c r="K182" s="1">
        <v>4.6315686258153379</v>
      </c>
    </row>
    <row r="183" spans="4:11" x14ac:dyDescent="0.25">
      <c r="D183" t="s">
        <v>65</v>
      </c>
      <c r="E183" t="s">
        <v>3</v>
      </c>
      <c r="F183" t="s">
        <v>22</v>
      </c>
      <c r="G183" s="57" t="s">
        <v>183</v>
      </c>
      <c r="H183">
        <v>2</v>
      </c>
      <c r="I183" s="1">
        <v>-3</v>
      </c>
      <c r="J183" s="1">
        <v>1.2150585643780687E-2</v>
      </c>
      <c r="K183" s="1">
        <v>9.0730511505941713</v>
      </c>
    </row>
    <row r="184" spans="4:11" ht="15" customHeight="1" x14ac:dyDescent="0.25">
      <c r="D184" t="s">
        <v>65</v>
      </c>
      <c r="E184" t="s">
        <v>0</v>
      </c>
      <c r="F184" t="s">
        <v>176</v>
      </c>
      <c r="G184" s="57" t="s">
        <v>178</v>
      </c>
      <c r="H184">
        <v>3</v>
      </c>
      <c r="I184" s="1">
        <v>1</v>
      </c>
      <c r="J184" s="1">
        <v>-0.35818877365171886</v>
      </c>
      <c r="K184" s="1">
        <v>1.8446767448735599</v>
      </c>
    </row>
    <row r="185" spans="4:11" x14ac:dyDescent="0.25">
      <c r="D185" t="s">
        <v>66</v>
      </c>
      <c r="E185" t="s">
        <v>229</v>
      </c>
      <c r="F185" t="s">
        <v>8</v>
      </c>
      <c r="G185" s="57" t="s">
        <v>178</v>
      </c>
      <c r="H185">
        <v>1</v>
      </c>
      <c r="I185" s="1">
        <v>-1</v>
      </c>
      <c r="J185" s="1">
        <v>-1.4395491421463475</v>
      </c>
      <c r="K185" s="1">
        <v>0.19320344836159004</v>
      </c>
    </row>
    <row r="186" spans="4:11" ht="15" customHeight="1" x14ac:dyDescent="0.25">
      <c r="D186" t="s">
        <v>66</v>
      </c>
      <c r="E186" t="s">
        <v>13</v>
      </c>
      <c r="F186" t="s">
        <v>37</v>
      </c>
      <c r="G186" s="57" t="s">
        <v>180</v>
      </c>
      <c r="H186">
        <v>4</v>
      </c>
      <c r="I186" s="1">
        <v>1</v>
      </c>
      <c r="J186" s="1">
        <v>0.79751723844363198</v>
      </c>
      <c r="K186" s="1">
        <v>4.0999268727492988E-2</v>
      </c>
    </row>
    <row r="187" spans="4:11" x14ac:dyDescent="0.25">
      <c r="D187" t="s">
        <v>66</v>
      </c>
      <c r="E187" t="s">
        <v>40</v>
      </c>
      <c r="F187" t="s">
        <v>10</v>
      </c>
      <c r="G187" s="57" t="s">
        <v>180</v>
      </c>
      <c r="H187">
        <v>2</v>
      </c>
      <c r="I187" s="1">
        <v>-1</v>
      </c>
      <c r="J187" s="1">
        <v>7.8972525803990834E-2</v>
      </c>
      <c r="K187" s="1">
        <v>1.1641817114398436</v>
      </c>
    </row>
    <row r="188" spans="4:11" ht="15" customHeight="1" x14ac:dyDescent="0.25">
      <c r="D188" t="s">
        <v>67</v>
      </c>
      <c r="E188" t="s">
        <v>24</v>
      </c>
      <c r="F188" t="s">
        <v>2</v>
      </c>
      <c r="G188" s="57" t="s">
        <v>178</v>
      </c>
      <c r="H188">
        <v>5</v>
      </c>
      <c r="I188" s="1">
        <v>3</v>
      </c>
      <c r="J188" s="1">
        <v>1.2645915064957762</v>
      </c>
      <c r="K188" s="1">
        <v>3.0116426393265994</v>
      </c>
    </row>
    <row r="189" spans="4:11" x14ac:dyDescent="0.25">
      <c r="D189" t="s">
        <v>67</v>
      </c>
      <c r="E189" t="s">
        <v>14</v>
      </c>
      <c r="F189" t="s">
        <v>1</v>
      </c>
      <c r="G189" s="57" t="s">
        <v>179</v>
      </c>
      <c r="H189">
        <v>4</v>
      </c>
      <c r="I189" s="1">
        <v>3</v>
      </c>
      <c r="J189" s="1">
        <v>0.23724398451351192</v>
      </c>
      <c r="K189" s="1">
        <v>7.6328208011067762</v>
      </c>
    </row>
    <row r="190" spans="4:11" ht="15" customHeight="1" x14ac:dyDescent="0.25">
      <c r="D190" t="s">
        <v>67</v>
      </c>
      <c r="E190" t="s">
        <v>23</v>
      </c>
      <c r="F190" t="s">
        <v>18</v>
      </c>
      <c r="G190" s="57" t="s">
        <v>177</v>
      </c>
      <c r="H190">
        <v>3</v>
      </c>
      <c r="I190" s="1">
        <v>3</v>
      </c>
      <c r="J190" s="1">
        <v>9.5890989875996979E-2</v>
      </c>
      <c r="K190" s="1">
        <v>8.4338491426834175</v>
      </c>
    </row>
    <row r="191" spans="4:11" x14ac:dyDescent="0.25">
      <c r="D191" t="s">
        <v>67</v>
      </c>
      <c r="E191" t="s">
        <v>4</v>
      </c>
      <c r="F191" t="s">
        <v>36</v>
      </c>
      <c r="G191" s="57" t="s">
        <v>178</v>
      </c>
      <c r="H191">
        <v>5</v>
      </c>
      <c r="I191" s="1">
        <v>3</v>
      </c>
      <c r="J191" s="1">
        <v>0.5553546394331903</v>
      </c>
      <c r="K191" s="1">
        <v>5.976290938940827</v>
      </c>
    </row>
    <row r="192" spans="4:11" ht="15" customHeight="1" x14ac:dyDescent="0.25">
      <c r="D192" t="s">
        <v>67</v>
      </c>
      <c r="E192" t="s">
        <v>35</v>
      </c>
      <c r="F192" t="s">
        <v>38</v>
      </c>
      <c r="G192" s="57" t="s">
        <v>180</v>
      </c>
      <c r="H192">
        <v>4</v>
      </c>
      <c r="I192" s="1">
        <v>1</v>
      </c>
      <c r="J192" s="1">
        <v>1.2393644671985271</v>
      </c>
      <c r="K192" s="1">
        <v>5.7295348157234763E-2</v>
      </c>
    </row>
    <row r="193" spans="4:11" x14ac:dyDescent="0.25">
      <c r="D193" t="s">
        <v>67</v>
      </c>
      <c r="E193" t="s">
        <v>11</v>
      </c>
      <c r="F193" t="s">
        <v>25</v>
      </c>
      <c r="G193" s="57" t="s">
        <v>182</v>
      </c>
      <c r="H193">
        <v>3</v>
      </c>
      <c r="I193" s="1">
        <v>-1</v>
      </c>
      <c r="J193" s="1">
        <v>0.40612783736567337</v>
      </c>
      <c r="K193" s="1">
        <v>1.9771954950146655</v>
      </c>
    </row>
    <row r="194" spans="4:11" ht="15" customHeight="1" x14ac:dyDescent="0.25">
      <c r="D194" t="s">
        <v>67</v>
      </c>
      <c r="E194" t="s">
        <v>19</v>
      </c>
      <c r="F194" t="s">
        <v>21</v>
      </c>
      <c r="G194" s="57" t="s">
        <v>180</v>
      </c>
      <c r="H194">
        <v>2</v>
      </c>
      <c r="I194" s="1">
        <v>-1</v>
      </c>
      <c r="J194" s="1">
        <v>-1.6953935804053799E-2</v>
      </c>
      <c r="K194" s="1">
        <v>0.96637956433114036</v>
      </c>
    </row>
    <row r="195" spans="4:11" x14ac:dyDescent="0.25">
      <c r="D195" t="s">
        <v>67</v>
      </c>
      <c r="E195" t="s">
        <v>0</v>
      </c>
      <c r="F195" t="s">
        <v>22</v>
      </c>
      <c r="G195" s="57" t="s">
        <v>180</v>
      </c>
      <c r="H195">
        <v>4</v>
      </c>
      <c r="I195" s="1">
        <v>1</v>
      </c>
      <c r="J195" s="1">
        <v>0.81040379252894468</v>
      </c>
      <c r="K195" s="1">
        <v>3.5946721887407454E-2</v>
      </c>
    </row>
    <row r="196" spans="4:11" ht="15" customHeight="1" x14ac:dyDescent="0.25">
      <c r="D196" t="s">
        <v>67</v>
      </c>
      <c r="E196" t="s">
        <v>40</v>
      </c>
      <c r="F196" t="s">
        <v>33</v>
      </c>
      <c r="G196" s="57" t="s">
        <v>178</v>
      </c>
      <c r="H196">
        <v>1</v>
      </c>
      <c r="I196" s="1">
        <v>-1</v>
      </c>
      <c r="J196" s="1">
        <v>0.13887126583738052</v>
      </c>
      <c r="K196" s="1">
        <v>1.2970277601500375</v>
      </c>
    </row>
    <row r="197" spans="4:11" x14ac:dyDescent="0.25">
      <c r="D197" t="s">
        <v>67</v>
      </c>
      <c r="E197" t="s">
        <v>3</v>
      </c>
      <c r="F197" t="s">
        <v>32</v>
      </c>
      <c r="G197" s="57">
        <v>3</v>
      </c>
      <c r="H197">
        <v>2</v>
      </c>
      <c r="I197" s="1">
        <v>-1</v>
      </c>
      <c r="J197" s="1">
        <v>-2.7843551485304374E-2</v>
      </c>
      <c r="K197" s="1">
        <v>0.94508816038870602</v>
      </c>
    </row>
    <row r="198" spans="4:11" ht="15" customHeight="1" x14ac:dyDescent="0.25">
      <c r="D198" t="s">
        <v>68</v>
      </c>
      <c r="E198" t="s">
        <v>24</v>
      </c>
      <c r="F198" t="s">
        <v>8</v>
      </c>
      <c r="G198" s="56" t="s">
        <v>180</v>
      </c>
      <c r="H198">
        <v>2</v>
      </c>
      <c r="I198" s="1">
        <v>-1</v>
      </c>
      <c r="J198" s="1">
        <v>-7.4744197660592704E-2</v>
      </c>
      <c r="K198" s="1">
        <v>0.85609829976274032</v>
      </c>
    </row>
    <row r="199" spans="4:11" x14ac:dyDescent="0.25">
      <c r="D199" t="s">
        <v>68</v>
      </c>
      <c r="E199" t="s">
        <v>7</v>
      </c>
      <c r="F199" t="s">
        <v>27</v>
      </c>
      <c r="G199" s="57" t="s">
        <v>178</v>
      </c>
      <c r="H199">
        <v>3</v>
      </c>
      <c r="I199" s="1">
        <v>1</v>
      </c>
      <c r="J199" s="1">
        <v>-3.143704631457922E-2</v>
      </c>
      <c r="K199" s="1">
        <v>1.0638623805101435</v>
      </c>
    </row>
    <row r="200" spans="4:11" ht="15" customHeight="1" x14ac:dyDescent="0.25">
      <c r="D200" t="s">
        <v>68</v>
      </c>
      <c r="E200" t="s">
        <v>35</v>
      </c>
      <c r="F200" t="s">
        <v>13</v>
      </c>
      <c r="G200" s="57">
        <v>2</v>
      </c>
      <c r="H200">
        <v>4</v>
      </c>
      <c r="I200" s="1">
        <v>2</v>
      </c>
      <c r="J200" s="1">
        <v>0.78813487785681957</v>
      </c>
      <c r="K200" s="1">
        <v>1.4686170742671056</v>
      </c>
    </row>
    <row r="201" spans="4:11" x14ac:dyDescent="0.25">
      <c r="D201" t="s">
        <v>68</v>
      </c>
      <c r="E201" t="s">
        <v>12</v>
      </c>
      <c r="F201" t="s">
        <v>20</v>
      </c>
      <c r="G201" s="57">
        <v>3</v>
      </c>
      <c r="H201">
        <v>2</v>
      </c>
      <c r="I201" s="1">
        <v>-1</v>
      </c>
      <c r="J201" s="1">
        <v>0.31234122289806976</v>
      </c>
      <c r="K201" s="1">
        <v>1.7222394853176013</v>
      </c>
    </row>
    <row r="202" spans="4:11" ht="15" customHeight="1" x14ac:dyDescent="0.25">
      <c r="D202" t="s">
        <v>68</v>
      </c>
      <c r="E202" t="s">
        <v>176</v>
      </c>
      <c r="F202" t="s">
        <v>10</v>
      </c>
      <c r="G202" s="54" t="s">
        <v>180</v>
      </c>
      <c r="H202">
        <v>2</v>
      </c>
      <c r="I202" s="1">
        <v>-1</v>
      </c>
      <c r="J202" s="1">
        <v>1.5454862222658221</v>
      </c>
      <c r="K202" s="1">
        <v>6.4795001077451264</v>
      </c>
    </row>
    <row r="203" spans="4:11" x14ac:dyDescent="0.25">
      <c r="D203" t="s">
        <v>69</v>
      </c>
      <c r="E203" t="s">
        <v>4</v>
      </c>
      <c r="F203" t="s">
        <v>14</v>
      </c>
      <c r="G203" s="54" t="s">
        <v>181</v>
      </c>
      <c r="H203">
        <v>4</v>
      </c>
      <c r="I203" s="1">
        <v>-2</v>
      </c>
      <c r="J203" s="1">
        <v>-0.23370921799516964</v>
      </c>
      <c r="K203" s="1">
        <v>3.1197831265952352</v>
      </c>
    </row>
    <row r="204" spans="4:11" ht="15" customHeight="1" x14ac:dyDescent="0.25">
      <c r="D204" t="s">
        <v>69</v>
      </c>
      <c r="E204" t="s">
        <v>11</v>
      </c>
      <c r="F204" t="s">
        <v>8</v>
      </c>
      <c r="G204" s="54" t="s">
        <v>181</v>
      </c>
      <c r="H204">
        <v>1</v>
      </c>
      <c r="I204" s="1">
        <v>-5</v>
      </c>
      <c r="J204" s="1">
        <v>-1.2060860284936155</v>
      </c>
      <c r="K204" s="1">
        <v>14.393783223191347</v>
      </c>
    </row>
    <row r="205" spans="4:11" x14ac:dyDescent="0.25">
      <c r="D205" t="s">
        <v>69</v>
      </c>
      <c r="E205" t="s">
        <v>37</v>
      </c>
      <c r="F205" t="s">
        <v>0</v>
      </c>
      <c r="G205" s="54" t="s">
        <v>182</v>
      </c>
      <c r="H205">
        <v>5</v>
      </c>
      <c r="I205" s="1">
        <v>1</v>
      </c>
      <c r="J205" s="1">
        <v>-1.0490719456126527</v>
      </c>
      <c r="K205" s="1">
        <v>4.198695838296822</v>
      </c>
    </row>
    <row r="206" spans="4:11" ht="15" customHeight="1" x14ac:dyDescent="0.25">
      <c r="D206" t="s">
        <v>69</v>
      </c>
      <c r="E206" t="s">
        <v>23</v>
      </c>
      <c r="F206" t="s">
        <v>229</v>
      </c>
      <c r="G206" s="54" t="s">
        <v>179</v>
      </c>
      <c r="H206">
        <v>4</v>
      </c>
      <c r="I206" s="1">
        <v>3</v>
      </c>
      <c r="J206" s="1">
        <v>0.2080470523741127</v>
      </c>
      <c r="K206" s="1">
        <v>7.7950012617568802</v>
      </c>
    </row>
    <row r="207" spans="4:11" x14ac:dyDescent="0.25">
      <c r="D207" t="s">
        <v>69</v>
      </c>
      <c r="E207" t="s">
        <v>25</v>
      </c>
      <c r="F207" t="s">
        <v>18</v>
      </c>
      <c r="G207" s="54" t="s">
        <v>178</v>
      </c>
      <c r="H207">
        <v>1</v>
      </c>
      <c r="I207" s="1">
        <v>-1</v>
      </c>
      <c r="J207" s="1">
        <v>0.20478019504481892</v>
      </c>
      <c r="K207" s="1">
        <v>1.4514953183722319</v>
      </c>
    </row>
    <row r="208" spans="4:11" ht="15" customHeight="1" x14ac:dyDescent="0.25">
      <c r="D208" t="s">
        <v>69</v>
      </c>
      <c r="E208" t="s">
        <v>22</v>
      </c>
      <c r="F208" t="s">
        <v>1</v>
      </c>
      <c r="G208" s="54" t="s">
        <v>180</v>
      </c>
      <c r="H208">
        <v>4</v>
      </c>
      <c r="I208" s="1">
        <v>1</v>
      </c>
      <c r="J208" s="1">
        <v>4.9532693406874273E-2</v>
      </c>
      <c r="K208" s="1">
        <v>0.90338810090239086</v>
      </c>
    </row>
    <row r="209" spans="4:11" x14ac:dyDescent="0.25">
      <c r="D209" t="s">
        <v>69</v>
      </c>
      <c r="E209" t="s">
        <v>36</v>
      </c>
      <c r="F209" t="s">
        <v>7</v>
      </c>
      <c r="G209" s="54" t="s">
        <v>184</v>
      </c>
      <c r="H209">
        <v>4</v>
      </c>
      <c r="I209" s="1">
        <v>-3</v>
      </c>
      <c r="J209" s="1">
        <v>-0.48417988582133376</v>
      </c>
      <c r="K209" s="1">
        <v>6.3293508469059576</v>
      </c>
    </row>
    <row r="210" spans="4:11" ht="15" customHeight="1" x14ac:dyDescent="0.25">
      <c r="D210" t="s">
        <v>69</v>
      </c>
      <c r="E210" t="s">
        <v>27</v>
      </c>
      <c r="F210" t="s">
        <v>12</v>
      </c>
      <c r="G210" s="54" t="s">
        <v>180</v>
      </c>
      <c r="H210">
        <v>4</v>
      </c>
      <c r="I210" s="1">
        <v>1</v>
      </c>
      <c r="J210" s="1">
        <v>1.1282210687578811</v>
      </c>
      <c r="K210" s="1">
        <v>1.6440642473413269E-2</v>
      </c>
    </row>
    <row r="211" spans="4:11" x14ac:dyDescent="0.25">
      <c r="D211" t="s">
        <v>69</v>
      </c>
      <c r="E211" t="s">
        <v>19</v>
      </c>
      <c r="F211" t="s">
        <v>38</v>
      </c>
      <c r="G211" s="54" t="s">
        <v>178</v>
      </c>
      <c r="H211">
        <v>1</v>
      </c>
      <c r="I211" s="1">
        <v>-1</v>
      </c>
      <c r="J211" s="1">
        <v>0.51052867581172734</v>
      </c>
      <c r="K211" s="1">
        <v>2.2816968804495303</v>
      </c>
    </row>
    <row r="212" spans="4:11" ht="15" customHeight="1" x14ac:dyDescent="0.25">
      <c r="D212" t="s">
        <v>69</v>
      </c>
      <c r="E212" t="s">
        <v>32</v>
      </c>
      <c r="F212" t="s">
        <v>21</v>
      </c>
      <c r="G212" s="54" t="s">
        <v>183</v>
      </c>
      <c r="H212">
        <v>3</v>
      </c>
      <c r="I212" s="1">
        <v>-2</v>
      </c>
      <c r="J212" s="1">
        <v>0.38409399200683936</v>
      </c>
      <c r="K212" s="1">
        <v>5.6839041627231071</v>
      </c>
    </row>
    <row r="213" spans="4:11" x14ac:dyDescent="0.25">
      <c r="D213" t="s">
        <v>69</v>
      </c>
      <c r="E213" t="s">
        <v>40</v>
      </c>
      <c r="F213" t="s">
        <v>176</v>
      </c>
      <c r="G213" s="54" t="s">
        <v>179</v>
      </c>
      <c r="H213">
        <v>0</v>
      </c>
      <c r="I213" s="1">
        <v>-1</v>
      </c>
      <c r="J213" s="1">
        <v>-1.2217132058338933</v>
      </c>
      <c r="K213" s="1">
        <v>4.9156745641142342E-2</v>
      </c>
    </row>
    <row r="214" spans="4:11" ht="15" customHeight="1" x14ac:dyDescent="0.25">
      <c r="D214" t="s">
        <v>69</v>
      </c>
      <c r="E214" t="s">
        <v>3</v>
      </c>
      <c r="F214" t="s">
        <v>33</v>
      </c>
      <c r="G214" s="54" t="s">
        <v>179</v>
      </c>
      <c r="H214">
        <v>5</v>
      </c>
      <c r="I214" s="1">
        <v>4</v>
      </c>
      <c r="J214" s="1">
        <v>0.20414249113439098</v>
      </c>
      <c r="K214" s="1">
        <v>14.408534227611428</v>
      </c>
    </row>
    <row r="215" spans="4:11" x14ac:dyDescent="0.25">
      <c r="D215" t="s">
        <v>70</v>
      </c>
      <c r="E215" t="s">
        <v>0</v>
      </c>
      <c r="F215" t="s">
        <v>18</v>
      </c>
      <c r="G215" s="54" t="s">
        <v>183</v>
      </c>
      <c r="H215">
        <v>3</v>
      </c>
      <c r="I215" s="1">
        <v>-2</v>
      </c>
      <c r="J215" s="1">
        <v>1.0906069072293576</v>
      </c>
      <c r="K215" s="1">
        <v>9.5518510550138149</v>
      </c>
    </row>
    <row r="216" spans="4:11" ht="15" customHeight="1" x14ac:dyDescent="0.25">
      <c r="D216" t="s">
        <v>70</v>
      </c>
      <c r="E216" t="s">
        <v>36</v>
      </c>
      <c r="F216" t="s">
        <v>13</v>
      </c>
      <c r="G216" s="54" t="s">
        <v>182</v>
      </c>
      <c r="H216">
        <v>3</v>
      </c>
      <c r="I216" s="1">
        <v>-1</v>
      </c>
      <c r="J216" s="1">
        <v>-0.1809996891698944</v>
      </c>
      <c r="K216" s="1">
        <v>0.67076150913980959</v>
      </c>
    </row>
    <row r="217" spans="4:11" x14ac:dyDescent="0.25">
      <c r="D217" t="s">
        <v>70</v>
      </c>
      <c r="E217" t="s">
        <v>24</v>
      </c>
      <c r="F217" t="s">
        <v>37</v>
      </c>
      <c r="G217" s="54" t="s">
        <v>180</v>
      </c>
      <c r="H217">
        <v>1</v>
      </c>
      <c r="I217" s="1">
        <v>-2</v>
      </c>
      <c r="J217" s="1">
        <v>1.9455153922547481</v>
      </c>
      <c r="K217" s="1">
        <v>15.567091710519138</v>
      </c>
    </row>
    <row r="218" spans="4:11" ht="15" customHeight="1" x14ac:dyDescent="0.25">
      <c r="D218" t="s">
        <v>70</v>
      </c>
      <c r="E218" t="s">
        <v>32</v>
      </c>
      <c r="F218" t="s">
        <v>20</v>
      </c>
      <c r="G218" s="54" t="s">
        <v>178</v>
      </c>
      <c r="H218">
        <v>5</v>
      </c>
      <c r="I218" s="1">
        <v>3</v>
      </c>
      <c r="J218" s="1">
        <v>0.83189059108703134</v>
      </c>
      <c r="K218" s="1">
        <v>4.7006984090169421</v>
      </c>
    </row>
    <row r="219" spans="4:11" x14ac:dyDescent="0.25">
      <c r="D219" t="s">
        <v>70</v>
      </c>
      <c r="E219" t="s">
        <v>3</v>
      </c>
      <c r="F219" t="s">
        <v>10</v>
      </c>
      <c r="G219" s="54" t="s">
        <v>178</v>
      </c>
      <c r="H219">
        <v>1</v>
      </c>
      <c r="I219" s="1">
        <v>-1</v>
      </c>
      <c r="J219" s="1">
        <v>0.14424375110100129</v>
      </c>
      <c r="K219" s="1">
        <v>1.3092937619336902</v>
      </c>
    </row>
    <row r="220" spans="4:11" ht="15" customHeight="1" x14ac:dyDescent="0.25">
      <c r="D220" t="s">
        <v>71</v>
      </c>
      <c r="E220" t="s">
        <v>35</v>
      </c>
      <c r="F220" t="s">
        <v>2</v>
      </c>
      <c r="G220" s="54" t="s">
        <v>178</v>
      </c>
      <c r="H220">
        <v>4</v>
      </c>
      <c r="I220" s="1">
        <v>2</v>
      </c>
      <c r="J220" s="1">
        <v>0.6599277399135417</v>
      </c>
      <c r="K220" s="1">
        <v>1.7957936622532282</v>
      </c>
    </row>
    <row r="221" spans="4:11" x14ac:dyDescent="0.25">
      <c r="D221" t="s">
        <v>71</v>
      </c>
      <c r="E221" t="s">
        <v>4</v>
      </c>
      <c r="F221" t="s">
        <v>27</v>
      </c>
      <c r="G221" s="54" t="s">
        <v>179</v>
      </c>
      <c r="H221">
        <v>4</v>
      </c>
      <c r="I221" s="1">
        <v>3</v>
      </c>
      <c r="J221" s="1">
        <v>-0.4498632739585986</v>
      </c>
      <c r="K221" s="1">
        <v>11.90155660900834</v>
      </c>
    </row>
    <row r="222" spans="4:11" ht="15" customHeight="1" x14ac:dyDescent="0.25">
      <c r="D222" t="s">
        <v>72</v>
      </c>
      <c r="E222" t="s">
        <v>23</v>
      </c>
      <c r="F222" t="s">
        <v>35</v>
      </c>
      <c r="G222" s="54" t="s">
        <v>179</v>
      </c>
      <c r="H222">
        <v>3</v>
      </c>
      <c r="I222" s="1">
        <v>2</v>
      </c>
      <c r="J222" s="1">
        <v>-0.55209412552940762</v>
      </c>
      <c r="K222" s="1">
        <v>6.513184425561712</v>
      </c>
    </row>
    <row r="223" spans="4:11" x14ac:dyDescent="0.25">
      <c r="D223" t="s">
        <v>72</v>
      </c>
      <c r="E223" t="s">
        <v>22</v>
      </c>
      <c r="F223" t="s">
        <v>40</v>
      </c>
      <c r="G223" s="54" t="s">
        <v>177</v>
      </c>
      <c r="H223">
        <v>6</v>
      </c>
      <c r="I223" s="1">
        <v>6</v>
      </c>
      <c r="J223" s="1">
        <v>0.5427216209091057</v>
      </c>
      <c r="K223" s="1">
        <v>29.781887306892937</v>
      </c>
    </row>
    <row r="224" spans="4:11" ht="18" customHeight="1" x14ac:dyDescent="0.25">
      <c r="D224" t="s">
        <v>72</v>
      </c>
      <c r="E224" t="s">
        <v>11</v>
      </c>
      <c r="F224" t="s">
        <v>37</v>
      </c>
      <c r="G224" s="54" t="s">
        <v>177</v>
      </c>
      <c r="H224">
        <v>5</v>
      </c>
      <c r="I224" s="1">
        <v>5</v>
      </c>
      <c r="J224" s="1">
        <v>0.81417356142172537</v>
      </c>
      <c r="K224" s="1">
        <v>17.521142973900883</v>
      </c>
    </row>
    <row r="225" spans="4:11" x14ac:dyDescent="0.25">
      <c r="D225" t="s">
        <v>72</v>
      </c>
      <c r="E225" t="s">
        <v>7</v>
      </c>
      <c r="F225" t="s">
        <v>12</v>
      </c>
      <c r="G225" s="54" t="s">
        <v>178</v>
      </c>
      <c r="H225">
        <v>4</v>
      </c>
      <c r="I225" s="1">
        <v>2</v>
      </c>
      <c r="J225" s="1">
        <v>0.8519835318153639</v>
      </c>
      <c r="K225" s="1">
        <v>1.3179418112231256</v>
      </c>
    </row>
    <row r="226" spans="4:11" ht="15" customHeight="1" x14ac:dyDescent="0.25">
      <c r="D226" t="s">
        <v>72</v>
      </c>
      <c r="E226" t="s">
        <v>25</v>
      </c>
      <c r="F226" t="s">
        <v>229</v>
      </c>
      <c r="G226" s="54" t="s">
        <v>177</v>
      </c>
      <c r="H226">
        <v>3</v>
      </c>
      <c r="I226" s="1">
        <v>3</v>
      </c>
      <c r="J226" s="1">
        <v>0.31693625754293464</v>
      </c>
      <c r="K226" s="1">
        <v>7.1988310460877134</v>
      </c>
    </row>
    <row r="227" spans="4:11" x14ac:dyDescent="0.25">
      <c r="D227" t="s">
        <v>72</v>
      </c>
      <c r="E227" t="s">
        <v>32</v>
      </c>
      <c r="F227" t="s">
        <v>14</v>
      </c>
      <c r="G227" s="54" t="s">
        <v>179</v>
      </c>
      <c r="H227">
        <v>4</v>
      </c>
      <c r="I227" s="1">
        <v>3</v>
      </c>
      <c r="J227" s="1">
        <v>9.7083336650385377E-2</v>
      </c>
      <c r="K227" s="1">
        <v>8.42692515435286</v>
      </c>
    </row>
    <row r="228" spans="4:11" ht="15" customHeight="1" x14ac:dyDescent="0.25">
      <c r="D228" t="s">
        <v>72</v>
      </c>
      <c r="E228" t="s">
        <v>8</v>
      </c>
      <c r="F228" t="s">
        <v>38</v>
      </c>
      <c r="G228" s="54" t="s">
        <v>179</v>
      </c>
      <c r="H228">
        <v>6</v>
      </c>
      <c r="I228" s="1">
        <v>5</v>
      </c>
      <c r="J228" s="1">
        <v>2.1635729220692923</v>
      </c>
      <c r="K228" s="1">
        <v>8.0453185684185335</v>
      </c>
    </row>
    <row r="229" spans="4:11" x14ac:dyDescent="0.25">
      <c r="D229" t="s">
        <v>72</v>
      </c>
      <c r="E229" t="s">
        <v>24</v>
      </c>
      <c r="F229" t="s">
        <v>19</v>
      </c>
      <c r="G229" s="54" t="s">
        <v>178</v>
      </c>
      <c r="H229">
        <v>3</v>
      </c>
      <c r="I229" s="1">
        <v>1</v>
      </c>
      <c r="J229" s="1">
        <v>1.5783000485969723</v>
      </c>
      <c r="K229" s="1">
        <v>0.33443094620726049</v>
      </c>
    </row>
    <row r="230" spans="4:11" ht="18" customHeight="1" x14ac:dyDescent="0.25">
      <c r="D230" t="s">
        <v>72</v>
      </c>
      <c r="E230" t="s">
        <v>36</v>
      </c>
      <c r="F230" t="s">
        <v>20</v>
      </c>
      <c r="G230" s="54" t="s">
        <v>178</v>
      </c>
      <c r="H230">
        <v>3</v>
      </c>
      <c r="I230" s="1">
        <v>1</v>
      </c>
      <c r="J230" s="1">
        <v>0.19054388763622399</v>
      </c>
      <c r="K230" s="1">
        <v>0.65521919784307803</v>
      </c>
    </row>
    <row r="231" spans="4:11" x14ac:dyDescent="0.25">
      <c r="D231" t="s">
        <v>72</v>
      </c>
      <c r="E231" t="s">
        <v>21</v>
      </c>
      <c r="F231" t="s">
        <v>176</v>
      </c>
      <c r="G231" s="54" t="s">
        <v>182</v>
      </c>
      <c r="H231">
        <v>3</v>
      </c>
      <c r="I231" s="1">
        <v>-1</v>
      </c>
      <c r="J231" s="1">
        <v>-1.0230914398025419</v>
      </c>
      <c r="K231" s="1">
        <v>5.3321459215441693E-4</v>
      </c>
    </row>
    <row r="232" spans="4:11" ht="15" customHeight="1" x14ac:dyDescent="0.25">
      <c r="D232" t="s">
        <v>72</v>
      </c>
      <c r="E232" t="s">
        <v>18</v>
      </c>
      <c r="F232" t="s">
        <v>3</v>
      </c>
      <c r="G232" s="54" t="s">
        <v>180</v>
      </c>
      <c r="H232">
        <v>4</v>
      </c>
      <c r="I232" s="1">
        <v>1</v>
      </c>
      <c r="J232" s="1">
        <v>0.19724728091168231</v>
      </c>
      <c r="K232" s="1">
        <v>0.64441192800368752</v>
      </c>
    </row>
    <row r="233" spans="4:11" x14ac:dyDescent="0.25">
      <c r="D233" t="s">
        <v>73</v>
      </c>
      <c r="E233" t="s">
        <v>2</v>
      </c>
      <c r="F233" t="s">
        <v>0</v>
      </c>
      <c r="G233" s="54" t="s">
        <v>179</v>
      </c>
      <c r="H233">
        <v>6</v>
      </c>
      <c r="I233" s="1">
        <v>5</v>
      </c>
      <c r="J233" s="1">
        <v>-0.36814805985368082</v>
      </c>
      <c r="K233" s="1">
        <v>28.817013592510836</v>
      </c>
    </row>
    <row r="234" spans="4:11" ht="15" customHeight="1" x14ac:dyDescent="0.25">
      <c r="D234" t="s">
        <v>73</v>
      </c>
      <c r="E234" t="s">
        <v>33</v>
      </c>
      <c r="F234" t="s">
        <v>10</v>
      </c>
      <c r="G234" s="54" t="s">
        <v>183</v>
      </c>
      <c r="H234">
        <v>6</v>
      </c>
      <c r="I234" s="1">
        <v>1</v>
      </c>
      <c r="J234" s="1">
        <v>0.18490175059454828</v>
      </c>
      <c r="K234" s="1">
        <v>0.66438515618383198</v>
      </c>
    </row>
    <row r="235" spans="4:11" x14ac:dyDescent="0.25">
      <c r="D235" t="s">
        <v>74</v>
      </c>
      <c r="E235" t="s">
        <v>22</v>
      </c>
      <c r="F235" t="s">
        <v>37</v>
      </c>
      <c r="G235" s="54" t="s">
        <v>182</v>
      </c>
      <c r="H235">
        <v>3</v>
      </c>
      <c r="I235" s="1">
        <v>-1</v>
      </c>
      <c r="J235" s="1">
        <v>0.97306962496752192</v>
      </c>
      <c r="K235" s="1">
        <v>3.8930037449694774</v>
      </c>
    </row>
    <row r="236" spans="4:11" ht="15" customHeight="1" x14ac:dyDescent="0.25">
      <c r="D236" t="s">
        <v>74</v>
      </c>
      <c r="E236" t="s">
        <v>25</v>
      </c>
      <c r="F236" t="s">
        <v>27</v>
      </c>
      <c r="G236" s="54" t="s">
        <v>180</v>
      </c>
      <c r="H236">
        <v>1</v>
      </c>
      <c r="I236" s="1">
        <v>-2</v>
      </c>
      <c r="J236" s="1">
        <v>-0.47928826672566061</v>
      </c>
      <c r="K236" s="1">
        <v>2.3125641757182454</v>
      </c>
    </row>
    <row r="237" spans="4:11" x14ac:dyDescent="0.25">
      <c r="D237" t="s">
        <v>74</v>
      </c>
      <c r="E237" t="s">
        <v>2</v>
      </c>
      <c r="F237" t="s">
        <v>229</v>
      </c>
      <c r="G237" s="54" t="s">
        <v>179</v>
      </c>
      <c r="H237">
        <v>5</v>
      </c>
      <c r="I237" s="1">
        <v>4</v>
      </c>
      <c r="J237" s="1">
        <v>0.58981441924585454</v>
      </c>
      <c r="K237" s="1">
        <v>11.629365695183488</v>
      </c>
    </row>
    <row r="238" spans="4:11" ht="15" customHeight="1" x14ac:dyDescent="0.25">
      <c r="D238" t="s">
        <v>74</v>
      </c>
      <c r="E238" t="s">
        <v>32</v>
      </c>
      <c r="F238" t="s">
        <v>36</v>
      </c>
      <c r="G238" s="54" t="s">
        <v>178</v>
      </c>
      <c r="H238">
        <v>1</v>
      </c>
      <c r="I238" s="1">
        <v>-1</v>
      </c>
      <c r="J238" s="1">
        <v>0.88614719407874531</v>
      </c>
      <c r="K238" s="1">
        <v>3.5575512377311242</v>
      </c>
    </row>
    <row r="239" spans="4:11" x14ac:dyDescent="0.25">
      <c r="D239" t="s">
        <v>74</v>
      </c>
      <c r="E239" t="s">
        <v>19</v>
      </c>
      <c r="F239" t="s">
        <v>38</v>
      </c>
      <c r="G239" s="54" t="s">
        <v>180</v>
      </c>
      <c r="H239">
        <v>4</v>
      </c>
      <c r="I239" s="1">
        <v>1</v>
      </c>
      <c r="J239" s="1">
        <v>0.51052867581172734</v>
      </c>
      <c r="K239" s="1">
        <v>0.23958217720262112</v>
      </c>
    </row>
    <row r="240" spans="4:11" ht="15" customHeight="1" x14ac:dyDescent="0.25">
      <c r="D240" t="s">
        <v>74</v>
      </c>
      <c r="E240" t="s">
        <v>8</v>
      </c>
      <c r="F240" t="s">
        <v>23</v>
      </c>
      <c r="G240" s="54" t="s">
        <v>180</v>
      </c>
      <c r="H240">
        <v>6</v>
      </c>
      <c r="I240" s="1">
        <v>3</v>
      </c>
      <c r="J240" s="1">
        <v>1.9659035616560487</v>
      </c>
      <c r="K240" s="1">
        <v>1.0693554437956454</v>
      </c>
    </row>
    <row r="241" spans="4:11" x14ac:dyDescent="0.25">
      <c r="D241" t="s">
        <v>74</v>
      </c>
      <c r="E241" t="s">
        <v>176</v>
      </c>
      <c r="F241" t="s">
        <v>4</v>
      </c>
      <c r="G241" s="54" t="s">
        <v>180</v>
      </c>
      <c r="H241">
        <v>5</v>
      </c>
      <c r="I241" s="1">
        <v>2</v>
      </c>
      <c r="J241" s="1">
        <v>1.7041914743250715</v>
      </c>
      <c r="K241" s="1">
        <v>8.7502683861974864E-2</v>
      </c>
    </row>
    <row r="242" spans="4:11" ht="15" customHeight="1" x14ac:dyDescent="0.25">
      <c r="D242" t="s">
        <v>74</v>
      </c>
      <c r="E242" t="s">
        <v>18</v>
      </c>
      <c r="F242" t="s">
        <v>24</v>
      </c>
      <c r="G242" s="54" t="s">
        <v>182</v>
      </c>
      <c r="H242">
        <v>3</v>
      </c>
      <c r="I242" s="1">
        <v>-1</v>
      </c>
      <c r="J242" s="1">
        <v>-1.0078483913597012</v>
      </c>
      <c r="K242" s="1">
        <v>6.1597246935031952E-5</v>
      </c>
    </row>
    <row r="243" spans="4:11" x14ac:dyDescent="0.25">
      <c r="D243" t="s">
        <v>74</v>
      </c>
      <c r="E243" t="s">
        <v>21</v>
      </c>
      <c r="F243" t="s">
        <v>33</v>
      </c>
      <c r="G243" s="54" t="s">
        <v>178</v>
      </c>
      <c r="H243">
        <v>0</v>
      </c>
      <c r="I243" s="1">
        <v>-2</v>
      </c>
      <c r="J243" s="1">
        <v>0.33749303186873192</v>
      </c>
      <c r="K243" s="1">
        <v>5.4638736740348763</v>
      </c>
    </row>
    <row r="244" spans="4:11" ht="15" customHeight="1" x14ac:dyDescent="0.25">
      <c r="D244" t="s">
        <v>75</v>
      </c>
      <c r="E244" t="s">
        <v>7</v>
      </c>
      <c r="F244" t="s">
        <v>1</v>
      </c>
      <c r="G244" s="54" t="s">
        <v>182</v>
      </c>
      <c r="H244">
        <v>3</v>
      </c>
      <c r="I244" s="1">
        <v>-1</v>
      </c>
      <c r="J244" s="1">
        <v>0.1771605035344237</v>
      </c>
      <c r="K244" s="1">
        <v>1.3857068510814179</v>
      </c>
    </row>
    <row r="245" spans="4:11" x14ac:dyDescent="0.25">
      <c r="D245" t="s">
        <v>75</v>
      </c>
      <c r="E245" t="s">
        <v>35</v>
      </c>
      <c r="F245" t="s">
        <v>12</v>
      </c>
      <c r="G245" s="54" t="s">
        <v>179</v>
      </c>
      <c r="H245">
        <v>0</v>
      </c>
      <c r="I245" s="1">
        <v>-1</v>
      </c>
      <c r="J245" s="1">
        <v>1.0921377223928062</v>
      </c>
      <c r="K245" s="1">
        <v>4.3770402494589584</v>
      </c>
    </row>
    <row r="246" spans="4:11" ht="15" customHeight="1" x14ac:dyDescent="0.25">
      <c r="D246" t="s">
        <v>75</v>
      </c>
      <c r="E246" t="s">
        <v>11</v>
      </c>
      <c r="F246" t="s">
        <v>0</v>
      </c>
      <c r="G246" s="54" t="s">
        <v>178</v>
      </c>
      <c r="H246">
        <v>1</v>
      </c>
      <c r="I246" s="1">
        <v>-1</v>
      </c>
      <c r="J246" s="1">
        <v>-0.47969887481886531</v>
      </c>
      <c r="K246" s="1">
        <v>0.27071326086475478</v>
      </c>
    </row>
    <row r="247" spans="4:11" x14ac:dyDescent="0.25">
      <c r="D247" t="s">
        <v>75</v>
      </c>
      <c r="E247" t="s">
        <v>20</v>
      </c>
      <c r="F247" t="s">
        <v>13</v>
      </c>
      <c r="G247" s="54" t="s">
        <v>179</v>
      </c>
      <c r="H247">
        <v>4</v>
      </c>
      <c r="I247" s="1">
        <v>3</v>
      </c>
      <c r="J247" s="1">
        <v>-0.12674308617818042</v>
      </c>
      <c r="K247" s="1">
        <v>9.7765223269630521</v>
      </c>
    </row>
    <row r="248" spans="4:11" ht="15" customHeight="1" x14ac:dyDescent="0.25">
      <c r="D248" t="s">
        <v>75</v>
      </c>
      <c r="E248" t="s">
        <v>40</v>
      </c>
      <c r="F248" t="s">
        <v>14</v>
      </c>
      <c r="G248" s="54" t="s">
        <v>182</v>
      </c>
      <c r="H248">
        <v>3</v>
      </c>
      <c r="I248" s="1">
        <v>-1</v>
      </c>
      <c r="J248" s="1">
        <v>-0.24083193075986742</v>
      </c>
      <c r="K248" s="1">
        <v>0.57633615735379073</v>
      </c>
    </row>
    <row r="249" spans="4:11" x14ac:dyDescent="0.25">
      <c r="D249" t="s">
        <v>75</v>
      </c>
      <c r="E249" t="s">
        <v>176</v>
      </c>
      <c r="F249" t="s">
        <v>3</v>
      </c>
      <c r="G249" s="54" t="s">
        <v>183</v>
      </c>
      <c r="H249">
        <v>0</v>
      </c>
      <c r="I249" s="1">
        <v>-5</v>
      </c>
      <c r="J249" s="1">
        <v>1.6460429617927588</v>
      </c>
      <c r="K249" s="1">
        <v>44.169887049995069</v>
      </c>
    </row>
    <row r="250" spans="4:11" ht="15" customHeight="1" x14ac:dyDescent="0.25">
      <c r="D250" t="s">
        <v>76</v>
      </c>
      <c r="E250" t="s">
        <v>27</v>
      </c>
      <c r="F250" t="s">
        <v>2</v>
      </c>
      <c r="G250" s="54" t="s">
        <v>179</v>
      </c>
      <c r="H250">
        <v>2</v>
      </c>
      <c r="I250" s="1">
        <v>1</v>
      </c>
      <c r="J250" s="1">
        <v>0.69601108627861663</v>
      </c>
      <c r="K250" s="1">
        <v>9.2409259665506657E-2</v>
      </c>
    </row>
    <row r="251" spans="4:11" x14ac:dyDescent="0.25">
      <c r="D251" t="s">
        <v>76</v>
      </c>
      <c r="E251" t="s">
        <v>23</v>
      </c>
      <c r="F251" t="s">
        <v>21</v>
      </c>
      <c r="G251" s="54" t="s">
        <v>178</v>
      </c>
      <c r="H251">
        <v>1</v>
      </c>
      <c r="I251" s="1">
        <v>-1</v>
      </c>
      <c r="J251" s="1">
        <v>-8.5012760574599611E-2</v>
      </c>
      <c r="K251" s="1">
        <v>0.83720164831131494</v>
      </c>
    </row>
    <row r="252" spans="4:11" ht="15" customHeight="1" x14ac:dyDescent="0.25">
      <c r="D252" t="s">
        <v>76</v>
      </c>
      <c r="E252" t="s">
        <v>10</v>
      </c>
      <c r="F252" t="s">
        <v>33</v>
      </c>
      <c r="G252" s="54" t="s">
        <v>178</v>
      </c>
      <c r="H252">
        <v>3</v>
      </c>
      <c r="I252" s="1">
        <v>1</v>
      </c>
      <c r="J252" s="1">
        <v>0.30469923066132765</v>
      </c>
      <c r="K252" s="1">
        <v>0.48344315984294967</v>
      </c>
    </row>
    <row r="253" spans="4:11" x14ac:dyDescent="0.25">
      <c r="D253" t="s">
        <v>76</v>
      </c>
      <c r="E253" t="s">
        <v>0</v>
      </c>
      <c r="F253" t="s">
        <v>8</v>
      </c>
      <c r="G253" s="54" t="s">
        <v>178</v>
      </c>
      <c r="H253">
        <v>6</v>
      </c>
      <c r="I253" s="1">
        <v>4</v>
      </c>
      <c r="J253" s="1">
        <v>-0.48158666304681219</v>
      </c>
      <c r="K253" s="1">
        <v>20.08461901839906</v>
      </c>
    </row>
    <row r="254" spans="4:11" ht="15" customHeight="1" x14ac:dyDescent="0.25">
      <c r="D254" t="s">
        <v>76</v>
      </c>
      <c r="E254" t="s">
        <v>1</v>
      </c>
      <c r="F254" t="s">
        <v>229</v>
      </c>
      <c r="G254" s="54" t="s">
        <v>180</v>
      </c>
      <c r="H254">
        <v>6</v>
      </c>
      <c r="I254" s="1">
        <v>3</v>
      </c>
      <c r="J254" s="1">
        <v>0.83242746504753029</v>
      </c>
      <c r="K254" s="1">
        <v>4.6983706942802757</v>
      </c>
    </row>
    <row r="255" spans="4:11" x14ac:dyDescent="0.25">
      <c r="D255" t="s">
        <v>76</v>
      </c>
      <c r="E255" t="s">
        <v>40</v>
      </c>
      <c r="F255" t="s">
        <v>36</v>
      </c>
      <c r="G255" s="54" t="s">
        <v>178</v>
      </c>
      <c r="H255">
        <v>5</v>
      </c>
      <c r="I255" s="1">
        <v>3</v>
      </c>
      <c r="J255" s="1">
        <v>0.54823192666849252</v>
      </c>
      <c r="K255" s="1">
        <v>6.0111666854076926</v>
      </c>
    </row>
    <row r="256" spans="4:11" ht="15" customHeight="1" x14ac:dyDescent="0.25">
      <c r="D256" t="s">
        <v>76</v>
      </c>
      <c r="E256" t="s">
        <v>22</v>
      </c>
      <c r="F256" t="s">
        <v>35</v>
      </c>
      <c r="G256" s="54" t="s">
        <v>180</v>
      </c>
      <c r="H256">
        <v>2</v>
      </c>
      <c r="I256" s="1">
        <v>-1</v>
      </c>
      <c r="J256" s="1">
        <v>-0.12298151007705371</v>
      </c>
      <c r="K256" s="1">
        <v>0.76916143166672502</v>
      </c>
    </row>
    <row r="257" spans="4:11" x14ac:dyDescent="0.25">
      <c r="D257" t="s">
        <v>76</v>
      </c>
      <c r="E257" t="s">
        <v>37</v>
      </c>
      <c r="F257" t="s">
        <v>11</v>
      </c>
      <c r="G257" s="54" t="s">
        <v>178</v>
      </c>
      <c r="H257">
        <v>3</v>
      </c>
      <c r="I257" s="1">
        <v>1</v>
      </c>
      <c r="J257" s="1">
        <v>-0.32457258016584944</v>
      </c>
      <c r="K257" s="1">
        <v>1.7544925201272157</v>
      </c>
    </row>
    <row r="258" spans="4:11" ht="15" customHeight="1" x14ac:dyDescent="0.25">
      <c r="D258" t="s">
        <v>76</v>
      </c>
      <c r="E258" t="s">
        <v>32</v>
      </c>
      <c r="F258" t="s">
        <v>7</v>
      </c>
      <c r="G258" s="54" t="s">
        <v>179</v>
      </c>
      <c r="H258">
        <v>2</v>
      </c>
      <c r="I258" s="1">
        <v>1</v>
      </c>
      <c r="J258" s="1">
        <v>0.1571668176294736</v>
      </c>
      <c r="K258" s="1">
        <v>0.71036777330482903</v>
      </c>
    </row>
    <row r="259" spans="4:11" x14ac:dyDescent="0.25">
      <c r="D259" t="s">
        <v>76</v>
      </c>
      <c r="E259" t="s">
        <v>25</v>
      </c>
      <c r="F259" t="s">
        <v>19</v>
      </c>
      <c r="G259" s="54" t="s">
        <v>179</v>
      </c>
      <c r="H259">
        <v>2</v>
      </c>
      <c r="I259" s="1">
        <v>1</v>
      </c>
      <c r="J259" s="1">
        <v>0.28563087102621409</v>
      </c>
      <c r="K259" s="1">
        <v>0.51032325243076559</v>
      </c>
    </row>
    <row r="260" spans="4:11" ht="15" customHeight="1" x14ac:dyDescent="0.25">
      <c r="D260" t="s">
        <v>76</v>
      </c>
      <c r="E260" t="s">
        <v>12</v>
      </c>
      <c r="F260" t="s">
        <v>38</v>
      </c>
      <c r="G260" s="54" t="s">
        <v>179</v>
      </c>
      <c r="H260">
        <v>4</v>
      </c>
      <c r="I260" s="1">
        <v>3</v>
      </c>
      <c r="J260" s="1">
        <v>0.39202723543365892</v>
      </c>
      <c r="K260" s="1">
        <v>6.8015219407198035</v>
      </c>
    </row>
    <row r="261" spans="4:11" x14ac:dyDescent="0.25">
      <c r="D261" t="s">
        <v>76</v>
      </c>
      <c r="E261" t="s">
        <v>18</v>
      </c>
      <c r="F261" t="s">
        <v>4</v>
      </c>
      <c r="G261" s="54" t="s">
        <v>178</v>
      </c>
      <c r="H261">
        <v>4</v>
      </c>
      <c r="I261" s="1">
        <v>2</v>
      </c>
      <c r="J261" s="1">
        <v>0.25539579344399499</v>
      </c>
      <c r="K261" s="1">
        <v>3.0436438375329078</v>
      </c>
    </row>
    <row r="262" spans="4:11" ht="15" customHeight="1" x14ac:dyDescent="0.25">
      <c r="D262" t="s">
        <v>77</v>
      </c>
      <c r="E262" t="s">
        <v>32</v>
      </c>
      <c r="F262" t="s">
        <v>27</v>
      </c>
      <c r="G262" s="54" t="s">
        <v>178</v>
      </c>
      <c r="H262">
        <v>0</v>
      </c>
      <c r="I262" s="1">
        <v>-2</v>
      </c>
      <c r="J262" s="1">
        <v>-0.11907071931304358</v>
      </c>
      <c r="K262" s="1">
        <v>3.5378949589455511</v>
      </c>
    </row>
    <row r="263" spans="4:11" x14ac:dyDescent="0.25">
      <c r="D263" t="s">
        <v>77</v>
      </c>
      <c r="E263" t="s">
        <v>25</v>
      </c>
      <c r="F263" t="s">
        <v>23</v>
      </c>
      <c r="G263" s="54" t="s">
        <v>180</v>
      </c>
      <c r="H263">
        <v>4</v>
      </c>
      <c r="I263" s="1">
        <v>1</v>
      </c>
      <c r="J263" s="1">
        <v>0.35368969579675991</v>
      </c>
      <c r="K263" s="1">
        <v>0.41771700931928474</v>
      </c>
    </row>
    <row r="264" spans="4:11" ht="18" customHeight="1" x14ac:dyDescent="0.25">
      <c r="D264" t="s">
        <v>77</v>
      </c>
      <c r="E264" t="s">
        <v>229</v>
      </c>
      <c r="F264" t="s">
        <v>13</v>
      </c>
      <c r="G264" s="54" t="s">
        <v>182</v>
      </c>
      <c r="H264">
        <v>1</v>
      </c>
      <c r="I264" s="1">
        <v>-3</v>
      </c>
      <c r="J264" s="1">
        <v>2.7993699953299256E-2</v>
      </c>
      <c r="K264" s="1">
        <v>9.1687458469568703</v>
      </c>
    </row>
    <row r="265" spans="4:11" x14ac:dyDescent="0.25">
      <c r="D265" t="s">
        <v>77</v>
      </c>
      <c r="E265" t="s">
        <v>21</v>
      </c>
      <c r="F265" t="s">
        <v>20</v>
      </c>
      <c r="G265" s="54" t="s">
        <v>178</v>
      </c>
      <c r="H265">
        <v>6</v>
      </c>
      <c r="I265" s="1">
        <v>4</v>
      </c>
      <c r="J265" s="1">
        <v>0.69259708970812994</v>
      </c>
      <c r="K265" s="1">
        <v>10.938914011007132</v>
      </c>
    </row>
    <row r="266" spans="4:11" ht="15" customHeight="1" x14ac:dyDescent="0.25">
      <c r="D266" t="s">
        <v>77</v>
      </c>
      <c r="E266" t="s">
        <v>14</v>
      </c>
      <c r="F266" t="s">
        <v>10</v>
      </c>
      <c r="G266" s="54" t="s">
        <v>181</v>
      </c>
      <c r="H266">
        <v>2</v>
      </c>
      <c r="I266" s="1">
        <v>-4</v>
      </c>
      <c r="J266" s="1">
        <v>0.56460494719179621</v>
      </c>
      <c r="K266" s="1">
        <v>20.835618323927822</v>
      </c>
    </row>
    <row r="267" spans="4:11" x14ac:dyDescent="0.25">
      <c r="D267" t="s">
        <v>77</v>
      </c>
      <c r="E267" t="s">
        <v>176</v>
      </c>
      <c r="F267" t="s">
        <v>24</v>
      </c>
      <c r="G267" s="54" t="s">
        <v>178</v>
      </c>
      <c r="H267">
        <v>1</v>
      </c>
      <c r="I267" s="1">
        <v>-1</v>
      </c>
      <c r="J267" s="1">
        <v>0.4409472895213753</v>
      </c>
      <c r="K267" s="1">
        <v>2.076329091178998</v>
      </c>
    </row>
    <row r="268" spans="4:11" ht="15" customHeight="1" x14ac:dyDescent="0.25">
      <c r="D268" t="s">
        <v>78</v>
      </c>
      <c r="E268" t="s">
        <v>36</v>
      </c>
      <c r="F268" t="s">
        <v>37</v>
      </c>
      <c r="G268" s="54" t="s">
        <v>183</v>
      </c>
      <c r="H268">
        <v>1</v>
      </c>
      <c r="I268" s="1">
        <v>-4</v>
      </c>
      <c r="J268" s="1">
        <v>0.37171705864579963</v>
      </c>
      <c r="K268" s="1">
        <v>19.111910040854681</v>
      </c>
    </row>
    <row r="269" spans="4:11" x14ac:dyDescent="0.25">
      <c r="D269" t="s">
        <v>79</v>
      </c>
      <c r="E269" t="s">
        <v>38</v>
      </c>
      <c r="F269" t="s">
        <v>2</v>
      </c>
      <c r="G269" s="54" t="s">
        <v>177</v>
      </c>
      <c r="H269">
        <v>2</v>
      </c>
      <c r="I269" s="1">
        <v>2</v>
      </c>
      <c r="J269" s="1">
        <v>-0.33463623665704745</v>
      </c>
      <c r="K269" s="1">
        <v>5.4505263575121816</v>
      </c>
    </row>
    <row r="270" spans="4:11" ht="15" customHeight="1" x14ac:dyDescent="0.25">
      <c r="D270" t="s">
        <v>79</v>
      </c>
      <c r="E270" t="s">
        <v>36</v>
      </c>
      <c r="F270" t="s">
        <v>40</v>
      </c>
      <c r="G270" s="54" t="s">
        <v>178</v>
      </c>
      <c r="H270">
        <v>5</v>
      </c>
      <c r="I270" s="1">
        <v>3</v>
      </c>
      <c r="J270" s="1">
        <v>-5.8630945412616597E-2</v>
      </c>
      <c r="K270" s="1">
        <v>9.3552232602356771</v>
      </c>
    </row>
    <row r="271" spans="4:11" x14ac:dyDescent="0.25">
      <c r="D271" t="s">
        <v>79</v>
      </c>
      <c r="E271" t="s">
        <v>13</v>
      </c>
      <c r="F271" t="s">
        <v>7</v>
      </c>
      <c r="G271" s="54" t="s">
        <v>183</v>
      </c>
      <c r="H271">
        <v>0</v>
      </c>
      <c r="I271" s="1">
        <v>-5</v>
      </c>
      <c r="J271" s="1">
        <v>-5.8379706023501399E-2</v>
      </c>
      <c r="K271" s="1">
        <v>24.419611129840376</v>
      </c>
    </row>
    <row r="272" spans="4:11" ht="15" customHeight="1" x14ac:dyDescent="0.25">
      <c r="D272" t="s">
        <v>79</v>
      </c>
      <c r="E272" t="s">
        <v>32</v>
      </c>
      <c r="F272" t="s">
        <v>8</v>
      </c>
      <c r="G272" s="54" t="s">
        <v>179</v>
      </c>
      <c r="H272">
        <v>4</v>
      </c>
      <c r="I272" s="1">
        <v>3</v>
      </c>
      <c r="J272" s="1">
        <v>-1.0071958278187338</v>
      </c>
      <c r="K272" s="1">
        <v>16.057618402487869</v>
      </c>
    </row>
    <row r="273" spans="4:11" x14ac:dyDescent="0.25">
      <c r="D273" t="s">
        <v>79</v>
      </c>
      <c r="E273" t="s">
        <v>19</v>
      </c>
      <c r="F273" t="s">
        <v>0</v>
      </c>
      <c r="G273" s="54" t="s">
        <v>185</v>
      </c>
      <c r="H273">
        <v>2</v>
      </c>
      <c r="I273" s="1">
        <v>-7</v>
      </c>
      <c r="J273" s="1">
        <v>-0.68185660195487685</v>
      </c>
      <c r="K273" s="1">
        <v>39.918935998261176</v>
      </c>
    </row>
    <row r="274" spans="4:11" ht="15" customHeight="1" x14ac:dyDescent="0.25">
      <c r="D274" t="s">
        <v>79</v>
      </c>
      <c r="E274" t="s">
        <v>11</v>
      </c>
      <c r="F274" t="s">
        <v>229</v>
      </c>
      <c r="G274" s="54" t="s">
        <v>182</v>
      </c>
      <c r="H274">
        <v>0</v>
      </c>
      <c r="I274" s="1">
        <v>-4</v>
      </c>
      <c r="J274" s="1">
        <v>0.47826360428067005</v>
      </c>
      <c r="K274" s="1">
        <v>20.054844909424897</v>
      </c>
    </row>
    <row r="275" spans="4:11" x14ac:dyDescent="0.25">
      <c r="D275" t="s">
        <v>79</v>
      </c>
      <c r="E275" t="s">
        <v>35</v>
      </c>
      <c r="F275" t="s">
        <v>25</v>
      </c>
      <c r="G275" s="54" t="s">
        <v>179</v>
      </c>
      <c r="H275">
        <v>3</v>
      </c>
      <c r="I275" s="1">
        <v>2</v>
      </c>
      <c r="J275" s="1">
        <v>0.9328059016164616</v>
      </c>
      <c r="K275" s="1">
        <v>1.1389032436246533</v>
      </c>
    </row>
    <row r="276" spans="4:11" ht="18" customHeight="1" x14ac:dyDescent="0.25">
      <c r="D276" t="s">
        <v>79</v>
      </c>
      <c r="E276" t="s">
        <v>27</v>
      </c>
      <c r="F276" t="s">
        <v>21</v>
      </c>
      <c r="G276" s="54" t="s">
        <v>181</v>
      </c>
      <c r="H276">
        <v>4</v>
      </c>
      <c r="I276" s="1">
        <v>-2</v>
      </c>
      <c r="J276" s="1">
        <v>0.7479652019478209</v>
      </c>
      <c r="K276" s="1">
        <v>7.5513127511161278</v>
      </c>
    </row>
    <row r="277" spans="4:11" x14ac:dyDescent="0.25">
      <c r="D277" t="s">
        <v>79</v>
      </c>
      <c r="E277" t="s">
        <v>10</v>
      </c>
      <c r="F277" t="s">
        <v>4</v>
      </c>
      <c r="G277" s="54" t="s">
        <v>180</v>
      </c>
      <c r="H277">
        <v>4</v>
      </c>
      <c r="I277" s="1">
        <v>1</v>
      </c>
      <c r="J277" s="1">
        <v>0.40350574268718731</v>
      </c>
      <c r="K277" s="1">
        <v>0.35580539900716401</v>
      </c>
    </row>
    <row r="278" spans="4:11" ht="15" customHeight="1" x14ac:dyDescent="0.25">
      <c r="D278" t="s">
        <v>79</v>
      </c>
      <c r="E278" t="s">
        <v>12</v>
      </c>
      <c r="F278" t="s">
        <v>176</v>
      </c>
      <c r="G278" s="54" t="s">
        <v>178</v>
      </c>
      <c r="H278">
        <v>1</v>
      </c>
      <c r="I278" s="1">
        <v>-1</v>
      </c>
      <c r="J278" s="1">
        <v>-1.4033473066126021</v>
      </c>
      <c r="K278" s="1">
        <v>0.16268904975164045</v>
      </c>
    </row>
    <row r="279" spans="4:11" x14ac:dyDescent="0.25">
      <c r="D279" t="s">
        <v>79</v>
      </c>
      <c r="E279" t="s">
        <v>14</v>
      </c>
      <c r="F279" t="s">
        <v>33</v>
      </c>
      <c r="G279" s="54" t="s">
        <v>178</v>
      </c>
      <c r="H279">
        <v>5</v>
      </c>
      <c r="I279" s="1">
        <v>3</v>
      </c>
      <c r="J279" s="1">
        <v>0.6245036872251859</v>
      </c>
      <c r="K279" s="1">
        <v>5.6429827320067378</v>
      </c>
    </row>
    <row r="280" spans="4:11" ht="15" customHeight="1" x14ac:dyDescent="0.25">
      <c r="D280" t="s">
        <v>80</v>
      </c>
      <c r="E280" t="s">
        <v>1</v>
      </c>
      <c r="F280" t="s">
        <v>37</v>
      </c>
      <c r="G280" s="54" t="s">
        <v>177</v>
      </c>
      <c r="H280">
        <v>2</v>
      </c>
      <c r="I280" s="1">
        <v>2</v>
      </c>
      <c r="J280" s="1">
        <v>1.1683374221885856</v>
      </c>
      <c r="K280" s="1">
        <v>0.69166264333192695</v>
      </c>
    </row>
    <row r="281" spans="4:11" x14ac:dyDescent="0.25">
      <c r="D281" t="s">
        <v>80</v>
      </c>
      <c r="E281" t="s">
        <v>3</v>
      </c>
      <c r="F281" t="s">
        <v>24</v>
      </c>
      <c r="G281" s="54" t="s">
        <v>183</v>
      </c>
      <c r="H281">
        <v>4</v>
      </c>
      <c r="I281" s="1">
        <v>-1</v>
      </c>
      <c r="J281" s="1">
        <v>-0.96029518164344552</v>
      </c>
      <c r="K281" s="1">
        <v>1.5764726007269859E-3</v>
      </c>
    </row>
    <row r="282" spans="4:11" ht="18" customHeight="1" x14ac:dyDescent="0.25">
      <c r="D282" t="s">
        <v>81</v>
      </c>
      <c r="E282" t="s">
        <v>23</v>
      </c>
      <c r="F282" t="s">
        <v>1</v>
      </c>
      <c r="G282" s="54" t="s">
        <v>180</v>
      </c>
      <c r="H282">
        <v>2</v>
      </c>
      <c r="I282" s="1">
        <v>-1</v>
      </c>
      <c r="J282" s="1">
        <v>-0.37957992204547963</v>
      </c>
      <c r="K282" s="1">
        <v>0.38492107312909313</v>
      </c>
    </row>
    <row r="283" spans="4:11" x14ac:dyDescent="0.25">
      <c r="D283" t="s">
        <v>81</v>
      </c>
      <c r="E283" t="s">
        <v>36</v>
      </c>
      <c r="F283" t="s">
        <v>0</v>
      </c>
      <c r="G283" s="54" t="s">
        <v>178</v>
      </c>
      <c r="H283">
        <v>5</v>
      </c>
      <c r="I283" s="1">
        <v>3</v>
      </c>
      <c r="J283" s="1">
        <v>-0.92215537759479105</v>
      </c>
      <c r="K283" s="1">
        <v>15.383302805995738</v>
      </c>
    </row>
    <row r="284" spans="4:11" ht="15" customHeight="1" x14ac:dyDescent="0.25">
      <c r="D284" t="s">
        <v>81</v>
      </c>
      <c r="E284" t="s">
        <v>38</v>
      </c>
      <c r="F284" t="s">
        <v>229</v>
      </c>
      <c r="G284" s="54" t="s">
        <v>179</v>
      </c>
      <c r="H284">
        <v>4</v>
      </c>
      <c r="I284" s="1">
        <v>3</v>
      </c>
      <c r="J284" s="1">
        <v>1.0377691960869129E-2</v>
      </c>
      <c r="K284" s="1">
        <v>8.9378415447252202</v>
      </c>
    </row>
    <row r="285" spans="4:11" x14ac:dyDescent="0.25">
      <c r="D285" t="s">
        <v>81</v>
      </c>
      <c r="E285" t="s">
        <v>19</v>
      </c>
      <c r="F285" t="s">
        <v>18</v>
      </c>
      <c r="G285" s="54" t="s">
        <v>178</v>
      </c>
      <c r="H285">
        <v>3</v>
      </c>
      <c r="I285" s="1">
        <v>1</v>
      </c>
      <c r="J285" s="1">
        <v>0.16394981464654279</v>
      </c>
      <c r="K285" s="1">
        <v>0.69897991242955015</v>
      </c>
    </row>
    <row r="286" spans="4:11" ht="18" customHeight="1" x14ac:dyDescent="0.25">
      <c r="D286" t="s">
        <v>81</v>
      </c>
      <c r="E286" t="s">
        <v>13</v>
      </c>
      <c r="F286" t="s">
        <v>25</v>
      </c>
      <c r="G286" s="54" t="s">
        <v>182</v>
      </c>
      <c r="H286">
        <v>3</v>
      </c>
      <c r="I286" s="1">
        <v>-1</v>
      </c>
      <c r="J286" s="1">
        <v>0.38947151438757999</v>
      </c>
      <c r="K286" s="1">
        <v>1.9306310892945149</v>
      </c>
    </row>
    <row r="287" spans="4:11" x14ac:dyDescent="0.25">
      <c r="D287" t="s">
        <v>81</v>
      </c>
      <c r="E287" t="s">
        <v>176</v>
      </c>
      <c r="F287" t="s">
        <v>21</v>
      </c>
      <c r="G287" s="54" t="s">
        <v>179</v>
      </c>
      <c r="H287">
        <v>3</v>
      </c>
      <c r="I287" s="1">
        <v>2</v>
      </c>
      <c r="J287" s="1">
        <v>1.5126924210584178</v>
      </c>
      <c r="K287" s="1">
        <v>0.23746867649390632</v>
      </c>
    </row>
    <row r="288" spans="4:11" ht="15" customHeight="1" x14ac:dyDescent="0.25">
      <c r="D288" t="s">
        <v>81</v>
      </c>
      <c r="E288" t="s">
        <v>12</v>
      </c>
      <c r="F288" t="s">
        <v>22</v>
      </c>
      <c r="G288" s="54" t="s">
        <v>180</v>
      </c>
      <c r="H288">
        <v>2</v>
      </c>
      <c r="I288" s="1">
        <v>-1</v>
      </c>
      <c r="J288" s="1">
        <v>-0.23475474043193856</v>
      </c>
      <c r="K288" s="1">
        <v>0.58560030729138979</v>
      </c>
    </row>
    <row r="289" spans="4:11" x14ac:dyDescent="0.25">
      <c r="D289" t="s">
        <v>81</v>
      </c>
      <c r="E289" t="s">
        <v>20</v>
      </c>
      <c r="F289" t="s">
        <v>4</v>
      </c>
      <c r="G289" s="54" t="s">
        <v>182</v>
      </c>
      <c r="H289">
        <v>3</v>
      </c>
      <c r="I289" s="1">
        <v>-1</v>
      </c>
      <c r="J289" s="1">
        <v>-1.1497055185600402E-2</v>
      </c>
      <c r="K289" s="1">
        <v>0.97713807190673996</v>
      </c>
    </row>
    <row r="290" spans="4:11" ht="15" customHeight="1" x14ac:dyDescent="0.25">
      <c r="D290" t="s">
        <v>81</v>
      </c>
      <c r="E290" t="s">
        <v>10</v>
      </c>
      <c r="F290" t="s">
        <v>3</v>
      </c>
      <c r="G290" s="54" t="s">
        <v>182</v>
      </c>
      <c r="H290">
        <v>3</v>
      </c>
      <c r="I290" s="1">
        <v>-1</v>
      </c>
      <c r="J290" s="1">
        <v>0.34535723015487463</v>
      </c>
      <c r="K290" s="1">
        <v>1.8099860767299962</v>
      </c>
    </row>
    <row r="291" spans="4:11" x14ac:dyDescent="0.25">
      <c r="D291" t="s">
        <v>81</v>
      </c>
      <c r="E291" t="s">
        <v>27</v>
      </c>
      <c r="F291" t="s">
        <v>33</v>
      </c>
      <c r="G291" s="54" t="s">
        <v>178</v>
      </c>
      <c r="H291">
        <v>3</v>
      </c>
      <c r="I291" s="1">
        <v>1</v>
      </c>
      <c r="J291" s="1">
        <v>0.84065774318861486</v>
      </c>
      <c r="K291" s="1">
        <v>2.5389954805745414E-2</v>
      </c>
    </row>
    <row r="292" spans="4:11" ht="15" customHeight="1" x14ac:dyDescent="0.25">
      <c r="D292" t="s">
        <v>81</v>
      </c>
      <c r="E292" t="s">
        <v>14</v>
      </c>
      <c r="F292" t="s">
        <v>32</v>
      </c>
      <c r="G292" s="54" t="s">
        <v>180</v>
      </c>
      <c r="H292">
        <v>2</v>
      </c>
      <c r="I292" s="1">
        <v>-1</v>
      </c>
      <c r="J292" s="1">
        <v>0.39251764460549055</v>
      </c>
      <c r="K292" s="1">
        <v>1.9391053905376232</v>
      </c>
    </row>
    <row r="293" spans="4:11" x14ac:dyDescent="0.25">
      <c r="D293" t="s">
        <v>82</v>
      </c>
      <c r="E293" t="s">
        <v>40</v>
      </c>
      <c r="F293" t="s">
        <v>11</v>
      </c>
      <c r="G293" s="54" t="s">
        <v>183</v>
      </c>
      <c r="H293">
        <v>4</v>
      </c>
      <c r="I293" s="1">
        <v>-1</v>
      </c>
      <c r="J293" s="1">
        <v>0.10577542389256678</v>
      </c>
      <c r="K293" s="1">
        <v>1.2227392880847858</v>
      </c>
    </row>
    <row r="294" spans="4:11" ht="15" customHeight="1" x14ac:dyDescent="0.25">
      <c r="D294" t="s">
        <v>82</v>
      </c>
      <c r="E294" t="s">
        <v>2</v>
      </c>
      <c r="F294" t="s">
        <v>7</v>
      </c>
      <c r="G294" s="54" t="s">
        <v>182</v>
      </c>
      <c r="H294">
        <v>3</v>
      </c>
      <c r="I294" s="1">
        <v>-1</v>
      </c>
      <c r="J294" s="1">
        <v>6.9827431919776473E-2</v>
      </c>
      <c r="K294" s="1">
        <v>1.1445307340880639</v>
      </c>
    </row>
    <row r="295" spans="4:11" x14ac:dyDescent="0.25">
      <c r="D295" t="s">
        <v>82</v>
      </c>
      <c r="E295" t="s">
        <v>35</v>
      </c>
      <c r="F295" t="s">
        <v>24</v>
      </c>
      <c r="G295" s="54" t="s">
        <v>178</v>
      </c>
      <c r="H295">
        <v>0</v>
      </c>
      <c r="I295" s="1">
        <v>-2</v>
      </c>
      <c r="J295" s="1">
        <v>-0.35986327595429657</v>
      </c>
      <c r="K295" s="1">
        <v>2.6900484735633721</v>
      </c>
    </row>
    <row r="296" spans="4:11" ht="15" customHeight="1" x14ac:dyDescent="0.25">
      <c r="D296" t="s">
        <v>83</v>
      </c>
      <c r="E296" t="s">
        <v>38</v>
      </c>
      <c r="F296" t="s">
        <v>18</v>
      </c>
      <c r="G296" s="54" t="s">
        <v>180</v>
      </c>
      <c r="H296">
        <v>2</v>
      </c>
      <c r="I296" s="1">
        <v>-1</v>
      </c>
      <c r="J296" s="1">
        <v>-0.10177837053724659</v>
      </c>
      <c r="K296" s="1">
        <v>0.80680209563472394</v>
      </c>
    </row>
    <row r="297" spans="4:11" x14ac:dyDescent="0.25">
      <c r="D297" t="s">
        <v>83</v>
      </c>
      <c r="E297" t="s">
        <v>229</v>
      </c>
      <c r="F297" t="s">
        <v>2</v>
      </c>
      <c r="G297" s="54" t="s">
        <v>178</v>
      </c>
      <c r="H297">
        <v>0</v>
      </c>
      <c r="I297" s="1">
        <v>-2</v>
      </c>
      <c r="J297" s="1">
        <v>-0.10021343798997862</v>
      </c>
      <c r="K297" s="1">
        <v>3.6091889811938569</v>
      </c>
    </row>
    <row r="298" spans="4:11" ht="15" customHeight="1" x14ac:dyDescent="0.25">
      <c r="D298" t="s">
        <v>83</v>
      </c>
      <c r="E298" t="s">
        <v>13</v>
      </c>
      <c r="F298" t="s">
        <v>0</v>
      </c>
      <c r="G298" s="54" t="s">
        <v>179</v>
      </c>
      <c r="H298">
        <v>4</v>
      </c>
      <c r="I298" s="1">
        <v>3</v>
      </c>
      <c r="J298" s="1">
        <v>-0.49635519779695869</v>
      </c>
      <c r="K298" s="1">
        <v>12.22449966916181</v>
      </c>
    </row>
    <row r="299" spans="4:11" x14ac:dyDescent="0.25">
      <c r="D299" t="s">
        <v>83</v>
      </c>
      <c r="E299" t="s">
        <v>23</v>
      </c>
      <c r="F299" t="s">
        <v>36</v>
      </c>
      <c r="G299" s="54" t="s">
        <v>179</v>
      </c>
      <c r="H299">
        <v>2</v>
      </c>
      <c r="I299" s="1">
        <v>1</v>
      </c>
      <c r="J299" s="1">
        <v>0.41704044149730635</v>
      </c>
      <c r="K299" s="1">
        <v>0.33984184684965552</v>
      </c>
    </row>
    <row r="300" spans="4:11" ht="15" customHeight="1" x14ac:dyDescent="0.25">
      <c r="D300" t="s">
        <v>83</v>
      </c>
      <c r="E300" t="s">
        <v>11</v>
      </c>
      <c r="F300" t="s">
        <v>40</v>
      </c>
      <c r="G300" s="54" t="s">
        <v>179</v>
      </c>
      <c r="H300">
        <v>4</v>
      </c>
      <c r="I300" s="1">
        <v>3</v>
      </c>
      <c r="J300" s="1">
        <v>0.38382555736330914</v>
      </c>
      <c r="K300" s="1">
        <v>6.8443687143053999</v>
      </c>
    </row>
    <row r="301" spans="4:11" x14ac:dyDescent="0.25">
      <c r="D301" t="s">
        <v>83</v>
      </c>
      <c r="E301" t="s">
        <v>7</v>
      </c>
      <c r="F301" t="s">
        <v>1</v>
      </c>
      <c r="G301" s="54" t="s">
        <v>178</v>
      </c>
      <c r="H301">
        <v>4</v>
      </c>
      <c r="I301" s="1">
        <v>2</v>
      </c>
      <c r="J301" s="1">
        <v>0.1771605035344237</v>
      </c>
      <c r="K301" s="1">
        <v>3.3227438298748759</v>
      </c>
    </row>
    <row r="302" spans="4:11" x14ac:dyDescent="0.25">
      <c r="D302" t="s">
        <v>83</v>
      </c>
      <c r="E302" t="s">
        <v>8</v>
      </c>
      <c r="F302" t="s">
        <v>12</v>
      </c>
      <c r="G302" s="54" t="s">
        <v>178</v>
      </c>
      <c r="H302">
        <v>1</v>
      </c>
      <c r="I302" s="1">
        <v>-1</v>
      </c>
      <c r="J302" s="1">
        <v>2.0163461772635713</v>
      </c>
      <c r="K302" s="1">
        <v>9.09834426109256</v>
      </c>
    </row>
    <row r="303" spans="4:11" x14ac:dyDescent="0.25">
      <c r="D303" t="s">
        <v>83</v>
      </c>
      <c r="E303" t="s">
        <v>14</v>
      </c>
      <c r="F303" t="s">
        <v>19</v>
      </c>
      <c r="G303" s="54" t="s">
        <v>178</v>
      </c>
      <c r="H303">
        <v>3</v>
      </c>
      <c r="I303" s="1">
        <v>1</v>
      </c>
      <c r="J303" s="1">
        <v>0.7935655724163837</v>
      </c>
      <c r="K303" s="1">
        <v>4.261517289177532E-2</v>
      </c>
    </row>
    <row r="304" spans="4:11" ht="18" customHeight="1" x14ac:dyDescent="0.25">
      <c r="D304" t="s">
        <v>83</v>
      </c>
      <c r="E304" t="s">
        <v>33</v>
      </c>
      <c r="F304" t="s">
        <v>21</v>
      </c>
      <c r="G304" s="54" t="s">
        <v>182</v>
      </c>
      <c r="H304">
        <v>5</v>
      </c>
      <c r="I304" s="1">
        <v>1</v>
      </c>
      <c r="J304" s="1">
        <v>0.152107949387144</v>
      </c>
      <c r="K304" s="1">
        <v>0.71892092949247399</v>
      </c>
    </row>
    <row r="305" spans="4:11" x14ac:dyDescent="0.25">
      <c r="D305" t="s">
        <v>83</v>
      </c>
      <c r="E305" t="s">
        <v>27</v>
      </c>
      <c r="F305" t="s">
        <v>22</v>
      </c>
      <c r="G305" s="54" t="s">
        <v>180</v>
      </c>
      <c r="H305">
        <v>4</v>
      </c>
      <c r="I305" s="1">
        <v>1</v>
      </c>
      <c r="J305" s="1">
        <v>0.64866583769800457</v>
      </c>
      <c r="K305" s="1">
        <v>0.12343569360044487</v>
      </c>
    </row>
    <row r="306" spans="4:11" ht="18" customHeight="1" x14ac:dyDescent="0.25">
      <c r="D306" t="s">
        <v>83</v>
      </c>
      <c r="E306" t="s">
        <v>35</v>
      </c>
      <c r="F306" t="s">
        <v>4</v>
      </c>
      <c r="G306" s="54" t="s">
        <v>182</v>
      </c>
      <c r="H306">
        <v>5</v>
      </c>
      <c r="I306" s="1">
        <v>1</v>
      </c>
      <c r="J306" s="1">
        <v>0.90338090884939959</v>
      </c>
      <c r="K306" s="1">
        <v>9.3352487747680301E-3</v>
      </c>
    </row>
    <row r="307" spans="4:11" x14ac:dyDescent="0.25">
      <c r="D307" t="s">
        <v>83</v>
      </c>
      <c r="E307" t="s">
        <v>20</v>
      </c>
      <c r="F307" t="s">
        <v>24</v>
      </c>
      <c r="G307" s="54" t="s">
        <v>184</v>
      </c>
      <c r="H307">
        <v>1</v>
      </c>
      <c r="I307" s="1">
        <v>-6</v>
      </c>
      <c r="J307" s="1">
        <v>-1.2747412399892966</v>
      </c>
      <c r="K307" s="1">
        <v>22.328070349057892</v>
      </c>
    </row>
    <row r="308" spans="4:11" ht="15" customHeight="1" x14ac:dyDescent="0.25">
      <c r="D308" t="s">
        <v>83</v>
      </c>
      <c r="E308" t="s">
        <v>176</v>
      </c>
      <c r="F308" t="s">
        <v>32</v>
      </c>
      <c r="G308" s="54" t="s">
        <v>182</v>
      </c>
      <c r="H308">
        <v>3</v>
      </c>
      <c r="I308" s="1">
        <v>-1</v>
      </c>
      <c r="J308" s="1">
        <v>1.3733989196795164</v>
      </c>
      <c r="K308" s="1">
        <v>5.6330224319358955</v>
      </c>
    </row>
    <row r="309" spans="4:11" x14ac:dyDescent="0.25">
      <c r="D309" t="s">
        <v>84</v>
      </c>
      <c r="E309" t="s">
        <v>38</v>
      </c>
      <c r="F309" t="s">
        <v>25</v>
      </c>
      <c r="G309" s="54" t="s">
        <v>182</v>
      </c>
      <c r="H309">
        <v>2</v>
      </c>
      <c r="I309" s="1">
        <v>-2</v>
      </c>
      <c r="J309" s="1">
        <v>-6.1758074954127551E-2</v>
      </c>
      <c r="K309" s="1">
        <v>3.7567817600055293</v>
      </c>
    </row>
    <row r="310" spans="4:11" ht="15" customHeight="1" x14ac:dyDescent="0.25">
      <c r="D310" t="s">
        <v>84</v>
      </c>
      <c r="E310" t="s">
        <v>229</v>
      </c>
      <c r="F310" t="s">
        <v>37</v>
      </c>
      <c r="G310" s="54" t="s">
        <v>177</v>
      </c>
      <c r="H310">
        <v>5</v>
      </c>
      <c r="I310" s="1">
        <v>5</v>
      </c>
      <c r="J310" s="1">
        <v>0.58071044776899328</v>
      </c>
      <c r="K310" s="1">
        <v>19.530120146458131</v>
      </c>
    </row>
    <row r="311" spans="4:11" x14ac:dyDescent="0.25">
      <c r="D311" t="s">
        <v>84</v>
      </c>
      <c r="E311" t="s">
        <v>176</v>
      </c>
      <c r="F311" t="s">
        <v>10</v>
      </c>
      <c r="G311" s="54" t="s">
        <v>179</v>
      </c>
      <c r="H311">
        <v>2</v>
      </c>
      <c r="I311" s="1">
        <v>1</v>
      </c>
      <c r="J311" s="1">
        <v>1.5454862222658221</v>
      </c>
      <c r="K311" s="1">
        <v>0.29755521868183787</v>
      </c>
    </row>
    <row r="312" spans="4:11" ht="15" customHeight="1" x14ac:dyDescent="0.25">
      <c r="D312" t="s">
        <v>84</v>
      </c>
      <c r="E312" t="s">
        <v>20</v>
      </c>
      <c r="F312" t="s">
        <v>3</v>
      </c>
      <c r="G312" s="54" t="s">
        <v>179</v>
      </c>
      <c r="H312">
        <v>4</v>
      </c>
      <c r="I312" s="1">
        <v>3</v>
      </c>
      <c r="J312" s="1">
        <v>-6.9645567717913082E-2</v>
      </c>
      <c r="K312" s="1">
        <v>9.4227239114102286</v>
      </c>
    </row>
    <row r="313" spans="4:11" x14ac:dyDescent="0.25">
      <c r="D313" t="s">
        <v>85</v>
      </c>
      <c r="E313" t="s">
        <v>11</v>
      </c>
      <c r="F313" t="s">
        <v>2</v>
      </c>
      <c r="G313" s="54" t="s">
        <v>180</v>
      </c>
      <c r="H313">
        <v>2</v>
      </c>
      <c r="I313" s="1">
        <v>-1</v>
      </c>
      <c r="J313" s="1">
        <v>0.13324967566275348</v>
      </c>
      <c r="K313" s="1">
        <v>1.2842548273897358</v>
      </c>
    </row>
    <row r="314" spans="4:11" ht="15" customHeight="1" x14ac:dyDescent="0.25">
      <c r="D314" t="s">
        <v>85</v>
      </c>
      <c r="E314" t="s">
        <v>1</v>
      </c>
      <c r="F314" t="s">
        <v>40</v>
      </c>
      <c r="G314" s="54" t="s">
        <v>177</v>
      </c>
      <c r="H314">
        <v>1</v>
      </c>
      <c r="I314" s="1">
        <v>1</v>
      </c>
      <c r="J314" s="1">
        <v>0.73798941813016938</v>
      </c>
      <c r="K314" s="1">
        <v>6.8649545011767218E-2</v>
      </c>
    </row>
    <row r="315" spans="4:11" x14ac:dyDescent="0.25">
      <c r="D315" t="s">
        <v>85</v>
      </c>
      <c r="E315" t="s">
        <v>18</v>
      </c>
      <c r="F315" t="s">
        <v>13</v>
      </c>
      <c r="G315" s="54" t="s">
        <v>180</v>
      </c>
      <c r="H315">
        <v>4</v>
      </c>
      <c r="I315" s="1">
        <v>1</v>
      </c>
      <c r="J315" s="1">
        <v>0.14014976245141497</v>
      </c>
      <c r="K315" s="1">
        <v>0.73934243101235808</v>
      </c>
    </row>
    <row r="316" spans="4:11" ht="15" customHeight="1" x14ac:dyDescent="0.25">
      <c r="D316" t="s">
        <v>85</v>
      </c>
      <c r="E316" t="s">
        <v>23</v>
      </c>
      <c r="F316" t="s">
        <v>14</v>
      </c>
      <c r="G316" s="54" t="s">
        <v>182</v>
      </c>
      <c r="H316">
        <v>1</v>
      </c>
      <c r="I316" s="1">
        <v>-3</v>
      </c>
      <c r="J316" s="1">
        <v>-0.37202341593105359</v>
      </c>
      <c r="K316" s="1">
        <v>6.9062609264146886</v>
      </c>
    </row>
    <row r="317" spans="4:11" x14ac:dyDescent="0.25">
      <c r="D317" t="s">
        <v>86</v>
      </c>
      <c r="E317" t="s">
        <v>25</v>
      </c>
      <c r="F317" t="s">
        <v>7</v>
      </c>
      <c r="G317" s="54" t="s">
        <v>182</v>
      </c>
      <c r="H317">
        <v>2</v>
      </c>
      <c r="I317" s="1">
        <v>-2</v>
      </c>
      <c r="J317" s="1">
        <v>-0.20305072978314342</v>
      </c>
      <c r="K317" s="1">
        <v>3.2290266797328933</v>
      </c>
    </row>
    <row r="318" spans="4:11" ht="15" customHeight="1" x14ac:dyDescent="0.25">
      <c r="D318" t="s">
        <v>86</v>
      </c>
      <c r="E318" t="s">
        <v>18</v>
      </c>
      <c r="F318" t="s">
        <v>38</v>
      </c>
      <c r="G318" s="54" t="s">
        <v>180</v>
      </c>
      <c r="H318">
        <v>2</v>
      </c>
      <c r="I318" s="1">
        <v>-1</v>
      </c>
      <c r="J318" s="1">
        <v>0.59137935179312251</v>
      </c>
      <c r="K318" s="1">
        <v>2.5324882413134988</v>
      </c>
    </row>
    <row r="319" spans="4:11" x14ac:dyDescent="0.25">
      <c r="D319" t="s">
        <v>86</v>
      </c>
      <c r="E319" t="s">
        <v>33</v>
      </c>
      <c r="F319" t="s">
        <v>19</v>
      </c>
      <c r="G319" s="54" t="s">
        <v>180</v>
      </c>
      <c r="H319">
        <v>4</v>
      </c>
      <c r="I319" s="1">
        <v>1</v>
      </c>
      <c r="J319" s="1">
        <v>0.41386237581913576</v>
      </c>
      <c r="K319" s="1">
        <v>0.34355731448038807</v>
      </c>
    </row>
    <row r="320" spans="4:11" ht="15" customHeight="1" x14ac:dyDescent="0.25">
      <c r="D320" t="s">
        <v>86</v>
      </c>
      <c r="E320" t="s">
        <v>24</v>
      </c>
      <c r="F320" t="s">
        <v>21</v>
      </c>
      <c r="G320" s="54" t="s">
        <v>178</v>
      </c>
      <c r="H320">
        <v>3</v>
      </c>
      <c r="I320" s="1">
        <v>1</v>
      </c>
      <c r="J320" s="1">
        <v>1.3165456221649805</v>
      </c>
      <c r="K320" s="1">
        <v>0.1002011309118146</v>
      </c>
    </row>
    <row r="321" spans="4:11" x14ac:dyDescent="0.25">
      <c r="D321" t="s">
        <v>86</v>
      </c>
      <c r="E321" t="s">
        <v>22</v>
      </c>
      <c r="F321" t="s">
        <v>176</v>
      </c>
      <c r="G321" s="54" t="s">
        <v>182</v>
      </c>
      <c r="H321">
        <v>3</v>
      </c>
      <c r="I321" s="1">
        <v>-1</v>
      </c>
      <c r="J321" s="1">
        <v>-0.92379207555272558</v>
      </c>
      <c r="K321" s="1">
        <v>5.8076477485614862E-3</v>
      </c>
    </row>
    <row r="322" spans="4:11" ht="15" customHeight="1" x14ac:dyDescent="0.25">
      <c r="D322" t="s">
        <v>86</v>
      </c>
      <c r="E322" t="s">
        <v>35</v>
      </c>
      <c r="F322" t="s">
        <v>3</v>
      </c>
      <c r="G322" s="54" t="s">
        <v>177</v>
      </c>
      <c r="H322">
        <v>2</v>
      </c>
      <c r="I322" s="1">
        <v>2</v>
      </c>
      <c r="J322" s="1">
        <v>0.84523239631708691</v>
      </c>
      <c r="K322" s="1">
        <v>1.3334882185155774</v>
      </c>
    </row>
    <row r="323" spans="4:11" x14ac:dyDescent="0.25">
      <c r="D323" t="s">
        <v>86</v>
      </c>
      <c r="E323" t="s">
        <v>4</v>
      </c>
      <c r="F323" t="s">
        <v>10</v>
      </c>
      <c r="G323" s="54" t="s">
        <v>178</v>
      </c>
      <c r="H323">
        <v>3</v>
      </c>
      <c r="I323" s="1">
        <v>1</v>
      </c>
      <c r="J323" s="1">
        <v>8.6095238568688615E-2</v>
      </c>
      <c r="K323" s="1">
        <v>0.83522191296682213</v>
      </c>
    </row>
    <row r="324" spans="4:11" ht="15" customHeight="1" x14ac:dyDescent="0.25">
      <c r="D324" t="s">
        <v>87</v>
      </c>
      <c r="E324" t="s">
        <v>25</v>
      </c>
      <c r="F324" t="s">
        <v>8</v>
      </c>
      <c r="G324" s="54" t="s">
        <v>178</v>
      </c>
      <c r="H324">
        <v>1</v>
      </c>
      <c r="I324" s="1">
        <v>-1</v>
      </c>
      <c r="J324" s="1">
        <v>-1.3674133752313509</v>
      </c>
      <c r="K324" s="1">
        <v>0.13499258829889343</v>
      </c>
    </row>
    <row r="325" spans="4:11" x14ac:dyDescent="0.25">
      <c r="D325" t="s">
        <v>87</v>
      </c>
      <c r="E325" t="s">
        <v>12</v>
      </c>
      <c r="F325" t="s">
        <v>40</v>
      </c>
      <c r="G325" s="54" t="s">
        <v>178</v>
      </c>
      <c r="H325">
        <v>3</v>
      </c>
      <c r="I325" s="1">
        <v>1</v>
      </c>
      <c r="J325" s="1">
        <v>6.3166389849229176E-2</v>
      </c>
      <c r="K325" s="1">
        <v>0.8776572131081265</v>
      </c>
    </row>
    <row r="326" spans="4:11" ht="15" customHeight="1" x14ac:dyDescent="0.25">
      <c r="D326" t="s">
        <v>87</v>
      </c>
      <c r="E326" t="s">
        <v>1</v>
      </c>
      <c r="F326" t="s">
        <v>13</v>
      </c>
      <c r="G326" s="54" t="s">
        <v>178</v>
      </c>
      <c r="H326">
        <v>5</v>
      </c>
      <c r="I326" s="1">
        <v>3</v>
      </c>
      <c r="J326" s="1">
        <v>0.61562067437289159</v>
      </c>
      <c r="K326" s="1">
        <v>5.6852647684779845</v>
      </c>
    </row>
    <row r="327" spans="4:11" x14ac:dyDescent="0.25">
      <c r="D327" t="s">
        <v>87</v>
      </c>
      <c r="E327" t="s">
        <v>37</v>
      </c>
      <c r="F327" t="s">
        <v>36</v>
      </c>
      <c r="G327" s="54" t="s">
        <v>180</v>
      </c>
      <c r="H327">
        <v>4</v>
      </c>
      <c r="I327" s="1">
        <v>1</v>
      </c>
      <c r="J327" s="1">
        <v>0.1178839226100763</v>
      </c>
      <c r="K327" s="1">
        <v>0.77812877398978586</v>
      </c>
    </row>
    <row r="328" spans="4:11" ht="18" customHeight="1" x14ac:dyDescent="0.25">
      <c r="D328" t="s">
        <v>87</v>
      </c>
      <c r="E328" t="s">
        <v>27</v>
      </c>
      <c r="F328" t="s">
        <v>14</v>
      </c>
      <c r="G328" s="54" t="s">
        <v>177</v>
      </c>
      <c r="H328">
        <v>1</v>
      </c>
      <c r="I328" s="1">
        <v>1</v>
      </c>
      <c r="J328" s="1">
        <v>0.46095454659136692</v>
      </c>
      <c r="K328" s="1">
        <v>0.29057000084051882</v>
      </c>
    </row>
    <row r="329" spans="4:11" x14ac:dyDescent="0.25">
      <c r="D329" t="s">
        <v>87</v>
      </c>
      <c r="E329" t="s">
        <v>0</v>
      </c>
      <c r="F329" t="s">
        <v>11</v>
      </c>
      <c r="G329" s="54" t="s">
        <v>180</v>
      </c>
      <c r="H329">
        <v>4</v>
      </c>
      <c r="I329" s="1">
        <v>1</v>
      </c>
      <c r="J329" s="1">
        <v>0.96929985607474123</v>
      </c>
      <c r="K329" s="1">
        <v>9.4249883703160305E-4</v>
      </c>
    </row>
    <row r="330" spans="4:11" ht="15" customHeight="1" x14ac:dyDescent="0.25">
      <c r="D330" t="s">
        <v>87</v>
      </c>
      <c r="E330" t="s">
        <v>33</v>
      </c>
      <c r="F330" t="s">
        <v>23</v>
      </c>
      <c r="G330" s="54" t="s">
        <v>182</v>
      </c>
      <c r="H330">
        <v>0</v>
      </c>
      <c r="I330" s="1">
        <v>-4</v>
      </c>
      <c r="J330" s="1">
        <v>0.48192120058968158</v>
      </c>
      <c r="K330" s="1">
        <v>20.087617648295254</v>
      </c>
    </row>
    <row r="331" spans="4:11" x14ac:dyDescent="0.25">
      <c r="D331" t="s">
        <v>87</v>
      </c>
      <c r="E331" t="s">
        <v>20</v>
      </c>
      <c r="F331" t="s">
        <v>22</v>
      </c>
      <c r="G331" s="54" t="s">
        <v>180</v>
      </c>
      <c r="H331">
        <v>2</v>
      </c>
      <c r="I331" s="1">
        <v>-1</v>
      </c>
      <c r="J331" s="1">
        <v>-0.30229547270207036</v>
      </c>
      <c r="K331" s="1">
        <v>0.48679160741202743</v>
      </c>
    </row>
    <row r="332" spans="4:11" ht="15" customHeight="1" x14ac:dyDescent="0.25">
      <c r="D332" t="s">
        <v>87</v>
      </c>
      <c r="E332" t="s">
        <v>4</v>
      </c>
      <c r="F332" t="s">
        <v>32</v>
      </c>
      <c r="G332" s="54" t="s">
        <v>178</v>
      </c>
      <c r="H332">
        <v>0</v>
      </c>
      <c r="I332" s="1">
        <v>-2</v>
      </c>
      <c r="J332" s="1">
        <v>-8.5992064017617054E-2</v>
      </c>
      <c r="K332" s="1">
        <v>3.6634263790035417</v>
      </c>
    </row>
    <row r="333" spans="4:11" x14ac:dyDescent="0.25">
      <c r="D333" t="s">
        <v>88</v>
      </c>
      <c r="E333" t="s">
        <v>24</v>
      </c>
      <c r="F333" t="s">
        <v>19</v>
      </c>
      <c r="G333" s="54" t="s">
        <v>177</v>
      </c>
      <c r="H333">
        <v>1</v>
      </c>
      <c r="I333" s="1">
        <v>1</v>
      </c>
      <c r="J333" s="1">
        <v>1.5783000485969723</v>
      </c>
      <c r="K333" s="1">
        <v>0.33443094620726049</v>
      </c>
    </row>
    <row r="334" spans="4:11" ht="15" customHeight="1" x14ac:dyDescent="0.25">
      <c r="D334" t="s">
        <v>89</v>
      </c>
      <c r="E334" t="s">
        <v>37</v>
      </c>
      <c r="F334" t="s">
        <v>1</v>
      </c>
      <c r="G334" s="54" t="s">
        <v>180</v>
      </c>
      <c r="H334">
        <v>0</v>
      </c>
      <c r="I334" s="1">
        <v>-3</v>
      </c>
      <c r="J334" s="1">
        <v>-0.67873644093270968</v>
      </c>
      <c r="K334" s="1">
        <v>5.3882645106537437</v>
      </c>
    </row>
    <row r="335" spans="4:11" x14ac:dyDescent="0.25">
      <c r="D335" t="s">
        <v>89</v>
      </c>
      <c r="E335" t="s">
        <v>20</v>
      </c>
      <c r="F335" t="s">
        <v>10</v>
      </c>
      <c r="G335" s="54" t="s">
        <v>182</v>
      </c>
      <c r="H335">
        <v>1</v>
      </c>
      <c r="I335" s="1">
        <v>-3</v>
      </c>
      <c r="J335" s="1">
        <v>-0.17020230724484975</v>
      </c>
      <c r="K335" s="1">
        <v>8.0077549819223712</v>
      </c>
    </row>
    <row r="336" spans="4:11" ht="15" customHeight="1" x14ac:dyDescent="0.25">
      <c r="D336" t="s">
        <v>89</v>
      </c>
      <c r="E336" t="s">
        <v>40</v>
      </c>
      <c r="F336" t="s">
        <v>12</v>
      </c>
      <c r="G336" s="54" t="s">
        <v>178</v>
      </c>
      <c r="H336">
        <v>5</v>
      </c>
      <c r="I336" s="1">
        <v>3</v>
      </c>
      <c r="J336" s="1">
        <v>0.42643459140664675</v>
      </c>
      <c r="K336" s="1">
        <v>6.6232389123082731</v>
      </c>
    </row>
    <row r="337" spans="4:11" x14ac:dyDescent="0.25">
      <c r="D337" t="s">
        <v>89</v>
      </c>
      <c r="E337" t="s">
        <v>25</v>
      </c>
      <c r="F337" t="s">
        <v>2</v>
      </c>
      <c r="G337" s="54" t="s">
        <v>179</v>
      </c>
      <c r="H337">
        <v>2</v>
      </c>
      <c r="I337" s="1">
        <v>1</v>
      </c>
      <c r="J337" s="1">
        <v>-2.8077671074981936E-2</v>
      </c>
      <c r="K337" s="1">
        <v>1.0569436977629587</v>
      </c>
    </row>
    <row r="338" spans="4:11" ht="18" customHeight="1" x14ac:dyDescent="0.25">
      <c r="D338" t="s">
        <v>89</v>
      </c>
      <c r="E338" t="s">
        <v>229</v>
      </c>
      <c r="F338" t="s">
        <v>8</v>
      </c>
      <c r="G338" s="54" t="s">
        <v>179</v>
      </c>
      <c r="H338">
        <v>2</v>
      </c>
      <c r="I338" s="1">
        <v>1</v>
      </c>
      <c r="J338" s="1">
        <v>-1.4395491421463475</v>
      </c>
      <c r="K338" s="1">
        <v>5.9514000169469803</v>
      </c>
    </row>
    <row r="339" spans="4:11" x14ac:dyDescent="0.25">
      <c r="D339" t="s">
        <v>89</v>
      </c>
      <c r="E339" t="s">
        <v>13</v>
      </c>
      <c r="F339" t="s">
        <v>35</v>
      </c>
      <c r="G339" s="54" t="s">
        <v>183</v>
      </c>
      <c r="H339">
        <v>4</v>
      </c>
      <c r="I339" s="1">
        <v>-1</v>
      </c>
      <c r="J339" s="1">
        <v>-0.29853389660094365</v>
      </c>
      <c r="K339" s="1">
        <v>0.49205469421785564</v>
      </c>
    </row>
    <row r="340" spans="4:11" ht="15" customHeight="1" x14ac:dyDescent="0.25">
      <c r="D340" t="s">
        <v>89</v>
      </c>
      <c r="E340" t="s">
        <v>27</v>
      </c>
      <c r="F340" t="s">
        <v>11</v>
      </c>
      <c r="G340" s="54" t="s">
        <v>182</v>
      </c>
      <c r="H340">
        <v>2</v>
      </c>
      <c r="I340" s="1">
        <v>-2</v>
      </c>
      <c r="J340" s="1">
        <v>0.80756190124380112</v>
      </c>
      <c r="K340" s="1">
        <v>7.8824038293157068</v>
      </c>
    </row>
    <row r="341" spans="4:11" x14ac:dyDescent="0.25">
      <c r="D341" t="s">
        <v>89</v>
      </c>
      <c r="E341" t="s">
        <v>3</v>
      </c>
      <c r="F341" t="s">
        <v>7</v>
      </c>
      <c r="G341" s="54" t="s">
        <v>183</v>
      </c>
      <c r="H341">
        <v>0</v>
      </c>
      <c r="I341" s="1">
        <v>-5</v>
      </c>
      <c r="J341" s="1">
        <v>-0.11547722448376874</v>
      </c>
      <c r="K341" s="1">
        <v>23.858562744536787</v>
      </c>
    </row>
    <row r="342" spans="4:11" ht="15" customHeight="1" x14ac:dyDescent="0.25">
      <c r="D342" t="s">
        <v>89</v>
      </c>
      <c r="E342" t="s">
        <v>18</v>
      </c>
      <c r="F342" t="s">
        <v>14</v>
      </c>
      <c r="G342" s="54" t="s">
        <v>178</v>
      </c>
      <c r="H342">
        <v>3</v>
      </c>
      <c r="I342" s="1">
        <v>1</v>
      </c>
      <c r="J342" s="1">
        <v>-0.22311391517911261</v>
      </c>
      <c r="K342" s="1">
        <v>1.4960076495047774</v>
      </c>
    </row>
    <row r="343" spans="4:11" x14ac:dyDescent="0.25">
      <c r="D343" t="s">
        <v>89</v>
      </c>
      <c r="E343" t="s">
        <v>24</v>
      </c>
      <c r="F343" t="s">
        <v>38</v>
      </c>
      <c r="G343" s="54" t="s">
        <v>180</v>
      </c>
      <c r="H343">
        <v>4</v>
      </c>
      <c r="I343" s="1">
        <v>1</v>
      </c>
      <c r="J343" s="1">
        <v>1.8440282337807616</v>
      </c>
      <c r="K343" s="1">
        <v>0.712383659419072</v>
      </c>
    </row>
    <row r="344" spans="4:11" ht="18" customHeight="1" x14ac:dyDescent="0.25">
      <c r="D344" t="s">
        <v>89</v>
      </c>
      <c r="E344" t="s">
        <v>23</v>
      </c>
      <c r="F344" t="s">
        <v>21</v>
      </c>
      <c r="G344" s="54" t="s">
        <v>183</v>
      </c>
      <c r="H344">
        <v>4</v>
      </c>
      <c r="I344" s="1">
        <v>-1</v>
      </c>
      <c r="J344" s="1">
        <v>-8.5012760574599611E-2</v>
      </c>
      <c r="K344" s="1">
        <v>0.83720164831131494</v>
      </c>
    </row>
    <row r="345" spans="4:11" x14ac:dyDescent="0.25">
      <c r="D345" t="s">
        <v>90</v>
      </c>
      <c r="E345" t="s">
        <v>1</v>
      </c>
      <c r="F345" t="s">
        <v>37</v>
      </c>
      <c r="G345" s="54" t="s">
        <v>178</v>
      </c>
      <c r="H345">
        <v>5</v>
      </c>
      <c r="I345" s="1">
        <v>3</v>
      </c>
      <c r="J345" s="1">
        <v>1.1683374221885856</v>
      </c>
      <c r="K345" s="1">
        <v>3.3549877989547556</v>
      </c>
    </row>
    <row r="346" spans="4:11" ht="15" customHeight="1" x14ac:dyDescent="0.25">
      <c r="D346" t="s">
        <v>90</v>
      </c>
      <c r="E346" t="s">
        <v>12</v>
      </c>
      <c r="F346" t="s">
        <v>0</v>
      </c>
      <c r="G346" s="54" t="s">
        <v>178</v>
      </c>
      <c r="H346">
        <v>6</v>
      </c>
      <c r="I346" s="1">
        <v>4</v>
      </c>
      <c r="J346" s="1">
        <v>-0.80035804233294527</v>
      </c>
      <c r="K346" s="1">
        <v>23.043437334590585</v>
      </c>
    </row>
    <row r="347" spans="4:11" x14ac:dyDescent="0.25">
      <c r="D347" t="s">
        <v>90</v>
      </c>
      <c r="E347" t="s">
        <v>8</v>
      </c>
      <c r="F347" t="s">
        <v>229</v>
      </c>
      <c r="G347" s="54" t="s">
        <v>182</v>
      </c>
      <c r="H347">
        <v>3</v>
      </c>
      <c r="I347" s="1">
        <v>-1</v>
      </c>
      <c r="J347" s="1">
        <v>1.9291501234022235</v>
      </c>
      <c r="K347" s="1">
        <v>8.5799204454272608</v>
      </c>
    </row>
    <row r="348" spans="4:11" ht="15" customHeight="1" x14ac:dyDescent="0.25">
      <c r="D348" t="s">
        <v>90</v>
      </c>
      <c r="E348" t="s">
        <v>18</v>
      </c>
      <c r="F348" t="s">
        <v>36</v>
      </c>
      <c r="G348" s="54" t="s">
        <v>179</v>
      </c>
      <c r="H348">
        <v>4</v>
      </c>
      <c r="I348" s="1">
        <v>3</v>
      </c>
      <c r="J348" s="1">
        <v>0.56594994224924733</v>
      </c>
      <c r="K348" s="1">
        <v>5.9245996836364423</v>
      </c>
    </row>
    <row r="349" spans="4:11" x14ac:dyDescent="0.25">
      <c r="D349" t="s">
        <v>90</v>
      </c>
      <c r="E349" t="s">
        <v>35</v>
      </c>
      <c r="F349" t="s">
        <v>40</v>
      </c>
      <c r="G349" s="54" t="s">
        <v>179</v>
      </c>
      <c r="H349">
        <v>3</v>
      </c>
      <c r="I349" s="1">
        <v>2</v>
      </c>
      <c r="J349" s="1">
        <v>0.91050362161409737</v>
      </c>
      <c r="K349" s="1">
        <v>1.1870023585159979</v>
      </c>
    </row>
    <row r="350" spans="4:11" ht="15" customHeight="1" x14ac:dyDescent="0.25">
      <c r="D350" t="s">
        <v>90</v>
      </c>
      <c r="E350" t="s">
        <v>11</v>
      </c>
      <c r="F350" t="s">
        <v>27</v>
      </c>
      <c r="G350" s="54" t="s">
        <v>180</v>
      </c>
      <c r="H350">
        <v>2</v>
      </c>
      <c r="I350" s="1">
        <v>-1</v>
      </c>
      <c r="J350" s="1">
        <v>-0.31796091998792519</v>
      </c>
      <c r="K350" s="1">
        <v>0.46517730666371737</v>
      </c>
    </row>
    <row r="351" spans="4:11" x14ac:dyDescent="0.25">
      <c r="D351" t="s">
        <v>90</v>
      </c>
      <c r="E351" t="s">
        <v>7</v>
      </c>
      <c r="F351" t="s">
        <v>19</v>
      </c>
      <c r="G351" s="54" t="s">
        <v>179</v>
      </c>
      <c r="H351">
        <v>2</v>
      </c>
      <c r="I351" s="1">
        <v>1</v>
      </c>
      <c r="J351" s="1">
        <v>0.73348209143729548</v>
      </c>
      <c r="K351" s="1">
        <v>7.1031795584638124E-2</v>
      </c>
    </row>
    <row r="352" spans="4:11" ht="15" customHeight="1" x14ac:dyDescent="0.25">
      <c r="D352" t="s">
        <v>90</v>
      </c>
      <c r="E352" t="s">
        <v>38</v>
      </c>
      <c r="F352" t="s">
        <v>23</v>
      </c>
      <c r="G352" s="54" t="s">
        <v>180</v>
      </c>
      <c r="H352">
        <v>2</v>
      </c>
      <c r="I352" s="1">
        <v>-1</v>
      </c>
      <c r="J352" s="1">
        <v>4.7131130214694394E-2</v>
      </c>
      <c r="K352" s="1">
        <v>1.0964836038647032</v>
      </c>
    </row>
    <row r="353" spans="4:11" x14ac:dyDescent="0.25">
      <c r="D353" t="s">
        <v>90</v>
      </c>
      <c r="E353" t="s">
        <v>21</v>
      </c>
      <c r="F353" t="s">
        <v>22</v>
      </c>
      <c r="G353" s="54" t="s">
        <v>178</v>
      </c>
      <c r="H353">
        <v>5</v>
      </c>
      <c r="I353" s="1">
        <v>3</v>
      </c>
      <c r="J353" s="1">
        <v>0.14550112637812163</v>
      </c>
      <c r="K353" s="1">
        <v>8.1481638195085715</v>
      </c>
    </row>
    <row r="354" spans="4:11" ht="15" customHeight="1" x14ac:dyDescent="0.25">
      <c r="D354" t="s">
        <v>90</v>
      </c>
      <c r="E354" t="s">
        <v>4</v>
      </c>
      <c r="F354" t="s">
        <v>176</v>
      </c>
      <c r="G354" s="54" t="s">
        <v>180</v>
      </c>
      <c r="H354">
        <v>0</v>
      </c>
      <c r="I354" s="1">
        <v>-3</v>
      </c>
      <c r="J354" s="1">
        <v>-1.2145904930691955</v>
      </c>
      <c r="K354" s="1">
        <v>3.1876871074388982</v>
      </c>
    </row>
    <row r="355" spans="4:11" x14ac:dyDescent="0.25">
      <c r="D355" t="s">
        <v>90</v>
      </c>
      <c r="E355" t="s">
        <v>20</v>
      </c>
      <c r="F355" t="s">
        <v>33</v>
      </c>
      <c r="G355" s="54" t="s">
        <v>182</v>
      </c>
      <c r="H355">
        <v>1</v>
      </c>
      <c r="I355" s="1">
        <v>-3</v>
      </c>
      <c r="J355" s="1">
        <v>-0.11030356721146006</v>
      </c>
      <c r="K355" s="1">
        <v>8.3503454736708136</v>
      </c>
    </row>
    <row r="356" spans="4:11" ht="18" customHeight="1" x14ac:dyDescent="0.25">
      <c r="D356" t="s">
        <v>90</v>
      </c>
      <c r="E356" t="s">
        <v>10</v>
      </c>
      <c r="F356" t="s">
        <v>32</v>
      </c>
      <c r="G356" s="54" t="s">
        <v>182</v>
      </c>
      <c r="H356">
        <v>6</v>
      </c>
      <c r="I356" s="1">
        <v>2</v>
      </c>
      <c r="J356" s="1">
        <v>7.2713188041632293E-2</v>
      </c>
      <c r="K356" s="1">
        <v>3.7144344555486488</v>
      </c>
    </row>
    <row r="357" spans="4:11" x14ac:dyDescent="0.25">
      <c r="D357" t="s">
        <v>91</v>
      </c>
      <c r="E357" t="s">
        <v>3</v>
      </c>
      <c r="F357" t="s">
        <v>13</v>
      </c>
      <c r="G357" s="54" t="s">
        <v>180</v>
      </c>
      <c r="H357">
        <v>5</v>
      </c>
      <c r="I357" s="1">
        <v>2</v>
      </c>
      <c r="J357" s="1">
        <v>0.18770297216767062</v>
      </c>
      <c r="K357" s="1">
        <v>3.2844205170898948</v>
      </c>
    </row>
    <row r="358" spans="4:11" ht="15" customHeight="1" x14ac:dyDescent="0.25">
      <c r="D358" t="s">
        <v>92</v>
      </c>
      <c r="E358" t="s">
        <v>36</v>
      </c>
      <c r="F358" t="s">
        <v>37</v>
      </c>
      <c r="G358" s="54" t="s">
        <v>181</v>
      </c>
      <c r="H358">
        <v>3</v>
      </c>
      <c r="I358" s="1">
        <v>-3</v>
      </c>
      <c r="J358" s="1">
        <v>0.37171705864579963</v>
      </c>
      <c r="K358" s="1">
        <v>11.368475923563082</v>
      </c>
    </row>
    <row r="359" spans="4:11" x14ac:dyDescent="0.25">
      <c r="D359" t="s">
        <v>92</v>
      </c>
      <c r="E359" t="s">
        <v>14</v>
      </c>
      <c r="F359" t="s">
        <v>7</v>
      </c>
      <c r="G359" s="54" t="s">
        <v>179</v>
      </c>
      <c r="H359">
        <v>2</v>
      </c>
      <c r="I359" s="1">
        <v>1</v>
      </c>
      <c r="J359" s="1">
        <v>0.30488397160702618</v>
      </c>
      <c r="K359" s="1">
        <v>0.48318629292882159</v>
      </c>
    </row>
    <row r="360" spans="4:11" ht="15" customHeight="1" x14ac:dyDescent="0.25">
      <c r="D360" t="s">
        <v>92</v>
      </c>
      <c r="E360" t="s">
        <v>229</v>
      </c>
      <c r="F360" t="s">
        <v>22</v>
      </c>
      <c r="G360" s="54" t="s">
        <v>182</v>
      </c>
      <c r="H360">
        <v>3</v>
      </c>
      <c r="I360" s="1">
        <v>-1</v>
      </c>
      <c r="J360" s="1">
        <v>-0.14755868657059068</v>
      </c>
      <c r="K360" s="1">
        <v>0.72665619284125649</v>
      </c>
    </row>
    <row r="361" spans="4:11" x14ac:dyDescent="0.25">
      <c r="D361" t="s">
        <v>92</v>
      </c>
      <c r="E361" t="s">
        <v>176</v>
      </c>
      <c r="F361" t="s">
        <v>24</v>
      </c>
      <c r="G361" s="54" t="s">
        <v>183</v>
      </c>
      <c r="H361">
        <v>2</v>
      </c>
      <c r="I361" s="1">
        <v>-3</v>
      </c>
      <c r="J361" s="1">
        <v>0.4409472895213753</v>
      </c>
      <c r="K361" s="1">
        <v>11.840118249264499</v>
      </c>
    </row>
    <row r="362" spans="4:11" ht="15" customHeight="1" x14ac:dyDescent="0.25">
      <c r="D362" t="s">
        <v>92</v>
      </c>
      <c r="E362" t="s">
        <v>2</v>
      </c>
      <c r="F362" t="s">
        <v>10</v>
      </c>
      <c r="G362" s="54" t="s">
        <v>178</v>
      </c>
      <c r="H362">
        <v>3</v>
      </c>
      <c r="I362" s="1">
        <v>1</v>
      </c>
      <c r="J362" s="1">
        <v>0.3295484075045465</v>
      </c>
      <c r="K362" s="1">
        <v>0.44950533787968966</v>
      </c>
    </row>
    <row r="363" spans="4:11" x14ac:dyDescent="0.25">
      <c r="D363" t="s">
        <v>93</v>
      </c>
      <c r="E363" t="s">
        <v>18</v>
      </c>
      <c r="F363" t="s">
        <v>40</v>
      </c>
      <c r="G363" s="54" t="s">
        <v>178</v>
      </c>
      <c r="H363">
        <v>3</v>
      </c>
      <c r="I363" s="1">
        <v>1</v>
      </c>
      <c r="J363" s="1">
        <v>0.26251850620869277</v>
      </c>
      <c r="K363" s="1">
        <v>0.54387895368465788</v>
      </c>
    </row>
    <row r="364" spans="4:11" ht="15" customHeight="1" x14ac:dyDescent="0.25">
      <c r="D364" t="s">
        <v>93</v>
      </c>
      <c r="E364" t="s">
        <v>35</v>
      </c>
      <c r="F364" t="s">
        <v>11</v>
      </c>
      <c r="G364" s="54" t="s">
        <v>177</v>
      </c>
      <c r="H364">
        <v>1</v>
      </c>
      <c r="I364" s="1">
        <v>1</v>
      </c>
      <c r="J364" s="1">
        <v>0.77147855487872619</v>
      </c>
      <c r="K364" s="1">
        <v>5.2222050880315361E-2</v>
      </c>
    </row>
    <row r="365" spans="4:11" x14ac:dyDescent="0.25">
      <c r="D365" t="s">
        <v>93</v>
      </c>
      <c r="E365" t="s">
        <v>3</v>
      </c>
      <c r="F365" t="s">
        <v>12</v>
      </c>
      <c r="G365" s="54" t="s">
        <v>182</v>
      </c>
      <c r="H365">
        <v>3</v>
      </c>
      <c r="I365" s="1">
        <v>-1</v>
      </c>
      <c r="J365" s="1">
        <v>0.49170581670365721</v>
      </c>
      <c r="K365" s="1">
        <v>2.2251862435875251</v>
      </c>
    </row>
    <row r="366" spans="4:11" ht="15" customHeight="1" x14ac:dyDescent="0.25">
      <c r="D366" t="s">
        <v>93</v>
      </c>
      <c r="E366" t="s">
        <v>19</v>
      </c>
      <c r="F366" t="s">
        <v>27</v>
      </c>
      <c r="G366" s="54" t="s">
        <v>179</v>
      </c>
      <c r="H366">
        <v>2</v>
      </c>
      <c r="I366" s="1">
        <v>1</v>
      </c>
      <c r="J366" s="1">
        <v>-0.52011864712393674</v>
      </c>
      <c r="K366" s="1">
        <v>2.3107607013339075</v>
      </c>
    </row>
    <row r="367" spans="4:11" x14ac:dyDescent="0.25">
      <c r="D367" t="s">
        <v>93</v>
      </c>
      <c r="E367" t="s">
        <v>36</v>
      </c>
      <c r="F367" t="s">
        <v>8</v>
      </c>
      <c r="G367" s="54" t="s">
        <v>179</v>
      </c>
      <c r="H367">
        <v>2</v>
      </c>
      <c r="I367" s="1">
        <v>1</v>
      </c>
      <c r="J367" s="1">
        <v>-1.6485425312695412</v>
      </c>
      <c r="K367" s="1">
        <v>7.0147775399436689</v>
      </c>
    </row>
    <row r="368" spans="4:11" ht="18" customHeight="1" x14ac:dyDescent="0.25">
      <c r="D368" t="s">
        <v>93</v>
      </c>
      <c r="E368" t="s">
        <v>21</v>
      </c>
      <c r="F368" t="s">
        <v>0</v>
      </c>
      <c r="G368" s="54" t="s">
        <v>180</v>
      </c>
      <c r="H368">
        <v>5</v>
      </c>
      <c r="I368" s="1">
        <v>2</v>
      </c>
      <c r="J368" s="1">
        <v>-0.42010217552288509</v>
      </c>
      <c r="K368" s="1">
        <v>5.8568945399706012</v>
      </c>
    </row>
    <row r="369" spans="4:11" x14ac:dyDescent="0.25">
      <c r="D369" t="s">
        <v>93</v>
      </c>
      <c r="E369" t="s">
        <v>14</v>
      </c>
      <c r="F369" t="s">
        <v>13</v>
      </c>
      <c r="G369" s="54" t="s">
        <v>182</v>
      </c>
      <c r="H369">
        <v>3</v>
      </c>
      <c r="I369" s="1">
        <v>-1</v>
      </c>
      <c r="J369" s="1">
        <v>0.60806416825846554</v>
      </c>
      <c r="K369" s="1">
        <v>2.5858703692367904</v>
      </c>
    </row>
    <row r="370" spans="4:11" ht="15" customHeight="1" x14ac:dyDescent="0.25">
      <c r="D370" t="s">
        <v>93</v>
      </c>
      <c r="E370" t="s">
        <v>176</v>
      </c>
      <c r="F370" t="s">
        <v>4</v>
      </c>
      <c r="G370" s="54" t="s">
        <v>178</v>
      </c>
      <c r="H370">
        <v>5</v>
      </c>
      <c r="I370" s="1">
        <v>3</v>
      </c>
      <c r="J370" s="1">
        <v>1.7041914743250715</v>
      </c>
      <c r="K370" s="1">
        <v>1.6791197352118319</v>
      </c>
    </row>
    <row r="371" spans="4:11" x14ac:dyDescent="0.25">
      <c r="D371" t="s">
        <v>93</v>
      </c>
      <c r="E371" t="s">
        <v>1</v>
      </c>
      <c r="F371" t="s">
        <v>32</v>
      </c>
      <c r="G371" s="54" t="s">
        <v>179</v>
      </c>
      <c r="H371">
        <v>2</v>
      </c>
      <c r="I371" s="1">
        <v>1</v>
      </c>
      <c r="J371" s="1">
        <v>0.40007415071991659</v>
      </c>
      <c r="K371" s="1">
        <v>0.35991102463442937</v>
      </c>
    </row>
    <row r="372" spans="4:11" ht="15" customHeight="1" x14ac:dyDescent="0.25">
      <c r="D372" t="s">
        <v>93</v>
      </c>
      <c r="E372" t="s">
        <v>2</v>
      </c>
      <c r="F372" t="s">
        <v>33</v>
      </c>
      <c r="G372" s="54" t="s">
        <v>177</v>
      </c>
      <c r="H372">
        <v>2</v>
      </c>
      <c r="I372" s="1">
        <v>2</v>
      </c>
      <c r="J372" s="1">
        <v>0.38944714753793619</v>
      </c>
      <c r="K372" s="1">
        <v>2.5938804905736901</v>
      </c>
    </row>
    <row r="373" spans="4:11" x14ac:dyDescent="0.25">
      <c r="D373" t="s">
        <v>94</v>
      </c>
      <c r="E373" t="s">
        <v>229</v>
      </c>
      <c r="F373" t="s">
        <v>23</v>
      </c>
      <c r="G373" s="54" t="s">
        <v>179</v>
      </c>
      <c r="H373">
        <v>2</v>
      </c>
      <c r="I373" s="1">
        <v>1</v>
      </c>
      <c r="J373" s="1">
        <v>0.28155392888176323</v>
      </c>
      <c r="K373" s="1">
        <v>0.51616475710523058</v>
      </c>
    </row>
    <row r="374" spans="4:11" ht="15" customHeight="1" x14ac:dyDescent="0.25">
      <c r="D374" t="s">
        <v>94</v>
      </c>
      <c r="E374" t="s">
        <v>38</v>
      </c>
      <c r="F374" t="s">
        <v>20</v>
      </c>
      <c r="G374" s="54" t="s">
        <v>179</v>
      </c>
      <c r="H374">
        <v>4</v>
      </c>
      <c r="I374" s="1">
        <v>3</v>
      </c>
      <c r="J374" s="1">
        <v>0.1651144780923488</v>
      </c>
      <c r="K374" s="1">
        <v>8.0365759223216156</v>
      </c>
    </row>
    <row r="375" spans="4:11" x14ac:dyDescent="0.25">
      <c r="D375" t="s">
        <v>94</v>
      </c>
      <c r="E375" t="s">
        <v>24</v>
      </c>
      <c r="F375" t="s">
        <v>25</v>
      </c>
      <c r="G375" s="54" t="s">
        <v>178</v>
      </c>
      <c r="H375">
        <v>3</v>
      </c>
      <c r="I375" s="1">
        <v>1</v>
      </c>
      <c r="J375" s="1">
        <v>1.5374696681986961</v>
      </c>
      <c r="K375" s="1">
        <v>0.2888736442336165</v>
      </c>
    </row>
    <row r="376" spans="4:11" ht="15" customHeight="1" x14ac:dyDescent="0.25">
      <c r="D376" t="s">
        <v>94</v>
      </c>
      <c r="E376" t="s">
        <v>1</v>
      </c>
      <c r="F376" t="s">
        <v>10</v>
      </c>
      <c r="G376" s="54" t="s">
        <v>182</v>
      </c>
      <c r="H376">
        <v>5</v>
      </c>
      <c r="I376" s="1">
        <v>1</v>
      </c>
      <c r="J376" s="1">
        <v>0.57216145330622226</v>
      </c>
      <c r="K376" s="1">
        <v>0.18304582203704384</v>
      </c>
    </row>
    <row r="377" spans="4:11" x14ac:dyDescent="0.25">
      <c r="D377" t="s">
        <v>95</v>
      </c>
      <c r="E377" t="s">
        <v>3</v>
      </c>
      <c r="F377" t="s">
        <v>11</v>
      </c>
      <c r="G377" s="54" t="s">
        <v>180</v>
      </c>
      <c r="H377">
        <v>0</v>
      </c>
      <c r="I377" s="1">
        <v>-3</v>
      </c>
      <c r="J377" s="1">
        <v>0.17104664918957724</v>
      </c>
      <c r="K377" s="1">
        <v>10.055536851336445</v>
      </c>
    </row>
    <row r="378" spans="4:11" ht="15" customHeight="1" x14ac:dyDescent="0.25">
      <c r="D378" t="s">
        <v>95</v>
      </c>
      <c r="E378" t="s">
        <v>12</v>
      </c>
      <c r="F378" t="s">
        <v>27</v>
      </c>
      <c r="G378" s="54" t="s">
        <v>178</v>
      </c>
      <c r="H378">
        <v>1</v>
      </c>
      <c r="I378" s="1">
        <v>-1</v>
      </c>
      <c r="J378" s="1">
        <v>-0.63862008750200516</v>
      </c>
      <c r="K378" s="1">
        <v>0.1305954411570584</v>
      </c>
    </row>
    <row r="379" spans="4:11" x14ac:dyDescent="0.25">
      <c r="D379" t="s">
        <v>95</v>
      </c>
      <c r="E379" t="s">
        <v>35</v>
      </c>
      <c r="F379" t="s">
        <v>0</v>
      </c>
      <c r="G379" s="54" t="s">
        <v>183</v>
      </c>
      <c r="H379">
        <v>3</v>
      </c>
      <c r="I379" s="1">
        <v>-2</v>
      </c>
      <c r="J379" s="1">
        <v>4.6979189431922919E-2</v>
      </c>
      <c r="K379" s="1">
        <v>4.1901238019673723</v>
      </c>
    </row>
    <row r="380" spans="4:11" ht="15" customHeight="1" x14ac:dyDescent="0.25">
      <c r="D380" t="s">
        <v>95</v>
      </c>
      <c r="E380" t="s">
        <v>40</v>
      </c>
      <c r="F380" t="s">
        <v>18</v>
      </c>
      <c r="G380" s="54" t="s">
        <v>178</v>
      </c>
      <c r="H380">
        <v>1</v>
      </c>
      <c r="I380" s="1">
        <v>-1</v>
      </c>
      <c r="J380" s="1">
        <v>0.22708247504718315</v>
      </c>
      <c r="K380" s="1">
        <v>1.5057314005679208</v>
      </c>
    </row>
    <row r="381" spans="4:11" x14ac:dyDescent="0.25">
      <c r="D381" t="s">
        <v>95</v>
      </c>
      <c r="E381" t="s">
        <v>21</v>
      </c>
      <c r="F381" t="s">
        <v>13</v>
      </c>
      <c r="G381" s="54" t="s">
        <v>178</v>
      </c>
      <c r="H381">
        <v>5</v>
      </c>
      <c r="I381" s="1">
        <v>3</v>
      </c>
      <c r="J381" s="1">
        <v>0.32105351290201156</v>
      </c>
      <c r="K381" s="1">
        <v>7.1767542807346532</v>
      </c>
    </row>
    <row r="382" spans="4:11" ht="15" customHeight="1" x14ac:dyDescent="0.25">
      <c r="D382" t="s">
        <v>95</v>
      </c>
      <c r="E382" t="s">
        <v>8</v>
      </c>
      <c r="F382" t="s">
        <v>36</v>
      </c>
      <c r="G382" s="54" t="s">
        <v>177</v>
      </c>
      <c r="H382">
        <v>5</v>
      </c>
      <c r="I382" s="1">
        <v>5</v>
      </c>
      <c r="J382" s="1">
        <v>2.1381435125254171</v>
      </c>
      <c r="K382" s="1">
        <v>8.1902225549003571</v>
      </c>
    </row>
    <row r="383" spans="4:11" x14ac:dyDescent="0.25">
      <c r="D383" t="s">
        <v>95</v>
      </c>
      <c r="E383" t="s">
        <v>7</v>
      </c>
      <c r="F383" t="s">
        <v>14</v>
      </c>
      <c r="G383" s="54" t="s">
        <v>182</v>
      </c>
      <c r="H383">
        <v>3</v>
      </c>
      <c r="I383" s="1">
        <v>-1</v>
      </c>
      <c r="J383" s="1">
        <v>0.18471700964884974</v>
      </c>
      <c r="K383" s="1">
        <v>1.4035543929513128</v>
      </c>
    </row>
    <row r="384" spans="4:11" ht="15" customHeight="1" x14ac:dyDescent="0.25">
      <c r="D384" t="s">
        <v>95</v>
      </c>
      <c r="E384" t="s">
        <v>38</v>
      </c>
      <c r="F384" t="s">
        <v>19</v>
      </c>
      <c r="G384" s="54" t="s">
        <v>180</v>
      </c>
      <c r="H384">
        <v>4</v>
      </c>
      <c r="I384" s="1">
        <v>1</v>
      </c>
      <c r="J384" s="1">
        <v>-2.0927694555851417E-2</v>
      </c>
      <c r="K384" s="1">
        <v>1.042293357511126</v>
      </c>
    </row>
    <row r="385" spans="4:11" x14ac:dyDescent="0.25">
      <c r="D385" t="s">
        <v>95</v>
      </c>
      <c r="E385" t="s">
        <v>22</v>
      </c>
      <c r="F385" t="s">
        <v>4</v>
      </c>
      <c r="G385" s="54" t="s">
        <v>180</v>
      </c>
      <c r="H385">
        <v>4</v>
      </c>
      <c r="I385" s="1">
        <v>1</v>
      </c>
      <c r="J385" s="1">
        <v>0.53559890814440791</v>
      </c>
      <c r="K385" s="1">
        <v>0.21566837411666609</v>
      </c>
    </row>
    <row r="386" spans="4:11" ht="18" customHeight="1" x14ac:dyDescent="0.25">
      <c r="D386" t="s">
        <v>95</v>
      </c>
      <c r="E386" t="s">
        <v>33</v>
      </c>
      <c r="F386" t="s">
        <v>176</v>
      </c>
      <c r="G386" s="54" t="s">
        <v>182</v>
      </c>
      <c r="H386">
        <v>0</v>
      </c>
      <c r="I386" s="1">
        <v>-4</v>
      </c>
      <c r="J386" s="1">
        <v>-1.1157839810433359</v>
      </c>
      <c r="K386" s="1">
        <v>8.318702044006228</v>
      </c>
    </row>
    <row r="387" spans="4:11" x14ac:dyDescent="0.25">
      <c r="D387" t="s">
        <v>95</v>
      </c>
      <c r="E387" t="s">
        <v>2</v>
      </c>
      <c r="F387" t="s">
        <v>32</v>
      </c>
      <c r="G387" s="54" t="s">
        <v>182</v>
      </c>
      <c r="H387">
        <v>7</v>
      </c>
      <c r="I387" s="1">
        <v>3</v>
      </c>
      <c r="J387" s="1">
        <v>0.15746110491824084</v>
      </c>
      <c r="K387" s="1">
        <v>8.0800273700526279</v>
      </c>
    </row>
    <row r="388" spans="4:11" ht="15" customHeight="1" x14ac:dyDescent="0.25">
      <c r="D388" t="s">
        <v>96</v>
      </c>
      <c r="E388" t="s">
        <v>10</v>
      </c>
      <c r="F388" t="s">
        <v>23</v>
      </c>
      <c r="G388" s="54" t="s">
        <v>183</v>
      </c>
      <c r="H388">
        <v>4</v>
      </c>
      <c r="I388" s="1">
        <v>-1</v>
      </c>
      <c r="J388" s="1">
        <v>0.54181994062307126</v>
      </c>
      <c r="K388" s="1">
        <v>2.3772087293029309</v>
      </c>
    </row>
    <row r="389" spans="4:11" x14ac:dyDescent="0.25">
      <c r="D389" t="s">
        <v>96</v>
      </c>
      <c r="E389" t="s">
        <v>22</v>
      </c>
      <c r="F389" t="s">
        <v>25</v>
      </c>
      <c r="G389" s="54" t="s">
        <v>178</v>
      </c>
      <c r="H389">
        <v>6</v>
      </c>
      <c r="I389" s="1">
        <v>4</v>
      </c>
      <c r="J389" s="1">
        <v>0.56502390091146992</v>
      </c>
      <c r="K389" s="1">
        <v>11.799060801309455</v>
      </c>
    </row>
    <row r="390" spans="4:11" ht="15" customHeight="1" x14ac:dyDescent="0.25">
      <c r="D390" t="s">
        <v>96</v>
      </c>
      <c r="E390" t="s">
        <v>229</v>
      </c>
      <c r="F390" t="s">
        <v>20</v>
      </c>
      <c r="G390" s="54" t="s">
        <v>180</v>
      </c>
      <c r="H390">
        <v>4</v>
      </c>
      <c r="I390" s="1">
        <v>1</v>
      </c>
      <c r="J390" s="1">
        <v>0.39953727675941764</v>
      </c>
      <c r="K390" s="1">
        <v>0.36055548200149623</v>
      </c>
    </row>
    <row r="391" spans="4:11" x14ac:dyDescent="0.25">
      <c r="D391" t="s">
        <v>97</v>
      </c>
      <c r="E391" t="s">
        <v>18</v>
      </c>
      <c r="F391" t="s">
        <v>11</v>
      </c>
      <c r="G391" s="54" t="s">
        <v>178</v>
      </c>
      <c r="H391">
        <v>3</v>
      </c>
      <c r="I391" s="1">
        <v>1</v>
      </c>
      <c r="J391" s="1">
        <v>0.12349343947332159</v>
      </c>
      <c r="K391" s="1">
        <v>0.76826375064630781</v>
      </c>
    </row>
    <row r="392" spans="4:11" ht="15" customHeight="1" x14ac:dyDescent="0.25">
      <c r="D392" t="s">
        <v>97</v>
      </c>
      <c r="E392" t="s">
        <v>38</v>
      </c>
      <c r="F392" t="s">
        <v>40</v>
      </c>
      <c r="G392" s="54" t="s">
        <v>181</v>
      </c>
      <c r="H392">
        <v>4</v>
      </c>
      <c r="I392" s="1">
        <v>-2</v>
      </c>
      <c r="J392" s="1">
        <v>-8.4060354956491778E-2</v>
      </c>
      <c r="K392" s="1">
        <v>3.6708247234494444</v>
      </c>
    </row>
    <row r="393" spans="4:11" x14ac:dyDescent="0.25">
      <c r="D393" t="s">
        <v>97</v>
      </c>
      <c r="E393" t="s">
        <v>1</v>
      </c>
      <c r="F393" t="s">
        <v>33</v>
      </c>
      <c r="G393" s="54" t="s">
        <v>178</v>
      </c>
      <c r="H393">
        <v>1</v>
      </c>
      <c r="I393" s="1">
        <v>-1</v>
      </c>
      <c r="J393" s="1">
        <v>0.63206019333961194</v>
      </c>
      <c r="K393" s="1">
        <v>2.6636204746837313</v>
      </c>
    </row>
    <row r="394" spans="4:11" ht="15" customHeight="1" x14ac:dyDescent="0.25">
      <c r="D394" t="s">
        <v>97</v>
      </c>
      <c r="E394" t="s">
        <v>3</v>
      </c>
      <c r="F394" t="s">
        <v>0</v>
      </c>
      <c r="G394" s="54" t="s">
        <v>178</v>
      </c>
      <c r="H394">
        <v>5</v>
      </c>
      <c r="I394" s="1">
        <v>3</v>
      </c>
      <c r="J394" s="1">
        <v>-0.55345271625722603</v>
      </c>
      <c r="K394" s="1">
        <v>12.627026206675858</v>
      </c>
    </row>
    <row r="395" spans="4:11" x14ac:dyDescent="0.25">
      <c r="D395" t="s">
        <v>97</v>
      </c>
      <c r="E395" t="s">
        <v>37</v>
      </c>
      <c r="F395" t="s">
        <v>13</v>
      </c>
      <c r="G395" s="54" t="s">
        <v>178</v>
      </c>
      <c r="H395">
        <v>3</v>
      </c>
      <c r="I395" s="1">
        <v>1</v>
      </c>
      <c r="J395" s="1">
        <v>-0.30791625718775606</v>
      </c>
      <c r="K395" s="1">
        <v>1.7106449358160285</v>
      </c>
    </row>
    <row r="396" spans="4:11" ht="15" customHeight="1" x14ac:dyDescent="0.25">
      <c r="D396" t="s">
        <v>97</v>
      </c>
      <c r="E396" t="s">
        <v>7</v>
      </c>
      <c r="F396" t="s">
        <v>36</v>
      </c>
      <c r="G396" s="54" t="s">
        <v>180</v>
      </c>
      <c r="H396">
        <v>1</v>
      </c>
      <c r="I396" s="1">
        <v>-2</v>
      </c>
      <c r="J396" s="1">
        <v>0.97378086707720968</v>
      </c>
      <c r="K396" s="1">
        <v>8.8433726453944814</v>
      </c>
    </row>
    <row r="397" spans="4:11" x14ac:dyDescent="0.25">
      <c r="D397" t="s">
        <v>97</v>
      </c>
      <c r="E397" t="s">
        <v>8</v>
      </c>
      <c r="F397" t="s">
        <v>14</v>
      </c>
      <c r="G397" s="54" t="s">
        <v>178</v>
      </c>
      <c r="H397">
        <v>3</v>
      </c>
      <c r="I397" s="1">
        <v>1</v>
      </c>
      <c r="J397" s="1">
        <v>1.3490796550970572</v>
      </c>
      <c r="K397" s="1">
        <v>0.1218566056026804</v>
      </c>
    </row>
    <row r="398" spans="4:11" ht="15" customHeight="1" x14ac:dyDescent="0.25">
      <c r="D398" t="s">
        <v>97</v>
      </c>
      <c r="E398" t="s">
        <v>12</v>
      </c>
      <c r="F398" t="s">
        <v>35</v>
      </c>
      <c r="G398" s="54" t="s">
        <v>182</v>
      </c>
      <c r="H398">
        <v>1</v>
      </c>
      <c r="I398" s="1">
        <v>-3</v>
      </c>
      <c r="J398" s="1">
        <v>-0.60253674113693023</v>
      </c>
      <c r="K398" s="1">
        <v>5.7478300775983309</v>
      </c>
    </row>
    <row r="399" spans="4:11" x14ac:dyDescent="0.25">
      <c r="D399" t="s">
        <v>97</v>
      </c>
      <c r="E399" t="s">
        <v>20</v>
      </c>
      <c r="F399" t="s">
        <v>19</v>
      </c>
      <c r="G399" s="54" t="s">
        <v>180</v>
      </c>
      <c r="H399">
        <v>1</v>
      </c>
      <c r="I399" s="1">
        <v>-2</v>
      </c>
      <c r="J399" s="1">
        <v>5.875831797973774E-2</v>
      </c>
      <c r="K399" s="1">
        <v>4.2384858118507589</v>
      </c>
    </row>
    <row r="400" spans="4:11" ht="15" customHeight="1" x14ac:dyDescent="0.25">
      <c r="D400" t="s">
        <v>97</v>
      </c>
      <c r="E400" t="s">
        <v>229</v>
      </c>
      <c r="F400" t="s">
        <v>21</v>
      </c>
      <c r="G400" s="54" t="s">
        <v>179</v>
      </c>
      <c r="H400">
        <v>4</v>
      </c>
      <c r="I400" s="1">
        <v>3</v>
      </c>
      <c r="J400" s="1">
        <v>-4.8259322320774345E-2</v>
      </c>
      <c r="K400" s="1">
        <v>9.2918848961155067</v>
      </c>
    </row>
    <row r="401" spans="4:11" x14ac:dyDescent="0.25">
      <c r="D401" t="s">
        <v>97</v>
      </c>
      <c r="E401" t="s">
        <v>2</v>
      </c>
      <c r="F401" t="s">
        <v>176</v>
      </c>
      <c r="G401" s="54" t="s">
        <v>183</v>
      </c>
      <c r="H401">
        <v>2</v>
      </c>
      <c r="I401" s="1">
        <v>-3</v>
      </c>
      <c r="J401" s="1">
        <v>-0.97113732413333764</v>
      </c>
      <c r="K401" s="1">
        <v>4.1162837575248332</v>
      </c>
    </row>
    <row r="402" spans="4:11" ht="18" customHeight="1" x14ac:dyDescent="0.25">
      <c r="D402" t="s">
        <v>97</v>
      </c>
      <c r="E402" t="s">
        <v>32</v>
      </c>
      <c r="F402" t="s">
        <v>4</v>
      </c>
      <c r="G402" s="54" t="s">
        <v>180</v>
      </c>
      <c r="H402">
        <v>2</v>
      </c>
      <c r="I402" s="1">
        <v>-1</v>
      </c>
      <c r="J402" s="1">
        <v>0.57559304527349298</v>
      </c>
      <c r="K402" s="1">
        <v>2.4824934443141995</v>
      </c>
    </row>
    <row r="403" spans="4:11" x14ac:dyDescent="0.25">
      <c r="D403" t="s">
        <v>98</v>
      </c>
      <c r="E403" t="s">
        <v>10</v>
      </c>
      <c r="F403" t="s">
        <v>25</v>
      </c>
      <c r="G403" s="54" t="s">
        <v>182</v>
      </c>
      <c r="H403">
        <v>3</v>
      </c>
      <c r="I403" s="1">
        <v>-1</v>
      </c>
      <c r="J403" s="1">
        <v>0.43293073545424932</v>
      </c>
      <c r="K403" s="1">
        <v>2.053290492609456</v>
      </c>
    </row>
    <row r="404" spans="4:11" ht="18" customHeight="1" x14ac:dyDescent="0.25">
      <c r="D404" t="s">
        <v>98</v>
      </c>
      <c r="E404" t="s">
        <v>13</v>
      </c>
      <c r="F404" t="s">
        <v>27</v>
      </c>
      <c r="G404" s="54" t="s">
        <v>180</v>
      </c>
      <c r="H404">
        <v>1</v>
      </c>
      <c r="I404" s="1">
        <v>-2</v>
      </c>
      <c r="J404" s="1">
        <v>-0.33461724296601858</v>
      </c>
      <c r="K404" s="1">
        <v>2.7734997274261053</v>
      </c>
    </row>
    <row r="405" spans="4:11" x14ac:dyDescent="0.25">
      <c r="D405" t="s">
        <v>98</v>
      </c>
      <c r="E405" t="s">
        <v>3</v>
      </c>
      <c r="F405" t="s">
        <v>18</v>
      </c>
      <c r="G405" s="54" t="s">
        <v>180</v>
      </c>
      <c r="H405">
        <v>4</v>
      </c>
      <c r="I405" s="1">
        <v>1</v>
      </c>
      <c r="J405" s="1">
        <v>0.29235370034419361</v>
      </c>
      <c r="K405" s="1">
        <v>0.50076328541655535</v>
      </c>
    </row>
    <row r="406" spans="4:11" ht="15" customHeight="1" x14ac:dyDescent="0.25">
      <c r="D406" t="s">
        <v>98</v>
      </c>
      <c r="E406" t="s">
        <v>32</v>
      </c>
      <c r="F406" t="s">
        <v>24</v>
      </c>
      <c r="G406" s="54" t="s">
        <v>179</v>
      </c>
      <c r="H406">
        <v>2</v>
      </c>
      <c r="I406" s="1">
        <v>1</v>
      </c>
      <c r="J406" s="1">
        <v>-0.68765113953020318</v>
      </c>
      <c r="K406" s="1">
        <v>2.8481663687575933</v>
      </c>
    </row>
    <row r="407" spans="4:11" x14ac:dyDescent="0.25">
      <c r="D407" t="s">
        <v>99</v>
      </c>
      <c r="E407" t="s">
        <v>11</v>
      </c>
      <c r="F407" t="s">
        <v>37</v>
      </c>
      <c r="G407" s="54" t="s">
        <v>180</v>
      </c>
      <c r="H407">
        <v>4</v>
      </c>
      <c r="I407" s="1">
        <v>1</v>
      </c>
      <c r="J407" s="1">
        <v>0.81417356142172537</v>
      </c>
      <c r="K407" s="1">
        <v>3.4531465274685272E-2</v>
      </c>
    </row>
    <row r="408" spans="4:11" ht="15" customHeight="1" x14ac:dyDescent="0.25">
      <c r="D408" t="s">
        <v>99</v>
      </c>
      <c r="E408" t="s">
        <v>35</v>
      </c>
      <c r="F408" t="s">
        <v>27</v>
      </c>
      <c r="G408" s="54" t="s">
        <v>178</v>
      </c>
      <c r="H408">
        <v>1</v>
      </c>
      <c r="I408" s="1">
        <v>-1</v>
      </c>
      <c r="J408" s="1">
        <v>0.20871714426286303</v>
      </c>
      <c r="K408" s="1">
        <v>1.4609971348349708</v>
      </c>
    </row>
    <row r="409" spans="4:11" x14ac:dyDescent="0.25">
      <c r="D409" t="s">
        <v>99</v>
      </c>
      <c r="E409" t="s">
        <v>14</v>
      </c>
      <c r="F409" t="s">
        <v>38</v>
      </c>
      <c r="G409" s="54" t="s">
        <v>178</v>
      </c>
      <c r="H409">
        <v>4</v>
      </c>
      <c r="I409" s="1">
        <v>2</v>
      </c>
      <c r="J409" s="1">
        <v>1.0592937576001731</v>
      </c>
      <c r="K409" s="1">
        <v>0.88492823449000191</v>
      </c>
    </row>
    <row r="410" spans="4:11" ht="15" customHeight="1" x14ac:dyDescent="0.25">
      <c r="D410" t="s">
        <v>100</v>
      </c>
      <c r="E410" t="s">
        <v>20</v>
      </c>
      <c r="F410" t="s">
        <v>35</v>
      </c>
      <c r="G410" s="54" t="s">
        <v>180</v>
      </c>
      <c r="H410">
        <v>2</v>
      </c>
      <c r="I410" s="1">
        <v>-1</v>
      </c>
      <c r="J410" s="1">
        <v>-0.67007747340706203</v>
      </c>
      <c r="K410" s="1">
        <v>0.10884887355346787</v>
      </c>
    </row>
    <row r="411" spans="4:11" x14ac:dyDescent="0.25">
      <c r="D411" t="s">
        <v>100</v>
      </c>
      <c r="E411" t="s">
        <v>1</v>
      </c>
      <c r="F411" t="s">
        <v>7</v>
      </c>
      <c r="G411" s="54" t="s">
        <v>178</v>
      </c>
      <c r="H411">
        <v>3</v>
      </c>
      <c r="I411" s="1">
        <v>1</v>
      </c>
      <c r="J411" s="1">
        <v>0.31244047772145223</v>
      </c>
      <c r="K411" s="1">
        <v>0.47273809667590483</v>
      </c>
    </row>
    <row r="412" spans="4:11" ht="18" customHeight="1" x14ac:dyDescent="0.25">
      <c r="D412" t="s">
        <v>100</v>
      </c>
      <c r="E412" t="s">
        <v>33</v>
      </c>
      <c r="F412" t="s">
        <v>8</v>
      </c>
      <c r="G412" s="54" t="s">
        <v>177</v>
      </c>
      <c r="H412">
        <v>1</v>
      </c>
      <c r="I412" s="1">
        <v>1</v>
      </c>
      <c r="J412" s="1">
        <v>-1.2391818704384292</v>
      </c>
      <c r="K412" s="1">
        <v>5.013935448900142</v>
      </c>
    </row>
    <row r="413" spans="4:11" x14ac:dyDescent="0.25">
      <c r="D413" t="s">
        <v>100</v>
      </c>
      <c r="E413" t="s">
        <v>4</v>
      </c>
      <c r="F413" t="s">
        <v>0</v>
      </c>
      <c r="G413" s="54" t="s">
        <v>179</v>
      </c>
      <c r="H413">
        <v>4</v>
      </c>
      <c r="I413" s="1">
        <v>3</v>
      </c>
      <c r="J413" s="1">
        <v>-0.61160122878953871</v>
      </c>
      <c r="K413" s="1">
        <v>13.043663435794105</v>
      </c>
    </row>
    <row r="414" spans="4:11" ht="15" customHeight="1" x14ac:dyDescent="0.25">
      <c r="D414" t="s">
        <v>100</v>
      </c>
      <c r="E414" t="s">
        <v>3</v>
      </c>
      <c r="F414" t="s">
        <v>229</v>
      </c>
      <c r="G414" s="54" t="s">
        <v>179</v>
      </c>
      <c r="H414">
        <v>3</v>
      </c>
      <c r="I414" s="1">
        <v>2</v>
      </c>
      <c r="J414" s="1">
        <v>0.40450976284230933</v>
      </c>
      <c r="K414" s="1">
        <v>2.5455890968655042</v>
      </c>
    </row>
    <row r="415" spans="4:11" x14ac:dyDescent="0.25">
      <c r="D415" t="s">
        <v>100</v>
      </c>
      <c r="E415" t="s">
        <v>12</v>
      </c>
      <c r="F415" t="s">
        <v>36</v>
      </c>
      <c r="G415" s="54" t="s">
        <v>183</v>
      </c>
      <c r="H415">
        <v>3</v>
      </c>
      <c r="I415" s="1">
        <v>-2</v>
      </c>
      <c r="J415" s="1">
        <v>0.36659782588978373</v>
      </c>
      <c r="K415" s="1">
        <v>5.6007852695062512</v>
      </c>
    </row>
    <row r="416" spans="4:11" ht="15" customHeight="1" x14ac:dyDescent="0.25">
      <c r="D416" t="s">
        <v>100</v>
      </c>
      <c r="E416" t="s">
        <v>40</v>
      </c>
      <c r="F416" t="s">
        <v>23</v>
      </c>
      <c r="G416" s="54" t="s">
        <v>182</v>
      </c>
      <c r="H416">
        <v>5</v>
      </c>
      <c r="I416" s="1">
        <v>1</v>
      </c>
      <c r="J416" s="1">
        <v>0.37599197579912413</v>
      </c>
      <c r="K416" s="1">
        <v>0.38938601426708086</v>
      </c>
    </row>
    <row r="417" spans="4:11" x14ac:dyDescent="0.25">
      <c r="D417" t="s">
        <v>100</v>
      </c>
      <c r="E417" t="s">
        <v>25</v>
      </c>
      <c r="F417" t="s">
        <v>21</v>
      </c>
      <c r="G417" s="54" t="s">
        <v>183</v>
      </c>
      <c r="H417">
        <v>2</v>
      </c>
      <c r="I417" s="1">
        <v>-3</v>
      </c>
      <c r="J417" s="1">
        <v>2.3876444594222335E-2</v>
      </c>
      <c r="K417" s="1">
        <v>9.1438287521717942</v>
      </c>
    </row>
    <row r="418" spans="4:11" ht="15" customHeight="1" x14ac:dyDescent="0.25">
      <c r="D418" t="s">
        <v>100</v>
      </c>
      <c r="E418" t="s">
        <v>19</v>
      </c>
      <c r="F418" t="s">
        <v>22</v>
      </c>
      <c r="G418" s="54" t="s">
        <v>180</v>
      </c>
      <c r="H418">
        <v>0</v>
      </c>
      <c r="I418" s="1">
        <v>-3</v>
      </c>
      <c r="J418" s="1">
        <v>-0.11625330005387013</v>
      </c>
      <c r="K418" s="1">
        <v>8.3159950294501943</v>
      </c>
    </row>
    <row r="419" spans="4:11" x14ac:dyDescent="0.25">
      <c r="D419" t="s">
        <v>100</v>
      </c>
      <c r="E419" t="s">
        <v>24</v>
      </c>
      <c r="F419" t="s">
        <v>32</v>
      </c>
      <c r="G419" s="54" t="s">
        <v>178</v>
      </c>
      <c r="H419">
        <v>5</v>
      </c>
      <c r="I419" s="1">
        <v>3</v>
      </c>
      <c r="J419" s="1">
        <v>1.1772521207860791</v>
      </c>
      <c r="K419" s="1">
        <v>3.3224098311788461</v>
      </c>
    </row>
    <row r="420" spans="4:11" ht="18" customHeight="1" x14ac:dyDescent="0.25">
      <c r="D420" t="s">
        <v>101</v>
      </c>
      <c r="E420" t="s">
        <v>0</v>
      </c>
      <c r="F420" t="s">
        <v>13</v>
      </c>
      <c r="G420" s="54" t="s">
        <v>178</v>
      </c>
      <c r="H420">
        <v>1</v>
      </c>
      <c r="I420" s="1">
        <v>-1</v>
      </c>
      <c r="J420" s="1">
        <v>0.98595617905283461</v>
      </c>
      <c r="K420" s="1">
        <v>3.9440219451181346</v>
      </c>
    </row>
    <row r="421" spans="4:11" x14ac:dyDescent="0.25">
      <c r="D421" t="s">
        <v>101</v>
      </c>
      <c r="E421" t="s">
        <v>24</v>
      </c>
      <c r="F421" t="s">
        <v>10</v>
      </c>
      <c r="G421" s="54" t="s">
        <v>179</v>
      </c>
      <c r="H421">
        <v>2</v>
      </c>
      <c r="I421" s="1">
        <v>1</v>
      </c>
      <c r="J421" s="1">
        <v>1.3493394233723848</v>
      </c>
      <c r="K421" s="1">
        <v>0.12203803272215029</v>
      </c>
    </row>
    <row r="422" spans="4:11" ht="18" customHeight="1" x14ac:dyDescent="0.25">
      <c r="D422" t="s">
        <v>102</v>
      </c>
      <c r="E422" t="s">
        <v>20</v>
      </c>
      <c r="F422" t="s">
        <v>2</v>
      </c>
      <c r="G422" s="54" t="s">
        <v>180</v>
      </c>
      <c r="H422">
        <v>2</v>
      </c>
      <c r="I422" s="1">
        <v>-1</v>
      </c>
      <c r="J422" s="1">
        <v>-0.25495022412145829</v>
      </c>
      <c r="K422" s="1">
        <v>0.55509916853666519</v>
      </c>
    </row>
    <row r="423" spans="4:11" x14ac:dyDescent="0.25">
      <c r="D423" t="s">
        <v>102</v>
      </c>
      <c r="E423" t="s">
        <v>4</v>
      </c>
      <c r="F423" t="s">
        <v>8</v>
      </c>
      <c r="G423" s="54" t="s">
        <v>180</v>
      </c>
      <c r="H423">
        <v>4</v>
      </c>
      <c r="I423" s="1">
        <v>1</v>
      </c>
      <c r="J423" s="1">
        <v>-1.3379883824642889</v>
      </c>
      <c r="K423" s="1">
        <v>5.466189676537982</v>
      </c>
    </row>
    <row r="424" spans="4:11" ht="15" customHeight="1" x14ac:dyDescent="0.25">
      <c r="D424" t="s">
        <v>102</v>
      </c>
      <c r="E424" t="s">
        <v>35</v>
      </c>
      <c r="F424" t="s">
        <v>1</v>
      </c>
      <c r="G424" s="54" t="s">
        <v>179</v>
      </c>
      <c r="H424">
        <v>4</v>
      </c>
      <c r="I424" s="1">
        <v>3</v>
      </c>
      <c r="J424" s="1">
        <v>0.41731469411186595</v>
      </c>
      <c r="K424" s="1">
        <v>6.6702633892504846</v>
      </c>
    </row>
    <row r="425" spans="4:11" x14ac:dyDescent="0.25">
      <c r="D425" t="s">
        <v>102</v>
      </c>
      <c r="E425" t="s">
        <v>7</v>
      </c>
      <c r="F425" t="s">
        <v>12</v>
      </c>
      <c r="G425" s="54" t="s">
        <v>180</v>
      </c>
      <c r="H425">
        <v>2</v>
      </c>
      <c r="I425" s="1">
        <v>-1</v>
      </c>
      <c r="J425" s="1">
        <v>0.8519835318153639</v>
      </c>
      <c r="K425" s="1">
        <v>3.4298430021153088</v>
      </c>
    </row>
    <row r="426" spans="4:11" ht="15" customHeight="1" x14ac:dyDescent="0.25">
      <c r="D426" t="s">
        <v>102</v>
      </c>
      <c r="E426" t="s">
        <v>33</v>
      </c>
      <c r="F426" t="s">
        <v>18</v>
      </c>
      <c r="G426" s="54" t="s">
        <v>183</v>
      </c>
      <c r="H426">
        <v>3</v>
      </c>
      <c r="I426" s="1">
        <v>-2</v>
      </c>
      <c r="J426" s="1">
        <v>0.33301169983774059</v>
      </c>
      <c r="K426" s="1">
        <v>5.4429435915797839</v>
      </c>
    </row>
    <row r="427" spans="4:11" x14ac:dyDescent="0.25">
      <c r="D427" t="s">
        <v>102</v>
      </c>
      <c r="E427" t="s">
        <v>27</v>
      </c>
      <c r="F427" t="s">
        <v>36</v>
      </c>
      <c r="G427" s="54" t="s">
        <v>179</v>
      </c>
      <c r="H427">
        <v>2</v>
      </c>
      <c r="I427" s="1">
        <v>1</v>
      </c>
      <c r="J427" s="1">
        <v>1.2500184040197269</v>
      </c>
      <c r="K427" s="1">
        <v>6.2509202348571366E-2</v>
      </c>
    </row>
    <row r="428" spans="4:11" ht="18" customHeight="1" x14ac:dyDescent="0.25">
      <c r="D428" t="s">
        <v>102</v>
      </c>
      <c r="E428" t="s">
        <v>40</v>
      </c>
      <c r="F428" t="s">
        <v>38</v>
      </c>
      <c r="G428" s="54" t="s">
        <v>180</v>
      </c>
      <c r="H428">
        <v>6</v>
      </c>
      <c r="I428" s="1">
        <v>3</v>
      </c>
      <c r="J428" s="1">
        <v>0.5736613362123677</v>
      </c>
      <c r="K428" s="1">
        <v>5.8871193113907534</v>
      </c>
    </row>
    <row r="429" spans="4:11" x14ac:dyDescent="0.25">
      <c r="D429" t="s">
        <v>102</v>
      </c>
      <c r="E429" t="s">
        <v>25</v>
      </c>
      <c r="F429" t="s">
        <v>22</v>
      </c>
      <c r="G429" s="54" t="s">
        <v>180</v>
      </c>
      <c r="H429">
        <v>4</v>
      </c>
      <c r="I429" s="1">
        <v>1</v>
      </c>
      <c r="J429" s="1">
        <v>-7.5422919655594001E-2</v>
      </c>
      <c r="K429" s="1">
        <v>1.1565344561205622</v>
      </c>
    </row>
    <row r="430" spans="4:11" ht="15" customHeight="1" x14ac:dyDescent="0.25">
      <c r="D430" t="s">
        <v>102</v>
      </c>
      <c r="E430" t="s">
        <v>19</v>
      </c>
      <c r="F430" t="s">
        <v>176</v>
      </c>
      <c r="G430" s="54" t="s">
        <v>183</v>
      </c>
      <c r="H430">
        <v>1</v>
      </c>
      <c r="I430" s="1">
        <v>-4</v>
      </c>
      <c r="J430" s="1">
        <v>-1.2848458662345337</v>
      </c>
      <c r="K430" s="1">
        <v>7.3720619701037</v>
      </c>
    </row>
    <row r="431" spans="4:11" x14ac:dyDescent="0.25">
      <c r="D431" t="s">
        <v>102</v>
      </c>
      <c r="E431" t="s">
        <v>23</v>
      </c>
      <c r="F431" t="s">
        <v>32</v>
      </c>
      <c r="G431" s="54" t="s">
        <v>179</v>
      </c>
      <c r="H431">
        <v>2</v>
      </c>
      <c r="I431" s="1">
        <v>1</v>
      </c>
      <c r="J431" s="1">
        <v>-0.22430626195350101</v>
      </c>
      <c r="K431" s="1">
        <v>1.4989258230585547</v>
      </c>
    </row>
    <row r="432" spans="4:11" ht="15" customHeight="1" x14ac:dyDescent="0.25">
      <c r="D432" t="s">
        <v>103</v>
      </c>
      <c r="E432" t="s">
        <v>4</v>
      </c>
      <c r="F432" t="s">
        <v>11</v>
      </c>
      <c r="G432" s="54" t="s">
        <v>179</v>
      </c>
      <c r="H432">
        <v>3</v>
      </c>
      <c r="I432" s="1">
        <v>2</v>
      </c>
      <c r="J432" s="1">
        <v>0.11289813665726456</v>
      </c>
      <c r="K432" s="1">
        <v>3.5611534426316243</v>
      </c>
    </row>
    <row r="433" spans="4:11" x14ac:dyDescent="0.25">
      <c r="D433" t="s">
        <v>103</v>
      </c>
      <c r="E433" t="s">
        <v>33</v>
      </c>
      <c r="F433" t="s">
        <v>229</v>
      </c>
      <c r="G433" s="54" t="s">
        <v>178</v>
      </c>
      <c r="H433">
        <v>6</v>
      </c>
      <c r="I433" s="1">
        <v>4</v>
      </c>
      <c r="J433" s="1">
        <v>0.44516776233585631</v>
      </c>
      <c r="K433" s="1">
        <v>12.636832237936263</v>
      </c>
    </row>
    <row r="434" spans="4:11" ht="15" customHeight="1" x14ac:dyDescent="0.25">
      <c r="D434" t="s">
        <v>103</v>
      </c>
      <c r="E434" t="s">
        <v>14</v>
      </c>
      <c r="F434" t="s">
        <v>13</v>
      </c>
      <c r="G434" s="54" t="s">
        <v>180</v>
      </c>
      <c r="H434">
        <v>2</v>
      </c>
      <c r="I434" s="1">
        <v>-1</v>
      </c>
      <c r="J434" s="1">
        <v>0.60806416825846554</v>
      </c>
      <c r="K434" s="1">
        <v>2.5858703692367904</v>
      </c>
    </row>
    <row r="435" spans="4:11" x14ac:dyDescent="0.25">
      <c r="D435" t="s">
        <v>103</v>
      </c>
      <c r="E435" t="s">
        <v>10</v>
      </c>
      <c r="F435" t="s">
        <v>24</v>
      </c>
      <c r="G435" s="54" t="s">
        <v>182</v>
      </c>
      <c r="H435">
        <v>2</v>
      </c>
      <c r="I435" s="1">
        <v>-2</v>
      </c>
      <c r="J435" s="1">
        <v>-0.85973844211650885</v>
      </c>
      <c r="K435" s="1">
        <v>1.3001964203868863</v>
      </c>
    </row>
    <row r="436" spans="4:11" ht="15" customHeight="1" x14ac:dyDescent="0.25">
      <c r="D436" t="s">
        <v>104</v>
      </c>
      <c r="E436" t="s">
        <v>18</v>
      </c>
      <c r="F436" t="s">
        <v>2</v>
      </c>
      <c r="G436" s="54" t="s">
        <v>180</v>
      </c>
      <c r="H436">
        <v>2</v>
      </c>
      <c r="I436" s="1">
        <v>-1</v>
      </c>
      <c r="J436" s="1">
        <v>1.1942624508137101E-2</v>
      </c>
      <c r="K436" s="1">
        <v>1.0240278752964165</v>
      </c>
    </row>
    <row r="437" spans="4:11" x14ac:dyDescent="0.25">
      <c r="D437" t="s">
        <v>104</v>
      </c>
      <c r="E437" t="s">
        <v>27</v>
      </c>
      <c r="F437" t="s">
        <v>1</v>
      </c>
      <c r="G437" s="54" t="s">
        <v>179</v>
      </c>
      <c r="H437">
        <v>5</v>
      </c>
      <c r="I437" s="1">
        <v>4</v>
      </c>
      <c r="J437" s="1">
        <v>0.45339804047694088</v>
      </c>
      <c r="K437" s="1">
        <v>12.578385459292802</v>
      </c>
    </row>
    <row r="438" spans="4:11" ht="15" customHeight="1" x14ac:dyDescent="0.25">
      <c r="D438" t="s">
        <v>104</v>
      </c>
      <c r="E438" t="s">
        <v>14</v>
      </c>
      <c r="F438" t="s">
        <v>8</v>
      </c>
      <c r="G438" s="54" t="s">
        <v>180</v>
      </c>
      <c r="H438">
        <v>4</v>
      </c>
      <c r="I438" s="1">
        <v>1</v>
      </c>
      <c r="J438" s="1">
        <v>-0.85947867384118126</v>
      </c>
      <c r="K438" s="1">
        <v>3.4576609384701582</v>
      </c>
    </row>
    <row r="439" spans="4:11" x14ac:dyDescent="0.25">
      <c r="D439" t="s">
        <v>104</v>
      </c>
      <c r="E439" t="s">
        <v>13</v>
      </c>
      <c r="F439" t="s">
        <v>0</v>
      </c>
      <c r="G439" s="54" t="s">
        <v>179</v>
      </c>
      <c r="H439">
        <v>4</v>
      </c>
      <c r="I439" s="1">
        <v>3</v>
      </c>
      <c r="J439" s="1">
        <v>-0.49635519779695869</v>
      </c>
      <c r="K439" s="1">
        <v>12.22449966916181</v>
      </c>
    </row>
    <row r="440" spans="4:11" ht="15" customHeight="1" x14ac:dyDescent="0.25">
      <c r="D440" t="s">
        <v>104</v>
      </c>
      <c r="E440" t="s">
        <v>20</v>
      </c>
      <c r="F440" t="s">
        <v>40</v>
      </c>
      <c r="G440" s="54" t="s">
        <v>178</v>
      </c>
      <c r="H440">
        <v>3</v>
      </c>
      <c r="I440" s="1">
        <v>1</v>
      </c>
      <c r="J440" s="1">
        <v>-4.3743424209026216E-3</v>
      </c>
      <c r="K440" s="1">
        <v>1.0087678197134204</v>
      </c>
    </row>
    <row r="441" spans="4:11" x14ac:dyDescent="0.25">
      <c r="D441" t="s">
        <v>104</v>
      </c>
      <c r="E441" t="s">
        <v>36</v>
      </c>
      <c r="F441" t="s">
        <v>12</v>
      </c>
      <c r="G441" s="54" t="s">
        <v>178</v>
      </c>
      <c r="H441">
        <v>4</v>
      </c>
      <c r="I441" s="1">
        <v>2</v>
      </c>
      <c r="J441" s="1">
        <v>0.12300315536609219</v>
      </c>
      <c r="K441" s="1">
        <v>3.5231171547656461</v>
      </c>
    </row>
    <row r="442" spans="4:11" ht="15" customHeight="1" x14ac:dyDescent="0.25">
      <c r="D442" t="s">
        <v>104</v>
      </c>
      <c r="E442" t="s">
        <v>11</v>
      </c>
      <c r="F442" t="s">
        <v>7</v>
      </c>
      <c r="G442" s="54" t="s">
        <v>180</v>
      </c>
      <c r="H442">
        <v>4</v>
      </c>
      <c r="I442" s="1">
        <v>1</v>
      </c>
      <c r="J442" s="1">
        <v>-4.1723383045408013E-2</v>
      </c>
      <c r="K442" s="1">
        <v>1.08518760678357</v>
      </c>
    </row>
    <row r="443" spans="4:11" x14ac:dyDescent="0.25">
      <c r="D443" t="s">
        <v>104</v>
      </c>
      <c r="E443" t="s">
        <v>10</v>
      </c>
      <c r="F443" t="s">
        <v>25</v>
      </c>
      <c r="G443" s="54" t="s">
        <v>182</v>
      </c>
      <c r="H443">
        <v>1</v>
      </c>
      <c r="I443" s="1">
        <v>-3</v>
      </c>
      <c r="J443" s="1">
        <v>0.43293073545424932</v>
      </c>
      <c r="K443" s="1">
        <v>11.785013434426453</v>
      </c>
    </row>
    <row r="444" spans="4:11" ht="15" customHeight="1" x14ac:dyDescent="0.25">
      <c r="D444" t="s">
        <v>104</v>
      </c>
      <c r="E444" t="s">
        <v>23</v>
      </c>
      <c r="F444" t="s">
        <v>176</v>
      </c>
      <c r="G444" s="54" t="s">
        <v>182</v>
      </c>
      <c r="H444">
        <v>3</v>
      </c>
      <c r="I444" s="1">
        <v>-1</v>
      </c>
      <c r="J444" s="1">
        <v>-1.3529046910050795</v>
      </c>
      <c r="K444" s="1">
        <v>0.12454172093339062</v>
      </c>
    </row>
    <row r="445" spans="4:11" x14ac:dyDescent="0.25">
      <c r="D445" t="s">
        <v>104</v>
      </c>
      <c r="E445" t="s">
        <v>35</v>
      </c>
      <c r="F445" t="s">
        <v>21</v>
      </c>
      <c r="G445" s="54" t="s">
        <v>180</v>
      </c>
      <c r="H445">
        <v>4</v>
      </c>
      <c r="I445" s="1">
        <v>1</v>
      </c>
      <c r="J445" s="1">
        <v>0.71188185558274597</v>
      </c>
      <c r="K445" s="1">
        <v>8.3012065142441652E-2</v>
      </c>
    </row>
    <row r="446" spans="4:11" ht="15" customHeight="1" x14ac:dyDescent="0.25">
      <c r="D446" t="s">
        <v>104</v>
      </c>
      <c r="E446" t="s">
        <v>38</v>
      </c>
      <c r="F446" t="s">
        <v>22</v>
      </c>
      <c r="G446" s="54" t="s">
        <v>180</v>
      </c>
      <c r="H446">
        <v>2</v>
      </c>
      <c r="I446" s="1">
        <v>-1</v>
      </c>
      <c r="J446" s="1">
        <v>-0.38198148523765951</v>
      </c>
      <c r="K446" s="1">
        <v>0.38194688458904924</v>
      </c>
    </row>
    <row r="447" spans="4:11" x14ac:dyDescent="0.25">
      <c r="D447" t="s">
        <v>104</v>
      </c>
      <c r="E447" t="s">
        <v>37</v>
      </c>
      <c r="F447" t="s">
        <v>3</v>
      </c>
      <c r="G447" s="54" t="s">
        <v>183</v>
      </c>
      <c r="H447">
        <v>1</v>
      </c>
      <c r="I447" s="1">
        <v>-4</v>
      </c>
      <c r="J447" s="1">
        <v>-0.25081873872748872</v>
      </c>
      <c r="K447" s="1">
        <v>14.056360129876939</v>
      </c>
    </row>
    <row r="448" spans="4:11" ht="15" customHeight="1" x14ac:dyDescent="0.25">
      <c r="D448" t="s">
        <v>104</v>
      </c>
      <c r="E448" t="s">
        <v>19</v>
      </c>
      <c r="F448" t="s">
        <v>32</v>
      </c>
      <c r="G448" s="54" t="s">
        <v>177</v>
      </c>
      <c r="H448">
        <v>2</v>
      </c>
      <c r="I448" s="1">
        <v>2</v>
      </c>
      <c r="J448" s="1">
        <v>-0.1562474371829552</v>
      </c>
      <c r="K448" s="1">
        <v>4.6494030103580624</v>
      </c>
    </row>
    <row r="449" spans="4:11" x14ac:dyDescent="0.25">
      <c r="D449" t="s">
        <v>105</v>
      </c>
      <c r="E449" t="s">
        <v>33</v>
      </c>
      <c r="F449" t="s">
        <v>0</v>
      </c>
      <c r="G449" s="54" t="s">
        <v>180</v>
      </c>
      <c r="H449">
        <v>4</v>
      </c>
      <c r="I449" s="1">
        <v>1</v>
      </c>
      <c r="J449" s="1">
        <v>-0.51279471676367905</v>
      </c>
      <c r="K449" s="1">
        <v>2.2885478550680998</v>
      </c>
    </row>
    <row r="450" spans="4:11" ht="15" customHeight="1" x14ac:dyDescent="0.25">
      <c r="D450" t="s">
        <v>105</v>
      </c>
      <c r="E450" t="s">
        <v>4</v>
      </c>
      <c r="F450" t="s">
        <v>20</v>
      </c>
      <c r="G450" s="54" t="s">
        <v>179</v>
      </c>
      <c r="H450">
        <v>2</v>
      </c>
      <c r="I450" s="1">
        <v>1</v>
      </c>
      <c r="J450" s="1">
        <v>0.50109803644147632</v>
      </c>
      <c r="K450" s="1">
        <v>0.24890316924255049</v>
      </c>
    </row>
    <row r="451" spans="4:11" x14ac:dyDescent="0.25">
      <c r="D451" t="s">
        <v>105</v>
      </c>
      <c r="E451" t="s">
        <v>37</v>
      </c>
      <c r="F451" t="s">
        <v>24</v>
      </c>
      <c r="G451" s="54" t="s">
        <v>178</v>
      </c>
      <c r="H451">
        <v>0</v>
      </c>
      <c r="I451" s="1">
        <v>-2</v>
      </c>
      <c r="J451" s="1">
        <v>-1.4559144109988722</v>
      </c>
      <c r="K451" s="1">
        <v>0.29602912815870414</v>
      </c>
    </row>
    <row r="452" spans="4:11" ht="18" customHeight="1" x14ac:dyDescent="0.25">
      <c r="D452" t="s">
        <v>106</v>
      </c>
      <c r="E452" t="s">
        <v>35</v>
      </c>
      <c r="F452" t="s">
        <v>40</v>
      </c>
      <c r="G452" s="54" t="s">
        <v>178</v>
      </c>
      <c r="H452">
        <v>3</v>
      </c>
      <c r="I452" s="1">
        <v>1</v>
      </c>
      <c r="J452" s="1">
        <v>0.91050362161409737</v>
      </c>
      <c r="K452" s="1">
        <v>8.0096017441926588E-3</v>
      </c>
    </row>
    <row r="453" spans="4:11" x14ac:dyDescent="0.25">
      <c r="D453" t="s">
        <v>106</v>
      </c>
      <c r="E453" t="s">
        <v>36</v>
      </c>
      <c r="F453" t="s">
        <v>11</v>
      </c>
      <c r="G453" s="54" t="s">
        <v>178</v>
      </c>
      <c r="H453">
        <v>4</v>
      </c>
      <c r="I453" s="1">
        <v>2</v>
      </c>
      <c r="J453" s="1">
        <v>-0.19765601214798778</v>
      </c>
      <c r="K453" s="1">
        <v>4.8296919477301969</v>
      </c>
    </row>
    <row r="454" spans="4:11" ht="18" customHeight="1" x14ac:dyDescent="0.25">
      <c r="D454" t="s">
        <v>106</v>
      </c>
      <c r="E454" t="s">
        <v>18</v>
      </c>
      <c r="F454" t="s">
        <v>8</v>
      </c>
      <c r="G454" s="54" t="s">
        <v>182</v>
      </c>
      <c r="H454">
        <v>5</v>
      </c>
      <c r="I454" s="1">
        <v>1</v>
      </c>
      <c r="J454" s="1">
        <v>-1.3273930796482318</v>
      </c>
      <c r="K454" s="1">
        <v>5.4167585471944806</v>
      </c>
    </row>
    <row r="455" spans="4:11" x14ac:dyDescent="0.25">
      <c r="D455" t="s">
        <v>107</v>
      </c>
      <c r="E455" t="s">
        <v>36</v>
      </c>
      <c r="F455" t="s">
        <v>1</v>
      </c>
      <c r="G455" s="54" t="s">
        <v>180</v>
      </c>
      <c r="H455">
        <v>1</v>
      </c>
      <c r="I455" s="1">
        <v>-2</v>
      </c>
      <c r="J455" s="1">
        <v>-0.55181987291484802</v>
      </c>
      <c r="K455" s="1">
        <v>2.097225680484367</v>
      </c>
    </row>
    <row r="456" spans="4:11" ht="15" customHeight="1" x14ac:dyDescent="0.25">
      <c r="D456" t="s">
        <v>107</v>
      </c>
      <c r="E456" t="s">
        <v>10</v>
      </c>
      <c r="F456" t="s">
        <v>0</v>
      </c>
      <c r="G456" s="54" t="s">
        <v>178</v>
      </c>
      <c r="H456">
        <v>6</v>
      </c>
      <c r="I456" s="1">
        <v>4</v>
      </c>
      <c r="J456" s="1">
        <v>-0.45289597673028936</v>
      </c>
      <c r="K456" s="1">
        <v>19.828282579580797</v>
      </c>
    </row>
    <row r="457" spans="4:11" x14ac:dyDescent="0.25">
      <c r="D457" t="s">
        <v>107</v>
      </c>
      <c r="E457" t="s">
        <v>27</v>
      </c>
      <c r="F457" t="s">
        <v>229</v>
      </c>
      <c r="G457" s="54" t="s">
        <v>179</v>
      </c>
      <c r="H457">
        <v>4</v>
      </c>
      <c r="I457" s="1">
        <v>3</v>
      </c>
      <c r="J457" s="1">
        <v>1.0410250148965332</v>
      </c>
      <c r="K457" s="1">
        <v>3.8375829922611278</v>
      </c>
    </row>
    <row r="458" spans="4:11" ht="15" customHeight="1" x14ac:dyDescent="0.25">
      <c r="D458" t="s">
        <v>107</v>
      </c>
      <c r="E458" t="s">
        <v>7</v>
      </c>
      <c r="F458" t="s">
        <v>13</v>
      </c>
      <c r="G458" s="54" t="s">
        <v>179</v>
      </c>
      <c r="H458">
        <v>0</v>
      </c>
      <c r="I458" s="1">
        <v>-1</v>
      </c>
      <c r="J458" s="1">
        <v>0.54798068727937732</v>
      </c>
      <c r="K458" s="1">
        <v>2.3962442081899336</v>
      </c>
    </row>
    <row r="459" spans="4:11" x14ac:dyDescent="0.25">
      <c r="D459" t="s">
        <v>107</v>
      </c>
      <c r="E459" t="s">
        <v>12</v>
      </c>
      <c r="F459" t="s">
        <v>14</v>
      </c>
      <c r="G459" s="54" t="s">
        <v>179</v>
      </c>
      <c r="H459">
        <v>2</v>
      </c>
      <c r="I459" s="1">
        <v>1</v>
      </c>
      <c r="J459" s="1">
        <v>-0.4224660315385762</v>
      </c>
      <c r="K459" s="1">
        <v>2.0234096108811057</v>
      </c>
    </row>
    <row r="460" spans="4:11" ht="15" customHeight="1" x14ac:dyDescent="0.25">
      <c r="D460" t="s">
        <v>107</v>
      </c>
      <c r="E460" t="s">
        <v>33</v>
      </c>
      <c r="F460" t="s">
        <v>38</v>
      </c>
      <c r="G460" s="54" t="s">
        <v>178</v>
      </c>
      <c r="H460">
        <v>5</v>
      </c>
      <c r="I460" s="1">
        <v>3</v>
      </c>
      <c r="J460" s="1">
        <v>0.67959056100292514</v>
      </c>
      <c r="K460" s="1">
        <v>5.3842999645867193</v>
      </c>
    </row>
    <row r="461" spans="4:11" x14ac:dyDescent="0.25">
      <c r="D461" t="s">
        <v>107</v>
      </c>
      <c r="E461" t="s">
        <v>2</v>
      </c>
      <c r="F461" t="s">
        <v>19</v>
      </c>
      <c r="G461" s="54" t="s">
        <v>178</v>
      </c>
      <c r="H461">
        <v>3</v>
      </c>
      <c r="I461" s="1">
        <v>1</v>
      </c>
      <c r="J461" s="1">
        <v>0.55850903272913399</v>
      </c>
      <c r="K461" s="1">
        <v>0.19491427418176488</v>
      </c>
    </row>
    <row r="462" spans="4:11" ht="15" customHeight="1" x14ac:dyDescent="0.25">
      <c r="D462" t="s">
        <v>107</v>
      </c>
      <c r="E462" t="s">
        <v>8</v>
      </c>
      <c r="F462" t="s">
        <v>25</v>
      </c>
      <c r="G462" s="54" t="s">
        <v>179</v>
      </c>
      <c r="H462">
        <v>5</v>
      </c>
      <c r="I462" s="1">
        <v>4</v>
      </c>
      <c r="J462" s="1">
        <v>1.8570143564872268</v>
      </c>
      <c r="K462" s="1">
        <v>4.5923874683018546</v>
      </c>
    </row>
    <row r="463" spans="4:11" x14ac:dyDescent="0.25">
      <c r="D463" t="s">
        <v>107</v>
      </c>
      <c r="E463" t="s">
        <v>23</v>
      </c>
      <c r="F463" t="s">
        <v>20</v>
      </c>
      <c r="G463" s="54" t="s">
        <v>180</v>
      </c>
      <c r="H463">
        <v>5</v>
      </c>
      <c r="I463" s="1">
        <v>2</v>
      </c>
      <c r="J463" s="1">
        <v>0.36278383850559237</v>
      </c>
      <c r="K463" s="1">
        <v>2.6804767594584824</v>
      </c>
    </row>
    <row r="464" spans="4:11" ht="18" customHeight="1" x14ac:dyDescent="0.25">
      <c r="D464" t="s">
        <v>107</v>
      </c>
      <c r="E464" t="s">
        <v>37</v>
      </c>
      <c r="F464" t="s">
        <v>4</v>
      </c>
      <c r="G464" s="54" t="s">
        <v>183</v>
      </c>
      <c r="H464">
        <v>2</v>
      </c>
      <c r="I464" s="1">
        <v>-3</v>
      </c>
      <c r="J464" s="1">
        <v>-0.19267022619517604</v>
      </c>
      <c r="K464" s="1">
        <v>7.8811004588910443</v>
      </c>
    </row>
    <row r="465" spans="4:11" x14ac:dyDescent="0.25">
      <c r="D465" t="s">
        <v>107</v>
      </c>
      <c r="E465" t="s">
        <v>24</v>
      </c>
      <c r="F465" t="s">
        <v>176</v>
      </c>
      <c r="G465" s="54" t="s">
        <v>179</v>
      </c>
      <c r="H465">
        <v>2</v>
      </c>
      <c r="I465" s="1">
        <v>1</v>
      </c>
      <c r="J465" s="1">
        <v>4.8653691734500626E-2</v>
      </c>
      <c r="K465" s="1">
        <v>0.90505979825039451</v>
      </c>
    </row>
    <row r="466" spans="4:11" ht="15" customHeight="1" x14ac:dyDescent="0.25">
      <c r="D466" t="s">
        <v>108</v>
      </c>
      <c r="E466" t="s">
        <v>18</v>
      </c>
      <c r="F466" t="s">
        <v>35</v>
      </c>
      <c r="G466" s="54" t="s">
        <v>178</v>
      </c>
      <c r="H466">
        <v>0</v>
      </c>
      <c r="I466" s="1">
        <v>-2</v>
      </c>
      <c r="J466" s="1">
        <v>-0.40318462477746664</v>
      </c>
      <c r="K466" s="1">
        <v>2.5498193425470799</v>
      </c>
    </row>
    <row r="467" spans="4:11" x14ac:dyDescent="0.25">
      <c r="D467" t="s">
        <v>108</v>
      </c>
      <c r="E467" t="s">
        <v>2</v>
      </c>
      <c r="F467" t="s">
        <v>23</v>
      </c>
      <c r="G467" s="54" t="s">
        <v>180</v>
      </c>
      <c r="H467">
        <v>2</v>
      </c>
      <c r="I467" s="1">
        <v>-1</v>
      </c>
      <c r="J467" s="1">
        <v>0.6265678574996798</v>
      </c>
      <c r="K467" s="1">
        <v>2.6457229950510985</v>
      </c>
    </row>
    <row r="468" spans="4:11" ht="15" customHeight="1" x14ac:dyDescent="0.25">
      <c r="D468" t="s">
        <v>108</v>
      </c>
      <c r="E468" t="s">
        <v>21</v>
      </c>
      <c r="F468" t="s">
        <v>3</v>
      </c>
      <c r="G468" s="54" t="s">
        <v>178</v>
      </c>
      <c r="H468">
        <v>0</v>
      </c>
      <c r="I468" s="1">
        <v>-2</v>
      </c>
      <c r="J468" s="1">
        <v>0.3781510313622789</v>
      </c>
      <c r="K468" s="1">
        <v>5.6556023279694712</v>
      </c>
    </row>
    <row r="469" spans="4:11" x14ac:dyDescent="0.25">
      <c r="D469" t="s">
        <v>109</v>
      </c>
      <c r="E469" t="s">
        <v>14</v>
      </c>
      <c r="F469" t="s">
        <v>1</v>
      </c>
      <c r="G469" s="54" t="s">
        <v>178</v>
      </c>
      <c r="H469">
        <v>1</v>
      </c>
      <c r="I469" s="1">
        <v>-1</v>
      </c>
      <c r="J469" s="1">
        <v>0.23724398451351192</v>
      </c>
      <c r="K469" s="1">
        <v>1.5307726772148713</v>
      </c>
    </row>
    <row r="470" spans="4:11" ht="15" customHeight="1" x14ac:dyDescent="0.25">
      <c r="D470" t="s">
        <v>109</v>
      </c>
      <c r="E470" t="s">
        <v>22</v>
      </c>
      <c r="F470" t="s">
        <v>11</v>
      </c>
      <c r="G470" s="54" t="s">
        <v>177</v>
      </c>
      <c r="H470">
        <v>1</v>
      </c>
      <c r="I470" s="1">
        <v>1</v>
      </c>
      <c r="J470" s="1">
        <v>0.40369655417373451</v>
      </c>
      <c r="K470" s="1">
        <v>0.35557779950427792</v>
      </c>
    </row>
    <row r="471" spans="4:11" x14ac:dyDescent="0.25">
      <c r="D471" t="s">
        <v>109</v>
      </c>
      <c r="E471" t="s">
        <v>0</v>
      </c>
      <c r="F471" t="s">
        <v>27</v>
      </c>
      <c r="G471" s="54" t="s">
        <v>179</v>
      </c>
      <c r="H471">
        <v>4</v>
      </c>
      <c r="I471" s="1">
        <v>3</v>
      </c>
      <c r="J471" s="1">
        <v>0.40653844545887807</v>
      </c>
      <c r="K471" s="1">
        <v>6.7260428348828531</v>
      </c>
    </row>
    <row r="472" spans="4:11" ht="15" customHeight="1" x14ac:dyDescent="0.25">
      <c r="D472" t="s">
        <v>109</v>
      </c>
      <c r="E472" t="s">
        <v>12</v>
      </c>
      <c r="F472" t="s">
        <v>7</v>
      </c>
      <c r="G472" s="54" t="s">
        <v>183</v>
      </c>
      <c r="H472">
        <v>4</v>
      </c>
      <c r="I472" s="1">
        <v>-1</v>
      </c>
      <c r="J472" s="1">
        <v>-0.36238255055948798</v>
      </c>
      <c r="K472" s="1">
        <v>0.40655601183102391</v>
      </c>
    </row>
    <row r="473" spans="4:11" x14ac:dyDescent="0.25">
      <c r="D473" t="s">
        <v>109</v>
      </c>
      <c r="E473" t="s">
        <v>10</v>
      </c>
      <c r="F473" t="s">
        <v>229</v>
      </c>
      <c r="G473" s="54" t="s">
        <v>178</v>
      </c>
      <c r="H473">
        <v>1</v>
      </c>
      <c r="I473" s="1">
        <v>-1</v>
      </c>
      <c r="J473" s="1">
        <v>0.505066502369246</v>
      </c>
      <c r="K473" s="1">
        <v>2.2652251765539955</v>
      </c>
    </row>
    <row r="474" spans="4:11" ht="15" customHeight="1" x14ac:dyDescent="0.25">
      <c r="D474" t="s">
        <v>109</v>
      </c>
      <c r="E474" t="s">
        <v>38</v>
      </c>
      <c r="F474" t="s">
        <v>33</v>
      </c>
      <c r="G474" s="54" t="s">
        <v>182</v>
      </c>
      <c r="H474">
        <v>6</v>
      </c>
      <c r="I474" s="1">
        <v>2</v>
      </c>
      <c r="J474" s="1">
        <v>-0.18998957974704922</v>
      </c>
      <c r="K474" s="1">
        <v>4.7960543594006575</v>
      </c>
    </row>
    <row r="475" spans="4:11" x14ac:dyDescent="0.25">
      <c r="D475" t="s">
        <v>109</v>
      </c>
      <c r="E475" t="s">
        <v>24</v>
      </c>
      <c r="F475" t="s">
        <v>32</v>
      </c>
      <c r="G475" s="54" t="s">
        <v>180</v>
      </c>
      <c r="H475">
        <v>4</v>
      </c>
      <c r="I475" s="1">
        <v>1</v>
      </c>
      <c r="J475" s="1">
        <v>1.1772521207860791</v>
      </c>
      <c r="K475" s="1">
        <v>3.1418314323162777E-2</v>
      </c>
    </row>
    <row r="476" spans="4:11" ht="18" customHeight="1" x14ac:dyDescent="0.25">
      <c r="D476" t="s">
        <v>110</v>
      </c>
      <c r="E476" t="s">
        <v>36</v>
      </c>
      <c r="F476" t="s">
        <v>35</v>
      </c>
      <c r="G476" s="54" t="s">
        <v>178</v>
      </c>
      <c r="H476">
        <v>3</v>
      </c>
      <c r="I476" s="1">
        <v>1</v>
      </c>
      <c r="J476" s="1">
        <v>-0.72433407639877601</v>
      </c>
      <c r="K476" s="1">
        <v>2.9733280070300201</v>
      </c>
    </row>
    <row r="477" spans="4:11" x14ac:dyDescent="0.25">
      <c r="D477" t="s">
        <v>110</v>
      </c>
      <c r="E477" t="s">
        <v>10</v>
      </c>
      <c r="F477" t="s">
        <v>18</v>
      </c>
      <c r="G477" s="54" t="s">
        <v>178</v>
      </c>
      <c r="H477">
        <v>6</v>
      </c>
      <c r="I477" s="1">
        <v>4</v>
      </c>
      <c r="J477" s="1">
        <v>0.39291043987113028</v>
      </c>
      <c r="K477" s="1">
        <v>13.011095094790683</v>
      </c>
    </row>
    <row r="478" spans="4:11" ht="15" customHeight="1" x14ac:dyDescent="0.25">
      <c r="D478" t="s">
        <v>110</v>
      </c>
      <c r="E478" t="s">
        <v>40</v>
      </c>
      <c r="F478" t="s">
        <v>13</v>
      </c>
      <c r="G478" s="54" t="s">
        <v>178</v>
      </c>
      <c r="H478">
        <v>1</v>
      </c>
      <c r="I478" s="1">
        <v>-1</v>
      </c>
      <c r="J478" s="1">
        <v>0.12243174687066016</v>
      </c>
      <c r="K478" s="1">
        <v>1.2598530263831218</v>
      </c>
    </row>
    <row r="479" spans="4:11" x14ac:dyDescent="0.25">
      <c r="D479" t="s">
        <v>110</v>
      </c>
      <c r="E479" t="s">
        <v>2</v>
      </c>
      <c r="F479" t="s">
        <v>25</v>
      </c>
      <c r="G479" s="54" t="s">
        <v>179</v>
      </c>
      <c r="H479">
        <v>2</v>
      </c>
      <c r="I479" s="1">
        <v>1</v>
      </c>
      <c r="J479" s="1">
        <v>0.51767865233085786</v>
      </c>
      <c r="K479" s="1">
        <v>0.23263388241737748</v>
      </c>
    </row>
    <row r="480" spans="4:11" ht="18" customHeight="1" x14ac:dyDescent="0.25">
      <c r="D480" t="s">
        <v>110</v>
      </c>
      <c r="E480" t="s">
        <v>21</v>
      </c>
      <c r="F480" t="s">
        <v>4</v>
      </c>
      <c r="G480" s="54" t="s">
        <v>178</v>
      </c>
      <c r="H480">
        <v>1</v>
      </c>
      <c r="I480" s="1">
        <v>-1</v>
      </c>
      <c r="J480" s="1">
        <v>0.43629954389459158</v>
      </c>
      <c r="K480" s="1">
        <v>2.062956379791812</v>
      </c>
    </row>
    <row r="481" spans="4:11" x14ac:dyDescent="0.25">
      <c r="D481" t="s">
        <v>111</v>
      </c>
      <c r="E481" t="s">
        <v>176</v>
      </c>
      <c r="F481" t="s">
        <v>33</v>
      </c>
      <c r="G481" s="54" t="s">
        <v>178</v>
      </c>
      <c r="H481">
        <v>4</v>
      </c>
      <c r="I481" s="1">
        <v>2</v>
      </c>
      <c r="J481" s="1">
        <v>1.6053849622992118</v>
      </c>
      <c r="K481" s="1">
        <v>0.1557210279795945</v>
      </c>
    </row>
    <row r="482" spans="4:11" ht="15" customHeight="1" x14ac:dyDescent="0.25">
      <c r="D482" t="s">
        <v>111</v>
      </c>
      <c r="E482" t="s">
        <v>22</v>
      </c>
      <c r="F482" t="s">
        <v>8</v>
      </c>
      <c r="G482" s="54" t="s">
        <v>183</v>
      </c>
      <c r="H482">
        <v>1</v>
      </c>
      <c r="I482" s="1">
        <v>-4</v>
      </c>
      <c r="J482" s="1">
        <v>-1.0471899649478189</v>
      </c>
      <c r="K482" s="1">
        <v>8.7190871031048633</v>
      </c>
    </row>
    <row r="483" spans="4:11" x14ac:dyDescent="0.25">
      <c r="D483" t="s">
        <v>111</v>
      </c>
      <c r="E483" t="s">
        <v>1</v>
      </c>
      <c r="F483" t="s">
        <v>0</v>
      </c>
      <c r="G483" s="54" t="s">
        <v>184</v>
      </c>
      <c r="H483">
        <v>4</v>
      </c>
      <c r="I483" s="1">
        <v>-3</v>
      </c>
      <c r="J483" s="1">
        <v>-0.12553501405200507</v>
      </c>
      <c r="K483" s="1">
        <v>8.262548955441007</v>
      </c>
    </row>
    <row r="484" spans="4:11" ht="15" customHeight="1" x14ac:dyDescent="0.25">
      <c r="D484" t="s">
        <v>111</v>
      </c>
      <c r="E484" t="s">
        <v>18</v>
      </c>
      <c r="F484" t="s">
        <v>229</v>
      </c>
      <c r="G484" s="54" t="s">
        <v>179</v>
      </c>
      <c r="H484">
        <v>4</v>
      </c>
      <c r="I484" s="1">
        <v>3</v>
      </c>
      <c r="J484" s="1">
        <v>0.35695655312605368</v>
      </c>
      <c r="K484" s="1">
        <v>6.9856786620633109</v>
      </c>
    </row>
    <row r="485" spans="4:11" x14ac:dyDescent="0.25">
      <c r="D485" t="s">
        <v>111</v>
      </c>
      <c r="E485" t="s">
        <v>12</v>
      </c>
      <c r="F485" t="s">
        <v>35</v>
      </c>
      <c r="G485" s="54" t="s">
        <v>182</v>
      </c>
      <c r="H485">
        <v>0</v>
      </c>
      <c r="I485" s="1">
        <v>-4</v>
      </c>
      <c r="J485" s="1">
        <v>-0.60253674113693023</v>
      </c>
      <c r="K485" s="1">
        <v>11.54275659532447</v>
      </c>
    </row>
    <row r="486" spans="4:11" ht="15" customHeight="1" x14ac:dyDescent="0.25">
      <c r="D486" t="s">
        <v>111</v>
      </c>
      <c r="E486" t="s">
        <v>36</v>
      </c>
      <c r="F486" t="s">
        <v>40</v>
      </c>
      <c r="G486" s="54" t="s">
        <v>179</v>
      </c>
      <c r="H486">
        <v>3</v>
      </c>
      <c r="I486" s="1">
        <v>2</v>
      </c>
      <c r="J486" s="1">
        <v>-5.8630945412616597E-2</v>
      </c>
      <c r="K486" s="1">
        <v>4.2379613694104439</v>
      </c>
    </row>
    <row r="487" spans="4:11" x14ac:dyDescent="0.25">
      <c r="D487" t="s">
        <v>111</v>
      </c>
      <c r="E487" t="s">
        <v>14</v>
      </c>
      <c r="F487" t="s">
        <v>11</v>
      </c>
      <c r="G487" s="54" t="s">
        <v>179</v>
      </c>
      <c r="H487">
        <v>3</v>
      </c>
      <c r="I487" s="1">
        <v>2</v>
      </c>
      <c r="J487" s="1">
        <v>0.59140784528037216</v>
      </c>
      <c r="K487" s="1">
        <v>1.9841318583376839</v>
      </c>
    </row>
    <row r="488" spans="4:11" ht="15" customHeight="1" x14ac:dyDescent="0.25">
      <c r="D488" t="s">
        <v>111</v>
      </c>
      <c r="E488" t="s">
        <v>37</v>
      </c>
      <c r="F488" t="s">
        <v>27</v>
      </c>
      <c r="G488" s="54" t="s">
        <v>180</v>
      </c>
      <c r="H488">
        <v>2</v>
      </c>
      <c r="I488" s="1">
        <v>-1</v>
      </c>
      <c r="J488" s="1">
        <v>-0.8873339907817126</v>
      </c>
      <c r="K488" s="1">
        <v>1.2693629633175222E-2</v>
      </c>
    </row>
    <row r="489" spans="4:11" x14ac:dyDescent="0.25">
      <c r="D489" t="s">
        <v>111</v>
      </c>
      <c r="E489" t="s">
        <v>20</v>
      </c>
      <c r="F489" t="s">
        <v>7</v>
      </c>
      <c r="G489" s="54" t="s">
        <v>178</v>
      </c>
      <c r="H489">
        <v>3</v>
      </c>
      <c r="I489" s="1">
        <v>1</v>
      </c>
      <c r="J489" s="1">
        <v>-0.42992328282961978</v>
      </c>
      <c r="K489" s="1">
        <v>2.0446805947782369</v>
      </c>
    </row>
    <row r="490" spans="4:11" ht="15" customHeight="1" x14ac:dyDescent="0.25">
      <c r="D490" t="s">
        <v>111</v>
      </c>
      <c r="E490" t="s">
        <v>19</v>
      </c>
      <c r="F490" t="s">
        <v>23</v>
      </c>
      <c r="G490" s="54" t="s">
        <v>181</v>
      </c>
      <c r="H490">
        <v>5</v>
      </c>
      <c r="I490" s="1">
        <v>-1</v>
      </c>
      <c r="J490" s="1">
        <v>0.31285931539848377</v>
      </c>
      <c r="K490" s="1">
        <v>1.7235995820285754</v>
      </c>
    </row>
    <row r="491" spans="4:11" x14ac:dyDescent="0.25">
      <c r="D491" t="s">
        <v>111</v>
      </c>
      <c r="E491" t="s">
        <v>4</v>
      </c>
      <c r="F491" t="s">
        <v>3</v>
      </c>
      <c r="G491" s="54" t="s">
        <v>178</v>
      </c>
      <c r="H491">
        <v>3</v>
      </c>
      <c r="I491" s="1">
        <v>1</v>
      </c>
      <c r="J491" s="1">
        <v>0.18665197809562528</v>
      </c>
      <c r="K491" s="1">
        <v>0.66153500473575921</v>
      </c>
    </row>
    <row r="492" spans="4:11" ht="18" customHeight="1" x14ac:dyDescent="0.25">
      <c r="D492" t="s">
        <v>111</v>
      </c>
      <c r="E492" t="s">
        <v>38</v>
      </c>
      <c r="F492" t="s">
        <v>32</v>
      </c>
      <c r="G492" s="54" t="s">
        <v>178</v>
      </c>
      <c r="H492">
        <v>3</v>
      </c>
      <c r="I492" s="1">
        <v>1</v>
      </c>
      <c r="J492" s="1">
        <v>-0.42197562236674457</v>
      </c>
      <c r="K492" s="1">
        <v>2.0220146706052904</v>
      </c>
    </row>
    <row r="493" spans="4:11" x14ac:dyDescent="0.25">
      <c r="D493" t="s">
        <v>112</v>
      </c>
      <c r="E493" t="s">
        <v>22</v>
      </c>
      <c r="F493" t="s">
        <v>13</v>
      </c>
      <c r="G493" s="54" t="s">
        <v>178</v>
      </c>
      <c r="H493">
        <v>1</v>
      </c>
      <c r="I493" s="1">
        <v>-1</v>
      </c>
      <c r="J493" s="1">
        <v>0.4203528771518279</v>
      </c>
      <c r="K493" s="1">
        <v>2.0174022956334756</v>
      </c>
    </row>
    <row r="494" spans="4:11" ht="15" customHeight="1" x14ac:dyDescent="0.25">
      <c r="D494" t="s">
        <v>112</v>
      </c>
      <c r="E494" t="s">
        <v>21</v>
      </c>
      <c r="F494" t="s">
        <v>24</v>
      </c>
      <c r="G494" s="54" t="s">
        <v>181</v>
      </c>
      <c r="H494">
        <v>5</v>
      </c>
      <c r="I494" s="1">
        <v>-1</v>
      </c>
      <c r="J494" s="1">
        <v>-0.82694464090910458</v>
      </c>
      <c r="K494" s="1">
        <v>2.9948157310078761E-2</v>
      </c>
    </row>
    <row r="495" spans="4:11" x14ac:dyDescent="0.25">
      <c r="D495" t="s">
        <v>112</v>
      </c>
      <c r="E495" t="s">
        <v>8</v>
      </c>
      <c r="F495" t="s">
        <v>2</v>
      </c>
      <c r="G495" s="54" t="s">
        <v>180</v>
      </c>
      <c r="H495">
        <v>4</v>
      </c>
      <c r="I495" s="1">
        <v>1</v>
      </c>
      <c r="J495" s="1">
        <v>1.5841361947843069</v>
      </c>
      <c r="K495" s="1">
        <v>0.34121509405708972</v>
      </c>
    </row>
    <row r="496" spans="4:11" ht="15" customHeight="1" x14ac:dyDescent="0.25">
      <c r="D496" t="s">
        <v>112</v>
      </c>
      <c r="E496" t="s">
        <v>27</v>
      </c>
      <c r="F496" t="s">
        <v>37</v>
      </c>
      <c r="G496" s="54" t="s">
        <v>177</v>
      </c>
      <c r="H496">
        <v>1</v>
      </c>
      <c r="I496" s="1">
        <v>1</v>
      </c>
      <c r="J496" s="1">
        <v>1.3769349720375885</v>
      </c>
      <c r="K496" s="1">
        <v>0.14207997314497764</v>
      </c>
    </row>
    <row r="497" spans="4:11" x14ac:dyDescent="0.25">
      <c r="D497" t="s">
        <v>112</v>
      </c>
      <c r="E497" t="s">
        <v>0</v>
      </c>
      <c r="F497" t="s">
        <v>20</v>
      </c>
      <c r="G497" s="54" t="s">
        <v>177</v>
      </c>
      <c r="H497">
        <v>4</v>
      </c>
      <c r="I497" s="1">
        <v>4</v>
      </c>
      <c r="J497" s="1">
        <v>1.357499755858953</v>
      </c>
      <c r="K497" s="1">
        <v>6.982807540285493</v>
      </c>
    </row>
    <row r="498" spans="4:11" ht="18" customHeight="1" x14ac:dyDescent="0.25">
      <c r="D498" t="s">
        <v>112</v>
      </c>
      <c r="E498" t="s">
        <v>1</v>
      </c>
      <c r="F498" t="s">
        <v>25</v>
      </c>
      <c r="G498" s="54" t="s">
        <v>182</v>
      </c>
      <c r="H498">
        <v>3</v>
      </c>
      <c r="I498" s="1">
        <v>-1</v>
      </c>
      <c r="J498" s="1">
        <v>0.76029169813253361</v>
      </c>
      <c r="K498" s="1">
        <v>3.098626862514319</v>
      </c>
    </row>
    <row r="499" spans="4:11" x14ac:dyDescent="0.25">
      <c r="D499" t="s">
        <v>113</v>
      </c>
      <c r="E499" t="s">
        <v>18</v>
      </c>
      <c r="F499" t="s">
        <v>12</v>
      </c>
      <c r="G499" s="54" t="s">
        <v>179</v>
      </c>
      <c r="H499">
        <v>2</v>
      </c>
      <c r="I499" s="1">
        <v>1</v>
      </c>
      <c r="J499" s="1">
        <v>0.44415260698740155</v>
      </c>
      <c r="K499" s="1">
        <v>0.30896632431890209</v>
      </c>
    </row>
    <row r="500" spans="4:11" ht="15" customHeight="1" x14ac:dyDescent="0.25">
      <c r="D500" t="s">
        <v>113</v>
      </c>
      <c r="E500" t="s">
        <v>19</v>
      </c>
      <c r="F500" t="s">
        <v>7</v>
      </c>
      <c r="G500" s="54" t="s">
        <v>183</v>
      </c>
      <c r="H500">
        <v>1</v>
      </c>
      <c r="I500" s="1">
        <v>-4</v>
      </c>
      <c r="J500" s="1">
        <v>-0.24388111018141956</v>
      </c>
      <c r="K500" s="1">
        <v>14.108429114451965</v>
      </c>
    </row>
    <row r="501" spans="4:11" x14ac:dyDescent="0.25">
      <c r="D501" t="s">
        <v>113</v>
      </c>
      <c r="E501" t="s">
        <v>11</v>
      </c>
      <c r="F501" t="s">
        <v>14</v>
      </c>
      <c r="G501" s="54" t="s">
        <v>180</v>
      </c>
      <c r="H501">
        <v>4</v>
      </c>
      <c r="I501" s="1">
        <v>1</v>
      </c>
      <c r="J501" s="1">
        <v>-0.10180686402449624</v>
      </c>
      <c r="K501" s="1">
        <v>1.2139783656114946</v>
      </c>
    </row>
    <row r="502" spans="4:11" ht="15" customHeight="1" x14ac:dyDescent="0.25">
      <c r="D502" t="s">
        <v>113</v>
      </c>
      <c r="E502" t="s">
        <v>176</v>
      </c>
      <c r="F502" t="s">
        <v>3</v>
      </c>
      <c r="G502" s="54" t="s">
        <v>179</v>
      </c>
      <c r="H502">
        <v>7</v>
      </c>
      <c r="I502" s="1">
        <v>6</v>
      </c>
      <c r="J502" s="1">
        <v>1.6460429617927588</v>
      </c>
      <c r="K502" s="1">
        <v>18.956941890554372</v>
      </c>
    </row>
    <row r="503" spans="4:11" x14ac:dyDescent="0.25">
      <c r="D503" t="s">
        <v>113</v>
      </c>
      <c r="E503" t="s">
        <v>32</v>
      </c>
      <c r="F503" t="s">
        <v>10</v>
      </c>
      <c r="G503" s="54" t="s">
        <v>178</v>
      </c>
      <c r="H503">
        <v>3</v>
      </c>
      <c r="I503" s="1">
        <v>1</v>
      </c>
      <c r="J503" s="1">
        <v>0.41688779321424363</v>
      </c>
      <c r="K503" s="1">
        <v>0.34001984570255472</v>
      </c>
    </row>
    <row r="504" spans="4:11" ht="18" customHeight="1" x14ac:dyDescent="0.25">
      <c r="D504" t="s">
        <v>113</v>
      </c>
      <c r="E504" t="s">
        <v>4</v>
      </c>
      <c r="F504" t="s">
        <v>33</v>
      </c>
      <c r="G504" s="54" t="s">
        <v>182</v>
      </c>
      <c r="H504">
        <v>3</v>
      </c>
      <c r="I504" s="1">
        <v>-1</v>
      </c>
      <c r="J504" s="1">
        <v>0.1459939786020783</v>
      </c>
      <c r="K504" s="1">
        <v>1.3133021989922207</v>
      </c>
    </row>
    <row r="505" spans="4:11" x14ac:dyDescent="0.25">
      <c r="D505" t="s">
        <v>114</v>
      </c>
      <c r="E505" t="s">
        <v>19</v>
      </c>
      <c r="F505" t="s">
        <v>2</v>
      </c>
      <c r="G505" s="54" t="s">
        <v>180</v>
      </c>
      <c r="H505">
        <v>5</v>
      </c>
      <c r="I505" s="1">
        <v>2</v>
      </c>
      <c r="J505" s="1">
        <v>-6.890805147325807E-2</v>
      </c>
      <c r="K505" s="1">
        <v>4.2803805254508731</v>
      </c>
    </row>
    <row r="506" spans="4:11" ht="15" customHeight="1" x14ac:dyDescent="0.25">
      <c r="D506" t="s">
        <v>114</v>
      </c>
      <c r="E506" t="s">
        <v>27</v>
      </c>
      <c r="F506" t="s">
        <v>35</v>
      </c>
      <c r="G506" s="54" t="s">
        <v>178</v>
      </c>
      <c r="H506">
        <v>1</v>
      </c>
      <c r="I506" s="1">
        <v>-1</v>
      </c>
      <c r="J506" s="1">
        <v>0.28088383699301289</v>
      </c>
      <c r="K506" s="1">
        <v>1.6406634038699432</v>
      </c>
    </row>
    <row r="507" spans="4:11" x14ac:dyDescent="0.25">
      <c r="D507" t="s">
        <v>114</v>
      </c>
      <c r="E507" t="s">
        <v>229</v>
      </c>
      <c r="F507" t="s">
        <v>40</v>
      </c>
      <c r="G507" s="54" t="s">
        <v>180</v>
      </c>
      <c r="H507">
        <v>1</v>
      </c>
      <c r="I507" s="1">
        <v>-2</v>
      </c>
      <c r="J507" s="1">
        <v>0.15036244371057705</v>
      </c>
      <c r="K507" s="1">
        <v>4.6240586393209249</v>
      </c>
    </row>
    <row r="508" spans="4:11" ht="15" customHeight="1" x14ac:dyDescent="0.25">
      <c r="D508" t="s">
        <v>114</v>
      </c>
      <c r="E508" t="s">
        <v>12</v>
      </c>
      <c r="F508" t="s">
        <v>37</v>
      </c>
      <c r="G508" s="54" t="s">
        <v>178</v>
      </c>
      <c r="H508">
        <v>4</v>
      </c>
      <c r="I508" s="1">
        <v>2</v>
      </c>
      <c r="J508" s="1">
        <v>0.4935143939076454</v>
      </c>
      <c r="K508" s="1">
        <v>2.2694988813634489</v>
      </c>
    </row>
    <row r="509" spans="4:11" x14ac:dyDescent="0.25">
      <c r="D509" t="s">
        <v>114</v>
      </c>
      <c r="E509" t="s">
        <v>1</v>
      </c>
      <c r="F509" t="s">
        <v>23</v>
      </c>
      <c r="G509" s="54" t="s">
        <v>183</v>
      </c>
      <c r="H509">
        <v>2</v>
      </c>
      <c r="I509" s="1">
        <v>-3</v>
      </c>
      <c r="J509" s="1">
        <v>0.86918090330135556</v>
      </c>
      <c r="K509" s="1">
        <v>14.970560862471894</v>
      </c>
    </row>
    <row r="510" spans="4:11" ht="15" customHeight="1" x14ac:dyDescent="0.25">
      <c r="D510" t="s">
        <v>114</v>
      </c>
      <c r="E510" t="s">
        <v>0</v>
      </c>
      <c r="F510" t="s">
        <v>21</v>
      </c>
      <c r="G510" s="54" t="s">
        <v>182</v>
      </c>
      <c r="H510">
        <v>0</v>
      </c>
      <c r="I510" s="1">
        <v>-4</v>
      </c>
      <c r="J510" s="1">
        <v>0.90970315677876101</v>
      </c>
      <c r="K510" s="1">
        <v>24.105185087683331</v>
      </c>
    </row>
    <row r="511" spans="4:11" x14ac:dyDescent="0.25">
      <c r="D511" t="s">
        <v>114</v>
      </c>
      <c r="E511" t="s">
        <v>8</v>
      </c>
      <c r="F511" t="s">
        <v>13</v>
      </c>
      <c r="G511" s="54" t="s">
        <v>180</v>
      </c>
      <c r="H511">
        <v>6</v>
      </c>
      <c r="I511" s="1">
        <v>3</v>
      </c>
      <c r="J511" s="1">
        <v>1.7123433327275848</v>
      </c>
      <c r="K511" s="1">
        <v>1.6580596927711035</v>
      </c>
    </row>
    <row r="512" spans="4:11" ht="15" customHeight="1" x14ac:dyDescent="0.25">
      <c r="D512" t="s">
        <v>114</v>
      </c>
      <c r="E512" t="s">
        <v>11</v>
      </c>
      <c r="F512" t="s">
        <v>36</v>
      </c>
      <c r="G512" s="54" t="s">
        <v>180</v>
      </c>
      <c r="H512">
        <v>4</v>
      </c>
      <c r="I512" s="1">
        <v>1</v>
      </c>
      <c r="J512" s="1">
        <v>0.6872569934038637</v>
      </c>
      <c r="K512" s="1">
        <v>9.780818817479095E-2</v>
      </c>
    </row>
    <row r="513" spans="4:11" x14ac:dyDescent="0.25">
      <c r="D513" t="s">
        <v>114</v>
      </c>
      <c r="E513" t="s">
        <v>176</v>
      </c>
      <c r="F513" t="s">
        <v>24</v>
      </c>
      <c r="G513" s="54" t="s">
        <v>183</v>
      </c>
      <c r="H513">
        <v>1</v>
      </c>
      <c r="I513" s="1">
        <v>-4</v>
      </c>
      <c r="J513" s="1">
        <v>0.4409472895213753</v>
      </c>
      <c r="K513" s="1">
        <v>19.72201282830725</v>
      </c>
    </row>
    <row r="514" spans="4:11" ht="15" customHeight="1" x14ac:dyDescent="0.25">
      <c r="D514" t="s">
        <v>114</v>
      </c>
      <c r="E514" t="s">
        <v>38</v>
      </c>
      <c r="F514" t="s">
        <v>22</v>
      </c>
      <c r="G514" s="54" t="s">
        <v>177</v>
      </c>
      <c r="H514">
        <v>5</v>
      </c>
      <c r="I514" s="1">
        <v>5</v>
      </c>
      <c r="J514" s="1">
        <v>-0.38198148523765951</v>
      </c>
      <c r="K514" s="1">
        <v>28.965724707440963</v>
      </c>
    </row>
    <row r="515" spans="4:11" x14ac:dyDescent="0.25">
      <c r="D515" t="s">
        <v>114</v>
      </c>
      <c r="E515" t="s">
        <v>25</v>
      </c>
      <c r="F515" t="s">
        <v>20</v>
      </c>
      <c r="G515" s="54" t="s">
        <v>183</v>
      </c>
      <c r="H515">
        <v>1</v>
      </c>
      <c r="I515" s="1">
        <v>-4</v>
      </c>
      <c r="J515" s="1">
        <v>0.47167304367441432</v>
      </c>
      <c r="K515" s="1">
        <v>19.995859809524401</v>
      </c>
    </row>
    <row r="516" spans="4:11" ht="15" customHeight="1" x14ac:dyDescent="0.25">
      <c r="D516" t="s">
        <v>115</v>
      </c>
      <c r="E516" t="s">
        <v>40</v>
      </c>
      <c r="F516" t="s">
        <v>8</v>
      </c>
      <c r="G516" s="54" t="s">
        <v>180</v>
      </c>
      <c r="H516">
        <v>4</v>
      </c>
      <c r="I516" s="1">
        <v>1</v>
      </c>
      <c r="J516" s="1">
        <v>-1.3451110952289866</v>
      </c>
      <c r="K516" s="1">
        <v>5.4995460489660974</v>
      </c>
    </row>
    <row r="517" spans="4:11" x14ac:dyDescent="0.25">
      <c r="D517" t="s">
        <v>115</v>
      </c>
      <c r="E517" t="s">
        <v>13</v>
      </c>
      <c r="F517" t="s">
        <v>18</v>
      </c>
      <c r="G517" s="54" t="s">
        <v>180</v>
      </c>
      <c r="H517">
        <v>2</v>
      </c>
      <c r="I517" s="1">
        <v>-1</v>
      </c>
      <c r="J517" s="1">
        <v>0.34945121880446095</v>
      </c>
      <c r="K517" s="1">
        <v>1.8210185919328452</v>
      </c>
    </row>
    <row r="518" spans="4:11" ht="15" customHeight="1" x14ac:dyDescent="0.25">
      <c r="D518" t="s">
        <v>115</v>
      </c>
      <c r="E518" t="s">
        <v>27</v>
      </c>
      <c r="F518" t="s">
        <v>36</v>
      </c>
      <c r="G518" s="54" t="s">
        <v>179</v>
      </c>
      <c r="H518">
        <v>2</v>
      </c>
      <c r="I518" s="1">
        <v>1</v>
      </c>
      <c r="J518" s="1">
        <v>1.2500184040197269</v>
      </c>
      <c r="K518" s="1">
        <v>6.2509202348571366E-2</v>
      </c>
    </row>
    <row r="519" spans="4:11" x14ac:dyDescent="0.25">
      <c r="D519" t="s">
        <v>115</v>
      </c>
      <c r="E519" t="s">
        <v>35</v>
      </c>
      <c r="F519" t="s">
        <v>37</v>
      </c>
      <c r="G519" s="54" t="s">
        <v>179</v>
      </c>
      <c r="H519">
        <v>3</v>
      </c>
      <c r="I519" s="1">
        <v>2</v>
      </c>
      <c r="J519" s="1">
        <v>1.3408516256725136</v>
      </c>
      <c r="K519" s="1">
        <v>0.43447657937856815</v>
      </c>
    </row>
    <row r="520" spans="4:11" ht="18" customHeight="1" x14ac:dyDescent="0.25">
      <c r="D520" t="s">
        <v>115</v>
      </c>
      <c r="E520" t="s">
        <v>2</v>
      </c>
      <c r="F520" t="s">
        <v>7</v>
      </c>
      <c r="G520" s="54" t="s">
        <v>178</v>
      </c>
      <c r="H520">
        <v>6</v>
      </c>
      <c r="I520" s="1">
        <v>4</v>
      </c>
      <c r="J520" s="1">
        <v>6.9827431919776473E-2</v>
      </c>
      <c r="K520" s="1">
        <v>15.4462564148903</v>
      </c>
    </row>
    <row r="521" spans="4:11" x14ac:dyDescent="0.25">
      <c r="D521" t="s">
        <v>115</v>
      </c>
      <c r="E521" t="s">
        <v>25</v>
      </c>
      <c r="F521" t="s">
        <v>23</v>
      </c>
      <c r="G521" s="54" t="s">
        <v>182</v>
      </c>
      <c r="H521">
        <v>3</v>
      </c>
      <c r="I521" s="1">
        <v>-1</v>
      </c>
      <c r="J521" s="1">
        <v>0.35368969579675991</v>
      </c>
      <c r="K521" s="1">
        <v>1.8324757925063244</v>
      </c>
    </row>
    <row r="522" spans="4:11" ht="15" customHeight="1" x14ac:dyDescent="0.25">
      <c r="D522" t="s">
        <v>115</v>
      </c>
      <c r="E522" t="s">
        <v>12</v>
      </c>
      <c r="F522" t="s">
        <v>11</v>
      </c>
      <c r="G522" s="54" t="s">
        <v>180</v>
      </c>
      <c r="H522">
        <v>0</v>
      </c>
      <c r="I522" s="1">
        <v>-3</v>
      </c>
      <c r="J522" s="1">
        <v>-7.5858676886142007E-2</v>
      </c>
      <c r="K522" s="1">
        <v>8.5506024775420642</v>
      </c>
    </row>
    <row r="523" spans="4:11" x14ac:dyDescent="0.25">
      <c r="D523" t="s">
        <v>115</v>
      </c>
      <c r="E523" t="s">
        <v>21</v>
      </c>
      <c r="F523" t="s">
        <v>38</v>
      </c>
      <c r="G523" s="54" t="s">
        <v>182</v>
      </c>
      <c r="H523">
        <v>3</v>
      </c>
      <c r="I523" s="1">
        <v>-1</v>
      </c>
      <c r="J523" s="1">
        <v>0.7722831022437191</v>
      </c>
      <c r="K523" s="1">
        <v>3.1409873944986209</v>
      </c>
    </row>
    <row r="524" spans="4:11" ht="15" customHeight="1" x14ac:dyDescent="0.25">
      <c r="D524" t="s">
        <v>115</v>
      </c>
      <c r="E524" t="s">
        <v>1</v>
      </c>
      <c r="F524" t="s">
        <v>19</v>
      </c>
      <c r="G524" s="54" t="s">
        <v>179</v>
      </c>
      <c r="H524">
        <v>4</v>
      </c>
      <c r="I524" s="1">
        <v>3</v>
      </c>
      <c r="J524" s="1">
        <v>0.80112207853080974</v>
      </c>
      <c r="K524" s="1">
        <v>4.8350641135246661</v>
      </c>
    </row>
    <row r="525" spans="4:11" x14ac:dyDescent="0.25">
      <c r="D525" t="s">
        <v>115</v>
      </c>
      <c r="E525" t="s">
        <v>10</v>
      </c>
      <c r="F525" t="s">
        <v>176</v>
      </c>
      <c r="G525" s="54" t="s">
        <v>179</v>
      </c>
      <c r="H525">
        <v>2</v>
      </c>
      <c r="I525" s="1">
        <v>1</v>
      </c>
      <c r="J525" s="1">
        <v>-1.0558852410099462</v>
      </c>
      <c r="K525" s="1">
        <v>4.2266641242025242</v>
      </c>
    </row>
    <row r="526" spans="4:11" ht="18" customHeight="1" x14ac:dyDescent="0.25">
      <c r="D526" t="s">
        <v>115</v>
      </c>
      <c r="E526" t="s">
        <v>20</v>
      </c>
      <c r="F526" t="s">
        <v>22</v>
      </c>
      <c r="G526" s="54" t="s">
        <v>183</v>
      </c>
      <c r="H526">
        <v>2</v>
      </c>
      <c r="I526" s="1">
        <v>-3</v>
      </c>
      <c r="J526" s="1">
        <v>-0.30229547270207036</v>
      </c>
      <c r="K526" s="1">
        <v>7.2776097166037461</v>
      </c>
    </row>
    <row r="527" spans="4:11" x14ac:dyDescent="0.25">
      <c r="D527" t="s">
        <v>115</v>
      </c>
      <c r="E527" t="s">
        <v>24</v>
      </c>
      <c r="F527" t="s">
        <v>4</v>
      </c>
      <c r="G527" s="54" t="s">
        <v>179</v>
      </c>
      <c r="H527">
        <v>4</v>
      </c>
      <c r="I527" s="1">
        <v>3</v>
      </c>
      <c r="J527" s="1">
        <v>1.5080446754316341</v>
      </c>
      <c r="K527" s="1">
        <v>2.2259306905078979</v>
      </c>
    </row>
    <row r="528" spans="4:11" ht="15" customHeight="1" x14ac:dyDescent="0.25">
      <c r="D528" t="s">
        <v>115</v>
      </c>
      <c r="E528" t="s">
        <v>32</v>
      </c>
      <c r="F528" t="s">
        <v>33</v>
      </c>
      <c r="G528" s="54" t="s">
        <v>179</v>
      </c>
      <c r="H528">
        <v>3</v>
      </c>
      <c r="I528" s="1">
        <v>2</v>
      </c>
      <c r="J528" s="1">
        <v>0.47678653324763332</v>
      </c>
      <c r="K528" s="1">
        <v>2.3201792652957631</v>
      </c>
    </row>
    <row r="529" spans="4:11" x14ac:dyDescent="0.25">
      <c r="D529" t="s">
        <v>116</v>
      </c>
      <c r="E529" t="s">
        <v>0</v>
      </c>
      <c r="F529" t="s">
        <v>14</v>
      </c>
      <c r="G529" s="54" t="s">
        <v>182</v>
      </c>
      <c r="H529">
        <v>6</v>
      </c>
      <c r="I529" s="1">
        <v>2</v>
      </c>
      <c r="J529" s="1">
        <v>0.62269250142230703</v>
      </c>
      <c r="K529" s="1">
        <v>1.8969759456383417</v>
      </c>
    </row>
    <row r="530" spans="4:11" ht="18" customHeight="1" x14ac:dyDescent="0.25">
      <c r="D530" t="s">
        <v>116</v>
      </c>
      <c r="E530" t="s">
        <v>3</v>
      </c>
      <c r="F530" t="s">
        <v>10</v>
      </c>
      <c r="G530" s="54" t="s">
        <v>179</v>
      </c>
      <c r="H530">
        <v>2</v>
      </c>
      <c r="I530" s="1">
        <v>1</v>
      </c>
      <c r="J530" s="1">
        <v>0.14424375110100129</v>
      </c>
      <c r="K530" s="1">
        <v>0.732318757529685</v>
      </c>
    </row>
    <row r="531" spans="4:11" x14ac:dyDescent="0.25">
      <c r="D531" t="s">
        <v>117</v>
      </c>
      <c r="E531" t="s">
        <v>13</v>
      </c>
      <c r="F531" t="s">
        <v>2</v>
      </c>
      <c r="G531" s="54" t="s">
        <v>178</v>
      </c>
      <c r="H531">
        <v>5</v>
      </c>
      <c r="I531" s="1">
        <v>3</v>
      </c>
      <c r="J531" s="1">
        <v>0.11659335268466009</v>
      </c>
      <c r="K531" s="1">
        <v>8.3140338937822893</v>
      </c>
    </row>
    <row r="532" spans="4:11" ht="15" customHeight="1" x14ac:dyDescent="0.25">
      <c r="D532" t="s">
        <v>117</v>
      </c>
      <c r="E532" t="s">
        <v>11</v>
      </c>
      <c r="F532" t="s">
        <v>35</v>
      </c>
      <c r="G532" s="54" t="s">
        <v>179</v>
      </c>
      <c r="H532">
        <v>3</v>
      </c>
      <c r="I532" s="1">
        <v>2</v>
      </c>
      <c r="J532" s="1">
        <v>-0.28187757362285026</v>
      </c>
      <c r="K532" s="1">
        <v>5.2069652610029067</v>
      </c>
    </row>
    <row r="533" spans="4:11" x14ac:dyDescent="0.25">
      <c r="D533" t="s">
        <v>117</v>
      </c>
      <c r="E533" t="s">
        <v>12</v>
      </c>
      <c r="F533" t="s">
        <v>40</v>
      </c>
      <c r="G533" s="54" t="s">
        <v>180</v>
      </c>
      <c r="H533">
        <v>4</v>
      </c>
      <c r="I533" s="1">
        <v>1</v>
      </c>
      <c r="J533" s="1">
        <v>6.3166389849229176E-2</v>
      </c>
      <c r="K533" s="1">
        <v>0.8776572131081265</v>
      </c>
    </row>
    <row r="534" spans="4:11" ht="15" customHeight="1" x14ac:dyDescent="0.25">
      <c r="D534" t="s">
        <v>117</v>
      </c>
      <c r="E534" t="s">
        <v>229</v>
      </c>
      <c r="F534" t="s">
        <v>27</v>
      </c>
      <c r="G534" s="54" t="s">
        <v>180</v>
      </c>
      <c r="H534">
        <v>1</v>
      </c>
      <c r="I534" s="1">
        <v>-2</v>
      </c>
      <c r="J534" s="1">
        <v>-0.55142403364065729</v>
      </c>
      <c r="K534" s="1">
        <v>2.0983723303139037</v>
      </c>
    </row>
    <row r="535" spans="4:11" x14ac:dyDescent="0.25">
      <c r="D535" t="s">
        <v>117</v>
      </c>
      <c r="E535" t="s">
        <v>8</v>
      </c>
      <c r="F535" t="s">
        <v>18</v>
      </c>
      <c r="G535" s="54" t="s">
        <v>178</v>
      </c>
      <c r="H535">
        <v>5</v>
      </c>
      <c r="I535" s="1">
        <v>3</v>
      </c>
      <c r="J535" s="1">
        <v>1.8169940609041078</v>
      </c>
      <c r="K535" s="1">
        <v>1.399503051936154</v>
      </c>
    </row>
    <row r="536" spans="4:11" ht="18" customHeight="1" x14ac:dyDescent="0.25">
      <c r="D536" t="s">
        <v>117</v>
      </c>
      <c r="E536" t="s">
        <v>0</v>
      </c>
      <c r="F536" t="s">
        <v>36</v>
      </c>
      <c r="G536" s="54" t="s">
        <v>178</v>
      </c>
      <c r="H536">
        <v>3</v>
      </c>
      <c r="I536" s="1">
        <v>1</v>
      </c>
      <c r="J536" s="1">
        <v>1.411756358850667</v>
      </c>
      <c r="K536" s="1">
        <v>0.16954329905395923</v>
      </c>
    </row>
    <row r="537" spans="4:11" x14ac:dyDescent="0.25">
      <c r="D537" t="s">
        <v>117</v>
      </c>
      <c r="E537" t="s">
        <v>22</v>
      </c>
      <c r="F537" t="s">
        <v>38</v>
      </c>
      <c r="G537" s="54" t="s">
        <v>177</v>
      </c>
      <c r="H537">
        <v>3</v>
      </c>
      <c r="I537" s="1">
        <v>3</v>
      </c>
      <c r="J537" s="1">
        <v>0.87158246649353543</v>
      </c>
      <c r="K537" s="1">
        <v>4.5301611969377422</v>
      </c>
    </row>
    <row r="538" spans="4:11" ht="15" customHeight="1" x14ac:dyDescent="0.25">
      <c r="D538" t="s">
        <v>117</v>
      </c>
      <c r="E538" t="s">
        <v>23</v>
      </c>
      <c r="F538" t="s">
        <v>25</v>
      </c>
      <c r="G538" s="54" t="s">
        <v>180</v>
      </c>
      <c r="H538">
        <v>2</v>
      </c>
      <c r="I538" s="1">
        <v>-1</v>
      </c>
      <c r="J538" s="1">
        <v>0.13591128545911602</v>
      </c>
      <c r="K538" s="1">
        <v>1.2902944484333814</v>
      </c>
    </row>
    <row r="539" spans="4:11" x14ac:dyDescent="0.25">
      <c r="D539" t="s">
        <v>117</v>
      </c>
      <c r="E539" t="s">
        <v>19</v>
      </c>
      <c r="F539" t="s">
        <v>20</v>
      </c>
      <c r="G539" s="54" t="s">
        <v>182</v>
      </c>
      <c r="H539">
        <v>5</v>
      </c>
      <c r="I539" s="1">
        <v>1</v>
      </c>
      <c r="J539" s="1">
        <v>0.43084266327613818</v>
      </c>
      <c r="K539" s="1">
        <v>0.32394007394659941</v>
      </c>
    </row>
    <row r="540" spans="4:11" ht="15" customHeight="1" x14ac:dyDescent="0.25">
      <c r="D540" t="s">
        <v>117</v>
      </c>
      <c r="E540" t="s">
        <v>37</v>
      </c>
      <c r="F540" t="s">
        <v>21</v>
      </c>
      <c r="G540" s="54" t="s">
        <v>178</v>
      </c>
      <c r="H540">
        <v>3</v>
      </c>
      <c r="I540" s="1">
        <v>1</v>
      </c>
      <c r="J540" s="1">
        <v>-0.38416927946182966</v>
      </c>
      <c r="K540" s="1">
        <v>1.9159245942058807</v>
      </c>
    </row>
    <row r="541" spans="4:11" x14ac:dyDescent="0.25">
      <c r="D541" t="s">
        <v>117</v>
      </c>
      <c r="E541" t="s">
        <v>33</v>
      </c>
      <c r="F541" t="s">
        <v>4</v>
      </c>
      <c r="G541" s="54" t="s">
        <v>179</v>
      </c>
      <c r="H541">
        <v>2</v>
      </c>
      <c r="I541" s="1">
        <v>1</v>
      </c>
      <c r="J541" s="1">
        <v>0.34360700265379762</v>
      </c>
      <c r="K541" s="1">
        <v>0.43085176696513167</v>
      </c>
    </row>
    <row r="542" spans="4:11" ht="18" customHeight="1" x14ac:dyDescent="0.25">
      <c r="D542" t="s">
        <v>117</v>
      </c>
      <c r="E542" t="s">
        <v>1</v>
      </c>
      <c r="F542" t="s">
        <v>176</v>
      </c>
      <c r="G542" s="54" t="s">
        <v>178</v>
      </c>
      <c r="H542">
        <v>4</v>
      </c>
      <c r="I542" s="1">
        <v>2</v>
      </c>
      <c r="J542" s="1">
        <v>-0.72852427833166189</v>
      </c>
      <c r="K542" s="1">
        <v>7.4448447374453162</v>
      </c>
    </row>
    <row r="543" spans="4:11" x14ac:dyDescent="0.25">
      <c r="D543" t="s">
        <v>118</v>
      </c>
      <c r="E543" t="s">
        <v>229</v>
      </c>
      <c r="F543" t="s">
        <v>14</v>
      </c>
      <c r="G543" s="54" t="s">
        <v>178</v>
      </c>
      <c r="H543">
        <v>1</v>
      </c>
      <c r="I543" s="1">
        <v>-1</v>
      </c>
      <c r="J543" s="1">
        <v>-0.33526997767722833</v>
      </c>
      <c r="K543" s="1">
        <v>0.44186600257723252</v>
      </c>
    </row>
    <row r="544" spans="4:11" ht="18" customHeight="1" x14ac:dyDescent="0.25">
      <c r="D544" t="s">
        <v>118</v>
      </c>
      <c r="E544" t="s">
        <v>38</v>
      </c>
      <c r="F544" t="s">
        <v>19</v>
      </c>
      <c r="G544" s="54" t="s">
        <v>178</v>
      </c>
      <c r="H544">
        <v>3</v>
      </c>
      <c r="I544" s="1">
        <v>1</v>
      </c>
      <c r="J544" s="1">
        <v>-2.0927694555851417E-2</v>
      </c>
      <c r="K544" s="1">
        <v>1.042293357511126</v>
      </c>
    </row>
    <row r="545" spans="4:11" x14ac:dyDescent="0.25">
      <c r="D545" t="s">
        <v>118</v>
      </c>
      <c r="E545" t="s">
        <v>33</v>
      </c>
      <c r="F545" t="s">
        <v>24</v>
      </c>
      <c r="G545" s="54" t="s">
        <v>178</v>
      </c>
      <c r="H545">
        <v>3</v>
      </c>
      <c r="I545" s="1">
        <v>1</v>
      </c>
      <c r="J545" s="1">
        <v>-0.91963718214989854</v>
      </c>
      <c r="K545" s="1">
        <v>3.6850069110924029</v>
      </c>
    </row>
    <row r="546" spans="4:11" ht="15" customHeight="1" x14ac:dyDescent="0.25">
      <c r="D546" t="s">
        <v>118</v>
      </c>
      <c r="E546" t="s">
        <v>3</v>
      </c>
      <c r="F546" t="s">
        <v>32</v>
      </c>
      <c r="G546" s="54" t="s">
        <v>180</v>
      </c>
      <c r="H546">
        <v>1</v>
      </c>
      <c r="I546" s="1">
        <v>-2</v>
      </c>
      <c r="J546" s="1">
        <v>-2.7843551485304374E-2</v>
      </c>
      <c r="K546" s="1">
        <v>3.8894010574180973</v>
      </c>
    </row>
    <row r="547" spans="4:11" x14ac:dyDescent="0.25">
      <c r="D547" t="s">
        <v>119</v>
      </c>
      <c r="E547" t="s">
        <v>40</v>
      </c>
      <c r="F547" t="s">
        <v>25</v>
      </c>
      <c r="G547" s="54" t="s">
        <v>183</v>
      </c>
      <c r="H547">
        <v>2</v>
      </c>
      <c r="I547" s="1">
        <v>-3</v>
      </c>
      <c r="J547" s="1">
        <v>0.26710277063030219</v>
      </c>
      <c r="K547" s="1">
        <v>10.673960513860196</v>
      </c>
    </row>
    <row r="548" spans="4:11" ht="15" customHeight="1" x14ac:dyDescent="0.25">
      <c r="D548" t="s">
        <v>119</v>
      </c>
      <c r="E548" t="s">
        <v>36</v>
      </c>
      <c r="F548" t="s">
        <v>8</v>
      </c>
      <c r="G548" s="54" t="s">
        <v>183</v>
      </c>
      <c r="H548">
        <v>1</v>
      </c>
      <c r="I548" s="1">
        <v>-4</v>
      </c>
      <c r="J548" s="1">
        <v>-1.6485425312695412</v>
      </c>
      <c r="K548" s="1">
        <v>5.5293522272482569</v>
      </c>
    </row>
    <row r="549" spans="4:11" x14ac:dyDescent="0.25">
      <c r="D549" t="s">
        <v>119</v>
      </c>
      <c r="E549" t="s">
        <v>37</v>
      </c>
      <c r="F549" t="s">
        <v>14</v>
      </c>
      <c r="G549" s="54" t="s">
        <v>183</v>
      </c>
      <c r="H549">
        <v>2</v>
      </c>
      <c r="I549" s="1">
        <v>-3</v>
      </c>
      <c r="J549" s="1">
        <v>-0.67117993481828364</v>
      </c>
      <c r="K549" s="1">
        <v>5.4234028959929734</v>
      </c>
    </row>
    <row r="550" spans="4:11" ht="18" customHeight="1" x14ac:dyDescent="0.25">
      <c r="D550" t="s">
        <v>119</v>
      </c>
      <c r="E550" t="s">
        <v>0</v>
      </c>
      <c r="F550" t="s">
        <v>2</v>
      </c>
      <c r="G550" s="54" t="s">
        <v>182</v>
      </c>
      <c r="H550">
        <v>3</v>
      </c>
      <c r="I550" s="1">
        <v>-1</v>
      </c>
      <c r="J550" s="1">
        <v>0.85774904110955674</v>
      </c>
      <c r="K550" s="1">
        <v>3.4512314997434776</v>
      </c>
    </row>
    <row r="551" spans="4:11" x14ac:dyDescent="0.25">
      <c r="D551" t="s">
        <v>119</v>
      </c>
      <c r="E551" t="s">
        <v>27</v>
      </c>
      <c r="F551" t="s">
        <v>11</v>
      </c>
      <c r="G551" s="54" t="s">
        <v>179</v>
      </c>
      <c r="H551">
        <v>2</v>
      </c>
      <c r="I551" s="1">
        <v>1</v>
      </c>
      <c r="J551" s="1">
        <v>0.80756190124380112</v>
      </c>
      <c r="K551" s="1">
        <v>3.7032421852900552E-2</v>
      </c>
    </row>
    <row r="552" spans="4:11" ht="18" customHeight="1" x14ac:dyDescent="0.25">
      <c r="D552" t="s">
        <v>119</v>
      </c>
      <c r="E552" t="s">
        <v>23</v>
      </c>
      <c r="F552" t="s">
        <v>7</v>
      </c>
      <c r="G552" s="54" t="s">
        <v>179</v>
      </c>
      <c r="H552">
        <v>3</v>
      </c>
      <c r="I552" s="1">
        <v>2</v>
      </c>
      <c r="J552" s="1">
        <v>-0.31193993495196537</v>
      </c>
      <c r="K552" s="1">
        <v>5.3450662628256982</v>
      </c>
    </row>
    <row r="553" spans="4:11" x14ac:dyDescent="0.25">
      <c r="D553" t="s">
        <v>119</v>
      </c>
      <c r="E553" t="s">
        <v>35</v>
      </c>
      <c r="F553" t="s">
        <v>13</v>
      </c>
      <c r="G553" s="54" t="s">
        <v>179</v>
      </c>
      <c r="H553">
        <v>3</v>
      </c>
      <c r="I553" s="1">
        <v>2</v>
      </c>
      <c r="J553" s="1">
        <v>0.78813487785681957</v>
      </c>
      <c r="K553" s="1">
        <v>1.4686170742671056</v>
      </c>
    </row>
    <row r="554" spans="4:11" ht="15" customHeight="1" x14ac:dyDescent="0.25">
      <c r="D554" t="s">
        <v>119</v>
      </c>
      <c r="E554" t="s">
        <v>32</v>
      </c>
      <c r="F554" t="s">
        <v>10</v>
      </c>
      <c r="G554" s="54" t="s">
        <v>180</v>
      </c>
      <c r="H554">
        <v>0</v>
      </c>
      <c r="I554" s="1">
        <v>-3</v>
      </c>
      <c r="J554" s="1">
        <v>0.41688779321424363</v>
      </c>
      <c r="K554" s="1">
        <v>11.675122191416504</v>
      </c>
    </row>
    <row r="555" spans="4:11" x14ac:dyDescent="0.25">
      <c r="D555" t="s">
        <v>119</v>
      </c>
      <c r="E555" t="s">
        <v>176</v>
      </c>
      <c r="F555" t="s">
        <v>21</v>
      </c>
      <c r="G555" s="54" t="s">
        <v>177</v>
      </c>
      <c r="H555">
        <v>6</v>
      </c>
      <c r="I555" s="1">
        <v>6</v>
      </c>
      <c r="J555" s="1">
        <v>1.5126924210584178</v>
      </c>
      <c r="K555" s="1">
        <v>20.135929308026565</v>
      </c>
    </row>
    <row r="556" spans="4:11" ht="15" customHeight="1" x14ac:dyDescent="0.25">
      <c r="D556" t="s">
        <v>119</v>
      </c>
      <c r="E556" t="s">
        <v>1</v>
      </c>
      <c r="F556" t="s">
        <v>22</v>
      </c>
      <c r="G556" s="54" t="s">
        <v>180</v>
      </c>
      <c r="H556">
        <v>4</v>
      </c>
      <c r="I556" s="1">
        <v>1</v>
      </c>
      <c r="J556" s="1">
        <v>0.44006828784900165</v>
      </c>
      <c r="K556" s="1">
        <v>0.31352352227234848</v>
      </c>
    </row>
    <row r="557" spans="4:11" x14ac:dyDescent="0.25">
      <c r="D557" t="s">
        <v>119</v>
      </c>
      <c r="E557" t="s">
        <v>24</v>
      </c>
      <c r="F557" t="s">
        <v>4</v>
      </c>
      <c r="G557" s="54" t="s">
        <v>180</v>
      </c>
      <c r="H557">
        <v>4</v>
      </c>
      <c r="I557" s="1">
        <v>1</v>
      </c>
      <c r="J557" s="1">
        <v>1.5080446754316341</v>
      </c>
      <c r="K557" s="1">
        <v>0.25810939223443446</v>
      </c>
    </row>
    <row r="558" spans="4:11" ht="15" customHeight="1" x14ac:dyDescent="0.25">
      <c r="D558" t="s">
        <v>120</v>
      </c>
      <c r="E558" t="s">
        <v>20</v>
      </c>
      <c r="F558" t="s">
        <v>12</v>
      </c>
      <c r="G558" s="54" t="s">
        <v>178</v>
      </c>
      <c r="H558">
        <v>3</v>
      </c>
      <c r="I558" s="1">
        <v>1</v>
      </c>
      <c r="J558" s="1">
        <v>0.17725975835780616</v>
      </c>
      <c r="K558" s="1">
        <v>0.67690150521745551</v>
      </c>
    </row>
    <row r="559" spans="4:11" x14ac:dyDescent="0.25">
      <c r="D559" t="s">
        <v>120</v>
      </c>
      <c r="E559" t="s">
        <v>33</v>
      </c>
      <c r="F559" t="s">
        <v>3</v>
      </c>
      <c r="G559" s="54">
        <v>3</v>
      </c>
      <c r="H559">
        <v>2</v>
      </c>
      <c r="I559" s="1">
        <v>-1</v>
      </c>
      <c r="J559" s="1">
        <v>0.28545849012148494</v>
      </c>
      <c r="K559" s="1">
        <v>1.6524035298254078</v>
      </c>
    </row>
    <row r="560" spans="4:11" ht="15" customHeight="1" x14ac:dyDescent="0.25">
      <c r="D560" t="s">
        <v>121</v>
      </c>
      <c r="E560" t="s">
        <v>14</v>
      </c>
      <c r="F560" t="s">
        <v>8</v>
      </c>
      <c r="G560" s="54" t="s">
        <v>178</v>
      </c>
      <c r="H560">
        <v>0</v>
      </c>
      <c r="I560" s="1">
        <v>-2</v>
      </c>
      <c r="J560" s="1">
        <v>-0.85947867384118126</v>
      </c>
      <c r="K560" s="1">
        <v>1.3007888954230706</v>
      </c>
    </row>
    <row r="561" spans="4:11" x14ac:dyDescent="0.25">
      <c r="D561" t="s">
        <v>121</v>
      </c>
      <c r="E561" t="s">
        <v>229</v>
      </c>
      <c r="F561" t="s">
        <v>35</v>
      </c>
      <c r="G561" s="54" t="s">
        <v>182</v>
      </c>
      <c r="H561">
        <v>2</v>
      </c>
      <c r="I561" s="1">
        <v>-2</v>
      </c>
      <c r="J561" s="1">
        <v>-0.51534068727558235</v>
      </c>
      <c r="K561" s="1">
        <v>2.2042132748593399</v>
      </c>
    </row>
    <row r="562" spans="4:11" ht="15" customHeight="1" x14ac:dyDescent="0.25">
      <c r="D562" t="s">
        <v>121</v>
      </c>
      <c r="E562" t="s">
        <v>36</v>
      </c>
      <c r="F562" t="s">
        <v>11</v>
      </c>
      <c r="G562" s="54" t="s">
        <v>180</v>
      </c>
      <c r="H562">
        <v>6</v>
      </c>
      <c r="I562" s="1">
        <v>3</v>
      </c>
      <c r="J562" s="1">
        <v>-0.19765601214798778</v>
      </c>
      <c r="K562" s="1">
        <v>10.225003972026173</v>
      </c>
    </row>
    <row r="563" spans="4:11" x14ac:dyDescent="0.25">
      <c r="D563" t="s">
        <v>121</v>
      </c>
      <c r="E563" t="s">
        <v>1</v>
      </c>
      <c r="F563" t="s">
        <v>27</v>
      </c>
      <c r="G563" s="54" t="s">
        <v>179</v>
      </c>
      <c r="H563">
        <v>2</v>
      </c>
      <c r="I563" s="1">
        <v>1</v>
      </c>
      <c r="J563" s="1">
        <v>3.6202940778935044E-2</v>
      </c>
      <c r="K563" s="1">
        <v>0.92890477136317295</v>
      </c>
    </row>
    <row r="564" spans="4:11" ht="15" customHeight="1" x14ac:dyDescent="0.25">
      <c r="D564" t="s">
        <v>121</v>
      </c>
      <c r="E564" t="s">
        <v>0</v>
      </c>
      <c r="F564" t="s">
        <v>23</v>
      </c>
      <c r="G564" s="54" t="s">
        <v>179</v>
      </c>
      <c r="H564">
        <v>3</v>
      </c>
      <c r="I564" s="1">
        <v>2</v>
      </c>
      <c r="J564" s="1">
        <v>1.2395164079812986</v>
      </c>
      <c r="K564" s="1">
        <v>0.57833529372966674</v>
      </c>
    </row>
    <row r="565" spans="4:11" x14ac:dyDescent="0.25">
      <c r="D565" t="s">
        <v>121</v>
      </c>
      <c r="E565" t="s">
        <v>24</v>
      </c>
      <c r="F565" t="s">
        <v>22</v>
      </c>
      <c r="G565" s="54" t="s">
        <v>179</v>
      </c>
      <c r="H565">
        <v>2</v>
      </c>
      <c r="I565" s="1">
        <v>1</v>
      </c>
      <c r="J565" s="1">
        <v>1.2172462579151642</v>
      </c>
      <c r="K565" s="1">
        <v>4.7195936578142028E-2</v>
      </c>
    </row>
    <row r="566" spans="4:11" ht="15" customHeight="1" x14ac:dyDescent="0.25">
      <c r="D566" t="s">
        <v>121</v>
      </c>
      <c r="E566" t="s">
        <v>40</v>
      </c>
      <c r="F566" t="s">
        <v>4</v>
      </c>
      <c r="G566" s="54" t="s">
        <v>178</v>
      </c>
      <c r="H566">
        <v>1</v>
      </c>
      <c r="I566" s="1">
        <v>-1</v>
      </c>
      <c r="J566" s="1">
        <v>0.23767777786324018</v>
      </c>
      <c r="K566" s="1">
        <v>1.5318462818164882</v>
      </c>
    </row>
    <row r="567" spans="4:11" x14ac:dyDescent="0.25">
      <c r="D567" t="s">
        <v>121</v>
      </c>
      <c r="E567" t="s">
        <v>38</v>
      </c>
      <c r="F567" t="s">
        <v>10</v>
      </c>
      <c r="G567" s="54" t="s">
        <v>180</v>
      </c>
      <c r="H567">
        <v>4</v>
      </c>
      <c r="I567" s="1">
        <v>1</v>
      </c>
      <c r="J567" s="1">
        <v>-0.24988831978043891</v>
      </c>
      <c r="K567" s="1">
        <v>1.5622208119235688</v>
      </c>
    </row>
    <row r="568" spans="4:11" ht="18" customHeight="1" x14ac:dyDescent="0.25">
      <c r="D568" t="s">
        <v>122</v>
      </c>
      <c r="E568" t="s">
        <v>18</v>
      </c>
      <c r="F568" t="s">
        <v>2</v>
      </c>
      <c r="G568" s="54" t="s">
        <v>180</v>
      </c>
      <c r="H568">
        <v>2</v>
      </c>
      <c r="I568" s="1">
        <v>-1</v>
      </c>
      <c r="J568" s="1">
        <v>1.1942624508137101E-2</v>
      </c>
      <c r="K568" s="1">
        <v>1.0240278752964165</v>
      </c>
    </row>
    <row r="569" spans="4:11" x14ac:dyDescent="0.25">
      <c r="D569" t="s">
        <v>122</v>
      </c>
      <c r="E569" t="s">
        <v>19</v>
      </c>
      <c r="F569" t="s">
        <v>33</v>
      </c>
      <c r="G569" s="54" t="s">
        <v>184</v>
      </c>
      <c r="H569">
        <v>6</v>
      </c>
      <c r="I569" s="1">
        <v>-1</v>
      </c>
      <c r="J569" s="1">
        <v>7.5738605436740158E-2</v>
      </c>
      <c r="K569" s="1">
        <v>1.1572135472269824</v>
      </c>
    </row>
    <row r="570" spans="4:11" ht="15" customHeight="1" x14ac:dyDescent="0.25">
      <c r="D570" t="s">
        <v>122</v>
      </c>
      <c r="E570" t="s">
        <v>1</v>
      </c>
      <c r="F570" t="s">
        <v>35</v>
      </c>
      <c r="G570" s="54" t="s">
        <v>178</v>
      </c>
      <c r="H570">
        <v>5</v>
      </c>
      <c r="I570" s="1">
        <v>3</v>
      </c>
      <c r="J570" s="1">
        <v>7.2286287144009975E-2</v>
      </c>
      <c r="K570" s="1">
        <v>8.5715075844450066</v>
      </c>
    </row>
    <row r="571" spans="4:11" x14ac:dyDescent="0.25">
      <c r="D571" t="s">
        <v>122</v>
      </c>
      <c r="E571" t="s">
        <v>8</v>
      </c>
      <c r="F571" t="s">
        <v>37</v>
      </c>
      <c r="G571" s="54" t="s">
        <v>179</v>
      </c>
      <c r="H571">
        <v>6</v>
      </c>
      <c r="I571" s="1">
        <v>5</v>
      </c>
      <c r="J571" s="1">
        <v>2.2650600805432788</v>
      </c>
      <c r="K571" s="1">
        <v>7.4798963630379367</v>
      </c>
    </row>
    <row r="572" spans="4:11" ht="18" customHeight="1" x14ac:dyDescent="0.25">
      <c r="D572" t="s">
        <v>122</v>
      </c>
      <c r="E572" t="s">
        <v>229</v>
      </c>
      <c r="F572" t="s">
        <v>11</v>
      </c>
      <c r="G572" s="54" t="s">
        <v>182</v>
      </c>
      <c r="H572">
        <v>1</v>
      </c>
      <c r="I572" s="1">
        <v>-3</v>
      </c>
      <c r="J572" s="1">
        <v>1.1337376975205871E-2</v>
      </c>
      <c r="K572" s="1">
        <v>9.0681527979679135</v>
      </c>
    </row>
    <row r="573" spans="4:11" x14ac:dyDescent="0.25">
      <c r="D573" t="s">
        <v>122</v>
      </c>
      <c r="E573" t="s">
        <v>0</v>
      </c>
      <c r="F573" t="s">
        <v>25</v>
      </c>
      <c r="G573" s="54" t="s">
        <v>179</v>
      </c>
      <c r="H573">
        <v>5</v>
      </c>
      <c r="I573" s="1">
        <v>4</v>
      </c>
      <c r="J573" s="1">
        <v>1.1306272028124766</v>
      </c>
      <c r="K573" s="1">
        <v>8.2333002492397522</v>
      </c>
    </row>
    <row r="574" spans="4:11" ht="15" customHeight="1" x14ac:dyDescent="0.25">
      <c r="D574" t="s">
        <v>122</v>
      </c>
      <c r="E574" t="s">
        <v>23</v>
      </c>
      <c r="F574" t="s">
        <v>21</v>
      </c>
      <c r="G574" s="54" t="s">
        <v>179</v>
      </c>
      <c r="H574">
        <v>7</v>
      </c>
      <c r="I574" s="1">
        <v>6</v>
      </c>
      <c r="J574" s="1">
        <v>-8.5012760574599611E-2</v>
      </c>
      <c r="K574" s="1">
        <v>37.027380296355709</v>
      </c>
    </row>
    <row r="575" spans="4:11" x14ac:dyDescent="0.25">
      <c r="D575" t="s">
        <v>122</v>
      </c>
      <c r="E575" t="s">
        <v>7</v>
      </c>
      <c r="F575" t="s">
        <v>176</v>
      </c>
      <c r="G575" s="54" t="s">
        <v>180</v>
      </c>
      <c r="H575">
        <v>6</v>
      </c>
      <c r="I575" s="1">
        <v>3</v>
      </c>
      <c r="J575" s="1">
        <v>-0.79616426542517615</v>
      </c>
      <c r="K575" s="1">
        <v>14.410863130091068</v>
      </c>
    </row>
    <row r="576" spans="4:11" ht="18" customHeight="1" x14ac:dyDescent="0.25">
      <c r="D576" t="s">
        <v>122</v>
      </c>
      <c r="E576" t="s">
        <v>13</v>
      </c>
      <c r="F576" t="s">
        <v>3</v>
      </c>
      <c r="G576" s="54" t="s">
        <v>179</v>
      </c>
      <c r="H576">
        <v>4</v>
      </c>
      <c r="I576" s="1">
        <v>3</v>
      </c>
      <c r="J576" s="1">
        <v>0.3018980090882053</v>
      </c>
      <c r="K576" s="1">
        <v>7.2797543533621907</v>
      </c>
    </row>
    <row r="577" spans="4:11" x14ac:dyDescent="0.25">
      <c r="D577" t="s">
        <v>122</v>
      </c>
      <c r="E577" t="s">
        <v>38</v>
      </c>
      <c r="F577" t="s">
        <v>32</v>
      </c>
      <c r="G577" s="54" t="s">
        <v>184</v>
      </c>
      <c r="H577">
        <v>2</v>
      </c>
      <c r="I577" s="1">
        <v>-5</v>
      </c>
      <c r="J577" s="1">
        <v>-0.42197562236674457</v>
      </c>
      <c r="K577" s="1">
        <v>20.958307202204356</v>
      </c>
    </row>
    <row r="578" spans="4:11" ht="15" customHeight="1" x14ac:dyDescent="0.25">
      <c r="D578" t="s">
        <v>123</v>
      </c>
      <c r="E578" t="s">
        <v>2</v>
      </c>
      <c r="F578" t="s">
        <v>27</v>
      </c>
      <c r="G578" s="54" t="s">
        <v>179</v>
      </c>
      <c r="H578">
        <v>2</v>
      </c>
      <c r="I578" s="1">
        <v>1</v>
      </c>
      <c r="J578" s="1">
        <v>-0.20641010502274071</v>
      </c>
      <c r="K578" s="1">
        <v>1.4554253415009804</v>
      </c>
    </row>
    <row r="579" spans="4:11" x14ac:dyDescent="0.25">
      <c r="D579" t="s">
        <v>123</v>
      </c>
      <c r="E579" t="s">
        <v>14</v>
      </c>
      <c r="F579" t="s">
        <v>12</v>
      </c>
      <c r="G579" s="54" t="s">
        <v>180</v>
      </c>
      <c r="H579">
        <v>4</v>
      </c>
      <c r="I579" s="1">
        <v>1</v>
      </c>
      <c r="J579" s="1">
        <v>0.91206701279445213</v>
      </c>
      <c r="K579" s="1">
        <v>7.7322102388910465E-3</v>
      </c>
    </row>
    <row r="580" spans="4:11" ht="15" customHeight="1" x14ac:dyDescent="0.25">
      <c r="D580" t="s">
        <v>123</v>
      </c>
      <c r="E580" t="s">
        <v>36</v>
      </c>
      <c r="F580" t="s">
        <v>18</v>
      </c>
      <c r="G580" s="54" t="s">
        <v>182</v>
      </c>
      <c r="H580">
        <v>2</v>
      </c>
      <c r="I580" s="1">
        <v>-2</v>
      </c>
      <c r="J580" s="1">
        <v>-7.6348960993371406E-2</v>
      </c>
      <c r="K580" s="1">
        <v>3.7004333198712818</v>
      </c>
    </row>
    <row r="581" spans="4:11" x14ac:dyDescent="0.25">
      <c r="D581" t="s">
        <v>123</v>
      </c>
      <c r="E581" t="s">
        <v>21</v>
      </c>
      <c r="F581" t="s">
        <v>20</v>
      </c>
      <c r="G581" s="54" t="s">
        <v>182</v>
      </c>
      <c r="H581">
        <v>5</v>
      </c>
      <c r="I581" s="1">
        <v>1</v>
      </c>
      <c r="J581" s="1">
        <v>0.69259708970812994</v>
      </c>
      <c r="K581" s="1">
        <v>9.4496549255911513E-2</v>
      </c>
    </row>
    <row r="582" spans="4:11" ht="18" customHeight="1" x14ac:dyDescent="0.25">
      <c r="D582" t="s">
        <v>123</v>
      </c>
      <c r="E582" t="s">
        <v>7</v>
      </c>
      <c r="F582" t="s">
        <v>22</v>
      </c>
      <c r="G582" s="54" t="s">
        <v>182</v>
      </c>
      <c r="H582">
        <v>3</v>
      </c>
      <c r="I582" s="1">
        <v>-1</v>
      </c>
      <c r="J582" s="1">
        <v>0.37242830075548738</v>
      </c>
      <c r="K582" s="1">
        <v>1.8835594407145946</v>
      </c>
    </row>
    <row r="583" spans="4:11" x14ac:dyDescent="0.25">
      <c r="D583" t="s">
        <v>123</v>
      </c>
      <c r="E583" t="s">
        <v>19</v>
      </c>
      <c r="F583" t="s">
        <v>10</v>
      </c>
      <c r="G583" s="54" t="s">
        <v>180</v>
      </c>
      <c r="H583">
        <v>4</v>
      </c>
      <c r="I583" s="1">
        <v>1</v>
      </c>
      <c r="J583" s="1">
        <v>1.5839865403350473E-2</v>
      </c>
      <c r="K583" s="1">
        <v>0.96857117052929531</v>
      </c>
    </row>
    <row r="584" spans="4:11" ht="15" customHeight="1" x14ac:dyDescent="0.25">
      <c r="D584" t="s">
        <v>123</v>
      </c>
      <c r="E584" t="s">
        <v>40</v>
      </c>
      <c r="F584" t="s">
        <v>24</v>
      </c>
      <c r="G584" s="54" t="s">
        <v>178</v>
      </c>
      <c r="H584">
        <v>5</v>
      </c>
      <c r="I584" s="1">
        <v>3</v>
      </c>
      <c r="J584" s="1">
        <v>-1.025566406940456</v>
      </c>
      <c r="K584" s="1">
        <v>16.205184896687491</v>
      </c>
    </row>
    <row r="585" spans="4:11" x14ac:dyDescent="0.25">
      <c r="D585" t="s">
        <v>124</v>
      </c>
      <c r="E585" t="s">
        <v>32</v>
      </c>
      <c r="F585" t="s">
        <v>25</v>
      </c>
      <c r="G585" s="54" t="s">
        <v>180</v>
      </c>
      <c r="H585">
        <v>2</v>
      </c>
      <c r="I585" s="1">
        <v>-1</v>
      </c>
      <c r="J585" s="1">
        <v>0.60501803804055498</v>
      </c>
      <c r="K585" s="1">
        <v>2.5760829024355525</v>
      </c>
    </row>
    <row r="586" spans="4:11" ht="15" customHeight="1" x14ac:dyDescent="0.25">
      <c r="D586" t="s">
        <v>125</v>
      </c>
      <c r="E586" t="s">
        <v>8</v>
      </c>
      <c r="F586" t="s">
        <v>35</v>
      </c>
      <c r="G586" s="54" t="s">
        <v>179</v>
      </c>
      <c r="H586">
        <v>4</v>
      </c>
      <c r="I586" s="1">
        <v>3</v>
      </c>
      <c r="J586" s="1">
        <v>1.1690089454987032</v>
      </c>
      <c r="K586" s="1">
        <v>3.3525282416637712</v>
      </c>
    </row>
    <row r="587" spans="4:11" x14ac:dyDescent="0.25">
      <c r="D587" t="s">
        <v>125</v>
      </c>
      <c r="E587" t="s">
        <v>18</v>
      </c>
      <c r="F587" t="s">
        <v>1</v>
      </c>
      <c r="G587" s="54" t="s">
        <v>179</v>
      </c>
      <c r="H587">
        <v>2</v>
      </c>
      <c r="I587" s="1">
        <v>1</v>
      </c>
      <c r="J587" s="1">
        <v>-0.23067042129353865</v>
      </c>
      <c r="K587" s="1">
        <v>1.5145496858468159</v>
      </c>
    </row>
    <row r="588" spans="4:11" ht="15" customHeight="1" x14ac:dyDescent="0.25">
      <c r="D588" t="s">
        <v>125</v>
      </c>
      <c r="E588" t="s">
        <v>36</v>
      </c>
      <c r="F588" t="s">
        <v>229</v>
      </c>
      <c r="G588" s="54" t="s">
        <v>182</v>
      </c>
      <c r="H588">
        <v>2</v>
      </c>
      <c r="I588" s="1">
        <v>-2</v>
      </c>
      <c r="J588" s="1">
        <v>3.580710150474431E-2</v>
      </c>
      <c r="K588" s="1">
        <v>4.1445105545371481</v>
      </c>
    </row>
    <row r="589" spans="4:11" x14ac:dyDescent="0.25">
      <c r="D589" t="s">
        <v>125</v>
      </c>
      <c r="E589" t="s">
        <v>27</v>
      </c>
      <c r="F589" t="s">
        <v>19</v>
      </c>
      <c r="G589" s="54" t="s">
        <v>178</v>
      </c>
      <c r="H589">
        <v>3</v>
      </c>
      <c r="I589" s="1">
        <v>1</v>
      </c>
      <c r="J589" s="1">
        <v>1.0097196283798127</v>
      </c>
      <c r="K589" s="1">
        <v>9.4471175841659698E-5</v>
      </c>
    </row>
    <row r="590" spans="4:11" ht="18" customHeight="1" x14ac:dyDescent="0.25">
      <c r="D590" t="s">
        <v>125</v>
      </c>
      <c r="E590" t="s">
        <v>32</v>
      </c>
      <c r="F590" t="s">
        <v>23</v>
      </c>
      <c r="G590" s="54" t="s">
        <v>182</v>
      </c>
      <c r="H590">
        <v>3</v>
      </c>
      <c r="I590" s="1">
        <v>-1</v>
      </c>
      <c r="J590" s="1">
        <v>0.71390724320937693</v>
      </c>
      <c r="K590" s="1">
        <v>2.9374780383255663</v>
      </c>
    </row>
    <row r="591" spans="4:11" x14ac:dyDescent="0.25">
      <c r="D591" t="s">
        <v>125</v>
      </c>
      <c r="E591" t="s">
        <v>22</v>
      </c>
      <c r="F591" t="s">
        <v>20</v>
      </c>
      <c r="G591" s="54" t="s">
        <v>178</v>
      </c>
      <c r="H591">
        <v>0</v>
      </c>
      <c r="I591" s="1">
        <v>-2</v>
      </c>
      <c r="J591" s="1">
        <v>0.79189645395794628</v>
      </c>
      <c r="K591" s="1">
        <v>7.7946858096229548</v>
      </c>
    </row>
    <row r="592" spans="4:11" ht="18" customHeight="1" x14ac:dyDescent="0.25">
      <c r="D592" t="s">
        <v>125</v>
      </c>
      <c r="E592" t="s">
        <v>7</v>
      </c>
      <c r="F592" t="s">
        <v>21</v>
      </c>
      <c r="G592" s="54" t="s">
        <v>182</v>
      </c>
      <c r="H592">
        <v>2</v>
      </c>
      <c r="I592" s="1">
        <v>-2</v>
      </c>
      <c r="J592" s="1">
        <v>0.47172766500530372</v>
      </c>
      <c r="K592" s="1">
        <v>6.1094376499525707</v>
      </c>
    </row>
    <row r="593" spans="4:11" x14ac:dyDescent="0.25">
      <c r="D593" t="s">
        <v>125</v>
      </c>
      <c r="E593" t="s">
        <v>38</v>
      </c>
      <c r="F593" t="s">
        <v>176</v>
      </c>
      <c r="G593" s="54" t="s">
        <v>181</v>
      </c>
      <c r="H593">
        <v>0</v>
      </c>
      <c r="I593" s="1">
        <v>-6</v>
      </c>
      <c r="J593" s="1">
        <v>-1.5505740514183231</v>
      </c>
      <c r="K593" s="1">
        <v>19.797391271911955</v>
      </c>
    </row>
    <row r="594" spans="4:11" ht="18" customHeight="1" x14ac:dyDescent="0.25">
      <c r="D594" t="s">
        <v>125</v>
      </c>
      <c r="E594" t="s">
        <v>13</v>
      </c>
      <c r="F594" t="s">
        <v>24</v>
      </c>
      <c r="G594" s="54" t="s">
        <v>182</v>
      </c>
      <c r="H594">
        <v>2</v>
      </c>
      <c r="I594" s="1">
        <v>-2</v>
      </c>
      <c r="J594" s="1">
        <v>-0.90319766318317818</v>
      </c>
      <c r="K594" s="1">
        <v>1.202975366046841</v>
      </c>
    </row>
    <row r="595" spans="4:11" x14ac:dyDescent="0.25">
      <c r="D595" t="s">
        <v>125</v>
      </c>
      <c r="E595" t="s">
        <v>40</v>
      </c>
      <c r="F595" t="s">
        <v>3</v>
      </c>
      <c r="G595" s="54" t="s">
        <v>178</v>
      </c>
      <c r="H595">
        <v>3</v>
      </c>
      <c r="I595" s="1">
        <v>1</v>
      </c>
      <c r="J595" s="1">
        <v>0.1795292653309275</v>
      </c>
      <c r="K595" s="1">
        <v>0.67317222644840757</v>
      </c>
    </row>
    <row r="596" spans="4:11" ht="15" customHeight="1" x14ac:dyDescent="0.25">
      <c r="D596" t="s">
        <v>126</v>
      </c>
      <c r="E596" t="s">
        <v>12</v>
      </c>
      <c r="F596" t="s">
        <v>0</v>
      </c>
      <c r="G596" s="54" t="s">
        <v>181</v>
      </c>
      <c r="H596">
        <v>2</v>
      </c>
      <c r="I596" s="1">
        <v>-4</v>
      </c>
      <c r="J596" s="1">
        <v>-0.80035804233294527</v>
      </c>
      <c r="K596" s="1">
        <v>10.237708657263463</v>
      </c>
    </row>
    <row r="597" spans="4:11" x14ac:dyDescent="0.25">
      <c r="D597" t="s">
        <v>126</v>
      </c>
      <c r="E597" t="s">
        <v>2</v>
      </c>
      <c r="F597" t="s">
        <v>11</v>
      </c>
      <c r="G597" s="54" t="s">
        <v>180</v>
      </c>
      <c r="H597">
        <v>2</v>
      </c>
      <c r="I597" s="1">
        <v>-1</v>
      </c>
      <c r="J597" s="1">
        <v>0.35635130559312245</v>
      </c>
      <c r="K597" s="1">
        <v>1.8396888641841678</v>
      </c>
    </row>
    <row r="598" spans="4:11" ht="15" customHeight="1" x14ac:dyDescent="0.25">
      <c r="D598" t="s">
        <v>126</v>
      </c>
      <c r="E598" t="s">
        <v>13</v>
      </c>
      <c r="F598" t="s">
        <v>4</v>
      </c>
      <c r="G598" s="54" t="s">
        <v>180</v>
      </c>
      <c r="H598">
        <v>2</v>
      </c>
      <c r="I598" s="1">
        <v>-1</v>
      </c>
      <c r="J598" s="1">
        <v>0.36004652162051798</v>
      </c>
      <c r="K598" s="1">
        <v>1.84972654097207</v>
      </c>
    </row>
    <row r="599" spans="4:11" x14ac:dyDescent="0.25">
      <c r="D599" t="s">
        <v>126</v>
      </c>
      <c r="E599" t="s">
        <v>37</v>
      </c>
      <c r="F599" t="s">
        <v>10</v>
      </c>
      <c r="G599" s="54" t="s">
        <v>182</v>
      </c>
      <c r="H599">
        <v>1</v>
      </c>
      <c r="I599" s="1">
        <v>-3</v>
      </c>
      <c r="J599" s="1">
        <v>-0.35137547825442539</v>
      </c>
      <c r="K599" s="1">
        <v>7.0152118571919742</v>
      </c>
    </row>
    <row r="600" spans="4:11" ht="15" customHeight="1" x14ac:dyDescent="0.25">
      <c r="D600" t="s">
        <v>127</v>
      </c>
      <c r="E600" t="s">
        <v>35</v>
      </c>
      <c r="F600" t="s">
        <v>2</v>
      </c>
      <c r="G600" s="54" t="s">
        <v>177</v>
      </c>
      <c r="H600">
        <v>3</v>
      </c>
      <c r="I600" s="1">
        <v>3</v>
      </c>
      <c r="J600" s="1">
        <v>0.6599277399135417</v>
      </c>
      <c r="K600" s="1">
        <v>5.4759381824261446</v>
      </c>
    </row>
    <row r="601" spans="4:11" x14ac:dyDescent="0.25">
      <c r="D601" t="s">
        <v>127</v>
      </c>
      <c r="E601" t="s">
        <v>12</v>
      </c>
      <c r="F601" t="s">
        <v>1</v>
      </c>
      <c r="G601" s="54" t="s">
        <v>178</v>
      </c>
      <c r="H601">
        <v>3</v>
      </c>
      <c r="I601" s="1">
        <v>1</v>
      </c>
      <c r="J601" s="1">
        <v>-0.43002253765300225</v>
      </c>
      <c r="K601" s="1">
        <v>2.0449644581955324</v>
      </c>
    </row>
    <row r="602" spans="4:11" ht="15" customHeight="1" x14ac:dyDescent="0.25">
      <c r="D602" t="s">
        <v>127</v>
      </c>
      <c r="E602" t="s">
        <v>8</v>
      </c>
      <c r="F602" t="s">
        <v>27</v>
      </c>
      <c r="G602" s="54" t="s">
        <v>178</v>
      </c>
      <c r="H602">
        <v>5</v>
      </c>
      <c r="I602" s="1">
        <v>3</v>
      </c>
      <c r="J602" s="1">
        <v>1.1329255991336282</v>
      </c>
      <c r="K602" s="1">
        <v>3.485966818370521</v>
      </c>
    </row>
    <row r="603" spans="4:11" x14ac:dyDescent="0.25">
      <c r="D603" t="s">
        <v>127</v>
      </c>
      <c r="E603" t="s">
        <v>32</v>
      </c>
      <c r="F603" t="s">
        <v>38</v>
      </c>
      <c r="G603" s="54" t="s">
        <v>178</v>
      </c>
      <c r="H603">
        <v>7</v>
      </c>
      <c r="I603" s="1">
        <v>5</v>
      </c>
      <c r="J603" s="1">
        <v>0.9115766036226205</v>
      </c>
      <c r="K603" s="1">
        <v>16.715205868045945</v>
      </c>
    </row>
    <row r="604" spans="4:11" ht="15" customHeight="1" x14ac:dyDescent="0.25">
      <c r="D604" t="s">
        <v>127</v>
      </c>
      <c r="E604" t="s">
        <v>21</v>
      </c>
      <c r="F604" t="s">
        <v>19</v>
      </c>
      <c r="G604" s="54" t="s">
        <v>178</v>
      </c>
      <c r="H604">
        <v>3</v>
      </c>
      <c r="I604" s="1">
        <v>1</v>
      </c>
      <c r="J604" s="1">
        <v>0.50655491705992972</v>
      </c>
      <c r="K604" s="1">
        <v>0.24348804987773284</v>
      </c>
    </row>
    <row r="605" spans="4:11" x14ac:dyDescent="0.25">
      <c r="D605" t="s">
        <v>127</v>
      </c>
      <c r="E605" t="s">
        <v>20</v>
      </c>
      <c r="F605" t="s">
        <v>23</v>
      </c>
      <c r="G605" s="54" t="s">
        <v>182</v>
      </c>
      <c r="H605">
        <v>2</v>
      </c>
      <c r="I605" s="1">
        <v>-2</v>
      </c>
      <c r="J605" s="1">
        <v>0.12681714275028355</v>
      </c>
      <c r="K605" s="1">
        <v>4.5233511586964799</v>
      </c>
    </row>
    <row r="606" spans="4:11" ht="15" customHeight="1" x14ac:dyDescent="0.25">
      <c r="D606" t="s">
        <v>127</v>
      </c>
      <c r="E606" t="s">
        <v>18</v>
      </c>
      <c r="F606" t="s">
        <v>22</v>
      </c>
      <c r="G606" s="54" t="s">
        <v>178</v>
      </c>
      <c r="H606">
        <v>5</v>
      </c>
      <c r="I606" s="1">
        <v>3</v>
      </c>
      <c r="J606" s="1">
        <v>-3.5402624072474964E-2</v>
      </c>
      <c r="K606" s="1">
        <v>9.2136690902260661</v>
      </c>
    </row>
    <row r="607" spans="4:11" x14ac:dyDescent="0.25">
      <c r="D607" t="s">
        <v>127</v>
      </c>
      <c r="E607" t="s">
        <v>25</v>
      </c>
      <c r="F607" t="s">
        <v>176</v>
      </c>
      <c r="G607" s="54" t="s">
        <v>179</v>
      </c>
      <c r="H607">
        <v>4</v>
      </c>
      <c r="I607" s="1">
        <v>3</v>
      </c>
      <c r="J607" s="1">
        <v>-1.2440154858362575</v>
      </c>
      <c r="K607" s="1">
        <v>18.011667444017966</v>
      </c>
    </row>
    <row r="608" spans="4:11" ht="15" customHeight="1" x14ac:dyDescent="0.25">
      <c r="D608" t="s">
        <v>127</v>
      </c>
      <c r="E608" t="s">
        <v>14</v>
      </c>
      <c r="F608" t="s">
        <v>3</v>
      </c>
      <c r="G608" s="54" t="s">
        <v>180</v>
      </c>
      <c r="H608">
        <v>1</v>
      </c>
      <c r="I608" s="1">
        <v>-2</v>
      </c>
      <c r="J608" s="1">
        <v>0.66516168671873288</v>
      </c>
      <c r="K608" s="1">
        <v>7.1030868163534411</v>
      </c>
    </row>
    <row r="609" spans="4:11" x14ac:dyDescent="0.25">
      <c r="D609" t="s">
        <v>127</v>
      </c>
      <c r="E609" t="s">
        <v>37</v>
      </c>
      <c r="F609" t="s">
        <v>33</v>
      </c>
      <c r="G609" s="54" t="s">
        <v>182</v>
      </c>
      <c r="H609">
        <v>3</v>
      </c>
      <c r="I609" s="1">
        <v>-1</v>
      </c>
      <c r="J609" s="1">
        <v>-0.2914767382210357</v>
      </c>
      <c r="K609" s="1">
        <v>0.50200521248190277</v>
      </c>
    </row>
    <row r="610" spans="4:11" ht="15" customHeight="1" x14ac:dyDescent="0.25">
      <c r="D610" t="s">
        <v>128</v>
      </c>
      <c r="E610" t="s">
        <v>40</v>
      </c>
      <c r="F610" t="s">
        <v>35</v>
      </c>
      <c r="G610" s="54" t="s">
        <v>180</v>
      </c>
      <c r="H610">
        <v>2</v>
      </c>
      <c r="I610" s="1">
        <v>-1</v>
      </c>
      <c r="J610" s="1">
        <v>-0.42090264035822145</v>
      </c>
      <c r="K610" s="1">
        <v>0.3353537519440794</v>
      </c>
    </row>
    <row r="611" spans="4:11" x14ac:dyDescent="0.25">
      <c r="D611" t="s">
        <v>128</v>
      </c>
      <c r="E611" t="s">
        <v>7</v>
      </c>
      <c r="F611" t="s">
        <v>0</v>
      </c>
      <c r="G611" s="54" t="s">
        <v>178</v>
      </c>
      <c r="H611">
        <v>5</v>
      </c>
      <c r="I611" s="1">
        <v>3</v>
      </c>
      <c r="J611" s="1">
        <v>-0.19317500114551933</v>
      </c>
      <c r="K611" s="1">
        <v>10.196366587940688</v>
      </c>
    </row>
    <row r="612" spans="4:11" ht="15" customHeight="1" x14ac:dyDescent="0.25">
      <c r="D612" t="s">
        <v>128</v>
      </c>
      <c r="E612" t="s">
        <v>8</v>
      </c>
      <c r="F612" t="s">
        <v>36</v>
      </c>
      <c r="G612" s="54" t="s">
        <v>179</v>
      </c>
      <c r="H612">
        <v>2</v>
      </c>
      <c r="I612" s="1">
        <v>1</v>
      </c>
      <c r="J612" s="1">
        <v>2.1381435125254171</v>
      </c>
      <c r="K612" s="1">
        <v>1.2953706551036943</v>
      </c>
    </row>
    <row r="613" spans="4:11" x14ac:dyDescent="0.25">
      <c r="D613" t="s">
        <v>128</v>
      </c>
      <c r="E613" t="s">
        <v>14</v>
      </c>
      <c r="F613" t="s">
        <v>4</v>
      </c>
      <c r="G613" s="54" t="s">
        <v>181</v>
      </c>
      <c r="H613">
        <v>5</v>
      </c>
      <c r="I613" s="1">
        <v>-1</v>
      </c>
      <c r="J613" s="1">
        <v>0.72331019925104556</v>
      </c>
      <c r="K613" s="1">
        <v>2.9697980428426782</v>
      </c>
    </row>
    <row r="614" spans="4:11" ht="18" customHeight="1" x14ac:dyDescent="0.25">
      <c r="D614" t="s">
        <v>128</v>
      </c>
      <c r="E614" t="s">
        <v>20</v>
      </c>
      <c r="F614" t="s">
        <v>24</v>
      </c>
      <c r="G614" s="54" t="s">
        <v>178</v>
      </c>
      <c r="H614">
        <v>5</v>
      </c>
      <c r="I614" s="1">
        <v>3</v>
      </c>
      <c r="J614" s="1">
        <v>-1.2747412399892966</v>
      </c>
      <c r="K614" s="1">
        <v>18.27341266886523</v>
      </c>
    </row>
    <row r="615" spans="4:11" x14ac:dyDescent="0.25">
      <c r="D615" t="s">
        <v>129</v>
      </c>
      <c r="E615" t="s">
        <v>2</v>
      </c>
      <c r="F615" t="s">
        <v>1</v>
      </c>
      <c r="G615" s="54" t="s">
        <v>180</v>
      </c>
      <c r="H615">
        <v>1</v>
      </c>
      <c r="I615" s="1">
        <v>-2</v>
      </c>
      <c r="J615" s="1">
        <v>2.1874448262622082E-3</v>
      </c>
      <c r="K615" s="1">
        <v>4.0087545642199167</v>
      </c>
    </row>
    <row r="616" spans="4:11" ht="15" customHeight="1" x14ac:dyDescent="0.25">
      <c r="D616" t="s">
        <v>129</v>
      </c>
      <c r="E616" t="s">
        <v>19</v>
      </c>
      <c r="F616" t="s">
        <v>23</v>
      </c>
      <c r="G616" s="54" t="s">
        <v>180</v>
      </c>
      <c r="H616">
        <v>1</v>
      </c>
      <c r="I616" s="1">
        <v>-2</v>
      </c>
      <c r="J616" s="1">
        <v>0.31285931539848377</v>
      </c>
      <c r="K616" s="1">
        <v>5.3493182128255432</v>
      </c>
    </row>
    <row r="617" spans="4:11" x14ac:dyDescent="0.25">
      <c r="D617" t="s">
        <v>129</v>
      </c>
      <c r="E617" t="s">
        <v>21</v>
      </c>
      <c r="F617" t="s">
        <v>22</v>
      </c>
      <c r="G617" s="54" t="s">
        <v>180</v>
      </c>
      <c r="H617">
        <v>4</v>
      </c>
      <c r="I617" s="1">
        <v>1</v>
      </c>
      <c r="J617" s="1">
        <v>0.14550112637812163</v>
      </c>
      <c r="K617" s="1">
        <v>0.73016832502105888</v>
      </c>
    </row>
    <row r="618" spans="4:11" ht="15" customHeight="1" x14ac:dyDescent="0.25">
      <c r="D618" t="s">
        <v>129</v>
      </c>
      <c r="E618" t="s">
        <v>11</v>
      </c>
      <c r="F618" t="s">
        <v>229</v>
      </c>
      <c r="G618" s="54" t="s">
        <v>178</v>
      </c>
      <c r="H618">
        <v>1</v>
      </c>
      <c r="I618" s="1">
        <v>-1</v>
      </c>
      <c r="J618" s="1">
        <v>0.47826360428067005</v>
      </c>
      <c r="K618" s="1">
        <v>2.1852632837408774</v>
      </c>
    </row>
    <row r="619" spans="4:11" x14ac:dyDescent="0.25">
      <c r="D619" t="s">
        <v>129</v>
      </c>
      <c r="E619" t="s">
        <v>13</v>
      </c>
      <c r="F619" t="s">
        <v>12</v>
      </c>
      <c r="G619" s="54" t="s">
        <v>179</v>
      </c>
      <c r="H619">
        <v>3</v>
      </c>
      <c r="I619" s="1">
        <v>2</v>
      </c>
      <c r="J619" s="1">
        <v>0.54880333516392454</v>
      </c>
      <c r="K619" s="1">
        <v>2.1059717600313488</v>
      </c>
    </row>
    <row r="620" spans="4:11" ht="18" customHeight="1" x14ac:dyDescent="0.25">
      <c r="D620" t="s">
        <v>129</v>
      </c>
      <c r="E620" t="s">
        <v>40</v>
      </c>
      <c r="F620" t="s">
        <v>7</v>
      </c>
      <c r="G620" s="54" t="s">
        <v>183</v>
      </c>
      <c r="H620">
        <v>2</v>
      </c>
      <c r="I620" s="1">
        <v>-3</v>
      </c>
      <c r="J620" s="1">
        <v>-0.1807484497807792</v>
      </c>
      <c r="K620" s="1">
        <v>7.9481793034134798</v>
      </c>
    </row>
    <row r="621" spans="4:11" x14ac:dyDescent="0.25">
      <c r="D621" t="s">
        <v>129</v>
      </c>
      <c r="E621" t="s">
        <v>18</v>
      </c>
      <c r="F621" t="s">
        <v>176</v>
      </c>
      <c r="G621" s="54" t="s">
        <v>183</v>
      </c>
      <c r="H621">
        <v>1</v>
      </c>
      <c r="I621" s="1">
        <v>-4</v>
      </c>
      <c r="J621" s="1">
        <v>-1.2039951902531385</v>
      </c>
      <c r="K621" s="1">
        <v>7.817642896127583</v>
      </c>
    </row>
    <row r="622" spans="4:11" ht="15" customHeight="1" x14ac:dyDescent="0.25">
      <c r="D622" t="s">
        <v>129</v>
      </c>
      <c r="E622" t="s">
        <v>27</v>
      </c>
      <c r="F622" t="s">
        <v>38</v>
      </c>
      <c r="G622" s="54" t="s">
        <v>182</v>
      </c>
      <c r="H622">
        <v>5</v>
      </c>
      <c r="I622" s="1">
        <v>1</v>
      </c>
      <c r="J622" s="1">
        <v>1.275447813563602</v>
      </c>
      <c r="K622" s="1">
        <v>7.5871497996968865E-2</v>
      </c>
    </row>
    <row r="623" spans="4:11" x14ac:dyDescent="0.25">
      <c r="D623" t="s">
        <v>129</v>
      </c>
      <c r="E623" t="s">
        <v>4</v>
      </c>
      <c r="F623" t="s">
        <v>3</v>
      </c>
      <c r="G623" s="54" t="s">
        <v>179</v>
      </c>
      <c r="H623">
        <v>0</v>
      </c>
      <c r="I623" s="1">
        <v>-1</v>
      </c>
      <c r="J623" s="1">
        <v>0.18665197809562528</v>
      </c>
      <c r="K623" s="1">
        <v>1.4081429171182605</v>
      </c>
    </row>
    <row r="624" spans="4:11" ht="15" customHeight="1" x14ac:dyDescent="0.25">
      <c r="D624" t="s">
        <v>129</v>
      </c>
      <c r="E624" t="s">
        <v>25</v>
      </c>
      <c r="F624" t="s">
        <v>33</v>
      </c>
      <c r="G624" s="54" t="s">
        <v>183</v>
      </c>
      <c r="H624">
        <v>4</v>
      </c>
      <c r="I624" s="1">
        <v>-1</v>
      </c>
      <c r="J624" s="1">
        <v>0.11656898583501629</v>
      </c>
      <c r="K624" s="1">
        <v>1.2467263001286368</v>
      </c>
    </row>
    <row r="625" spans="4:11" x14ac:dyDescent="0.25">
      <c r="D625" t="s">
        <v>129</v>
      </c>
      <c r="E625" t="s">
        <v>37</v>
      </c>
      <c r="F625" t="s">
        <v>32</v>
      </c>
      <c r="G625" s="54" t="s">
        <v>180</v>
      </c>
      <c r="H625">
        <v>1</v>
      </c>
      <c r="I625" s="1">
        <v>-2</v>
      </c>
      <c r="J625" s="1">
        <v>-0.52346278084073106</v>
      </c>
      <c r="K625" s="1">
        <v>2.1801621595625869</v>
      </c>
    </row>
    <row r="626" spans="4:11" ht="15" customHeight="1" x14ac:dyDescent="0.25">
      <c r="D626" t="s">
        <v>130</v>
      </c>
      <c r="E626" t="s">
        <v>14</v>
      </c>
      <c r="F626" t="s">
        <v>24</v>
      </c>
      <c r="G626" s="54" t="s">
        <v>182</v>
      </c>
      <c r="H626">
        <v>2</v>
      </c>
      <c r="I626" s="1">
        <v>-2</v>
      </c>
      <c r="J626" s="1">
        <v>-0.5399339855526506</v>
      </c>
      <c r="K626" s="1">
        <v>2.1317927665441676</v>
      </c>
    </row>
    <row r="627" spans="4:11" x14ac:dyDescent="0.25">
      <c r="D627" t="s">
        <v>130</v>
      </c>
      <c r="E627" t="s">
        <v>23</v>
      </c>
      <c r="F627" t="s">
        <v>20</v>
      </c>
      <c r="G627" s="54" t="s">
        <v>179</v>
      </c>
      <c r="H627">
        <v>4</v>
      </c>
      <c r="I627" s="1">
        <v>3</v>
      </c>
      <c r="J627" s="1">
        <v>0.36278383850559237</v>
      </c>
      <c r="K627" s="1">
        <v>6.9549090824472977</v>
      </c>
    </row>
    <row r="628" spans="4:11" ht="18" customHeight="1" x14ac:dyDescent="0.25">
      <c r="D628" t="s">
        <v>130</v>
      </c>
      <c r="E628" t="s">
        <v>25</v>
      </c>
      <c r="F628" t="s">
        <v>10</v>
      </c>
      <c r="G628" s="54" t="s">
        <v>182</v>
      </c>
      <c r="H628">
        <v>5</v>
      </c>
      <c r="I628" s="1">
        <v>1</v>
      </c>
      <c r="J628" s="1">
        <v>5.6670245801626606E-2</v>
      </c>
      <c r="K628" s="1">
        <v>0.88987102515596361</v>
      </c>
    </row>
    <row r="629" spans="4:11" x14ac:dyDescent="0.25">
      <c r="D629" t="s">
        <v>131</v>
      </c>
      <c r="E629" t="s">
        <v>36</v>
      </c>
      <c r="F629" t="s">
        <v>1</v>
      </c>
      <c r="G629" s="54" t="s">
        <v>180</v>
      </c>
      <c r="H629">
        <v>7</v>
      </c>
      <c r="I629" s="1">
        <v>4</v>
      </c>
      <c r="J629" s="1">
        <v>-0.55181987291484802</v>
      </c>
      <c r="K629" s="1">
        <v>20.719064155462544</v>
      </c>
    </row>
    <row r="630" spans="4:11" ht="15" customHeight="1" x14ac:dyDescent="0.25">
      <c r="D630" t="s">
        <v>131</v>
      </c>
      <c r="E630" t="s">
        <v>22</v>
      </c>
      <c r="F630" t="s">
        <v>12</v>
      </c>
      <c r="G630" s="54" t="s">
        <v>179</v>
      </c>
      <c r="H630">
        <v>2</v>
      </c>
      <c r="I630" s="1">
        <v>1</v>
      </c>
      <c r="J630" s="1">
        <v>0.72435572168781448</v>
      </c>
      <c r="K630" s="1">
        <v>7.597976816624559E-2</v>
      </c>
    </row>
    <row r="631" spans="4:11" x14ac:dyDescent="0.25">
      <c r="D631" t="s">
        <v>131</v>
      </c>
      <c r="E631" t="s">
        <v>0</v>
      </c>
      <c r="F631" t="s">
        <v>33</v>
      </c>
      <c r="G631" s="54" t="s">
        <v>177</v>
      </c>
      <c r="H631">
        <v>2</v>
      </c>
      <c r="I631" s="1">
        <v>2</v>
      </c>
      <c r="J631" s="1">
        <v>1.002395698019555</v>
      </c>
      <c r="K631" s="1">
        <v>0.995214343329891</v>
      </c>
    </row>
    <row r="632" spans="4:11" ht="15" customHeight="1" x14ac:dyDescent="0.25">
      <c r="D632" t="s">
        <v>132</v>
      </c>
      <c r="E632" t="s">
        <v>36</v>
      </c>
      <c r="F632" t="s">
        <v>2</v>
      </c>
      <c r="G632" s="54" t="s">
        <v>180</v>
      </c>
      <c r="H632">
        <v>4</v>
      </c>
      <c r="I632" s="1">
        <v>1</v>
      </c>
      <c r="J632" s="1">
        <v>-0.30920682711317227</v>
      </c>
      <c r="K632" s="1">
        <v>1.7140225161597398</v>
      </c>
    </row>
    <row r="633" spans="4:11" x14ac:dyDescent="0.25">
      <c r="D633" t="s">
        <v>132</v>
      </c>
      <c r="E633" t="s">
        <v>13</v>
      </c>
      <c r="F633" t="s">
        <v>8</v>
      </c>
      <c r="G633" s="54" t="s">
        <v>180</v>
      </c>
      <c r="H633">
        <v>1</v>
      </c>
      <c r="I633" s="1">
        <v>-2</v>
      </c>
      <c r="J633" s="1">
        <v>-1.2227423514717088</v>
      </c>
      <c r="K633" s="1">
        <v>0.60412945219572856</v>
      </c>
    </row>
    <row r="634" spans="4:11" ht="18" customHeight="1" x14ac:dyDescent="0.25">
      <c r="D634" t="s">
        <v>132</v>
      </c>
      <c r="E634" t="s">
        <v>40</v>
      </c>
      <c r="F634" t="s">
        <v>37</v>
      </c>
      <c r="G634" s="54" t="s">
        <v>180</v>
      </c>
      <c r="H634">
        <v>0</v>
      </c>
      <c r="I634" s="1">
        <v>-3</v>
      </c>
      <c r="J634" s="1">
        <v>0.67514849468635418</v>
      </c>
      <c r="K634" s="1">
        <v>13.506716457995376</v>
      </c>
    </row>
    <row r="635" spans="4:11" x14ac:dyDescent="0.25">
      <c r="D635" t="s">
        <v>132</v>
      </c>
      <c r="E635" t="s">
        <v>23</v>
      </c>
      <c r="F635" t="s">
        <v>11</v>
      </c>
      <c r="G635" s="54" t="s">
        <v>178</v>
      </c>
      <c r="H635">
        <v>7</v>
      </c>
      <c r="I635" s="1">
        <v>5</v>
      </c>
      <c r="J635" s="1">
        <v>-2.5416061278619395E-2</v>
      </c>
      <c r="K635" s="1">
        <v>25.254806588957113</v>
      </c>
    </row>
    <row r="636" spans="4:11" ht="15" customHeight="1" x14ac:dyDescent="0.25">
      <c r="D636" t="s">
        <v>132</v>
      </c>
      <c r="E636" t="s">
        <v>22</v>
      </c>
      <c r="F636" t="s">
        <v>27</v>
      </c>
      <c r="G636" s="54" t="s">
        <v>178</v>
      </c>
      <c r="H636">
        <v>3</v>
      </c>
      <c r="I636" s="1">
        <v>1</v>
      </c>
      <c r="J636" s="1">
        <v>-0.15906485644212864</v>
      </c>
      <c r="K636" s="1">
        <v>1.3434313414392123</v>
      </c>
    </row>
    <row r="637" spans="4:11" x14ac:dyDescent="0.25">
      <c r="D637" t="s">
        <v>132</v>
      </c>
      <c r="E637" t="s">
        <v>24</v>
      </c>
      <c r="F637" t="s">
        <v>38</v>
      </c>
      <c r="G637" s="54" t="s">
        <v>178</v>
      </c>
      <c r="H637">
        <v>4</v>
      </c>
      <c r="I637" s="1">
        <v>2</v>
      </c>
      <c r="J637" s="1">
        <v>1.8440282337807616</v>
      </c>
      <c r="K637" s="1">
        <v>2.4327191857548745E-2</v>
      </c>
    </row>
    <row r="638" spans="4:11" ht="15" customHeight="1" x14ac:dyDescent="0.25">
      <c r="D638" t="s">
        <v>132</v>
      </c>
      <c r="E638" t="s">
        <v>3</v>
      </c>
      <c r="F638" t="s">
        <v>19</v>
      </c>
      <c r="G638" s="54" t="s">
        <v>179</v>
      </c>
      <c r="H638">
        <v>5</v>
      </c>
      <c r="I638" s="1">
        <v>4</v>
      </c>
      <c r="J638" s="1">
        <v>0.37320437632558878</v>
      </c>
      <c r="K638" s="1">
        <v>13.153646495903862</v>
      </c>
    </row>
    <row r="639" spans="4:11" x14ac:dyDescent="0.25">
      <c r="D639" t="s">
        <v>132</v>
      </c>
      <c r="E639" t="s">
        <v>14</v>
      </c>
      <c r="F639" t="s">
        <v>25</v>
      </c>
      <c r="G639" s="54" t="s">
        <v>178</v>
      </c>
      <c r="H639">
        <v>8</v>
      </c>
      <c r="I639" s="1">
        <v>6</v>
      </c>
      <c r="J639" s="1">
        <v>0.75273519201810757</v>
      </c>
      <c r="K639" s="1">
        <v>27.533787965085246</v>
      </c>
    </row>
    <row r="640" spans="4:11" ht="15" customHeight="1" x14ac:dyDescent="0.25">
      <c r="D640" t="s">
        <v>132</v>
      </c>
      <c r="E640" t="s">
        <v>18</v>
      </c>
      <c r="F640" t="s">
        <v>21</v>
      </c>
      <c r="G640" s="54" t="s">
        <v>182</v>
      </c>
      <c r="H640">
        <v>5</v>
      </c>
      <c r="I640" s="1">
        <v>1</v>
      </c>
      <c r="J640" s="1">
        <v>6.3896740177341371E-2</v>
      </c>
      <c r="K640" s="1">
        <v>0.87628931305060798</v>
      </c>
    </row>
    <row r="641" spans="4:11" x14ac:dyDescent="0.25">
      <c r="D641" t="s">
        <v>132</v>
      </c>
      <c r="E641" t="s">
        <v>32</v>
      </c>
      <c r="F641" t="s">
        <v>176</v>
      </c>
      <c r="G641" s="54" t="s">
        <v>180</v>
      </c>
      <c r="H641">
        <v>2</v>
      </c>
      <c r="I641" s="1">
        <v>-1</v>
      </c>
      <c r="J641" s="1">
        <v>-0.88379793842364052</v>
      </c>
      <c r="K641" s="1">
        <v>1.3502919114596041E-2</v>
      </c>
    </row>
    <row r="642" spans="4:11" ht="15" customHeight="1" x14ac:dyDescent="0.25">
      <c r="D642" t="s">
        <v>133</v>
      </c>
      <c r="E642" t="s">
        <v>229</v>
      </c>
      <c r="F642" t="s">
        <v>7</v>
      </c>
      <c r="G642" s="54" t="s">
        <v>180</v>
      </c>
      <c r="H642">
        <v>2</v>
      </c>
      <c r="I642" s="1">
        <v>-1</v>
      </c>
      <c r="J642" s="1">
        <v>-0.2751864966981401</v>
      </c>
      <c r="K642" s="1">
        <v>0.52535461456871524</v>
      </c>
    </row>
    <row r="643" spans="4:11" x14ac:dyDescent="0.25">
      <c r="D643" t="s">
        <v>133</v>
      </c>
      <c r="E643" t="s">
        <v>1</v>
      </c>
      <c r="F643" t="s">
        <v>12</v>
      </c>
      <c r="G643" s="54" t="s">
        <v>177</v>
      </c>
      <c r="H643">
        <v>1</v>
      </c>
      <c r="I643" s="1">
        <v>1</v>
      </c>
      <c r="J643" s="1">
        <v>0.91962351890887817</v>
      </c>
      <c r="K643" s="1">
        <v>6.4603787125914651E-3</v>
      </c>
    </row>
    <row r="644" spans="4:11" ht="18" customHeight="1" x14ac:dyDescent="0.25">
      <c r="D644" t="s">
        <v>133</v>
      </c>
      <c r="E644" t="s">
        <v>0</v>
      </c>
      <c r="F644" t="s">
        <v>10</v>
      </c>
      <c r="G644" s="54" t="s">
        <v>177</v>
      </c>
      <c r="H644">
        <v>4</v>
      </c>
      <c r="I644" s="1">
        <v>4</v>
      </c>
      <c r="J644" s="1">
        <v>0.94249695798616528</v>
      </c>
      <c r="K644" s="1">
        <v>9.348324851923854</v>
      </c>
    </row>
    <row r="645" spans="4:11" x14ac:dyDescent="0.25">
      <c r="D645" t="s">
        <v>133</v>
      </c>
      <c r="E645" t="s">
        <v>35</v>
      </c>
      <c r="F645" t="s">
        <v>33</v>
      </c>
      <c r="G645" s="54" t="s">
        <v>183</v>
      </c>
      <c r="H645">
        <v>3</v>
      </c>
      <c r="I645" s="1">
        <v>-2</v>
      </c>
      <c r="J645" s="1">
        <v>0.80457439682353993</v>
      </c>
      <c r="K645" s="1">
        <v>7.8656375473181228</v>
      </c>
    </row>
    <row r="646" spans="4:11" ht="18" customHeight="1" x14ac:dyDescent="0.25">
      <c r="D646" t="s">
        <v>134</v>
      </c>
      <c r="E646" t="s">
        <v>37</v>
      </c>
      <c r="F646" t="s">
        <v>2</v>
      </c>
      <c r="G646" s="54" t="s">
        <v>177</v>
      </c>
      <c r="H646">
        <v>3</v>
      </c>
      <c r="I646" s="1">
        <v>3</v>
      </c>
      <c r="J646" s="1">
        <v>-0.43612339513103393</v>
      </c>
      <c r="K646" s="1">
        <v>11.806943986566823</v>
      </c>
    </row>
    <row r="647" spans="4:11" x14ac:dyDescent="0.25">
      <c r="D647" t="s">
        <v>134</v>
      </c>
      <c r="E647" t="s">
        <v>23</v>
      </c>
      <c r="F647" t="s">
        <v>8</v>
      </c>
      <c r="G647" s="54" t="s">
        <v>184</v>
      </c>
      <c r="H647">
        <v>0</v>
      </c>
      <c r="I647" s="1">
        <v>-7</v>
      </c>
      <c r="J647" s="1">
        <v>-1.4763025804001728</v>
      </c>
      <c r="K647" s="1">
        <v>30.51123318329379</v>
      </c>
    </row>
    <row r="648" spans="4:11" ht="15" customHeight="1" x14ac:dyDescent="0.25">
      <c r="D648" t="s">
        <v>134</v>
      </c>
      <c r="E648" t="s">
        <v>3</v>
      </c>
      <c r="F648" t="s">
        <v>1</v>
      </c>
      <c r="G648" s="54" t="s">
        <v>182</v>
      </c>
      <c r="H648">
        <v>0</v>
      </c>
      <c r="I648" s="1">
        <v>-4</v>
      </c>
      <c r="J648" s="1">
        <v>-0.183117211577283</v>
      </c>
      <c r="K648" s="1">
        <v>14.568594220557575</v>
      </c>
    </row>
    <row r="649" spans="4:11" x14ac:dyDescent="0.25">
      <c r="D649" t="s">
        <v>134</v>
      </c>
      <c r="E649" t="s">
        <v>229</v>
      </c>
      <c r="F649" t="s">
        <v>18</v>
      </c>
      <c r="G649" s="54" t="s">
        <v>179</v>
      </c>
      <c r="H649">
        <v>4</v>
      </c>
      <c r="I649" s="1">
        <v>3</v>
      </c>
      <c r="J649" s="1">
        <v>0.13264442812982224</v>
      </c>
      <c r="K649" s="1">
        <v>8.2217279755349537</v>
      </c>
    </row>
    <row r="650" spans="4:11" ht="15" customHeight="1" x14ac:dyDescent="0.25">
      <c r="D650" t="s">
        <v>134</v>
      </c>
      <c r="E650" t="s">
        <v>24</v>
      </c>
      <c r="F650" t="s">
        <v>36</v>
      </c>
      <c r="G650" s="54" t="s">
        <v>178</v>
      </c>
      <c r="H650">
        <v>3</v>
      </c>
      <c r="I650" s="1">
        <v>1</v>
      </c>
      <c r="J650" s="1">
        <v>1.8185988242368865</v>
      </c>
      <c r="K650" s="1">
        <v>0.67010403504201288</v>
      </c>
    </row>
    <row r="651" spans="4:11" x14ac:dyDescent="0.25">
      <c r="D651" t="s">
        <v>134</v>
      </c>
      <c r="E651" t="s">
        <v>22</v>
      </c>
      <c r="F651" t="s">
        <v>14</v>
      </c>
      <c r="G651" s="54" t="s">
        <v>182</v>
      </c>
      <c r="H651">
        <v>2</v>
      </c>
      <c r="I651" s="1">
        <v>-2</v>
      </c>
      <c r="J651" s="1">
        <v>5.7089199521300316E-2</v>
      </c>
      <c r="K651" s="1">
        <v>4.231615974787184</v>
      </c>
    </row>
    <row r="652" spans="4:11" ht="15" customHeight="1" x14ac:dyDescent="0.25">
      <c r="D652" t="s">
        <v>134</v>
      </c>
      <c r="E652" t="s">
        <v>13</v>
      </c>
      <c r="F652" t="s">
        <v>38</v>
      </c>
      <c r="G652" s="54" t="s">
        <v>180</v>
      </c>
      <c r="H652">
        <v>2</v>
      </c>
      <c r="I652" s="1">
        <v>-1</v>
      </c>
      <c r="J652" s="1">
        <v>0.6960300799696455</v>
      </c>
      <c r="K652" s="1">
        <v>2.876518032161842</v>
      </c>
    </row>
    <row r="653" spans="4:11" x14ac:dyDescent="0.25">
      <c r="D653" t="s">
        <v>134</v>
      </c>
      <c r="E653" t="s">
        <v>25</v>
      </c>
      <c r="F653" t="s">
        <v>21</v>
      </c>
      <c r="G653" s="54" t="s">
        <v>178</v>
      </c>
      <c r="H653">
        <v>1</v>
      </c>
      <c r="I653" s="1">
        <v>-1</v>
      </c>
      <c r="J653" s="1">
        <v>2.3876444594222335E-2</v>
      </c>
      <c r="K653" s="1">
        <v>1.0483229737949056</v>
      </c>
    </row>
    <row r="654" spans="4:11" ht="18" customHeight="1" x14ac:dyDescent="0.25">
      <c r="D654" t="s">
        <v>134</v>
      </c>
      <c r="E654" t="s">
        <v>4</v>
      </c>
      <c r="F654" t="s">
        <v>176</v>
      </c>
      <c r="G654" s="54" t="s">
        <v>182</v>
      </c>
      <c r="H654">
        <v>1</v>
      </c>
      <c r="I654" s="1">
        <v>-3</v>
      </c>
      <c r="J654" s="1">
        <v>-1.2145904930691955</v>
      </c>
      <c r="K654" s="1">
        <v>3.1876871074388982</v>
      </c>
    </row>
    <row r="655" spans="4:11" x14ac:dyDescent="0.25">
      <c r="D655" t="s">
        <v>134</v>
      </c>
      <c r="E655" t="s">
        <v>0</v>
      </c>
      <c r="F655" t="s">
        <v>32</v>
      </c>
      <c r="G655" s="54" t="s">
        <v>179</v>
      </c>
      <c r="H655">
        <v>3</v>
      </c>
      <c r="I655" s="1">
        <v>2</v>
      </c>
      <c r="J655" s="1">
        <v>0.77040965539985962</v>
      </c>
      <c r="K655" s="1">
        <v>1.511892415533892</v>
      </c>
    </row>
    <row r="656" spans="4:11" ht="15" customHeight="1" x14ac:dyDescent="0.25">
      <c r="D656" t="s">
        <v>135</v>
      </c>
      <c r="E656" t="s">
        <v>11</v>
      </c>
      <c r="F656" t="s">
        <v>40</v>
      </c>
      <c r="G656" s="54" t="s">
        <v>180</v>
      </c>
      <c r="H656">
        <v>6</v>
      </c>
      <c r="I656" s="1">
        <v>3</v>
      </c>
      <c r="J656" s="1">
        <v>0.38382555736330914</v>
      </c>
      <c r="K656" s="1">
        <v>6.8443687143053999</v>
      </c>
    </row>
    <row r="657" spans="4:11" x14ac:dyDescent="0.25">
      <c r="D657" t="s">
        <v>135</v>
      </c>
      <c r="E657" t="s">
        <v>3</v>
      </c>
      <c r="F657" t="s">
        <v>27</v>
      </c>
      <c r="G657" s="54" t="s">
        <v>180</v>
      </c>
      <c r="H657">
        <v>0</v>
      </c>
      <c r="I657" s="1">
        <v>-3</v>
      </c>
      <c r="J657" s="1">
        <v>-0.39171476142628592</v>
      </c>
      <c r="K657" s="1">
        <v>6.8031518857615367</v>
      </c>
    </row>
    <row r="658" spans="4:11" ht="15" customHeight="1" x14ac:dyDescent="0.25">
      <c r="D658" t="s">
        <v>135</v>
      </c>
      <c r="E658" t="s">
        <v>37</v>
      </c>
      <c r="F658" t="s">
        <v>7</v>
      </c>
      <c r="G658" s="54" t="s">
        <v>178</v>
      </c>
      <c r="H658">
        <v>1</v>
      </c>
      <c r="I658" s="1">
        <v>-1</v>
      </c>
      <c r="J658" s="1">
        <v>-0.61109645383919542</v>
      </c>
      <c r="K658" s="1">
        <v>0.15124596821644906</v>
      </c>
    </row>
    <row r="659" spans="4:11" x14ac:dyDescent="0.25">
      <c r="D659" t="s">
        <v>135</v>
      </c>
      <c r="E659" t="s">
        <v>12</v>
      </c>
      <c r="F659" t="s">
        <v>19</v>
      </c>
      <c r="G659" s="54" t="s">
        <v>180</v>
      </c>
      <c r="H659">
        <v>4</v>
      </c>
      <c r="I659" s="1">
        <v>1</v>
      </c>
      <c r="J659" s="1">
        <v>0.12629905024986954</v>
      </c>
      <c r="K659" s="1">
        <v>0.76335334959428003</v>
      </c>
    </row>
    <row r="660" spans="4:11" ht="15" customHeight="1" x14ac:dyDescent="0.25">
      <c r="D660" t="s">
        <v>135</v>
      </c>
      <c r="E660" t="s">
        <v>25</v>
      </c>
      <c r="F660" t="s">
        <v>20</v>
      </c>
      <c r="G660" s="54" t="s">
        <v>182</v>
      </c>
      <c r="H660">
        <v>2</v>
      </c>
      <c r="I660" s="1">
        <v>-2</v>
      </c>
      <c r="J660" s="1">
        <v>0.47167304367441432</v>
      </c>
      <c r="K660" s="1">
        <v>6.1091676348267434</v>
      </c>
    </row>
    <row r="661" spans="4:11" x14ac:dyDescent="0.25">
      <c r="D661" t="s">
        <v>135</v>
      </c>
      <c r="E661" t="s">
        <v>35</v>
      </c>
      <c r="F661" t="s">
        <v>10</v>
      </c>
      <c r="G661" s="54" t="s">
        <v>179</v>
      </c>
      <c r="H661">
        <v>5</v>
      </c>
      <c r="I661" s="1">
        <v>4</v>
      </c>
      <c r="J661" s="1">
        <v>0.74467565679015024</v>
      </c>
      <c r="K661" s="1">
        <v>10.59713657949464</v>
      </c>
    </row>
    <row r="662" spans="4:11" ht="18" customHeight="1" x14ac:dyDescent="0.25">
      <c r="D662" t="s">
        <v>136</v>
      </c>
      <c r="E662" t="s">
        <v>7</v>
      </c>
      <c r="F662" t="s">
        <v>2</v>
      </c>
      <c r="G662" s="54" t="s">
        <v>180</v>
      </c>
      <c r="H662">
        <v>1</v>
      </c>
      <c r="I662" s="1">
        <v>-2</v>
      </c>
      <c r="J662" s="1">
        <v>0.41977354933609945</v>
      </c>
      <c r="K662" s="1">
        <v>5.8553040300666241</v>
      </c>
    </row>
    <row r="663" spans="4:11" x14ac:dyDescent="0.25">
      <c r="D663" t="s">
        <v>136</v>
      </c>
      <c r="E663" t="s">
        <v>1</v>
      </c>
      <c r="F663" t="s">
        <v>8</v>
      </c>
      <c r="G663" s="54" t="s">
        <v>182</v>
      </c>
      <c r="H663">
        <v>3</v>
      </c>
      <c r="I663" s="1">
        <v>-1</v>
      </c>
      <c r="J663" s="1">
        <v>-0.85192216772675522</v>
      </c>
      <c r="K663" s="1">
        <v>2.1927044410743213E-2</v>
      </c>
    </row>
    <row r="664" spans="4:11" ht="15" customHeight="1" x14ac:dyDescent="0.25">
      <c r="D664" t="s">
        <v>136</v>
      </c>
      <c r="E664" t="s">
        <v>40</v>
      </c>
      <c r="F664" t="s">
        <v>229</v>
      </c>
      <c r="G664" s="54" t="s">
        <v>182</v>
      </c>
      <c r="H664">
        <v>6</v>
      </c>
      <c r="I664" s="1">
        <v>2</v>
      </c>
      <c r="J664" s="1">
        <v>0.33923853754529887</v>
      </c>
      <c r="K664" s="1">
        <v>2.7581286351746779</v>
      </c>
    </row>
    <row r="665" spans="4:11" x14ac:dyDescent="0.25">
      <c r="D665" t="s">
        <v>136</v>
      </c>
      <c r="E665" t="s">
        <v>27</v>
      </c>
      <c r="F665" t="s">
        <v>18</v>
      </c>
      <c r="G665" s="54" t="s">
        <v>180</v>
      </c>
      <c r="H665">
        <v>2</v>
      </c>
      <c r="I665" s="1">
        <v>-1</v>
      </c>
      <c r="J665" s="1">
        <v>0.92886895239841749</v>
      </c>
      <c r="K665" s="1">
        <v>3.7205354355265685</v>
      </c>
    </row>
    <row r="666" spans="4:11" ht="15" customHeight="1" x14ac:dyDescent="0.25">
      <c r="D666" t="s">
        <v>136</v>
      </c>
      <c r="E666" t="s">
        <v>19</v>
      </c>
      <c r="F666" t="s">
        <v>13</v>
      </c>
      <c r="G666" s="54" t="s">
        <v>178</v>
      </c>
      <c r="H666">
        <v>5</v>
      </c>
      <c r="I666" s="1">
        <v>3</v>
      </c>
      <c r="J666" s="1">
        <v>5.9299086470019802E-2</v>
      </c>
      <c r="K666" s="1">
        <v>8.6477218628360593</v>
      </c>
    </row>
    <row r="667" spans="4:11" x14ac:dyDescent="0.25">
      <c r="D667" t="s">
        <v>136</v>
      </c>
      <c r="E667" t="s">
        <v>22</v>
      </c>
      <c r="F667" t="s">
        <v>36</v>
      </c>
      <c r="G667" s="54" t="s">
        <v>178</v>
      </c>
      <c r="H667">
        <v>3</v>
      </c>
      <c r="I667" s="1">
        <v>1</v>
      </c>
      <c r="J667" s="1">
        <v>0.84615305694966025</v>
      </c>
      <c r="K667" s="1">
        <v>2.3668881885934481E-2</v>
      </c>
    </row>
    <row r="668" spans="4:11" ht="18" customHeight="1" x14ac:dyDescent="0.25">
      <c r="D668" t="s">
        <v>136</v>
      </c>
      <c r="E668" t="s">
        <v>24</v>
      </c>
      <c r="F668" t="s">
        <v>14</v>
      </c>
      <c r="G668" s="54" t="s">
        <v>180</v>
      </c>
      <c r="H668">
        <v>2</v>
      </c>
      <c r="I668" s="1">
        <v>-1</v>
      </c>
      <c r="J668" s="1">
        <v>1.0295349668085265</v>
      </c>
      <c r="K668" s="1">
        <v>4.119012181498487</v>
      </c>
    </row>
    <row r="669" spans="4:11" x14ac:dyDescent="0.25">
      <c r="D669" t="s">
        <v>136</v>
      </c>
      <c r="E669" t="s">
        <v>0</v>
      </c>
      <c r="F669" t="s">
        <v>38</v>
      </c>
      <c r="G669" s="54" t="s">
        <v>177</v>
      </c>
      <c r="H669">
        <v>3</v>
      </c>
      <c r="I669" s="1">
        <v>3</v>
      </c>
      <c r="J669" s="1">
        <v>1.4371857683945422</v>
      </c>
      <c r="K669" s="1">
        <v>2.4423883225085579</v>
      </c>
    </row>
    <row r="670" spans="4:11" ht="15" customHeight="1" x14ac:dyDescent="0.25">
      <c r="D670" t="s">
        <v>136</v>
      </c>
      <c r="E670" t="s">
        <v>12</v>
      </c>
      <c r="F670" t="s">
        <v>21</v>
      </c>
      <c r="G670" s="54" t="s">
        <v>182</v>
      </c>
      <c r="H670">
        <v>5</v>
      </c>
      <c r="I670" s="1">
        <v>1</v>
      </c>
      <c r="J670" s="1">
        <v>-0.13545537618212222</v>
      </c>
      <c r="K670" s="1">
        <v>1.2892589113008848</v>
      </c>
    </row>
    <row r="671" spans="4:11" x14ac:dyDescent="0.25">
      <c r="D671" t="s">
        <v>136</v>
      </c>
      <c r="E671" t="s">
        <v>176</v>
      </c>
      <c r="F671" t="s">
        <v>23</v>
      </c>
      <c r="G671" s="54" t="s">
        <v>179</v>
      </c>
      <c r="H671">
        <v>3</v>
      </c>
      <c r="I671" s="1">
        <v>2</v>
      </c>
      <c r="J671" s="1">
        <v>1.8425056722609554</v>
      </c>
      <c r="K671" s="1">
        <v>2.4804463269973591E-2</v>
      </c>
    </row>
    <row r="672" spans="4:11" ht="18" customHeight="1" x14ac:dyDescent="0.25">
      <c r="D672" t="s">
        <v>136</v>
      </c>
      <c r="E672" t="s">
        <v>10</v>
      </c>
      <c r="F672" t="s">
        <v>33</v>
      </c>
      <c r="G672" s="54" t="s">
        <v>180</v>
      </c>
      <c r="H672">
        <v>2</v>
      </c>
      <c r="I672" s="1">
        <v>-1</v>
      </c>
      <c r="J672" s="1">
        <v>0.30469923066132765</v>
      </c>
      <c r="K672" s="1">
        <v>1.7022400824882602</v>
      </c>
    </row>
    <row r="673" spans="4:11" x14ac:dyDescent="0.25">
      <c r="D673" t="s">
        <v>136</v>
      </c>
      <c r="E673" t="s">
        <v>4</v>
      </c>
      <c r="F673" t="s">
        <v>32</v>
      </c>
      <c r="G673" s="54" t="s">
        <v>182</v>
      </c>
      <c r="H673">
        <v>3</v>
      </c>
      <c r="I673" s="1">
        <v>-1</v>
      </c>
      <c r="J673" s="1">
        <v>-8.5992064017617054E-2</v>
      </c>
      <c r="K673" s="1">
        <v>0.83541050703877584</v>
      </c>
    </row>
    <row r="674" spans="4:11" ht="18" customHeight="1" x14ac:dyDescent="0.25">
      <c r="D674" t="s">
        <v>137</v>
      </c>
      <c r="E674" t="s">
        <v>37</v>
      </c>
      <c r="F674" t="s">
        <v>11</v>
      </c>
      <c r="G674" s="54" t="s">
        <v>183</v>
      </c>
      <c r="H674">
        <v>2</v>
      </c>
      <c r="I674" s="1">
        <v>-3</v>
      </c>
      <c r="J674" s="1">
        <v>-0.32457258016584944</v>
      </c>
      <c r="K674" s="1">
        <v>7.1579118788004203</v>
      </c>
    </row>
    <row r="675" spans="4:11" x14ac:dyDescent="0.25">
      <c r="D675" t="s">
        <v>137</v>
      </c>
      <c r="E675" t="s">
        <v>21</v>
      </c>
      <c r="F675" t="s">
        <v>20</v>
      </c>
      <c r="G675" s="54" t="s">
        <v>181</v>
      </c>
      <c r="H675">
        <v>3</v>
      </c>
      <c r="I675" s="1">
        <v>-3</v>
      </c>
      <c r="J675" s="1">
        <v>0.69259708970812994</v>
      </c>
      <c r="K675" s="1">
        <v>13.635273266920951</v>
      </c>
    </row>
    <row r="676" spans="4:11" ht="15" customHeight="1" x14ac:dyDescent="0.25">
      <c r="D676" t="s">
        <v>137</v>
      </c>
      <c r="E676" t="s">
        <v>176</v>
      </c>
      <c r="F676" t="s">
        <v>25</v>
      </c>
      <c r="G676" s="54" t="s">
        <v>180</v>
      </c>
      <c r="H676">
        <v>4</v>
      </c>
      <c r="I676" s="1">
        <v>1</v>
      </c>
      <c r="J676" s="1">
        <v>1.7336164670921335</v>
      </c>
      <c r="K676" s="1">
        <v>0.53819312078874337</v>
      </c>
    </row>
    <row r="677" spans="4:11" x14ac:dyDescent="0.25">
      <c r="D677" t="s">
        <v>137</v>
      </c>
      <c r="E677" t="s">
        <v>8</v>
      </c>
      <c r="F677" t="s">
        <v>13</v>
      </c>
      <c r="G677" s="54" t="s">
        <v>182</v>
      </c>
      <c r="H677">
        <v>6</v>
      </c>
      <c r="I677" s="1">
        <v>2</v>
      </c>
      <c r="J677" s="1">
        <v>1.7123433327275848</v>
      </c>
      <c r="K677" s="1">
        <v>8.2746358226273006E-2</v>
      </c>
    </row>
    <row r="678" spans="4:11" ht="15" customHeight="1" x14ac:dyDescent="0.25">
      <c r="D678" t="s">
        <v>138</v>
      </c>
      <c r="E678" t="s">
        <v>1</v>
      </c>
      <c r="F678" t="s">
        <v>40</v>
      </c>
      <c r="G678" s="54" t="s">
        <v>182</v>
      </c>
      <c r="H678">
        <v>7</v>
      </c>
      <c r="I678" s="1">
        <v>3</v>
      </c>
      <c r="J678" s="1">
        <v>0.73798941813016938</v>
      </c>
      <c r="K678" s="1">
        <v>5.1166918724910895</v>
      </c>
    </row>
    <row r="679" spans="4:11" x14ac:dyDescent="0.25">
      <c r="D679" t="s">
        <v>138</v>
      </c>
      <c r="E679" t="s">
        <v>27</v>
      </c>
      <c r="F679" t="s">
        <v>0</v>
      </c>
      <c r="G679" s="54" t="s">
        <v>182</v>
      </c>
      <c r="H679">
        <v>1</v>
      </c>
      <c r="I679" s="1">
        <v>-3</v>
      </c>
      <c r="J679" s="1">
        <v>8.306253579699785E-2</v>
      </c>
      <c r="K679" s="1">
        <v>9.5052745996350154</v>
      </c>
    </row>
    <row r="680" spans="4:11" ht="15" customHeight="1" x14ac:dyDescent="0.25">
      <c r="D680" t="s">
        <v>138</v>
      </c>
      <c r="E680" t="s">
        <v>3</v>
      </c>
      <c r="F680" t="s">
        <v>14</v>
      </c>
      <c r="G680" s="54" t="s">
        <v>178</v>
      </c>
      <c r="H680">
        <v>1</v>
      </c>
      <c r="I680" s="1">
        <v>-1</v>
      </c>
      <c r="J680" s="1">
        <v>-0.17556070546285696</v>
      </c>
      <c r="K680" s="1">
        <v>0.67970015037690212</v>
      </c>
    </row>
    <row r="681" spans="4:11" x14ac:dyDescent="0.25">
      <c r="D681" t="s">
        <v>138</v>
      </c>
      <c r="E681" t="s">
        <v>22</v>
      </c>
      <c r="F681" t="s">
        <v>38</v>
      </c>
      <c r="G681" s="54" t="s">
        <v>179</v>
      </c>
      <c r="H681">
        <v>3</v>
      </c>
      <c r="I681" s="1">
        <v>2</v>
      </c>
      <c r="J681" s="1">
        <v>0.87158246649353543</v>
      </c>
      <c r="K681" s="1">
        <v>1.2733261299248131</v>
      </c>
    </row>
    <row r="682" spans="4:11" ht="18" customHeight="1" x14ac:dyDescent="0.25">
      <c r="D682" t="s">
        <v>138</v>
      </c>
      <c r="E682" t="s">
        <v>7</v>
      </c>
      <c r="F682" t="s">
        <v>23</v>
      </c>
      <c r="G682" s="54" t="s">
        <v>180</v>
      </c>
      <c r="H682">
        <v>1</v>
      </c>
      <c r="I682" s="1">
        <v>-2</v>
      </c>
      <c r="J682" s="1">
        <v>0.80154091620784129</v>
      </c>
      <c r="K682" s="1">
        <v>7.8486315051866704</v>
      </c>
    </row>
    <row r="683" spans="4:11" x14ac:dyDescent="0.25">
      <c r="D683" t="s">
        <v>138</v>
      </c>
      <c r="E683" t="s">
        <v>4</v>
      </c>
      <c r="F683" t="s">
        <v>33</v>
      </c>
      <c r="G683" s="54" t="s">
        <v>178</v>
      </c>
      <c r="H683">
        <v>1</v>
      </c>
      <c r="I683" s="1">
        <v>-1</v>
      </c>
      <c r="J683" s="1">
        <v>0.1459939786020783</v>
      </c>
      <c r="K683" s="1">
        <v>1.3133021989922207</v>
      </c>
    </row>
    <row r="684" spans="4:11" ht="15" customHeight="1" x14ac:dyDescent="0.25">
      <c r="D684" t="s">
        <v>138</v>
      </c>
      <c r="E684" t="s">
        <v>35</v>
      </c>
      <c r="F684" t="s">
        <v>32</v>
      </c>
      <c r="G684" s="54" t="s">
        <v>183</v>
      </c>
      <c r="H684">
        <v>2</v>
      </c>
      <c r="I684" s="1">
        <v>-3</v>
      </c>
      <c r="J684" s="1">
        <v>0.57258835420384457</v>
      </c>
      <c r="K684" s="1">
        <v>12.763387548592934</v>
      </c>
    </row>
    <row r="685" spans="4:11" x14ac:dyDescent="0.25">
      <c r="D685" t="s">
        <v>139</v>
      </c>
      <c r="E685" t="s">
        <v>18</v>
      </c>
      <c r="F685" t="s">
        <v>37</v>
      </c>
      <c r="G685" s="54" t="s">
        <v>178</v>
      </c>
      <c r="H685">
        <v>3</v>
      </c>
      <c r="I685" s="1">
        <v>1</v>
      </c>
      <c r="J685" s="1">
        <v>0.69286651026710899</v>
      </c>
      <c r="K685" s="1">
        <v>9.4330980515503871E-2</v>
      </c>
    </row>
    <row r="686" spans="4:11" ht="15" customHeight="1" x14ac:dyDescent="0.25">
      <c r="D686" t="s">
        <v>139</v>
      </c>
      <c r="E686" t="s">
        <v>24</v>
      </c>
      <c r="F686" t="s">
        <v>12</v>
      </c>
      <c r="G686" s="54" t="s">
        <v>183</v>
      </c>
      <c r="H686">
        <v>4</v>
      </c>
      <c r="I686" s="1">
        <v>-1</v>
      </c>
      <c r="J686" s="1">
        <v>1.6968014889750407</v>
      </c>
      <c r="K686" s="1">
        <v>7.2727382709379969</v>
      </c>
    </row>
    <row r="687" spans="4:11" x14ac:dyDescent="0.25">
      <c r="D687" t="s">
        <v>139</v>
      </c>
      <c r="E687" t="s">
        <v>11</v>
      </c>
      <c r="F687" t="s">
        <v>1</v>
      </c>
      <c r="G687" s="54" t="s">
        <v>178</v>
      </c>
      <c r="H687">
        <v>3</v>
      </c>
      <c r="I687" s="1">
        <v>1</v>
      </c>
      <c r="J687" s="1">
        <v>-0.10936337013892228</v>
      </c>
      <c r="K687" s="1">
        <v>1.2306870870059874</v>
      </c>
    </row>
    <row r="688" spans="4:11" ht="15" customHeight="1" x14ac:dyDescent="0.25">
      <c r="D688" t="s">
        <v>139</v>
      </c>
      <c r="E688" t="s">
        <v>19</v>
      </c>
      <c r="F688" t="s">
        <v>229</v>
      </c>
      <c r="G688" s="54" t="s">
        <v>179</v>
      </c>
      <c r="H688">
        <v>2</v>
      </c>
      <c r="I688" s="1">
        <v>1</v>
      </c>
      <c r="J688" s="1">
        <v>0.27610587714465851</v>
      </c>
      <c r="K688" s="1">
        <v>0.52402270110450422</v>
      </c>
    </row>
    <row r="689" spans="4:11" x14ac:dyDescent="0.25">
      <c r="D689" t="s">
        <v>139</v>
      </c>
      <c r="E689" t="s">
        <v>23</v>
      </c>
      <c r="F689" t="s">
        <v>13</v>
      </c>
      <c r="G689" s="54" t="s">
        <v>182</v>
      </c>
      <c r="H689">
        <v>5</v>
      </c>
      <c r="I689" s="1">
        <v>1</v>
      </c>
      <c r="J689" s="1">
        <v>-8.7597383005260099E-3</v>
      </c>
      <c r="K689" s="1">
        <v>1.0175962096161457</v>
      </c>
    </row>
    <row r="690" spans="4:11" ht="15" customHeight="1" x14ac:dyDescent="0.25">
      <c r="D690" t="s">
        <v>139</v>
      </c>
      <c r="E690" t="s">
        <v>3</v>
      </c>
      <c r="F690" t="s">
        <v>36</v>
      </c>
      <c r="G690" s="54" t="s">
        <v>179</v>
      </c>
      <c r="H690">
        <v>4</v>
      </c>
      <c r="I690" s="1">
        <v>3</v>
      </c>
      <c r="J690" s="1">
        <v>0.61350315196550298</v>
      </c>
      <c r="K690" s="1">
        <v>5.6953672056785889</v>
      </c>
    </row>
    <row r="691" spans="4:11" x14ac:dyDescent="0.25">
      <c r="D691" t="s">
        <v>139</v>
      </c>
      <c r="E691" t="s">
        <v>176</v>
      </c>
      <c r="F691" t="s">
        <v>20</v>
      </c>
      <c r="G691" s="54" t="s">
        <v>179</v>
      </c>
      <c r="H691">
        <v>6</v>
      </c>
      <c r="I691" s="1">
        <v>5</v>
      </c>
      <c r="J691" s="1">
        <v>1.9604890201386098</v>
      </c>
      <c r="K691" s="1">
        <v>9.2386269966979491</v>
      </c>
    </row>
    <row r="692" spans="4:11" ht="15" customHeight="1" x14ac:dyDescent="0.25">
      <c r="D692" t="s">
        <v>139</v>
      </c>
      <c r="E692" t="s">
        <v>2</v>
      </c>
      <c r="F692" t="s">
        <v>21</v>
      </c>
      <c r="G692" s="54" t="s">
        <v>180</v>
      </c>
      <c r="H692">
        <v>1</v>
      </c>
      <c r="I692" s="1">
        <v>-2</v>
      </c>
      <c r="J692" s="1">
        <v>0.29675460629714223</v>
      </c>
      <c r="K692" s="1">
        <v>5.2750817215471404</v>
      </c>
    </row>
    <row r="693" spans="4:11" x14ac:dyDescent="0.25">
      <c r="D693" t="s">
        <v>140</v>
      </c>
      <c r="E693" t="s">
        <v>0</v>
      </c>
      <c r="F693" t="s">
        <v>18</v>
      </c>
      <c r="G693" s="54" t="s">
        <v>180</v>
      </c>
      <c r="H693">
        <v>4</v>
      </c>
      <c r="I693" s="1">
        <v>1</v>
      </c>
      <c r="J693" s="1">
        <v>1.0906069072293576</v>
      </c>
      <c r="K693" s="1">
        <v>8.2096116376694159E-3</v>
      </c>
    </row>
    <row r="694" spans="4:11" ht="15" customHeight="1" x14ac:dyDescent="0.25">
      <c r="D694" t="s">
        <v>140</v>
      </c>
      <c r="E694" t="s">
        <v>20</v>
      </c>
      <c r="F694" t="s">
        <v>11</v>
      </c>
      <c r="G694" s="54" t="s">
        <v>180</v>
      </c>
      <c r="H694">
        <v>2</v>
      </c>
      <c r="I694" s="1">
        <v>-1</v>
      </c>
      <c r="J694" s="1">
        <v>-0.1433994091562738</v>
      </c>
      <c r="K694" s="1">
        <v>0.73376457223382086</v>
      </c>
    </row>
    <row r="695" spans="4:11" x14ac:dyDescent="0.25">
      <c r="D695" t="s">
        <v>140</v>
      </c>
      <c r="E695" t="s">
        <v>7</v>
      </c>
      <c r="F695" t="s">
        <v>25</v>
      </c>
      <c r="G695" s="54" t="s">
        <v>177</v>
      </c>
      <c r="H695">
        <v>4</v>
      </c>
      <c r="I695" s="1">
        <v>4</v>
      </c>
      <c r="J695" s="1">
        <v>0.69265171103901935</v>
      </c>
      <c r="K695" s="1">
        <v>10.938552704493127</v>
      </c>
    </row>
    <row r="696" spans="4:11" ht="15" customHeight="1" x14ac:dyDescent="0.25">
      <c r="D696" t="s">
        <v>140</v>
      </c>
      <c r="E696" t="s">
        <v>2</v>
      </c>
      <c r="F696" t="s">
        <v>22</v>
      </c>
      <c r="G696" s="54" t="s">
        <v>178</v>
      </c>
      <c r="H696">
        <v>3</v>
      </c>
      <c r="I696" s="1">
        <v>1</v>
      </c>
      <c r="J696" s="1">
        <v>0.1974552420473259</v>
      </c>
      <c r="K696" s="1">
        <v>0.64407808851731629</v>
      </c>
    </row>
    <row r="697" spans="4:11" x14ac:dyDescent="0.25">
      <c r="D697" t="s">
        <v>140</v>
      </c>
      <c r="E697" t="s">
        <v>4</v>
      </c>
      <c r="F697" t="s">
        <v>10</v>
      </c>
      <c r="G697" s="54" t="s">
        <v>180</v>
      </c>
      <c r="H697">
        <v>6</v>
      </c>
      <c r="I697" s="1">
        <v>3</v>
      </c>
      <c r="J697" s="1">
        <v>8.6095238568688615E-2</v>
      </c>
      <c r="K697" s="1">
        <v>8.4908409586920683</v>
      </c>
    </row>
    <row r="698" spans="4:11" ht="15" customHeight="1" x14ac:dyDescent="0.25">
      <c r="D698" t="s">
        <v>140</v>
      </c>
      <c r="E698" t="s">
        <v>33</v>
      </c>
      <c r="F698" t="s">
        <v>32</v>
      </c>
      <c r="G698" s="54" t="s">
        <v>178</v>
      </c>
      <c r="H698">
        <v>4</v>
      </c>
      <c r="I698" s="1">
        <v>2</v>
      </c>
      <c r="J698" s="1">
        <v>1.2814448008242607E-2</v>
      </c>
      <c r="K698" s="1">
        <v>3.9489064180447855</v>
      </c>
    </row>
    <row r="699" spans="4:11" x14ac:dyDescent="0.25">
      <c r="D699" t="s">
        <v>141</v>
      </c>
      <c r="E699" t="s">
        <v>37</v>
      </c>
      <c r="F699" t="s">
        <v>40</v>
      </c>
      <c r="G699" s="54" t="s">
        <v>179</v>
      </c>
      <c r="H699">
        <v>4</v>
      </c>
      <c r="I699" s="1">
        <v>3</v>
      </c>
      <c r="J699" s="1">
        <v>-0.18554751343047826</v>
      </c>
      <c r="K699" s="1">
        <v>10.147712960323103</v>
      </c>
    </row>
    <row r="700" spans="4:11" ht="15" customHeight="1" x14ac:dyDescent="0.25">
      <c r="D700" t="s">
        <v>141</v>
      </c>
      <c r="E700" t="s">
        <v>176</v>
      </c>
      <c r="F700" t="s">
        <v>1</v>
      </c>
      <c r="G700" s="54" t="s">
        <v>180</v>
      </c>
      <c r="H700">
        <v>4</v>
      </c>
      <c r="I700" s="1">
        <v>1</v>
      </c>
      <c r="J700" s="1">
        <v>1.2181252595875378</v>
      </c>
      <c r="K700" s="1">
        <v>4.7578628870130757E-2</v>
      </c>
    </row>
    <row r="701" spans="4:11" x14ac:dyDescent="0.25">
      <c r="D701" t="s">
        <v>141</v>
      </c>
      <c r="E701" t="s">
        <v>25</v>
      </c>
      <c r="F701" t="s">
        <v>11</v>
      </c>
      <c r="G701" s="54" t="s">
        <v>180</v>
      </c>
      <c r="H701">
        <v>5</v>
      </c>
      <c r="I701" s="1">
        <v>2</v>
      </c>
      <c r="J701" s="1">
        <v>8.347314389020255E-2</v>
      </c>
      <c r="K701" s="1">
        <v>3.6730751901901044</v>
      </c>
    </row>
    <row r="702" spans="4:11" ht="15" customHeight="1" x14ac:dyDescent="0.25">
      <c r="D702" t="s">
        <v>141</v>
      </c>
      <c r="E702" t="s">
        <v>12</v>
      </c>
      <c r="F702" t="s">
        <v>7</v>
      </c>
      <c r="G702" s="54" t="s">
        <v>180</v>
      </c>
      <c r="H702">
        <v>4</v>
      </c>
      <c r="I702" s="1">
        <v>1</v>
      </c>
      <c r="J702" s="1">
        <v>-0.36238255055948798</v>
      </c>
      <c r="K702" s="1">
        <v>1.8560862140689758</v>
      </c>
    </row>
    <row r="703" spans="4:11" x14ac:dyDescent="0.25">
      <c r="D703" t="s">
        <v>141</v>
      </c>
      <c r="E703" t="s">
        <v>36</v>
      </c>
      <c r="F703" t="s">
        <v>27</v>
      </c>
      <c r="G703" s="54" t="s">
        <v>178</v>
      </c>
      <c r="H703">
        <v>4</v>
      </c>
      <c r="I703" s="1">
        <v>2</v>
      </c>
      <c r="J703" s="1">
        <v>-0.76041742276385094</v>
      </c>
      <c r="K703" s="1">
        <v>7.6199043478982214</v>
      </c>
    </row>
    <row r="704" spans="4:11" ht="15" customHeight="1" x14ac:dyDescent="0.25">
      <c r="D704" t="s">
        <v>141</v>
      </c>
      <c r="E704" t="s">
        <v>21</v>
      </c>
      <c r="F704" t="s">
        <v>229</v>
      </c>
      <c r="G704" s="54" t="s">
        <v>178</v>
      </c>
      <c r="H704">
        <v>3</v>
      </c>
      <c r="I704" s="1">
        <v>1</v>
      </c>
      <c r="J704" s="1">
        <v>0.53786030357665027</v>
      </c>
      <c r="K704" s="1">
        <v>0.21357309901026586</v>
      </c>
    </row>
    <row r="705" spans="4:11" x14ac:dyDescent="0.25">
      <c r="D705" t="s">
        <v>141</v>
      </c>
      <c r="E705" t="s">
        <v>13</v>
      </c>
      <c r="F705" t="s">
        <v>14</v>
      </c>
      <c r="G705" s="54" t="s">
        <v>183</v>
      </c>
      <c r="H705">
        <v>4</v>
      </c>
      <c r="I705" s="1">
        <v>-1</v>
      </c>
      <c r="J705" s="1">
        <v>-0.11846318700258962</v>
      </c>
      <c r="K705" s="1">
        <v>0.77710715266963126</v>
      </c>
    </row>
    <row r="706" spans="4:11" ht="18" customHeight="1" x14ac:dyDescent="0.25">
      <c r="D706" t="s">
        <v>141</v>
      </c>
      <c r="E706" t="s">
        <v>22</v>
      </c>
      <c r="F706" t="s">
        <v>19</v>
      </c>
      <c r="G706" s="54" t="s">
        <v>180</v>
      </c>
      <c r="H706">
        <v>4</v>
      </c>
      <c r="I706" s="1">
        <v>1</v>
      </c>
      <c r="J706" s="1">
        <v>0.60585428130974606</v>
      </c>
      <c r="K706" s="1">
        <v>0.1553508475618568</v>
      </c>
    </row>
    <row r="707" spans="4:11" x14ac:dyDescent="0.25">
      <c r="D707" t="s">
        <v>141</v>
      </c>
      <c r="E707" t="s">
        <v>8</v>
      </c>
      <c r="F707" t="s">
        <v>4</v>
      </c>
      <c r="G707" s="54" t="s">
        <v>179</v>
      </c>
      <c r="H707">
        <v>4</v>
      </c>
      <c r="I707" s="1">
        <v>3</v>
      </c>
      <c r="J707" s="1">
        <v>1.8275893637201648</v>
      </c>
      <c r="K707" s="1">
        <v>1.3745467000620881</v>
      </c>
    </row>
    <row r="708" spans="4:11" ht="15" customHeight="1" x14ac:dyDescent="0.25">
      <c r="D708" t="s">
        <v>141</v>
      </c>
      <c r="E708" t="s">
        <v>23</v>
      </c>
      <c r="F708" t="s">
        <v>24</v>
      </c>
      <c r="G708" s="54" t="s">
        <v>178</v>
      </c>
      <c r="H708">
        <v>1</v>
      </c>
      <c r="I708" s="1">
        <v>-1</v>
      </c>
      <c r="J708" s="1">
        <v>-1.1567578921116421</v>
      </c>
      <c r="K708" s="1">
        <v>2.457303673928524E-2</v>
      </c>
    </row>
    <row r="709" spans="4:11" x14ac:dyDescent="0.25">
      <c r="D709" t="s">
        <v>141</v>
      </c>
      <c r="E709" t="s">
        <v>10</v>
      </c>
      <c r="F709" t="s">
        <v>3</v>
      </c>
      <c r="G709" s="54" t="s">
        <v>182</v>
      </c>
      <c r="H709">
        <v>0</v>
      </c>
      <c r="I709" s="1">
        <v>-4</v>
      </c>
      <c r="J709" s="1">
        <v>0.34535723015487463</v>
      </c>
      <c r="K709" s="1">
        <v>18.882129457659243</v>
      </c>
    </row>
    <row r="710" spans="4:11" ht="18" customHeight="1" x14ac:dyDescent="0.25">
      <c r="D710" t="s">
        <v>142</v>
      </c>
      <c r="E710" t="s">
        <v>0</v>
      </c>
      <c r="F710" t="s">
        <v>35</v>
      </c>
      <c r="G710" s="54" t="s">
        <v>179</v>
      </c>
      <c r="H710">
        <v>2</v>
      </c>
      <c r="I710" s="1">
        <v>1</v>
      </c>
      <c r="J710" s="1">
        <v>0.442621791823953</v>
      </c>
      <c r="K710" s="1">
        <v>0.31067046694954076</v>
      </c>
    </row>
    <row r="711" spans="4:11" x14ac:dyDescent="0.25">
      <c r="D711" t="s">
        <v>142</v>
      </c>
      <c r="E711" t="s">
        <v>11</v>
      </c>
      <c r="F711" t="s">
        <v>12</v>
      </c>
      <c r="G711" s="54" t="s">
        <v>177</v>
      </c>
      <c r="H711">
        <v>4</v>
      </c>
      <c r="I711" s="1">
        <v>4</v>
      </c>
      <c r="J711" s="1">
        <v>0.56545965814201793</v>
      </c>
      <c r="K711" s="1">
        <v>11.796067359849944</v>
      </c>
    </row>
    <row r="712" spans="4:11" ht="15" customHeight="1" x14ac:dyDescent="0.25">
      <c r="D712" t="s">
        <v>142</v>
      </c>
      <c r="E712" t="s">
        <v>20</v>
      </c>
      <c r="F712" t="s">
        <v>33</v>
      </c>
      <c r="G712" s="54" t="s">
        <v>180</v>
      </c>
      <c r="H712">
        <v>4</v>
      </c>
      <c r="I712" s="1">
        <v>1</v>
      </c>
      <c r="J712" s="1">
        <v>-0.11030356721146006</v>
      </c>
      <c r="K712" s="1">
        <v>1.2327740113624932</v>
      </c>
    </row>
    <row r="713" spans="4:11" x14ac:dyDescent="0.25">
      <c r="D713" t="s">
        <v>143</v>
      </c>
      <c r="E713" t="s">
        <v>2</v>
      </c>
      <c r="F713" t="s">
        <v>40</v>
      </c>
      <c r="G713" s="54" t="s">
        <v>183</v>
      </c>
      <c r="H713">
        <v>2</v>
      </c>
      <c r="I713" s="1">
        <v>-3</v>
      </c>
      <c r="J713" s="1">
        <v>0.49537637232849363</v>
      </c>
      <c r="K713" s="1">
        <v>12.2176559842323</v>
      </c>
    </row>
    <row r="714" spans="4:11" ht="15" customHeight="1" x14ac:dyDescent="0.25">
      <c r="D714" t="s">
        <v>143</v>
      </c>
      <c r="E714" t="s">
        <v>229</v>
      </c>
      <c r="F714" t="s">
        <v>37</v>
      </c>
      <c r="G714" s="54" t="s">
        <v>179</v>
      </c>
      <c r="H714">
        <v>0</v>
      </c>
      <c r="I714" s="1">
        <v>-1</v>
      </c>
      <c r="J714" s="1">
        <v>0.58071044776899328</v>
      </c>
      <c r="K714" s="1">
        <v>2.4986455196860513</v>
      </c>
    </row>
    <row r="715" spans="4:11" x14ac:dyDescent="0.25">
      <c r="D715" t="s">
        <v>143</v>
      </c>
      <c r="E715" t="s">
        <v>25</v>
      </c>
      <c r="F715" t="s">
        <v>1</v>
      </c>
      <c r="G715" s="54" t="s">
        <v>178</v>
      </c>
      <c r="H715">
        <v>5</v>
      </c>
      <c r="I715" s="1">
        <v>3</v>
      </c>
      <c r="J715" s="1">
        <v>-0.27069071687665769</v>
      </c>
      <c r="K715" s="1">
        <v>10.697417765463145</v>
      </c>
    </row>
    <row r="716" spans="4:11" ht="15" customHeight="1" x14ac:dyDescent="0.25">
      <c r="D716" t="s">
        <v>143</v>
      </c>
      <c r="E716" t="s">
        <v>176</v>
      </c>
      <c r="F716" t="s">
        <v>0</v>
      </c>
      <c r="G716" s="54" t="s">
        <v>180</v>
      </c>
      <c r="H716">
        <v>1</v>
      </c>
      <c r="I716" s="1">
        <v>-2</v>
      </c>
      <c r="J716" s="1">
        <v>0.84778975490759478</v>
      </c>
      <c r="K716" s="1">
        <v>8.1099064881566587</v>
      </c>
    </row>
    <row r="717" spans="4:11" x14ac:dyDescent="0.25">
      <c r="D717" t="s">
        <v>143</v>
      </c>
      <c r="E717" t="s">
        <v>21</v>
      </c>
      <c r="F717" t="s">
        <v>18</v>
      </c>
      <c r="G717" s="54" t="s">
        <v>181</v>
      </c>
      <c r="H717">
        <v>3</v>
      </c>
      <c r="I717" s="1">
        <v>-3</v>
      </c>
      <c r="J717" s="1">
        <v>0.42570424107853455</v>
      </c>
      <c r="K717" s="1">
        <v>11.735449547343459</v>
      </c>
    </row>
    <row r="718" spans="4:11" ht="15" customHeight="1" x14ac:dyDescent="0.25">
      <c r="D718" t="s">
        <v>143</v>
      </c>
      <c r="E718" t="s">
        <v>13</v>
      </c>
      <c r="F718" t="s">
        <v>36</v>
      </c>
      <c r="G718" s="54" t="s">
        <v>179</v>
      </c>
      <c r="H718">
        <v>5</v>
      </c>
      <c r="I718" s="1">
        <v>4</v>
      </c>
      <c r="J718" s="1">
        <v>0.67060067042577032</v>
      </c>
      <c r="K718" s="1">
        <v>11.084899895769331</v>
      </c>
    </row>
    <row r="719" spans="4:11" x14ac:dyDescent="0.25">
      <c r="D719" t="s">
        <v>143</v>
      </c>
      <c r="E719" t="s">
        <v>7</v>
      </c>
      <c r="F719" t="s">
        <v>14</v>
      </c>
      <c r="G719" s="54" t="s">
        <v>178</v>
      </c>
      <c r="H719">
        <v>3</v>
      </c>
      <c r="I719" s="1">
        <v>1</v>
      </c>
      <c r="J719" s="1">
        <v>0.18471700964884974</v>
      </c>
      <c r="K719" s="1">
        <v>0.66468635435591372</v>
      </c>
    </row>
    <row r="720" spans="4:11" ht="15" customHeight="1" x14ac:dyDescent="0.25">
      <c r="D720" t="s">
        <v>143</v>
      </c>
      <c r="E720" t="s">
        <v>19</v>
      </c>
      <c r="F720" t="s">
        <v>38</v>
      </c>
      <c r="G720" s="54" t="s">
        <v>182</v>
      </c>
      <c r="H720">
        <v>5</v>
      </c>
      <c r="I720" s="1">
        <v>1</v>
      </c>
      <c r="J720" s="1">
        <v>0.51052867581172734</v>
      </c>
      <c r="K720" s="1">
        <v>0.23958217720262112</v>
      </c>
    </row>
    <row r="721" spans="4:11" x14ac:dyDescent="0.25">
      <c r="D721" t="s">
        <v>143</v>
      </c>
      <c r="E721" t="s">
        <v>23</v>
      </c>
      <c r="F721" t="s">
        <v>4</v>
      </c>
      <c r="G721" s="54" t="s">
        <v>179</v>
      </c>
      <c r="H721">
        <v>0</v>
      </c>
      <c r="I721" s="1">
        <v>-1</v>
      </c>
      <c r="J721" s="1">
        <v>0.10648629269205401</v>
      </c>
      <c r="K721" s="1">
        <v>1.2243119159154059</v>
      </c>
    </row>
    <row r="722" spans="4:11" ht="18" customHeight="1" x14ac:dyDescent="0.25">
      <c r="D722" t="s">
        <v>143</v>
      </c>
      <c r="E722" t="s">
        <v>8</v>
      </c>
      <c r="F722" t="s">
        <v>24</v>
      </c>
      <c r="G722" s="54" t="s">
        <v>178</v>
      </c>
      <c r="H722">
        <v>3</v>
      </c>
      <c r="I722" s="1">
        <v>1</v>
      </c>
      <c r="J722" s="1">
        <v>0.56434517891646863</v>
      </c>
      <c r="K722" s="1">
        <v>0.18979512313332372</v>
      </c>
    </row>
    <row r="723" spans="4:11" x14ac:dyDescent="0.25">
      <c r="D723" t="s">
        <v>143</v>
      </c>
      <c r="E723" t="s">
        <v>10</v>
      </c>
      <c r="F723" t="s">
        <v>32</v>
      </c>
      <c r="G723" s="54" t="s">
        <v>180</v>
      </c>
      <c r="H723">
        <v>6</v>
      </c>
      <c r="I723" s="1">
        <v>3</v>
      </c>
      <c r="J723" s="1">
        <v>7.2713188041632293E-2</v>
      </c>
      <c r="K723" s="1">
        <v>8.5690080794653838</v>
      </c>
    </row>
    <row r="724" spans="4:11" ht="15" customHeight="1" x14ac:dyDescent="0.25">
      <c r="D724" t="s">
        <v>144</v>
      </c>
      <c r="E724" t="s">
        <v>11</v>
      </c>
      <c r="F724" t="s">
        <v>35</v>
      </c>
      <c r="G724" s="54" t="s">
        <v>178</v>
      </c>
      <c r="H724">
        <v>1</v>
      </c>
      <c r="I724" s="1">
        <v>-1</v>
      </c>
      <c r="J724" s="1">
        <v>-0.28187757362285026</v>
      </c>
      <c r="K724" s="1">
        <v>0.51569981926580488</v>
      </c>
    </row>
    <row r="725" spans="4:11" x14ac:dyDescent="0.25">
      <c r="D725" t="s">
        <v>144</v>
      </c>
      <c r="E725" t="s">
        <v>38</v>
      </c>
      <c r="F725" t="s">
        <v>27</v>
      </c>
      <c r="G725" s="54" t="s">
        <v>180</v>
      </c>
      <c r="H725">
        <v>2</v>
      </c>
      <c r="I725" s="1">
        <v>-1</v>
      </c>
      <c r="J725" s="1">
        <v>-0.78584683230772612</v>
      </c>
      <c r="K725" s="1">
        <v>4.5861579232635181E-2</v>
      </c>
    </row>
    <row r="726" spans="4:11" ht="15" customHeight="1" x14ac:dyDescent="0.25">
      <c r="D726" t="s">
        <v>144</v>
      </c>
      <c r="E726" t="s">
        <v>19</v>
      </c>
      <c r="F726" t="s">
        <v>22</v>
      </c>
      <c r="G726" s="54" t="s">
        <v>177</v>
      </c>
      <c r="H726">
        <v>3</v>
      </c>
      <c r="I726" s="1">
        <v>3</v>
      </c>
      <c r="J726" s="1">
        <v>-0.11625330005387013</v>
      </c>
      <c r="K726" s="1">
        <v>9.7110346300966359</v>
      </c>
    </row>
    <row r="727" spans="4:11" x14ac:dyDescent="0.25">
      <c r="D727" t="s">
        <v>144</v>
      </c>
      <c r="E727" t="s">
        <v>8</v>
      </c>
      <c r="F727" t="s">
        <v>3</v>
      </c>
      <c r="G727" s="54" t="s">
        <v>178</v>
      </c>
      <c r="H727">
        <v>5</v>
      </c>
      <c r="I727" s="1">
        <v>3</v>
      </c>
      <c r="J727" s="1">
        <v>1.7694408511878521</v>
      </c>
      <c r="K727" s="1">
        <v>1.5142758187252781</v>
      </c>
    </row>
    <row r="728" spans="4:11" ht="15" customHeight="1" x14ac:dyDescent="0.25">
      <c r="D728" t="s">
        <v>144</v>
      </c>
      <c r="E728" t="s">
        <v>20</v>
      </c>
      <c r="F728" t="s">
        <v>10</v>
      </c>
      <c r="G728" s="54" t="s">
        <v>182</v>
      </c>
      <c r="H728">
        <v>1</v>
      </c>
      <c r="I728" s="1">
        <v>-3</v>
      </c>
      <c r="J728" s="1">
        <v>-0.17020230724484975</v>
      </c>
      <c r="K728" s="1">
        <v>8.0077549819223712</v>
      </c>
    </row>
    <row r="729" spans="4:11" x14ac:dyDescent="0.25">
      <c r="D729" t="s">
        <v>145</v>
      </c>
      <c r="E729" t="s">
        <v>12</v>
      </c>
      <c r="F729" t="s">
        <v>229</v>
      </c>
      <c r="G729" s="54" t="s">
        <v>177</v>
      </c>
      <c r="H729">
        <v>1</v>
      </c>
      <c r="I729" s="1">
        <v>1</v>
      </c>
      <c r="J729" s="1">
        <v>0.15760443676659008</v>
      </c>
      <c r="K729" s="1">
        <v>0.70963028495533398</v>
      </c>
    </row>
    <row r="730" spans="4:11" ht="15" customHeight="1" x14ac:dyDescent="0.25">
      <c r="D730" t="s">
        <v>145</v>
      </c>
      <c r="E730" t="s">
        <v>40</v>
      </c>
      <c r="F730" t="s">
        <v>13</v>
      </c>
      <c r="G730" s="54" t="s">
        <v>179</v>
      </c>
      <c r="H730">
        <v>4</v>
      </c>
      <c r="I730" s="1">
        <v>3</v>
      </c>
      <c r="J730" s="1">
        <v>0.12243174687066016</v>
      </c>
      <c r="K730" s="1">
        <v>8.2803990514178398</v>
      </c>
    </row>
    <row r="731" spans="4:11" x14ac:dyDescent="0.25">
      <c r="D731" t="s">
        <v>145</v>
      </c>
      <c r="E731" t="s">
        <v>176</v>
      </c>
      <c r="F731" t="s">
        <v>18</v>
      </c>
      <c r="G731" s="54" t="s">
        <v>178</v>
      </c>
      <c r="H731">
        <v>7</v>
      </c>
      <c r="I731" s="1">
        <v>5</v>
      </c>
      <c r="J731" s="1">
        <v>1.6935961715090144</v>
      </c>
      <c r="K731" s="1">
        <v>10.932306277059848</v>
      </c>
    </row>
    <row r="732" spans="4:11" ht="15" customHeight="1" x14ac:dyDescent="0.25">
      <c r="D732" t="s">
        <v>145</v>
      </c>
      <c r="E732" t="s">
        <v>33</v>
      </c>
      <c r="F732" t="s">
        <v>2</v>
      </c>
      <c r="G732" s="54" t="s">
        <v>179</v>
      </c>
      <c r="H732">
        <v>3</v>
      </c>
      <c r="I732" s="1">
        <v>2</v>
      </c>
      <c r="J732" s="1">
        <v>0.10015383371793973</v>
      </c>
      <c r="K732" s="1">
        <v>3.609415455536642</v>
      </c>
    </row>
    <row r="733" spans="4:11" x14ac:dyDescent="0.25">
      <c r="D733" t="s">
        <v>145</v>
      </c>
      <c r="E733" t="s">
        <v>14</v>
      </c>
      <c r="F733" t="s">
        <v>35</v>
      </c>
      <c r="G733" s="54" t="s">
        <v>179</v>
      </c>
      <c r="H733">
        <v>3</v>
      </c>
      <c r="I733" s="1">
        <v>2</v>
      </c>
      <c r="J733" s="1">
        <v>6.4729781029583933E-2</v>
      </c>
      <c r="K733" s="1">
        <v>3.7452708204338023</v>
      </c>
    </row>
    <row r="734" spans="4:11" ht="18" customHeight="1" x14ac:dyDescent="0.25">
      <c r="D734" t="s">
        <v>145</v>
      </c>
      <c r="E734" t="s">
        <v>27</v>
      </c>
      <c r="F734" t="s">
        <v>37</v>
      </c>
      <c r="G734" s="54" t="s">
        <v>179</v>
      </c>
      <c r="H734">
        <v>4</v>
      </c>
      <c r="I734" s="1">
        <v>3</v>
      </c>
      <c r="J734" s="1">
        <v>1.3769349720375885</v>
      </c>
      <c r="K734" s="1">
        <v>2.6343400849946237</v>
      </c>
    </row>
    <row r="735" spans="4:11" x14ac:dyDescent="0.25">
      <c r="D735" t="s">
        <v>145</v>
      </c>
      <c r="E735" t="s">
        <v>0</v>
      </c>
      <c r="F735" t="s">
        <v>1</v>
      </c>
      <c r="G735" s="54" t="s">
        <v>177</v>
      </c>
      <c r="H735">
        <v>1</v>
      </c>
      <c r="I735" s="1">
        <v>1</v>
      </c>
      <c r="J735" s="1">
        <v>0.61513599530788099</v>
      </c>
      <c r="K735" s="1">
        <v>0.14812030210765539</v>
      </c>
    </row>
    <row r="736" spans="4:11" ht="18" customHeight="1" x14ac:dyDescent="0.25">
      <c r="D736" t="s">
        <v>145</v>
      </c>
      <c r="E736" t="s">
        <v>21</v>
      </c>
      <c r="F736" t="s">
        <v>25</v>
      </c>
      <c r="G736" s="54" t="s">
        <v>183</v>
      </c>
      <c r="H736">
        <v>2</v>
      </c>
      <c r="I736" s="1">
        <v>-3</v>
      </c>
      <c r="J736" s="1">
        <v>0.46572453666165359</v>
      </c>
      <c r="K736" s="1">
        <v>12.011246564018633</v>
      </c>
    </row>
    <row r="737" spans="4:11" x14ac:dyDescent="0.25">
      <c r="D737" t="s">
        <v>145</v>
      </c>
      <c r="E737" t="s">
        <v>7</v>
      </c>
      <c r="F737" t="s">
        <v>36</v>
      </c>
      <c r="G737" s="54" t="s">
        <v>179</v>
      </c>
      <c r="H737">
        <v>3</v>
      </c>
      <c r="I737" s="1">
        <v>2</v>
      </c>
      <c r="J737" s="1">
        <v>0.97378086707720968</v>
      </c>
      <c r="K737" s="1">
        <v>1.0531257087768036</v>
      </c>
    </row>
    <row r="738" spans="4:11" ht="18" customHeight="1" x14ac:dyDescent="0.25">
      <c r="D738" t="s">
        <v>145</v>
      </c>
      <c r="E738" t="s">
        <v>24</v>
      </c>
      <c r="F738" t="s">
        <v>4</v>
      </c>
      <c r="G738" s="54" t="s">
        <v>178</v>
      </c>
      <c r="H738">
        <v>4</v>
      </c>
      <c r="I738" s="1">
        <v>2</v>
      </c>
      <c r="J738" s="1">
        <v>1.5080446754316341</v>
      </c>
      <c r="K738" s="1">
        <v>0.24202004137116623</v>
      </c>
    </row>
    <row r="739" spans="4:11" x14ac:dyDescent="0.25">
      <c r="D739" t="s">
        <v>145</v>
      </c>
      <c r="E739" t="s">
        <v>20</v>
      </c>
      <c r="F739" t="s">
        <v>32</v>
      </c>
      <c r="G739" s="54" t="s">
        <v>177</v>
      </c>
      <c r="H739">
        <v>2</v>
      </c>
      <c r="I739" s="1">
        <v>2</v>
      </c>
      <c r="J739" s="1">
        <v>-0.34228960983115542</v>
      </c>
      <c r="K739" s="1">
        <v>5.4863206163229865</v>
      </c>
    </row>
    <row r="740" spans="4:11" ht="15" customHeight="1" x14ac:dyDescent="0.25">
      <c r="D740" t="s">
        <v>146</v>
      </c>
      <c r="E740" t="s">
        <v>176</v>
      </c>
      <c r="F740" t="s">
        <v>229</v>
      </c>
      <c r="G740" s="54" t="s">
        <v>180</v>
      </c>
      <c r="H740">
        <v>2</v>
      </c>
      <c r="I740" s="1">
        <v>-1</v>
      </c>
      <c r="J740" s="1">
        <v>1.8057522340071301</v>
      </c>
      <c r="K740" s="1">
        <v>7.8722455986360016</v>
      </c>
    </row>
    <row r="741" spans="4:11" x14ac:dyDescent="0.25">
      <c r="D741" t="s">
        <v>146</v>
      </c>
      <c r="E741" t="s">
        <v>38</v>
      </c>
      <c r="F741" t="s">
        <v>12</v>
      </c>
      <c r="G741" s="54" t="s">
        <v>182</v>
      </c>
      <c r="H741">
        <v>3</v>
      </c>
      <c r="I741" s="1">
        <v>-1</v>
      </c>
      <c r="J741" s="1">
        <v>9.7573745822217006E-2</v>
      </c>
      <c r="K741" s="1">
        <v>1.2046681275182127</v>
      </c>
    </row>
    <row r="742" spans="4:11" ht="15" customHeight="1" x14ac:dyDescent="0.25">
      <c r="D742" t="s">
        <v>146</v>
      </c>
      <c r="E742" t="s">
        <v>19</v>
      </c>
      <c r="F742" t="s">
        <v>11</v>
      </c>
      <c r="G742" s="54" t="s">
        <v>182</v>
      </c>
      <c r="H742">
        <v>0</v>
      </c>
      <c r="I742" s="1">
        <v>-4</v>
      </c>
      <c r="J742" s="1">
        <v>4.2642763491926416E-2</v>
      </c>
      <c r="K742" s="1">
        <v>16.34296051321364</v>
      </c>
    </row>
    <row r="743" spans="4:11" x14ac:dyDescent="0.25">
      <c r="D743" t="s">
        <v>146</v>
      </c>
      <c r="E743" t="s">
        <v>23</v>
      </c>
      <c r="F743" t="s">
        <v>3</v>
      </c>
      <c r="G743" s="54" t="s">
        <v>182</v>
      </c>
      <c r="H743">
        <v>2</v>
      </c>
      <c r="I743" s="1">
        <v>-2</v>
      </c>
      <c r="J743" s="1">
        <v>4.8337780159741328E-2</v>
      </c>
      <c r="K743" s="1">
        <v>4.1956876616297372</v>
      </c>
    </row>
    <row r="744" spans="4:11" ht="15" customHeight="1" x14ac:dyDescent="0.25">
      <c r="D744" t="s">
        <v>147</v>
      </c>
      <c r="E744" t="s">
        <v>14</v>
      </c>
      <c r="F744" t="s">
        <v>37</v>
      </c>
      <c r="G744" s="54" t="s">
        <v>180</v>
      </c>
      <c r="H744">
        <v>6</v>
      </c>
      <c r="I744" s="1">
        <v>3</v>
      </c>
      <c r="J744" s="1">
        <v>1.1607809160741596</v>
      </c>
      <c r="K744" s="1">
        <v>3.3827268386770077</v>
      </c>
    </row>
    <row r="745" spans="4:11" x14ac:dyDescent="0.25">
      <c r="D745" t="s">
        <v>147</v>
      </c>
      <c r="E745" t="s">
        <v>25</v>
      </c>
      <c r="F745" t="s">
        <v>4</v>
      </c>
      <c r="G745" s="54" t="s">
        <v>178</v>
      </c>
      <c r="H745">
        <v>5</v>
      </c>
      <c r="I745" s="1">
        <v>3</v>
      </c>
      <c r="J745" s="1">
        <v>0.21537549786087595</v>
      </c>
      <c r="K745" s="1">
        <v>7.7541336179135643</v>
      </c>
    </row>
    <row r="746" spans="4:11" ht="15" customHeight="1" x14ac:dyDescent="0.25">
      <c r="D746" t="s">
        <v>147</v>
      </c>
      <c r="E746" t="s">
        <v>24</v>
      </c>
      <c r="F746" t="s">
        <v>32</v>
      </c>
      <c r="G746" s="54" t="s">
        <v>183</v>
      </c>
      <c r="H746">
        <v>4</v>
      </c>
      <c r="I746" s="1">
        <v>-1</v>
      </c>
      <c r="J746" s="1">
        <v>1.1772521207860791</v>
      </c>
      <c r="K746" s="1">
        <v>4.740426797467479</v>
      </c>
    </row>
    <row r="747" spans="4:11" x14ac:dyDescent="0.25">
      <c r="D747" t="s">
        <v>148</v>
      </c>
      <c r="E747" t="s">
        <v>18</v>
      </c>
      <c r="F747" t="s">
        <v>35</v>
      </c>
      <c r="G747" s="54" t="s">
        <v>179</v>
      </c>
      <c r="H747">
        <v>2</v>
      </c>
      <c r="I747" s="1">
        <v>1</v>
      </c>
      <c r="J747" s="1">
        <v>-0.40318462477746664</v>
      </c>
      <c r="K747" s="1">
        <v>1.9689270912118799</v>
      </c>
    </row>
    <row r="748" spans="4:11" ht="15" customHeight="1" x14ac:dyDescent="0.25">
      <c r="D748" t="s">
        <v>148</v>
      </c>
      <c r="E748" t="s">
        <v>14</v>
      </c>
      <c r="F748" t="s">
        <v>40</v>
      </c>
      <c r="G748" s="54" t="s">
        <v>182</v>
      </c>
      <c r="H748">
        <v>2</v>
      </c>
      <c r="I748" s="1">
        <v>-2</v>
      </c>
      <c r="J748" s="1">
        <v>0.73043291201574334</v>
      </c>
      <c r="K748" s="1">
        <v>7.4552638870187717</v>
      </c>
    </row>
    <row r="749" spans="4:11" x14ac:dyDescent="0.25">
      <c r="D749" t="s">
        <v>148</v>
      </c>
      <c r="E749" t="s">
        <v>33</v>
      </c>
      <c r="F749" t="s">
        <v>12</v>
      </c>
      <c r="G749" s="54" t="s">
        <v>177</v>
      </c>
      <c r="H749">
        <v>4</v>
      </c>
      <c r="I749" s="1">
        <v>4</v>
      </c>
      <c r="J749" s="1">
        <v>0.53236381619720419</v>
      </c>
      <c r="K749" s="1">
        <v>12.024500703218417</v>
      </c>
    </row>
    <row r="750" spans="4:11" ht="15" customHeight="1" x14ac:dyDescent="0.25">
      <c r="D750" t="s">
        <v>148</v>
      </c>
      <c r="E750" t="s">
        <v>176</v>
      </c>
      <c r="F750" t="s">
        <v>7</v>
      </c>
      <c r="G750" s="54" t="s">
        <v>182</v>
      </c>
      <c r="H750">
        <v>1</v>
      </c>
      <c r="I750" s="1">
        <v>-3</v>
      </c>
      <c r="J750" s="1">
        <v>1.2857652466810521</v>
      </c>
      <c r="K750" s="1">
        <v>18.3677837496591</v>
      </c>
    </row>
    <row r="751" spans="4:11" x14ac:dyDescent="0.25">
      <c r="D751" t="s">
        <v>148</v>
      </c>
      <c r="E751" t="s">
        <v>8</v>
      </c>
      <c r="F751" t="s">
        <v>229</v>
      </c>
      <c r="G751" s="54" t="s">
        <v>180</v>
      </c>
      <c r="H751">
        <v>2</v>
      </c>
      <c r="I751" s="1">
        <v>-1</v>
      </c>
      <c r="J751" s="1">
        <v>1.9291501234022235</v>
      </c>
      <c r="K751" s="1">
        <v>8.5799204454272608</v>
      </c>
    </row>
    <row r="752" spans="4:11" ht="15" customHeight="1" x14ac:dyDescent="0.25">
      <c r="D752" t="s">
        <v>148</v>
      </c>
      <c r="E752" t="s">
        <v>36</v>
      </c>
      <c r="F752" t="s">
        <v>38</v>
      </c>
      <c r="G752" s="54" t="s">
        <v>179</v>
      </c>
      <c r="H752">
        <v>2</v>
      </c>
      <c r="I752" s="1">
        <v>1</v>
      </c>
      <c r="J752" s="1">
        <v>0.27022990017181314</v>
      </c>
      <c r="K752" s="1">
        <v>0.53256439860324178</v>
      </c>
    </row>
    <row r="753" spans="4:11" x14ac:dyDescent="0.25">
      <c r="D753" t="s">
        <v>148</v>
      </c>
      <c r="E753" t="s">
        <v>0</v>
      </c>
      <c r="F753" t="s">
        <v>19</v>
      </c>
      <c r="G753" s="54" t="s">
        <v>180</v>
      </c>
      <c r="H753">
        <v>4</v>
      </c>
      <c r="I753" s="1">
        <v>1</v>
      </c>
      <c r="J753" s="1">
        <v>1.1714575832107528</v>
      </c>
      <c r="K753" s="1">
        <v>2.939770284047221E-2</v>
      </c>
    </row>
    <row r="754" spans="4:11" ht="15" customHeight="1" x14ac:dyDescent="0.25">
      <c r="D754" t="s">
        <v>148</v>
      </c>
      <c r="E754" t="s">
        <v>20</v>
      </c>
      <c r="F754" t="s">
        <v>23</v>
      </c>
      <c r="G754" s="54" t="s">
        <v>177</v>
      </c>
      <c r="H754">
        <v>3</v>
      </c>
      <c r="I754" s="1">
        <v>3</v>
      </c>
      <c r="J754" s="1">
        <v>0.12681714275028355</v>
      </c>
      <c r="K754" s="1">
        <v>8.2551797311936443</v>
      </c>
    </row>
    <row r="755" spans="4:11" x14ac:dyDescent="0.25">
      <c r="D755" t="s">
        <v>148</v>
      </c>
      <c r="E755" t="s">
        <v>22</v>
      </c>
      <c r="F755" t="s">
        <v>21</v>
      </c>
      <c r="G755" s="54" t="s">
        <v>180</v>
      </c>
      <c r="H755">
        <v>2</v>
      </c>
      <c r="I755" s="1">
        <v>-1</v>
      </c>
      <c r="J755" s="1">
        <v>0.3440998548777543</v>
      </c>
      <c r="K755" s="1">
        <v>1.8066044198824001</v>
      </c>
    </row>
    <row r="756" spans="4:11" ht="15" customHeight="1" x14ac:dyDescent="0.25">
      <c r="D756" t="s">
        <v>148</v>
      </c>
      <c r="E756" t="s">
        <v>25</v>
      </c>
      <c r="F756" t="s">
        <v>3</v>
      </c>
      <c r="G756" s="54" t="s">
        <v>178</v>
      </c>
      <c r="H756">
        <v>3</v>
      </c>
      <c r="I756" s="1">
        <v>1</v>
      </c>
      <c r="J756" s="1">
        <v>0.15722698532856327</v>
      </c>
      <c r="K756" s="1">
        <v>0.71026635425838169</v>
      </c>
    </row>
    <row r="757" spans="4:11" x14ac:dyDescent="0.25">
      <c r="D757" t="s">
        <v>148</v>
      </c>
      <c r="E757" t="s">
        <v>27</v>
      </c>
      <c r="F757" t="s">
        <v>10</v>
      </c>
      <c r="G757" s="54" t="s">
        <v>182</v>
      </c>
      <c r="H757">
        <v>5</v>
      </c>
      <c r="I757" s="1">
        <v>1</v>
      </c>
      <c r="J757" s="1">
        <v>0.78075900315522517</v>
      </c>
      <c r="K757" s="1">
        <v>4.8066614697490566E-2</v>
      </c>
    </row>
    <row r="758" spans="4:11" ht="15" customHeight="1" x14ac:dyDescent="0.25">
      <c r="D758" t="s">
        <v>149</v>
      </c>
      <c r="E758" t="s">
        <v>2</v>
      </c>
      <c r="F758" t="s">
        <v>37</v>
      </c>
      <c r="G758" s="54" t="s">
        <v>178</v>
      </c>
      <c r="H758">
        <v>3</v>
      </c>
      <c r="I758" s="1">
        <v>1</v>
      </c>
      <c r="J758" s="1">
        <v>0.92572437638690985</v>
      </c>
      <c r="K758" s="1">
        <v>5.516868263113435E-3</v>
      </c>
    </row>
    <row r="759" spans="4:11" x14ac:dyDescent="0.25">
      <c r="D759" t="s">
        <v>149</v>
      </c>
      <c r="E759" t="s">
        <v>11</v>
      </c>
      <c r="F759" t="s">
        <v>24</v>
      </c>
      <c r="G759" s="54" t="s">
        <v>178</v>
      </c>
      <c r="H759">
        <v>0</v>
      </c>
      <c r="I759" s="1">
        <v>-2</v>
      </c>
      <c r="J759" s="1">
        <v>-0.88654134020508479</v>
      </c>
      <c r="K759" s="1">
        <v>1.2397901870722887</v>
      </c>
    </row>
    <row r="760" spans="4:11" ht="18" customHeight="1" x14ac:dyDescent="0.25">
      <c r="D760" t="s">
        <v>149</v>
      </c>
      <c r="E760" t="s">
        <v>32</v>
      </c>
      <c r="F760" t="s">
        <v>4</v>
      </c>
      <c r="G760" s="54" t="s">
        <v>179</v>
      </c>
      <c r="H760">
        <v>3</v>
      </c>
      <c r="I760" s="1">
        <v>2</v>
      </c>
      <c r="J760" s="1">
        <v>0.57559304527349298</v>
      </c>
      <c r="K760" s="1">
        <v>2.0289351726732416</v>
      </c>
    </row>
    <row r="761" spans="4:11" x14ac:dyDescent="0.25">
      <c r="D761" t="s">
        <v>150</v>
      </c>
      <c r="E761" t="s">
        <v>38</v>
      </c>
      <c r="F761" t="s">
        <v>8</v>
      </c>
      <c r="G761" s="54" t="s">
        <v>180</v>
      </c>
      <c r="H761">
        <v>0</v>
      </c>
      <c r="I761" s="1">
        <v>-3</v>
      </c>
      <c r="J761" s="1">
        <v>-1.6739719408134164</v>
      </c>
      <c r="K761" s="1">
        <v>1.7583504137501378</v>
      </c>
    </row>
    <row r="762" spans="4:11" ht="15" customHeight="1" x14ac:dyDescent="0.25">
      <c r="D762" t="s">
        <v>150</v>
      </c>
      <c r="E762" t="s">
        <v>40</v>
      </c>
      <c r="F762" t="s">
        <v>1</v>
      </c>
      <c r="G762" s="54" t="s">
        <v>180</v>
      </c>
      <c r="H762">
        <v>2</v>
      </c>
      <c r="I762" s="1">
        <v>-1</v>
      </c>
      <c r="J762" s="1">
        <v>-0.24838843687429346</v>
      </c>
      <c r="K762" s="1">
        <v>0.56491994182426797</v>
      </c>
    </row>
    <row r="763" spans="4:11" x14ac:dyDescent="0.25">
      <c r="D763" t="s">
        <v>150</v>
      </c>
      <c r="E763" t="s">
        <v>12</v>
      </c>
      <c r="F763" t="s">
        <v>18</v>
      </c>
      <c r="G763" s="54" t="s">
        <v>178</v>
      </c>
      <c r="H763">
        <v>1</v>
      </c>
      <c r="I763" s="1">
        <v>-1</v>
      </c>
      <c r="J763" s="1">
        <v>4.5448374268474367E-2</v>
      </c>
      <c r="K763" s="1">
        <v>1.092962303260596</v>
      </c>
    </row>
    <row r="764" spans="4:11" ht="18" customHeight="1" x14ac:dyDescent="0.25">
      <c r="D764" t="s">
        <v>150</v>
      </c>
      <c r="E764" t="s">
        <v>33</v>
      </c>
      <c r="F764" t="s">
        <v>14</v>
      </c>
      <c r="G764" s="54" t="s">
        <v>178</v>
      </c>
      <c r="H764">
        <v>3</v>
      </c>
      <c r="I764" s="1">
        <v>1</v>
      </c>
      <c r="J764" s="1">
        <v>-0.13490270596930998</v>
      </c>
      <c r="K764" s="1">
        <v>1.288004152016462</v>
      </c>
    </row>
    <row r="765" spans="4:11" x14ac:dyDescent="0.25">
      <c r="D765" t="s">
        <v>150</v>
      </c>
      <c r="E765" t="s">
        <v>10</v>
      </c>
      <c r="F765" t="s">
        <v>19</v>
      </c>
      <c r="G765" s="54" t="s">
        <v>183</v>
      </c>
      <c r="H765">
        <v>2</v>
      </c>
      <c r="I765" s="1">
        <v>-3</v>
      </c>
      <c r="J765" s="1">
        <v>0.47376111585252545</v>
      </c>
      <c r="K765" s="1">
        <v>12.067016290008983</v>
      </c>
    </row>
    <row r="766" spans="4:11" ht="15" customHeight="1" x14ac:dyDescent="0.25">
      <c r="D766" t="s">
        <v>150</v>
      </c>
      <c r="E766" t="s">
        <v>36</v>
      </c>
      <c r="F766" t="s">
        <v>21</v>
      </c>
      <c r="G766" s="54" t="s">
        <v>183</v>
      </c>
      <c r="H766">
        <v>3</v>
      </c>
      <c r="I766" s="1">
        <v>-2</v>
      </c>
      <c r="J766" s="1">
        <v>-0.257252711443968</v>
      </c>
      <c r="K766" s="1">
        <v>3.0371681117694016</v>
      </c>
    </row>
    <row r="767" spans="4:11" x14ac:dyDescent="0.25">
      <c r="D767" t="s">
        <v>150</v>
      </c>
      <c r="E767" t="s">
        <v>13</v>
      </c>
      <c r="F767" t="s">
        <v>22</v>
      </c>
      <c r="G767" s="54" t="s">
        <v>180</v>
      </c>
      <c r="H767">
        <v>0</v>
      </c>
      <c r="I767" s="1">
        <v>-3</v>
      </c>
      <c r="J767" s="1">
        <v>6.9248104104048025E-2</v>
      </c>
      <c r="K767" s="1">
        <v>9.4202839245462933</v>
      </c>
    </row>
    <row r="768" spans="4:11" ht="15" customHeight="1" x14ac:dyDescent="0.25">
      <c r="D768" t="s">
        <v>150</v>
      </c>
      <c r="E768" t="s">
        <v>27</v>
      </c>
      <c r="F768" t="s">
        <v>176</v>
      </c>
      <c r="G768" s="54" t="s">
        <v>178</v>
      </c>
      <c r="H768">
        <v>1</v>
      </c>
      <c r="I768" s="1">
        <v>-1</v>
      </c>
      <c r="J768" s="1">
        <v>-0.51992672848265897</v>
      </c>
      <c r="K768" s="1">
        <v>0.23047034602536265</v>
      </c>
    </row>
    <row r="769" spans="4:11" x14ac:dyDescent="0.25">
      <c r="D769" t="s">
        <v>150</v>
      </c>
      <c r="E769" t="s">
        <v>32</v>
      </c>
      <c r="F769" t="s">
        <v>3</v>
      </c>
      <c r="G769" s="54" t="s">
        <v>183</v>
      </c>
      <c r="H769">
        <v>1</v>
      </c>
      <c r="I769" s="1">
        <v>-4</v>
      </c>
      <c r="J769" s="1">
        <v>0.5174445327411803</v>
      </c>
      <c r="K769" s="1">
        <v>20.407305106393181</v>
      </c>
    </row>
    <row r="770" spans="4:11" ht="15" customHeight="1" x14ac:dyDescent="0.25">
      <c r="D770" t="s">
        <v>151</v>
      </c>
      <c r="E770" t="s">
        <v>0</v>
      </c>
      <c r="F770" t="s">
        <v>35</v>
      </c>
      <c r="G770" s="54" t="s">
        <v>179</v>
      </c>
      <c r="H770">
        <v>4</v>
      </c>
      <c r="I770" s="1">
        <v>3</v>
      </c>
      <c r="J770" s="1">
        <v>0.442621791823953</v>
      </c>
      <c r="K770" s="1">
        <v>6.5401832996537284</v>
      </c>
    </row>
    <row r="771" spans="4:11" x14ac:dyDescent="0.25">
      <c r="D771" t="s">
        <v>151</v>
      </c>
      <c r="E771" t="s">
        <v>10</v>
      </c>
      <c r="F771" t="s">
        <v>12</v>
      </c>
      <c r="G771" s="54" t="s">
        <v>178</v>
      </c>
      <c r="H771">
        <v>3</v>
      </c>
      <c r="I771" s="1">
        <v>1</v>
      </c>
      <c r="J771" s="1">
        <v>0.59226255623059387</v>
      </c>
      <c r="K771" s="1">
        <v>0.16624982305160962</v>
      </c>
    </row>
    <row r="772" spans="4:11" ht="18" customHeight="1" x14ac:dyDescent="0.25">
      <c r="D772" t="s">
        <v>151</v>
      </c>
      <c r="E772" t="s">
        <v>38</v>
      </c>
      <c r="F772" t="s">
        <v>7</v>
      </c>
      <c r="G772" s="54" t="s">
        <v>179</v>
      </c>
      <c r="H772">
        <v>7</v>
      </c>
      <c r="I772" s="1">
        <v>6</v>
      </c>
      <c r="J772" s="1">
        <v>-0.50960929536520894</v>
      </c>
      <c r="K772" s="1">
        <v>42.375013178305132</v>
      </c>
    </row>
    <row r="773" spans="4:11" x14ac:dyDescent="0.25">
      <c r="D773" t="s">
        <v>151</v>
      </c>
      <c r="E773" t="s">
        <v>20</v>
      </c>
      <c r="F773" t="s">
        <v>25</v>
      </c>
      <c r="G773" s="54" t="s">
        <v>178</v>
      </c>
      <c r="H773">
        <v>1</v>
      </c>
      <c r="I773" s="1">
        <v>-1</v>
      </c>
      <c r="J773" s="1">
        <v>1.7927937581461606E-2</v>
      </c>
      <c r="K773" s="1">
        <v>1.0361772861088481</v>
      </c>
    </row>
    <row r="774" spans="4:11" ht="15" customHeight="1" x14ac:dyDescent="0.25">
      <c r="D774" t="s">
        <v>151</v>
      </c>
      <c r="E774" t="s">
        <v>11</v>
      </c>
      <c r="F774" t="s">
        <v>4</v>
      </c>
      <c r="G774" s="54" t="s">
        <v>182</v>
      </c>
      <c r="H774">
        <v>0</v>
      </c>
      <c r="I774" s="1">
        <v>-4</v>
      </c>
      <c r="J774" s="1">
        <v>0.37670284459861136</v>
      </c>
      <c r="K774" s="1">
        <v>19.155527789917578</v>
      </c>
    </row>
    <row r="775" spans="4:11" x14ac:dyDescent="0.25">
      <c r="D775" t="s">
        <v>152</v>
      </c>
      <c r="E775" t="s">
        <v>37</v>
      </c>
      <c r="F775" t="s">
        <v>19</v>
      </c>
      <c r="G775" s="54" t="s">
        <v>178</v>
      </c>
      <c r="H775">
        <v>3</v>
      </c>
      <c r="I775" s="1">
        <v>1</v>
      </c>
      <c r="J775" s="1">
        <v>-0.1224148530298379</v>
      </c>
      <c r="K775" s="1">
        <v>1.2598151023019926</v>
      </c>
    </row>
    <row r="776" spans="4:11" ht="15" customHeight="1" x14ac:dyDescent="0.25">
      <c r="D776" t="s">
        <v>152</v>
      </c>
      <c r="E776" t="s">
        <v>33</v>
      </c>
      <c r="F776" t="s">
        <v>36</v>
      </c>
      <c r="G776" s="54" t="s">
        <v>182</v>
      </c>
      <c r="H776">
        <v>2</v>
      </c>
      <c r="I776" s="1">
        <v>-2</v>
      </c>
      <c r="J776" s="1">
        <v>0.65416115145904996</v>
      </c>
      <c r="K776" s="1">
        <v>7.0445714179144296</v>
      </c>
    </row>
    <row r="777" spans="4:11" x14ac:dyDescent="0.25">
      <c r="D777" t="s">
        <v>152</v>
      </c>
      <c r="E777" t="s">
        <v>40</v>
      </c>
      <c r="F777" t="s">
        <v>2</v>
      </c>
      <c r="G777" s="54" t="s">
        <v>179</v>
      </c>
      <c r="H777">
        <v>2</v>
      </c>
      <c r="I777" s="1">
        <v>1</v>
      </c>
      <c r="J777" s="1">
        <v>-5.7753910726177082E-3</v>
      </c>
      <c r="K777" s="1">
        <v>1.0115841372872771</v>
      </c>
    </row>
    <row r="778" spans="4:11" ht="18" customHeight="1" x14ac:dyDescent="0.25">
      <c r="D778" t="s">
        <v>152</v>
      </c>
      <c r="E778" t="s">
        <v>21</v>
      </c>
      <c r="F778" t="s">
        <v>8</v>
      </c>
      <c r="G778" s="54" t="s">
        <v>178</v>
      </c>
      <c r="H778">
        <v>3</v>
      </c>
      <c r="I778" s="1">
        <v>1</v>
      </c>
      <c r="J778" s="1">
        <v>-1.1464893291976352</v>
      </c>
      <c r="K778" s="1">
        <v>4.6074164403593141</v>
      </c>
    </row>
    <row r="779" spans="4:11" x14ac:dyDescent="0.25">
      <c r="D779" t="s">
        <v>152</v>
      </c>
      <c r="E779" t="s">
        <v>24</v>
      </c>
      <c r="F779" t="s">
        <v>0</v>
      </c>
      <c r="G779" s="54" t="s">
        <v>179</v>
      </c>
      <c r="H779">
        <v>5</v>
      </c>
      <c r="I779" s="1">
        <v>4</v>
      </c>
      <c r="J779" s="1">
        <v>0.65164295601415745</v>
      </c>
      <c r="K779" s="1">
        <v>11.21149489400961</v>
      </c>
    </row>
    <row r="780" spans="4:11" ht="15" customHeight="1" x14ac:dyDescent="0.25">
      <c r="D780" t="s">
        <v>152</v>
      </c>
      <c r="E780" t="s">
        <v>35</v>
      </c>
      <c r="F780" t="s">
        <v>229</v>
      </c>
      <c r="G780" s="54" t="s">
        <v>178</v>
      </c>
      <c r="H780">
        <v>6</v>
      </c>
      <c r="I780" s="1">
        <v>4</v>
      </c>
      <c r="J780" s="1">
        <v>1.0049416685314583</v>
      </c>
      <c r="K780" s="1">
        <v>8.9703744088991257</v>
      </c>
    </row>
    <row r="781" spans="4:11" x14ac:dyDescent="0.25">
      <c r="D781" t="s">
        <v>152</v>
      </c>
      <c r="E781" t="s">
        <v>7</v>
      </c>
      <c r="F781" t="s">
        <v>18</v>
      </c>
      <c r="G781" s="54" t="s">
        <v>182</v>
      </c>
      <c r="H781">
        <v>1</v>
      </c>
      <c r="I781" s="1">
        <v>-3</v>
      </c>
      <c r="J781" s="1">
        <v>0.65263141545590031</v>
      </c>
      <c r="K781" s="1">
        <v>13.341716257175374</v>
      </c>
    </row>
    <row r="782" spans="4:11" ht="15" customHeight="1" x14ac:dyDescent="0.25">
      <c r="D782" t="s">
        <v>152</v>
      </c>
      <c r="E782" t="s">
        <v>22</v>
      </c>
      <c r="F782" t="s">
        <v>23</v>
      </c>
      <c r="G782" s="54" t="s">
        <v>177</v>
      </c>
      <c r="H782">
        <v>1</v>
      </c>
      <c r="I782" s="1">
        <v>1</v>
      </c>
      <c r="J782" s="1">
        <v>0.67391310608029187</v>
      </c>
      <c r="K782" s="1">
        <v>0.10633266238620298</v>
      </c>
    </row>
    <row r="783" spans="4:11" x14ac:dyDescent="0.25">
      <c r="D783" t="s">
        <v>152</v>
      </c>
      <c r="E783" t="s">
        <v>13</v>
      </c>
      <c r="F783" t="s">
        <v>176</v>
      </c>
      <c r="G783" s="54" t="s">
        <v>180</v>
      </c>
      <c r="H783">
        <v>1</v>
      </c>
      <c r="I783" s="1">
        <v>-2</v>
      </c>
      <c r="J783" s="1">
        <v>-1.0993444620766155</v>
      </c>
      <c r="K783" s="1">
        <v>0.8111803979920611</v>
      </c>
    </row>
    <row r="784" spans="4:11" ht="15" customHeight="1" x14ac:dyDescent="0.25">
      <c r="D784" t="s">
        <v>152</v>
      </c>
      <c r="E784" t="s">
        <v>11</v>
      </c>
      <c r="F784" t="s">
        <v>3</v>
      </c>
      <c r="G784" s="54" t="s">
        <v>177</v>
      </c>
      <c r="H784">
        <v>5</v>
      </c>
      <c r="I784" s="1">
        <v>5</v>
      </c>
      <c r="J784" s="1">
        <v>0.31855433206629868</v>
      </c>
      <c r="K784" s="1">
        <v>21.915933541815217</v>
      </c>
    </row>
    <row r="785" spans="4:11" x14ac:dyDescent="0.25">
      <c r="D785" t="s">
        <v>152</v>
      </c>
      <c r="E785" t="s">
        <v>27</v>
      </c>
      <c r="F785" t="s">
        <v>32</v>
      </c>
      <c r="G785" s="54" t="s">
        <v>183</v>
      </c>
      <c r="H785">
        <v>4</v>
      </c>
      <c r="I785" s="1">
        <v>-1</v>
      </c>
      <c r="J785" s="1">
        <v>0.6086717005689195</v>
      </c>
      <c r="K785" s="1">
        <v>2.5878246402112994</v>
      </c>
    </row>
    <row r="786" spans="4:11" ht="15" customHeight="1" x14ac:dyDescent="0.25">
      <c r="D786" t="s">
        <v>153</v>
      </c>
      <c r="E786" t="s">
        <v>20</v>
      </c>
      <c r="F786" t="s">
        <v>38</v>
      </c>
      <c r="G786" s="54" t="s">
        <v>182</v>
      </c>
      <c r="H786">
        <v>2</v>
      </c>
      <c r="I786" s="1">
        <v>-2</v>
      </c>
      <c r="J786" s="1">
        <v>0.32448650316352712</v>
      </c>
      <c r="K786" s="1">
        <v>5.403237503389402</v>
      </c>
    </row>
    <row r="787" spans="4:11" x14ac:dyDescent="0.25">
      <c r="D787" t="s">
        <v>153</v>
      </c>
      <c r="E787" t="s">
        <v>19</v>
      </c>
      <c r="F787" t="s">
        <v>14</v>
      </c>
      <c r="G787" s="54" t="s">
        <v>180</v>
      </c>
      <c r="H787">
        <v>2</v>
      </c>
      <c r="I787" s="1">
        <v>-1</v>
      </c>
      <c r="J787" s="1">
        <v>-0.30396459116050778</v>
      </c>
      <c r="K787" s="1">
        <v>0.48446529035835906</v>
      </c>
    </row>
    <row r="788" spans="4:11" ht="15" customHeight="1" x14ac:dyDescent="0.25">
      <c r="D788" t="s">
        <v>153</v>
      </c>
      <c r="E788" t="s">
        <v>1</v>
      </c>
      <c r="F788" t="s">
        <v>12</v>
      </c>
      <c r="G788" s="54" t="s">
        <v>180</v>
      </c>
      <c r="H788">
        <v>1</v>
      </c>
      <c r="I788" s="1">
        <v>-2</v>
      </c>
      <c r="J788" s="1">
        <v>0.91962351890887817</v>
      </c>
      <c r="K788" s="1">
        <v>8.5242014921658598</v>
      </c>
    </row>
    <row r="789" spans="4:11" x14ac:dyDescent="0.25">
      <c r="D789" t="s">
        <v>153</v>
      </c>
      <c r="E789" t="s">
        <v>40</v>
      </c>
      <c r="F789" t="s">
        <v>8</v>
      </c>
      <c r="G789" s="54" t="s">
        <v>180</v>
      </c>
      <c r="H789">
        <v>2</v>
      </c>
      <c r="I789" s="1">
        <v>-1</v>
      </c>
      <c r="J789" s="1">
        <v>-1.3451110952289866</v>
      </c>
      <c r="K789" s="1">
        <v>0.11910166805015068</v>
      </c>
    </row>
    <row r="790" spans="4:11" ht="15" customHeight="1" x14ac:dyDescent="0.25">
      <c r="D790" t="s">
        <v>153</v>
      </c>
      <c r="E790" t="s">
        <v>10</v>
      </c>
      <c r="F790" t="s">
        <v>36</v>
      </c>
      <c r="G790" s="54" t="s">
        <v>180</v>
      </c>
      <c r="H790">
        <v>5</v>
      </c>
      <c r="I790" s="1">
        <v>2</v>
      </c>
      <c r="J790" s="1">
        <v>0.71405989149243965</v>
      </c>
      <c r="K790" s="1">
        <v>1.653641962668436</v>
      </c>
    </row>
    <row r="791" spans="4:11" x14ac:dyDescent="0.25">
      <c r="D791" t="s">
        <v>153</v>
      </c>
      <c r="E791" t="s">
        <v>21</v>
      </c>
      <c r="F791" t="s">
        <v>37</v>
      </c>
      <c r="G791" s="54" t="s">
        <v>180</v>
      </c>
      <c r="H791">
        <v>2</v>
      </c>
      <c r="I791" s="1">
        <v>-1</v>
      </c>
      <c r="J791" s="1">
        <v>0.87377026071770558</v>
      </c>
      <c r="K791" s="1">
        <v>3.5110149899500982</v>
      </c>
    </row>
    <row r="792" spans="4:11" ht="18" customHeight="1" x14ac:dyDescent="0.25">
      <c r="D792" t="s">
        <v>153</v>
      </c>
      <c r="E792" t="s">
        <v>22</v>
      </c>
      <c r="F792" t="s">
        <v>25</v>
      </c>
      <c r="G792" s="54" t="s">
        <v>180</v>
      </c>
      <c r="H792">
        <v>5</v>
      </c>
      <c r="I792" s="1">
        <v>2</v>
      </c>
      <c r="J792" s="1">
        <v>0.56502390091146992</v>
      </c>
      <c r="K792" s="1">
        <v>2.0591564049553348</v>
      </c>
    </row>
    <row r="793" spans="4:11" x14ac:dyDescent="0.25">
      <c r="D793" t="s">
        <v>153</v>
      </c>
      <c r="E793" t="s">
        <v>229</v>
      </c>
      <c r="F793" t="s">
        <v>2</v>
      </c>
      <c r="G793" s="54" t="s">
        <v>180</v>
      </c>
      <c r="H793">
        <v>1</v>
      </c>
      <c r="I793" s="1">
        <v>-2</v>
      </c>
      <c r="J793" s="1">
        <v>-0.10021343798997862</v>
      </c>
      <c r="K793" s="1">
        <v>3.6091889811938569</v>
      </c>
    </row>
    <row r="794" spans="4:11" ht="15" customHeight="1" x14ac:dyDescent="0.25">
      <c r="D794" t="s">
        <v>154</v>
      </c>
      <c r="E794" t="s">
        <v>24</v>
      </c>
      <c r="F794" t="s">
        <v>35</v>
      </c>
      <c r="G794" s="54" t="s">
        <v>178</v>
      </c>
      <c r="H794">
        <v>1</v>
      </c>
      <c r="I794" s="1">
        <v>-1</v>
      </c>
      <c r="J794" s="1">
        <v>0.84946425721017249</v>
      </c>
      <c r="K794" s="1">
        <v>3.420518038697975</v>
      </c>
    </row>
    <row r="795" spans="4:11" x14ac:dyDescent="0.25">
      <c r="D795" t="s">
        <v>154</v>
      </c>
      <c r="E795" t="s">
        <v>33</v>
      </c>
      <c r="F795" t="s">
        <v>7</v>
      </c>
      <c r="G795" s="54" t="s">
        <v>182</v>
      </c>
      <c r="H795">
        <v>3</v>
      </c>
      <c r="I795" s="1">
        <v>-1</v>
      </c>
      <c r="J795" s="1">
        <v>-7.4819224990221755E-2</v>
      </c>
      <c r="K795" s="1">
        <v>0.85595946644769394</v>
      </c>
    </row>
    <row r="796" spans="4:11" ht="15" customHeight="1" x14ac:dyDescent="0.25">
      <c r="D796" t="s">
        <v>154</v>
      </c>
      <c r="E796" t="s">
        <v>3</v>
      </c>
      <c r="F796" t="s">
        <v>23</v>
      </c>
      <c r="G796" s="54" t="s">
        <v>180</v>
      </c>
      <c r="H796">
        <v>5</v>
      </c>
      <c r="I796" s="1">
        <v>2</v>
      </c>
      <c r="J796" s="1">
        <v>0.44126320109613459</v>
      </c>
      <c r="K796" s="1">
        <v>2.4296604082570692</v>
      </c>
    </row>
    <row r="797" spans="4:11" x14ac:dyDescent="0.25">
      <c r="D797" t="s">
        <v>154</v>
      </c>
      <c r="E797" t="s">
        <v>176</v>
      </c>
      <c r="F797" t="s">
        <v>20</v>
      </c>
      <c r="G797" s="54" t="s">
        <v>180</v>
      </c>
      <c r="H797">
        <v>2</v>
      </c>
      <c r="I797" s="1">
        <v>-1</v>
      </c>
      <c r="J797" s="1">
        <v>1.9604890201386098</v>
      </c>
      <c r="K797" s="1">
        <v>8.7644952383612669</v>
      </c>
    </row>
    <row r="798" spans="4:11" ht="18" customHeight="1" x14ac:dyDescent="0.25">
      <c r="D798" t="s">
        <v>154</v>
      </c>
      <c r="E798" t="s">
        <v>4</v>
      </c>
      <c r="F798" t="s">
        <v>32</v>
      </c>
      <c r="G798" s="54" t="s">
        <v>182</v>
      </c>
      <c r="H798">
        <v>1</v>
      </c>
      <c r="I798" s="1">
        <v>-3</v>
      </c>
      <c r="J798" s="1">
        <v>-8.5992064017617054E-2</v>
      </c>
      <c r="K798" s="1">
        <v>8.4914422509683085</v>
      </c>
    </row>
    <row r="799" spans="4:11" x14ac:dyDescent="0.25">
      <c r="D799" t="s">
        <v>155</v>
      </c>
      <c r="E799" t="s">
        <v>21</v>
      </c>
      <c r="F799" t="s">
        <v>2</v>
      </c>
      <c r="G799" s="54" t="s">
        <v>183</v>
      </c>
      <c r="H799">
        <v>3</v>
      </c>
      <c r="I799" s="1">
        <v>-2</v>
      </c>
      <c r="J799" s="1">
        <v>0.19284637495873369</v>
      </c>
      <c r="K799" s="1">
        <v>4.8085752241696591</v>
      </c>
    </row>
    <row r="800" spans="4:11" ht="15" customHeight="1" x14ac:dyDescent="0.25">
      <c r="D800" t="s">
        <v>155</v>
      </c>
      <c r="E800" t="s">
        <v>18</v>
      </c>
      <c r="F800" t="s">
        <v>8</v>
      </c>
      <c r="G800" s="54" t="s">
        <v>178</v>
      </c>
      <c r="H800">
        <v>1</v>
      </c>
      <c r="I800" s="1">
        <v>-1</v>
      </c>
      <c r="J800" s="1">
        <v>-1.3273930796482318</v>
      </c>
      <c r="K800" s="1">
        <v>0.10718622860155347</v>
      </c>
    </row>
    <row r="801" spans="4:11" x14ac:dyDescent="0.25">
      <c r="D801" t="s">
        <v>155</v>
      </c>
      <c r="E801" t="s">
        <v>24</v>
      </c>
      <c r="F801" t="s">
        <v>40</v>
      </c>
      <c r="G801" s="54" t="s">
        <v>178</v>
      </c>
      <c r="H801">
        <v>3</v>
      </c>
      <c r="I801" s="1">
        <v>1</v>
      </c>
      <c r="J801" s="1">
        <v>1.5151673881963319</v>
      </c>
      <c r="K801" s="1">
        <v>0.26539743786103015</v>
      </c>
    </row>
    <row r="802" spans="4:11" ht="18" customHeight="1" x14ac:dyDescent="0.25">
      <c r="D802" t="s">
        <v>155</v>
      </c>
      <c r="E802" t="s">
        <v>37</v>
      </c>
      <c r="F802" t="s">
        <v>0</v>
      </c>
      <c r="G802" s="54" t="s">
        <v>183</v>
      </c>
      <c r="H802">
        <v>4</v>
      </c>
      <c r="I802" s="1">
        <v>-1</v>
      </c>
      <c r="J802" s="1">
        <v>-1.0490719456126527</v>
      </c>
      <c r="K802" s="1">
        <v>2.408055846211146E-3</v>
      </c>
    </row>
    <row r="803" spans="4:11" x14ac:dyDescent="0.25">
      <c r="D803" t="s">
        <v>155</v>
      </c>
      <c r="E803" t="s">
        <v>1</v>
      </c>
      <c r="F803" t="s">
        <v>229</v>
      </c>
      <c r="G803" s="54" t="s">
        <v>179</v>
      </c>
      <c r="H803">
        <v>2</v>
      </c>
      <c r="I803" s="1">
        <v>1</v>
      </c>
      <c r="J803" s="1">
        <v>0.83242746504753029</v>
      </c>
      <c r="K803" s="1">
        <v>2.8080554470396684E-2</v>
      </c>
    </row>
    <row r="804" spans="4:11" ht="15" customHeight="1" x14ac:dyDescent="0.25">
      <c r="D804" t="s">
        <v>155</v>
      </c>
      <c r="E804" t="s">
        <v>10</v>
      </c>
      <c r="F804" t="s">
        <v>14</v>
      </c>
      <c r="G804" s="54" t="s">
        <v>178</v>
      </c>
      <c r="H804">
        <v>6</v>
      </c>
      <c r="I804" s="1">
        <v>4</v>
      </c>
      <c r="J804" s="1">
        <v>-7.5003965935920291E-2</v>
      </c>
      <c r="K804" s="1">
        <v>16.60565732239348</v>
      </c>
    </row>
    <row r="805" spans="4:11" x14ac:dyDescent="0.25">
      <c r="D805" t="s">
        <v>155</v>
      </c>
      <c r="E805" t="s">
        <v>176</v>
      </c>
      <c r="F805" t="s">
        <v>38</v>
      </c>
      <c r="G805" s="54" t="s">
        <v>179</v>
      </c>
      <c r="H805">
        <v>2</v>
      </c>
      <c r="I805" s="1">
        <v>1</v>
      </c>
      <c r="J805" s="1">
        <v>2.040175032674199</v>
      </c>
      <c r="K805" s="1">
        <v>1.0819640985987709</v>
      </c>
    </row>
    <row r="806" spans="4:11" ht="15" customHeight="1" x14ac:dyDescent="0.25">
      <c r="D806" t="s">
        <v>155</v>
      </c>
      <c r="E806" t="s">
        <v>36</v>
      </c>
      <c r="F806" t="s">
        <v>19</v>
      </c>
      <c r="G806" s="54" t="s">
        <v>178</v>
      </c>
      <c r="H806">
        <v>3</v>
      </c>
      <c r="I806" s="1">
        <v>1</v>
      </c>
      <c r="J806" s="1">
        <v>4.5017149880237639E-3</v>
      </c>
      <c r="K806" s="1">
        <v>0.99101683546178587</v>
      </c>
    </row>
    <row r="807" spans="4:11" x14ac:dyDescent="0.25">
      <c r="D807" t="s">
        <v>155</v>
      </c>
      <c r="E807" t="s">
        <v>23</v>
      </c>
      <c r="F807" t="s">
        <v>25</v>
      </c>
      <c r="G807" s="54" t="s">
        <v>179</v>
      </c>
      <c r="H807">
        <v>2</v>
      </c>
      <c r="I807" s="1">
        <v>1</v>
      </c>
      <c r="J807" s="1">
        <v>0.13591128545911602</v>
      </c>
      <c r="K807" s="1">
        <v>0.74664930659691731</v>
      </c>
    </row>
    <row r="808" spans="4:11" ht="15" customHeight="1" x14ac:dyDescent="0.25">
      <c r="D808" t="s">
        <v>156</v>
      </c>
      <c r="E808" t="s">
        <v>13</v>
      </c>
      <c r="F808" t="s">
        <v>11</v>
      </c>
      <c r="G808" s="54" t="s">
        <v>179</v>
      </c>
      <c r="H808">
        <v>4</v>
      </c>
      <c r="I808" s="1">
        <v>3</v>
      </c>
      <c r="J808" s="1">
        <v>0.22814416764984458</v>
      </c>
      <c r="K808" s="1">
        <v>7.6831847553335733</v>
      </c>
    </row>
    <row r="809" spans="4:11" x14ac:dyDescent="0.25">
      <c r="D809" t="s">
        <v>156</v>
      </c>
      <c r="E809" t="s">
        <v>3</v>
      </c>
      <c r="F809" t="s">
        <v>20</v>
      </c>
      <c r="G809" s="54" t="s">
        <v>183</v>
      </c>
      <c r="H809">
        <v>4</v>
      </c>
      <c r="I809" s="1">
        <v>-1</v>
      </c>
      <c r="J809" s="1">
        <v>0.559246548973789</v>
      </c>
      <c r="K809" s="1">
        <v>2.4312498004866705</v>
      </c>
    </row>
    <row r="810" spans="4:11" ht="15" customHeight="1" x14ac:dyDescent="0.25">
      <c r="D810" t="s">
        <v>156</v>
      </c>
      <c r="E810" t="s">
        <v>12</v>
      </c>
      <c r="F810" t="s">
        <v>32</v>
      </c>
      <c r="G810" s="54" t="s">
        <v>183</v>
      </c>
      <c r="H810">
        <v>4</v>
      </c>
      <c r="I810" s="1">
        <v>-1</v>
      </c>
      <c r="J810" s="1">
        <v>-0.27474887756102362</v>
      </c>
      <c r="K810" s="1">
        <v>0.52598919059899507</v>
      </c>
    </row>
    <row r="811" spans="4:11" x14ac:dyDescent="0.25">
      <c r="D811" t="s">
        <v>157</v>
      </c>
      <c r="E811" t="s">
        <v>0</v>
      </c>
      <c r="F811" t="s">
        <v>40</v>
      </c>
      <c r="G811" s="54" t="s">
        <v>178</v>
      </c>
      <c r="H811">
        <v>3</v>
      </c>
      <c r="I811" s="1">
        <v>1</v>
      </c>
      <c r="J811" s="1">
        <v>1.1083249228101124</v>
      </c>
      <c r="K811" s="1">
        <v>1.1734288901816813E-2</v>
      </c>
    </row>
    <row r="812" spans="4:11" ht="15" customHeight="1" x14ac:dyDescent="0.25">
      <c r="D812" t="s">
        <v>157</v>
      </c>
      <c r="E812" t="s">
        <v>10</v>
      </c>
      <c r="F812" t="s">
        <v>27</v>
      </c>
      <c r="G812" s="54" t="s">
        <v>178</v>
      </c>
      <c r="H812">
        <v>1</v>
      </c>
      <c r="I812" s="1">
        <v>-1</v>
      </c>
      <c r="J812" s="1">
        <v>-0.29115802189934925</v>
      </c>
      <c r="K812" s="1">
        <v>0.50245694991764345</v>
      </c>
    </row>
    <row r="813" spans="4:11" x14ac:dyDescent="0.25">
      <c r="D813" t="s">
        <v>157</v>
      </c>
      <c r="E813" t="s">
        <v>24</v>
      </c>
      <c r="F813" t="s">
        <v>229</v>
      </c>
      <c r="G813" s="54" t="s">
        <v>182</v>
      </c>
      <c r="H813">
        <v>3</v>
      </c>
      <c r="I813" s="1">
        <v>-1</v>
      </c>
      <c r="J813" s="1">
        <v>1.6096054351136928</v>
      </c>
      <c r="K813" s="1">
        <v>6.8100405269749258</v>
      </c>
    </row>
    <row r="814" spans="4:11" ht="15" customHeight="1" x14ac:dyDescent="0.25">
      <c r="D814" t="s">
        <v>157</v>
      </c>
      <c r="E814" t="s">
        <v>11</v>
      </c>
      <c r="F814" t="s">
        <v>18</v>
      </c>
      <c r="G814" s="54" t="s">
        <v>183</v>
      </c>
      <c r="H814">
        <v>4</v>
      </c>
      <c r="I814" s="1">
        <v>-1</v>
      </c>
      <c r="J814" s="1">
        <v>0.36610754178255434</v>
      </c>
      <c r="K814" s="1">
        <v>1.8662498157151735</v>
      </c>
    </row>
    <row r="815" spans="4:11" x14ac:dyDescent="0.25">
      <c r="D815" t="s">
        <v>157</v>
      </c>
      <c r="E815" t="s">
        <v>38</v>
      </c>
      <c r="F815" t="s">
        <v>36</v>
      </c>
      <c r="G815" s="54" t="s">
        <v>181</v>
      </c>
      <c r="H815">
        <v>3</v>
      </c>
      <c r="I815" s="1">
        <v>-3</v>
      </c>
      <c r="J815" s="1">
        <v>0.21937108108406278</v>
      </c>
      <c r="K815" s="1">
        <v>10.364350157720366</v>
      </c>
    </row>
    <row r="816" spans="4:11" ht="18" customHeight="1" x14ac:dyDescent="0.25">
      <c r="D816" t="s">
        <v>157</v>
      </c>
      <c r="E816" t="s">
        <v>25</v>
      </c>
      <c r="F816" t="s">
        <v>19</v>
      </c>
      <c r="G816" s="54" t="s">
        <v>179</v>
      </c>
      <c r="H816">
        <v>3</v>
      </c>
      <c r="I816" s="1">
        <v>2</v>
      </c>
      <c r="J816" s="1">
        <v>0.28563087102621409</v>
      </c>
      <c r="K816" s="1">
        <v>2.9390615103783375</v>
      </c>
    </row>
    <row r="817" spans="4:11" x14ac:dyDescent="0.25">
      <c r="D817" t="s">
        <v>157</v>
      </c>
      <c r="E817" t="s">
        <v>14</v>
      </c>
      <c r="F817" t="s">
        <v>23</v>
      </c>
      <c r="G817" s="54" t="s">
        <v>179</v>
      </c>
      <c r="H817">
        <v>2</v>
      </c>
      <c r="I817" s="1">
        <v>1</v>
      </c>
      <c r="J817" s="1">
        <v>0.86162439718692951</v>
      </c>
      <c r="K817" s="1">
        <v>1.9147807453880641E-2</v>
      </c>
    </row>
    <row r="818" spans="4:11" ht="15" customHeight="1" x14ac:dyDescent="0.25">
      <c r="D818" t="s">
        <v>157</v>
      </c>
      <c r="E818" t="s">
        <v>37</v>
      </c>
      <c r="F818" t="s">
        <v>22</v>
      </c>
      <c r="G818" s="54" t="s">
        <v>181</v>
      </c>
      <c r="H818">
        <v>3</v>
      </c>
      <c r="I818" s="1">
        <v>-3</v>
      </c>
      <c r="J818" s="1">
        <v>-0.483468643711646</v>
      </c>
      <c r="K818" s="1">
        <v>6.3329300671825024</v>
      </c>
    </row>
    <row r="819" spans="4:11" x14ac:dyDescent="0.25">
      <c r="D819" t="s">
        <v>157</v>
      </c>
      <c r="E819" t="s">
        <v>4</v>
      </c>
      <c r="F819" t="s">
        <v>33</v>
      </c>
      <c r="G819" s="54" t="s">
        <v>180</v>
      </c>
      <c r="H819">
        <v>5</v>
      </c>
      <c r="I819" s="1">
        <v>2</v>
      </c>
      <c r="J819" s="1">
        <v>0.1459939786020783</v>
      </c>
      <c r="K819" s="1">
        <v>3.4373383273797509</v>
      </c>
    </row>
    <row r="820" spans="4:11" ht="15" customHeight="1" x14ac:dyDescent="0.25">
      <c r="D820" t="s">
        <v>158</v>
      </c>
      <c r="E820" t="s">
        <v>1</v>
      </c>
      <c r="F820" t="s">
        <v>7</v>
      </c>
      <c r="G820" s="54" t="s">
        <v>180</v>
      </c>
      <c r="H820">
        <v>4</v>
      </c>
      <c r="I820" s="1">
        <v>1</v>
      </c>
      <c r="J820" s="1">
        <v>0.31244047772145223</v>
      </c>
      <c r="K820" s="1">
        <v>0.47273809667590483</v>
      </c>
    </row>
    <row r="821" spans="4:11" x14ac:dyDescent="0.25">
      <c r="D821" t="s">
        <v>158</v>
      </c>
      <c r="E821" t="s">
        <v>35</v>
      </c>
      <c r="F821" t="s">
        <v>20</v>
      </c>
      <c r="G821" s="54" t="s">
        <v>179</v>
      </c>
      <c r="H821">
        <v>3</v>
      </c>
      <c r="I821" s="1">
        <v>2</v>
      </c>
      <c r="J821" s="1">
        <v>1.159678454662938</v>
      </c>
      <c r="K821" s="1">
        <v>0.70614029955766799</v>
      </c>
    </row>
    <row r="822" spans="4:11" ht="15" customHeight="1" x14ac:dyDescent="0.25">
      <c r="D822" t="s">
        <v>158</v>
      </c>
      <c r="E822" t="s">
        <v>14</v>
      </c>
      <c r="F822" t="s">
        <v>21</v>
      </c>
      <c r="G822" s="54" t="s">
        <v>177</v>
      </c>
      <c r="H822">
        <v>2</v>
      </c>
      <c r="I822" s="1">
        <v>2</v>
      </c>
      <c r="J822" s="1">
        <v>0.53181114598439194</v>
      </c>
      <c r="K822" s="1">
        <v>2.1555785110556647</v>
      </c>
    </row>
    <row r="823" spans="4:11" x14ac:dyDescent="0.25">
      <c r="D823" t="s">
        <v>158</v>
      </c>
      <c r="E823" t="s">
        <v>32</v>
      </c>
      <c r="F823" t="s">
        <v>176</v>
      </c>
      <c r="G823" s="54" t="s">
        <v>182</v>
      </c>
      <c r="H823">
        <v>2</v>
      </c>
      <c r="I823" s="1">
        <v>-2</v>
      </c>
      <c r="J823" s="1">
        <v>-0.88379793842364052</v>
      </c>
      <c r="K823" s="1">
        <v>1.2459070422673151</v>
      </c>
    </row>
    <row r="824" spans="4:11" ht="18" customHeight="1" x14ac:dyDescent="0.25">
      <c r="D824" t="s">
        <v>158</v>
      </c>
      <c r="E824" t="s">
        <v>2</v>
      </c>
      <c r="F824" t="s">
        <v>3</v>
      </c>
      <c r="G824" s="54" t="s">
        <v>178</v>
      </c>
      <c r="H824">
        <v>5</v>
      </c>
      <c r="I824" s="1">
        <v>3</v>
      </c>
      <c r="J824" s="1">
        <v>0.43010514703148317</v>
      </c>
      <c r="K824" s="1">
        <v>6.6043595553140744</v>
      </c>
    </row>
    <row r="825" spans="4:11" x14ac:dyDescent="0.25">
      <c r="D825" t="s">
        <v>159</v>
      </c>
      <c r="E825" t="s">
        <v>24</v>
      </c>
      <c r="F825" t="s">
        <v>18</v>
      </c>
      <c r="G825" s="54" t="s">
        <v>178</v>
      </c>
      <c r="H825">
        <v>7</v>
      </c>
      <c r="I825" s="1">
        <v>5</v>
      </c>
      <c r="J825" s="1">
        <v>1.4974493726155771</v>
      </c>
      <c r="K825" s="1">
        <v>12.267860897391014</v>
      </c>
    </row>
    <row r="826" spans="4:11" ht="15" customHeight="1" x14ac:dyDescent="0.25">
      <c r="D826" t="s">
        <v>159</v>
      </c>
      <c r="E826" t="s">
        <v>0</v>
      </c>
      <c r="F826" t="s">
        <v>229</v>
      </c>
      <c r="G826" s="54" t="s">
        <v>179</v>
      </c>
      <c r="H826">
        <v>2</v>
      </c>
      <c r="I826" s="1">
        <v>1</v>
      </c>
      <c r="J826" s="1">
        <v>1.2027629697274733</v>
      </c>
      <c r="K826" s="1">
        <v>4.1112821892704259E-2</v>
      </c>
    </row>
    <row r="827" spans="4:11" x14ac:dyDescent="0.25">
      <c r="D827" t="s">
        <v>159</v>
      </c>
      <c r="E827" t="s">
        <v>25</v>
      </c>
      <c r="F827" t="s">
        <v>13</v>
      </c>
      <c r="G827" s="54" t="s">
        <v>183</v>
      </c>
      <c r="H827">
        <v>4</v>
      </c>
      <c r="I827" s="1">
        <v>-1</v>
      </c>
      <c r="J827" s="1">
        <v>0.10012946686829594</v>
      </c>
      <c r="K827" s="1">
        <v>1.2102848438719211</v>
      </c>
    </row>
    <row r="828" spans="4:11" ht="15" customHeight="1" x14ac:dyDescent="0.25">
      <c r="D828" t="s">
        <v>159</v>
      </c>
      <c r="E828" t="s">
        <v>7</v>
      </c>
      <c r="F828" t="s">
        <v>40</v>
      </c>
      <c r="G828" s="54" t="s">
        <v>180</v>
      </c>
      <c r="H828">
        <v>6</v>
      </c>
      <c r="I828" s="1">
        <v>3</v>
      </c>
      <c r="J828" s="1">
        <v>0.67034943103665512</v>
      </c>
      <c r="K828" s="1">
        <v>5.4272717734712366</v>
      </c>
    </row>
    <row r="829" spans="4:11" x14ac:dyDescent="0.25">
      <c r="D829" t="s">
        <v>159</v>
      </c>
      <c r="E829" t="s">
        <v>35</v>
      </c>
      <c r="F829" t="s">
        <v>19</v>
      </c>
      <c r="G829" s="54" t="s">
        <v>179</v>
      </c>
      <c r="H829">
        <v>3</v>
      </c>
      <c r="I829" s="1">
        <v>2</v>
      </c>
      <c r="J829" s="1">
        <v>0.97363628201473773</v>
      </c>
      <c r="K829" s="1">
        <v>1.053422481596531</v>
      </c>
    </row>
    <row r="830" spans="4:11" ht="15" customHeight="1" x14ac:dyDescent="0.25">
      <c r="D830" t="s">
        <v>159</v>
      </c>
      <c r="E830" t="s">
        <v>27</v>
      </c>
      <c r="F830" t="s">
        <v>23</v>
      </c>
      <c r="G830" s="54" t="s">
        <v>180</v>
      </c>
      <c r="H830">
        <v>6</v>
      </c>
      <c r="I830" s="1">
        <v>3</v>
      </c>
      <c r="J830" s="1">
        <v>1.0777784531503585</v>
      </c>
      <c r="K830" s="1">
        <v>3.6949356751730287</v>
      </c>
    </row>
    <row r="831" spans="4:11" x14ac:dyDescent="0.25">
      <c r="D831" t="s">
        <v>159</v>
      </c>
      <c r="E831" t="s">
        <v>37</v>
      </c>
      <c r="F831" t="s">
        <v>176</v>
      </c>
      <c r="G831" s="54" t="s">
        <v>183</v>
      </c>
      <c r="H831">
        <v>1</v>
      </c>
      <c r="I831" s="1">
        <v>-4</v>
      </c>
      <c r="J831" s="1">
        <v>-1.6520612098923095</v>
      </c>
      <c r="K831" s="1">
        <v>5.5128165620923655</v>
      </c>
    </row>
    <row r="832" spans="4:11" ht="18" customHeight="1" x14ac:dyDescent="0.25">
      <c r="D832" t="s">
        <v>159</v>
      </c>
      <c r="E832" t="s">
        <v>21</v>
      </c>
      <c r="F832" t="s">
        <v>22</v>
      </c>
      <c r="G832" s="54" t="s">
        <v>179</v>
      </c>
      <c r="H832">
        <v>4</v>
      </c>
      <c r="I832" s="1">
        <v>3</v>
      </c>
      <c r="J832" s="1">
        <v>0.14550112637812163</v>
      </c>
      <c r="K832" s="1">
        <v>8.1481638195085715</v>
      </c>
    </row>
    <row r="833" spans="4:11" x14ac:dyDescent="0.25">
      <c r="D833" t="s">
        <v>159</v>
      </c>
      <c r="E833" t="s">
        <v>3</v>
      </c>
      <c r="F833" t="s">
        <v>4</v>
      </c>
      <c r="G833" s="54" t="s">
        <v>178</v>
      </c>
      <c r="H833">
        <v>3</v>
      </c>
      <c r="I833" s="1">
        <v>1</v>
      </c>
      <c r="J833" s="1">
        <v>0.30294900316025064</v>
      </c>
      <c r="K833" s="1">
        <v>0.48588009219528827</v>
      </c>
    </row>
    <row r="834" spans="4:11" ht="15" customHeight="1" x14ac:dyDescent="0.25">
      <c r="D834" t="s">
        <v>159</v>
      </c>
      <c r="E834" t="s">
        <v>12</v>
      </c>
      <c r="F834" t="s">
        <v>33</v>
      </c>
      <c r="G834" s="54" t="s">
        <v>179</v>
      </c>
      <c r="H834">
        <v>3</v>
      </c>
      <c r="I834" s="1">
        <v>2</v>
      </c>
      <c r="J834" s="1">
        <v>-4.2762834941328265E-2</v>
      </c>
      <c r="K834" s="1">
        <v>4.1728799998175328</v>
      </c>
    </row>
    <row r="835" spans="4:11" x14ac:dyDescent="0.25">
      <c r="D835" t="s">
        <v>160</v>
      </c>
      <c r="E835" t="s">
        <v>11</v>
      </c>
      <c r="F835" t="s">
        <v>20</v>
      </c>
      <c r="G835" s="54" t="s">
        <v>179</v>
      </c>
      <c r="H835">
        <v>2</v>
      </c>
      <c r="I835" s="1">
        <v>1</v>
      </c>
      <c r="J835" s="1">
        <v>0.63300039041214973</v>
      </c>
      <c r="K835" s="1">
        <v>0.13468871343763453</v>
      </c>
    </row>
    <row r="836" spans="4:11" ht="15" customHeight="1" x14ac:dyDescent="0.25">
      <c r="D836" t="s">
        <v>160</v>
      </c>
      <c r="E836" t="s">
        <v>38</v>
      </c>
      <c r="F836" t="s">
        <v>14</v>
      </c>
      <c r="G836" s="54" t="s">
        <v>178</v>
      </c>
      <c r="H836">
        <v>1</v>
      </c>
      <c r="I836" s="1">
        <v>-1</v>
      </c>
      <c r="J836" s="1">
        <v>-0.56969277634429716</v>
      </c>
      <c r="K836" s="1">
        <v>0.18516430673027906</v>
      </c>
    </row>
    <row r="837" spans="4:11" x14ac:dyDescent="0.25">
      <c r="D837" t="s">
        <v>160</v>
      </c>
      <c r="E837" t="s">
        <v>1</v>
      </c>
      <c r="F837" t="s">
        <v>8</v>
      </c>
      <c r="G837" s="54" t="s">
        <v>178</v>
      </c>
      <c r="H837">
        <v>1</v>
      </c>
      <c r="I837" s="1">
        <v>-1</v>
      </c>
      <c r="J837" s="1">
        <v>-0.85192216772675522</v>
      </c>
      <c r="K837" s="1">
        <v>2.1927044410743213E-2</v>
      </c>
    </row>
    <row r="838" spans="4:11" ht="18" customHeight="1" x14ac:dyDescent="0.25">
      <c r="D838" t="s">
        <v>160</v>
      </c>
      <c r="E838" t="s">
        <v>12</v>
      </c>
      <c r="F838" t="s">
        <v>10</v>
      </c>
      <c r="G838" s="54" t="s">
        <v>183</v>
      </c>
      <c r="H838">
        <v>3</v>
      </c>
      <c r="I838" s="1">
        <v>-2</v>
      </c>
      <c r="J838" s="1">
        <v>-0.10266157497471795</v>
      </c>
      <c r="K838" s="1">
        <v>3.5998930990774176</v>
      </c>
    </row>
    <row r="839" spans="4:11" x14ac:dyDescent="0.25">
      <c r="D839" t="s">
        <v>160</v>
      </c>
      <c r="E839" t="s">
        <v>36</v>
      </c>
      <c r="F839" t="s">
        <v>32</v>
      </c>
      <c r="G839" s="54" t="s">
        <v>183</v>
      </c>
      <c r="H839">
        <v>2</v>
      </c>
      <c r="I839" s="1">
        <v>-3</v>
      </c>
      <c r="J839" s="1">
        <v>-0.39654621282286939</v>
      </c>
      <c r="K839" s="1">
        <v>6.7779716219669437</v>
      </c>
    </row>
    <row r="840" spans="4:11" ht="15" customHeight="1" x14ac:dyDescent="0.25">
      <c r="D840" t="s">
        <v>161</v>
      </c>
      <c r="E840" t="s">
        <v>37</v>
      </c>
      <c r="F840" t="s">
        <v>40</v>
      </c>
      <c r="G840" s="54" t="s">
        <v>181</v>
      </c>
      <c r="H840">
        <v>5</v>
      </c>
      <c r="I840" s="1">
        <v>-1</v>
      </c>
      <c r="J840" s="1">
        <v>-0.18554751343047826</v>
      </c>
      <c r="K840" s="1">
        <v>0.66333285287927701</v>
      </c>
    </row>
    <row r="841" spans="4:11" x14ac:dyDescent="0.25">
      <c r="D841" t="s">
        <v>161</v>
      </c>
      <c r="E841" t="s">
        <v>27</v>
      </c>
      <c r="F841" t="s">
        <v>18</v>
      </c>
      <c r="G841" s="54" t="s">
        <v>181</v>
      </c>
      <c r="H841">
        <v>3</v>
      </c>
      <c r="I841" s="1">
        <v>-3</v>
      </c>
      <c r="J841" s="1">
        <v>0.92886895239841749</v>
      </c>
      <c r="K841" s="1">
        <v>15.436011245120239</v>
      </c>
    </row>
    <row r="842" spans="4:11" ht="18" customHeight="1" x14ac:dyDescent="0.25">
      <c r="D842" t="s">
        <v>161</v>
      </c>
      <c r="E842" t="s">
        <v>229</v>
      </c>
      <c r="F842" t="s">
        <v>13</v>
      </c>
      <c r="G842" s="54" t="s">
        <v>178</v>
      </c>
      <c r="H842">
        <v>0</v>
      </c>
      <c r="I842" s="1">
        <v>-2</v>
      </c>
      <c r="J842" s="1">
        <v>2.7993699953299256E-2</v>
      </c>
      <c r="K842" s="1">
        <v>4.1127584470502727</v>
      </c>
    </row>
    <row r="843" spans="4:11" x14ac:dyDescent="0.25">
      <c r="D843" t="s">
        <v>161</v>
      </c>
      <c r="E843" t="s">
        <v>24</v>
      </c>
      <c r="F843" t="s">
        <v>25</v>
      </c>
      <c r="G843" s="54" t="s">
        <v>182</v>
      </c>
      <c r="H843">
        <v>5</v>
      </c>
      <c r="I843" s="1">
        <v>1</v>
      </c>
      <c r="J843" s="1">
        <v>1.5374696681986961</v>
      </c>
      <c r="K843" s="1">
        <v>0.2888736442336165</v>
      </c>
    </row>
    <row r="844" spans="4:11" ht="18" customHeight="1" x14ac:dyDescent="0.25">
      <c r="D844" t="s">
        <v>161</v>
      </c>
      <c r="E844" t="s">
        <v>176</v>
      </c>
      <c r="F844" t="s">
        <v>22</v>
      </c>
      <c r="G844" s="54" t="s">
        <v>178</v>
      </c>
      <c r="H844">
        <v>5</v>
      </c>
      <c r="I844" s="1">
        <v>3</v>
      </c>
      <c r="J844" s="1">
        <v>1.4133930568086015</v>
      </c>
      <c r="K844" s="1">
        <v>2.5173215921831535</v>
      </c>
    </row>
    <row r="845" spans="4:11" x14ac:dyDescent="0.25">
      <c r="D845" t="s">
        <v>161</v>
      </c>
      <c r="E845" t="s">
        <v>2</v>
      </c>
      <c r="F845" t="s">
        <v>4</v>
      </c>
      <c r="G845" s="54" t="s">
        <v>180</v>
      </c>
      <c r="H845">
        <v>4</v>
      </c>
      <c r="I845" s="1">
        <v>1</v>
      </c>
      <c r="J845" s="1">
        <v>0.48825365956379585</v>
      </c>
      <c r="K845" s="1">
        <v>0.26188431694984737</v>
      </c>
    </row>
    <row r="846" spans="4:11" ht="15" customHeight="1" x14ac:dyDescent="0.25">
      <c r="D846" t="s">
        <v>161</v>
      </c>
      <c r="E846" t="s">
        <v>23</v>
      </c>
      <c r="F846" t="s">
        <v>3</v>
      </c>
      <c r="G846" s="54" t="s">
        <v>178</v>
      </c>
      <c r="H846">
        <v>3</v>
      </c>
      <c r="I846" s="1">
        <v>1</v>
      </c>
      <c r="J846" s="1">
        <v>4.8337780159741328E-2</v>
      </c>
      <c r="K846" s="1">
        <v>0.90566098067128886</v>
      </c>
    </row>
    <row r="847" spans="4:11" x14ac:dyDescent="0.25">
      <c r="D847" t="s">
        <v>161</v>
      </c>
      <c r="E847" t="s">
        <v>36</v>
      </c>
      <c r="F847" t="s">
        <v>33</v>
      </c>
      <c r="G847" s="54" t="s">
        <v>178</v>
      </c>
      <c r="H847">
        <v>3</v>
      </c>
      <c r="I847" s="1">
        <v>1</v>
      </c>
      <c r="J847" s="1">
        <v>-0.16456017020317404</v>
      </c>
      <c r="K847" s="1">
        <v>1.3562003900236457</v>
      </c>
    </row>
    <row r="848" spans="4:11" ht="15" customHeight="1" x14ac:dyDescent="0.25">
      <c r="D848" t="s">
        <v>162</v>
      </c>
      <c r="E848" t="s">
        <v>7</v>
      </c>
      <c r="F848" t="s">
        <v>1</v>
      </c>
      <c r="G848" s="54" t="s">
        <v>183</v>
      </c>
      <c r="H848">
        <v>2</v>
      </c>
      <c r="I848" s="1">
        <v>-3</v>
      </c>
      <c r="J848" s="1">
        <v>0.1771605035344237</v>
      </c>
      <c r="K848" s="1">
        <v>10.094348865219112</v>
      </c>
    </row>
    <row r="849" spans="4:11" x14ac:dyDescent="0.25">
      <c r="D849" t="s">
        <v>162</v>
      </c>
      <c r="E849" t="s">
        <v>12</v>
      </c>
      <c r="F849" t="s">
        <v>11</v>
      </c>
      <c r="G849" s="54" t="s">
        <v>180</v>
      </c>
      <c r="H849">
        <v>1</v>
      </c>
      <c r="I849" s="1">
        <v>-2</v>
      </c>
      <c r="J849" s="1">
        <v>-7.5858676886142007E-2</v>
      </c>
      <c r="K849" s="1">
        <v>3.7023198313143482</v>
      </c>
    </row>
    <row r="850" spans="4:11" ht="15" customHeight="1" x14ac:dyDescent="0.25">
      <c r="D850" t="s">
        <v>162</v>
      </c>
      <c r="E850" t="s">
        <v>40</v>
      </c>
      <c r="F850" t="s">
        <v>27</v>
      </c>
      <c r="G850" s="54" t="s">
        <v>182</v>
      </c>
      <c r="H850">
        <v>1</v>
      </c>
      <c r="I850" s="1">
        <v>-3</v>
      </c>
      <c r="J850" s="1">
        <v>-0.45698598672329638</v>
      </c>
      <c r="K850" s="1">
        <v>6.4669202717216869</v>
      </c>
    </row>
    <row r="851" spans="4:11" x14ac:dyDescent="0.25">
      <c r="D851" t="s">
        <v>162</v>
      </c>
      <c r="E851" t="s">
        <v>8</v>
      </c>
      <c r="F851" t="s">
        <v>35</v>
      </c>
      <c r="G851" s="54" t="s">
        <v>179</v>
      </c>
      <c r="H851">
        <v>2</v>
      </c>
      <c r="I851" s="1">
        <v>1</v>
      </c>
      <c r="J851" s="1">
        <v>1.1690089454987032</v>
      </c>
      <c r="K851" s="1">
        <v>2.8564023658583612E-2</v>
      </c>
    </row>
    <row r="852" spans="4:11" ht="15" customHeight="1" x14ac:dyDescent="0.25">
      <c r="D852" t="s">
        <v>162</v>
      </c>
      <c r="E852" t="s">
        <v>14</v>
      </c>
      <c r="F852" t="s">
        <v>0</v>
      </c>
      <c r="G852" s="54" t="s">
        <v>180</v>
      </c>
      <c r="H852">
        <v>2</v>
      </c>
      <c r="I852" s="1">
        <v>-1</v>
      </c>
      <c r="J852" s="1">
        <v>-0.13309152016643111</v>
      </c>
      <c r="K852" s="1">
        <v>0.75153031240734935</v>
      </c>
    </row>
    <row r="853" spans="4:11" x14ac:dyDescent="0.25">
      <c r="D853" t="s">
        <v>162</v>
      </c>
      <c r="E853" t="s">
        <v>21</v>
      </c>
      <c r="F853" t="s">
        <v>38</v>
      </c>
      <c r="G853" s="54" t="s">
        <v>182</v>
      </c>
      <c r="H853">
        <v>1</v>
      </c>
      <c r="I853" s="1">
        <v>-3</v>
      </c>
      <c r="J853" s="1">
        <v>0.7722831022437191</v>
      </c>
      <c r="K853" s="1">
        <v>14.230119803473498</v>
      </c>
    </row>
    <row r="854" spans="4:11" ht="15" customHeight="1" x14ac:dyDescent="0.25">
      <c r="D854" t="s">
        <v>162</v>
      </c>
      <c r="E854" t="s">
        <v>32</v>
      </c>
      <c r="F854" t="s">
        <v>19</v>
      </c>
      <c r="G854" s="54" t="s">
        <v>179</v>
      </c>
      <c r="H854">
        <v>5</v>
      </c>
      <c r="I854" s="1">
        <v>4</v>
      </c>
      <c r="J854" s="1">
        <v>0.64584841843883112</v>
      </c>
      <c r="K854" s="1">
        <v>11.25033283208929</v>
      </c>
    </row>
    <row r="855" spans="4:11" x14ac:dyDescent="0.25">
      <c r="D855" t="s">
        <v>163</v>
      </c>
      <c r="E855" t="s">
        <v>229</v>
      </c>
      <c r="F855" t="s">
        <v>18</v>
      </c>
      <c r="G855" s="54" t="s">
        <v>178</v>
      </c>
      <c r="H855">
        <v>4</v>
      </c>
      <c r="I855" s="1">
        <v>2</v>
      </c>
      <c r="J855" s="1">
        <v>0.13264442812982224</v>
      </c>
      <c r="K855" s="1">
        <v>3.4870168317945986</v>
      </c>
    </row>
    <row r="856" spans="4:11" ht="15" customHeight="1" x14ac:dyDescent="0.25">
      <c r="D856" t="s">
        <v>163</v>
      </c>
      <c r="E856" t="s">
        <v>13</v>
      </c>
      <c r="F856" t="s">
        <v>20</v>
      </c>
      <c r="G856" s="54" t="s">
        <v>180</v>
      </c>
      <c r="H856">
        <v>2</v>
      </c>
      <c r="I856" s="1">
        <v>-1</v>
      </c>
      <c r="J856" s="1">
        <v>0.61634406743405634</v>
      </c>
      <c r="K856" s="1">
        <v>2.6125681443292694</v>
      </c>
    </row>
    <row r="857" spans="4:11" x14ac:dyDescent="0.25">
      <c r="D857" t="s">
        <v>163</v>
      </c>
      <c r="E857" t="s">
        <v>23</v>
      </c>
      <c r="F857" t="s">
        <v>4</v>
      </c>
      <c r="G857" s="54" t="s">
        <v>180</v>
      </c>
      <c r="H857">
        <v>2</v>
      </c>
      <c r="I857" s="1">
        <v>-1</v>
      </c>
      <c r="J857" s="1">
        <v>0.10648629269205401</v>
      </c>
      <c r="K857" s="1">
        <v>1.2243119159154059</v>
      </c>
    </row>
    <row r="858" spans="4:11" ht="15" customHeight="1" x14ac:dyDescent="0.25">
      <c r="D858" t="s">
        <v>163</v>
      </c>
      <c r="E858" t="s">
        <v>33</v>
      </c>
      <c r="F858" t="s">
        <v>22</v>
      </c>
      <c r="G858" s="54" t="s">
        <v>182</v>
      </c>
      <c r="H858">
        <v>1</v>
      </c>
      <c r="I858" s="1">
        <v>-3</v>
      </c>
      <c r="J858" s="1">
        <v>5.2808585137327668E-2</v>
      </c>
      <c r="K858" s="1">
        <v>9.3196402574881727</v>
      </c>
    </row>
    <row r="859" spans="4:11" x14ac:dyDescent="0.25">
      <c r="D859" t="s">
        <v>163</v>
      </c>
      <c r="E859" t="s">
        <v>2</v>
      </c>
      <c r="F859" t="s">
        <v>24</v>
      </c>
      <c r="G859" s="54" t="s">
        <v>180</v>
      </c>
      <c r="H859">
        <v>4</v>
      </c>
      <c r="I859" s="1">
        <v>1</v>
      </c>
      <c r="J859" s="1">
        <v>-0.77499052523990031</v>
      </c>
      <c r="K859" s="1">
        <v>3.150591364691417</v>
      </c>
    </row>
    <row r="860" spans="4:11" ht="15" customHeight="1" x14ac:dyDescent="0.25">
      <c r="D860" t="s">
        <v>163</v>
      </c>
      <c r="E860" t="s">
        <v>36</v>
      </c>
      <c r="F860" t="s">
        <v>10</v>
      </c>
      <c r="G860" s="54" t="s">
        <v>182</v>
      </c>
      <c r="H860">
        <v>1</v>
      </c>
      <c r="I860" s="1">
        <v>-3</v>
      </c>
      <c r="J860" s="1">
        <v>-0.22445891023656372</v>
      </c>
      <c r="K860" s="1">
        <v>7.7036283409652038</v>
      </c>
    </row>
    <row r="861" spans="4:11" x14ac:dyDescent="0.25">
      <c r="D861" t="s">
        <v>164</v>
      </c>
      <c r="E861" t="s">
        <v>19</v>
      </c>
      <c r="F861" t="s">
        <v>40</v>
      </c>
      <c r="G861" s="54" t="s">
        <v>178</v>
      </c>
      <c r="H861">
        <v>5</v>
      </c>
      <c r="I861" s="1">
        <v>3</v>
      </c>
      <c r="J861" s="1">
        <v>0.1816678302272976</v>
      </c>
      <c r="K861" s="1">
        <v>7.9429962191757086</v>
      </c>
    </row>
    <row r="862" spans="4:11" ht="15" customHeight="1" x14ac:dyDescent="0.25">
      <c r="D862" t="s">
        <v>164</v>
      </c>
      <c r="E862" t="s">
        <v>3</v>
      </c>
      <c r="F862" t="s">
        <v>37</v>
      </c>
      <c r="G862" s="54" t="s">
        <v>183</v>
      </c>
      <c r="H862">
        <v>4</v>
      </c>
      <c r="I862" s="1">
        <v>-1</v>
      </c>
      <c r="J862" s="1">
        <v>0.74041971998336464</v>
      </c>
      <c r="K862" s="1">
        <v>3.0290608017069736</v>
      </c>
    </row>
    <row r="863" spans="4:11" x14ac:dyDescent="0.25">
      <c r="D863" t="s">
        <v>164</v>
      </c>
      <c r="E863" t="s">
        <v>8</v>
      </c>
      <c r="F863" t="s">
        <v>1</v>
      </c>
      <c r="G863" s="54" t="s">
        <v>180</v>
      </c>
      <c r="H863">
        <v>2</v>
      </c>
      <c r="I863" s="1">
        <v>-1</v>
      </c>
      <c r="J863" s="1">
        <v>1.3415231489826311</v>
      </c>
      <c r="K863" s="1">
        <v>5.4827306572215369</v>
      </c>
    </row>
    <row r="864" spans="4:11" ht="15" customHeight="1" x14ac:dyDescent="0.25">
      <c r="D864" t="s">
        <v>164</v>
      </c>
      <c r="E864" t="s">
        <v>7</v>
      </c>
      <c r="F864" t="s">
        <v>11</v>
      </c>
      <c r="G864" s="54" t="s">
        <v>178</v>
      </c>
      <c r="H864">
        <v>1</v>
      </c>
      <c r="I864" s="1">
        <v>-1</v>
      </c>
      <c r="J864" s="1">
        <v>0.53132436430128394</v>
      </c>
      <c r="K864" s="1">
        <v>2.3449543087027314</v>
      </c>
    </row>
    <row r="865" spans="4:11" x14ac:dyDescent="0.25">
      <c r="D865" t="s">
        <v>164</v>
      </c>
      <c r="E865" t="s">
        <v>25</v>
      </c>
      <c r="F865" t="s">
        <v>12</v>
      </c>
      <c r="G865" s="54" t="s">
        <v>179</v>
      </c>
      <c r="H865">
        <v>5</v>
      </c>
      <c r="I865" s="1">
        <v>4</v>
      </c>
      <c r="J865" s="1">
        <v>0.40413231140428252</v>
      </c>
      <c r="K865" s="1">
        <v>12.930264433886707</v>
      </c>
    </row>
    <row r="866" spans="4:11" ht="18" customHeight="1" x14ac:dyDescent="0.25">
      <c r="D866" t="s">
        <v>164</v>
      </c>
      <c r="E866" t="s">
        <v>14</v>
      </c>
      <c r="F866" t="s">
        <v>229</v>
      </c>
      <c r="G866" s="54" t="s">
        <v>180</v>
      </c>
      <c r="H866">
        <v>2</v>
      </c>
      <c r="I866" s="1">
        <v>-1</v>
      </c>
      <c r="J866" s="1">
        <v>0.82487095893310425</v>
      </c>
      <c r="K866" s="1">
        <v>3.3301540167574273</v>
      </c>
    </row>
    <row r="867" spans="4:11" x14ac:dyDescent="0.25">
      <c r="D867" t="s">
        <v>164</v>
      </c>
      <c r="E867" t="s">
        <v>32</v>
      </c>
      <c r="F867" t="s">
        <v>21</v>
      </c>
      <c r="G867" s="54" t="s">
        <v>183</v>
      </c>
      <c r="H867">
        <v>2</v>
      </c>
      <c r="I867" s="1">
        <v>-3</v>
      </c>
      <c r="J867" s="1">
        <v>0.38409399200683936</v>
      </c>
      <c r="K867" s="1">
        <v>11.452092146736787</v>
      </c>
    </row>
    <row r="868" spans="4:11" ht="15" customHeight="1" x14ac:dyDescent="0.25">
      <c r="D868" t="s">
        <v>165</v>
      </c>
      <c r="E868" t="s">
        <v>37</v>
      </c>
      <c r="F868" t="s">
        <v>8</v>
      </c>
      <c r="G868" s="54" t="s">
        <v>180</v>
      </c>
      <c r="H868">
        <v>1</v>
      </c>
      <c r="I868" s="1">
        <v>-2</v>
      </c>
      <c r="J868" s="1">
        <v>-1.7754590992874029</v>
      </c>
      <c r="K868" s="1">
        <v>5.0418616092824407E-2</v>
      </c>
    </row>
    <row r="869" spans="4:11" x14ac:dyDescent="0.25">
      <c r="D869" t="s">
        <v>165</v>
      </c>
      <c r="E869" t="s">
        <v>3</v>
      </c>
      <c r="F869" t="s">
        <v>35</v>
      </c>
      <c r="G869" s="54" t="s">
        <v>178</v>
      </c>
      <c r="H869">
        <v>4</v>
      </c>
      <c r="I869" s="1">
        <v>2</v>
      </c>
      <c r="J869" s="1">
        <v>-0.35563141506121099</v>
      </c>
      <c r="K869" s="1">
        <v>5.5489993636232828</v>
      </c>
    </row>
    <row r="870" spans="4:11" ht="18" customHeight="1" x14ac:dyDescent="0.25">
      <c r="D870" t="s">
        <v>165</v>
      </c>
      <c r="E870" t="s">
        <v>0</v>
      </c>
      <c r="F870" t="s">
        <v>27</v>
      </c>
      <c r="G870" s="54" t="s">
        <v>179</v>
      </c>
      <c r="H870">
        <v>2</v>
      </c>
      <c r="I870" s="1">
        <v>1</v>
      </c>
      <c r="J870" s="1">
        <v>0.40653844545887807</v>
      </c>
      <c r="K870" s="1">
        <v>0.35219661671836505</v>
      </c>
    </row>
    <row r="871" spans="4:11" x14ac:dyDescent="0.25">
      <c r="D871" t="s">
        <v>165</v>
      </c>
      <c r="E871" t="s">
        <v>2</v>
      </c>
      <c r="F871" t="s">
        <v>38</v>
      </c>
      <c r="G871" s="54" t="s">
        <v>179</v>
      </c>
      <c r="H871">
        <v>5</v>
      </c>
      <c r="I871" s="1">
        <v>4</v>
      </c>
      <c r="J871" s="1">
        <v>0.82423721791292337</v>
      </c>
      <c r="K871" s="1">
        <v>10.085469248089449</v>
      </c>
    </row>
    <row r="872" spans="4:11" ht="15" customHeight="1" x14ac:dyDescent="0.25">
      <c r="D872" t="s">
        <v>165</v>
      </c>
      <c r="E872" t="s">
        <v>22</v>
      </c>
      <c r="F872" t="s">
        <v>20</v>
      </c>
      <c r="G872" s="54" t="s">
        <v>182</v>
      </c>
      <c r="H872">
        <v>1</v>
      </c>
      <c r="I872" s="1">
        <v>-3</v>
      </c>
      <c r="J872" s="1">
        <v>0.79189645395794628</v>
      </c>
      <c r="K872" s="1">
        <v>14.378478717538847</v>
      </c>
    </row>
    <row r="873" spans="4:11" x14ac:dyDescent="0.25">
      <c r="D873" t="s">
        <v>165</v>
      </c>
      <c r="E873" t="s">
        <v>10</v>
      </c>
      <c r="F873" t="s">
        <v>4</v>
      </c>
      <c r="G873" s="54" t="s">
        <v>181</v>
      </c>
      <c r="H873">
        <v>3</v>
      </c>
      <c r="I873" s="1">
        <v>-3</v>
      </c>
      <c r="J873" s="1">
        <v>0.40350574268718731</v>
      </c>
      <c r="K873" s="1">
        <v>11.583851340504662</v>
      </c>
    </row>
    <row r="874" spans="4:11" ht="18" customHeight="1" x14ac:dyDescent="0.25">
      <c r="D874" t="s">
        <v>165</v>
      </c>
      <c r="E874" t="s">
        <v>23</v>
      </c>
      <c r="F874" t="s">
        <v>24</v>
      </c>
      <c r="G874" s="54" t="s">
        <v>182</v>
      </c>
      <c r="H874">
        <v>0</v>
      </c>
      <c r="I874" s="1">
        <v>-4</v>
      </c>
      <c r="J874" s="1">
        <v>-1.1567578921116421</v>
      </c>
      <c r="K874" s="1">
        <v>8.0840256840694327</v>
      </c>
    </row>
    <row r="875" spans="4:11" x14ac:dyDescent="0.25">
      <c r="D875" t="s">
        <v>166</v>
      </c>
      <c r="E875" t="s">
        <v>40</v>
      </c>
      <c r="F875" t="s">
        <v>12</v>
      </c>
      <c r="G875" s="54" t="s">
        <v>178</v>
      </c>
      <c r="H875">
        <v>3</v>
      </c>
      <c r="I875" s="1">
        <v>1</v>
      </c>
      <c r="J875" s="1">
        <v>0.42643459140664675</v>
      </c>
      <c r="K875" s="1">
        <v>0.32897727793486026</v>
      </c>
    </row>
    <row r="876" spans="4:11" ht="18" customHeight="1" x14ac:dyDescent="0.25">
      <c r="D876" t="s">
        <v>166</v>
      </c>
      <c r="E876" t="s">
        <v>19</v>
      </c>
      <c r="F876" t="s">
        <v>1</v>
      </c>
      <c r="G876" s="54" t="s">
        <v>178</v>
      </c>
      <c r="H876">
        <v>3</v>
      </c>
      <c r="I876" s="1">
        <v>1</v>
      </c>
      <c r="J876" s="1">
        <v>-0.31152109727493382</v>
      </c>
      <c r="K876" s="1">
        <v>1.7200875885972464</v>
      </c>
    </row>
    <row r="877" spans="4:11" x14ac:dyDescent="0.25">
      <c r="D877" t="s">
        <v>166</v>
      </c>
      <c r="E877" t="s">
        <v>25</v>
      </c>
      <c r="F877" t="s">
        <v>0</v>
      </c>
      <c r="G877" s="54" t="s">
        <v>180</v>
      </c>
      <c r="H877">
        <v>4</v>
      </c>
      <c r="I877" s="1">
        <v>1</v>
      </c>
      <c r="J877" s="1">
        <v>-0.64102622155660072</v>
      </c>
      <c r="K877" s="1">
        <v>2.6929670598363336</v>
      </c>
    </row>
    <row r="878" spans="4:11" ht="15" customHeight="1" x14ac:dyDescent="0.25">
      <c r="D878" t="s">
        <v>166</v>
      </c>
      <c r="E878" t="s">
        <v>7</v>
      </c>
      <c r="F878" t="s">
        <v>229</v>
      </c>
      <c r="G878" s="54" t="s">
        <v>179</v>
      </c>
      <c r="H878">
        <v>3</v>
      </c>
      <c r="I878" s="1">
        <v>2</v>
      </c>
      <c r="J878" s="1">
        <v>0.76478747795401603</v>
      </c>
      <c r="K878" s="1">
        <v>1.5257499746192005</v>
      </c>
    </row>
    <row r="879" spans="4:11" x14ac:dyDescent="0.25">
      <c r="D879" t="s">
        <v>166</v>
      </c>
      <c r="E879" t="s">
        <v>14</v>
      </c>
      <c r="F879" t="s">
        <v>18</v>
      </c>
      <c r="G879" s="54" t="s">
        <v>179</v>
      </c>
      <c r="H879">
        <v>4</v>
      </c>
      <c r="I879" s="1">
        <v>3</v>
      </c>
      <c r="J879" s="1">
        <v>0.71271489643498853</v>
      </c>
      <c r="K879" s="1">
        <v>5.2316731449904053</v>
      </c>
    </row>
    <row r="880" spans="4:11" ht="15" customHeight="1" x14ac:dyDescent="0.25">
      <c r="D880" t="s">
        <v>166</v>
      </c>
      <c r="E880" t="s">
        <v>27</v>
      </c>
      <c r="F880" t="s">
        <v>35</v>
      </c>
      <c r="G880" s="54" t="s">
        <v>179</v>
      </c>
      <c r="H880">
        <v>3</v>
      </c>
      <c r="I880" s="1">
        <v>2</v>
      </c>
      <c r="J880" s="1">
        <v>0.28088383699301289</v>
      </c>
      <c r="K880" s="1">
        <v>2.9553603819118659</v>
      </c>
    </row>
    <row r="881" spans="4:11" x14ac:dyDescent="0.25">
      <c r="D881" t="s">
        <v>166</v>
      </c>
      <c r="E881" t="s">
        <v>10</v>
      </c>
      <c r="F881" t="s">
        <v>24</v>
      </c>
      <c r="G881" s="54" t="s">
        <v>178</v>
      </c>
      <c r="H881">
        <v>1</v>
      </c>
      <c r="I881" s="1">
        <v>-1</v>
      </c>
      <c r="J881" s="1">
        <v>-0.85973844211650885</v>
      </c>
      <c r="K881" s="1">
        <v>1.967330461990394E-2</v>
      </c>
    </row>
    <row r="882" spans="4:11" ht="15" customHeight="1" x14ac:dyDescent="0.25">
      <c r="D882" t="s">
        <v>166</v>
      </c>
      <c r="E882" t="s">
        <v>11</v>
      </c>
      <c r="F882" t="s">
        <v>38</v>
      </c>
      <c r="G882" s="54" t="s">
        <v>182</v>
      </c>
      <c r="H882">
        <v>2</v>
      </c>
      <c r="I882" s="1">
        <v>-2</v>
      </c>
      <c r="J882" s="1">
        <v>0.71268640294773888</v>
      </c>
      <c r="K882" s="1">
        <v>7.3586675207375425</v>
      </c>
    </row>
    <row r="883" spans="4:11" x14ac:dyDescent="0.25">
      <c r="D883" t="s">
        <v>166</v>
      </c>
      <c r="E883" t="s">
        <v>13</v>
      </c>
      <c r="F883" t="s">
        <v>21</v>
      </c>
      <c r="G883" s="54" t="s">
        <v>184</v>
      </c>
      <c r="H883">
        <v>6</v>
      </c>
      <c r="I883" s="1">
        <v>-1</v>
      </c>
      <c r="J883" s="1">
        <v>0.16854746835386436</v>
      </c>
      <c r="K883" s="1">
        <v>1.3655031857962256</v>
      </c>
    </row>
    <row r="884" spans="4:11" ht="15" customHeight="1" x14ac:dyDescent="0.25">
      <c r="D884" t="s">
        <v>166</v>
      </c>
      <c r="E884" t="s">
        <v>36</v>
      </c>
      <c r="F884" t="s">
        <v>176</v>
      </c>
      <c r="G884" s="54" t="s">
        <v>182</v>
      </c>
      <c r="H884">
        <v>2</v>
      </c>
      <c r="I884" s="1">
        <v>-2</v>
      </c>
      <c r="J884" s="1">
        <v>-1.5251446418744479</v>
      </c>
      <c r="K884" s="1">
        <v>0.22548761114054636</v>
      </c>
    </row>
    <row r="885" spans="4:11" x14ac:dyDescent="0.25">
      <c r="D885" t="s">
        <v>166</v>
      </c>
      <c r="E885" t="s">
        <v>33</v>
      </c>
      <c r="F885" t="s">
        <v>32</v>
      </c>
      <c r="G885" s="54" t="s">
        <v>178</v>
      </c>
      <c r="H885">
        <v>1</v>
      </c>
      <c r="I885" s="1">
        <v>-1</v>
      </c>
      <c r="J885" s="1">
        <v>1.2814448008242607E-2</v>
      </c>
      <c r="K885" s="1">
        <v>1.0257931060942411</v>
      </c>
    </row>
    <row r="886" spans="4:11" ht="15" customHeight="1" x14ac:dyDescent="0.25">
      <c r="D886" t="s">
        <v>167</v>
      </c>
      <c r="E886" t="s">
        <v>12</v>
      </c>
      <c r="F886" t="s">
        <v>1</v>
      </c>
      <c r="G886" s="54" t="s">
        <v>178</v>
      </c>
      <c r="H886">
        <v>3</v>
      </c>
      <c r="I886" s="1">
        <v>1</v>
      </c>
      <c r="J886" s="1">
        <v>-0.43002253765300225</v>
      </c>
      <c r="K886" s="1">
        <v>2.0449644581955324</v>
      </c>
    </row>
    <row r="887" spans="4:11" x14ac:dyDescent="0.25">
      <c r="D887" t="s">
        <v>167</v>
      </c>
      <c r="E887" t="s">
        <v>2</v>
      </c>
      <c r="F887" t="s">
        <v>20</v>
      </c>
      <c r="G887" s="54" t="s">
        <v>181</v>
      </c>
      <c r="H887">
        <v>2</v>
      </c>
      <c r="I887" s="1">
        <v>-4</v>
      </c>
      <c r="J887" s="1">
        <v>0.74455120537733421</v>
      </c>
      <c r="K887" s="1">
        <v>22.510766140447515</v>
      </c>
    </row>
    <row r="888" spans="4:11" ht="15" customHeight="1" x14ac:dyDescent="0.25">
      <c r="D888" t="s">
        <v>167</v>
      </c>
      <c r="E888" t="s">
        <v>19</v>
      </c>
      <c r="F888" t="s">
        <v>8</v>
      </c>
      <c r="G888" s="54" t="s">
        <v>178</v>
      </c>
      <c r="H888">
        <v>1</v>
      </c>
      <c r="I888" s="1">
        <v>-1</v>
      </c>
      <c r="J888" s="1">
        <v>-1.408243755629627</v>
      </c>
      <c r="K888" s="1">
        <v>0.16666296401058261</v>
      </c>
    </row>
    <row r="889" spans="4:11" x14ac:dyDescent="0.25">
      <c r="D889" t="s">
        <v>167</v>
      </c>
      <c r="E889" t="s">
        <v>3</v>
      </c>
      <c r="F889" t="s">
        <v>40</v>
      </c>
      <c r="G889" s="54" t="s">
        <v>182</v>
      </c>
      <c r="H889">
        <v>0</v>
      </c>
      <c r="I889" s="1">
        <v>-4</v>
      </c>
      <c r="J889" s="1">
        <v>0.31007171592494842</v>
      </c>
      <c r="K889" s="1">
        <v>18.57671819641623</v>
      </c>
    </row>
    <row r="890" spans="4:11" ht="15" customHeight="1" x14ac:dyDescent="0.25">
      <c r="D890" t="s">
        <v>167</v>
      </c>
      <c r="E890" t="s">
        <v>14</v>
      </c>
      <c r="F890" t="s">
        <v>11</v>
      </c>
      <c r="G890" s="54" t="s">
        <v>179</v>
      </c>
      <c r="H890">
        <v>5</v>
      </c>
      <c r="I890" s="1">
        <v>4</v>
      </c>
      <c r="J890" s="1">
        <v>0.59140784528037216</v>
      </c>
      <c r="K890" s="1">
        <v>11.618500477216195</v>
      </c>
    </row>
    <row r="891" spans="4:11" x14ac:dyDescent="0.25">
      <c r="D891" t="s">
        <v>167</v>
      </c>
      <c r="E891" t="s">
        <v>36</v>
      </c>
      <c r="F891" t="s">
        <v>22</v>
      </c>
      <c r="G891" s="54" t="s">
        <v>182</v>
      </c>
      <c r="H891">
        <v>5</v>
      </c>
      <c r="I891" s="1">
        <v>1</v>
      </c>
      <c r="J891" s="1">
        <v>-0.35655207569378433</v>
      </c>
      <c r="K891" s="1">
        <v>1.8402335340691147</v>
      </c>
    </row>
    <row r="892" spans="4:11" ht="15" customHeight="1" x14ac:dyDescent="0.25">
      <c r="D892" t="s">
        <v>167</v>
      </c>
      <c r="E892" t="s">
        <v>7</v>
      </c>
      <c r="F892" t="s">
        <v>37</v>
      </c>
      <c r="G892" s="54" t="s">
        <v>180</v>
      </c>
      <c r="H892">
        <v>4</v>
      </c>
      <c r="I892" s="1">
        <v>1</v>
      </c>
      <c r="J892" s="1">
        <v>1.1006974350950713</v>
      </c>
      <c r="K892" s="1">
        <v>1.0139973434726106E-2</v>
      </c>
    </row>
    <row r="893" spans="4:11" x14ac:dyDescent="0.25">
      <c r="D893" t="s">
        <v>167</v>
      </c>
      <c r="E893" t="s">
        <v>21</v>
      </c>
      <c r="F893" t="s">
        <v>23</v>
      </c>
      <c r="G893" s="54" t="s">
        <v>178</v>
      </c>
      <c r="H893">
        <v>6</v>
      </c>
      <c r="I893" s="1">
        <v>4</v>
      </c>
      <c r="J893" s="1">
        <v>0.57461374183047553</v>
      </c>
      <c r="K893" s="1">
        <v>11.733271017656616</v>
      </c>
    </row>
    <row r="894" spans="4:11" ht="18" customHeight="1" x14ac:dyDescent="0.25">
      <c r="D894" t="s">
        <v>168</v>
      </c>
      <c r="E894" t="s">
        <v>176</v>
      </c>
      <c r="F894" t="s">
        <v>35</v>
      </c>
      <c r="G894" s="54" t="s">
        <v>177</v>
      </c>
      <c r="H894">
        <v>3</v>
      </c>
      <c r="I894" s="1">
        <v>3</v>
      </c>
      <c r="J894" s="1">
        <v>1.0456110561036098</v>
      </c>
      <c r="K894" s="1">
        <v>3.8196361440244475</v>
      </c>
    </row>
    <row r="895" spans="4:11" x14ac:dyDescent="0.25">
      <c r="D895" t="s">
        <v>168</v>
      </c>
      <c r="E895" t="s">
        <v>13</v>
      </c>
      <c r="F895" t="s">
        <v>10</v>
      </c>
      <c r="G895" s="54" t="s">
        <v>180</v>
      </c>
      <c r="H895">
        <v>4</v>
      </c>
      <c r="I895" s="1">
        <v>1</v>
      </c>
      <c r="J895" s="1">
        <v>0.20134126956126863</v>
      </c>
      <c r="K895" s="1">
        <v>0.63785576770600616</v>
      </c>
    </row>
    <row r="896" spans="4:11" ht="15" customHeight="1" x14ac:dyDescent="0.25">
      <c r="D896" t="s">
        <v>169</v>
      </c>
      <c r="E896" t="s">
        <v>3</v>
      </c>
      <c r="F896" t="s">
        <v>2</v>
      </c>
      <c r="G896" s="54" t="s">
        <v>178</v>
      </c>
      <c r="H896">
        <v>1</v>
      </c>
      <c r="I896" s="1">
        <v>-1</v>
      </c>
      <c r="J896" s="1">
        <v>5.9495834224392752E-2</v>
      </c>
      <c r="K896" s="1">
        <v>1.1225314227388419</v>
      </c>
    </row>
    <row r="897" spans="4:11" x14ac:dyDescent="0.25">
      <c r="D897" t="s">
        <v>169</v>
      </c>
      <c r="E897" t="s">
        <v>176</v>
      </c>
      <c r="F897" t="s">
        <v>40</v>
      </c>
      <c r="G897" s="54" t="s">
        <v>179</v>
      </c>
      <c r="H897">
        <v>5</v>
      </c>
      <c r="I897" s="1">
        <v>4</v>
      </c>
      <c r="J897" s="1">
        <v>1.7113141870897692</v>
      </c>
      <c r="K897" s="1">
        <v>5.2380827502165639</v>
      </c>
    </row>
    <row r="898" spans="4:11" ht="18" customHeight="1" x14ac:dyDescent="0.25">
      <c r="D898" t="s">
        <v>169</v>
      </c>
      <c r="E898" t="s">
        <v>4</v>
      </c>
      <c r="F898" t="s">
        <v>37</v>
      </c>
      <c r="G898" s="54" t="s">
        <v>177</v>
      </c>
      <c r="H898">
        <v>1</v>
      </c>
      <c r="I898" s="1">
        <v>1</v>
      </c>
      <c r="J898" s="1">
        <v>0.68227120745105196</v>
      </c>
      <c r="K898" s="1">
        <v>0.10095158561461245</v>
      </c>
    </row>
    <row r="899" spans="4:11" x14ac:dyDescent="0.25">
      <c r="D899" t="s">
        <v>169</v>
      </c>
      <c r="E899" t="s">
        <v>1</v>
      </c>
      <c r="F899" t="s">
        <v>27</v>
      </c>
      <c r="G899" s="54" t="s">
        <v>179</v>
      </c>
      <c r="H899">
        <v>4</v>
      </c>
      <c r="I899" s="1">
        <v>3</v>
      </c>
      <c r="J899" s="1">
        <v>3.6202940778935044E-2</v>
      </c>
      <c r="K899" s="1">
        <v>8.7840930082474333</v>
      </c>
    </row>
    <row r="900" spans="4:11" ht="15" customHeight="1" x14ac:dyDescent="0.25">
      <c r="D900" t="s">
        <v>169</v>
      </c>
      <c r="E900" t="s">
        <v>8</v>
      </c>
      <c r="F900" t="s">
        <v>7</v>
      </c>
      <c r="G900" s="54" t="s">
        <v>182</v>
      </c>
      <c r="H900">
        <v>2</v>
      </c>
      <c r="I900" s="1">
        <v>-2</v>
      </c>
      <c r="J900" s="1">
        <v>1.4091631360761454</v>
      </c>
      <c r="K900" s="1">
        <v>11.622393288380538</v>
      </c>
    </row>
    <row r="901" spans="4:11" x14ac:dyDescent="0.25">
      <c r="D901" t="s">
        <v>169</v>
      </c>
      <c r="E901" t="s">
        <v>229</v>
      </c>
      <c r="F901" t="s">
        <v>38</v>
      </c>
      <c r="G901" s="54" t="s">
        <v>183</v>
      </c>
      <c r="H901">
        <v>2</v>
      </c>
      <c r="I901" s="1">
        <v>-3</v>
      </c>
      <c r="J901" s="1">
        <v>0.47922328929500679</v>
      </c>
      <c r="K901" s="1">
        <v>12.104994696772767</v>
      </c>
    </row>
    <row r="902" spans="4:11" ht="15" customHeight="1" x14ac:dyDescent="0.25">
      <c r="D902" t="s">
        <v>169</v>
      </c>
      <c r="E902" t="s">
        <v>22</v>
      </c>
      <c r="F902" t="s">
        <v>19</v>
      </c>
      <c r="G902" s="54" t="s">
        <v>178</v>
      </c>
      <c r="H902">
        <v>5</v>
      </c>
      <c r="I902" s="1">
        <v>3</v>
      </c>
      <c r="J902" s="1">
        <v>0.60585428130974606</v>
      </c>
      <c r="K902" s="1">
        <v>5.7319337223228723</v>
      </c>
    </row>
    <row r="903" spans="4:11" x14ac:dyDescent="0.25">
      <c r="D903" t="s">
        <v>169</v>
      </c>
      <c r="E903" t="s">
        <v>24</v>
      </c>
      <c r="F903" t="s">
        <v>23</v>
      </c>
      <c r="G903" s="54" t="s">
        <v>178</v>
      </c>
      <c r="H903">
        <v>1</v>
      </c>
      <c r="I903" s="1">
        <v>-1</v>
      </c>
      <c r="J903" s="1">
        <v>1.6463588733675181</v>
      </c>
      <c r="K903" s="1">
        <v>7.0032152866509998</v>
      </c>
    </row>
    <row r="904" spans="4:11" ht="15" customHeight="1" x14ac:dyDescent="0.25">
      <c r="D904" t="s">
        <v>169</v>
      </c>
      <c r="E904" t="s">
        <v>21</v>
      </c>
      <c r="F904" t="s">
        <v>25</v>
      </c>
      <c r="G904" s="54" t="s">
        <v>178</v>
      </c>
      <c r="H904">
        <v>4</v>
      </c>
      <c r="I904" s="1">
        <v>2</v>
      </c>
      <c r="J904" s="1">
        <v>0.46572453666165359</v>
      </c>
      <c r="K904" s="1">
        <v>2.3540011974020976</v>
      </c>
    </row>
    <row r="905" spans="4:11" x14ac:dyDescent="0.25">
      <c r="D905" t="s">
        <v>169</v>
      </c>
      <c r="E905" t="s">
        <v>14</v>
      </c>
      <c r="F905" t="s">
        <v>20</v>
      </c>
      <c r="G905" s="54" t="s">
        <v>178</v>
      </c>
      <c r="H905">
        <v>3</v>
      </c>
      <c r="I905" s="1">
        <v>1</v>
      </c>
      <c r="J905" s="1">
        <v>0.97960774506458392</v>
      </c>
      <c r="K905" s="1">
        <v>4.1584406135100133E-4</v>
      </c>
    </row>
    <row r="906" spans="4:11" ht="18" customHeight="1" x14ac:dyDescent="0.25">
      <c r="D906" t="s">
        <v>169</v>
      </c>
      <c r="E906" t="s">
        <v>13</v>
      </c>
      <c r="F906" t="s">
        <v>33</v>
      </c>
      <c r="G906" s="54" t="s">
        <v>177</v>
      </c>
      <c r="H906">
        <v>1</v>
      </c>
      <c r="I906" s="1">
        <v>1</v>
      </c>
      <c r="J906" s="1">
        <v>0.26124000959465832</v>
      </c>
      <c r="K906" s="1">
        <v>0.54576632342370057</v>
      </c>
    </row>
    <row r="907" spans="4:11" x14ac:dyDescent="0.25">
      <c r="D907" t="s">
        <v>170</v>
      </c>
      <c r="E907" t="s">
        <v>4</v>
      </c>
      <c r="F907" t="s">
        <v>35</v>
      </c>
      <c r="G907" s="54" t="s">
        <v>180</v>
      </c>
      <c r="H907">
        <v>1</v>
      </c>
      <c r="I907" s="1">
        <v>-2</v>
      </c>
      <c r="J907" s="1">
        <v>-0.41377992759352367</v>
      </c>
      <c r="K907" s="1">
        <v>2.5160941181052072</v>
      </c>
    </row>
    <row r="908" spans="4:11" ht="15" customHeight="1" x14ac:dyDescent="0.25">
      <c r="D908" t="s">
        <v>170</v>
      </c>
      <c r="E908" t="s">
        <v>11</v>
      </c>
      <c r="F908" t="s">
        <v>12</v>
      </c>
      <c r="G908" s="54" t="s">
        <v>182</v>
      </c>
      <c r="H908">
        <v>3</v>
      </c>
      <c r="I908" s="1">
        <v>-1</v>
      </c>
      <c r="J908" s="1">
        <v>0.56545965814201793</v>
      </c>
      <c r="K908" s="1">
        <v>2.4506639412701237</v>
      </c>
    </row>
    <row r="909" spans="4:11" x14ac:dyDescent="0.25">
      <c r="D909" t="s">
        <v>170</v>
      </c>
      <c r="E909" t="s">
        <v>18</v>
      </c>
      <c r="F909" t="s">
        <v>10</v>
      </c>
      <c r="G909" s="54" t="s">
        <v>180</v>
      </c>
      <c r="H909">
        <v>0</v>
      </c>
      <c r="I909" s="1">
        <v>-3</v>
      </c>
      <c r="J909" s="1">
        <v>9.6690541384745643E-2</v>
      </c>
      <c r="K909" s="1">
        <v>9.5894923091017485</v>
      </c>
    </row>
    <row r="910" spans="4:11" ht="18" customHeight="1" x14ac:dyDescent="0.25">
      <c r="D910" t="s">
        <v>171</v>
      </c>
      <c r="E910" t="s">
        <v>3</v>
      </c>
      <c r="F910" t="s">
        <v>8</v>
      </c>
      <c r="G910" s="54" t="s">
        <v>180</v>
      </c>
      <c r="H910">
        <v>6</v>
      </c>
      <c r="I910" s="1">
        <v>3</v>
      </c>
      <c r="J910" s="1">
        <v>-1.2798398699319762</v>
      </c>
      <c r="K910" s="1">
        <v>18.317029312259354</v>
      </c>
    </row>
    <row r="911" spans="4:11" x14ac:dyDescent="0.25">
      <c r="D911" t="s">
        <v>171</v>
      </c>
      <c r="E911" t="s">
        <v>176</v>
      </c>
      <c r="F911" t="s">
        <v>37</v>
      </c>
      <c r="G911" s="54" t="s">
        <v>180</v>
      </c>
      <c r="H911">
        <v>4</v>
      </c>
      <c r="I911" s="1">
        <v>1</v>
      </c>
      <c r="J911" s="1">
        <v>2.1416621911481855</v>
      </c>
      <c r="K911" s="1">
        <v>1.3033925586972759</v>
      </c>
    </row>
    <row r="912" spans="4:11" ht="15" customHeight="1" x14ac:dyDescent="0.25">
      <c r="D912" t="s">
        <v>171</v>
      </c>
      <c r="E912" t="s">
        <v>229</v>
      </c>
      <c r="F912" t="s">
        <v>7</v>
      </c>
      <c r="G912" s="54" t="s">
        <v>183</v>
      </c>
      <c r="H912">
        <v>2</v>
      </c>
      <c r="I912" s="1">
        <v>-3</v>
      </c>
      <c r="J912" s="1">
        <v>-0.2751864966981401</v>
      </c>
      <c r="K912" s="1">
        <v>7.4246086277761547</v>
      </c>
    </row>
    <row r="913" spans="4:11" x14ac:dyDescent="0.25">
      <c r="D913" t="s">
        <v>171</v>
      </c>
      <c r="E913" t="s">
        <v>1</v>
      </c>
      <c r="F913" t="s">
        <v>0</v>
      </c>
      <c r="G913" s="54" t="s">
        <v>178</v>
      </c>
      <c r="H913">
        <v>3</v>
      </c>
      <c r="I913" s="1">
        <v>1</v>
      </c>
      <c r="J913" s="1">
        <v>-0.12553501405200507</v>
      </c>
      <c r="K913" s="1">
        <v>1.2668290678570473</v>
      </c>
    </row>
    <row r="914" spans="4:11" ht="18" customHeight="1" x14ac:dyDescent="0.25">
      <c r="D914" t="s">
        <v>171</v>
      </c>
      <c r="E914" t="s">
        <v>20</v>
      </c>
      <c r="F914" t="s">
        <v>14</v>
      </c>
      <c r="G914" s="54" t="s">
        <v>180</v>
      </c>
      <c r="H914">
        <v>0</v>
      </c>
      <c r="I914" s="1">
        <v>-3</v>
      </c>
      <c r="J914" s="1">
        <v>-0.490006763808708</v>
      </c>
      <c r="K914" s="1">
        <v>6.3000660457260347</v>
      </c>
    </row>
    <row r="915" spans="4:11" x14ac:dyDescent="0.25">
      <c r="D915" t="s">
        <v>171</v>
      </c>
      <c r="E915" t="s">
        <v>38</v>
      </c>
      <c r="F915" t="s">
        <v>25</v>
      </c>
      <c r="G915" s="54" t="s">
        <v>178</v>
      </c>
      <c r="H915">
        <v>1</v>
      </c>
      <c r="I915" s="1">
        <v>-1</v>
      </c>
      <c r="J915" s="1">
        <v>-6.1758074954127551E-2</v>
      </c>
      <c r="K915" s="1">
        <v>0.88029790991378454</v>
      </c>
    </row>
    <row r="916" spans="4:11" ht="15" customHeight="1" x14ac:dyDescent="0.25">
      <c r="D916" t="s">
        <v>171</v>
      </c>
      <c r="E916" t="s">
        <v>23</v>
      </c>
      <c r="F916" t="s">
        <v>19</v>
      </c>
      <c r="G916" s="54" t="s">
        <v>182</v>
      </c>
      <c r="H916">
        <v>2</v>
      </c>
      <c r="I916" s="1">
        <v>-2</v>
      </c>
      <c r="J916" s="1">
        <v>0.17674166585739215</v>
      </c>
      <c r="K916" s="1">
        <v>4.7382042798796142</v>
      </c>
    </row>
    <row r="917" spans="4:11" x14ac:dyDescent="0.25">
      <c r="D917" t="s">
        <v>171</v>
      </c>
      <c r="E917" t="s">
        <v>18</v>
      </c>
      <c r="F917" t="s">
        <v>33</v>
      </c>
      <c r="G917" s="54" t="s">
        <v>179</v>
      </c>
      <c r="H917">
        <v>0</v>
      </c>
      <c r="I917" s="1">
        <v>-1</v>
      </c>
      <c r="J917" s="1">
        <v>0.15658928141813533</v>
      </c>
      <c r="K917" s="1">
        <v>1.3376987658913186</v>
      </c>
    </row>
    <row r="918" spans="4:11" ht="15" customHeight="1" x14ac:dyDescent="0.25">
      <c r="D918" t="s">
        <v>171</v>
      </c>
      <c r="E918" t="s">
        <v>13</v>
      </c>
      <c r="F918" t="s">
        <v>32</v>
      </c>
      <c r="G918" s="54" t="s">
        <v>180</v>
      </c>
      <c r="H918">
        <v>2</v>
      </c>
      <c r="I918" s="1">
        <v>-1</v>
      </c>
      <c r="J918" s="1">
        <v>2.9253966974962964E-2</v>
      </c>
      <c r="K918" s="1">
        <v>1.0593637285336981</v>
      </c>
    </row>
    <row r="919" spans="4:11" x14ac:dyDescent="0.25">
      <c r="D919" t="s">
        <v>172</v>
      </c>
      <c r="E919" t="s">
        <v>2</v>
      </c>
      <c r="F919" t="s">
        <v>35</v>
      </c>
      <c r="G919" s="54" t="s">
        <v>180</v>
      </c>
      <c r="H919">
        <v>2</v>
      </c>
      <c r="I919" s="1">
        <v>-1</v>
      </c>
      <c r="J919" s="1">
        <v>-0.17032675865766578</v>
      </c>
      <c r="K919" s="1">
        <v>0.68835768739949521</v>
      </c>
    </row>
    <row r="920" spans="4:11" ht="15" customHeight="1" x14ac:dyDescent="0.25">
      <c r="D920" t="s">
        <v>172</v>
      </c>
      <c r="E920" t="s">
        <v>4</v>
      </c>
      <c r="F920" t="s">
        <v>40</v>
      </c>
      <c r="G920" s="54" t="s">
        <v>179</v>
      </c>
      <c r="H920">
        <v>2</v>
      </c>
      <c r="I920" s="1">
        <v>1</v>
      </c>
      <c r="J920" s="1">
        <v>0.25192320339263574</v>
      </c>
      <c r="K920" s="1">
        <v>0.55961889362233586</v>
      </c>
    </row>
    <row r="921" spans="4:11" x14ac:dyDescent="0.25">
      <c r="D921" t="s">
        <v>172</v>
      </c>
      <c r="E921" t="s">
        <v>12</v>
      </c>
      <c r="F921" t="s">
        <v>27</v>
      </c>
      <c r="G921" s="54" t="s">
        <v>177</v>
      </c>
      <c r="H921">
        <v>3</v>
      </c>
      <c r="I921" s="1">
        <v>3</v>
      </c>
      <c r="J921" s="1">
        <v>-0.63862008750200516</v>
      </c>
      <c r="K921" s="1">
        <v>13.2395561411731</v>
      </c>
    </row>
    <row r="922" spans="4:11" ht="15" customHeight="1" x14ac:dyDescent="0.25">
      <c r="D922" t="s">
        <v>172</v>
      </c>
      <c r="E922" t="s">
        <v>20</v>
      </c>
      <c r="F922" t="s">
        <v>36</v>
      </c>
      <c r="G922" s="54" t="s">
        <v>177</v>
      </c>
      <c r="H922">
        <v>4</v>
      </c>
      <c r="I922" s="1">
        <v>4</v>
      </c>
      <c r="J922" s="1">
        <v>0.29905709361965194</v>
      </c>
      <c r="K922" s="1">
        <v>13.696978396287017</v>
      </c>
    </row>
    <row r="923" spans="4:11" x14ac:dyDescent="0.25">
      <c r="D923" t="s">
        <v>172</v>
      </c>
      <c r="E923" t="s">
        <v>22</v>
      </c>
      <c r="F923" t="s">
        <v>21</v>
      </c>
      <c r="G923" s="54" t="s">
        <v>183</v>
      </c>
      <c r="H923">
        <v>4</v>
      </c>
      <c r="I923" s="1">
        <v>-1</v>
      </c>
      <c r="J923" s="1">
        <v>0.3440998548777543</v>
      </c>
      <c r="K923" s="1">
        <v>1.8066044198824001</v>
      </c>
    </row>
    <row r="924" spans="4:11" ht="15" customHeight="1" x14ac:dyDescent="0.25">
      <c r="D924" t="s">
        <v>172</v>
      </c>
      <c r="E924" t="s">
        <v>33</v>
      </c>
      <c r="F924" t="s">
        <v>10</v>
      </c>
      <c r="G924" s="54" t="s">
        <v>178</v>
      </c>
      <c r="H924">
        <v>4</v>
      </c>
      <c r="I924" s="1">
        <v>2</v>
      </c>
      <c r="J924" s="1">
        <v>0.18490175059454828</v>
      </c>
      <c r="K924" s="1">
        <v>3.2945816549947353</v>
      </c>
    </row>
    <row r="925" spans="4:11" x14ac:dyDescent="0.25">
      <c r="D925" t="s">
        <v>173</v>
      </c>
      <c r="E925" t="s">
        <v>8</v>
      </c>
      <c r="F925" t="s">
        <v>14</v>
      </c>
      <c r="G925" s="54" t="s">
        <v>180</v>
      </c>
      <c r="H925">
        <v>5</v>
      </c>
      <c r="I925" s="1">
        <v>2</v>
      </c>
      <c r="J925" s="1">
        <v>1.3490796550970572</v>
      </c>
      <c r="K925" s="1">
        <v>0.42369729540856604</v>
      </c>
    </row>
    <row r="926" spans="4:11" ht="15" customHeight="1" x14ac:dyDescent="0.25">
      <c r="D926" t="s">
        <v>173</v>
      </c>
      <c r="E926" t="s">
        <v>13</v>
      </c>
      <c r="F926" t="s">
        <v>19</v>
      </c>
      <c r="G926" s="54" t="s">
        <v>182</v>
      </c>
      <c r="H926">
        <v>3</v>
      </c>
      <c r="I926" s="1">
        <v>-1</v>
      </c>
      <c r="J926" s="1">
        <v>0.43030189478585612</v>
      </c>
      <c r="K926" s="1">
        <v>2.0457635102280101</v>
      </c>
    </row>
    <row r="927" spans="4:11" x14ac:dyDescent="0.25">
      <c r="D927" t="s">
        <v>173</v>
      </c>
      <c r="E927" t="s">
        <v>27</v>
      </c>
      <c r="F927" t="s">
        <v>40</v>
      </c>
      <c r="G927" s="54">
        <v>5</v>
      </c>
      <c r="H927">
        <v>3</v>
      </c>
      <c r="I927" s="1">
        <v>-2</v>
      </c>
      <c r="J927" s="1">
        <v>0.9465869679791723</v>
      </c>
      <c r="K927" s="1">
        <v>8.6823747598646914</v>
      </c>
    </row>
    <row r="928" spans="4:11" ht="15" customHeight="1" x14ac:dyDescent="0.25">
      <c r="D928" t="s">
        <v>173</v>
      </c>
      <c r="E928" t="s">
        <v>35</v>
      </c>
      <c r="F928" t="s">
        <v>7</v>
      </c>
      <c r="G928" s="54" t="s">
        <v>178</v>
      </c>
      <c r="H928">
        <v>0</v>
      </c>
      <c r="I928" s="1">
        <v>-2</v>
      </c>
      <c r="J928" s="1">
        <v>0.48495468120538021</v>
      </c>
      <c r="K928" s="1">
        <v>6.1749997676445325</v>
      </c>
    </row>
    <row r="929" spans="4:11" x14ac:dyDescent="0.25">
      <c r="D929" t="s">
        <v>173</v>
      </c>
      <c r="E929" t="s">
        <v>176</v>
      </c>
      <c r="F929" t="s">
        <v>2</v>
      </c>
      <c r="G929" s="54" t="s">
        <v>179</v>
      </c>
      <c r="H929">
        <v>4</v>
      </c>
      <c r="I929" s="1">
        <v>3</v>
      </c>
      <c r="J929" s="1">
        <v>1.4607383053892136</v>
      </c>
      <c r="K929" s="1">
        <v>2.3693265644960699</v>
      </c>
    </row>
    <row r="930" spans="4:11" ht="15" customHeight="1" x14ac:dyDescent="0.25">
      <c r="D930" t="s">
        <v>173</v>
      </c>
      <c r="E930" t="s">
        <v>0</v>
      </c>
      <c r="F930" t="s">
        <v>229</v>
      </c>
      <c r="G930" s="54" t="s">
        <v>177</v>
      </c>
      <c r="H930">
        <v>4</v>
      </c>
      <c r="I930" s="1">
        <v>4</v>
      </c>
      <c r="J930" s="1">
        <v>1.2027629697274733</v>
      </c>
      <c r="K930" s="1">
        <v>7.8245350035278642</v>
      </c>
    </row>
    <row r="931" spans="4:11" x14ac:dyDescent="0.25">
      <c r="D931" t="s">
        <v>173</v>
      </c>
      <c r="E931" t="s">
        <v>37</v>
      </c>
      <c r="F931" t="s">
        <v>1</v>
      </c>
      <c r="G931" s="54" t="s">
        <v>178</v>
      </c>
      <c r="H931">
        <v>4</v>
      </c>
      <c r="I931" s="1">
        <v>2</v>
      </c>
      <c r="J931" s="1">
        <v>-0.67873644093270968</v>
      </c>
      <c r="K931" s="1">
        <v>7.1756289199808405</v>
      </c>
    </row>
    <row r="932" spans="4:11" ht="15" customHeight="1" x14ac:dyDescent="0.25">
      <c r="D932" t="s">
        <v>173</v>
      </c>
      <c r="E932" t="s">
        <v>23</v>
      </c>
      <c r="F932" t="s">
        <v>22</v>
      </c>
      <c r="G932" s="54" t="s">
        <v>180</v>
      </c>
      <c r="H932">
        <v>1</v>
      </c>
      <c r="I932" s="1">
        <v>-2</v>
      </c>
      <c r="J932" s="1">
        <v>-0.18431212482441595</v>
      </c>
      <c r="K932" s="1">
        <v>3.2967224600596272</v>
      </c>
    </row>
    <row r="933" spans="4:11" x14ac:dyDescent="0.25">
      <c r="D933" t="s">
        <v>173</v>
      </c>
      <c r="E933" t="s">
        <v>38</v>
      </c>
      <c r="F933" t="s">
        <v>24</v>
      </c>
      <c r="G933" s="54" t="s">
        <v>178</v>
      </c>
      <c r="H933">
        <v>1</v>
      </c>
      <c r="I933" s="1">
        <v>-1</v>
      </c>
      <c r="J933" s="1">
        <v>-1.3544272525248857</v>
      </c>
      <c r="K933" s="1">
        <v>0.12561867733233911</v>
      </c>
    </row>
    <row r="934" spans="4:11" ht="15" customHeight="1" x14ac:dyDescent="0.25">
      <c r="D934" t="s">
        <v>173</v>
      </c>
      <c r="E934" t="s">
        <v>18</v>
      </c>
      <c r="F934" t="s">
        <v>32</v>
      </c>
      <c r="G934" s="54" t="s">
        <v>182</v>
      </c>
      <c r="H934">
        <v>2</v>
      </c>
      <c r="I934" s="1">
        <v>-2</v>
      </c>
      <c r="J934" s="1">
        <v>-7.5396761201560025E-2</v>
      </c>
      <c r="K934" s="1">
        <v>3.7040976267934451</v>
      </c>
    </row>
    <row r="935" spans="4:11" x14ac:dyDescent="0.25">
      <c r="D935" t="s">
        <v>270</v>
      </c>
      <c r="E935" t="s">
        <v>33</v>
      </c>
      <c r="F935" t="s">
        <v>25</v>
      </c>
      <c r="G935" s="54">
        <v>2</v>
      </c>
      <c r="H935">
        <v>5</v>
      </c>
      <c r="I935" s="1">
        <v>3</v>
      </c>
      <c r="J935" s="1">
        <v>0.37303199542085963</v>
      </c>
      <c r="K935" s="1">
        <v>6.90096089708251</v>
      </c>
    </row>
    <row r="936" spans="4:11" ht="15" customHeight="1" x14ac:dyDescent="0.25">
      <c r="D936" t="s">
        <v>270</v>
      </c>
      <c r="E936" t="s">
        <v>36</v>
      </c>
      <c r="F936" t="s">
        <v>14</v>
      </c>
      <c r="G936" s="54">
        <v>3</v>
      </c>
      <c r="H936">
        <v>4</v>
      </c>
      <c r="I936" s="1">
        <v>1</v>
      </c>
      <c r="J936" s="1">
        <v>-0.54426336680042198</v>
      </c>
      <c r="K936" s="1">
        <v>2.3847493460417746</v>
      </c>
    </row>
    <row r="937" spans="4:11" x14ac:dyDescent="0.25">
      <c r="D937" t="s">
        <v>270</v>
      </c>
      <c r="E937" t="s">
        <v>7</v>
      </c>
      <c r="F937" t="s">
        <v>11</v>
      </c>
      <c r="G937" s="54">
        <v>3</v>
      </c>
      <c r="H937">
        <v>5</v>
      </c>
      <c r="I937" s="1">
        <v>2</v>
      </c>
      <c r="J937" s="1">
        <v>0.53132436430128394</v>
      </c>
      <c r="K937" s="1">
        <v>2.1570081228950277</v>
      </c>
    </row>
    <row r="938" spans="4:11" ht="15" customHeight="1" x14ac:dyDescent="0.25">
      <c r="D938" t="s">
        <v>270</v>
      </c>
      <c r="E938" t="s">
        <v>0</v>
      </c>
      <c r="F938" t="s">
        <v>12</v>
      </c>
      <c r="G938" s="54">
        <v>0</v>
      </c>
      <c r="H938">
        <v>4</v>
      </c>
      <c r="I938" s="1">
        <v>4</v>
      </c>
      <c r="J938" s="1">
        <v>1.2899590235888212</v>
      </c>
      <c r="K938" s="1">
        <v>7.344322093827655</v>
      </c>
    </row>
    <row r="939" spans="4:11" x14ac:dyDescent="0.25">
      <c r="D939" t="s">
        <v>270</v>
      </c>
      <c r="E939" t="s">
        <v>10</v>
      </c>
      <c r="F939" t="s">
        <v>21</v>
      </c>
      <c r="G939" s="54">
        <v>3</v>
      </c>
      <c r="H939">
        <v>1</v>
      </c>
      <c r="I939" s="1">
        <v>-2</v>
      </c>
      <c r="J939" s="1">
        <v>0.21200668942053369</v>
      </c>
      <c r="K939" s="1">
        <v>4.8929735940411891</v>
      </c>
    </row>
    <row r="940" spans="4:11" ht="15" customHeight="1" x14ac:dyDescent="0.25">
      <c r="D940" t="s">
        <v>270</v>
      </c>
      <c r="E940" t="s">
        <v>38</v>
      </c>
      <c r="F940" t="s">
        <v>3</v>
      </c>
      <c r="G940" s="54">
        <v>5</v>
      </c>
      <c r="H940">
        <v>6</v>
      </c>
      <c r="I940" s="1">
        <v>1</v>
      </c>
      <c r="J940" s="1">
        <v>-0.14933158025350224</v>
      </c>
      <c r="K940" s="1">
        <v>1.3209630813680127</v>
      </c>
    </row>
    <row r="941" spans="4:11" x14ac:dyDescent="0.25">
      <c r="D941" t="s">
        <v>271</v>
      </c>
      <c r="E941" t="s">
        <v>19</v>
      </c>
      <c r="F941" t="s">
        <v>37</v>
      </c>
      <c r="G941" s="54">
        <v>1</v>
      </c>
      <c r="H941">
        <v>4</v>
      </c>
      <c r="I941" s="1">
        <v>3</v>
      </c>
      <c r="J941" s="1">
        <v>0.61201583428571382</v>
      </c>
      <c r="K941" s="1">
        <v>5.7024683757021553</v>
      </c>
    </row>
    <row r="942" spans="4:11" ht="15" customHeight="1" x14ac:dyDescent="0.25">
      <c r="D942" t="s">
        <v>271</v>
      </c>
      <c r="E942" t="s">
        <v>27</v>
      </c>
      <c r="F942" t="s">
        <v>20</v>
      </c>
      <c r="G942" s="54">
        <v>2</v>
      </c>
      <c r="H942">
        <v>5</v>
      </c>
      <c r="I942" s="1">
        <v>3</v>
      </c>
      <c r="J942" s="1">
        <v>1.1957618010280129</v>
      </c>
      <c r="K942" s="1">
        <v>3.2552754786296796</v>
      </c>
    </row>
    <row r="943" spans="4:11" x14ac:dyDescent="0.25">
      <c r="D943" t="s">
        <v>271</v>
      </c>
      <c r="E943" t="s">
        <v>229</v>
      </c>
      <c r="F943" t="s">
        <v>32</v>
      </c>
      <c r="G943" s="54">
        <v>0</v>
      </c>
      <c r="H943">
        <v>4</v>
      </c>
      <c r="I943" s="1">
        <v>4</v>
      </c>
      <c r="J943" s="1">
        <v>-0.18755282369967574</v>
      </c>
      <c r="K943" s="1">
        <v>17.535598651275127</v>
      </c>
    </row>
    <row r="944" spans="4:11" ht="15" customHeight="1" x14ac:dyDescent="0.25">
      <c r="D944" t="s">
        <v>272</v>
      </c>
      <c r="E944" t="s">
        <v>19</v>
      </c>
      <c r="F944" t="s">
        <v>35</v>
      </c>
      <c r="G944" s="54">
        <v>1</v>
      </c>
      <c r="H944">
        <v>3</v>
      </c>
      <c r="I944" s="1">
        <v>2</v>
      </c>
      <c r="J944" s="1">
        <v>-0.48403530075886181</v>
      </c>
      <c r="K944" s="1">
        <v>6.170431375416169</v>
      </c>
    </row>
    <row r="945" spans="4:11" x14ac:dyDescent="0.25">
      <c r="D945" t="s">
        <v>272</v>
      </c>
      <c r="E945" t="s">
        <v>4</v>
      </c>
      <c r="F945" t="s">
        <v>1</v>
      </c>
      <c r="G945" s="54">
        <v>3</v>
      </c>
      <c r="H945">
        <v>2</v>
      </c>
      <c r="I945" s="1">
        <v>-1</v>
      </c>
      <c r="J945" s="1">
        <v>-0.24126572410959568</v>
      </c>
      <c r="K945" s="1">
        <v>0.57567770141093622</v>
      </c>
    </row>
    <row r="946" spans="4:11" ht="15" customHeight="1" x14ac:dyDescent="0.25">
      <c r="D946" t="s">
        <v>272</v>
      </c>
      <c r="E946" t="s">
        <v>12</v>
      </c>
      <c r="F946" t="s">
        <v>7</v>
      </c>
      <c r="G946" s="54">
        <v>5</v>
      </c>
      <c r="H946">
        <v>3</v>
      </c>
      <c r="I946" s="1">
        <v>-2</v>
      </c>
      <c r="J946" s="1">
        <v>-0.36238255055948798</v>
      </c>
      <c r="K946" s="1">
        <v>2.6817909107120479</v>
      </c>
    </row>
    <row r="947" spans="4:11" x14ac:dyDescent="0.25">
      <c r="D947" t="s">
        <v>272</v>
      </c>
      <c r="E947" t="s">
        <v>8</v>
      </c>
      <c r="F947" t="s">
        <v>36</v>
      </c>
      <c r="G947" s="54">
        <v>0</v>
      </c>
      <c r="H947">
        <v>3</v>
      </c>
      <c r="I947" s="1">
        <v>3</v>
      </c>
      <c r="J947" s="1">
        <v>2.1381435125254171</v>
      </c>
      <c r="K947" s="1">
        <v>0.74279660500202582</v>
      </c>
    </row>
    <row r="948" spans="4:11" ht="15" customHeight="1" x14ac:dyDescent="0.25">
      <c r="D948" t="s">
        <v>272</v>
      </c>
      <c r="E948" t="s">
        <v>0</v>
      </c>
      <c r="F948" t="s">
        <v>14</v>
      </c>
      <c r="G948" s="54">
        <v>3</v>
      </c>
      <c r="H948">
        <v>2</v>
      </c>
      <c r="I948" s="1">
        <v>-1</v>
      </c>
      <c r="J948" s="1">
        <v>0.62269250142230703</v>
      </c>
      <c r="K948" s="1">
        <v>2.6331309541721839</v>
      </c>
    </row>
    <row r="949" spans="4:11" x14ac:dyDescent="0.25">
      <c r="D949" t="s">
        <v>272</v>
      </c>
      <c r="E949" t="s">
        <v>18</v>
      </c>
      <c r="F949" t="s">
        <v>23</v>
      </c>
      <c r="G949" s="54">
        <v>2</v>
      </c>
      <c r="H949">
        <v>3</v>
      </c>
      <c r="I949" s="1">
        <v>1</v>
      </c>
      <c r="J949" s="1">
        <v>0.39370999137987894</v>
      </c>
      <c r="K949" s="1">
        <v>0.36758757455258645</v>
      </c>
    </row>
    <row r="950" spans="4:11" ht="15" customHeight="1" x14ac:dyDescent="0.25">
      <c r="D950" t="s">
        <v>272</v>
      </c>
      <c r="E950" t="s">
        <v>40</v>
      </c>
      <c r="F950" t="s">
        <v>21</v>
      </c>
      <c r="G950" s="54">
        <v>2</v>
      </c>
      <c r="H950">
        <v>3</v>
      </c>
      <c r="I950" s="1">
        <v>1</v>
      </c>
      <c r="J950" s="1">
        <v>4.6178724596586562E-2</v>
      </c>
      <c r="K950" s="1">
        <v>0.90977502541219424</v>
      </c>
    </row>
    <row r="951" spans="4:11" x14ac:dyDescent="0.25">
      <c r="D951" t="s">
        <v>272</v>
      </c>
      <c r="E951" t="s">
        <v>10</v>
      </c>
      <c r="F951" t="s">
        <v>176</v>
      </c>
      <c r="G951" s="54">
        <v>4</v>
      </c>
      <c r="H951">
        <v>1</v>
      </c>
      <c r="I951" s="1">
        <v>-3</v>
      </c>
      <c r="J951" s="1">
        <v>-1.0558852410099462</v>
      </c>
      <c r="K951" s="1">
        <v>3.7795821961229552</v>
      </c>
    </row>
    <row r="952" spans="4:11" ht="18" customHeight="1" x14ac:dyDescent="0.25">
      <c r="D952" t="s">
        <v>272</v>
      </c>
      <c r="E952" t="s">
        <v>33</v>
      </c>
      <c r="F952" t="s">
        <v>24</v>
      </c>
      <c r="G952" s="54">
        <v>5</v>
      </c>
      <c r="H952">
        <v>2</v>
      </c>
      <c r="I952" s="1">
        <v>-3</v>
      </c>
      <c r="J952" s="1">
        <v>-0.91963718214989854</v>
      </c>
      <c r="K952" s="1">
        <v>4.3279094538932146</v>
      </c>
    </row>
    <row r="953" spans="4:11" x14ac:dyDescent="0.25">
      <c r="D953" t="s">
        <v>272</v>
      </c>
      <c r="E953" t="s">
        <v>32</v>
      </c>
      <c r="F953" t="s">
        <v>3</v>
      </c>
      <c r="G953" s="54">
        <v>6</v>
      </c>
      <c r="H953">
        <v>2</v>
      </c>
      <c r="I953" s="1">
        <v>-4</v>
      </c>
      <c r="J953" s="1">
        <v>0.5174445327411803</v>
      </c>
      <c r="K953" s="1">
        <v>20.407305106393181</v>
      </c>
    </row>
    <row r="954" spans="4:11" ht="15" customHeight="1" x14ac:dyDescent="0.25">
      <c r="D954" t="s">
        <v>273</v>
      </c>
      <c r="E954" t="s">
        <v>18</v>
      </c>
      <c r="F954" t="s">
        <v>25</v>
      </c>
      <c r="G954" s="54">
        <v>3</v>
      </c>
      <c r="H954">
        <v>1</v>
      </c>
      <c r="I954" s="1">
        <v>-2</v>
      </c>
      <c r="J954" s="1">
        <v>0.284820786211057</v>
      </c>
      <c r="K954" s="1">
        <v>5.2204060251021129</v>
      </c>
    </row>
    <row r="955" spans="4:11" x14ac:dyDescent="0.25">
      <c r="D955" t="s">
        <v>273</v>
      </c>
      <c r="E955" t="s">
        <v>37</v>
      </c>
      <c r="F955" t="s">
        <v>13</v>
      </c>
      <c r="G955" s="54">
        <v>1</v>
      </c>
      <c r="H955">
        <v>2</v>
      </c>
      <c r="I955" s="1">
        <v>1</v>
      </c>
      <c r="J955" s="1">
        <v>-0.30791625718775606</v>
      </c>
      <c r="K955" s="1">
        <v>1.7106449358160285</v>
      </c>
    </row>
    <row r="956" spans="4:11" ht="15" customHeight="1" x14ac:dyDescent="0.25">
      <c r="D956" t="s">
        <v>273</v>
      </c>
      <c r="E956" t="s">
        <v>11</v>
      </c>
      <c r="F956" t="s">
        <v>22</v>
      </c>
      <c r="G956" s="54">
        <v>1</v>
      </c>
      <c r="H956">
        <v>3</v>
      </c>
      <c r="I956" s="1">
        <v>2</v>
      </c>
      <c r="J956" s="1">
        <v>8.590442708214141E-2</v>
      </c>
      <c r="K956" s="1">
        <v>3.6637618622637453</v>
      </c>
    </row>
    <row r="957" spans="4:11" x14ac:dyDescent="0.25">
      <c r="D957" t="s">
        <v>273</v>
      </c>
      <c r="E957" t="s">
        <v>229</v>
      </c>
      <c r="F957" t="s">
        <v>10</v>
      </c>
      <c r="G957" s="54">
        <v>1</v>
      </c>
      <c r="H957">
        <v>3</v>
      </c>
      <c r="I957" s="1">
        <v>2</v>
      </c>
      <c r="J957" s="1">
        <v>-1.5465521113370073E-2</v>
      </c>
      <c r="K957" s="1">
        <v>4.0621012667967884</v>
      </c>
    </row>
    <row r="958" spans="4:11" ht="18" customHeight="1" x14ac:dyDescent="0.25">
      <c r="D958" t="s">
        <v>274</v>
      </c>
      <c r="E958" t="s">
        <v>4</v>
      </c>
      <c r="F958" t="s">
        <v>2</v>
      </c>
      <c r="G958" s="54">
        <v>4</v>
      </c>
      <c r="H958">
        <v>3</v>
      </c>
      <c r="I958" s="1">
        <v>-1</v>
      </c>
      <c r="J958" s="1">
        <v>1.3473216920800724E-3</v>
      </c>
      <c r="K958" s="1">
        <v>1.0026964586599021</v>
      </c>
    </row>
    <row r="959" spans="4:11" x14ac:dyDescent="0.25">
      <c r="D959" t="s">
        <v>274</v>
      </c>
      <c r="E959" t="s">
        <v>38</v>
      </c>
      <c r="F959" t="s">
        <v>1</v>
      </c>
      <c r="G959" s="54">
        <v>1</v>
      </c>
      <c r="H959">
        <v>3</v>
      </c>
      <c r="I959" s="1">
        <v>2</v>
      </c>
      <c r="J959" s="1">
        <v>-0.5772492824587232</v>
      </c>
      <c r="K959" s="1">
        <v>6.6422138639340034</v>
      </c>
    </row>
    <row r="960" spans="4:11" ht="15" customHeight="1" x14ac:dyDescent="0.25">
      <c r="D960" t="s">
        <v>274</v>
      </c>
      <c r="E960" t="s">
        <v>23</v>
      </c>
      <c r="F960" t="s">
        <v>12</v>
      </c>
      <c r="G960" s="54">
        <v>2</v>
      </c>
      <c r="H960">
        <v>1</v>
      </c>
      <c r="I960" s="1">
        <v>-1</v>
      </c>
      <c r="J960" s="1">
        <v>0.29524310623546057</v>
      </c>
      <c r="K960" s="1">
        <v>1.6776547042504846</v>
      </c>
    </row>
    <row r="961" spans="4:11" x14ac:dyDescent="0.25">
      <c r="D961" t="s">
        <v>274</v>
      </c>
      <c r="E961" t="s">
        <v>0</v>
      </c>
      <c r="F961" t="s">
        <v>36</v>
      </c>
      <c r="G961" s="54">
        <v>2</v>
      </c>
      <c r="H961">
        <v>4</v>
      </c>
      <c r="I961" s="1">
        <v>2</v>
      </c>
      <c r="J961" s="1">
        <v>1.411756358850667</v>
      </c>
      <c r="K961" s="1">
        <v>0.34603058135262527</v>
      </c>
    </row>
    <row r="962" spans="4:11" ht="15" customHeight="1" x14ac:dyDescent="0.25">
      <c r="D962" t="s">
        <v>274</v>
      </c>
      <c r="E962" t="s">
        <v>21</v>
      </c>
      <c r="F962" t="s">
        <v>14</v>
      </c>
      <c r="G962" s="54">
        <v>4</v>
      </c>
      <c r="H962">
        <v>3</v>
      </c>
      <c r="I962" s="1">
        <v>-1</v>
      </c>
      <c r="J962" s="1">
        <v>-4.221016472851602E-2</v>
      </c>
      <c r="K962" s="1">
        <v>0.91736136854937644</v>
      </c>
    </row>
    <row r="963" spans="4:11" x14ac:dyDescent="0.25">
      <c r="D963" t="s">
        <v>274</v>
      </c>
      <c r="E963" t="s">
        <v>40</v>
      </c>
      <c r="F963" t="s">
        <v>19</v>
      </c>
      <c r="G963" s="54">
        <v>4</v>
      </c>
      <c r="H963">
        <v>3</v>
      </c>
      <c r="I963" s="1">
        <v>-1</v>
      </c>
      <c r="J963" s="1">
        <v>0.30793315102857832</v>
      </c>
      <c r="K963" s="1">
        <v>1.7106891275595459</v>
      </c>
    </row>
    <row r="964" spans="4:11" ht="15" customHeight="1" x14ac:dyDescent="0.25">
      <c r="D964" t="s">
        <v>274</v>
      </c>
      <c r="E964" t="s">
        <v>3</v>
      </c>
      <c r="F964" t="s">
        <v>176</v>
      </c>
      <c r="G964" s="54">
        <v>2</v>
      </c>
      <c r="H964">
        <v>3</v>
      </c>
      <c r="I964" s="1">
        <v>1</v>
      </c>
      <c r="J964" s="1">
        <v>-1.1564419805368829</v>
      </c>
      <c r="K964" s="1">
        <v>4.650242015421834</v>
      </c>
    </row>
    <row r="965" spans="4:11" x14ac:dyDescent="0.25">
      <c r="D965" t="s">
        <v>274</v>
      </c>
      <c r="E965" t="s">
        <v>229</v>
      </c>
      <c r="F965" t="s">
        <v>33</v>
      </c>
      <c r="G965" s="54">
        <v>3</v>
      </c>
      <c r="H965">
        <v>4</v>
      </c>
      <c r="I965" s="1">
        <v>1</v>
      </c>
      <c r="J965" s="1">
        <v>4.4433218920019613E-2</v>
      </c>
      <c r="K965" s="1">
        <v>0.91310787310355512</v>
      </c>
    </row>
    <row r="966" spans="4:11" ht="15" customHeight="1" x14ac:dyDescent="0.25">
      <c r="D966" t="s">
        <v>275</v>
      </c>
      <c r="E966" t="s">
        <v>7</v>
      </c>
      <c r="F966" t="s">
        <v>35</v>
      </c>
      <c r="G966" s="54">
        <v>3</v>
      </c>
      <c r="H966">
        <v>2</v>
      </c>
      <c r="I966" s="1">
        <v>-1</v>
      </c>
      <c r="J966" s="1">
        <v>4.6463000504957108E-3</v>
      </c>
      <c r="K966" s="1">
        <v>1.0093141882051506</v>
      </c>
    </row>
    <row r="967" spans="4:11" x14ac:dyDescent="0.25">
      <c r="D967" t="s">
        <v>275</v>
      </c>
      <c r="E967" t="s">
        <v>23</v>
      </c>
      <c r="F967" t="s">
        <v>27</v>
      </c>
      <c r="G967" s="54">
        <v>3</v>
      </c>
      <c r="H967">
        <v>1</v>
      </c>
      <c r="I967" s="1">
        <v>-2</v>
      </c>
      <c r="J967" s="1">
        <v>-0.58817747189448255</v>
      </c>
      <c r="K967" s="1">
        <v>1.9932428508662545</v>
      </c>
    </row>
    <row r="968" spans="4:11" ht="15" customHeight="1" x14ac:dyDescent="0.25">
      <c r="D968" t="s">
        <v>275</v>
      </c>
      <c r="E968" t="s">
        <v>8</v>
      </c>
      <c r="F968" t="s">
        <v>18</v>
      </c>
      <c r="G968" s="54">
        <v>2</v>
      </c>
      <c r="H968">
        <v>3</v>
      </c>
      <c r="I968" s="1">
        <v>1</v>
      </c>
      <c r="J968" s="1">
        <v>1.8169940609041078</v>
      </c>
      <c r="K968" s="1">
        <v>0.66747929555258489</v>
      </c>
    </row>
    <row r="969" spans="4:11" x14ac:dyDescent="0.25">
      <c r="D969" t="s">
        <v>275</v>
      </c>
      <c r="E969" t="s">
        <v>4</v>
      </c>
      <c r="F969" t="s">
        <v>13</v>
      </c>
      <c r="G969" s="54">
        <v>5</v>
      </c>
      <c r="H969">
        <v>2</v>
      </c>
      <c r="I969" s="1">
        <v>-3</v>
      </c>
      <c r="J969" s="1">
        <v>0.12955445963535794</v>
      </c>
      <c r="K969" s="1">
        <v>9.7941111158235579</v>
      </c>
    </row>
    <row r="970" spans="4:11" ht="15" customHeight="1" x14ac:dyDescent="0.25">
      <c r="D970" t="s">
        <v>275</v>
      </c>
      <c r="E970" t="s">
        <v>24</v>
      </c>
      <c r="F970" t="s">
        <v>20</v>
      </c>
      <c r="G970" s="54">
        <v>1</v>
      </c>
      <c r="H970">
        <v>2</v>
      </c>
      <c r="I970" s="1">
        <v>1</v>
      </c>
      <c r="J970" s="1">
        <v>1.7643422212451725</v>
      </c>
      <c r="K970" s="1">
        <v>0.58421903117800422</v>
      </c>
    </row>
    <row r="971" spans="4:11" x14ac:dyDescent="0.25">
      <c r="D971" t="s">
        <v>275</v>
      </c>
      <c r="E971" t="s">
        <v>11</v>
      </c>
      <c r="F971" t="s">
        <v>10</v>
      </c>
      <c r="G971" s="54">
        <v>5</v>
      </c>
      <c r="H971">
        <v>2</v>
      </c>
      <c r="I971" s="1">
        <v>-3</v>
      </c>
      <c r="J971" s="1">
        <v>0.21799759253936202</v>
      </c>
      <c r="K971" s="1">
        <v>10.35550850558913</v>
      </c>
    </row>
    <row r="972" spans="4:11" ht="15" customHeight="1" x14ac:dyDescent="0.25">
      <c r="D972" t="s">
        <v>276</v>
      </c>
      <c r="E972" t="s">
        <v>1</v>
      </c>
      <c r="F972" t="s">
        <v>2</v>
      </c>
      <c r="G972" s="54">
        <v>2</v>
      </c>
      <c r="H972">
        <v>3</v>
      </c>
      <c r="I972" s="1">
        <v>1</v>
      </c>
      <c r="J972" s="1">
        <v>0.48741353642961371</v>
      </c>
      <c r="K972" s="1">
        <v>0.26274488263559492</v>
      </c>
    </row>
    <row r="973" spans="4:11" x14ac:dyDescent="0.25">
      <c r="D973" t="s">
        <v>276</v>
      </c>
      <c r="E973" t="s">
        <v>38</v>
      </c>
      <c r="F973" t="s">
        <v>0</v>
      </c>
      <c r="G973" s="54">
        <v>6</v>
      </c>
      <c r="H973">
        <v>1</v>
      </c>
      <c r="I973" s="1">
        <v>-5</v>
      </c>
      <c r="J973" s="1">
        <v>-0.94758478713866623</v>
      </c>
      <c r="K973" s="1">
        <v>16.422069057429969</v>
      </c>
    </row>
    <row r="974" spans="4:11" ht="15" customHeight="1" x14ac:dyDescent="0.25">
      <c r="D974" t="s">
        <v>276</v>
      </c>
      <c r="E974" t="s">
        <v>21</v>
      </c>
      <c r="F974" t="s">
        <v>36</v>
      </c>
      <c r="G974" s="54">
        <v>4</v>
      </c>
      <c r="H974">
        <v>5</v>
      </c>
      <c r="I974" s="1">
        <v>1</v>
      </c>
      <c r="J974" s="1">
        <v>0.74685369269984392</v>
      </c>
      <c r="K974" s="1">
        <v>6.4083052899705062E-2</v>
      </c>
    </row>
    <row r="975" spans="4:11" x14ac:dyDescent="0.25">
      <c r="D975" t="s">
        <v>276</v>
      </c>
      <c r="E975" t="s">
        <v>40</v>
      </c>
      <c r="F975" t="s">
        <v>14</v>
      </c>
      <c r="G975" s="54">
        <v>3</v>
      </c>
      <c r="H975">
        <v>4</v>
      </c>
      <c r="I975" s="1">
        <v>1</v>
      </c>
      <c r="J975" s="1">
        <v>-0.24083193075986742</v>
      </c>
      <c r="K975" s="1">
        <v>1.5396638803932605</v>
      </c>
    </row>
    <row r="976" spans="4:11" ht="15" customHeight="1" x14ac:dyDescent="0.25">
      <c r="D976" t="s">
        <v>276</v>
      </c>
      <c r="E976" t="s">
        <v>8</v>
      </c>
      <c r="F976" t="s">
        <v>12</v>
      </c>
      <c r="G976" s="54">
        <v>1</v>
      </c>
      <c r="H976">
        <v>6</v>
      </c>
      <c r="I976" s="1">
        <v>5</v>
      </c>
      <c r="J976" s="1">
        <v>2.0163461772635713</v>
      </c>
      <c r="K976" s="1">
        <v>8.9021901339297038</v>
      </c>
    </row>
    <row r="977" spans="4:11" x14ac:dyDescent="0.25">
      <c r="D977" t="s">
        <v>276</v>
      </c>
      <c r="E977" t="s">
        <v>22</v>
      </c>
      <c r="F977" t="s">
        <v>7</v>
      </c>
      <c r="G977" s="54">
        <v>4</v>
      </c>
      <c r="H977">
        <v>0</v>
      </c>
      <c r="I977" s="1">
        <v>-4</v>
      </c>
      <c r="J977" s="1">
        <v>0.11717268050038854</v>
      </c>
      <c r="K977" s="1">
        <v>16.951110881058753</v>
      </c>
    </row>
    <row r="978" spans="4:11" ht="15" customHeight="1" x14ac:dyDescent="0.25">
      <c r="D978" t="s">
        <v>276</v>
      </c>
      <c r="E978" t="s">
        <v>25</v>
      </c>
      <c r="F978" t="s">
        <v>19</v>
      </c>
      <c r="G978" s="54">
        <v>3</v>
      </c>
      <c r="H978">
        <v>1</v>
      </c>
      <c r="I978" s="1">
        <v>-2</v>
      </c>
      <c r="J978" s="1">
        <v>0.28563087102621409</v>
      </c>
      <c r="K978" s="1">
        <v>5.2241084785880503</v>
      </c>
    </row>
    <row r="979" spans="4:11" x14ac:dyDescent="0.25">
      <c r="D979" t="s">
        <v>276</v>
      </c>
      <c r="E979" t="s">
        <v>229</v>
      </c>
      <c r="F979" t="s">
        <v>176</v>
      </c>
      <c r="G979" s="54">
        <v>2</v>
      </c>
      <c r="H979">
        <v>0</v>
      </c>
      <c r="I979" s="1">
        <v>-2</v>
      </c>
      <c r="J979" s="1">
        <v>-1.3161512527512542</v>
      </c>
      <c r="K979" s="1">
        <v>0.46764910911367896</v>
      </c>
    </row>
    <row r="980" spans="4:11" ht="15" customHeight="1" x14ac:dyDescent="0.25">
      <c r="D980" t="s">
        <v>276</v>
      </c>
      <c r="E980" t="s">
        <v>11</v>
      </c>
      <c r="F980" t="s">
        <v>33</v>
      </c>
      <c r="G980" s="54">
        <v>1</v>
      </c>
      <c r="H980">
        <v>0</v>
      </c>
      <c r="I980" s="1">
        <v>-1</v>
      </c>
      <c r="J980" s="1">
        <v>0.2778963325727517</v>
      </c>
      <c r="K980" s="1">
        <v>1.6330190368028887</v>
      </c>
    </row>
    <row r="981" spans="4:11" x14ac:dyDescent="0.25">
      <c r="D981" t="s">
        <v>276</v>
      </c>
      <c r="E981" t="s">
        <v>3</v>
      </c>
      <c r="F981" t="s">
        <v>32</v>
      </c>
      <c r="G981" s="54">
        <v>3</v>
      </c>
      <c r="H981">
        <v>2</v>
      </c>
      <c r="I981" s="1">
        <v>-1</v>
      </c>
      <c r="J981" s="1">
        <v>-2.7843551485304374E-2</v>
      </c>
      <c r="K981" s="1">
        <v>0.94508816038870602</v>
      </c>
    </row>
    <row r="982" spans="4:11" ht="18" customHeight="1" x14ac:dyDescent="0.25">
      <c r="D982" t="s">
        <v>277</v>
      </c>
      <c r="E982" t="s">
        <v>13</v>
      </c>
      <c r="F982" t="s">
        <v>2</v>
      </c>
      <c r="G982" s="54">
        <v>3</v>
      </c>
      <c r="H982">
        <v>5</v>
      </c>
      <c r="I982" s="1">
        <v>2</v>
      </c>
      <c r="J982" s="1">
        <v>0.11659335268466009</v>
      </c>
      <c r="K982" s="1">
        <v>3.547220599151609</v>
      </c>
    </row>
    <row r="983" spans="4:11" x14ac:dyDescent="0.25">
      <c r="D983" t="s">
        <v>277</v>
      </c>
      <c r="E983" t="s">
        <v>24</v>
      </c>
      <c r="F983" t="s">
        <v>27</v>
      </c>
      <c r="G983" s="54">
        <v>4</v>
      </c>
      <c r="H983">
        <v>7</v>
      </c>
      <c r="I983" s="1">
        <v>3</v>
      </c>
      <c r="J983" s="1">
        <v>0.81338091084509756</v>
      </c>
      <c r="K983" s="1">
        <v>4.7813030410566153</v>
      </c>
    </row>
    <row r="984" spans="4:11" ht="15" customHeight="1" x14ac:dyDescent="0.25">
      <c r="D984" t="s">
        <v>277</v>
      </c>
      <c r="E984" t="s">
        <v>1</v>
      </c>
      <c r="F984" t="s">
        <v>35</v>
      </c>
      <c r="G984" s="54">
        <v>2</v>
      </c>
      <c r="H984">
        <v>5</v>
      </c>
      <c r="I984" s="1">
        <v>3</v>
      </c>
      <c r="J984" s="1">
        <v>7.2286287144009975E-2</v>
      </c>
      <c r="K984" s="1">
        <v>8.5715075844450066</v>
      </c>
    </row>
    <row r="985" spans="4:11" x14ac:dyDescent="0.25">
      <c r="D985" t="s">
        <v>277</v>
      </c>
      <c r="E985" t="s">
        <v>22</v>
      </c>
      <c r="F985" t="s">
        <v>23</v>
      </c>
      <c r="G985" s="54">
        <v>3</v>
      </c>
      <c r="H985">
        <v>2</v>
      </c>
      <c r="I985" s="1">
        <v>-1</v>
      </c>
      <c r="J985" s="1">
        <v>0.67391310608029187</v>
      </c>
      <c r="K985" s="1">
        <v>2.8019850867073703</v>
      </c>
    </row>
    <row r="986" spans="4:11" ht="15" customHeight="1" x14ac:dyDescent="0.25">
      <c r="D986" t="s">
        <v>277</v>
      </c>
      <c r="E986" t="s">
        <v>4</v>
      </c>
      <c r="F986" t="s">
        <v>18</v>
      </c>
      <c r="G986" s="54">
        <v>4</v>
      </c>
      <c r="H986">
        <v>5</v>
      </c>
      <c r="I986" s="1">
        <v>1</v>
      </c>
      <c r="J986" s="1">
        <v>0.23420518781188093</v>
      </c>
      <c r="K986" s="1">
        <v>0.58644169437423654</v>
      </c>
    </row>
    <row r="987" spans="4:11" x14ac:dyDescent="0.25">
      <c r="D987" t="s">
        <v>277</v>
      </c>
      <c r="E987" t="s">
        <v>37</v>
      </c>
      <c r="F987" t="s">
        <v>20</v>
      </c>
      <c r="G987" s="54">
        <v>1</v>
      </c>
      <c r="H987">
        <v>0</v>
      </c>
      <c r="I987" s="1">
        <v>-1</v>
      </c>
      <c r="J987" s="1">
        <v>6.3627319618362321E-2</v>
      </c>
      <c r="K987" s="1">
        <v>1.1313030750385418</v>
      </c>
    </row>
    <row r="988" spans="4:11" ht="18" customHeight="1" x14ac:dyDescent="0.25">
      <c r="D988" t="s">
        <v>278</v>
      </c>
      <c r="E988" t="s">
        <v>40</v>
      </c>
      <c r="F988" t="s">
        <v>0</v>
      </c>
      <c r="G988" s="54">
        <v>4</v>
      </c>
      <c r="H988">
        <v>3</v>
      </c>
      <c r="I988" s="1">
        <v>-1</v>
      </c>
      <c r="J988" s="1">
        <v>-0.61872394155423649</v>
      </c>
      <c r="K988" s="1">
        <v>0.14537143274393727</v>
      </c>
    </row>
    <row r="989" spans="4:11" x14ac:dyDescent="0.25">
      <c r="D989" t="s">
        <v>278</v>
      </c>
      <c r="E989" t="s">
        <v>24</v>
      </c>
      <c r="F989" t="s">
        <v>13</v>
      </c>
      <c r="G989" s="54">
        <v>2</v>
      </c>
      <c r="H989">
        <v>5</v>
      </c>
      <c r="I989" s="1">
        <v>3</v>
      </c>
      <c r="J989" s="1">
        <v>1.3927986444390541</v>
      </c>
      <c r="K989" s="1">
        <v>2.5830961973169422</v>
      </c>
    </row>
    <row r="990" spans="4:11" ht="15" customHeight="1" x14ac:dyDescent="0.25">
      <c r="D990" t="s">
        <v>278</v>
      </c>
      <c r="E990" t="s">
        <v>10</v>
      </c>
      <c r="F990" t="s">
        <v>3</v>
      </c>
      <c r="G990" s="54">
        <v>1</v>
      </c>
      <c r="H990">
        <v>2</v>
      </c>
      <c r="I990" s="1">
        <v>1</v>
      </c>
      <c r="J990" s="1">
        <v>0.34535723015487463</v>
      </c>
      <c r="K990" s="1">
        <v>0.42855715611049777</v>
      </c>
    </row>
    <row r="991" spans="4:11" x14ac:dyDescent="0.25">
      <c r="D991" t="s">
        <v>278</v>
      </c>
      <c r="E991" t="s">
        <v>19</v>
      </c>
      <c r="F991" t="s">
        <v>176</v>
      </c>
      <c r="G991" s="54">
        <v>2</v>
      </c>
      <c r="H991">
        <v>1</v>
      </c>
      <c r="I991" s="1">
        <v>-1</v>
      </c>
      <c r="J991" s="1">
        <v>-1.2848458662345337</v>
      </c>
      <c r="K991" s="1">
        <v>8.1137167510901845E-2</v>
      </c>
    </row>
    <row r="992" spans="4:11" ht="15" customHeight="1" x14ac:dyDescent="0.25">
      <c r="D992" t="s">
        <v>278</v>
      </c>
      <c r="E992" t="s">
        <v>11</v>
      </c>
      <c r="F992" t="s">
        <v>32</v>
      </c>
      <c r="G992" s="54">
        <v>1</v>
      </c>
      <c r="H992">
        <v>2</v>
      </c>
      <c r="I992" s="1">
        <v>1</v>
      </c>
      <c r="J992" s="1">
        <v>4.5910289953056349E-2</v>
      </c>
      <c r="K992" s="1">
        <v>0.91028717481746102</v>
      </c>
    </row>
    <row r="993" spans="4:11" x14ac:dyDescent="0.25">
      <c r="D993" t="s">
        <v>279</v>
      </c>
      <c r="E993" t="s">
        <v>37</v>
      </c>
      <c r="F993" t="s">
        <v>40</v>
      </c>
      <c r="G993" s="54">
        <v>2</v>
      </c>
      <c r="H993">
        <v>1</v>
      </c>
      <c r="I993" s="1">
        <v>-1</v>
      </c>
      <c r="J993" s="1">
        <v>-0.18554751343047826</v>
      </c>
      <c r="K993" s="1">
        <v>0.66333285287927701</v>
      </c>
    </row>
    <row r="994" spans="4:11" ht="15" customHeight="1" x14ac:dyDescent="0.25">
      <c r="D994" t="s">
        <v>279</v>
      </c>
      <c r="E994" t="s">
        <v>21</v>
      </c>
      <c r="F994" t="s">
        <v>1</v>
      </c>
      <c r="G994" s="54">
        <v>2</v>
      </c>
      <c r="H994">
        <v>1</v>
      </c>
      <c r="I994" s="1">
        <v>-1</v>
      </c>
      <c r="J994" s="1">
        <v>-4.9766670842942062E-2</v>
      </c>
      <c r="K994" s="1">
        <v>0.90294337984090567</v>
      </c>
    </row>
    <row r="995" spans="4:11" x14ac:dyDescent="0.25">
      <c r="D995" t="s">
        <v>279</v>
      </c>
      <c r="E995" t="s">
        <v>7</v>
      </c>
      <c r="F995" t="s">
        <v>27</v>
      </c>
      <c r="G995" s="54">
        <v>4</v>
      </c>
      <c r="H995">
        <v>3</v>
      </c>
      <c r="I995" s="1">
        <v>-1</v>
      </c>
      <c r="J995" s="1">
        <v>-3.143704631457922E-2</v>
      </c>
      <c r="K995" s="1">
        <v>0.9381141952518266</v>
      </c>
    </row>
    <row r="996" spans="4:11" ht="15" customHeight="1" x14ac:dyDescent="0.25">
      <c r="D996" t="s">
        <v>279</v>
      </c>
      <c r="E996" t="s">
        <v>36</v>
      </c>
      <c r="F996" t="s">
        <v>229</v>
      </c>
      <c r="G996" s="54">
        <v>1</v>
      </c>
      <c r="H996">
        <v>0</v>
      </c>
      <c r="I996" s="1">
        <v>-1</v>
      </c>
      <c r="J996" s="1">
        <v>3.580710150474431E-2</v>
      </c>
      <c r="K996" s="1">
        <v>1.0728963515276597</v>
      </c>
    </row>
    <row r="997" spans="4:11" x14ac:dyDescent="0.25">
      <c r="D997" t="s">
        <v>279</v>
      </c>
      <c r="E997" t="s">
        <v>2</v>
      </c>
      <c r="F997" t="s">
        <v>18</v>
      </c>
      <c r="G997" s="54">
        <v>3</v>
      </c>
      <c r="H997">
        <v>1</v>
      </c>
      <c r="I997" s="1">
        <v>-2</v>
      </c>
      <c r="J997" s="1">
        <v>0.47765835674773882</v>
      </c>
      <c r="K997" s="1">
        <v>6.1387909327619052</v>
      </c>
    </row>
    <row r="998" spans="4:11" ht="15" customHeight="1" x14ac:dyDescent="0.25">
      <c r="D998" t="s">
        <v>279</v>
      </c>
      <c r="E998" t="s">
        <v>25</v>
      </c>
      <c r="F998" t="s">
        <v>38</v>
      </c>
      <c r="G998" s="54">
        <v>4</v>
      </c>
      <c r="H998">
        <v>5</v>
      </c>
      <c r="I998" s="1">
        <v>1</v>
      </c>
      <c r="J998" s="1">
        <v>0.55135905621000347</v>
      </c>
      <c r="K998" s="1">
        <v>0.20127869644477883</v>
      </c>
    </row>
    <row r="999" spans="4:11" x14ac:dyDescent="0.25">
      <c r="D999" t="s">
        <v>279</v>
      </c>
      <c r="E999" t="s">
        <v>35</v>
      </c>
      <c r="F999" t="s">
        <v>23</v>
      </c>
      <c r="G999" s="54">
        <v>2</v>
      </c>
      <c r="H999">
        <v>6</v>
      </c>
      <c r="I999" s="1">
        <v>4</v>
      </c>
      <c r="J999" s="1">
        <v>1.0416951067852835</v>
      </c>
      <c r="K999" s="1">
        <v>8.7515678412181348</v>
      </c>
    </row>
    <row r="1000" spans="4:11" ht="15" customHeight="1" x14ac:dyDescent="0.25">
      <c r="D1000" t="s">
        <v>279</v>
      </c>
      <c r="E1000" t="s">
        <v>33</v>
      </c>
      <c r="F1000" t="s">
        <v>22</v>
      </c>
      <c r="G1000" s="54">
        <v>5</v>
      </c>
      <c r="H1000">
        <v>2</v>
      </c>
      <c r="I1000" s="1">
        <v>-3</v>
      </c>
      <c r="J1000" s="1">
        <v>5.2808585137327668E-2</v>
      </c>
      <c r="K1000" s="1">
        <v>9.3196402574881727</v>
      </c>
    </row>
    <row r="1001" spans="4:11" x14ac:dyDescent="0.25">
      <c r="D1001" t="s">
        <v>280</v>
      </c>
      <c r="E1001" t="s">
        <v>8</v>
      </c>
      <c r="F1001" t="s">
        <v>0</v>
      </c>
      <c r="G1001" s="54">
        <v>3</v>
      </c>
      <c r="H1001">
        <v>4</v>
      </c>
      <c r="I1001" s="1">
        <v>1</v>
      </c>
      <c r="J1001" s="1">
        <v>0.97118764430268811</v>
      </c>
      <c r="K1001" s="1">
        <v>8.3015184082842078E-4</v>
      </c>
    </row>
    <row r="1002" spans="4:11" ht="15" customHeight="1" x14ac:dyDescent="0.25">
      <c r="D1002" t="s">
        <v>280</v>
      </c>
      <c r="E1002" t="s">
        <v>37</v>
      </c>
      <c r="F1002" t="s">
        <v>12</v>
      </c>
      <c r="G1002" s="54">
        <v>3</v>
      </c>
      <c r="H1002">
        <v>1</v>
      </c>
      <c r="I1002" s="1">
        <v>-2</v>
      </c>
      <c r="J1002" s="1">
        <v>-3.9134126517694767E-3</v>
      </c>
      <c r="K1002" s="1">
        <v>3.9843616641915052</v>
      </c>
    </row>
    <row r="1003" spans="4:11" x14ac:dyDescent="0.25">
      <c r="D1003" t="s">
        <v>280</v>
      </c>
      <c r="E1003" t="s">
        <v>10</v>
      </c>
      <c r="F1003" t="s">
        <v>4</v>
      </c>
      <c r="G1003" s="54">
        <v>3</v>
      </c>
      <c r="H1003">
        <v>6</v>
      </c>
      <c r="I1003" s="1">
        <v>3</v>
      </c>
      <c r="J1003" s="1">
        <v>0.40350574268718731</v>
      </c>
      <c r="K1003" s="1">
        <v>6.7417824282584151</v>
      </c>
    </row>
    <row r="1004" spans="4:11" ht="18" customHeight="1" x14ac:dyDescent="0.25">
      <c r="D1004" t="s">
        <v>281</v>
      </c>
      <c r="E1004" t="s">
        <v>36</v>
      </c>
      <c r="F1004" t="s">
        <v>2</v>
      </c>
      <c r="G1004" s="54">
        <v>2</v>
      </c>
      <c r="H1004">
        <v>3</v>
      </c>
      <c r="I1004" s="1">
        <v>1</v>
      </c>
      <c r="J1004" s="1">
        <v>-0.30920682711317227</v>
      </c>
      <c r="K1004" s="1">
        <v>1.7140225161597398</v>
      </c>
    </row>
    <row r="1005" spans="4:11" x14ac:dyDescent="0.25">
      <c r="D1005" t="s">
        <v>281</v>
      </c>
      <c r="E1005" t="s">
        <v>24</v>
      </c>
      <c r="F1005" t="s">
        <v>11</v>
      </c>
      <c r="G1005" s="54">
        <v>4</v>
      </c>
      <c r="H1005">
        <v>6</v>
      </c>
      <c r="I1005" s="1">
        <v>2</v>
      </c>
      <c r="J1005" s="1">
        <v>1.3761423214609607</v>
      </c>
      <c r="K1005" s="1">
        <v>0.38919840307211928</v>
      </c>
    </row>
    <row r="1006" spans="4:11" ht="15" customHeight="1" x14ac:dyDescent="0.25">
      <c r="D1006" t="s">
        <v>281</v>
      </c>
      <c r="E1006" t="s">
        <v>21</v>
      </c>
      <c r="F1006" t="s">
        <v>27</v>
      </c>
      <c r="G1006" s="54">
        <v>5</v>
      </c>
      <c r="H1006">
        <v>3</v>
      </c>
      <c r="I1006" s="1">
        <v>-2</v>
      </c>
      <c r="J1006" s="1">
        <v>-0.25836422069194498</v>
      </c>
      <c r="K1006" s="1">
        <v>3.033295187765976</v>
      </c>
    </row>
    <row r="1007" spans="4:11" x14ac:dyDescent="0.25">
      <c r="D1007" t="s">
        <v>281</v>
      </c>
      <c r="E1007" t="s">
        <v>18</v>
      </c>
      <c r="F1007" t="s">
        <v>229</v>
      </c>
      <c r="G1007" s="54">
        <v>5</v>
      </c>
      <c r="H1007">
        <v>2</v>
      </c>
      <c r="I1007" s="1">
        <v>-3</v>
      </c>
      <c r="J1007" s="1">
        <v>0.35695655312605368</v>
      </c>
      <c r="K1007" s="1">
        <v>11.269157299575955</v>
      </c>
    </row>
    <row r="1008" spans="4:11" ht="18" customHeight="1" x14ac:dyDescent="0.25">
      <c r="D1008" t="s">
        <v>281</v>
      </c>
      <c r="E1008" t="s">
        <v>7</v>
      </c>
      <c r="F1008" t="s">
        <v>13</v>
      </c>
      <c r="G1008" s="54">
        <v>3</v>
      </c>
      <c r="H1008">
        <v>1</v>
      </c>
      <c r="I1008" s="1">
        <v>-2</v>
      </c>
      <c r="J1008" s="1">
        <v>0.54798068727937732</v>
      </c>
      <c r="K1008" s="1">
        <v>6.4922055827486878</v>
      </c>
    </row>
    <row r="1009" spans="4:11" x14ac:dyDescent="0.25">
      <c r="D1009" t="s">
        <v>281</v>
      </c>
      <c r="E1009" t="s">
        <v>25</v>
      </c>
      <c r="F1009" t="s">
        <v>14</v>
      </c>
      <c r="G1009" s="54">
        <v>2</v>
      </c>
      <c r="H1009">
        <v>4</v>
      </c>
      <c r="I1009" s="1">
        <v>2</v>
      </c>
      <c r="J1009" s="1">
        <v>-0.26313421076223165</v>
      </c>
      <c r="K1009" s="1">
        <v>5.1217764559223893</v>
      </c>
    </row>
    <row r="1010" spans="4:11" ht="15" customHeight="1" x14ac:dyDescent="0.25">
      <c r="D1010" t="s">
        <v>281</v>
      </c>
      <c r="E1010" t="s">
        <v>1</v>
      </c>
      <c r="F1010" t="s">
        <v>38</v>
      </c>
      <c r="G1010" s="54">
        <v>0</v>
      </c>
      <c r="H1010">
        <v>1</v>
      </c>
      <c r="I1010" s="1">
        <v>1</v>
      </c>
      <c r="J1010" s="1">
        <v>1.0668502637145991</v>
      </c>
      <c r="K1010" s="1">
        <v>4.4689577587114478E-3</v>
      </c>
    </row>
    <row r="1011" spans="4:11" x14ac:dyDescent="0.25">
      <c r="D1011" t="s">
        <v>281</v>
      </c>
      <c r="E1011" t="s">
        <v>35</v>
      </c>
      <c r="F1011" t="s">
        <v>22</v>
      </c>
      <c r="G1011" s="54">
        <v>1</v>
      </c>
      <c r="H1011">
        <v>2</v>
      </c>
      <c r="I1011" s="1">
        <v>1</v>
      </c>
      <c r="J1011" s="1">
        <v>0.61258249133292964</v>
      </c>
      <c r="K1011" s="1">
        <v>0.15009232602179953</v>
      </c>
    </row>
    <row r="1012" spans="4:11" ht="15" customHeight="1" x14ac:dyDescent="0.25">
      <c r="D1012" t="s">
        <v>281</v>
      </c>
      <c r="E1012" t="s">
        <v>33</v>
      </c>
      <c r="F1012" t="s">
        <v>3</v>
      </c>
      <c r="G1012" s="54">
        <v>4</v>
      </c>
      <c r="H1012">
        <v>0</v>
      </c>
      <c r="I1012" s="1">
        <v>-4</v>
      </c>
      <c r="J1012" s="1">
        <v>0.28545849012148494</v>
      </c>
      <c r="K1012" s="1">
        <v>18.365154470554316</v>
      </c>
    </row>
    <row r="1013" spans="4:11" x14ac:dyDescent="0.25">
      <c r="D1013" t="s">
        <v>281</v>
      </c>
      <c r="E1013" t="s">
        <v>20</v>
      </c>
      <c r="F1013" t="s">
        <v>176</v>
      </c>
      <c r="G1013" s="54">
        <v>2</v>
      </c>
      <c r="H1013">
        <v>1</v>
      </c>
      <c r="I1013" s="1">
        <v>-1</v>
      </c>
      <c r="J1013" s="1">
        <v>-1.4708880388827339</v>
      </c>
      <c r="K1013" s="1">
        <v>0.22173554516282712</v>
      </c>
    </row>
    <row r="1014" spans="4:11" ht="15" customHeight="1" x14ac:dyDescent="0.25">
      <c r="D1014" t="s">
        <v>281</v>
      </c>
      <c r="E1014" t="s">
        <v>19</v>
      </c>
      <c r="F1014" t="s">
        <v>32</v>
      </c>
      <c r="G1014" s="54">
        <v>0</v>
      </c>
      <c r="H1014">
        <v>2</v>
      </c>
      <c r="I1014" s="1">
        <v>2</v>
      </c>
      <c r="J1014" s="1">
        <v>-0.1562474371829552</v>
      </c>
      <c r="K1014" s="1">
        <v>4.6494030103580624</v>
      </c>
    </row>
    <row r="1015" spans="4:11" x14ac:dyDescent="0.25">
      <c r="D1015" t="s">
        <v>282</v>
      </c>
      <c r="E1015" t="s">
        <v>18</v>
      </c>
      <c r="F1015" t="s">
        <v>40</v>
      </c>
      <c r="G1015" s="54">
        <v>2</v>
      </c>
      <c r="H1015">
        <v>1</v>
      </c>
      <c r="I1015" s="1">
        <v>-1</v>
      </c>
      <c r="J1015" s="1">
        <v>0.26251850620869277</v>
      </c>
      <c r="K1015" s="1">
        <v>1.5939529785194291</v>
      </c>
    </row>
    <row r="1016" spans="4:11" ht="15" customHeight="1" x14ac:dyDescent="0.25">
      <c r="D1016" t="s">
        <v>282</v>
      </c>
      <c r="E1016" t="s">
        <v>21</v>
      </c>
      <c r="F1016" t="s">
        <v>12</v>
      </c>
      <c r="G1016" s="54">
        <v>4</v>
      </c>
      <c r="H1016">
        <v>2</v>
      </c>
      <c r="I1016" s="1">
        <v>-2</v>
      </c>
      <c r="J1016" s="1">
        <v>0.62505635743799814</v>
      </c>
      <c r="K1016" s="1">
        <v>6.8909208797256509</v>
      </c>
    </row>
    <row r="1017" spans="4:11" x14ac:dyDescent="0.25">
      <c r="D1017" t="s">
        <v>282</v>
      </c>
      <c r="E1017" t="s">
        <v>24</v>
      </c>
      <c r="F1017" t="s">
        <v>7</v>
      </c>
      <c r="G1017" s="54">
        <v>4</v>
      </c>
      <c r="H1017">
        <v>5</v>
      </c>
      <c r="I1017" s="1">
        <v>1</v>
      </c>
      <c r="J1017" s="1">
        <v>1.0896184477876147</v>
      </c>
      <c r="K1017" s="1">
        <v>8.0314661838614288E-3</v>
      </c>
    </row>
    <row r="1018" spans="4:11" ht="18" customHeight="1" x14ac:dyDescent="0.25">
      <c r="D1018" t="s">
        <v>282</v>
      </c>
      <c r="E1018" t="s">
        <v>10</v>
      </c>
      <c r="F1018" t="s">
        <v>23</v>
      </c>
      <c r="G1018" s="54">
        <v>2</v>
      </c>
      <c r="H1018">
        <v>1</v>
      </c>
      <c r="I1018" s="1">
        <v>-1</v>
      </c>
      <c r="J1018" s="1">
        <v>0.54181994062307126</v>
      </c>
      <c r="K1018" s="1">
        <v>2.3772087293029309</v>
      </c>
    </row>
    <row r="1019" spans="4:11" x14ac:dyDescent="0.25">
      <c r="D1019" t="s">
        <v>282</v>
      </c>
      <c r="E1019" t="s">
        <v>0</v>
      </c>
      <c r="F1019" t="s">
        <v>4</v>
      </c>
      <c r="G1019" s="54">
        <v>3</v>
      </c>
      <c r="H1019">
        <v>6</v>
      </c>
      <c r="I1019" s="1">
        <v>3</v>
      </c>
      <c r="J1019" s="1">
        <v>1.1012022100454146</v>
      </c>
      <c r="K1019" s="1">
        <v>3.6054330471364175</v>
      </c>
    </row>
    <row r="1020" spans="4:11" ht="18" customHeight="1" x14ac:dyDescent="0.25">
      <c r="D1020" t="s">
        <v>283</v>
      </c>
      <c r="E1020" t="s">
        <v>13</v>
      </c>
      <c r="F1020" t="s">
        <v>1</v>
      </c>
      <c r="G1020" s="54">
        <v>2</v>
      </c>
      <c r="H1020">
        <v>7</v>
      </c>
      <c r="I1020" s="1">
        <v>5</v>
      </c>
      <c r="J1020" s="1">
        <v>-0.12601969311701566</v>
      </c>
      <c r="K1020" s="1">
        <v>26.276077894223462</v>
      </c>
    </row>
    <row r="1021" spans="4:11" x14ac:dyDescent="0.25">
      <c r="D1021" t="s">
        <v>283</v>
      </c>
      <c r="E1021" t="s">
        <v>2</v>
      </c>
      <c r="F1021" t="s">
        <v>11</v>
      </c>
      <c r="G1021" s="54">
        <v>2</v>
      </c>
      <c r="H1021">
        <v>0</v>
      </c>
      <c r="I1021" s="1">
        <v>-2</v>
      </c>
      <c r="J1021" s="1">
        <v>0.35635130559312245</v>
      </c>
      <c r="K1021" s="1">
        <v>5.5523914753704124</v>
      </c>
    </row>
    <row r="1022" spans="4:11" ht="15" customHeight="1" x14ac:dyDescent="0.25">
      <c r="D1022" t="s">
        <v>283</v>
      </c>
      <c r="E1022" t="s">
        <v>20</v>
      </c>
      <c r="F1022" t="s">
        <v>32</v>
      </c>
      <c r="G1022" s="54">
        <v>6</v>
      </c>
      <c r="H1022">
        <v>2</v>
      </c>
      <c r="I1022" s="1">
        <v>-4</v>
      </c>
      <c r="J1022" s="1">
        <v>-0.34228960983115542</v>
      </c>
      <c r="K1022" s="1">
        <v>13.378845298349122</v>
      </c>
    </row>
    <row r="1023" spans="4:11" x14ac:dyDescent="0.25">
      <c r="D1023" t="s">
        <v>283</v>
      </c>
      <c r="E1023" t="s">
        <v>37</v>
      </c>
      <c r="F1023" t="s">
        <v>8</v>
      </c>
      <c r="G1023" s="54">
        <v>2</v>
      </c>
      <c r="H1023">
        <v>0</v>
      </c>
      <c r="I1023" s="1">
        <v>-2</v>
      </c>
      <c r="J1023" s="1">
        <v>-1.7754590992874029</v>
      </c>
      <c r="K1023" s="1">
        <v>5.0418616092824407E-2</v>
      </c>
    </row>
    <row r="1024" spans="4:11" ht="15" customHeight="1" x14ac:dyDescent="0.25">
      <c r="D1024" t="s">
        <v>283</v>
      </c>
      <c r="E1024" t="s">
        <v>25</v>
      </c>
      <c r="F1024" t="s">
        <v>36</v>
      </c>
      <c r="G1024" s="54">
        <v>2</v>
      </c>
      <c r="H1024">
        <v>1</v>
      </c>
      <c r="I1024" s="1">
        <v>-1</v>
      </c>
      <c r="J1024" s="1">
        <v>0.52592964666612829</v>
      </c>
      <c r="K1024" s="1">
        <v>2.328461286574615</v>
      </c>
    </row>
    <row r="1025" spans="4:11" x14ac:dyDescent="0.25">
      <c r="D1025" t="s">
        <v>283</v>
      </c>
      <c r="E1025" t="s">
        <v>229</v>
      </c>
      <c r="F1025" t="s">
        <v>40</v>
      </c>
      <c r="G1025" s="54">
        <v>3</v>
      </c>
      <c r="H1025">
        <v>1</v>
      </c>
      <c r="I1025" s="1">
        <v>-2</v>
      </c>
      <c r="J1025" s="1">
        <v>0.15036244371057705</v>
      </c>
      <c r="K1025" s="1">
        <v>4.6240586393209249</v>
      </c>
    </row>
    <row r="1026" spans="4:11" ht="15" customHeight="1" x14ac:dyDescent="0.25">
      <c r="D1026" t="s">
        <v>283</v>
      </c>
      <c r="E1026" t="s">
        <v>14</v>
      </c>
      <c r="F1026" t="s">
        <v>27</v>
      </c>
      <c r="G1026" s="54">
        <v>2</v>
      </c>
      <c r="H1026">
        <v>0</v>
      </c>
      <c r="I1026" s="1">
        <v>-2</v>
      </c>
      <c r="J1026" s="1">
        <v>2.8646434664509002E-2</v>
      </c>
      <c r="K1026" s="1">
        <v>4.1154063568770241</v>
      </c>
    </row>
    <row r="1027" spans="4:11" x14ac:dyDescent="0.25">
      <c r="D1027" t="s">
        <v>283</v>
      </c>
      <c r="E1027" t="s">
        <v>0</v>
      </c>
      <c r="F1027" t="s">
        <v>3</v>
      </c>
      <c r="G1027" s="54">
        <v>1</v>
      </c>
      <c r="H1027">
        <v>4</v>
      </c>
      <c r="I1027" s="1">
        <v>3</v>
      </c>
      <c r="J1027" s="1">
        <v>1.043053697513102</v>
      </c>
      <c r="K1027" s="1">
        <v>3.8296388308171418</v>
      </c>
    </row>
    <row r="1028" spans="4:11" ht="18" customHeight="1" x14ac:dyDescent="0.25">
      <c r="D1028" t="s">
        <v>283</v>
      </c>
      <c r="E1028" t="s">
        <v>23</v>
      </c>
      <c r="F1028" t="s">
        <v>38</v>
      </c>
      <c r="G1028" s="54">
        <v>3</v>
      </c>
      <c r="H1028">
        <v>1</v>
      </c>
      <c r="I1028" s="1">
        <v>-2</v>
      </c>
      <c r="J1028" s="1">
        <v>0.44246985104118153</v>
      </c>
      <c r="K1028" s="1">
        <v>5.9656589732451311</v>
      </c>
    </row>
    <row r="1029" spans="4:11" x14ac:dyDescent="0.25">
      <c r="D1029" t="s">
        <v>283</v>
      </c>
      <c r="E1029" t="s">
        <v>35</v>
      </c>
      <c r="F1029" t="s">
        <v>176</v>
      </c>
      <c r="G1029" s="54">
        <v>4</v>
      </c>
      <c r="H1029">
        <v>1</v>
      </c>
      <c r="I1029" s="1">
        <v>-3</v>
      </c>
      <c r="J1029" s="1">
        <v>-0.5560100748477339</v>
      </c>
      <c r="K1029" s="1">
        <v>5.9730867542457791</v>
      </c>
    </row>
    <row r="1030" spans="4:11" ht="15" customHeight="1" x14ac:dyDescent="0.25">
      <c r="D1030" t="s">
        <v>283</v>
      </c>
      <c r="E1030" t="s">
        <v>4</v>
      </c>
      <c r="F1030" t="s">
        <v>22</v>
      </c>
      <c r="G1030" s="54">
        <v>2</v>
      </c>
      <c r="H1030">
        <v>3</v>
      </c>
      <c r="I1030" s="1">
        <v>1</v>
      </c>
      <c r="J1030" s="1">
        <v>-4.5997926888531993E-2</v>
      </c>
      <c r="K1030" s="1">
        <v>1.0941116630551067</v>
      </c>
    </row>
    <row r="1031" spans="4:11" x14ac:dyDescent="0.25">
      <c r="D1031" t="s">
        <v>283</v>
      </c>
      <c r="E1031" t="s">
        <v>19</v>
      </c>
      <c r="F1031" t="s">
        <v>33</v>
      </c>
      <c r="G1031" s="54">
        <v>2</v>
      </c>
      <c r="H1031">
        <v>1</v>
      </c>
      <c r="I1031" s="1">
        <v>-1</v>
      </c>
      <c r="J1031" s="1">
        <v>7.5738605436740158E-2</v>
      </c>
      <c r="K1031" s="1">
        <v>1.1572135472269824</v>
      </c>
    </row>
    <row r="1032" spans="4:11" ht="18" customHeight="1" x14ac:dyDescent="0.25">
      <c r="D1032" t="s">
        <v>284</v>
      </c>
      <c r="E1032" t="s">
        <v>13</v>
      </c>
      <c r="F1032" t="s">
        <v>11</v>
      </c>
      <c r="G1032" s="54">
        <v>5</v>
      </c>
      <c r="H1032">
        <v>1</v>
      </c>
      <c r="I1032" s="1">
        <v>-4</v>
      </c>
      <c r="J1032" s="1">
        <v>0.22814416764984458</v>
      </c>
      <c r="K1032" s="1">
        <v>17.877203102431398</v>
      </c>
    </row>
    <row r="1033" spans="4:11" x14ac:dyDescent="0.25">
      <c r="D1033" t="s">
        <v>284</v>
      </c>
      <c r="E1033" t="s">
        <v>14</v>
      </c>
      <c r="F1033" t="s">
        <v>37</v>
      </c>
      <c r="G1033" s="54">
        <v>1</v>
      </c>
      <c r="H1033">
        <v>2</v>
      </c>
      <c r="I1033" s="1">
        <v>1</v>
      </c>
      <c r="J1033" s="1">
        <v>1.1607809160741596</v>
      </c>
      <c r="K1033" s="1">
        <v>2.5850502973645943E-2</v>
      </c>
    </row>
    <row r="1034" spans="4:11" ht="15" customHeight="1" x14ac:dyDescent="0.25">
      <c r="D1034" t="s">
        <v>284</v>
      </c>
      <c r="E1034" t="s">
        <v>27</v>
      </c>
      <c r="F1034" t="s">
        <v>7</v>
      </c>
      <c r="G1034" s="54">
        <v>3</v>
      </c>
      <c r="H1034">
        <v>2</v>
      </c>
      <c r="I1034" s="1">
        <v>-1</v>
      </c>
      <c r="J1034" s="1">
        <v>0.52103802757045514</v>
      </c>
      <c r="K1034" s="1">
        <v>2.3135566813154207</v>
      </c>
    </row>
    <row r="1035" spans="4:11" x14ac:dyDescent="0.25">
      <c r="D1035" t="s">
        <v>284</v>
      </c>
      <c r="E1035" t="s">
        <v>38</v>
      </c>
      <c r="F1035" t="s">
        <v>21</v>
      </c>
      <c r="G1035" s="54">
        <v>3</v>
      </c>
      <c r="H1035">
        <v>0</v>
      </c>
      <c r="I1035" s="1">
        <v>-3</v>
      </c>
      <c r="J1035" s="1">
        <v>-0.28268212098784318</v>
      </c>
      <c r="K1035" s="1">
        <v>7.3838164555991268</v>
      </c>
    </row>
    <row r="1036" spans="4:11" ht="15" customHeight="1" x14ac:dyDescent="0.25">
      <c r="D1036" t="s">
        <v>284</v>
      </c>
      <c r="E1036" t="s">
        <v>1</v>
      </c>
      <c r="F1036" t="s">
        <v>18</v>
      </c>
      <c r="G1036" s="54">
        <v>1</v>
      </c>
      <c r="H1036">
        <v>2</v>
      </c>
      <c r="I1036" s="1">
        <v>1</v>
      </c>
      <c r="J1036" s="1">
        <v>0.72027140254941457</v>
      </c>
      <c r="K1036" s="1">
        <v>7.8248088231671661E-2</v>
      </c>
    </row>
    <row r="1037" spans="4:11" x14ac:dyDescent="0.25">
      <c r="D1037" t="s">
        <v>284</v>
      </c>
      <c r="E1037" t="s">
        <v>2</v>
      </c>
      <c r="F1037" t="s">
        <v>12</v>
      </c>
      <c r="G1037" s="54">
        <v>0</v>
      </c>
      <c r="H1037">
        <v>2</v>
      </c>
      <c r="I1037" s="1">
        <v>2</v>
      </c>
      <c r="J1037" s="1">
        <v>0.67701047310720242</v>
      </c>
      <c r="K1037" s="1">
        <v>1.7503012882680284</v>
      </c>
    </row>
    <row r="1038" spans="4:11" ht="15" customHeight="1" x14ac:dyDescent="0.25">
      <c r="D1038" t="s">
        <v>284</v>
      </c>
      <c r="E1038" t="s">
        <v>19</v>
      </c>
      <c r="F1038" t="s">
        <v>10</v>
      </c>
      <c r="G1038" s="54">
        <v>2</v>
      </c>
      <c r="H1038">
        <v>4</v>
      </c>
      <c r="I1038" s="1">
        <v>2</v>
      </c>
      <c r="J1038" s="1">
        <v>1.5839865403350473E-2</v>
      </c>
      <c r="K1038" s="1">
        <v>3.9368914397225945</v>
      </c>
    </row>
    <row r="1039" spans="4:11" x14ac:dyDescent="0.25">
      <c r="D1039" t="s">
        <v>285</v>
      </c>
      <c r="E1039" t="s">
        <v>12</v>
      </c>
      <c r="F1039" t="s">
        <v>8</v>
      </c>
      <c r="G1039" s="54">
        <v>4</v>
      </c>
      <c r="H1039">
        <v>3</v>
      </c>
      <c r="I1039" s="1">
        <v>-1</v>
      </c>
      <c r="J1039" s="1">
        <v>-1.5267451960076954</v>
      </c>
      <c r="K1039" s="1">
        <v>0.27746050151718549</v>
      </c>
    </row>
    <row r="1040" spans="4:11" ht="15" customHeight="1" x14ac:dyDescent="0.25">
      <c r="D1040" t="s">
        <v>285</v>
      </c>
      <c r="E1040" t="s">
        <v>229</v>
      </c>
      <c r="F1040" t="s">
        <v>36</v>
      </c>
      <c r="G1040" s="54">
        <v>2</v>
      </c>
      <c r="H1040">
        <v>4</v>
      </c>
      <c r="I1040" s="1">
        <v>2</v>
      </c>
      <c r="J1040" s="1">
        <v>0.45379387975113161</v>
      </c>
      <c r="K1040" s="1">
        <v>2.390753366295058</v>
      </c>
    </row>
    <row r="1041" spans="4:11" x14ac:dyDescent="0.25">
      <c r="D1041" t="s">
        <v>285</v>
      </c>
      <c r="E1041" t="s">
        <v>0</v>
      </c>
      <c r="F1041" t="s">
        <v>24</v>
      </c>
      <c r="G1041" s="54">
        <v>1</v>
      </c>
      <c r="H1041">
        <v>4</v>
      </c>
      <c r="I1041" s="1">
        <v>3</v>
      </c>
      <c r="J1041" s="1">
        <v>-0.16204197475828153</v>
      </c>
      <c r="K1041" s="1">
        <v>9.9985094501332519</v>
      </c>
    </row>
    <row r="1042" spans="4:11" ht="15" customHeight="1" x14ac:dyDescent="0.25">
      <c r="D1042" t="s">
        <v>285</v>
      </c>
      <c r="E1042" t="s">
        <v>176</v>
      </c>
      <c r="F1042" t="s">
        <v>33</v>
      </c>
      <c r="G1042" s="54">
        <v>0</v>
      </c>
      <c r="H1042">
        <v>1</v>
      </c>
      <c r="I1042" s="1">
        <v>1</v>
      </c>
      <c r="J1042" s="1">
        <v>1.6053849622992118</v>
      </c>
      <c r="K1042" s="1">
        <v>0.36649095257801806</v>
      </c>
    </row>
    <row r="1043" spans="4:11" x14ac:dyDescent="0.25">
      <c r="D1043" t="s">
        <v>286</v>
      </c>
      <c r="E1043" t="s">
        <v>11</v>
      </c>
      <c r="F1043" t="s">
        <v>35</v>
      </c>
      <c r="G1043" s="54">
        <v>0</v>
      </c>
      <c r="H1043">
        <v>2</v>
      </c>
      <c r="I1043" s="1">
        <v>2</v>
      </c>
      <c r="J1043" s="1">
        <v>-0.28187757362285026</v>
      </c>
      <c r="K1043" s="1">
        <v>5.2069652610029067</v>
      </c>
    </row>
    <row r="1044" spans="4:11" ht="18" customHeight="1" x14ac:dyDescent="0.25">
      <c r="D1044" t="s">
        <v>286</v>
      </c>
      <c r="E1044" t="s">
        <v>18</v>
      </c>
      <c r="F1044" t="s">
        <v>27</v>
      </c>
      <c r="G1044" s="54">
        <v>2</v>
      </c>
      <c r="H1044">
        <v>1</v>
      </c>
      <c r="I1044" s="1">
        <v>-1</v>
      </c>
      <c r="J1044" s="1">
        <v>-0.43926797114254157</v>
      </c>
      <c r="K1044" s="1">
        <v>0.31442040818660161</v>
      </c>
    </row>
    <row r="1045" spans="4:11" x14ac:dyDescent="0.25">
      <c r="D1045" t="s">
        <v>286</v>
      </c>
      <c r="E1045" t="s">
        <v>8</v>
      </c>
      <c r="F1045" t="s">
        <v>2</v>
      </c>
      <c r="G1045" s="54">
        <v>2</v>
      </c>
      <c r="H1045">
        <v>1</v>
      </c>
      <c r="I1045" s="1">
        <v>-1</v>
      </c>
      <c r="J1045" s="1">
        <v>1.5841361947843069</v>
      </c>
      <c r="K1045" s="1">
        <v>6.6777598731943177</v>
      </c>
    </row>
    <row r="1046" spans="4:11" ht="15" customHeight="1" x14ac:dyDescent="0.25">
      <c r="D1046" t="s">
        <v>286</v>
      </c>
      <c r="E1046" t="s">
        <v>229</v>
      </c>
      <c r="F1046" t="s">
        <v>14</v>
      </c>
      <c r="G1046" s="54">
        <v>3</v>
      </c>
      <c r="H1046">
        <v>2</v>
      </c>
      <c r="I1046" s="1">
        <v>-1</v>
      </c>
      <c r="J1046" s="1">
        <v>-0.33526997767722833</v>
      </c>
      <c r="K1046" s="1">
        <v>0.44186600257723252</v>
      </c>
    </row>
    <row r="1047" spans="4:11" x14ac:dyDescent="0.25">
      <c r="D1047" t="s">
        <v>286</v>
      </c>
      <c r="E1047" t="s">
        <v>23</v>
      </c>
      <c r="F1047" t="s">
        <v>19</v>
      </c>
      <c r="G1047" s="54">
        <v>3</v>
      </c>
      <c r="H1047">
        <v>2</v>
      </c>
      <c r="I1047" s="1">
        <v>-1</v>
      </c>
      <c r="J1047" s="1">
        <v>0.17674166585739215</v>
      </c>
      <c r="K1047" s="1">
        <v>1.3847209481648304</v>
      </c>
    </row>
    <row r="1048" spans="4:11" ht="18" customHeight="1" x14ac:dyDescent="0.25">
      <c r="D1048" t="s">
        <v>286</v>
      </c>
      <c r="E1048" t="s">
        <v>32</v>
      </c>
      <c r="F1048" t="s">
        <v>25</v>
      </c>
      <c r="G1048" s="54">
        <v>2</v>
      </c>
      <c r="H1048">
        <v>5</v>
      </c>
      <c r="I1048" s="1">
        <v>3</v>
      </c>
      <c r="J1048" s="1">
        <v>0.60501803804055498</v>
      </c>
      <c r="K1048" s="1">
        <v>5.7359385981111126</v>
      </c>
    </row>
    <row r="1049" spans="4:11" x14ac:dyDescent="0.25">
      <c r="D1049" t="s">
        <v>286</v>
      </c>
      <c r="E1049" t="s">
        <v>40</v>
      </c>
      <c r="F1049" t="s">
        <v>20</v>
      </c>
      <c r="G1049" s="54">
        <v>1</v>
      </c>
      <c r="H1049">
        <v>4</v>
      </c>
      <c r="I1049" s="1">
        <v>3</v>
      </c>
      <c r="J1049" s="1">
        <v>0.49397532367677854</v>
      </c>
      <c r="K1049" s="1">
        <v>6.2801596783409073</v>
      </c>
    </row>
    <row r="1050" spans="4:11" ht="15" customHeight="1" x14ac:dyDescent="0.25">
      <c r="D1050" t="s">
        <v>286</v>
      </c>
      <c r="E1050" t="s">
        <v>38</v>
      </c>
      <c r="F1050" t="s">
        <v>4</v>
      </c>
      <c r="G1050" s="54">
        <v>4</v>
      </c>
      <c r="H1050">
        <v>0</v>
      </c>
      <c r="I1050" s="1">
        <v>-4</v>
      </c>
      <c r="J1050" s="1">
        <v>-9.1183067721189559E-2</v>
      </c>
      <c r="K1050" s="1">
        <v>15.278849810069531</v>
      </c>
    </row>
    <row r="1051" spans="4:11" x14ac:dyDescent="0.25">
      <c r="D1051" t="s">
        <v>286</v>
      </c>
      <c r="E1051" t="s">
        <v>1</v>
      </c>
      <c r="F1051" t="s">
        <v>3</v>
      </c>
      <c r="G1051" s="54">
        <v>1</v>
      </c>
      <c r="H1051">
        <v>4</v>
      </c>
      <c r="I1051" s="1">
        <v>3</v>
      </c>
      <c r="J1051" s="1">
        <v>0.67271819283315892</v>
      </c>
      <c r="K1051" s="1">
        <v>5.4162406099697575</v>
      </c>
    </row>
    <row r="1052" spans="4:11" ht="15" customHeight="1" x14ac:dyDescent="0.25">
      <c r="D1052" t="s">
        <v>287</v>
      </c>
      <c r="E1052" t="s">
        <v>20</v>
      </c>
      <c r="F1052" t="s">
        <v>37</v>
      </c>
      <c r="G1052" s="54">
        <v>1</v>
      </c>
      <c r="H1052">
        <v>0</v>
      </c>
      <c r="I1052" s="1">
        <v>-1</v>
      </c>
      <c r="J1052" s="1">
        <v>0.4259736616375136</v>
      </c>
      <c r="K1052" s="1">
        <v>2.0334008836838979</v>
      </c>
    </row>
    <row r="1053" spans="4:11" x14ac:dyDescent="0.25">
      <c r="D1053" t="s">
        <v>287</v>
      </c>
      <c r="E1053" t="s">
        <v>7</v>
      </c>
      <c r="F1053" t="s">
        <v>24</v>
      </c>
      <c r="G1053" s="54">
        <v>4</v>
      </c>
      <c r="H1053">
        <v>3</v>
      </c>
      <c r="I1053" s="1">
        <v>-1</v>
      </c>
      <c r="J1053" s="1">
        <v>-0.60001746653173882</v>
      </c>
      <c r="K1053" s="1">
        <v>0.15998602707968868</v>
      </c>
    </row>
    <row r="1054" spans="4:11" ht="15" customHeight="1" x14ac:dyDescent="0.25">
      <c r="D1054" t="s">
        <v>287</v>
      </c>
      <c r="E1054" t="s">
        <v>33</v>
      </c>
      <c r="F1054" t="s">
        <v>10</v>
      </c>
      <c r="G1054" s="54">
        <v>2</v>
      </c>
      <c r="H1054">
        <v>3</v>
      </c>
      <c r="I1054" s="1">
        <v>1</v>
      </c>
      <c r="J1054" s="1">
        <v>0.18490175059454828</v>
      </c>
      <c r="K1054" s="1">
        <v>0.66438515618383198</v>
      </c>
    </row>
    <row r="1055" spans="4:11" x14ac:dyDescent="0.25">
      <c r="D1055" t="s">
        <v>288</v>
      </c>
      <c r="E1055" t="s">
        <v>32</v>
      </c>
      <c r="F1055" t="s">
        <v>0</v>
      </c>
      <c r="G1055" s="54">
        <v>4</v>
      </c>
      <c r="H1055">
        <v>1</v>
      </c>
      <c r="I1055" s="1">
        <v>-3</v>
      </c>
      <c r="J1055" s="1">
        <v>-0.28080867414398369</v>
      </c>
      <c r="K1055" s="1">
        <v>7.3940014666106002</v>
      </c>
    </row>
    <row r="1056" spans="4:11" ht="18" customHeight="1" x14ac:dyDescent="0.25">
      <c r="D1056" t="s">
        <v>288</v>
      </c>
      <c r="E1056" t="s">
        <v>27</v>
      </c>
      <c r="F1056" t="s">
        <v>229</v>
      </c>
      <c r="G1056" s="54">
        <v>0</v>
      </c>
      <c r="H1056">
        <v>4</v>
      </c>
      <c r="I1056" s="1">
        <v>4</v>
      </c>
      <c r="J1056" s="1">
        <v>1.0410250148965332</v>
      </c>
      <c r="K1056" s="1">
        <v>8.7555329624680613</v>
      </c>
    </row>
    <row r="1057" spans="4:11" x14ac:dyDescent="0.25">
      <c r="D1057" t="s">
        <v>288</v>
      </c>
      <c r="E1057" t="s">
        <v>2</v>
      </c>
      <c r="F1057" t="s">
        <v>18</v>
      </c>
      <c r="G1057" s="54">
        <v>4</v>
      </c>
      <c r="H1057">
        <v>6</v>
      </c>
      <c r="I1057" s="1">
        <v>2</v>
      </c>
      <c r="J1057" s="1">
        <v>0.47765835674773882</v>
      </c>
      <c r="K1057" s="1">
        <v>2.3175240787799947</v>
      </c>
    </row>
    <row r="1058" spans="4:11" ht="15" customHeight="1" x14ac:dyDescent="0.25">
      <c r="D1058" t="s">
        <v>288</v>
      </c>
      <c r="E1058" t="s">
        <v>13</v>
      </c>
      <c r="F1058" t="s">
        <v>14</v>
      </c>
      <c r="G1058" s="54">
        <v>1</v>
      </c>
      <c r="H1058">
        <v>3</v>
      </c>
      <c r="I1058" s="1">
        <v>2</v>
      </c>
      <c r="J1058" s="1">
        <v>-0.11846318700258962</v>
      </c>
      <c r="K1058" s="1">
        <v>4.4878862746851693</v>
      </c>
    </row>
    <row r="1059" spans="4:11" x14ac:dyDescent="0.25">
      <c r="D1059" t="s">
        <v>288</v>
      </c>
      <c r="E1059" t="s">
        <v>12</v>
      </c>
      <c r="F1059" t="s">
        <v>23</v>
      </c>
      <c r="G1059" s="54">
        <v>3</v>
      </c>
      <c r="H1059">
        <v>2</v>
      </c>
      <c r="I1059" s="1">
        <v>-1</v>
      </c>
      <c r="J1059" s="1">
        <v>0.19435787502041535</v>
      </c>
      <c r="K1059" s="1">
        <v>1.4264907336232822</v>
      </c>
    </row>
    <row r="1060" spans="4:11" ht="18" customHeight="1" x14ac:dyDescent="0.25">
      <c r="D1060" t="s">
        <v>288</v>
      </c>
      <c r="E1060" t="s">
        <v>38</v>
      </c>
      <c r="F1060" t="s">
        <v>25</v>
      </c>
      <c r="G1060" s="54">
        <v>1</v>
      </c>
      <c r="H1060">
        <v>2</v>
      </c>
      <c r="I1060" s="1">
        <v>1</v>
      </c>
      <c r="J1060" s="1">
        <v>-6.1758074954127551E-2</v>
      </c>
      <c r="K1060" s="1">
        <v>1.1273302097302946</v>
      </c>
    </row>
    <row r="1061" spans="4:11" x14ac:dyDescent="0.25">
      <c r="D1061" t="s">
        <v>288</v>
      </c>
      <c r="E1061" t="s">
        <v>11</v>
      </c>
      <c r="F1061" t="s">
        <v>21</v>
      </c>
      <c r="G1061" s="54">
        <v>1</v>
      </c>
      <c r="H1061">
        <v>2</v>
      </c>
      <c r="I1061" s="1">
        <v>1</v>
      </c>
      <c r="J1061" s="1">
        <v>0.18520379133195775</v>
      </c>
      <c r="K1061" s="1">
        <v>0.66389286165981587</v>
      </c>
    </row>
    <row r="1062" spans="4:11" ht="15" customHeight="1" x14ac:dyDescent="0.25">
      <c r="D1062" t="s">
        <v>288</v>
      </c>
      <c r="E1062" t="s">
        <v>1</v>
      </c>
      <c r="F1062" t="s">
        <v>4</v>
      </c>
      <c r="G1062" s="54">
        <v>1</v>
      </c>
      <c r="H1062">
        <v>4</v>
      </c>
      <c r="I1062" s="1">
        <v>3</v>
      </c>
      <c r="J1062" s="1">
        <v>0.7308667053654716</v>
      </c>
      <c r="K1062" s="1">
        <v>5.1489659088189494</v>
      </c>
    </row>
    <row r="1063" spans="4:11" x14ac:dyDescent="0.25">
      <c r="D1063" t="s">
        <v>288</v>
      </c>
      <c r="E1063" t="s">
        <v>7</v>
      </c>
      <c r="F1063" t="s">
        <v>3</v>
      </c>
      <c r="G1063" s="54">
        <v>6</v>
      </c>
      <c r="H1063">
        <v>2</v>
      </c>
      <c r="I1063" s="1">
        <v>-4</v>
      </c>
      <c r="J1063" s="1">
        <v>0.60507820573964466</v>
      </c>
      <c r="K1063" s="1">
        <v>21.206745280978264</v>
      </c>
    </row>
    <row r="1064" spans="4:11" ht="15" customHeight="1" x14ac:dyDescent="0.25">
      <c r="D1064" t="s">
        <v>288</v>
      </c>
      <c r="E1064" t="s">
        <v>22</v>
      </c>
      <c r="F1064" t="s">
        <v>176</v>
      </c>
      <c r="G1064" s="54">
        <v>5</v>
      </c>
      <c r="H1064">
        <v>2</v>
      </c>
      <c r="I1064" s="1">
        <v>-3</v>
      </c>
      <c r="J1064" s="1">
        <v>-0.92379207555272558</v>
      </c>
      <c r="K1064" s="1">
        <v>4.310639345537659</v>
      </c>
    </row>
    <row r="1065" spans="4:11" x14ac:dyDescent="0.25">
      <c r="D1065" t="s">
        <v>289</v>
      </c>
      <c r="E1065" t="s">
        <v>35</v>
      </c>
      <c r="F1065" t="s">
        <v>8</v>
      </c>
      <c r="G1065" s="54">
        <v>3</v>
      </c>
      <c r="H1065">
        <v>1</v>
      </c>
      <c r="I1065" s="1">
        <v>-2</v>
      </c>
      <c r="J1065" s="1">
        <v>-0.67940796424282723</v>
      </c>
      <c r="K1065" s="1">
        <v>1.7439633249052739</v>
      </c>
    </row>
    <row r="1066" spans="4:11" ht="15" customHeight="1" x14ac:dyDescent="0.25">
      <c r="D1066" t="s">
        <v>289</v>
      </c>
      <c r="E1066" t="s">
        <v>13</v>
      </c>
      <c r="F1066" t="s">
        <v>36</v>
      </c>
      <c r="G1066" s="54">
        <v>1</v>
      </c>
      <c r="H1066">
        <v>3</v>
      </c>
      <c r="I1066" s="1">
        <v>2</v>
      </c>
      <c r="J1066" s="1">
        <v>0.67060067042577032</v>
      </c>
      <c r="K1066" s="1">
        <v>1.7673025774724114</v>
      </c>
    </row>
    <row r="1067" spans="4:11" x14ac:dyDescent="0.25">
      <c r="D1067" t="s">
        <v>289</v>
      </c>
      <c r="E1067" t="s">
        <v>22</v>
      </c>
      <c r="F1067" t="s">
        <v>10</v>
      </c>
      <c r="G1067" s="54">
        <v>2</v>
      </c>
      <c r="H1067">
        <v>3</v>
      </c>
      <c r="I1067" s="1">
        <v>1</v>
      </c>
      <c r="J1067" s="1">
        <v>0.37689365608515857</v>
      </c>
      <c r="K1067" s="1">
        <v>0.38826151582692064</v>
      </c>
    </row>
    <row r="1068" spans="4:11" ht="18" customHeight="1" x14ac:dyDescent="0.25">
      <c r="D1068" t="s">
        <v>290</v>
      </c>
      <c r="E1068" t="s">
        <v>38</v>
      </c>
      <c r="F1068" t="s">
        <v>23</v>
      </c>
      <c r="G1068" s="54">
        <v>3</v>
      </c>
      <c r="H1068">
        <v>6</v>
      </c>
      <c r="I1068" s="1">
        <v>3</v>
      </c>
      <c r="J1068" s="1">
        <v>4.7131130214694394E-2</v>
      </c>
      <c r="K1068" s="1">
        <v>8.7194345621471481</v>
      </c>
    </row>
    <row r="1069" spans="4:11" x14ac:dyDescent="0.25">
      <c r="D1069" t="s">
        <v>290</v>
      </c>
      <c r="E1069" t="s">
        <v>7</v>
      </c>
      <c r="F1069" t="s">
        <v>4</v>
      </c>
      <c r="G1069" s="54">
        <v>3</v>
      </c>
      <c r="H1069">
        <v>2</v>
      </c>
      <c r="I1069" s="1">
        <v>-1</v>
      </c>
      <c r="J1069" s="1">
        <v>0.66322671827195734</v>
      </c>
      <c r="K1069" s="1">
        <v>2.7663231163737048</v>
      </c>
    </row>
    <row r="1070" spans="4:11" ht="15" customHeight="1" x14ac:dyDescent="0.25">
      <c r="D1070" t="s">
        <v>290</v>
      </c>
      <c r="E1070" t="s">
        <v>3</v>
      </c>
      <c r="F1070" t="s">
        <v>33</v>
      </c>
      <c r="G1070" s="54">
        <v>4</v>
      </c>
      <c r="H1070">
        <v>1</v>
      </c>
      <c r="I1070" s="1">
        <v>-3</v>
      </c>
      <c r="J1070" s="1">
        <v>0.20414249113439098</v>
      </c>
      <c r="K1070" s="1">
        <v>10.266529103492902</v>
      </c>
    </row>
    <row r="1071" spans="4:11" x14ac:dyDescent="0.25">
      <c r="D1071" t="s">
        <v>290</v>
      </c>
      <c r="E1071" t="s">
        <v>32</v>
      </c>
      <c r="F1071" t="s">
        <v>229</v>
      </c>
      <c r="G1071" s="54">
        <v>0</v>
      </c>
      <c r="H1071">
        <v>2</v>
      </c>
      <c r="I1071" s="1">
        <v>2</v>
      </c>
      <c r="J1071" s="1">
        <v>0.67715380495555166</v>
      </c>
      <c r="K1071" s="1">
        <v>1.7499220557435746</v>
      </c>
    </row>
    <row r="1072" spans="4:11" ht="15" customHeight="1" x14ac:dyDescent="0.25">
      <c r="D1072" t="s">
        <v>290</v>
      </c>
      <c r="E1072" t="s">
        <v>0</v>
      </c>
      <c r="F1072" t="s">
        <v>18</v>
      </c>
      <c r="G1072" s="54">
        <v>3</v>
      </c>
      <c r="H1072">
        <v>5</v>
      </c>
      <c r="I1072" s="1">
        <v>2</v>
      </c>
      <c r="J1072" s="1">
        <v>1.0906069072293576</v>
      </c>
      <c r="K1072" s="1">
        <v>0.82699579717895422</v>
      </c>
    </row>
    <row r="1073" spans="4:11" x14ac:dyDescent="0.25">
      <c r="D1073" t="s">
        <v>290</v>
      </c>
      <c r="E1073" t="s">
        <v>2</v>
      </c>
      <c r="F1073" t="s">
        <v>14</v>
      </c>
      <c r="G1073" s="54">
        <v>1</v>
      </c>
      <c r="H1073">
        <v>2</v>
      </c>
      <c r="I1073" s="1">
        <v>1</v>
      </c>
      <c r="J1073" s="1">
        <v>9.7439509406882507E-3</v>
      </c>
      <c r="K1073" s="1">
        <v>0.98060704269855803</v>
      </c>
    </row>
    <row r="1074" spans="4:11" ht="15" customHeight="1" x14ac:dyDescent="0.25">
      <c r="D1074" t="s">
        <v>290</v>
      </c>
      <c r="E1074" t="s">
        <v>40</v>
      </c>
      <c r="F1074" t="s">
        <v>35</v>
      </c>
      <c r="G1074" s="54">
        <v>3</v>
      </c>
      <c r="H1074">
        <v>0</v>
      </c>
      <c r="I1074" s="1">
        <v>-3</v>
      </c>
      <c r="J1074" s="1">
        <v>-0.42090264035822145</v>
      </c>
      <c r="K1074" s="1">
        <v>6.6517431905111932</v>
      </c>
    </row>
    <row r="1075" spans="4:11" x14ac:dyDescent="0.25">
      <c r="D1075" t="s">
        <v>290</v>
      </c>
      <c r="E1075" t="s">
        <v>37</v>
      </c>
      <c r="F1075" t="s">
        <v>27</v>
      </c>
      <c r="G1075" s="54">
        <v>3</v>
      </c>
      <c r="H1075">
        <v>2</v>
      </c>
      <c r="I1075" s="1">
        <v>-1</v>
      </c>
      <c r="J1075" s="1">
        <v>-0.8873339907817126</v>
      </c>
      <c r="K1075" s="1">
        <v>1.2693629633175222E-2</v>
      </c>
    </row>
    <row r="1076" spans="4:11" ht="18" customHeight="1" x14ac:dyDescent="0.25">
      <c r="D1076" t="s">
        <v>290</v>
      </c>
      <c r="E1076" t="s">
        <v>12</v>
      </c>
      <c r="F1076" t="s">
        <v>25</v>
      </c>
      <c r="G1076" s="54">
        <v>0</v>
      </c>
      <c r="H1076">
        <v>3</v>
      </c>
      <c r="I1076" s="1">
        <v>3</v>
      </c>
      <c r="J1076" s="1">
        <v>8.5468669851593404E-2</v>
      </c>
      <c r="K1076" s="1">
        <v>8.4944928744166397</v>
      </c>
    </row>
    <row r="1077" spans="4:11" x14ac:dyDescent="0.25">
      <c r="D1077" t="s">
        <v>290</v>
      </c>
      <c r="E1077" t="s">
        <v>8</v>
      </c>
      <c r="F1077" t="s">
        <v>19</v>
      </c>
      <c r="G1077" s="54">
        <v>0</v>
      </c>
      <c r="H1077">
        <v>3</v>
      </c>
      <c r="I1077" s="1">
        <v>3</v>
      </c>
      <c r="J1077" s="1">
        <v>1.8978447368855029</v>
      </c>
      <c r="K1077" s="1">
        <v>1.2147462240109863</v>
      </c>
    </row>
    <row r="1078" spans="4:11" ht="15" customHeight="1" x14ac:dyDescent="0.25">
      <c r="D1078" t="s">
        <v>290</v>
      </c>
      <c r="E1078" t="s">
        <v>20</v>
      </c>
      <c r="F1078" t="s">
        <v>21</v>
      </c>
      <c r="G1078" s="54">
        <v>0</v>
      </c>
      <c r="H1078">
        <v>4</v>
      </c>
      <c r="I1078" s="1">
        <v>4</v>
      </c>
      <c r="J1078" s="1">
        <v>-0.20299610845225402</v>
      </c>
      <c r="K1078" s="1">
        <v>17.665176287664792</v>
      </c>
    </row>
    <row r="1079" spans="4:11" x14ac:dyDescent="0.25">
      <c r="D1079" t="s">
        <v>290</v>
      </c>
      <c r="E1079" t="s">
        <v>11</v>
      </c>
      <c r="F1079" t="s">
        <v>176</v>
      </c>
      <c r="G1079" s="54">
        <v>3</v>
      </c>
      <c r="H1079">
        <v>1</v>
      </c>
      <c r="I1079" s="1">
        <v>-2</v>
      </c>
      <c r="J1079" s="1">
        <v>-1.0826881390985221</v>
      </c>
      <c r="K1079" s="1">
        <v>0.8414610501505323</v>
      </c>
    </row>
    <row r="1080" spans="4:11" ht="15" customHeight="1" x14ac:dyDescent="0.25">
      <c r="D1080" t="s">
        <v>290</v>
      </c>
      <c r="E1080" t="s">
        <v>1</v>
      </c>
      <c r="F1080" t="s">
        <v>24</v>
      </c>
      <c r="G1080" s="54">
        <v>4</v>
      </c>
      <c r="H1080">
        <v>5</v>
      </c>
      <c r="I1080" s="1">
        <v>1</v>
      </c>
      <c r="J1080" s="1">
        <v>-0.53237747943822455</v>
      </c>
      <c r="K1080" s="1">
        <v>2.3481807394894463</v>
      </c>
    </row>
    <row r="1081" spans="4:11" x14ac:dyDescent="0.25">
      <c r="D1081" t="s">
        <v>291</v>
      </c>
      <c r="E1081" t="s">
        <v>38</v>
      </c>
      <c r="F1081" t="s">
        <v>13</v>
      </c>
      <c r="G1081" s="54">
        <v>1</v>
      </c>
      <c r="H1081">
        <v>2</v>
      </c>
      <c r="I1081" s="1">
        <v>1</v>
      </c>
      <c r="J1081" s="1">
        <v>-0.20642909871376958</v>
      </c>
      <c r="K1081" s="1">
        <v>1.4554711702233183</v>
      </c>
    </row>
    <row r="1082" spans="4:11" ht="15" customHeight="1" x14ac:dyDescent="0.25">
      <c r="D1082" t="s">
        <v>291</v>
      </c>
      <c r="E1082" t="s">
        <v>2</v>
      </c>
      <c r="F1082" t="s">
        <v>36</v>
      </c>
      <c r="G1082" s="54">
        <v>3</v>
      </c>
      <c r="H1082">
        <v>5</v>
      </c>
      <c r="I1082" s="1">
        <v>2</v>
      </c>
      <c r="J1082" s="1">
        <v>0.79880780836904819</v>
      </c>
      <c r="K1082" s="1">
        <v>1.4428626812351693</v>
      </c>
    </row>
    <row r="1083" spans="4:11" x14ac:dyDescent="0.25">
      <c r="D1083" t="s">
        <v>291</v>
      </c>
      <c r="E1083" t="s">
        <v>10</v>
      </c>
      <c r="F1083" t="s">
        <v>37</v>
      </c>
      <c r="G1083" s="54">
        <v>2</v>
      </c>
      <c r="H1083">
        <v>7</v>
      </c>
      <c r="I1083" s="1">
        <v>5</v>
      </c>
      <c r="J1083" s="1">
        <v>0.84097645951030131</v>
      </c>
      <c r="K1083" s="1">
        <v>17.297476810347469</v>
      </c>
    </row>
    <row r="1084" spans="4:11" ht="18" customHeight="1" x14ac:dyDescent="0.25">
      <c r="D1084" t="s">
        <v>291</v>
      </c>
      <c r="E1084" t="s">
        <v>3</v>
      </c>
      <c r="F1084" t="s">
        <v>176</v>
      </c>
      <c r="G1084" s="54">
        <v>3</v>
      </c>
      <c r="H1084">
        <v>1</v>
      </c>
      <c r="I1084" s="1">
        <v>-2</v>
      </c>
      <c r="J1084" s="1">
        <v>-1.1564419805368829</v>
      </c>
      <c r="K1084" s="1">
        <v>0.71159013220053668</v>
      </c>
    </row>
    <row r="1085" spans="4:11" x14ac:dyDescent="0.25">
      <c r="D1085" t="s">
        <v>292</v>
      </c>
      <c r="E1085" t="s">
        <v>33</v>
      </c>
      <c r="F1085" t="s">
        <v>35</v>
      </c>
      <c r="G1085" s="54">
        <v>3</v>
      </c>
      <c r="H1085">
        <v>1</v>
      </c>
      <c r="I1085" s="1">
        <v>-2</v>
      </c>
      <c r="J1085" s="1">
        <v>-0.31497341556766401</v>
      </c>
      <c r="K1085" s="1">
        <v>2.8393145902437045</v>
      </c>
    </row>
    <row r="1086" spans="4:11" ht="15" customHeight="1" x14ac:dyDescent="0.25">
      <c r="D1086" t="s">
        <v>292</v>
      </c>
      <c r="E1086" t="s">
        <v>20</v>
      </c>
      <c r="F1086" t="s">
        <v>27</v>
      </c>
      <c r="G1086" s="54">
        <v>3</v>
      </c>
      <c r="H1086">
        <v>1</v>
      </c>
      <c r="I1086" s="1">
        <v>-2</v>
      </c>
      <c r="J1086" s="1">
        <v>-0.70616081977213696</v>
      </c>
      <c r="K1086" s="1">
        <v>1.6740198242927087</v>
      </c>
    </row>
    <row r="1087" spans="4:11" x14ac:dyDescent="0.25">
      <c r="D1087" t="s">
        <v>292</v>
      </c>
      <c r="E1087" t="s">
        <v>23</v>
      </c>
      <c r="F1087" t="s">
        <v>0</v>
      </c>
      <c r="G1087" s="54">
        <v>2</v>
      </c>
      <c r="H1087">
        <v>1</v>
      </c>
      <c r="I1087" s="1">
        <v>-1</v>
      </c>
      <c r="J1087" s="1">
        <v>-0.74991542672542266</v>
      </c>
      <c r="K1087" s="1">
        <v>6.2542293789927442E-2</v>
      </c>
    </row>
    <row r="1088" spans="4:11" ht="15" customHeight="1" x14ac:dyDescent="0.25">
      <c r="D1088" t="s">
        <v>292</v>
      </c>
      <c r="E1088" t="s">
        <v>32</v>
      </c>
      <c r="F1088" t="s">
        <v>18</v>
      </c>
      <c r="G1088" s="54">
        <v>2</v>
      </c>
      <c r="H1088">
        <v>5</v>
      </c>
      <c r="I1088" s="1">
        <v>3</v>
      </c>
      <c r="J1088" s="1">
        <v>0.56499774245743595</v>
      </c>
      <c r="K1088" s="1">
        <v>5.9292359942373833</v>
      </c>
    </row>
    <row r="1089" spans="4:11" x14ac:dyDescent="0.25">
      <c r="D1089" t="s">
        <v>292</v>
      </c>
      <c r="E1089" t="s">
        <v>8</v>
      </c>
      <c r="F1089" t="s">
        <v>21</v>
      </c>
      <c r="G1089" s="54">
        <v>3</v>
      </c>
      <c r="H1089">
        <v>4</v>
      </c>
      <c r="I1089" s="1">
        <v>1</v>
      </c>
      <c r="J1089" s="1">
        <v>1.6360903104535112</v>
      </c>
      <c r="K1089" s="1">
        <v>0.40461088305284421</v>
      </c>
    </row>
    <row r="1090" spans="4:11" ht="15" customHeight="1" x14ac:dyDescent="0.25">
      <c r="D1090" t="s">
        <v>292</v>
      </c>
      <c r="E1090" t="s">
        <v>22</v>
      </c>
      <c r="F1090" t="s">
        <v>4</v>
      </c>
      <c r="G1090" s="54">
        <v>2</v>
      </c>
      <c r="H1090">
        <v>3</v>
      </c>
      <c r="I1090" s="1">
        <v>1</v>
      </c>
      <c r="J1090" s="1">
        <v>0.53559890814440791</v>
      </c>
      <c r="K1090" s="1">
        <v>0.21566837411666609</v>
      </c>
    </row>
    <row r="1091" spans="4:11" x14ac:dyDescent="0.25">
      <c r="D1091" t="s">
        <v>292</v>
      </c>
      <c r="E1091" t="s">
        <v>25</v>
      </c>
      <c r="F1091" t="s">
        <v>24</v>
      </c>
      <c r="G1091" s="54">
        <v>4</v>
      </c>
      <c r="H1091">
        <v>1</v>
      </c>
      <c r="I1091" s="1">
        <v>-3</v>
      </c>
      <c r="J1091" s="1">
        <v>-1.0478686869428202</v>
      </c>
      <c r="K1091" s="1">
        <v>3.8108166634183491</v>
      </c>
    </row>
    <row r="1092" spans="4:11" ht="15" customHeight="1" x14ac:dyDescent="0.25">
      <c r="D1092" t="s">
        <v>293</v>
      </c>
      <c r="E1092" t="s">
        <v>23</v>
      </c>
      <c r="F1092" t="s">
        <v>40</v>
      </c>
      <c r="G1092" s="54">
        <v>2</v>
      </c>
      <c r="H1092">
        <v>1</v>
      </c>
      <c r="I1092" s="1">
        <v>-1</v>
      </c>
      <c r="J1092" s="1">
        <v>0.11360900545675179</v>
      </c>
      <c r="K1092" s="1">
        <v>1.2401250170343758</v>
      </c>
    </row>
    <row r="1093" spans="4:11" x14ac:dyDescent="0.25">
      <c r="D1093" t="s">
        <v>293</v>
      </c>
      <c r="E1093" t="s">
        <v>33</v>
      </c>
      <c r="F1093" t="s">
        <v>37</v>
      </c>
      <c r="G1093" s="54">
        <v>4</v>
      </c>
      <c r="H1093">
        <v>2</v>
      </c>
      <c r="I1093" s="1">
        <v>-2</v>
      </c>
      <c r="J1093" s="1">
        <v>0.78107771947691162</v>
      </c>
      <c r="K1093" s="1">
        <v>7.7343932817708998</v>
      </c>
    </row>
    <row r="1094" spans="4:11" ht="15" customHeight="1" x14ac:dyDescent="0.25">
      <c r="D1094" t="s">
        <v>293</v>
      </c>
      <c r="E1094" t="s">
        <v>38</v>
      </c>
      <c r="F1094" t="s">
        <v>11</v>
      </c>
      <c r="G1094" s="54">
        <v>3</v>
      </c>
      <c r="H1094">
        <v>2</v>
      </c>
      <c r="I1094" s="1">
        <v>-1</v>
      </c>
      <c r="J1094" s="1">
        <v>-0.22308542169186296</v>
      </c>
      <c r="K1094" s="1">
        <v>0.60359626198771044</v>
      </c>
    </row>
    <row r="1095" spans="4:11" x14ac:dyDescent="0.25">
      <c r="D1095" t="s">
        <v>293</v>
      </c>
      <c r="E1095" t="s">
        <v>10</v>
      </c>
      <c r="F1095" t="s">
        <v>7</v>
      </c>
      <c r="G1095" s="54">
        <v>3</v>
      </c>
      <c r="H1095">
        <v>5</v>
      </c>
      <c r="I1095" s="1">
        <v>2</v>
      </c>
      <c r="J1095" s="1">
        <v>-1.492048495683207E-2</v>
      </c>
      <c r="K1095" s="1">
        <v>4.0599045606986754</v>
      </c>
    </row>
    <row r="1096" spans="4:11" ht="15" customHeight="1" x14ac:dyDescent="0.25">
      <c r="D1096" t="s">
        <v>293</v>
      </c>
      <c r="E1096" t="s">
        <v>176</v>
      </c>
      <c r="F1096" t="s">
        <v>13</v>
      </c>
      <c r="G1096" s="54">
        <v>5</v>
      </c>
      <c r="H1096">
        <v>4</v>
      </c>
      <c r="I1096" s="1">
        <v>-1</v>
      </c>
      <c r="J1096" s="1">
        <v>1.5889454433324914</v>
      </c>
      <c r="K1096" s="1">
        <v>6.702638508552071</v>
      </c>
    </row>
    <row r="1097" spans="4:11" x14ac:dyDescent="0.25">
      <c r="D1097" t="s">
        <v>293</v>
      </c>
      <c r="E1097" t="s">
        <v>14</v>
      </c>
      <c r="F1097" t="s">
        <v>36</v>
      </c>
      <c r="G1097" s="54">
        <v>3</v>
      </c>
      <c r="H1097">
        <v>4</v>
      </c>
      <c r="I1097" s="1">
        <v>1</v>
      </c>
      <c r="J1097" s="1">
        <v>1.0338643480562979</v>
      </c>
      <c r="K1097" s="1">
        <v>1.1467940692780874E-3</v>
      </c>
    </row>
    <row r="1098" spans="4:11" ht="18" customHeight="1" x14ac:dyDescent="0.25">
      <c r="D1098" t="s">
        <v>293</v>
      </c>
      <c r="E1098" t="s">
        <v>229</v>
      </c>
      <c r="F1098" t="s">
        <v>19</v>
      </c>
      <c r="G1098" s="54">
        <v>2</v>
      </c>
      <c r="H1098">
        <v>3</v>
      </c>
      <c r="I1098" s="1">
        <v>1</v>
      </c>
      <c r="J1098" s="1">
        <v>0.21349510411121742</v>
      </c>
      <c r="K1098" s="1">
        <v>0.61858995125702476</v>
      </c>
    </row>
    <row r="1099" spans="4:11" x14ac:dyDescent="0.25">
      <c r="D1099" t="s">
        <v>293</v>
      </c>
      <c r="E1099" t="s">
        <v>25</v>
      </c>
      <c r="F1099" t="s">
        <v>3</v>
      </c>
      <c r="G1099" s="54">
        <v>2</v>
      </c>
      <c r="H1099">
        <v>5</v>
      </c>
      <c r="I1099" s="1">
        <v>3</v>
      </c>
      <c r="J1099" s="1">
        <v>0.15722698532856327</v>
      </c>
      <c r="K1099" s="1">
        <v>8.0813584129441285</v>
      </c>
    </row>
    <row r="1100" spans="4:11" ht="15" customHeight="1" x14ac:dyDescent="0.25">
      <c r="D1100" t="s">
        <v>294</v>
      </c>
      <c r="E1100" t="s">
        <v>20</v>
      </c>
      <c r="F1100" t="s">
        <v>1</v>
      </c>
      <c r="G1100" s="54">
        <v>1</v>
      </c>
      <c r="H1100">
        <v>4</v>
      </c>
      <c r="I1100" s="1">
        <v>3</v>
      </c>
      <c r="J1100" s="1">
        <v>-0.49756326992313404</v>
      </c>
      <c r="K1100" s="1">
        <v>12.232948827115406</v>
      </c>
    </row>
    <row r="1101" spans="4:11" x14ac:dyDescent="0.25">
      <c r="D1101" t="s">
        <v>294</v>
      </c>
      <c r="E1101" t="s">
        <v>22</v>
      </c>
      <c r="F1101" t="s">
        <v>24</v>
      </c>
      <c r="G1101" s="54">
        <v>3</v>
      </c>
      <c r="H1101">
        <v>4</v>
      </c>
      <c r="I1101" s="1">
        <v>1</v>
      </c>
      <c r="J1101" s="1">
        <v>-0.72764527665928824</v>
      </c>
      <c r="K1101" s="1">
        <v>2.9847582019631487</v>
      </c>
    </row>
    <row r="1102" spans="4:11" ht="15" customHeight="1" x14ac:dyDescent="0.25">
      <c r="D1102" t="s">
        <v>294</v>
      </c>
      <c r="E1102" t="s">
        <v>21</v>
      </c>
      <c r="F1102" t="s">
        <v>4</v>
      </c>
      <c r="G1102" s="54">
        <v>4</v>
      </c>
      <c r="H1102">
        <v>3</v>
      </c>
      <c r="I1102" s="1">
        <v>-1</v>
      </c>
      <c r="J1102" s="1">
        <v>0.43629954389459158</v>
      </c>
      <c r="K1102" s="1">
        <v>2.062956379791812</v>
      </c>
    </row>
    <row r="1103" spans="4:11" x14ac:dyDescent="0.25">
      <c r="D1103" t="s">
        <v>295</v>
      </c>
      <c r="E1103" t="s">
        <v>10</v>
      </c>
      <c r="F1103" t="s">
        <v>2</v>
      </c>
      <c r="G1103" s="54">
        <v>3</v>
      </c>
      <c r="H1103">
        <v>2</v>
      </c>
      <c r="I1103" s="1">
        <v>-1</v>
      </c>
      <c r="J1103" s="1">
        <v>0.16005257375132942</v>
      </c>
      <c r="K1103" s="1">
        <v>1.3457219738670836</v>
      </c>
    </row>
    <row r="1104" spans="4:11" ht="15" customHeight="1" x14ac:dyDescent="0.25">
      <c r="D1104" t="s">
        <v>295</v>
      </c>
      <c r="E1104" t="s">
        <v>176</v>
      </c>
      <c r="F1104" t="s">
        <v>8</v>
      </c>
      <c r="G1104" s="54">
        <v>4</v>
      </c>
      <c r="H1104">
        <v>3</v>
      </c>
      <c r="I1104" s="1">
        <v>-1</v>
      </c>
      <c r="J1104" s="1">
        <v>0.12140260123284463</v>
      </c>
      <c r="K1104" s="1">
        <v>1.2575437940517904</v>
      </c>
    </row>
    <row r="1105" spans="4:11" x14ac:dyDescent="0.25">
      <c r="D1105" t="s">
        <v>295</v>
      </c>
      <c r="E1105" t="s">
        <v>33</v>
      </c>
      <c r="F1105" t="s">
        <v>40</v>
      </c>
      <c r="G1105" s="54">
        <v>3</v>
      </c>
      <c r="H1105">
        <v>2</v>
      </c>
      <c r="I1105" s="1">
        <v>-1</v>
      </c>
      <c r="J1105" s="1">
        <v>0.3507297154184954</v>
      </c>
      <c r="K1105" s="1">
        <v>1.8244707641145297</v>
      </c>
    </row>
    <row r="1106" spans="4:11" ht="18" customHeight="1" x14ac:dyDescent="0.25">
      <c r="D1106" t="s">
        <v>295</v>
      </c>
      <c r="E1106" t="s">
        <v>35</v>
      </c>
      <c r="F1106" t="s">
        <v>12</v>
      </c>
      <c r="G1106" s="54">
        <v>2</v>
      </c>
      <c r="H1106">
        <v>3</v>
      </c>
      <c r="I1106" s="1">
        <v>1</v>
      </c>
      <c r="J1106" s="1">
        <v>1.0921377223928062</v>
      </c>
      <c r="K1106" s="1">
        <v>8.4893598877338119E-3</v>
      </c>
    </row>
    <row r="1107" spans="4:11" x14ac:dyDescent="0.25">
      <c r="D1107" t="s">
        <v>295</v>
      </c>
      <c r="E1107" t="s">
        <v>11</v>
      </c>
      <c r="F1107" t="s">
        <v>27</v>
      </c>
      <c r="G1107" s="54">
        <v>2</v>
      </c>
      <c r="H1107">
        <v>5</v>
      </c>
      <c r="I1107" s="1">
        <v>3</v>
      </c>
      <c r="J1107" s="1">
        <v>-0.31796091998792519</v>
      </c>
      <c r="K1107" s="1">
        <v>11.008864666567119</v>
      </c>
    </row>
    <row r="1108" spans="4:11" ht="18" customHeight="1" x14ac:dyDescent="0.25">
      <c r="D1108" t="s">
        <v>295</v>
      </c>
      <c r="E1108" t="s">
        <v>14</v>
      </c>
      <c r="F1108" t="s">
        <v>0</v>
      </c>
      <c r="G1108" s="54">
        <v>4</v>
      </c>
      <c r="H1108">
        <v>1</v>
      </c>
      <c r="I1108" s="1">
        <v>-3</v>
      </c>
      <c r="J1108" s="1">
        <v>-0.13309152016643111</v>
      </c>
      <c r="K1108" s="1">
        <v>8.2191642317416242</v>
      </c>
    </row>
    <row r="1109" spans="4:11" x14ac:dyDescent="0.25">
      <c r="D1109" t="s">
        <v>295</v>
      </c>
      <c r="E1109" t="s">
        <v>37</v>
      </c>
      <c r="F1109" t="s">
        <v>18</v>
      </c>
      <c r="G1109" s="54">
        <v>5</v>
      </c>
      <c r="H1109">
        <v>1</v>
      </c>
      <c r="I1109" s="1">
        <v>-4</v>
      </c>
      <c r="J1109" s="1">
        <v>-0.20326552901123307</v>
      </c>
      <c r="K1109" s="1">
        <v>14.415192643194352</v>
      </c>
    </row>
    <row r="1110" spans="4:11" ht="15" customHeight="1" x14ac:dyDescent="0.25">
      <c r="D1110" t="s">
        <v>295</v>
      </c>
      <c r="E1110" t="s">
        <v>32</v>
      </c>
      <c r="F1110" t="s">
        <v>13</v>
      </c>
      <c r="G1110" s="54">
        <v>6</v>
      </c>
      <c r="H1110">
        <v>4</v>
      </c>
      <c r="I1110" s="1">
        <v>-2</v>
      </c>
      <c r="J1110" s="1">
        <v>0.46034701428091296</v>
      </c>
      <c r="K1110" s="1">
        <v>6.0533074306810031</v>
      </c>
    </row>
    <row r="1111" spans="4:11" x14ac:dyDescent="0.25">
      <c r="D1111" t="s">
        <v>295</v>
      </c>
      <c r="E1111" t="s">
        <v>19</v>
      </c>
      <c r="F1111" t="s">
        <v>36</v>
      </c>
      <c r="G1111" s="54">
        <v>3</v>
      </c>
      <c r="H1111">
        <v>2</v>
      </c>
      <c r="I1111" s="1">
        <v>-1</v>
      </c>
      <c r="J1111" s="1">
        <v>0.48509926626785216</v>
      </c>
      <c r="K1111" s="1">
        <v>2.2055198306693127</v>
      </c>
    </row>
    <row r="1112" spans="4:11" ht="15" customHeight="1" x14ac:dyDescent="0.25">
      <c r="D1112" t="s">
        <v>295</v>
      </c>
      <c r="E1112" t="s">
        <v>229</v>
      </c>
      <c r="F1112" t="s">
        <v>25</v>
      </c>
      <c r="G1112" s="54">
        <v>2</v>
      </c>
      <c r="H1112">
        <v>5</v>
      </c>
      <c r="I1112" s="1">
        <v>3</v>
      </c>
      <c r="J1112" s="1">
        <v>0.17266472371294128</v>
      </c>
      <c r="K1112" s="1">
        <v>7.9938247645372185</v>
      </c>
    </row>
    <row r="1113" spans="4:11" x14ac:dyDescent="0.25">
      <c r="D1113" t="s">
        <v>295</v>
      </c>
      <c r="E1113" t="s">
        <v>22</v>
      </c>
      <c r="F1113" t="s">
        <v>3</v>
      </c>
      <c r="G1113" s="54">
        <v>4</v>
      </c>
      <c r="H1113">
        <v>1</v>
      </c>
      <c r="I1113" s="1">
        <v>-3</v>
      </c>
      <c r="J1113" s="1">
        <v>0.47745039561209524</v>
      </c>
      <c r="K1113" s="1">
        <v>12.092661253942717</v>
      </c>
    </row>
    <row r="1114" spans="4:11" ht="15" customHeight="1" x14ac:dyDescent="0.25">
      <c r="D1114" t="s">
        <v>296</v>
      </c>
      <c r="E1114" t="s">
        <v>4</v>
      </c>
      <c r="F1114" t="s">
        <v>23</v>
      </c>
      <c r="G1114" s="54">
        <v>2</v>
      </c>
      <c r="H1114">
        <v>4</v>
      </c>
      <c r="I1114" s="1">
        <v>2</v>
      </c>
      <c r="J1114" s="1">
        <v>0.38311468856382191</v>
      </c>
      <c r="K1114" s="1">
        <v>2.6143181103380666</v>
      </c>
    </row>
    <row r="1115" spans="4:11" x14ac:dyDescent="0.25">
      <c r="D1115" t="s">
        <v>296</v>
      </c>
      <c r="E1115" t="s">
        <v>7</v>
      </c>
      <c r="F1115" t="s">
        <v>20</v>
      </c>
      <c r="G1115" s="54">
        <v>5</v>
      </c>
      <c r="H1115">
        <v>2</v>
      </c>
      <c r="I1115" s="1">
        <v>-3</v>
      </c>
      <c r="J1115" s="1">
        <v>0.9195242640854957</v>
      </c>
      <c r="K1115" s="1">
        <v>15.362670456754946</v>
      </c>
    </row>
    <row r="1116" spans="4:11" ht="15" customHeight="1" x14ac:dyDescent="0.25">
      <c r="D1116" t="s">
        <v>296</v>
      </c>
      <c r="E1116" t="s">
        <v>21</v>
      </c>
      <c r="F1116" t="s">
        <v>24</v>
      </c>
      <c r="G1116" s="54">
        <v>0</v>
      </c>
      <c r="H1116">
        <v>4</v>
      </c>
      <c r="I1116" s="1">
        <v>4</v>
      </c>
      <c r="J1116" s="1">
        <v>-0.82694464090910458</v>
      </c>
      <c r="K1116" s="1">
        <v>23.299394566401123</v>
      </c>
    </row>
    <row r="1117" spans="4:11" x14ac:dyDescent="0.25">
      <c r="D1117" t="s">
        <v>297</v>
      </c>
      <c r="E1117" t="s">
        <v>19</v>
      </c>
      <c r="F1117" t="s">
        <v>12</v>
      </c>
      <c r="G1117" s="54">
        <v>4</v>
      </c>
      <c r="H1117">
        <v>3</v>
      </c>
      <c r="I1117" s="1">
        <v>-1</v>
      </c>
      <c r="J1117" s="1">
        <v>0.36330193100600638</v>
      </c>
      <c r="K1117" s="1">
        <v>1.8585921550847058</v>
      </c>
    </row>
    <row r="1118" spans="4:11" ht="18" customHeight="1" x14ac:dyDescent="0.25">
      <c r="D1118" t="s">
        <v>297</v>
      </c>
      <c r="E1118" t="s">
        <v>37</v>
      </c>
      <c r="F1118" t="s">
        <v>2</v>
      </c>
      <c r="G1118" s="54">
        <v>2</v>
      </c>
      <c r="H1118">
        <v>4</v>
      </c>
      <c r="I1118" s="1">
        <v>2</v>
      </c>
      <c r="J1118" s="1">
        <v>-0.43612339513103393</v>
      </c>
      <c r="K1118" s="1">
        <v>5.9346971963047555</v>
      </c>
    </row>
    <row r="1119" spans="4:11" x14ac:dyDescent="0.25">
      <c r="D1119" t="s">
        <v>297</v>
      </c>
      <c r="E1119" t="s">
        <v>10</v>
      </c>
      <c r="F1119" t="s">
        <v>40</v>
      </c>
      <c r="G1119" s="54">
        <v>3</v>
      </c>
      <c r="H1119">
        <v>2</v>
      </c>
      <c r="I1119" s="1">
        <v>-1</v>
      </c>
      <c r="J1119" s="1">
        <v>0.41062845545188509</v>
      </c>
      <c r="K1119" s="1">
        <v>1.989872639330571</v>
      </c>
    </row>
    <row r="1120" spans="4:11" ht="15" customHeight="1" x14ac:dyDescent="0.25">
      <c r="D1120" t="s">
        <v>297</v>
      </c>
      <c r="E1120" t="s">
        <v>32</v>
      </c>
      <c r="F1120" t="s">
        <v>1</v>
      </c>
      <c r="G1120" s="54">
        <v>3</v>
      </c>
      <c r="H1120">
        <v>2</v>
      </c>
      <c r="I1120" s="1">
        <v>-1</v>
      </c>
      <c r="J1120" s="1">
        <v>8.9526830535959334E-2</v>
      </c>
      <c r="K1120" s="1">
        <v>1.187068714457733</v>
      </c>
    </row>
    <row r="1121" spans="4:11" x14ac:dyDescent="0.25">
      <c r="D1121" t="s">
        <v>297</v>
      </c>
      <c r="E1121" t="s">
        <v>176</v>
      </c>
      <c r="F1121" t="s">
        <v>11</v>
      </c>
      <c r="G1121" s="54">
        <v>2</v>
      </c>
      <c r="H1121">
        <v>3</v>
      </c>
      <c r="I1121" s="1">
        <v>1</v>
      </c>
      <c r="J1121" s="1">
        <v>1.5722891203543981</v>
      </c>
      <c r="K1121" s="1">
        <v>0.32751483727601072</v>
      </c>
    </row>
    <row r="1122" spans="4:11" ht="15" customHeight="1" x14ac:dyDescent="0.25">
      <c r="D1122" t="s">
        <v>297</v>
      </c>
      <c r="E1122" t="s">
        <v>36</v>
      </c>
      <c r="F1122" t="s">
        <v>13</v>
      </c>
      <c r="G1122" s="54">
        <v>0</v>
      </c>
      <c r="H1122">
        <v>4</v>
      </c>
      <c r="I1122" s="1">
        <v>4</v>
      </c>
      <c r="J1122" s="1">
        <v>-0.1809996891698944</v>
      </c>
      <c r="K1122" s="1">
        <v>17.480758400838752</v>
      </c>
    </row>
    <row r="1123" spans="4:11" x14ac:dyDescent="0.25">
      <c r="D1123" t="s">
        <v>297</v>
      </c>
      <c r="E1123" t="s">
        <v>18</v>
      </c>
      <c r="F1123" t="s">
        <v>0</v>
      </c>
      <c r="G1123" s="54">
        <v>3</v>
      </c>
      <c r="H1123">
        <v>4</v>
      </c>
      <c r="I1123" s="1">
        <v>1</v>
      </c>
      <c r="J1123" s="1">
        <v>-0.60100592597348168</v>
      </c>
      <c r="K1123" s="1">
        <v>2.5632199750022053</v>
      </c>
    </row>
    <row r="1124" spans="4:11" ht="15" customHeight="1" x14ac:dyDescent="0.25">
      <c r="D1124" t="s">
        <v>297</v>
      </c>
      <c r="E1124" t="s">
        <v>14</v>
      </c>
      <c r="F1124" t="s">
        <v>229</v>
      </c>
      <c r="G1124" s="54">
        <v>2</v>
      </c>
      <c r="H1124">
        <v>3</v>
      </c>
      <c r="I1124" s="1">
        <v>1</v>
      </c>
      <c r="J1124" s="1">
        <v>0.82487095893310425</v>
      </c>
      <c r="K1124" s="1">
        <v>3.067018102501046E-2</v>
      </c>
    </row>
    <row r="1125" spans="4:11" x14ac:dyDescent="0.25">
      <c r="D1125" t="s">
        <v>297</v>
      </c>
      <c r="E1125" t="s">
        <v>35</v>
      </c>
      <c r="F1125" t="s">
        <v>27</v>
      </c>
      <c r="G1125" s="54">
        <v>1</v>
      </c>
      <c r="H1125">
        <v>3</v>
      </c>
      <c r="I1125" s="1">
        <v>2</v>
      </c>
      <c r="J1125" s="1">
        <v>0.20871714426286303</v>
      </c>
      <c r="K1125" s="1">
        <v>3.2086942692577924</v>
      </c>
    </row>
    <row r="1126" spans="4:11" ht="15" customHeight="1" x14ac:dyDescent="0.25">
      <c r="D1126" t="s">
        <v>297</v>
      </c>
      <c r="E1126" t="s">
        <v>7</v>
      </c>
      <c r="F1126" t="s">
        <v>38</v>
      </c>
      <c r="G1126" s="54">
        <v>4</v>
      </c>
      <c r="H1126">
        <v>2</v>
      </c>
      <c r="I1126" s="1">
        <v>-2</v>
      </c>
      <c r="J1126" s="1">
        <v>0.99921027662108486</v>
      </c>
      <c r="K1126" s="1">
        <v>8.9952622833895237</v>
      </c>
    </row>
    <row r="1127" spans="4:11" x14ac:dyDescent="0.25">
      <c r="D1127" t="s">
        <v>297</v>
      </c>
      <c r="E1127" t="s">
        <v>33</v>
      </c>
      <c r="F1127" t="s">
        <v>23</v>
      </c>
      <c r="G1127" s="54">
        <v>1</v>
      </c>
      <c r="H1127">
        <v>4</v>
      </c>
      <c r="I1127" s="1">
        <v>3</v>
      </c>
      <c r="J1127" s="1">
        <v>0.48192120058968158</v>
      </c>
      <c r="K1127" s="1">
        <v>6.3407208400397108</v>
      </c>
    </row>
    <row r="1128" spans="4:11" ht="15" customHeight="1" x14ac:dyDescent="0.25">
      <c r="D1128" t="s">
        <v>297</v>
      </c>
      <c r="E1128" t="s">
        <v>8</v>
      </c>
      <c r="F1128" t="s">
        <v>22</v>
      </c>
      <c r="G1128" s="54">
        <v>3</v>
      </c>
      <c r="H1128">
        <v>5</v>
      </c>
      <c r="I1128" s="1">
        <v>2</v>
      </c>
      <c r="J1128" s="1">
        <v>1.5367909462036948</v>
      </c>
      <c r="K1128" s="1">
        <v>0.21456262751886834</v>
      </c>
    </row>
    <row r="1129" spans="4:11" x14ac:dyDescent="0.25">
      <c r="D1129" t="s">
        <v>297</v>
      </c>
      <c r="E1129" t="s">
        <v>21</v>
      </c>
      <c r="F1129" t="s">
        <v>3</v>
      </c>
      <c r="G1129" s="54">
        <v>4</v>
      </c>
      <c r="H1129">
        <v>3</v>
      </c>
      <c r="I1129" s="1">
        <v>-1</v>
      </c>
      <c r="J1129" s="1">
        <v>0.3781510313622789</v>
      </c>
      <c r="K1129" s="1">
        <v>1.8993002652449131</v>
      </c>
    </row>
    <row r="1130" spans="4:11" ht="15" customHeight="1" x14ac:dyDescent="0.25">
      <c r="D1130" t="s">
        <v>298</v>
      </c>
      <c r="E1130" t="s">
        <v>12</v>
      </c>
      <c r="F1130" t="s">
        <v>37</v>
      </c>
      <c r="G1130" s="54">
        <v>5</v>
      </c>
      <c r="H1130">
        <v>2</v>
      </c>
      <c r="I1130" s="1">
        <v>-3</v>
      </c>
      <c r="J1130" s="1">
        <v>0.4935143939076454</v>
      </c>
      <c r="K1130" s="1">
        <v>12.204642820439902</v>
      </c>
    </row>
    <row r="1131" spans="4:11" x14ac:dyDescent="0.25">
      <c r="D1131" t="s">
        <v>298</v>
      </c>
      <c r="E1131" t="s">
        <v>14</v>
      </c>
      <c r="F1131" t="s">
        <v>18</v>
      </c>
      <c r="G1131" s="54">
        <v>4</v>
      </c>
      <c r="H1131">
        <v>2</v>
      </c>
      <c r="I1131" s="1">
        <v>-2</v>
      </c>
      <c r="J1131" s="1">
        <v>0.71271489643498853</v>
      </c>
      <c r="K1131" s="1">
        <v>7.3588221093402906</v>
      </c>
    </row>
    <row r="1132" spans="4:11" ht="18" customHeight="1" x14ac:dyDescent="0.25">
      <c r="D1132" t="s">
        <v>298</v>
      </c>
      <c r="E1132" t="s">
        <v>13</v>
      </c>
      <c r="F1132" t="s">
        <v>40</v>
      </c>
      <c r="G1132" s="54">
        <v>4</v>
      </c>
      <c r="H1132">
        <v>5</v>
      </c>
      <c r="I1132" s="1">
        <v>1</v>
      </c>
      <c r="J1132" s="1">
        <v>0.36716923438521576</v>
      </c>
      <c r="K1132" s="1">
        <v>0.40047477790859398</v>
      </c>
    </row>
    <row r="1133" spans="4:11" x14ac:dyDescent="0.25">
      <c r="D1133" t="s">
        <v>298</v>
      </c>
      <c r="E1133" t="s">
        <v>2</v>
      </c>
      <c r="F1133" t="s">
        <v>27</v>
      </c>
      <c r="G1133" s="54">
        <v>2</v>
      </c>
      <c r="H1133">
        <v>1</v>
      </c>
      <c r="I1133" s="1">
        <v>-1</v>
      </c>
      <c r="J1133" s="1">
        <v>-0.20641010502274071</v>
      </c>
      <c r="K1133" s="1">
        <v>0.62978492141001741</v>
      </c>
    </row>
    <row r="1134" spans="4:11" ht="18" customHeight="1" x14ac:dyDescent="0.25">
      <c r="D1134" t="s">
        <v>298</v>
      </c>
      <c r="E1134" t="s">
        <v>4</v>
      </c>
      <c r="F1134" t="s">
        <v>19</v>
      </c>
      <c r="G1134" s="54">
        <v>5</v>
      </c>
      <c r="H1134">
        <v>2</v>
      </c>
      <c r="I1134" s="1">
        <v>-3</v>
      </c>
      <c r="J1134" s="1">
        <v>0.3150558637932761</v>
      </c>
      <c r="K1134" s="1">
        <v>10.989595380070185</v>
      </c>
    </row>
    <row r="1135" spans="4:11" x14ac:dyDescent="0.25">
      <c r="D1135" t="s">
        <v>298</v>
      </c>
      <c r="E1135" t="s">
        <v>10</v>
      </c>
      <c r="F1135" t="s">
        <v>35</v>
      </c>
      <c r="G1135" s="54">
        <v>2</v>
      </c>
      <c r="H1135">
        <v>1</v>
      </c>
      <c r="I1135" s="1">
        <v>-1</v>
      </c>
      <c r="J1135" s="1">
        <v>-0.25507467553427432</v>
      </c>
      <c r="K1135" s="1">
        <v>0.55491373903036667</v>
      </c>
    </row>
    <row r="1136" spans="4:11" ht="15" customHeight="1" x14ac:dyDescent="0.25">
      <c r="D1136" t="s">
        <v>298</v>
      </c>
      <c r="E1136" t="s">
        <v>32</v>
      </c>
      <c r="F1136" t="s">
        <v>11</v>
      </c>
      <c r="G1136" s="54">
        <v>2</v>
      </c>
      <c r="H1136">
        <v>3</v>
      </c>
      <c r="I1136" s="1">
        <v>1</v>
      </c>
      <c r="J1136" s="1">
        <v>0.44369069130281957</v>
      </c>
      <c r="K1136" s="1">
        <v>0.3094800469431348</v>
      </c>
    </row>
    <row r="1137" spans="4:11" x14ac:dyDescent="0.25">
      <c r="D1137" t="s">
        <v>298</v>
      </c>
      <c r="E1137" t="s">
        <v>20</v>
      </c>
      <c r="F1137" t="s">
        <v>25</v>
      </c>
      <c r="G1137" s="54">
        <v>4</v>
      </c>
      <c r="H1137">
        <v>3</v>
      </c>
      <c r="I1137" s="1">
        <v>-1</v>
      </c>
      <c r="J1137" s="1">
        <v>1.7927937581461606E-2</v>
      </c>
      <c r="K1137" s="1">
        <v>1.0361772861088481</v>
      </c>
    </row>
    <row r="1138" spans="4:11" ht="15" customHeight="1" x14ac:dyDescent="0.25">
      <c r="D1138" t="s">
        <v>299</v>
      </c>
      <c r="E1138" t="s">
        <v>36</v>
      </c>
      <c r="F1138" t="s">
        <v>229</v>
      </c>
      <c r="G1138" s="54">
        <v>5</v>
      </c>
      <c r="H1138">
        <v>3</v>
      </c>
      <c r="I1138" s="1">
        <v>-2</v>
      </c>
      <c r="J1138" s="1">
        <v>3.580710150474431E-2</v>
      </c>
      <c r="K1138" s="1">
        <v>4.1445105545371481</v>
      </c>
    </row>
    <row r="1139" spans="4:11" x14ac:dyDescent="0.25">
      <c r="D1139" t="s">
        <v>299</v>
      </c>
      <c r="E1139" t="s">
        <v>3</v>
      </c>
      <c r="F1139" t="s">
        <v>38</v>
      </c>
      <c r="G1139" s="54">
        <v>4</v>
      </c>
      <c r="H1139">
        <v>1</v>
      </c>
      <c r="I1139" s="1">
        <v>-3</v>
      </c>
      <c r="J1139" s="1">
        <v>0.63893256150937816</v>
      </c>
      <c r="K1139" s="1">
        <v>13.241830187213205</v>
      </c>
    </row>
    <row r="1140" spans="4:11" ht="15" customHeight="1" x14ac:dyDescent="0.25">
      <c r="D1140" t="s">
        <v>299</v>
      </c>
      <c r="E1140" t="s">
        <v>33</v>
      </c>
      <c r="F1140" t="s">
        <v>20</v>
      </c>
      <c r="G1140" s="54">
        <v>1</v>
      </c>
      <c r="H1140">
        <v>4</v>
      </c>
      <c r="I1140" s="1">
        <v>3</v>
      </c>
      <c r="J1140" s="1">
        <v>0.59990454846733599</v>
      </c>
      <c r="K1140" s="1">
        <v>5.7604581764677825</v>
      </c>
    </row>
    <row r="1141" spans="4:11" x14ac:dyDescent="0.25">
      <c r="D1141" t="s">
        <v>299</v>
      </c>
      <c r="E1141" t="s">
        <v>4</v>
      </c>
      <c r="F1141" t="s">
        <v>21</v>
      </c>
      <c r="G1141" s="54">
        <v>5</v>
      </c>
      <c r="H1141">
        <v>3</v>
      </c>
      <c r="I1141" s="1">
        <v>-2</v>
      </c>
      <c r="J1141" s="1">
        <v>5.3301437361284343E-2</v>
      </c>
      <c r="K1141" s="1">
        <v>4.2160467926699159</v>
      </c>
    </row>
    <row r="1142" spans="4:11" ht="15" customHeight="1" x14ac:dyDescent="0.25">
      <c r="D1142" t="s">
        <v>299</v>
      </c>
      <c r="E1142" t="s">
        <v>24</v>
      </c>
      <c r="F1142" t="s">
        <v>22</v>
      </c>
      <c r="G1142" s="54">
        <v>4</v>
      </c>
      <c r="H1142">
        <v>1</v>
      </c>
      <c r="I1142" s="1">
        <v>-3</v>
      </c>
      <c r="J1142" s="1">
        <v>1.2172462579151642</v>
      </c>
      <c r="K1142" s="1">
        <v>17.785165999899455</v>
      </c>
    </row>
    <row r="1143" spans="4:11" x14ac:dyDescent="0.25">
      <c r="D1143" t="s">
        <v>299</v>
      </c>
      <c r="E1143" t="s">
        <v>8</v>
      </c>
      <c r="F1143" t="s">
        <v>176</v>
      </c>
      <c r="G1143" s="54">
        <v>4</v>
      </c>
      <c r="H1143">
        <v>1</v>
      </c>
      <c r="I1143" s="1">
        <v>-3</v>
      </c>
      <c r="J1143" s="1">
        <v>0.36819838002303129</v>
      </c>
      <c r="K1143" s="1">
        <v>11.344760327189773</v>
      </c>
    </row>
    <row r="1144" spans="4:11" ht="15" customHeight="1" x14ac:dyDescent="0.25">
      <c r="D1144" t="s">
        <v>300</v>
      </c>
      <c r="E1144" t="s">
        <v>14</v>
      </c>
      <c r="F1144" t="s">
        <v>2</v>
      </c>
      <c r="G1144" s="54">
        <v>2</v>
      </c>
      <c r="H1144">
        <v>3</v>
      </c>
      <c r="I1144" s="1">
        <v>1</v>
      </c>
      <c r="J1144" s="1">
        <v>0.47985703031518767</v>
      </c>
      <c r="K1144" s="1">
        <v>0.27054870891253557</v>
      </c>
    </row>
    <row r="1145" spans="4:11" x14ac:dyDescent="0.25">
      <c r="D1145" t="s">
        <v>300</v>
      </c>
      <c r="E1145" t="s">
        <v>27</v>
      </c>
      <c r="F1145" t="s">
        <v>12</v>
      </c>
      <c r="G1145" s="54">
        <v>2</v>
      </c>
      <c r="H1145">
        <v>4</v>
      </c>
      <c r="I1145" s="1">
        <v>2</v>
      </c>
      <c r="J1145" s="1">
        <v>1.1282210687578811</v>
      </c>
      <c r="K1145" s="1">
        <v>0.75999850495765109</v>
      </c>
    </row>
    <row r="1146" spans="4:11" ht="15" customHeight="1" x14ac:dyDescent="0.25">
      <c r="D1146" t="s">
        <v>300</v>
      </c>
      <c r="E1146" t="s">
        <v>35</v>
      </c>
      <c r="F1146" t="s">
        <v>7</v>
      </c>
      <c r="G1146" s="54">
        <v>2</v>
      </c>
      <c r="H1146">
        <v>3</v>
      </c>
      <c r="I1146" s="1">
        <v>1</v>
      </c>
      <c r="J1146" s="1">
        <v>0.48495468120538021</v>
      </c>
      <c r="K1146" s="1">
        <v>0.26527168041225152</v>
      </c>
    </row>
    <row r="1147" spans="4:11" x14ac:dyDescent="0.25">
      <c r="D1147" t="s">
        <v>300</v>
      </c>
      <c r="E1147" t="s">
        <v>36</v>
      </c>
      <c r="F1147" t="s">
        <v>0</v>
      </c>
      <c r="G1147" s="54">
        <v>1</v>
      </c>
      <c r="H1147">
        <v>3</v>
      </c>
      <c r="I1147" s="1">
        <v>2</v>
      </c>
      <c r="J1147" s="1">
        <v>-0.92215537759479105</v>
      </c>
      <c r="K1147" s="1">
        <v>8.5389920508061561</v>
      </c>
    </row>
    <row r="1148" spans="4:11" ht="15" customHeight="1" x14ac:dyDescent="0.25">
      <c r="D1148" t="s">
        <v>300</v>
      </c>
      <c r="E1148" t="s">
        <v>18</v>
      </c>
      <c r="F1148" t="s">
        <v>13</v>
      </c>
      <c r="G1148" s="54">
        <v>2</v>
      </c>
      <c r="H1148">
        <v>1</v>
      </c>
      <c r="I1148" s="1">
        <v>-1</v>
      </c>
      <c r="J1148" s="1">
        <v>0.14014976245141497</v>
      </c>
      <c r="K1148" s="1">
        <v>1.2999414808180181</v>
      </c>
    </row>
    <row r="1149" spans="4:11" x14ac:dyDescent="0.25">
      <c r="D1149" t="s">
        <v>300</v>
      </c>
      <c r="E1149" t="s">
        <v>3</v>
      </c>
      <c r="F1149" t="s">
        <v>19</v>
      </c>
      <c r="G1149" s="54">
        <v>5</v>
      </c>
      <c r="H1149">
        <v>4</v>
      </c>
      <c r="I1149" s="1">
        <v>-1</v>
      </c>
      <c r="J1149" s="1">
        <v>0.37320437632558878</v>
      </c>
      <c r="K1149" s="1">
        <v>1.8856902591597493</v>
      </c>
    </row>
    <row r="1150" spans="4:11" ht="15" customHeight="1" x14ac:dyDescent="0.25">
      <c r="D1150" t="s">
        <v>300</v>
      </c>
      <c r="E1150" t="s">
        <v>37</v>
      </c>
      <c r="F1150" t="s">
        <v>25</v>
      </c>
      <c r="G1150" s="54">
        <v>3</v>
      </c>
      <c r="H1150">
        <v>2</v>
      </c>
      <c r="I1150" s="1">
        <v>-1</v>
      </c>
      <c r="J1150" s="1">
        <v>-0.16324523342811403</v>
      </c>
      <c r="K1150" s="1">
        <v>0.70015853938077133</v>
      </c>
    </row>
    <row r="1151" spans="4:11" x14ac:dyDescent="0.25">
      <c r="D1151" t="s">
        <v>1215</v>
      </c>
      <c r="E1151" t="s">
        <v>0</v>
      </c>
      <c r="F1151" t="s">
        <v>8</v>
      </c>
      <c r="G1151" s="54">
        <v>3</v>
      </c>
      <c r="H1151">
        <v>4</v>
      </c>
      <c r="I1151" s="1">
        <v>1</v>
      </c>
      <c r="J1151" s="1">
        <v>-0.48158666304681219</v>
      </c>
      <c r="K1151" s="1">
        <v>2.1950990401181882</v>
      </c>
    </row>
    <row r="1152" spans="4:11" ht="18" customHeight="1" x14ac:dyDescent="0.25">
      <c r="D1152" t="s">
        <v>1215</v>
      </c>
      <c r="E1152" t="s">
        <v>1</v>
      </c>
      <c r="F1152" t="s">
        <v>11</v>
      </c>
      <c r="G1152" s="54">
        <v>4</v>
      </c>
      <c r="H1152">
        <v>1</v>
      </c>
      <c r="I1152" s="1">
        <v>-3</v>
      </c>
      <c r="J1152" s="1">
        <v>0.5989643513947982</v>
      </c>
      <c r="K1152" s="1">
        <v>12.952544402610581</v>
      </c>
    </row>
    <row r="1153" spans="4:11" x14ac:dyDescent="0.25">
      <c r="D1153" t="s">
        <v>1215</v>
      </c>
      <c r="E1153" t="s">
        <v>24</v>
      </c>
      <c r="F1153" t="s">
        <v>10</v>
      </c>
      <c r="G1153" s="54">
        <v>1</v>
      </c>
      <c r="H1153">
        <v>5</v>
      </c>
      <c r="I1153" s="1">
        <v>4</v>
      </c>
      <c r="J1153" s="1">
        <v>1.3493394233723848</v>
      </c>
      <c r="K1153" s="1">
        <v>7.0260014924878416</v>
      </c>
    </row>
    <row r="1154" spans="4:11" ht="15" customHeight="1" x14ac:dyDescent="0.25">
      <c r="D1154" t="s">
        <v>1215</v>
      </c>
      <c r="E1154" t="s">
        <v>22</v>
      </c>
      <c r="F1154" t="s">
        <v>32</v>
      </c>
      <c r="G1154" s="54">
        <v>1</v>
      </c>
      <c r="H1154">
        <v>5</v>
      </c>
      <c r="I1154" s="1">
        <v>4</v>
      </c>
      <c r="J1154" s="1">
        <v>0.2048063534988529</v>
      </c>
      <c r="K1154" s="1">
        <v>14.403494814442674</v>
      </c>
    </row>
    <row r="1155" spans="4:11" x14ac:dyDescent="0.25">
      <c r="D1155" t="s">
        <v>1216</v>
      </c>
      <c r="E1155" t="s">
        <v>40</v>
      </c>
      <c r="F1155" t="s">
        <v>7</v>
      </c>
      <c r="G1155" s="54">
        <v>3</v>
      </c>
      <c r="H1155">
        <v>4</v>
      </c>
      <c r="I1155" s="1">
        <v>1</v>
      </c>
      <c r="J1155" s="1">
        <v>-0.1807484497807792</v>
      </c>
      <c r="K1155" s="1">
        <v>1.3941669016597134</v>
      </c>
    </row>
    <row r="1156" spans="4:11" ht="15" customHeight="1" x14ac:dyDescent="0.25">
      <c r="D1156" t="s">
        <v>1216</v>
      </c>
      <c r="E1156" t="s">
        <v>12</v>
      </c>
      <c r="F1156" t="s">
        <v>224</v>
      </c>
      <c r="G1156" s="54">
        <v>5</v>
      </c>
      <c r="H1156">
        <v>4</v>
      </c>
      <c r="I1156" s="1">
        <v>-1</v>
      </c>
      <c r="J1156" s="1">
        <v>0.15760443676659008</v>
      </c>
      <c r="K1156" s="1">
        <v>1.3400480320216943</v>
      </c>
    </row>
    <row r="1157" spans="4:11" x14ac:dyDescent="0.25">
      <c r="D1157" t="s">
        <v>1216</v>
      </c>
      <c r="E1157" t="s">
        <v>36</v>
      </c>
      <c r="F1157" t="s">
        <v>18</v>
      </c>
      <c r="G1157" s="54">
        <v>1</v>
      </c>
      <c r="H1157">
        <v>2</v>
      </c>
      <c r="I1157" s="1">
        <v>1</v>
      </c>
      <c r="J1157" s="1">
        <v>-7.6348960993371406E-2</v>
      </c>
      <c r="K1157" s="1">
        <v>1.1585270858315102</v>
      </c>
    </row>
    <row r="1158" spans="4:11" ht="15" customHeight="1" x14ac:dyDescent="0.25">
      <c r="D1158" t="s">
        <v>1216</v>
      </c>
      <c r="E1158" t="s">
        <v>2</v>
      </c>
      <c r="F1158" t="s">
        <v>13</v>
      </c>
      <c r="G1158" s="54">
        <v>3</v>
      </c>
      <c r="H1158">
        <v>2</v>
      </c>
      <c r="I1158" s="1">
        <v>-1</v>
      </c>
      <c r="J1158" s="1">
        <v>0.37300762857121583</v>
      </c>
      <c r="K1158" s="1">
        <v>1.8851499481147538</v>
      </c>
    </row>
    <row r="1159" spans="4:11" x14ac:dyDescent="0.25">
      <c r="D1159" t="s">
        <v>1216</v>
      </c>
      <c r="E1159" t="s">
        <v>27</v>
      </c>
      <c r="F1159" t="s">
        <v>14</v>
      </c>
      <c r="G1159" s="54">
        <v>1</v>
      </c>
      <c r="H1159">
        <v>6</v>
      </c>
      <c r="I1159" s="1">
        <v>5</v>
      </c>
      <c r="J1159" s="1">
        <v>0.46095454659136692</v>
      </c>
      <c r="K1159" s="1">
        <v>20.602933628109582</v>
      </c>
    </row>
    <row r="1160" spans="4:11" ht="18" customHeight="1" x14ac:dyDescent="0.25">
      <c r="D1160" t="s">
        <v>1216</v>
      </c>
      <c r="E1160" t="s">
        <v>4</v>
      </c>
      <c r="F1160" t="s">
        <v>38</v>
      </c>
      <c r="G1160" s="54">
        <v>1</v>
      </c>
      <c r="H1160">
        <v>4</v>
      </c>
      <c r="I1160" s="1">
        <v>3</v>
      </c>
      <c r="J1160" s="1">
        <v>0.58078404897706548</v>
      </c>
      <c r="K1160" s="1">
        <v>5.8526058176838012</v>
      </c>
    </row>
    <row r="1161" spans="4:11" x14ac:dyDescent="0.25">
      <c r="D1161" t="s">
        <v>1216</v>
      </c>
      <c r="E1161" t="s">
        <v>37</v>
      </c>
      <c r="F1161" t="s">
        <v>23</v>
      </c>
      <c r="G1161" s="54">
        <v>3</v>
      </c>
      <c r="H1161">
        <v>2</v>
      </c>
      <c r="I1161" s="1">
        <v>-1</v>
      </c>
      <c r="J1161" s="1">
        <v>-5.4356028259292088E-2</v>
      </c>
      <c r="K1161" s="1">
        <v>0.89424252128954074</v>
      </c>
    </row>
    <row r="1162" spans="4:11" ht="15" customHeight="1" x14ac:dyDescent="0.25">
      <c r="D1162" t="s">
        <v>1216</v>
      </c>
      <c r="E1162" t="s">
        <v>3</v>
      </c>
      <c r="F1162" t="s">
        <v>20</v>
      </c>
      <c r="G1162" s="54">
        <v>1</v>
      </c>
      <c r="H1162">
        <v>3</v>
      </c>
      <c r="I1162" s="1">
        <v>2</v>
      </c>
      <c r="J1162" s="1">
        <v>0.559246548973789</v>
      </c>
      <c r="K1162" s="1">
        <v>2.0757705066439365</v>
      </c>
    </row>
    <row r="1163" spans="4:11" x14ac:dyDescent="0.25">
      <c r="D1163" t="s">
        <v>1216</v>
      </c>
      <c r="E1163" t="s">
        <v>24</v>
      </c>
      <c r="F1163" t="s">
        <v>33</v>
      </c>
      <c r="G1163" s="54">
        <v>2</v>
      </c>
      <c r="H1163">
        <v>8</v>
      </c>
      <c r="I1163" s="1">
        <v>6</v>
      </c>
      <c r="J1163" s="1">
        <v>1.4092381634057745</v>
      </c>
      <c r="K1163" s="1">
        <v>21.075094240329985</v>
      </c>
    </row>
    <row r="1164" spans="4:11" ht="18" customHeight="1" x14ac:dyDescent="0.25">
      <c r="D1164" t="s">
        <v>1217</v>
      </c>
      <c r="E1164" t="s">
        <v>20</v>
      </c>
      <c r="F1164" t="s">
        <v>8</v>
      </c>
      <c r="G1164" s="54">
        <v>4</v>
      </c>
      <c r="H1164">
        <v>3</v>
      </c>
      <c r="I1164" s="1">
        <v>-1</v>
      </c>
      <c r="J1164" s="1">
        <v>-1.5942859282778272</v>
      </c>
      <c r="K1164" s="1">
        <v>0.35317576454903882</v>
      </c>
    </row>
    <row r="1165" spans="4:11" x14ac:dyDescent="0.25">
      <c r="D1165" t="s">
        <v>1217</v>
      </c>
      <c r="E1165" t="s">
        <v>224</v>
      </c>
      <c r="F1165" t="s">
        <v>35</v>
      </c>
      <c r="G1165" s="54">
        <v>2</v>
      </c>
      <c r="H1165">
        <v>3</v>
      </c>
      <c r="I1165" s="1">
        <v>1</v>
      </c>
      <c r="J1165" s="1">
        <v>-0.51534068727558235</v>
      </c>
      <c r="K1165" s="1">
        <v>2.2962573985128341</v>
      </c>
    </row>
    <row r="1166" spans="4:11" ht="15" customHeight="1" x14ac:dyDescent="0.25">
      <c r="D1166" t="s">
        <v>1217</v>
      </c>
      <c r="E1166" t="s">
        <v>38</v>
      </c>
      <c r="F1166" t="s">
        <v>21</v>
      </c>
      <c r="G1166" s="54">
        <v>7</v>
      </c>
      <c r="H1166">
        <v>5</v>
      </c>
      <c r="I1166" s="1">
        <v>-2</v>
      </c>
      <c r="J1166" s="1">
        <v>-0.28268212098784318</v>
      </c>
      <c r="K1166" s="1">
        <v>2.9491806975748127</v>
      </c>
    </row>
    <row r="1167" spans="4:11" x14ac:dyDescent="0.25">
      <c r="D1167" t="s">
        <v>1217</v>
      </c>
      <c r="E1167" t="s">
        <v>22</v>
      </c>
      <c r="F1167" t="s">
        <v>10</v>
      </c>
      <c r="G1167" s="54">
        <v>4</v>
      </c>
      <c r="H1167">
        <v>2</v>
      </c>
      <c r="I1167" s="1">
        <v>-2</v>
      </c>
      <c r="J1167" s="1">
        <v>0.37689365608515857</v>
      </c>
      <c r="K1167" s="1">
        <v>5.6496234523378721</v>
      </c>
    </row>
    <row r="1168" spans="4:11" ht="15" customHeight="1" x14ac:dyDescent="0.25">
      <c r="D1168" t="s">
        <v>1217</v>
      </c>
      <c r="E1168" t="s">
        <v>176</v>
      </c>
      <c r="F1168" t="s">
        <v>32</v>
      </c>
      <c r="G1168" s="54">
        <v>1</v>
      </c>
      <c r="H1168">
        <v>3</v>
      </c>
      <c r="I1168" s="1">
        <v>2</v>
      </c>
      <c r="J1168" s="1">
        <v>1.3733989196795164</v>
      </c>
      <c r="K1168" s="1">
        <v>0.39262891385879711</v>
      </c>
    </row>
    <row r="1169" spans="4:11" x14ac:dyDescent="0.25">
      <c r="D1169" t="s">
        <v>1218</v>
      </c>
      <c r="E1169" t="s">
        <v>1</v>
      </c>
      <c r="F1169" t="s">
        <v>27</v>
      </c>
      <c r="G1169" s="54">
        <v>2</v>
      </c>
      <c r="H1169">
        <v>3</v>
      </c>
      <c r="I1169" s="1">
        <v>1</v>
      </c>
      <c r="J1169" s="1">
        <v>3.6202940778935044E-2</v>
      </c>
      <c r="K1169" s="1">
        <v>0.92890477136317295</v>
      </c>
    </row>
    <row r="1170" spans="4:11" ht="15" customHeight="1" x14ac:dyDescent="0.25">
      <c r="D1170" t="s">
        <v>1218</v>
      </c>
      <c r="E1170" t="s">
        <v>11</v>
      </c>
      <c r="F1170" t="s">
        <v>7</v>
      </c>
      <c r="G1170" s="54">
        <v>3</v>
      </c>
      <c r="H1170">
        <v>5</v>
      </c>
      <c r="I1170" s="1">
        <v>2</v>
      </c>
      <c r="J1170" s="1">
        <v>-4.1723383045408013E-2</v>
      </c>
      <c r="K1170" s="1">
        <v>4.1686343728743855</v>
      </c>
    </row>
    <row r="1171" spans="4:11" x14ac:dyDescent="0.25">
      <c r="D1171" t="s">
        <v>1218</v>
      </c>
      <c r="E1171" t="s">
        <v>3</v>
      </c>
      <c r="F1171" t="s">
        <v>25</v>
      </c>
      <c r="G1171" s="54">
        <v>4</v>
      </c>
      <c r="H1171">
        <v>5</v>
      </c>
      <c r="I1171" s="1">
        <v>1</v>
      </c>
      <c r="J1171" s="1">
        <v>0.33237399592731265</v>
      </c>
      <c r="K1171" s="1">
        <v>0.44572448131406395</v>
      </c>
    </row>
    <row r="1172" spans="4:11" ht="15" customHeight="1" x14ac:dyDescent="0.25">
      <c r="D1172" t="s">
        <v>1218</v>
      </c>
      <c r="E1172" t="s">
        <v>0</v>
      </c>
      <c r="F1172" t="s">
        <v>2</v>
      </c>
      <c r="G1172" s="54">
        <v>1</v>
      </c>
      <c r="H1172">
        <v>2</v>
      </c>
      <c r="I1172" s="1">
        <v>1</v>
      </c>
      <c r="J1172" s="1">
        <v>0.85774904110955674</v>
      </c>
      <c r="K1172" s="1">
        <v>2.0235335305250578E-2</v>
      </c>
    </row>
    <row r="1173" spans="4:11" x14ac:dyDescent="0.25">
      <c r="D1173" t="s">
        <v>1218</v>
      </c>
      <c r="E1173" t="s">
        <v>12</v>
      </c>
      <c r="F1173" t="s">
        <v>18</v>
      </c>
      <c r="G1173" s="54">
        <v>3</v>
      </c>
      <c r="H1173">
        <v>4</v>
      </c>
      <c r="I1173" s="1">
        <v>1</v>
      </c>
      <c r="J1173" s="1">
        <v>4.5448374268474367E-2</v>
      </c>
      <c r="K1173" s="1">
        <v>0.9111688061866986</v>
      </c>
    </row>
    <row r="1174" spans="4:11" ht="15" customHeight="1" x14ac:dyDescent="0.25">
      <c r="D1174" t="s">
        <v>1218</v>
      </c>
      <c r="E1174" t="s">
        <v>36</v>
      </c>
      <c r="F1174" t="s">
        <v>14</v>
      </c>
      <c r="G1174" s="54">
        <v>4</v>
      </c>
      <c r="H1174">
        <v>0</v>
      </c>
      <c r="I1174" s="1">
        <v>-4</v>
      </c>
      <c r="J1174" s="1">
        <v>-0.54426336680042198</v>
      </c>
      <c r="K1174" s="1">
        <v>11.942115678037554</v>
      </c>
    </row>
    <row r="1175" spans="4:11" x14ac:dyDescent="0.25">
      <c r="D1175" t="s">
        <v>1218</v>
      </c>
      <c r="E1175" t="s">
        <v>8</v>
      </c>
      <c r="F1175" t="s">
        <v>40</v>
      </c>
      <c r="G1175" s="54">
        <v>0</v>
      </c>
      <c r="H1175">
        <v>3</v>
      </c>
      <c r="I1175" s="1">
        <v>3</v>
      </c>
      <c r="J1175" s="1">
        <v>1.8347120764848626</v>
      </c>
      <c r="K1175" s="1">
        <v>1.3578959446902208</v>
      </c>
    </row>
    <row r="1176" spans="4:11" ht="15" customHeight="1" x14ac:dyDescent="0.25">
      <c r="D1176" t="s">
        <v>1218</v>
      </c>
      <c r="E1176" t="s">
        <v>35</v>
      </c>
      <c r="F1176" t="s">
        <v>37</v>
      </c>
      <c r="G1176" s="54">
        <v>1</v>
      </c>
      <c r="H1176">
        <v>6</v>
      </c>
      <c r="I1176" s="1">
        <v>5</v>
      </c>
      <c r="J1176" s="1">
        <v>1.3408516256725136</v>
      </c>
      <c r="K1176" s="1">
        <v>13.389366825343487</v>
      </c>
    </row>
    <row r="1177" spans="4:11" x14ac:dyDescent="0.25">
      <c r="D1177" t="s">
        <v>1218</v>
      </c>
      <c r="E1177" t="s">
        <v>13</v>
      </c>
      <c r="F1177" t="s">
        <v>23</v>
      </c>
      <c r="G1177" s="54">
        <v>3</v>
      </c>
      <c r="H1177">
        <v>2</v>
      </c>
      <c r="I1177" s="1">
        <v>-1</v>
      </c>
      <c r="J1177" s="1">
        <v>0.49836071955640193</v>
      </c>
      <c r="K1177" s="1">
        <v>2.2450848459095787</v>
      </c>
    </row>
    <row r="1178" spans="4:11" ht="15" customHeight="1" x14ac:dyDescent="0.25">
      <c r="D1178" t="s">
        <v>1218</v>
      </c>
      <c r="E1178" t="s">
        <v>21</v>
      </c>
      <c r="F1178" t="s">
        <v>19</v>
      </c>
      <c r="G1178" s="54">
        <v>4</v>
      </c>
      <c r="H1178">
        <v>3</v>
      </c>
      <c r="I1178" s="1">
        <v>-1</v>
      </c>
      <c r="J1178" s="1">
        <v>0.50655491705992972</v>
      </c>
      <c r="K1178" s="1">
        <v>2.2697077181174516</v>
      </c>
    </row>
    <row r="1179" spans="4:11" x14ac:dyDescent="0.25">
      <c r="D1179" t="s">
        <v>1218</v>
      </c>
      <c r="E1179" t="s">
        <v>32</v>
      </c>
      <c r="F1179" t="s">
        <v>176</v>
      </c>
      <c r="G1179" s="54">
        <v>3</v>
      </c>
      <c r="H1179">
        <v>5</v>
      </c>
      <c r="I1179" s="1">
        <v>2</v>
      </c>
      <c r="J1179" s="1">
        <v>-0.88379793842364052</v>
      </c>
      <c r="K1179" s="1">
        <v>8.3162905496564399</v>
      </c>
    </row>
    <row r="1180" spans="4:11" ht="15" customHeight="1" x14ac:dyDescent="0.25">
      <c r="D1180" t="s">
        <v>1218</v>
      </c>
      <c r="E1180" t="s">
        <v>4</v>
      </c>
      <c r="F1180" t="s">
        <v>24</v>
      </c>
      <c r="G1180" s="54">
        <v>4</v>
      </c>
      <c r="H1180">
        <v>0</v>
      </c>
      <c r="I1180" s="1">
        <v>-4</v>
      </c>
      <c r="J1180" s="1">
        <v>-1.0184436941757582</v>
      </c>
      <c r="K1180" s="1">
        <v>8.8896780048003006</v>
      </c>
    </row>
    <row r="1181" spans="4:11" x14ac:dyDescent="0.25">
      <c r="D1181" t="s">
        <v>1218</v>
      </c>
      <c r="E1181" t="s">
        <v>22</v>
      </c>
      <c r="F1181" t="s">
        <v>33</v>
      </c>
      <c r="G1181" s="54">
        <v>1</v>
      </c>
      <c r="H1181">
        <v>3</v>
      </c>
      <c r="I1181" s="1">
        <v>2</v>
      </c>
      <c r="J1181" s="1">
        <v>0.43679239611854825</v>
      </c>
      <c r="K1181" s="1">
        <v>2.4436180128327898</v>
      </c>
    </row>
    <row r="1182" spans="4:11" ht="18" customHeight="1" x14ac:dyDescent="0.25">
      <c r="D1182" t="s">
        <v>1219</v>
      </c>
      <c r="E1182" t="s">
        <v>11</v>
      </c>
      <c r="F1182" t="s">
        <v>1</v>
      </c>
      <c r="G1182" s="54">
        <v>1</v>
      </c>
      <c r="H1182">
        <v>4</v>
      </c>
      <c r="I1182" s="1">
        <v>3</v>
      </c>
      <c r="J1182" s="1">
        <v>-0.10936337013892228</v>
      </c>
      <c r="K1182" s="1">
        <v>9.6681405675616769</v>
      </c>
    </row>
    <row r="1183" spans="4:11" x14ac:dyDescent="0.25">
      <c r="D1183" t="s">
        <v>1219</v>
      </c>
      <c r="E1183" t="s">
        <v>12</v>
      </c>
      <c r="F1183" t="s">
        <v>13</v>
      </c>
      <c r="G1183" s="54">
        <v>2</v>
      </c>
      <c r="H1183">
        <v>1</v>
      </c>
      <c r="I1183" s="1">
        <v>-1</v>
      </c>
      <c r="J1183" s="1">
        <v>-5.9202353908048622E-2</v>
      </c>
      <c r="K1183" s="1">
        <v>0.88510021089215662</v>
      </c>
    </row>
    <row r="1184" spans="4:11" ht="15" customHeight="1" x14ac:dyDescent="0.25">
      <c r="D1184" t="s">
        <v>1219</v>
      </c>
      <c r="E1184" t="s">
        <v>224</v>
      </c>
      <c r="F1184" t="s">
        <v>14</v>
      </c>
      <c r="G1184" s="54">
        <v>4</v>
      </c>
      <c r="H1184">
        <v>1</v>
      </c>
      <c r="I1184" s="1">
        <v>-3</v>
      </c>
      <c r="J1184" s="1">
        <v>-0.33526997767722833</v>
      </c>
      <c r="K1184" s="1">
        <v>7.1007860918683194</v>
      </c>
    </row>
    <row r="1185" spans="4:11" x14ac:dyDescent="0.25">
      <c r="D1185" t="s">
        <v>1219</v>
      </c>
      <c r="E1185" t="s">
        <v>18</v>
      </c>
      <c r="F1185" t="s">
        <v>0</v>
      </c>
      <c r="G1185" s="54">
        <v>2</v>
      </c>
      <c r="H1185">
        <v>3</v>
      </c>
      <c r="I1185" s="1">
        <v>1</v>
      </c>
      <c r="J1185" s="1">
        <v>-0.60100592597348168</v>
      </c>
      <c r="K1185" s="1">
        <v>2.5632199750022053</v>
      </c>
    </row>
    <row r="1186" spans="4:11" ht="15" customHeight="1" x14ac:dyDescent="0.25">
      <c r="D1186" t="s">
        <v>1219</v>
      </c>
      <c r="E1186" t="s">
        <v>38</v>
      </c>
      <c r="F1186" t="s">
        <v>20</v>
      </c>
      <c r="G1186" s="54">
        <v>2</v>
      </c>
      <c r="H1186">
        <v>1</v>
      </c>
      <c r="I1186" s="1">
        <v>-1</v>
      </c>
      <c r="J1186" s="1">
        <v>0.1651144780923488</v>
      </c>
      <c r="K1186" s="1">
        <v>1.3574917470604064</v>
      </c>
    </row>
    <row r="1187" spans="4:11" x14ac:dyDescent="0.25">
      <c r="D1187" t="s">
        <v>1220</v>
      </c>
      <c r="E1187" t="s">
        <v>27</v>
      </c>
      <c r="F1187" t="s">
        <v>8</v>
      </c>
      <c r="G1187" s="54">
        <v>3</v>
      </c>
      <c r="H1187">
        <v>4</v>
      </c>
      <c r="I1187" s="1">
        <v>1</v>
      </c>
      <c r="J1187" s="1">
        <v>-0.6433246178777523</v>
      </c>
      <c r="K1187" s="1">
        <v>2.7005157997230604</v>
      </c>
    </row>
    <row r="1188" spans="4:11" ht="15" customHeight="1" x14ac:dyDescent="0.25">
      <c r="D1188" t="s">
        <v>1220</v>
      </c>
      <c r="E1188" t="s">
        <v>7</v>
      </c>
      <c r="F1188" t="s">
        <v>37</v>
      </c>
      <c r="G1188" s="54">
        <v>3</v>
      </c>
      <c r="H1188">
        <v>4</v>
      </c>
      <c r="I1188" s="1">
        <v>1</v>
      </c>
      <c r="J1188" s="1">
        <v>1.1006974350950713</v>
      </c>
      <c r="K1188" s="1">
        <v>1.0139973434726106E-2</v>
      </c>
    </row>
    <row r="1189" spans="4:11" x14ac:dyDescent="0.25">
      <c r="D1189" t="s">
        <v>1220</v>
      </c>
      <c r="E1189" t="s">
        <v>25</v>
      </c>
      <c r="F1189" t="s">
        <v>23</v>
      </c>
      <c r="G1189" s="54">
        <v>2</v>
      </c>
      <c r="H1189">
        <v>0</v>
      </c>
      <c r="I1189" s="1">
        <v>-2</v>
      </c>
      <c r="J1189" s="1">
        <v>0.35368969579675991</v>
      </c>
      <c r="K1189" s="1">
        <v>5.539855184099844</v>
      </c>
    </row>
    <row r="1190" spans="4:11" ht="15" customHeight="1" x14ac:dyDescent="0.25">
      <c r="D1190" t="s">
        <v>1220</v>
      </c>
      <c r="E1190" t="s">
        <v>33</v>
      </c>
      <c r="F1190" t="s">
        <v>3</v>
      </c>
      <c r="G1190" s="54">
        <v>1</v>
      </c>
      <c r="H1190">
        <v>2</v>
      </c>
      <c r="I1190" s="1">
        <v>1</v>
      </c>
      <c r="J1190" s="1">
        <v>0.28545849012148494</v>
      </c>
      <c r="K1190" s="1">
        <v>0.51056956933946807</v>
      </c>
    </row>
    <row r="1191" spans="4:11" x14ac:dyDescent="0.25">
      <c r="D1191" t="s">
        <v>1220</v>
      </c>
      <c r="E1191" t="s">
        <v>21</v>
      </c>
      <c r="F1191" t="s">
        <v>32</v>
      </c>
      <c r="G1191" s="54">
        <v>5</v>
      </c>
      <c r="H1191">
        <v>1</v>
      </c>
      <c r="I1191" s="1">
        <v>-4</v>
      </c>
      <c r="J1191" s="1">
        <v>0.10550698924903656</v>
      </c>
      <c r="K1191" s="1">
        <v>16.855187638772687</v>
      </c>
    </row>
    <row r="1192" spans="4:11" ht="15" customHeight="1" x14ac:dyDescent="0.25">
      <c r="D1192" t="s">
        <v>1221</v>
      </c>
      <c r="E1192" t="s">
        <v>37</v>
      </c>
      <c r="F1192" t="s">
        <v>35</v>
      </c>
      <c r="G1192" s="54">
        <v>4</v>
      </c>
      <c r="H1192">
        <v>2</v>
      </c>
      <c r="I1192" s="1">
        <v>-2</v>
      </c>
      <c r="J1192" s="1">
        <v>-0.85125064441663767</v>
      </c>
      <c r="K1192" s="1">
        <v>1.3196250819531903</v>
      </c>
    </row>
    <row r="1193" spans="4:11" x14ac:dyDescent="0.25">
      <c r="D1193" t="s">
        <v>1221</v>
      </c>
      <c r="E1193" t="s">
        <v>40</v>
      </c>
      <c r="F1193" t="s">
        <v>1</v>
      </c>
      <c r="G1193" s="54">
        <v>4</v>
      </c>
      <c r="H1193">
        <v>5</v>
      </c>
      <c r="I1193" s="1">
        <v>1</v>
      </c>
      <c r="J1193" s="1">
        <v>-0.24838843687429346</v>
      </c>
      <c r="K1193" s="1">
        <v>1.5584736893214417</v>
      </c>
    </row>
    <row r="1194" spans="4:11" ht="18" customHeight="1" x14ac:dyDescent="0.25">
      <c r="D1194" t="s">
        <v>1221</v>
      </c>
      <c r="E1194" t="s">
        <v>11</v>
      </c>
      <c r="F1194" t="s">
        <v>18</v>
      </c>
      <c r="G1194" s="54">
        <v>3</v>
      </c>
      <c r="H1194">
        <v>4</v>
      </c>
      <c r="I1194" s="1">
        <v>1</v>
      </c>
      <c r="J1194" s="1">
        <v>0.36610754178255434</v>
      </c>
      <c r="K1194" s="1">
        <v>0.40181964858495611</v>
      </c>
    </row>
    <row r="1195" spans="4:11" x14ac:dyDescent="0.25">
      <c r="D1195" t="s">
        <v>1221</v>
      </c>
      <c r="E1195" t="s">
        <v>27</v>
      </c>
      <c r="F1195" t="s">
        <v>13</v>
      </c>
      <c r="G1195" s="54">
        <v>2</v>
      </c>
      <c r="H1195">
        <v>3</v>
      </c>
      <c r="I1195" s="1">
        <v>1</v>
      </c>
      <c r="J1195" s="1">
        <v>0.8242182242218945</v>
      </c>
      <c r="K1195" s="1">
        <v>3.0899232695704156E-2</v>
      </c>
    </row>
    <row r="1196" spans="4:11" ht="15" customHeight="1" x14ac:dyDescent="0.25">
      <c r="D1196" t="s">
        <v>1221</v>
      </c>
      <c r="E1196" t="s">
        <v>25</v>
      </c>
      <c r="F1196" t="s">
        <v>38</v>
      </c>
      <c r="G1196" s="54">
        <v>1</v>
      </c>
      <c r="H1196">
        <v>0</v>
      </c>
      <c r="I1196" s="1">
        <v>-1</v>
      </c>
      <c r="J1196" s="1">
        <v>0.55135905621000347</v>
      </c>
      <c r="K1196" s="1">
        <v>2.4067149212847929</v>
      </c>
    </row>
    <row r="1197" spans="4:11" x14ac:dyDescent="0.25">
      <c r="D1197" t="s">
        <v>1221</v>
      </c>
      <c r="E1197" t="s">
        <v>23</v>
      </c>
      <c r="F1197" t="s">
        <v>20</v>
      </c>
      <c r="G1197" s="54">
        <v>2</v>
      </c>
      <c r="H1197">
        <v>1</v>
      </c>
      <c r="I1197" s="1">
        <v>-1</v>
      </c>
      <c r="J1197" s="1">
        <v>0.36278383850559237</v>
      </c>
      <c r="K1197" s="1">
        <v>1.8571797904920364</v>
      </c>
    </row>
    <row r="1198" spans="4:11" ht="15" customHeight="1" x14ac:dyDescent="0.25">
      <c r="D1198" t="s">
        <v>1221</v>
      </c>
      <c r="E1198" t="s">
        <v>19</v>
      </c>
      <c r="F1198" t="s">
        <v>22</v>
      </c>
      <c r="G1198" s="54">
        <v>2</v>
      </c>
      <c r="H1198">
        <v>3</v>
      </c>
      <c r="I1198" s="1">
        <v>1</v>
      </c>
      <c r="J1198" s="1">
        <v>-0.11625330005387013</v>
      </c>
      <c r="K1198" s="1">
        <v>1.2460214298811554</v>
      </c>
    </row>
    <row r="1199" spans="4:11" x14ac:dyDescent="0.25">
      <c r="D1199" t="s">
        <v>1221</v>
      </c>
      <c r="E1199" t="s">
        <v>176</v>
      </c>
      <c r="F1199" t="s">
        <v>4</v>
      </c>
      <c r="G1199" s="54">
        <v>2</v>
      </c>
      <c r="H1199">
        <v>3</v>
      </c>
      <c r="I1199" s="1">
        <v>1</v>
      </c>
      <c r="J1199" s="1">
        <v>1.7041914743250715</v>
      </c>
      <c r="K1199" s="1">
        <v>0.49588563251211776</v>
      </c>
    </row>
    <row r="1200" spans="4:11" ht="15" customHeight="1" x14ac:dyDescent="0.25">
      <c r="D1200" t="s">
        <v>1221</v>
      </c>
      <c r="E1200" t="s">
        <v>33</v>
      </c>
      <c r="F1200" t="s">
        <v>24</v>
      </c>
      <c r="G1200" s="54">
        <v>2</v>
      </c>
      <c r="H1200">
        <v>4</v>
      </c>
      <c r="I1200" s="1">
        <v>2</v>
      </c>
      <c r="J1200" s="1">
        <v>-0.91963718214989854</v>
      </c>
      <c r="K1200" s="1">
        <v>8.5242812753921999</v>
      </c>
    </row>
    <row r="1201" spans="4:11" x14ac:dyDescent="0.25">
      <c r="D1201" t="s">
        <v>1222</v>
      </c>
      <c r="E1201" t="s">
        <v>0</v>
      </c>
      <c r="F1201" t="s">
        <v>7</v>
      </c>
      <c r="G1201" s="54">
        <v>0</v>
      </c>
      <c r="H1201">
        <v>5</v>
      </c>
      <c r="I1201" s="1">
        <v>5</v>
      </c>
      <c r="J1201" s="1">
        <v>0.68277598240139525</v>
      </c>
      <c r="K1201" s="1">
        <v>18.638423218130239</v>
      </c>
    </row>
    <row r="1202" spans="4:11" ht="15" customHeight="1" x14ac:dyDescent="0.25">
      <c r="D1202" t="s">
        <v>1222</v>
      </c>
      <c r="E1202" t="s">
        <v>2</v>
      </c>
      <c r="F1202" t="s">
        <v>12</v>
      </c>
      <c r="G1202" s="54">
        <v>0</v>
      </c>
      <c r="H1202">
        <v>3</v>
      </c>
      <c r="I1202" s="1">
        <v>3</v>
      </c>
      <c r="J1202" s="1">
        <v>0.67701047310720242</v>
      </c>
      <c r="K1202" s="1">
        <v>5.3962803420536236</v>
      </c>
    </row>
    <row r="1203" spans="4:11" x14ac:dyDescent="0.25">
      <c r="D1203" t="s">
        <v>1222</v>
      </c>
      <c r="E1203" t="s">
        <v>21</v>
      </c>
      <c r="F1203" t="s">
        <v>10</v>
      </c>
      <c r="G1203" s="54">
        <v>4</v>
      </c>
      <c r="H1203">
        <v>0</v>
      </c>
      <c r="I1203" s="1">
        <v>-4</v>
      </c>
      <c r="J1203" s="1">
        <v>0.27759429183534223</v>
      </c>
      <c r="K1203" s="1">
        <v>18.297812925542303</v>
      </c>
    </row>
    <row r="1204" spans="4:11" ht="18" customHeight="1" x14ac:dyDescent="0.25">
      <c r="D1204" t="s">
        <v>1223</v>
      </c>
      <c r="E1204" t="s">
        <v>18</v>
      </c>
      <c r="F1204" t="s">
        <v>37</v>
      </c>
      <c r="G1204" s="54">
        <v>3</v>
      </c>
      <c r="H1204">
        <v>0</v>
      </c>
      <c r="I1204" s="1">
        <v>-3</v>
      </c>
      <c r="J1204" s="1">
        <v>0.69286651026710899</v>
      </c>
      <c r="K1204" s="1">
        <v>13.637263062652377</v>
      </c>
    </row>
    <row r="1205" spans="4:11" x14ac:dyDescent="0.25">
      <c r="D1205" t="s">
        <v>1223</v>
      </c>
      <c r="E1205" t="s">
        <v>27</v>
      </c>
      <c r="F1205" t="s">
        <v>1</v>
      </c>
      <c r="G1205" s="54">
        <v>3</v>
      </c>
      <c r="H1205">
        <v>1</v>
      </c>
      <c r="I1205" s="1">
        <v>-2</v>
      </c>
      <c r="J1205" s="1">
        <v>0.45339804047694088</v>
      </c>
      <c r="K1205" s="1">
        <v>6.0191619450160934</v>
      </c>
    </row>
    <row r="1206" spans="4:11" ht="15" customHeight="1" x14ac:dyDescent="0.25">
      <c r="D1206" t="s">
        <v>1223</v>
      </c>
      <c r="E1206" t="s">
        <v>13</v>
      </c>
      <c r="F1206" t="s">
        <v>224</v>
      </c>
      <c r="G1206" s="54">
        <v>3</v>
      </c>
      <c r="H1206">
        <v>4</v>
      </c>
      <c r="I1206" s="1">
        <v>1</v>
      </c>
      <c r="J1206" s="1">
        <v>0.46160728130257667</v>
      </c>
      <c r="K1206" s="1">
        <v>0.28986671954640281</v>
      </c>
    </row>
    <row r="1207" spans="4:11" x14ac:dyDescent="0.25">
      <c r="D1207" t="s">
        <v>1223</v>
      </c>
      <c r="E1207" t="s">
        <v>35</v>
      </c>
      <c r="F1207" t="s">
        <v>36</v>
      </c>
      <c r="G1207" s="54">
        <v>3</v>
      </c>
      <c r="H1207">
        <v>4</v>
      </c>
      <c r="I1207" s="1">
        <v>1</v>
      </c>
      <c r="J1207" s="1">
        <v>1.2139350576546519</v>
      </c>
      <c r="K1207" s="1">
        <v>4.5768208893699244E-2</v>
      </c>
    </row>
    <row r="1208" spans="4:11" ht="15" customHeight="1" x14ac:dyDescent="0.25">
      <c r="D1208" t="s">
        <v>1223</v>
      </c>
      <c r="E1208" t="s">
        <v>2</v>
      </c>
      <c r="F1208" t="s">
        <v>14</v>
      </c>
      <c r="G1208" s="54">
        <v>2</v>
      </c>
      <c r="H1208">
        <v>4</v>
      </c>
      <c r="I1208" s="1">
        <v>2</v>
      </c>
      <c r="J1208" s="1">
        <v>9.7439509406882507E-3</v>
      </c>
      <c r="K1208" s="1">
        <v>3.9611191408171815</v>
      </c>
    </row>
    <row r="1209" spans="4:11" x14ac:dyDescent="0.25">
      <c r="D1209" t="s">
        <v>1223</v>
      </c>
      <c r="E1209" t="s">
        <v>20</v>
      </c>
      <c r="F1209" t="s">
        <v>38</v>
      </c>
      <c r="G1209" s="54">
        <v>1</v>
      </c>
      <c r="H1209">
        <v>2</v>
      </c>
      <c r="I1209" s="1">
        <v>1</v>
      </c>
      <c r="J1209" s="1">
        <v>0.32448650316352712</v>
      </c>
      <c r="K1209" s="1">
        <v>0.45631848440823947</v>
      </c>
    </row>
    <row r="1210" spans="4:11" ht="15" customHeight="1" x14ac:dyDescent="0.25">
      <c r="D1210" t="s">
        <v>1223</v>
      </c>
      <c r="E1210" t="s">
        <v>23</v>
      </c>
      <c r="F1210" t="s">
        <v>19</v>
      </c>
      <c r="G1210" s="54">
        <v>4</v>
      </c>
      <c r="H1210">
        <v>2</v>
      </c>
      <c r="I1210" s="1">
        <v>-2</v>
      </c>
      <c r="J1210" s="1">
        <v>0.17674166585739215</v>
      </c>
      <c r="K1210" s="1">
        <v>4.7382042798796142</v>
      </c>
    </row>
    <row r="1211" spans="4:11" x14ac:dyDescent="0.25">
      <c r="D1211" t="s">
        <v>1223</v>
      </c>
      <c r="E1211" t="s">
        <v>25</v>
      </c>
      <c r="F1211" t="s">
        <v>22</v>
      </c>
      <c r="G1211" s="54">
        <v>0</v>
      </c>
      <c r="H1211">
        <v>1</v>
      </c>
      <c r="I1211" s="1">
        <v>1</v>
      </c>
      <c r="J1211" s="1">
        <v>-7.5422919655594001E-2</v>
      </c>
      <c r="K1211" s="1">
        <v>1.1565344561205622</v>
      </c>
    </row>
    <row r="1212" spans="4:11" ht="18" customHeight="1" x14ac:dyDescent="0.25">
      <c r="D1212" t="s">
        <v>1223</v>
      </c>
      <c r="E1212" t="s">
        <v>33</v>
      </c>
      <c r="F1212" t="s">
        <v>4</v>
      </c>
      <c r="G1212" s="54">
        <v>1</v>
      </c>
      <c r="H1212">
        <v>3</v>
      </c>
      <c r="I1212" s="1">
        <v>2</v>
      </c>
      <c r="J1212" s="1">
        <v>0.34360700265379762</v>
      </c>
      <c r="K1212" s="1">
        <v>2.7436377616575363</v>
      </c>
    </row>
    <row r="1213" spans="4:11" x14ac:dyDescent="0.25">
      <c r="D1213" t="s">
        <v>1223</v>
      </c>
      <c r="E1213" t="s">
        <v>32</v>
      </c>
      <c r="F1213" t="s">
        <v>24</v>
      </c>
      <c r="G1213" s="54">
        <v>3</v>
      </c>
      <c r="H1213">
        <v>1</v>
      </c>
      <c r="I1213" s="1">
        <v>-2</v>
      </c>
      <c r="J1213" s="1">
        <v>-0.68765113953020318</v>
      </c>
      <c r="K1213" s="1">
        <v>1.7222595315763742</v>
      </c>
    </row>
    <row r="1214" spans="4:11" ht="15" customHeight="1" x14ac:dyDescent="0.25">
      <c r="D1214" t="s">
        <v>1223</v>
      </c>
      <c r="E1214" t="s">
        <v>176</v>
      </c>
      <c r="F1214" t="s">
        <v>3</v>
      </c>
      <c r="G1214" s="54">
        <v>0</v>
      </c>
      <c r="H1214">
        <v>5</v>
      </c>
      <c r="I1214" s="1">
        <v>5</v>
      </c>
      <c r="J1214" s="1">
        <v>1.6460429617927588</v>
      </c>
      <c r="K1214" s="1">
        <v>11.24902781413989</v>
      </c>
    </row>
    <row r="1215" spans="4:11" x14ac:dyDescent="0.25">
      <c r="D1215" t="s">
        <v>1224</v>
      </c>
      <c r="E1215" t="s">
        <v>40</v>
      </c>
      <c r="F1215" t="s">
        <v>11</v>
      </c>
      <c r="G1215" s="54">
        <v>3</v>
      </c>
      <c r="H1215">
        <v>1</v>
      </c>
      <c r="I1215" s="1">
        <v>-2</v>
      </c>
      <c r="J1215" s="1">
        <v>0.10577542389256678</v>
      </c>
      <c r="K1215" s="1">
        <v>4.4342901358699196</v>
      </c>
    </row>
    <row r="1216" spans="4:11" ht="15" customHeight="1" x14ac:dyDescent="0.25">
      <c r="D1216" t="s">
        <v>1224</v>
      </c>
      <c r="E1216" t="s">
        <v>8</v>
      </c>
      <c r="F1216" t="s">
        <v>7</v>
      </c>
      <c r="G1216" s="54">
        <v>2</v>
      </c>
      <c r="H1216">
        <v>4</v>
      </c>
      <c r="I1216" s="1">
        <v>2</v>
      </c>
      <c r="J1216" s="1">
        <v>1.4091631360761454</v>
      </c>
      <c r="K1216" s="1">
        <v>0.34908819977137545</v>
      </c>
    </row>
    <row r="1217" spans="4:11" x14ac:dyDescent="0.25">
      <c r="D1217" t="s">
        <v>1225</v>
      </c>
      <c r="E1217" t="s">
        <v>18</v>
      </c>
      <c r="F1217" t="s">
        <v>1</v>
      </c>
      <c r="G1217" s="54">
        <v>3</v>
      </c>
      <c r="H1217">
        <v>1</v>
      </c>
      <c r="I1217" s="1">
        <v>-2</v>
      </c>
      <c r="J1217" s="1">
        <v>-0.23067042129353865</v>
      </c>
      <c r="K1217" s="1">
        <v>3.130527158085584</v>
      </c>
    </row>
    <row r="1218" spans="4:11" ht="15" customHeight="1" x14ac:dyDescent="0.25">
      <c r="D1218" t="s">
        <v>1225</v>
      </c>
      <c r="E1218" t="s">
        <v>37</v>
      </c>
      <c r="F1218" t="s">
        <v>12</v>
      </c>
      <c r="G1218" s="54">
        <v>4</v>
      </c>
      <c r="H1218">
        <v>2</v>
      </c>
      <c r="I1218" s="1">
        <v>-2</v>
      </c>
      <c r="J1218" s="1">
        <v>-3.9134126517694767E-3</v>
      </c>
      <c r="K1218" s="1">
        <v>3.9843616641915052</v>
      </c>
    </row>
    <row r="1219" spans="4:11" x14ac:dyDescent="0.25">
      <c r="D1219" t="s">
        <v>1225</v>
      </c>
      <c r="E1219" t="s">
        <v>4</v>
      </c>
      <c r="F1219" t="s">
        <v>25</v>
      </c>
      <c r="G1219" s="54">
        <v>1</v>
      </c>
      <c r="H1219">
        <v>5</v>
      </c>
      <c r="I1219" s="1">
        <v>4</v>
      </c>
      <c r="J1219" s="1">
        <v>0.27422548339499997</v>
      </c>
      <c r="K1219" s="1">
        <v>13.881395748583222</v>
      </c>
    </row>
    <row r="1220" spans="4:11" ht="18" customHeight="1" x14ac:dyDescent="0.25">
      <c r="D1220" t="s">
        <v>1225</v>
      </c>
      <c r="E1220" t="s">
        <v>32</v>
      </c>
      <c r="F1220" t="s">
        <v>33</v>
      </c>
      <c r="G1220" s="54">
        <v>1</v>
      </c>
      <c r="H1220">
        <v>4</v>
      </c>
      <c r="I1220" s="1">
        <v>3</v>
      </c>
      <c r="J1220" s="1">
        <v>0.47678653324763332</v>
      </c>
      <c r="K1220" s="1">
        <v>6.3666061988004969</v>
      </c>
    </row>
    <row r="1221" spans="4:11" x14ac:dyDescent="0.25">
      <c r="D1221" t="s">
        <v>1225</v>
      </c>
      <c r="E1221" t="s">
        <v>23</v>
      </c>
      <c r="F1221" t="s">
        <v>38</v>
      </c>
      <c r="G1221" s="54">
        <v>2</v>
      </c>
      <c r="H1221">
        <v>4</v>
      </c>
      <c r="I1221" s="1">
        <v>2</v>
      </c>
      <c r="J1221" s="1">
        <v>0.44246985104118153</v>
      </c>
      <c r="K1221" s="1">
        <v>2.4259001649156793</v>
      </c>
    </row>
    <row r="1222" spans="4:11" ht="15" customHeight="1" x14ac:dyDescent="0.25">
      <c r="D1222" t="s">
        <v>1225</v>
      </c>
      <c r="E1222" t="s">
        <v>11</v>
      </c>
      <c r="F1222" t="s">
        <v>8</v>
      </c>
      <c r="G1222" s="54">
        <v>2</v>
      </c>
      <c r="H1222">
        <v>0</v>
      </c>
      <c r="I1222" s="1">
        <v>-2</v>
      </c>
      <c r="J1222" s="1">
        <v>-1.2060860284936155</v>
      </c>
      <c r="K1222" s="1">
        <v>0.63029939415304037</v>
      </c>
    </row>
    <row r="1223" spans="4:11" x14ac:dyDescent="0.25">
      <c r="D1223" t="s">
        <v>1225</v>
      </c>
      <c r="E1223" t="s">
        <v>224</v>
      </c>
      <c r="F1223" t="s">
        <v>0</v>
      </c>
      <c r="G1223" s="54">
        <v>4</v>
      </c>
      <c r="H1223">
        <v>3</v>
      </c>
      <c r="I1223" s="1">
        <v>-1</v>
      </c>
      <c r="J1223" s="1">
        <v>-0.7131619884715974</v>
      </c>
      <c r="K1223" s="1">
        <v>8.2276044857568023E-2</v>
      </c>
    </row>
    <row r="1224" spans="4:11" ht="18" customHeight="1" x14ac:dyDescent="0.25">
      <c r="D1224" t="s">
        <v>1225</v>
      </c>
      <c r="E1224" t="s">
        <v>35</v>
      </c>
      <c r="F1224" t="s">
        <v>14</v>
      </c>
      <c r="G1224" s="54">
        <v>2</v>
      </c>
      <c r="H1224">
        <v>3</v>
      </c>
      <c r="I1224" s="1">
        <v>1</v>
      </c>
      <c r="J1224" s="1">
        <v>0.42487120022629199</v>
      </c>
      <c r="K1224" s="1">
        <v>0.3307731363291459</v>
      </c>
    </row>
    <row r="1225" spans="4:11" x14ac:dyDescent="0.25">
      <c r="D1225" t="s">
        <v>1225</v>
      </c>
      <c r="E1225" t="s">
        <v>7</v>
      </c>
      <c r="F1225" t="s">
        <v>40</v>
      </c>
      <c r="G1225" s="54">
        <v>5</v>
      </c>
      <c r="H1225">
        <v>4</v>
      </c>
      <c r="I1225" s="1">
        <v>-1</v>
      </c>
      <c r="J1225" s="1">
        <v>0.67034943103665512</v>
      </c>
      <c r="K1225" s="1">
        <v>2.7900672217644775</v>
      </c>
    </row>
    <row r="1226" spans="4:11" ht="15" customHeight="1" x14ac:dyDescent="0.25">
      <c r="D1226" t="s">
        <v>1225</v>
      </c>
      <c r="E1226" t="s">
        <v>13</v>
      </c>
      <c r="F1226" t="s">
        <v>27</v>
      </c>
      <c r="G1226" s="54">
        <v>2</v>
      </c>
      <c r="H1226">
        <v>0</v>
      </c>
      <c r="I1226" s="1">
        <v>-2</v>
      </c>
      <c r="J1226" s="1">
        <v>-0.33461724296601858</v>
      </c>
      <c r="K1226" s="1">
        <v>2.7734997274261053</v>
      </c>
    </row>
    <row r="1227" spans="4:11" x14ac:dyDescent="0.25">
      <c r="D1227" t="s">
        <v>1225</v>
      </c>
      <c r="E1227" t="s">
        <v>2</v>
      </c>
      <c r="F1227" t="s">
        <v>36</v>
      </c>
      <c r="G1227" s="54">
        <v>2</v>
      </c>
      <c r="H1227">
        <v>3</v>
      </c>
      <c r="I1227" s="1">
        <v>1</v>
      </c>
      <c r="J1227" s="1">
        <v>0.79880780836904819</v>
      </c>
      <c r="K1227" s="1">
        <v>4.0478297973265638E-2</v>
      </c>
    </row>
    <row r="1228" spans="4:11" ht="15" customHeight="1" x14ac:dyDescent="0.25">
      <c r="D1228" t="s">
        <v>1225</v>
      </c>
      <c r="E1228" t="s">
        <v>19</v>
      </c>
      <c r="F1228" t="s">
        <v>21</v>
      </c>
      <c r="G1228" s="54">
        <v>1</v>
      </c>
      <c r="H1228">
        <v>4</v>
      </c>
      <c r="I1228" s="1">
        <v>3</v>
      </c>
      <c r="J1228" s="1">
        <v>-1.6953935804053799E-2</v>
      </c>
      <c r="K1228" s="1">
        <v>9.1020110507635703</v>
      </c>
    </row>
    <row r="1229" spans="4:11" x14ac:dyDescent="0.25">
      <c r="D1229" t="s">
        <v>1225</v>
      </c>
      <c r="E1229" t="s">
        <v>20</v>
      </c>
      <c r="F1229" t="s">
        <v>22</v>
      </c>
      <c r="G1229" s="54">
        <v>2</v>
      </c>
      <c r="H1229">
        <v>3</v>
      </c>
      <c r="I1229" s="1">
        <v>1</v>
      </c>
      <c r="J1229" s="1">
        <v>-0.30229547270207036</v>
      </c>
      <c r="K1229" s="1">
        <v>1.695973498220309</v>
      </c>
    </row>
    <row r="1230" spans="4:11" ht="15" customHeight="1" x14ac:dyDescent="0.25">
      <c r="D1230" t="s">
        <v>1225</v>
      </c>
      <c r="E1230" t="s">
        <v>10</v>
      </c>
      <c r="F1230" t="s">
        <v>176</v>
      </c>
      <c r="G1230" s="54">
        <v>2</v>
      </c>
      <c r="H1230">
        <v>1</v>
      </c>
      <c r="I1230" s="1">
        <v>-1</v>
      </c>
      <c r="J1230" s="1">
        <v>-1.0558852410099462</v>
      </c>
      <c r="K1230" s="1">
        <v>3.1231601627397707E-3</v>
      </c>
    </row>
    <row r="1231" spans="4:11" x14ac:dyDescent="0.25">
      <c r="D1231" t="s">
        <v>1225</v>
      </c>
      <c r="E1231" t="s">
        <v>24</v>
      </c>
      <c r="F1231" t="s">
        <v>3</v>
      </c>
      <c r="G1231" s="54">
        <v>5</v>
      </c>
      <c r="H1231">
        <v>6</v>
      </c>
      <c r="I1231" s="1">
        <v>1</v>
      </c>
      <c r="J1231" s="1">
        <v>1.4498961628993214</v>
      </c>
      <c r="K1231" s="1">
        <v>0.20240655739153277</v>
      </c>
    </row>
  </sheetData>
  <sortState ref="A2:B31">
    <sortCondition descending="1" ref="B2:B31"/>
  </sortState>
  <hyperlinks>
    <hyperlink ref="O7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B18" sqref="B18"/>
    </sheetView>
  </sheetViews>
  <sheetFormatPr defaultRowHeight="15" x14ac:dyDescent="0.25"/>
  <cols>
    <col min="1" max="1" width="40" style="36" bestFit="1" customWidth="1"/>
    <col min="2" max="2" width="13.7109375" style="3" bestFit="1" customWidth="1"/>
    <col min="3" max="3" width="13.7109375" style="3" customWidth="1"/>
    <col min="10" max="10" width="10.7109375" bestFit="1" customWidth="1"/>
  </cols>
  <sheetData>
    <row r="1" spans="1:11" x14ac:dyDescent="0.25">
      <c r="A1" s="35" t="s">
        <v>312</v>
      </c>
    </row>
    <row r="2" spans="1:11" x14ac:dyDescent="0.25">
      <c r="A2" s="37" t="s">
        <v>174</v>
      </c>
      <c r="B2" s="38"/>
      <c r="C2" s="39" t="s">
        <v>193</v>
      </c>
      <c r="D2" s="40" t="s">
        <v>313</v>
      </c>
      <c r="E2" s="39" t="s">
        <v>314</v>
      </c>
      <c r="F2" s="41" t="s">
        <v>194</v>
      </c>
      <c r="G2" s="39" t="s">
        <v>315</v>
      </c>
      <c r="H2" s="39" t="s">
        <v>316</v>
      </c>
      <c r="I2" t="s">
        <v>1208</v>
      </c>
      <c r="J2" t="s">
        <v>310</v>
      </c>
      <c r="K2" t="s">
        <v>1209</v>
      </c>
    </row>
    <row r="3" spans="1:11" x14ac:dyDescent="0.25">
      <c r="A3" s="43" t="s">
        <v>234</v>
      </c>
      <c r="B3" s="33" t="s">
        <v>204</v>
      </c>
      <c r="C3" s="33">
        <v>82</v>
      </c>
      <c r="D3" s="34">
        <v>228</v>
      </c>
      <c r="E3" s="33">
        <v>385</v>
      </c>
      <c r="F3" s="33">
        <v>613</v>
      </c>
      <c r="G3" s="33">
        <v>2.73</v>
      </c>
      <c r="H3" s="33">
        <v>2.65</v>
      </c>
      <c r="I3">
        <v>7.475609756097561</v>
      </c>
      <c r="J3">
        <v>11</v>
      </c>
      <c r="K3">
        <f>I3*J3</f>
        <v>82.231707317073173</v>
      </c>
    </row>
    <row r="4" spans="1:11" x14ac:dyDescent="0.25">
      <c r="A4" s="43" t="s">
        <v>238</v>
      </c>
      <c r="B4" s="33" t="s">
        <v>207</v>
      </c>
      <c r="C4" s="33">
        <v>82</v>
      </c>
      <c r="D4" s="34">
        <v>237</v>
      </c>
      <c r="E4" s="33">
        <v>427</v>
      </c>
      <c r="F4" s="33">
        <v>664</v>
      </c>
      <c r="G4" s="33">
        <v>2.85</v>
      </c>
      <c r="H4" s="33">
        <v>2.56</v>
      </c>
      <c r="I4">
        <v>8.0975609756097562</v>
      </c>
      <c r="J4">
        <v>6</v>
      </c>
      <c r="K4">
        <f t="shared" ref="K4:K18" si="0">I4*J4</f>
        <v>48.585365853658537</v>
      </c>
    </row>
    <row r="5" spans="1:11" x14ac:dyDescent="0.25">
      <c r="A5" s="43" t="s">
        <v>239</v>
      </c>
      <c r="B5" s="33" t="s">
        <v>201</v>
      </c>
      <c r="C5" s="33">
        <v>82</v>
      </c>
      <c r="D5" s="34">
        <v>220</v>
      </c>
      <c r="E5" s="33">
        <v>381</v>
      </c>
      <c r="F5" s="33">
        <v>601</v>
      </c>
      <c r="G5" s="33">
        <v>2.64</v>
      </c>
      <c r="H5" s="33">
        <v>2.23</v>
      </c>
      <c r="I5">
        <v>7.3292682926829267</v>
      </c>
      <c r="J5">
        <v>12</v>
      </c>
      <c r="K5">
        <f t="shared" si="0"/>
        <v>87.951219512195124</v>
      </c>
    </row>
    <row r="6" spans="1:11" x14ac:dyDescent="0.25">
      <c r="A6" s="43" t="s">
        <v>236</v>
      </c>
      <c r="B6" s="33" t="s">
        <v>208</v>
      </c>
      <c r="C6" s="33">
        <v>82</v>
      </c>
      <c r="D6" s="34">
        <v>231</v>
      </c>
      <c r="E6" s="33">
        <v>399</v>
      </c>
      <c r="F6" s="33">
        <v>630</v>
      </c>
      <c r="G6" s="33">
        <v>2.76</v>
      </c>
      <c r="H6" s="33">
        <v>2.52</v>
      </c>
      <c r="I6">
        <v>7.6829268292682924</v>
      </c>
      <c r="J6">
        <v>6</v>
      </c>
      <c r="K6">
        <f t="shared" si="0"/>
        <v>46.097560975609753</v>
      </c>
    </row>
    <row r="7" spans="1:11" x14ac:dyDescent="0.25">
      <c r="A7" s="43" t="s">
        <v>241</v>
      </c>
      <c r="B7" s="33" t="s">
        <v>211</v>
      </c>
      <c r="C7" s="33">
        <v>82</v>
      </c>
      <c r="D7" s="34">
        <v>227</v>
      </c>
      <c r="E7" s="33">
        <v>381</v>
      </c>
      <c r="F7" s="33">
        <v>608</v>
      </c>
      <c r="G7" s="33">
        <v>2.74</v>
      </c>
      <c r="H7" s="33">
        <v>2.39</v>
      </c>
      <c r="I7">
        <v>7.4146341463414638</v>
      </c>
      <c r="J7">
        <v>6</v>
      </c>
      <c r="K7">
        <f t="shared" si="0"/>
        <v>44.487804878048784</v>
      </c>
    </row>
    <row r="8" spans="1:11" x14ac:dyDescent="0.25">
      <c r="A8" s="43" t="s">
        <v>229</v>
      </c>
      <c r="B8" s="33" t="s">
        <v>206</v>
      </c>
      <c r="C8" s="33">
        <v>82</v>
      </c>
      <c r="D8" s="34">
        <v>214</v>
      </c>
      <c r="E8" s="33">
        <v>365</v>
      </c>
      <c r="F8" s="33">
        <v>579</v>
      </c>
      <c r="G8" s="33">
        <v>2.56</v>
      </c>
      <c r="H8" s="33">
        <v>2.2000000000000002</v>
      </c>
      <c r="I8">
        <v>7.0609756097560972</v>
      </c>
      <c r="J8">
        <v>7</v>
      </c>
      <c r="K8">
        <f t="shared" si="0"/>
        <v>49.426829268292678</v>
      </c>
    </row>
    <row r="9" spans="1:11" x14ac:dyDescent="0.25">
      <c r="A9" s="43" t="s">
        <v>233</v>
      </c>
      <c r="B9" s="33" t="s">
        <v>210</v>
      </c>
      <c r="C9" s="33">
        <v>82</v>
      </c>
      <c r="D9" s="34">
        <v>226</v>
      </c>
      <c r="E9" s="33">
        <v>385</v>
      </c>
      <c r="F9" s="33">
        <v>611</v>
      </c>
      <c r="G9" s="33">
        <v>2.71</v>
      </c>
      <c r="H9" s="33">
        <v>2.42</v>
      </c>
      <c r="I9">
        <v>7.4512195121951219</v>
      </c>
      <c r="J9">
        <v>9</v>
      </c>
      <c r="K9">
        <f t="shared" si="0"/>
        <v>67.060975609756099</v>
      </c>
    </row>
    <row r="10" spans="1:11" x14ac:dyDescent="0.25">
      <c r="A10" s="43" t="s">
        <v>243</v>
      </c>
      <c r="B10" s="33" t="s">
        <v>195</v>
      </c>
      <c r="C10" s="33">
        <v>82</v>
      </c>
      <c r="D10" s="34">
        <v>245</v>
      </c>
      <c r="E10" s="33">
        <v>411</v>
      </c>
      <c r="F10" s="33">
        <v>656</v>
      </c>
      <c r="G10" s="33">
        <v>2.94</v>
      </c>
      <c r="H10" s="33">
        <v>2.68</v>
      </c>
      <c r="I10">
        <v>8</v>
      </c>
      <c r="J10">
        <v>6</v>
      </c>
      <c r="K10">
        <f t="shared" si="0"/>
        <v>48</v>
      </c>
    </row>
    <row r="11" spans="1:11" x14ac:dyDescent="0.25">
      <c r="A11" s="43" t="s">
        <v>242</v>
      </c>
      <c r="B11" s="33" t="s">
        <v>202</v>
      </c>
      <c r="C11" s="33">
        <v>82</v>
      </c>
      <c r="D11" s="34">
        <v>248</v>
      </c>
      <c r="E11" s="33">
        <v>411</v>
      </c>
      <c r="F11" s="33">
        <v>659</v>
      </c>
      <c r="G11" s="33">
        <v>2.99</v>
      </c>
      <c r="H11" s="33">
        <v>2.25</v>
      </c>
      <c r="I11">
        <v>8.036585365853659</v>
      </c>
      <c r="J11">
        <v>14</v>
      </c>
      <c r="K11">
        <f t="shared" si="0"/>
        <v>112.51219512195122</v>
      </c>
    </row>
    <row r="12" spans="1:11" x14ac:dyDescent="0.25">
      <c r="A12" s="43" t="s">
        <v>317</v>
      </c>
      <c r="B12" s="33" t="s">
        <v>213</v>
      </c>
      <c r="C12" s="33">
        <v>82</v>
      </c>
      <c r="D12" s="34">
        <v>232</v>
      </c>
      <c r="E12" s="33">
        <v>387</v>
      </c>
      <c r="F12" s="33">
        <v>619</v>
      </c>
      <c r="G12" s="33">
        <v>2.77</v>
      </c>
      <c r="H12" s="33">
        <v>2.48</v>
      </c>
      <c r="I12">
        <v>7.5487804878048781</v>
      </c>
      <c r="J12">
        <v>7</v>
      </c>
      <c r="K12">
        <f t="shared" si="0"/>
        <v>52.841463414634148</v>
      </c>
    </row>
    <row r="13" spans="1:11" x14ac:dyDescent="0.25">
      <c r="A13" s="43" t="s">
        <v>231</v>
      </c>
      <c r="B13" s="33" t="s">
        <v>197</v>
      </c>
      <c r="C13" s="33">
        <v>82</v>
      </c>
      <c r="D13" s="34">
        <v>217</v>
      </c>
      <c r="E13" s="33">
        <v>383</v>
      </c>
      <c r="F13" s="33">
        <v>600</v>
      </c>
      <c r="G13" s="33">
        <v>2.6</v>
      </c>
      <c r="H13" s="33">
        <v>2.4500000000000002</v>
      </c>
      <c r="I13">
        <v>7.3170731707317076</v>
      </c>
      <c r="J13">
        <v>6</v>
      </c>
      <c r="K13">
        <f t="shared" si="0"/>
        <v>43.902439024390247</v>
      </c>
    </row>
    <row r="14" spans="1:11" x14ac:dyDescent="0.25">
      <c r="A14" s="43" t="s">
        <v>235</v>
      </c>
      <c r="B14" s="33" t="s">
        <v>199</v>
      </c>
      <c r="C14" s="33">
        <v>82</v>
      </c>
      <c r="D14" s="34">
        <v>239</v>
      </c>
      <c r="E14" s="33">
        <v>421</v>
      </c>
      <c r="F14" s="33">
        <v>660</v>
      </c>
      <c r="G14" s="33">
        <v>2.87</v>
      </c>
      <c r="H14" s="33">
        <v>2.36</v>
      </c>
      <c r="I14">
        <v>8.0487804878048781</v>
      </c>
      <c r="J14">
        <v>12</v>
      </c>
      <c r="K14">
        <f t="shared" si="0"/>
        <v>96.585365853658544</v>
      </c>
    </row>
    <row r="15" spans="1:11" x14ac:dyDescent="0.25">
      <c r="A15" s="43" t="s">
        <v>230</v>
      </c>
      <c r="B15" s="33" t="s">
        <v>200</v>
      </c>
      <c r="C15" s="33">
        <v>82</v>
      </c>
      <c r="D15" s="34">
        <v>259</v>
      </c>
      <c r="E15" s="33">
        <v>445</v>
      </c>
      <c r="F15" s="33">
        <v>704</v>
      </c>
      <c r="G15" s="33">
        <v>3.12</v>
      </c>
      <c r="H15" s="33">
        <v>2.48</v>
      </c>
      <c r="I15">
        <v>8.5853658536585371</v>
      </c>
      <c r="J15">
        <v>6</v>
      </c>
      <c r="K15">
        <f t="shared" si="0"/>
        <v>51.512195121951223</v>
      </c>
    </row>
    <row r="16" spans="1:11" x14ac:dyDescent="0.25">
      <c r="A16" s="43" t="s">
        <v>237</v>
      </c>
      <c r="B16" s="33" t="s">
        <v>205</v>
      </c>
      <c r="C16" s="33">
        <v>82</v>
      </c>
      <c r="D16" s="34">
        <v>236</v>
      </c>
      <c r="E16" s="33">
        <v>406</v>
      </c>
      <c r="F16" s="33">
        <v>642</v>
      </c>
      <c r="G16" s="33">
        <v>2.84</v>
      </c>
      <c r="H16" s="33">
        <v>2.65</v>
      </c>
      <c r="I16">
        <v>7.8292682926829267</v>
      </c>
      <c r="J16">
        <v>11</v>
      </c>
      <c r="K16">
        <f t="shared" si="0"/>
        <v>86.121951219512198</v>
      </c>
    </row>
    <row r="17" spans="1:11" x14ac:dyDescent="0.25">
      <c r="A17" s="43" t="s">
        <v>232</v>
      </c>
      <c r="B17" s="33" t="s">
        <v>196</v>
      </c>
      <c r="C17" s="33">
        <v>82</v>
      </c>
      <c r="D17" s="34">
        <v>237</v>
      </c>
      <c r="E17" s="33">
        <v>415</v>
      </c>
      <c r="F17" s="33">
        <v>652</v>
      </c>
      <c r="G17" s="33">
        <v>2.84</v>
      </c>
      <c r="H17" s="33">
        <v>2.39</v>
      </c>
      <c r="I17">
        <v>7.9512195121951219</v>
      </c>
      <c r="J17">
        <v>7</v>
      </c>
      <c r="K17">
        <f t="shared" si="0"/>
        <v>55.658536585365852</v>
      </c>
    </row>
    <row r="18" spans="1:11" x14ac:dyDescent="0.25">
      <c r="A18" s="43" t="s">
        <v>240</v>
      </c>
      <c r="B18" s="33" t="s">
        <v>209</v>
      </c>
      <c r="C18" s="33">
        <v>82</v>
      </c>
      <c r="D18" s="34">
        <v>223</v>
      </c>
      <c r="E18" s="33">
        <v>371</v>
      </c>
      <c r="F18" s="33">
        <v>594</v>
      </c>
      <c r="G18" s="33">
        <v>2.67</v>
      </c>
      <c r="H18" s="33">
        <v>2.44</v>
      </c>
      <c r="I18">
        <v>7.2439024390243905</v>
      </c>
      <c r="J18">
        <v>4</v>
      </c>
      <c r="K18">
        <f t="shared" si="0"/>
        <v>28.975609756097562</v>
      </c>
    </row>
  </sheetData>
  <sortState ref="A3:H32">
    <sortCondition ref="A3"/>
  </sortState>
  <hyperlinks>
    <hyperlink ref="A1" r:id="rId1"/>
    <hyperlink ref="C2" r:id="rId2" display="http://sports.yahoo.com/nhl/stats/byteam?cat=teamstats&amp;conference=NHL&amp;year=season_2014&amp;cut_type=0&amp;sort=400"/>
    <hyperlink ref="E2" r:id="rId3" display="http://sports.yahoo.com/nhl/stats/byteam?cat=teamstats&amp;conference=NHL&amp;year=season_2014&amp;cut_type=0&amp;sort=406"/>
    <hyperlink ref="G2" r:id="rId4" display="http://sports.yahoo.com/nhl/stats/byteam?cat=teamstats&amp;conference=NHL&amp;year=season_2014&amp;cut_type=0&amp;sort=443"/>
    <hyperlink ref="H2" r:id="rId5" display="http://sports.yahoo.com/nhl/stats/byteam?cat=teamstats&amp;conference=NHL&amp;year=season_2014&amp;cut_type=0&amp;sort=444"/>
    <hyperlink ref="A15" r:id="rId6" display="http://sports.yahoo.com/nhl/teams/tam"/>
    <hyperlink ref="A11" r:id="rId7" display="http://sports.yahoo.com/nhl/teams/nyr"/>
    <hyperlink ref="A10" r:id="rId8" display="http://sports.yahoo.com/nhl/teams/nyi"/>
    <hyperlink ref="A14" r:id="rId9" display="http://sports.yahoo.com/nhl/teams/stl"/>
    <hyperlink ref="A17" r:id="rId10" display="http://sports.yahoo.com/nhl/teams/was"/>
    <hyperlink ref="A4" r:id="rId11" display="http://sports.yahoo.com/nhl/teams/cgy"/>
    <hyperlink ref="A16" r:id="rId12" display="http://sports.yahoo.com/nhl/teams/van"/>
    <hyperlink ref="A12" r:id="rId13" display="http://sports.yahoo.com/nhl/teams/ott"/>
    <hyperlink ref="A6" r:id="rId14" display="http://sports.yahoo.com/nhl/teams/det"/>
    <hyperlink ref="A3" r:id="rId15" display="http://sports.yahoo.com/nhl/teams/ana"/>
    <hyperlink ref="A7" r:id="rId16" display="http://sports.yahoo.com/nhl/teams/min"/>
    <hyperlink ref="A9" r:id="rId17" display="http://sports.yahoo.com/nhl/teams/nas"/>
    <hyperlink ref="A18" r:id="rId18" display="http://sports.yahoo.com/nhl/teams/wpg"/>
    <hyperlink ref="A5" r:id="rId19" display="http://sports.yahoo.com/nhl/teams/chi"/>
    <hyperlink ref="A13" r:id="rId20" display="http://sports.yahoo.com/nhl/teams/pit"/>
    <hyperlink ref="A8" r:id="rId21" display="http://sports.yahoo.com/nhl/teams/mon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84"/>
  <sheetViews>
    <sheetView workbookViewId="0">
      <selection activeCell="O9" sqref="O9"/>
    </sheetView>
  </sheetViews>
  <sheetFormatPr defaultRowHeight="15" x14ac:dyDescent="0.25"/>
  <cols>
    <col min="1" max="1" width="19.5703125" customWidth="1"/>
    <col min="10" max="10" width="19.140625" bestFit="1" customWidth="1"/>
    <col min="11" max="12" width="9" customWidth="1"/>
    <col min="13" max="13" width="20.42578125" bestFit="1" customWidth="1"/>
    <col min="14" max="14" width="9.7109375" customWidth="1"/>
    <col min="17" max="17" width="14.7109375" bestFit="1" customWidth="1"/>
    <col min="18" max="18" width="19.28515625" bestFit="1" customWidth="1"/>
    <col min="20" max="20" width="10.42578125" bestFit="1" customWidth="1"/>
  </cols>
  <sheetData>
    <row r="1" spans="1:21" x14ac:dyDescent="0.25">
      <c r="B1" t="s">
        <v>222</v>
      </c>
    </row>
    <row r="2" spans="1:21" x14ac:dyDescent="0.25">
      <c r="A2" s="43" t="s">
        <v>192</v>
      </c>
      <c r="B2" s="43" t="s">
        <v>174</v>
      </c>
      <c r="C2" s="39" t="s">
        <v>193</v>
      </c>
      <c r="D2" s="38"/>
      <c r="E2" s="39" t="s">
        <v>313</v>
      </c>
      <c r="F2" s="38"/>
      <c r="G2" s="39" t="s">
        <v>314</v>
      </c>
      <c r="H2" s="38"/>
      <c r="I2" s="40" t="s">
        <v>318</v>
      </c>
      <c r="J2" t="s">
        <v>1228</v>
      </c>
      <c r="M2" t="s">
        <v>1210</v>
      </c>
      <c r="N2" t="s">
        <v>174</v>
      </c>
      <c r="O2" t="s">
        <v>318</v>
      </c>
      <c r="P2" t="s">
        <v>1211</v>
      </c>
      <c r="Q2" t="s">
        <v>1212</v>
      </c>
      <c r="R2" t="s">
        <v>1213</v>
      </c>
      <c r="S2" t="s">
        <v>1214</v>
      </c>
      <c r="T2" t="s">
        <v>1209</v>
      </c>
      <c r="U2" t="s">
        <v>269</v>
      </c>
    </row>
    <row r="3" spans="1:21" x14ac:dyDescent="0.25">
      <c r="A3" s="44" t="s">
        <v>319</v>
      </c>
      <c r="B3" s="44" t="s">
        <v>203</v>
      </c>
      <c r="C3" s="45">
        <v>82</v>
      </c>
      <c r="D3" s="45"/>
      <c r="E3" s="45">
        <v>35</v>
      </c>
      <c r="F3" s="45"/>
      <c r="G3" s="45">
        <v>52</v>
      </c>
      <c r="H3" s="45"/>
      <c r="I3" s="34">
        <v>87</v>
      </c>
      <c r="J3" t="e">
        <f>I3/(VLOOKUP(B3,'Team Stats'!$B$3:$K$18,5,0))</f>
        <v>#N/A</v>
      </c>
      <c r="M3" t="s">
        <v>342</v>
      </c>
      <c r="N3" t="s">
        <v>202</v>
      </c>
      <c r="O3">
        <v>69</v>
      </c>
      <c r="P3">
        <v>659</v>
      </c>
      <c r="Q3">
        <v>0.1047040971168437</v>
      </c>
      <c r="R3" s="57">
        <f>VLOOKUP(N3,'Team Stats'!$B$3:$K$18,9,0)</f>
        <v>14</v>
      </c>
      <c r="S3" s="54">
        <f>VLOOKUP(N3,'Team Stats'!$B$3:$K$18,10,0)</f>
        <v>112.51219512195122</v>
      </c>
      <c r="T3" s="54">
        <f t="shared" ref="T3:T66" si="0">VLOOKUP(M3,$A$3:$J$884,10,0)*S3</f>
        <v>11.780487804878048</v>
      </c>
      <c r="U3">
        <f t="shared" ref="U3:U66" si="1">RANK(T3,$T$3:$T$318,0)</f>
        <v>1</v>
      </c>
    </row>
    <row r="4" spans="1:21" x14ac:dyDescent="0.25">
      <c r="A4" s="44" t="s">
        <v>320</v>
      </c>
      <c r="B4" s="44" t="s">
        <v>195</v>
      </c>
      <c r="C4" s="45">
        <v>82</v>
      </c>
      <c r="D4" s="45"/>
      <c r="E4" s="45">
        <v>38</v>
      </c>
      <c r="F4" s="45"/>
      <c r="G4" s="45">
        <v>48</v>
      </c>
      <c r="H4" s="45"/>
      <c r="I4" s="34">
        <v>86</v>
      </c>
      <c r="J4">
        <f>I4/(VLOOKUP(B4,'Team Stats'!$B$3:$K$18,5,0))</f>
        <v>0.13109756097560976</v>
      </c>
      <c r="M4" t="s">
        <v>332</v>
      </c>
      <c r="N4" t="s">
        <v>199</v>
      </c>
      <c r="O4">
        <v>73</v>
      </c>
      <c r="P4">
        <v>660</v>
      </c>
      <c r="Q4">
        <v>0.11060606060606061</v>
      </c>
      <c r="R4" s="57">
        <f>VLOOKUP(N4,'Team Stats'!$B$3:$K$18,9,0)</f>
        <v>12</v>
      </c>
      <c r="S4" s="54">
        <f>VLOOKUP(N4,'Team Stats'!$B$3:$K$18,10,0)</f>
        <v>96.585365853658544</v>
      </c>
      <c r="T4" s="54">
        <f t="shared" si="0"/>
        <v>10.682926829268293</v>
      </c>
      <c r="U4">
        <f t="shared" si="1"/>
        <v>2</v>
      </c>
    </row>
    <row r="5" spans="1:21" x14ac:dyDescent="0.25">
      <c r="A5" s="44" t="s">
        <v>321</v>
      </c>
      <c r="B5" s="44" t="s">
        <v>197</v>
      </c>
      <c r="C5" s="45">
        <v>77</v>
      </c>
      <c r="D5" s="45"/>
      <c r="E5" s="45">
        <v>28</v>
      </c>
      <c r="F5" s="45"/>
      <c r="G5" s="45">
        <v>56</v>
      </c>
      <c r="H5" s="45"/>
      <c r="I5" s="34">
        <v>84</v>
      </c>
      <c r="J5">
        <f>I5/(VLOOKUP(B5,'Team Stats'!$B$3:$K$18,5,0))</f>
        <v>0.14000000000000001</v>
      </c>
      <c r="M5" t="s">
        <v>374</v>
      </c>
      <c r="N5" t="s">
        <v>202</v>
      </c>
      <c r="O5">
        <v>60</v>
      </c>
      <c r="P5">
        <v>659</v>
      </c>
      <c r="Q5">
        <v>9.1047040971168433E-2</v>
      </c>
      <c r="R5" s="57">
        <f>VLOOKUP(N5,'Team Stats'!$B$3:$K$18,9,0)</f>
        <v>14</v>
      </c>
      <c r="S5" s="54">
        <f>VLOOKUP(N5,'Team Stats'!$B$3:$K$18,10,0)</f>
        <v>112.51219512195122</v>
      </c>
      <c r="T5" s="54">
        <f t="shared" si="0"/>
        <v>10.24390243902439</v>
      </c>
      <c r="U5">
        <f t="shared" si="1"/>
        <v>3</v>
      </c>
    </row>
    <row r="6" spans="1:21" x14ac:dyDescent="0.25">
      <c r="A6" s="44" t="s">
        <v>322</v>
      </c>
      <c r="B6" s="44" t="s">
        <v>198</v>
      </c>
      <c r="C6" s="45">
        <v>82</v>
      </c>
      <c r="D6" s="45"/>
      <c r="E6" s="45">
        <v>22</v>
      </c>
      <c r="F6" s="45"/>
      <c r="G6" s="45">
        <v>59</v>
      </c>
      <c r="H6" s="45"/>
      <c r="I6" s="34">
        <v>81</v>
      </c>
      <c r="J6" t="e">
        <f>I6/(VLOOKUP(B6,'Team Stats'!$B$3:$K$18,5,0))</f>
        <v>#N/A</v>
      </c>
      <c r="M6" t="s">
        <v>328</v>
      </c>
      <c r="N6" t="s">
        <v>205</v>
      </c>
      <c r="O6">
        <v>76</v>
      </c>
      <c r="P6">
        <v>642</v>
      </c>
      <c r="Q6">
        <v>0.11838006230529595</v>
      </c>
      <c r="R6" s="57">
        <f>VLOOKUP(N6,'Team Stats'!$B$3:$K$18,9,0)</f>
        <v>11</v>
      </c>
      <c r="S6" s="54">
        <f>VLOOKUP(N6,'Team Stats'!$B$3:$K$18,10,0)</f>
        <v>86.121951219512198</v>
      </c>
      <c r="T6" s="54">
        <f t="shared" si="0"/>
        <v>10.195121951219512</v>
      </c>
      <c r="U6">
        <f t="shared" si="1"/>
        <v>4</v>
      </c>
    </row>
    <row r="7" spans="1:21" x14ac:dyDescent="0.25">
      <c r="A7" s="44" t="s">
        <v>323</v>
      </c>
      <c r="B7" s="44" t="s">
        <v>324</v>
      </c>
      <c r="C7" s="45">
        <v>81</v>
      </c>
      <c r="D7" s="45"/>
      <c r="E7" s="45">
        <v>53</v>
      </c>
      <c r="F7" s="45"/>
      <c r="G7" s="45">
        <v>28</v>
      </c>
      <c r="H7" s="45"/>
      <c r="I7" s="34">
        <v>81</v>
      </c>
      <c r="J7" t="e">
        <f>I7/(VLOOKUP(B7,'Team Stats'!$B$3:$K$18,5,0))</f>
        <v>#N/A</v>
      </c>
      <c r="M7" t="s">
        <v>333</v>
      </c>
      <c r="N7" t="s">
        <v>205</v>
      </c>
      <c r="O7">
        <v>73</v>
      </c>
      <c r="P7">
        <v>642</v>
      </c>
      <c r="Q7">
        <v>0.11370716510903427</v>
      </c>
      <c r="R7" s="57">
        <f>VLOOKUP(N7,'Team Stats'!$B$3:$K$18,9,0)</f>
        <v>11</v>
      </c>
      <c r="S7" s="54">
        <f>VLOOKUP(N7,'Team Stats'!$B$3:$K$18,10,0)</f>
        <v>86.121951219512198</v>
      </c>
      <c r="T7" s="54">
        <f t="shared" si="0"/>
        <v>9.7926829268292686</v>
      </c>
      <c r="U7">
        <f t="shared" si="1"/>
        <v>5</v>
      </c>
    </row>
    <row r="8" spans="1:21" x14ac:dyDescent="0.25">
      <c r="A8" s="44" t="s">
        <v>325</v>
      </c>
      <c r="B8" s="44" t="s">
        <v>324</v>
      </c>
      <c r="C8" s="45">
        <v>82</v>
      </c>
      <c r="D8" s="45"/>
      <c r="E8" s="45">
        <v>18</v>
      </c>
      <c r="F8" s="45"/>
      <c r="G8" s="45">
        <v>60</v>
      </c>
      <c r="H8" s="45"/>
      <c r="I8" s="34">
        <v>78</v>
      </c>
      <c r="J8" t="e">
        <f>I8/(VLOOKUP(B8,'Team Stats'!$B$3:$K$18,5,0))</f>
        <v>#N/A</v>
      </c>
      <c r="M8" t="s">
        <v>347</v>
      </c>
      <c r="N8" t="s">
        <v>201</v>
      </c>
      <c r="O8">
        <v>66</v>
      </c>
      <c r="P8">
        <v>601</v>
      </c>
      <c r="Q8">
        <v>0.10981697171381032</v>
      </c>
      <c r="R8" s="57">
        <f>VLOOKUP(N8,'Team Stats'!$B$3:$K$18,9,0)</f>
        <v>12</v>
      </c>
      <c r="S8" s="54">
        <f>VLOOKUP(N8,'Team Stats'!$B$3:$K$18,10,0)</f>
        <v>87.951219512195124</v>
      </c>
      <c r="T8" s="54">
        <f t="shared" si="0"/>
        <v>9.6585365853658534</v>
      </c>
      <c r="U8">
        <f t="shared" si="1"/>
        <v>6</v>
      </c>
    </row>
    <row r="9" spans="1:21" x14ac:dyDescent="0.25">
      <c r="A9" s="44" t="s">
        <v>326</v>
      </c>
      <c r="B9" s="44" t="s">
        <v>203</v>
      </c>
      <c r="C9" s="45">
        <v>71</v>
      </c>
      <c r="D9" s="45"/>
      <c r="E9" s="45">
        <v>37</v>
      </c>
      <c r="F9" s="45"/>
      <c r="G9" s="45">
        <v>40</v>
      </c>
      <c r="H9" s="45"/>
      <c r="I9" s="34">
        <v>77</v>
      </c>
      <c r="J9" t="e">
        <f>I9/(VLOOKUP(B9,'Team Stats'!$B$3:$K$18,5,0))</f>
        <v>#N/A</v>
      </c>
      <c r="M9" t="s">
        <v>395</v>
      </c>
      <c r="N9" t="s">
        <v>202</v>
      </c>
      <c r="O9">
        <v>55</v>
      </c>
      <c r="P9">
        <v>659</v>
      </c>
      <c r="Q9">
        <v>8.3459787556904405E-2</v>
      </c>
      <c r="R9" s="57">
        <f>VLOOKUP(N9,'Team Stats'!$B$3:$K$18,9,0)</f>
        <v>14</v>
      </c>
      <c r="S9" s="54">
        <f>VLOOKUP(N9,'Team Stats'!$B$3:$K$18,10,0)</f>
        <v>112.51219512195122</v>
      </c>
      <c r="T9" s="54">
        <f t="shared" si="0"/>
        <v>9.3902439024390247</v>
      </c>
      <c r="U9">
        <f t="shared" si="1"/>
        <v>7</v>
      </c>
    </row>
    <row r="10" spans="1:21" x14ac:dyDescent="0.25">
      <c r="A10" s="44" t="s">
        <v>327</v>
      </c>
      <c r="B10" s="44" t="s">
        <v>207</v>
      </c>
      <c r="C10" s="45">
        <v>78</v>
      </c>
      <c r="D10" s="45"/>
      <c r="E10" s="45">
        <v>31</v>
      </c>
      <c r="F10" s="45"/>
      <c r="G10" s="45">
        <v>45</v>
      </c>
      <c r="H10" s="45"/>
      <c r="I10" s="34">
        <v>76</v>
      </c>
      <c r="J10">
        <f>I10/(VLOOKUP(B10,'Team Stats'!$B$3:$K$18,5,0))</f>
        <v>0.1144578313253012</v>
      </c>
      <c r="M10" t="s">
        <v>341</v>
      </c>
      <c r="N10" t="s">
        <v>204</v>
      </c>
      <c r="O10">
        <v>70</v>
      </c>
      <c r="P10">
        <v>613</v>
      </c>
      <c r="Q10">
        <v>0.11419249592169657</v>
      </c>
      <c r="R10" s="57">
        <f>VLOOKUP(N10,'Team Stats'!$B$3:$K$18,9,0)</f>
        <v>11</v>
      </c>
      <c r="S10" s="54">
        <f>VLOOKUP(N10,'Team Stats'!$B$3:$K$18,10,0)</f>
        <v>82.231707317073173</v>
      </c>
      <c r="T10" s="54">
        <f t="shared" si="0"/>
        <v>9.3902439024390247</v>
      </c>
      <c r="U10">
        <f t="shared" si="1"/>
        <v>7</v>
      </c>
    </row>
    <row r="11" spans="1:21" x14ac:dyDescent="0.25">
      <c r="A11" s="44" t="s">
        <v>328</v>
      </c>
      <c r="B11" s="44" t="s">
        <v>205</v>
      </c>
      <c r="C11" s="45">
        <v>82</v>
      </c>
      <c r="D11" s="45"/>
      <c r="E11" s="45">
        <v>20</v>
      </c>
      <c r="F11" s="45"/>
      <c r="G11" s="45">
        <v>56</v>
      </c>
      <c r="H11" s="45"/>
      <c r="I11" s="34">
        <v>76</v>
      </c>
      <c r="J11">
        <f>I11/(VLOOKUP(B11,'Team Stats'!$B$3:$K$18,5,0))</f>
        <v>0.11838006230529595</v>
      </c>
      <c r="M11" t="s">
        <v>354</v>
      </c>
      <c r="N11" t="s">
        <v>199</v>
      </c>
      <c r="O11">
        <v>64</v>
      </c>
      <c r="P11">
        <v>660</v>
      </c>
      <c r="Q11">
        <v>9.696969696969697E-2</v>
      </c>
      <c r="R11" s="57">
        <f>VLOOKUP(N11,'Team Stats'!$B$3:$K$18,9,0)</f>
        <v>12</v>
      </c>
      <c r="S11" s="54">
        <f>VLOOKUP(N11,'Team Stats'!$B$3:$K$18,10,0)</f>
        <v>96.585365853658544</v>
      </c>
      <c r="T11" s="54">
        <f t="shared" si="0"/>
        <v>9.3658536585365866</v>
      </c>
      <c r="U11">
        <f t="shared" si="1"/>
        <v>9</v>
      </c>
    </row>
    <row r="12" spans="1:21" x14ac:dyDescent="0.25">
      <c r="A12" s="44" t="s">
        <v>329</v>
      </c>
      <c r="B12" s="44" t="s">
        <v>330</v>
      </c>
      <c r="C12" s="45">
        <v>79</v>
      </c>
      <c r="D12" s="45"/>
      <c r="E12" s="45">
        <v>31</v>
      </c>
      <c r="F12" s="45"/>
      <c r="G12" s="45">
        <v>42</v>
      </c>
      <c r="H12" s="45"/>
      <c r="I12" s="34">
        <v>73</v>
      </c>
      <c r="J12" t="e">
        <f>I12/(VLOOKUP(B12,'Team Stats'!$B$3:$K$18,5,0))</f>
        <v>#N/A</v>
      </c>
      <c r="M12" t="s">
        <v>357</v>
      </c>
      <c r="N12" t="s">
        <v>201</v>
      </c>
      <c r="O12">
        <v>64</v>
      </c>
      <c r="P12">
        <v>601</v>
      </c>
      <c r="Q12">
        <v>0.1064891846921797</v>
      </c>
      <c r="R12" s="57">
        <f>VLOOKUP(N12,'Team Stats'!$B$3:$K$18,9,0)</f>
        <v>12</v>
      </c>
      <c r="S12" s="54">
        <f>VLOOKUP(N12,'Team Stats'!$B$3:$K$18,10,0)</f>
        <v>87.951219512195124</v>
      </c>
      <c r="T12" s="54">
        <f t="shared" si="0"/>
        <v>9.3658536585365866</v>
      </c>
      <c r="U12">
        <f t="shared" si="1"/>
        <v>9</v>
      </c>
    </row>
    <row r="13" spans="1:21" x14ac:dyDescent="0.25">
      <c r="A13" s="44" t="s">
        <v>331</v>
      </c>
      <c r="B13" s="44" t="s">
        <v>198</v>
      </c>
      <c r="C13" s="45">
        <v>81</v>
      </c>
      <c r="D13" s="45"/>
      <c r="E13" s="45">
        <v>25</v>
      </c>
      <c r="F13" s="45"/>
      <c r="G13" s="45">
        <v>48</v>
      </c>
      <c r="H13" s="45"/>
      <c r="I13" s="34">
        <v>73</v>
      </c>
      <c r="J13" t="e">
        <f>I13/(VLOOKUP(B13,'Team Stats'!$B$3:$K$18,5,0))</f>
        <v>#N/A</v>
      </c>
      <c r="M13" t="s">
        <v>360</v>
      </c>
      <c r="N13" t="s">
        <v>199</v>
      </c>
      <c r="O13">
        <v>63</v>
      </c>
      <c r="P13">
        <v>660</v>
      </c>
      <c r="Q13">
        <v>9.5454545454545459E-2</v>
      </c>
      <c r="R13" s="57">
        <f>VLOOKUP(N13,'Team Stats'!$B$3:$K$18,9,0)</f>
        <v>12</v>
      </c>
      <c r="S13" s="54">
        <f>VLOOKUP(N13,'Team Stats'!$B$3:$K$18,10,0)</f>
        <v>96.585365853658544</v>
      </c>
      <c r="T13" s="54">
        <f t="shared" si="0"/>
        <v>9.2195121951219523</v>
      </c>
      <c r="U13">
        <f t="shared" si="1"/>
        <v>11</v>
      </c>
    </row>
    <row r="14" spans="1:21" x14ac:dyDescent="0.25">
      <c r="A14" s="44" t="s">
        <v>332</v>
      </c>
      <c r="B14" s="44" t="s">
        <v>199</v>
      </c>
      <c r="C14" s="45">
        <v>77</v>
      </c>
      <c r="D14" s="45"/>
      <c r="E14" s="45">
        <v>37</v>
      </c>
      <c r="F14" s="45"/>
      <c r="G14" s="45">
        <v>36</v>
      </c>
      <c r="H14" s="45"/>
      <c r="I14" s="34">
        <v>73</v>
      </c>
      <c r="J14">
        <f>I14/(VLOOKUP(B14,'Team Stats'!$B$3:$K$18,5,0))</f>
        <v>0.11060606060606061</v>
      </c>
      <c r="M14" t="s">
        <v>371</v>
      </c>
      <c r="N14" t="s">
        <v>201</v>
      </c>
      <c r="O14">
        <v>61</v>
      </c>
      <c r="P14">
        <v>601</v>
      </c>
      <c r="Q14">
        <v>0.10149750415973377</v>
      </c>
      <c r="R14" s="57">
        <f>VLOOKUP(N14,'Team Stats'!$B$3:$K$18,9,0)</f>
        <v>12</v>
      </c>
      <c r="S14" s="54">
        <f>VLOOKUP(N14,'Team Stats'!$B$3:$K$18,10,0)</f>
        <v>87.951219512195124</v>
      </c>
      <c r="T14" s="54">
        <f t="shared" si="0"/>
        <v>8.926829268292682</v>
      </c>
      <c r="U14">
        <f t="shared" si="1"/>
        <v>12</v>
      </c>
    </row>
    <row r="15" spans="1:21" x14ac:dyDescent="0.25">
      <c r="A15" s="44" t="s">
        <v>333</v>
      </c>
      <c r="B15" s="44" t="s">
        <v>205</v>
      </c>
      <c r="C15" s="45">
        <v>82</v>
      </c>
      <c r="D15" s="45"/>
      <c r="E15" s="45">
        <v>18</v>
      </c>
      <c r="F15" s="45"/>
      <c r="G15" s="45">
        <v>55</v>
      </c>
      <c r="H15" s="45"/>
      <c r="I15" s="34">
        <v>73</v>
      </c>
      <c r="J15">
        <f>I15/(VLOOKUP(B15,'Team Stats'!$B$3:$K$18,5,0))</f>
        <v>0.11370716510903427</v>
      </c>
      <c r="M15" t="s">
        <v>406</v>
      </c>
      <c r="N15" t="s">
        <v>202</v>
      </c>
      <c r="O15">
        <v>52</v>
      </c>
      <c r="P15">
        <v>659</v>
      </c>
      <c r="Q15">
        <v>7.8907435508345974E-2</v>
      </c>
      <c r="R15" s="57">
        <f>VLOOKUP(N15,'Team Stats'!$B$3:$K$18,9,0)</f>
        <v>14</v>
      </c>
      <c r="S15" s="54">
        <f>VLOOKUP(N15,'Team Stats'!$B$3:$K$18,10,0)</f>
        <v>112.51219512195122</v>
      </c>
      <c r="T15" s="54">
        <f t="shared" si="0"/>
        <v>8.8780487804878039</v>
      </c>
      <c r="U15">
        <f t="shared" si="1"/>
        <v>13</v>
      </c>
    </row>
    <row r="16" spans="1:21" x14ac:dyDescent="0.25">
      <c r="A16" s="44" t="s">
        <v>334</v>
      </c>
      <c r="B16" s="44" t="s">
        <v>335</v>
      </c>
      <c r="C16" s="45">
        <v>82</v>
      </c>
      <c r="D16" s="45"/>
      <c r="E16" s="45">
        <v>43</v>
      </c>
      <c r="F16" s="45"/>
      <c r="G16" s="45">
        <v>29</v>
      </c>
      <c r="H16" s="45"/>
      <c r="I16" s="34">
        <v>72</v>
      </c>
      <c r="J16" t="e">
        <f>I16/(VLOOKUP(B16,'Team Stats'!$B$3:$K$18,5,0))</f>
        <v>#N/A</v>
      </c>
      <c r="M16" t="s">
        <v>409</v>
      </c>
      <c r="N16" t="s">
        <v>202</v>
      </c>
      <c r="O16">
        <v>52</v>
      </c>
      <c r="P16">
        <v>659</v>
      </c>
      <c r="Q16">
        <v>7.8907435508345974E-2</v>
      </c>
      <c r="R16" s="57">
        <f>VLOOKUP(N16,'Team Stats'!$B$3:$K$18,9,0)</f>
        <v>14</v>
      </c>
      <c r="S16" s="54">
        <f>VLOOKUP(N16,'Team Stats'!$B$3:$K$18,10,0)</f>
        <v>112.51219512195122</v>
      </c>
      <c r="T16" s="54">
        <f t="shared" si="0"/>
        <v>8.8780487804878039</v>
      </c>
      <c r="U16">
        <f t="shared" si="1"/>
        <v>13</v>
      </c>
    </row>
    <row r="17" spans="1:21" x14ac:dyDescent="0.25">
      <c r="A17" s="44" t="s">
        <v>336</v>
      </c>
      <c r="B17" s="44" t="s">
        <v>335</v>
      </c>
      <c r="C17" s="45">
        <v>77</v>
      </c>
      <c r="D17" s="45"/>
      <c r="E17" s="45">
        <v>29</v>
      </c>
      <c r="F17" s="45"/>
      <c r="G17" s="45">
        <v>43</v>
      </c>
      <c r="H17" s="45"/>
      <c r="I17" s="34">
        <v>72</v>
      </c>
      <c r="J17" t="e">
        <f>I17/(VLOOKUP(B17,'Team Stats'!$B$3:$K$18,5,0))</f>
        <v>#N/A</v>
      </c>
      <c r="M17" t="s">
        <v>381</v>
      </c>
      <c r="N17" t="s">
        <v>199</v>
      </c>
      <c r="O17">
        <v>58</v>
      </c>
      <c r="P17">
        <v>660</v>
      </c>
      <c r="Q17">
        <v>8.7878787878787876E-2</v>
      </c>
      <c r="R17" s="57">
        <f>VLOOKUP(N17,'Team Stats'!$B$3:$K$18,9,0)</f>
        <v>12</v>
      </c>
      <c r="S17" s="54">
        <f>VLOOKUP(N17,'Team Stats'!$B$3:$K$18,10,0)</f>
        <v>96.585365853658544</v>
      </c>
      <c r="T17" s="54">
        <f t="shared" si="0"/>
        <v>8.4878048780487809</v>
      </c>
      <c r="U17">
        <f t="shared" si="1"/>
        <v>15</v>
      </c>
    </row>
    <row r="18" spans="1:21" x14ac:dyDescent="0.25">
      <c r="A18" s="44" t="s">
        <v>337</v>
      </c>
      <c r="B18" s="44" t="s">
        <v>330</v>
      </c>
      <c r="C18" s="45">
        <v>82</v>
      </c>
      <c r="D18" s="45"/>
      <c r="E18" s="45">
        <v>26</v>
      </c>
      <c r="F18" s="45"/>
      <c r="G18" s="45">
        <v>45</v>
      </c>
      <c r="H18" s="45"/>
      <c r="I18" s="34">
        <v>71</v>
      </c>
      <c r="J18" t="e">
        <f>I18/(VLOOKUP(B18,'Team Stats'!$B$3:$K$18,5,0))</f>
        <v>#N/A</v>
      </c>
      <c r="M18" t="s">
        <v>362</v>
      </c>
      <c r="N18" t="s">
        <v>205</v>
      </c>
      <c r="O18">
        <v>63</v>
      </c>
      <c r="P18">
        <v>642</v>
      </c>
      <c r="Q18">
        <v>9.8130841121495324E-2</v>
      </c>
      <c r="R18" s="57">
        <f>VLOOKUP(N18,'Team Stats'!$B$3:$K$18,9,0)</f>
        <v>11</v>
      </c>
      <c r="S18" s="54">
        <f>VLOOKUP(N18,'Team Stats'!$B$3:$K$18,10,0)</f>
        <v>86.121951219512198</v>
      </c>
      <c r="T18" s="54">
        <f t="shared" si="0"/>
        <v>8.4512195121951219</v>
      </c>
      <c r="U18">
        <f t="shared" si="1"/>
        <v>16</v>
      </c>
    </row>
    <row r="19" spans="1:21" x14ac:dyDescent="0.25">
      <c r="A19" s="44" t="s">
        <v>338</v>
      </c>
      <c r="B19" s="44" t="s">
        <v>339</v>
      </c>
      <c r="C19" s="45">
        <v>82</v>
      </c>
      <c r="D19" s="45"/>
      <c r="E19" s="45">
        <v>37</v>
      </c>
      <c r="F19" s="45"/>
      <c r="G19" s="45">
        <v>33</v>
      </c>
      <c r="H19" s="45"/>
      <c r="I19" s="34">
        <v>70</v>
      </c>
      <c r="J19" t="e">
        <f>I19/(VLOOKUP(B19,'Team Stats'!$B$3:$K$18,5,0))</f>
        <v>#N/A</v>
      </c>
      <c r="M19" t="s">
        <v>416</v>
      </c>
      <c r="N19" t="s">
        <v>202</v>
      </c>
      <c r="O19">
        <v>49</v>
      </c>
      <c r="P19">
        <v>659</v>
      </c>
      <c r="Q19">
        <v>7.4355083459787558E-2</v>
      </c>
      <c r="R19" s="57">
        <f>VLOOKUP(N19,'Team Stats'!$B$3:$K$18,9,0)</f>
        <v>14</v>
      </c>
      <c r="S19" s="54">
        <f>VLOOKUP(N19,'Team Stats'!$B$3:$K$18,10,0)</f>
        <v>112.51219512195122</v>
      </c>
      <c r="T19" s="54">
        <f t="shared" si="0"/>
        <v>8.3658536585365848</v>
      </c>
      <c r="U19">
        <f t="shared" si="1"/>
        <v>17</v>
      </c>
    </row>
    <row r="20" spans="1:21" x14ac:dyDescent="0.25">
      <c r="A20" s="44" t="s">
        <v>340</v>
      </c>
      <c r="B20" s="44" t="s">
        <v>197</v>
      </c>
      <c r="C20" s="45">
        <v>69</v>
      </c>
      <c r="D20" s="45"/>
      <c r="E20" s="45">
        <v>28</v>
      </c>
      <c r="F20" s="45"/>
      <c r="G20" s="45">
        <v>42</v>
      </c>
      <c r="H20" s="45"/>
      <c r="I20" s="34">
        <v>70</v>
      </c>
      <c r="J20">
        <f>I20/(VLOOKUP(B20,'Team Stats'!$B$3:$K$18,5,0))</f>
        <v>0.11666666666666667</v>
      </c>
      <c r="M20" t="s">
        <v>392</v>
      </c>
      <c r="N20" t="s">
        <v>199</v>
      </c>
      <c r="O20">
        <v>55</v>
      </c>
      <c r="P20">
        <v>660</v>
      </c>
      <c r="Q20">
        <v>8.3333333333333329E-2</v>
      </c>
      <c r="R20" s="57">
        <f>VLOOKUP(N20,'Team Stats'!$B$3:$K$18,9,0)</f>
        <v>12</v>
      </c>
      <c r="S20" s="54">
        <f>VLOOKUP(N20,'Team Stats'!$B$3:$K$18,10,0)</f>
        <v>96.585365853658544</v>
      </c>
      <c r="T20" s="54">
        <f t="shared" si="0"/>
        <v>8.0487804878048781</v>
      </c>
      <c r="U20">
        <f t="shared" si="1"/>
        <v>18</v>
      </c>
    </row>
    <row r="21" spans="1:21" x14ac:dyDescent="0.25">
      <c r="A21" s="44" t="s">
        <v>341</v>
      </c>
      <c r="B21" s="44" t="s">
        <v>204</v>
      </c>
      <c r="C21" s="45">
        <v>77</v>
      </c>
      <c r="D21" s="45"/>
      <c r="E21" s="45">
        <v>25</v>
      </c>
      <c r="F21" s="45"/>
      <c r="G21" s="45">
        <v>45</v>
      </c>
      <c r="H21" s="45"/>
      <c r="I21" s="34">
        <v>70</v>
      </c>
      <c r="J21">
        <f>I21/(VLOOKUP(B21,'Team Stats'!$B$3:$K$18,5,0))</f>
        <v>0.11419249592169657</v>
      </c>
      <c r="M21" t="s">
        <v>437</v>
      </c>
      <c r="N21" t="s">
        <v>202</v>
      </c>
      <c r="O21">
        <v>46</v>
      </c>
      <c r="P21">
        <v>659</v>
      </c>
      <c r="Q21">
        <v>6.9802731411229141E-2</v>
      </c>
      <c r="R21" s="57">
        <f>VLOOKUP(N21,'Team Stats'!$B$3:$K$18,9,0)</f>
        <v>14</v>
      </c>
      <c r="S21" s="54">
        <f>VLOOKUP(N21,'Team Stats'!$B$3:$K$18,10,0)</f>
        <v>112.51219512195122</v>
      </c>
      <c r="T21" s="54">
        <f t="shared" si="0"/>
        <v>7.8536585365853666</v>
      </c>
      <c r="U21">
        <f t="shared" si="1"/>
        <v>19</v>
      </c>
    </row>
    <row r="22" spans="1:21" x14ac:dyDescent="0.25">
      <c r="A22" s="44" t="s">
        <v>342</v>
      </c>
      <c r="B22" s="44" t="s">
        <v>202</v>
      </c>
      <c r="C22" s="45">
        <v>79</v>
      </c>
      <c r="D22" s="45"/>
      <c r="E22" s="45">
        <v>42</v>
      </c>
      <c r="F22" s="45"/>
      <c r="G22" s="45">
        <v>27</v>
      </c>
      <c r="H22" s="45"/>
      <c r="I22" s="34">
        <v>69</v>
      </c>
      <c r="J22">
        <f>I22/(VLOOKUP(B22,'Team Stats'!$B$3:$K$18,5,0))</f>
        <v>0.1047040971168437</v>
      </c>
      <c r="M22" t="s">
        <v>439</v>
      </c>
      <c r="N22" t="s">
        <v>202</v>
      </c>
      <c r="O22">
        <v>45</v>
      </c>
      <c r="P22">
        <v>659</v>
      </c>
      <c r="Q22">
        <v>6.8285280728376321E-2</v>
      </c>
      <c r="R22" s="57">
        <f>VLOOKUP(N22,'Team Stats'!$B$3:$K$18,9,0)</f>
        <v>14</v>
      </c>
      <c r="S22" s="54">
        <f>VLOOKUP(N22,'Team Stats'!$B$3:$K$18,10,0)</f>
        <v>112.51219512195122</v>
      </c>
      <c r="T22" s="54">
        <f t="shared" si="0"/>
        <v>7.6829268292682924</v>
      </c>
      <c r="U22">
        <f t="shared" si="1"/>
        <v>20</v>
      </c>
    </row>
    <row r="23" spans="1:21" x14ac:dyDescent="0.25">
      <c r="A23" s="44" t="s">
        <v>343</v>
      </c>
      <c r="B23" s="44" t="s">
        <v>344</v>
      </c>
      <c r="C23" s="45">
        <v>80</v>
      </c>
      <c r="D23" s="45"/>
      <c r="E23" s="45">
        <v>37</v>
      </c>
      <c r="F23" s="45"/>
      <c r="G23" s="45">
        <v>30</v>
      </c>
      <c r="H23" s="45"/>
      <c r="I23" s="34">
        <v>67</v>
      </c>
      <c r="J23" t="e">
        <f>I23/(VLOOKUP(B23,'Team Stats'!$B$3:$K$18,5,0))</f>
        <v>#N/A</v>
      </c>
      <c r="M23" t="s">
        <v>405</v>
      </c>
      <c r="N23" t="s">
        <v>201</v>
      </c>
      <c r="O23">
        <v>52</v>
      </c>
      <c r="P23">
        <v>601</v>
      </c>
      <c r="Q23">
        <v>8.6522462562396013E-2</v>
      </c>
      <c r="R23" s="57">
        <f>VLOOKUP(N23,'Team Stats'!$B$3:$K$18,9,0)</f>
        <v>12</v>
      </c>
      <c r="S23" s="54">
        <f>VLOOKUP(N23,'Team Stats'!$B$3:$K$18,10,0)</f>
        <v>87.951219512195124</v>
      </c>
      <c r="T23" s="54">
        <f t="shared" si="0"/>
        <v>7.6097560975609762</v>
      </c>
      <c r="U23">
        <f t="shared" si="1"/>
        <v>21</v>
      </c>
    </row>
    <row r="24" spans="1:21" x14ac:dyDescent="0.25">
      <c r="A24" s="44" t="s">
        <v>345</v>
      </c>
      <c r="B24" s="44" t="s">
        <v>339</v>
      </c>
      <c r="C24" s="45">
        <v>82</v>
      </c>
      <c r="D24" s="45"/>
      <c r="E24" s="45">
        <v>27</v>
      </c>
      <c r="F24" s="45"/>
      <c r="G24" s="45">
        <v>40</v>
      </c>
      <c r="H24" s="45"/>
      <c r="I24" s="34">
        <v>67</v>
      </c>
      <c r="J24" t="e">
        <f>I24/(VLOOKUP(B24,'Team Stats'!$B$3:$K$18,5,0))</f>
        <v>#N/A</v>
      </c>
      <c r="M24" t="s">
        <v>391</v>
      </c>
      <c r="N24" t="s">
        <v>204</v>
      </c>
      <c r="O24">
        <v>55</v>
      </c>
      <c r="P24">
        <v>613</v>
      </c>
      <c r="Q24">
        <v>8.9722675367047311E-2</v>
      </c>
      <c r="R24" s="57">
        <f>VLOOKUP(N24,'Team Stats'!$B$3:$K$18,9,0)</f>
        <v>11</v>
      </c>
      <c r="S24" s="54">
        <f>VLOOKUP(N24,'Team Stats'!$B$3:$K$18,10,0)</f>
        <v>82.231707317073173</v>
      </c>
      <c r="T24" s="54">
        <f t="shared" si="0"/>
        <v>7.3780487804878057</v>
      </c>
      <c r="U24">
        <f t="shared" si="1"/>
        <v>22</v>
      </c>
    </row>
    <row r="25" spans="1:21" x14ac:dyDescent="0.25">
      <c r="A25" s="44" t="s">
        <v>346</v>
      </c>
      <c r="B25" s="44" t="s">
        <v>208</v>
      </c>
      <c r="C25" s="45">
        <v>77</v>
      </c>
      <c r="D25" s="45"/>
      <c r="E25" s="45">
        <v>17</v>
      </c>
      <c r="F25" s="45"/>
      <c r="G25" s="45">
        <v>49</v>
      </c>
      <c r="H25" s="45"/>
      <c r="I25" s="34">
        <v>66</v>
      </c>
      <c r="J25">
        <f>I25/(VLOOKUP(B25,'Team Stats'!$B$3:$K$18,5,0))</f>
        <v>0.10476190476190476</v>
      </c>
      <c r="M25" t="s">
        <v>432</v>
      </c>
      <c r="N25" t="s">
        <v>199</v>
      </c>
      <c r="O25">
        <v>46</v>
      </c>
      <c r="P25">
        <v>660</v>
      </c>
      <c r="Q25">
        <v>6.9696969696969702E-2</v>
      </c>
      <c r="R25" s="57">
        <f>VLOOKUP(N25,'Team Stats'!$B$3:$K$18,9,0)</f>
        <v>12</v>
      </c>
      <c r="S25" s="54">
        <f>VLOOKUP(N25,'Team Stats'!$B$3:$K$18,10,0)</f>
        <v>96.585365853658544</v>
      </c>
      <c r="T25" s="54">
        <f t="shared" si="0"/>
        <v>6.7317073170731714</v>
      </c>
      <c r="U25">
        <f t="shared" si="1"/>
        <v>23</v>
      </c>
    </row>
    <row r="26" spans="1:21" x14ac:dyDescent="0.25">
      <c r="A26" s="44" t="s">
        <v>347</v>
      </c>
      <c r="B26" s="44" t="s">
        <v>201</v>
      </c>
      <c r="C26" s="45">
        <v>81</v>
      </c>
      <c r="D26" s="45"/>
      <c r="E26" s="45">
        <v>28</v>
      </c>
      <c r="F26" s="45"/>
      <c r="G26" s="45">
        <v>38</v>
      </c>
      <c r="H26" s="45"/>
      <c r="I26" s="34">
        <v>66</v>
      </c>
      <c r="J26">
        <f>I26/(VLOOKUP(B26,'Team Stats'!$B$3:$K$18,5,0))</f>
        <v>0.10981697171381032</v>
      </c>
      <c r="M26" t="s">
        <v>438</v>
      </c>
      <c r="N26" t="s">
        <v>199</v>
      </c>
      <c r="O26">
        <v>46</v>
      </c>
      <c r="P26">
        <v>660</v>
      </c>
      <c r="Q26">
        <v>6.9696969696969702E-2</v>
      </c>
      <c r="R26" s="57">
        <f>VLOOKUP(N26,'Team Stats'!$B$3:$K$18,9,0)</f>
        <v>12</v>
      </c>
      <c r="S26" s="54">
        <f>VLOOKUP(N26,'Team Stats'!$B$3:$K$18,10,0)</f>
        <v>96.585365853658544</v>
      </c>
      <c r="T26" s="54">
        <f t="shared" si="0"/>
        <v>6.7317073170731714</v>
      </c>
      <c r="U26">
        <f t="shared" si="1"/>
        <v>23</v>
      </c>
    </row>
    <row r="27" spans="1:21" x14ac:dyDescent="0.25">
      <c r="A27" s="44" t="s">
        <v>348</v>
      </c>
      <c r="B27" s="44" t="s">
        <v>213</v>
      </c>
      <c r="C27" s="45">
        <v>82</v>
      </c>
      <c r="D27" s="45"/>
      <c r="E27" s="45">
        <v>21</v>
      </c>
      <c r="F27" s="45"/>
      <c r="G27" s="45">
        <v>45</v>
      </c>
      <c r="H27" s="45"/>
      <c r="I27" s="34">
        <v>66</v>
      </c>
      <c r="J27">
        <f>I27/(VLOOKUP(B27,'Team Stats'!$B$3:$K$18,5,0))</f>
        <v>0.10662358642972536</v>
      </c>
      <c r="M27" t="s">
        <v>441</v>
      </c>
      <c r="N27" t="s">
        <v>201</v>
      </c>
      <c r="O27">
        <v>45</v>
      </c>
      <c r="P27">
        <v>601</v>
      </c>
      <c r="Q27">
        <v>7.4875207986688855E-2</v>
      </c>
      <c r="R27" s="57">
        <f>VLOOKUP(N27,'Team Stats'!$B$3:$K$18,9,0)</f>
        <v>12</v>
      </c>
      <c r="S27" s="54">
        <f>VLOOKUP(N27,'Team Stats'!$B$3:$K$18,10,0)</f>
        <v>87.951219512195124</v>
      </c>
      <c r="T27" s="54">
        <f t="shared" si="0"/>
        <v>6.5853658536585371</v>
      </c>
      <c r="U27">
        <f t="shared" si="1"/>
        <v>25</v>
      </c>
    </row>
    <row r="28" spans="1:21" x14ac:dyDescent="0.25">
      <c r="A28" s="44" t="s">
        <v>349</v>
      </c>
      <c r="B28" s="44" t="s">
        <v>339</v>
      </c>
      <c r="C28" s="45">
        <v>78</v>
      </c>
      <c r="D28" s="45"/>
      <c r="E28" s="45">
        <v>16</v>
      </c>
      <c r="F28" s="45"/>
      <c r="G28" s="45">
        <v>49</v>
      </c>
      <c r="H28" s="45"/>
      <c r="I28" s="34">
        <v>65</v>
      </c>
      <c r="J28" t="e">
        <f>I28/(VLOOKUP(B28,'Team Stats'!$B$3:$K$18,5,0))</f>
        <v>#N/A</v>
      </c>
      <c r="M28" t="s">
        <v>445</v>
      </c>
      <c r="N28" t="s">
        <v>199</v>
      </c>
      <c r="O28">
        <v>44</v>
      </c>
      <c r="P28">
        <v>660</v>
      </c>
      <c r="Q28">
        <v>6.6666666666666666E-2</v>
      </c>
      <c r="R28" s="57">
        <f>VLOOKUP(N28,'Team Stats'!$B$3:$K$18,9,0)</f>
        <v>12</v>
      </c>
      <c r="S28" s="54">
        <f>VLOOKUP(N28,'Team Stats'!$B$3:$K$18,10,0)</f>
        <v>96.585365853658544</v>
      </c>
      <c r="T28" s="54">
        <f t="shared" si="0"/>
        <v>6.4390243902439028</v>
      </c>
      <c r="U28">
        <f t="shared" si="1"/>
        <v>26</v>
      </c>
    </row>
    <row r="29" spans="1:21" x14ac:dyDescent="0.25">
      <c r="A29" s="44" t="s">
        <v>350</v>
      </c>
      <c r="B29" s="44" t="s">
        <v>208</v>
      </c>
      <c r="C29" s="45">
        <v>63</v>
      </c>
      <c r="D29" s="45"/>
      <c r="E29" s="45">
        <v>26</v>
      </c>
      <c r="F29" s="45"/>
      <c r="G29" s="45">
        <v>39</v>
      </c>
      <c r="H29" s="45"/>
      <c r="I29" s="34">
        <v>65</v>
      </c>
      <c r="J29">
        <f>I29/(VLOOKUP(B29,'Team Stats'!$B$3:$K$18,5,0))</f>
        <v>0.10317460317460317</v>
      </c>
      <c r="M29" t="s">
        <v>448</v>
      </c>
      <c r="N29" t="s">
        <v>199</v>
      </c>
      <c r="O29">
        <v>44</v>
      </c>
      <c r="P29">
        <v>660</v>
      </c>
      <c r="Q29">
        <v>6.6666666666666666E-2</v>
      </c>
      <c r="R29" s="57">
        <f>VLOOKUP(N29,'Team Stats'!$B$3:$K$18,9,0)</f>
        <v>12</v>
      </c>
      <c r="S29" s="54">
        <f>VLOOKUP(N29,'Team Stats'!$B$3:$K$18,10,0)</f>
        <v>96.585365853658544</v>
      </c>
      <c r="T29" s="54">
        <f t="shared" si="0"/>
        <v>6.4390243902439028</v>
      </c>
      <c r="U29">
        <f t="shared" si="1"/>
        <v>26</v>
      </c>
    </row>
    <row r="30" spans="1:21" x14ac:dyDescent="0.25">
      <c r="A30" s="44" t="s">
        <v>351</v>
      </c>
      <c r="B30" s="44" t="s">
        <v>207</v>
      </c>
      <c r="C30" s="45">
        <v>80</v>
      </c>
      <c r="D30" s="45"/>
      <c r="E30" s="45">
        <v>24</v>
      </c>
      <c r="F30" s="45"/>
      <c r="G30" s="45">
        <v>40</v>
      </c>
      <c r="H30" s="45"/>
      <c r="I30" s="34">
        <v>64</v>
      </c>
      <c r="J30">
        <f>I30/(VLOOKUP(B30,'Team Stats'!$B$3:$K$18,5,0))</f>
        <v>9.6385542168674704E-2</v>
      </c>
      <c r="M30" t="s">
        <v>427</v>
      </c>
      <c r="N30" t="s">
        <v>204</v>
      </c>
      <c r="O30">
        <v>47</v>
      </c>
      <c r="P30">
        <v>613</v>
      </c>
      <c r="Q30">
        <v>7.6672104404567704E-2</v>
      </c>
      <c r="R30" s="57">
        <f>VLOOKUP(N30,'Team Stats'!$B$3:$K$18,9,0)</f>
        <v>11</v>
      </c>
      <c r="S30" s="54">
        <f>VLOOKUP(N30,'Team Stats'!$B$3:$K$18,10,0)</f>
        <v>82.231707317073173</v>
      </c>
      <c r="T30" s="54">
        <f t="shared" si="0"/>
        <v>6.3048780487804885</v>
      </c>
      <c r="U30">
        <f t="shared" si="1"/>
        <v>28</v>
      </c>
    </row>
    <row r="31" spans="1:21" x14ac:dyDescent="0.25">
      <c r="A31" s="44" t="s">
        <v>352</v>
      </c>
      <c r="B31" s="44" t="s">
        <v>335</v>
      </c>
      <c r="C31" s="45">
        <v>82</v>
      </c>
      <c r="D31" s="45"/>
      <c r="E31" s="45">
        <v>28</v>
      </c>
      <c r="F31" s="45"/>
      <c r="G31" s="45">
        <v>36</v>
      </c>
      <c r="H31" s="45"/>
      <c r="I31" s="34">
        <v>64</v>
      </c>
      <c r="J31" t="e">
        <f>I31/(VLOOKUP(B31,'Team Stats'!$B$3:$K$18,5,0))</f>
        <v>#N/A</v>
      </c>
      <c r="M31" t="s">
        <v>320</v>
      </c>
      <c r="N31" t="s">
        <v>195</v>
      </c>
      <c r="O31">
        <v>86</v>
      </c>
      <c r="P31">
        <v>656</v>
      </c>
      <c r="Q31">
        <v>0.13109756097560976</v>
      </c>
      <c r="R31" s="57">
        <f>VLOOKUP(N31,'Team Stats'!$B$3:$K$18,9,0)</f>
        <v>6</v>
      </c>
      <c r="S31" s="54">
        <f>VLOOKUP(N31,'Team Stats'!$B$3:$K$18,10,0)</f>
        <v>48</v>
      </c>
      <c r="T31" s="54">
        <f t="shared" si="0"/>
        <v>6.2926829268292686</v>
      </c>
      <c r="U31">
        <f t="shared" si="1"/>
        <v>29</v>
      </c>
    </row>
    <row r="32" spans="1:21" x14ac:dyDescent="0.25">
      <c r="A32" s="44" t="s">
        <v>353</v>
      </c>
      <c r="B32" s="44" t="s">
        <v>213</v>
      </c>
      <c r="C32" s="45">
        <v>80</v>
      </c>
      <c r="D32" s="45"/>
      <c r="E32" s="45">
        <v>26</v>
      </c>
      <c r="F32" s="45"/>
      <c r="G32" s="45">
        <v>38</v>
      </c>
      <c r="H32" s="45"/>
      <c r="I32" s="34">
        <v>64</v>
      </c>
      <c r="J32">
        <f>I32/(VLOOKUP(B32,'Team Stats'!$B$3:$K$18,5,0))</f>
        <v>0.10339256865912763</v>
      </c>
      <c r="M32" t="s">
        <v>456</v>
      </c>
      <c r="N32" t="s">
        <v>201</v>
      </c>
      <c r="O32">
        <v>43</v>
      </c>
      <c r="P32">
        <v>601</v>
      </c>
      <c r="Q32">
        <v>7.1547420965058242E-2</v>
      </c>
      <c r="R32" s="57">
        <f>VLOOKUP(N32,'Team Stats'!$B$3:$K$18,9,0)</f>
        <v>12</v>
      </c>
      <c r="S32" s="54">
        <f>VLOOKUP(N32,'Team Stats'!$B$3:$K$18,10,0)</f>
        <v>87.951219512195124</v>
      </c>
      <c r="T32" s="54">
        <f t="shared" si="0"/>
        <v>6.2926829268292686</v>
      </c>
      <c r="U32">
        <f t="shared" si="1"/>
        <v>29</v>
      </c>
    </row>
    <row r="33" spans="1:21" x14ac:dyDescent="0.25">
      <c r="A33" s="44" t="s">
        <v>354</v>
      </c>
      <c r="B33" s="44" t="s">
        <v>199</v>
      </c>
      <c r="C33" s="45">
        <v>74</v>
      </c>
      <c r="D33" s="45"/>
      <c r="E33" s="45">
        <v>24</v>
      </c>
      <c r="F33" s="45"/>
      <c r="G33" s="45">
        <v>40</v>
      </c>
      <c r="H33" s="45"/>
      <c r="I33" s="34">
        <v>64</v>
      </c>
      <c r="J33">
        <f>I33/(VLOOKUP(B33,'Team Stats'!$B$3:$K$18,5,0))</f>
        <v>9.696969696969697E-2</v>
      </c>
      <c r="M33" t="s">
        <v>321</v>
      </c>
      <c r="N33" t="s">
        <v>197</v>
      </c>
      <c r="O33">
        <v>84</v>
      </c>
      <c r="P33">
        <v>600</v>
      </c>
      <c r="Q33">
        <v>0.14000000000000001</v>
      </c>
      <c r="R33" s="57">
        <f>VLOOKUP(N33,'Team Stats'!$B$3:$K$18,9,0)</f>
        <v>6</v>
      </c>
      <c r="S33" s="54">
        <f>VLOOKUP(N33,'Team Stats'!$B$3:$K$18,10,0)</f>
        <v>43.902439024390247</v>
      </c>
      <c r="T33" s="54">
        <f t="shared" si="0"/>
        <v>6.1463414634146352</v>
      </c>
      <c r="U33">
        <f t="shared" si="1"/>
        <v>31</v>
      </c>
    </row>
    <row r="34" spans="1:21" x14ac:dyDescent="0.25">
      <c r="A34" s="44" t="s">
        <v>355</v>
      </c>
      <c r="B34" s="44" t="s">
        <v>356</v>
      </c>
      <c r="C34" s="45">
        <v>79</v>
      </c>
      <c r="D34" s="45"/>
      <c r="E34" s="45">
        <v>16</v>
      </c>
      <c r="F34" s="45"/>
      <c r="G34" s="45">
        <v>48</v>
      </c>
      <c r="H34" s="45"/>
      <c r="I34" s="34">
        <v>64</v>
      </c>
      <c r="J34" t="e">
        <f>I34/(VLOOKUP(B34,'Team Stats'!$B$3:$K$18,5,0))</f>
        <v>#N/A</v>
      </c>
      <c r="M34" t="s">
        <v>521</v>
      </c>
      <c r="N34" t="s">
        <v>202</v>
      </c>
      <c r="O34">
        <v>35</v>
      </c>
      <c r="P34">
        <v>659</v>
      </c>
      <c r="Q34">
        <v>5.3110773899848251E-2</v>
      </c>
      <c r="R34" s="57">
        <f>VLOOKUP(N34,'Team Stats'!$B$3:$K$18,9,0)</f>
        <v>14</v>
      </c>
      <c r="S34" s="54">
        <f>VLOOKUP(N34,'Team Stats'!$B$3:$K$18,10,0)</f>
        <v>112.51219512195122</v>
      </c>
      <c r="T34" s="54">
        <f t="shared" si="0"/>
        <v>5.975609756097561</v>
      </c>
      <c r="U34">
        <f t="shared" si="1"/>
        <v>32</v>
      </c>
    </row>
    <row r="35" spans="1:21" x14ac:dyDescent="0.25">
      <c r="A35" s="44" t="s">
        <v>357</v>
      </c>
      <c r="B35" s="44" t="s">
        <v>201</v>
      </c>
      <c r="C35" s="45">
        <v>61</v>
      </c>
      <c r="D35" s="45"/>
      <c r="E35" s="45">
        <v>27</v>
      </c>
      <c r="F35" s="45"/>
      <c r="G35" s="45">
        <v>37</v>
      </c>
      <c r="H35" s="45"/>
      <c r="I35" s="34">
        <v>64</v>
      </c>
      <c r="J35">
        <f>I35/(VLOOKUP(B35,'Team Stats'!$B$3:$K$18,5,0))</f>
        <v>0.1064891846921797</v>
      </c>
      <c r="M35" t="s">
        <v>545</v>
      </c>
      <c r="N35" t="s">
        <v>202</v>
      </c>
      <c r="O35">
        <v>33</v>
      </c>
      <c r="P35">
        <v>659</v>
      </c>
      <c r="Q35">
        <v>5.007587253414264E-2</v>
      </c>
      <c r="R35" s="57">
        <f>VLOOKUP(N35,'Team Stats'!$B$3:$K$18,9,0)</f>
        <v>14</v>
      </c>
      <c r="S35" s="54">
        <f>VLOOKUP(N35,'Team Stats'!$B$3:$K$18,10,0)</f>
        <v>112.51219512195122</v>
      </c>
      <c r="T35" s="54">
        <f t="shared" si="0"/>
        <v>5.6341463414634152</v>
      </c>
      <c r="U35">
        <f t="shared" si="1"/>
        <v>33</v>
      </c>
    </row>
    <row r="36" spans="1:21" x14ac:dyDescent="0.25">
      <c r="A36" s="44" t="s">
        <v>358</v>
      </c>
      <c r="B36" s="44" t="s">
        <v>213</v>
      </c>
      <c r="C36" s="45">
        <v>82</v>
      </c>
      <c r="D36" s="45"/>
      <c r="E36" s="45">
        <v>24</v>
      </c>
      <c r="F36" s="45"/>
      <c r="G36" s="45">
        <v>40</v>
      </c>
      <c r="H36" s="45"/>
      <c r="I36" s="34">
        <v>64</v>
      </c>
      <c r="J36">
        <f>I36/(VLOOKUP(B36,'Team Stats'!$B$3:$K$18,5,0))</f>
        <v>0.10339256865912763</v>
      </c>
      <c r="M36" t="s">
        <v>348</v>
      </c>
      <c r="N36" t="s">
        <v>213</v>
      </c>
      <c r="O36">
        <v>66</v>
      </c>
      <c r="P36">
        <v>619</v>
      </c>
      <c r="Q36">
        <v>0.10662358642972536</v>
      </c>
      <c r="R36" s="57">
        <f>VLOOKUP(N36,'Team Stats'!$B$3:$K$18,9,0)</f>
        <v>7</v>
      </c>
      <c r="S36" s="54">
        <f>VLOOKUP(N36,'Team Stats'!$B$3:$K$18,10,0)</f>
        <v>52.841463414634148</v>
      </c>
      <c r="T36" s="54">
        <f t="shared" si="0"/>
        <v>5.6341463414634143</v>
      </c>
      <c r="U36">
        <f t="shared" si="1"/>
        <v>34</v>
      </c>
    </row>
    <row r="37" spans="1:21" x14ac:dyDescent="0.25">
      <c r="A37" s="44" t="s">
        <v>359</v>
      </c>
      <c r="B37" s="44" t="s">
        <v>214</v>
      </c>
      <c r="C37" s="45">
        <v>81</v>
      </c>
      <c r="D37" s="45"/>
      <c r="E37" s="45">
        <v>24</v>
      </c>
      <c r="F37" s="45"/>
      <c r="G37" s="45">
        <v>39</v>
      </c>
      <c r="H37" s="45"/>
      <c r="I37" s="34">
        <v>63</v>
      </c>
      <c r="J37" t="e">
        <f>I37/(VLOOKUP(B37,'Team Stats'!$B$3:$K$18,5,0))</f>
        <v>#N/A</v>
      </c>
      <c r="M37" t="s">
        <v>491</v>
      </c>
      <c r="N37" t="s">
        <v>201</v>
      </c>
      <c r="O37">
        <v>38</v>
      </c>
      <c r="P37">
        <v>601</v>
      </c>
      <c r="Q37">
        <v>6.3227953410981697E-2</v>
      </c>
      <c r="R37" s="57">
        <f>VLOOKUP(N37,'Team Stats'!$B$3:$K$18,9,0)</f>
        <v>12</v>
      </c>
      <c r="S37" s="54">
        <f>VLOOKUP(N37,'Team Stats'!$B$3:$K$18,10,0)</f>
        <v>87.951219512195124</v>
      </c>
      <c r="T37" s="54">
        <f t="shared" si="0"/>
        <v>5.5609756097560972</v>
      </c>
      <c r="U37">
        <f t="shared" si="1"/>
        <v>35</v>
      </c>
    </row>
    <row r="38" spans="1:21" x14ac:dyDescent="0.25">
      <c r="A38" s="44" t="s">
        <v>360</v>
      </c>
      <c r="B38" s="44" t="s">
        <v>199</v>
      </c>
      <c r="C38" s="45">
        <v>75</v>
      </c>
      <c r="D38" s="45"/>
      <c r="E38" s="45">
        <v>28</v>
      </c>
      <c r="F38" s="45"/>
      <c r="G38" s="45">
        <v>35</v>
      </c>
      <c r="H38" s="45"/>
      <c r="I38" s="34">
        <v>63</v>
      </c>
      <c r="J38">
        <f>I38/(VLOOKUP(B38,'Team Stats'!$B$3:$K$18,5,0))</f>
        <v>9.5454545454545459E-2</v>
      </c>
      <c r="M38" t="s">
        <v>358</v>
      </c>
      <c r="N38" t="s">
        <v>213</v>
      </c>
      <c r="O38">
        <v>64</v>
      </c>
      <c r="P38">
        <v>619</v>
      </c>
      <c r="Q38">
        <v>0.10339256865912763</v>
      </c>
      <c r="R38" s="57">
        <f>VLOOKUP(N38,'Team Stats'!$B$3:$K$18,9,0)</f>
        <v>7</v>
      </c>
      <c r="S38" s="54">
        <f>VLOOKUP(N38,'Team Stats'!$B$3:$K$18,10,0)</f>
        <v>52.841463414634148</v>
      </c>
      <c r="T38" s="54">
        <f t="shared" si="0"/>
        <v>5.4634146341463419</v>
      </c>
      <c r="U38">
        <f t="shared" si="1"/>
        <v>36</v>
      </c>
    </row>
    <row r="39" spans="1:21" x14ac:dyDescent="0.25">
      <c r="A39" s="44" t="s">
        <v>361</v>
      </c>
      <c r="B39" s="44" t="s">
        <v>335</v>
      </c>
      <c r="C39" s="45">
        <v>75</v>
      </c>
      <c r="D39" s="45"/>
      <c r="E39" s="45">
        <v>16</v>
      </c>
      <c r="F39" s="45"/>
      <c r="G39" s="45">
        <v>47</v>
      </c>
      <c r="H39" s="45"/>
      <c r="I39" s="34">
        <v>63</v>
      </c>
      <c r="J39" t="e">
        <f>I39/(VLOOKUP(B39,'Team Stats'!$B$3:$K$18,5,0))</f>
        <v>#N/A</v>
      </c>
      <c r="M39" t="s">
        <v>353</v>
      </c>
      <c r="N39" t="s">
        <v>213</v>
      </c>
      <c r="O39">
        <v>64</v>
      </c>
      <c r="P39">
        <v>619</v>
      </c>
      <c r="Q39">
        <v>0.10339256865912763</v>
      </c>
      <c r="R39" s="57">
        <f>VLOOKUP(N39,'Team Stats'!$B$3:$K$18,9,0)</f>
        <v>7</v>
      </c>
      <c r="S39" s="54">
        <f>VLOOKUP(N39,'Team Stats'!$B$3:$K$18,10,0)</f>
        <v>52.841463414634148</v>
      </c>
      <c r="T39" s="54">
        <f t="shared" si="0"/>
        <v>5.4634146341463419</v>
      </c>
      <c r="U39">
        <f t="shared" si="1"/>
        <v>36</v>
      </c>
    </row>
    <row r="40" spans="1:21" x14ac:dyDescent="0.25">
      <c r="A40" s="44" t="s">
        <v>362</v>
      </c>
      <c r="B40" s="44" t="s">
        <v>205</v>
      </c>
      <c r="C40" s="45">
        <v>79</v>
      </c>
      <c r="D40" s="45"/>
      <c r="E40" s="45">
        <v>31</v>
      </c>
      <c r="F40" s="45"/>
      <c r="G40" s="45">
        <v>32</v>
      </c>
      <c r="H40" s="45"/>
      <c r="I40" s="34">
        <v>63</v>
      </c>
      <c r="J40">
        <f>I40/(VLOOKUP(B40,'Team Stats'!$B$3:$K$18,5,0))</f>
        <v>9.8130841121495324E-2</v>
      </c>
      <c r="M40" t="s">
        <v>499</v>
      </c>
      <c r="N40" t="s">
        <v>201</v>
      </c>
      <c r="O40">
        <v>37</v>
      </c>
      <c r="P40">
        <v>601</v>
      </c>
      <c r="Q40">
        <v>6.156405990016639E-2</v>
      </c>
      <c r="R40" s="57">
        <f>VLOOKUP(N40,'Team Stats'!$B$3:$K$18,9,0)</f>
        <v>12</v>
      </c>
      <c r="S40" s="54">
        <f>VLOOKUP(N40,'Team Stats'!$B$3:$K$18,10,0)</f>
        <v>87.951219512195124</v>
      </c>
      <c r="T40" s="54">
        <f t="shared" si="0"/>
        <v>5.4146341463414638</v>
      </c>
      <c r="U40">
        <f t="shared" si="1"/>
        <v>38</v>
      </c>
    </row>
    <row r="41" spans="1:21" x14ac:dyDescent="0.25">
      <c r="A41" s="44" t="s">
        <v>363</v>
      </c>
      <c r="B41" s="44" t="s">
        <v>364</v>
      </c>
      <c r="C41" s="45">
        <v>82</v>
      </c>
      <c r="D41" s="45"/>
      <c r="E41" s="45">
        <v>26</v>
      </c>
      <c r="F41" s="45"/>
      <c r="G41" s="45">
        <v>37</v>
      </c>
      <c r="H41" s="45"/>
      <c r="I41" s="34">
        <v>63</v>
      </c>
      <c r="J41" t="e">
        <f>I41/(VLOOKUP(B41,'Team Stats'!$B$3:$K$18,5,0))</f>
        <v>#N/A</v>
      </c>
      <c r="M41" t="s">
        <v>488</v>
      </c>
      <c r="N41" t="s">
        <v>204</v>
      </c>
      <c r="O41">
        <v>39</v>
      </c>
      <c r="P41">
        <v>613</v>
      </c>
      <c r="Q41">
        <v>6.3621533442088096E-2</v>
      </c>
      <c r="R41" s="57">
        <f>VLOOKUP(N41,'Team Stats'!$B$3:$K$18,9,0)</f>
        <v>11</v>
      </c>
      <c r="S41" s="54">
        <f>VLOOKUP(N41,'Team Stats'!$B$3:$K$18,10,0)</f>
        <v>82.231707317073173</v>
      </c>
      <c r="T41" s="54">
        <f t="shared" si="0"/>
        <v>5.2317073170731714</v>
      </c>
      <c r="U41">
        <f t="shared" si="1"/>
        <v>39</v>
      </c>
    </row>
    <row r="42" spans="1:21" x14ac:dyDescent="0.25">
      <c r="A42" s="44" t="s">
        <v>365</v>
      </c>
      <c r="B42" s="44" t="s">
        <v>209</v>
      </c>
      <c r="C42" s="45">
        <v>81</v>
      </c>
      <c r="D42" s="45"/>
      <c r="E42" s="45">
        <v>24</v>
      </c>
      <c r="F42" s="45"/>
      <c r="G42" s="45">
        <v>38</v>
      </c>
      <c r="H42" s="45"/>
      <c r="I42" s="34">
        <v>62</v>
      </c>
      <c r="J42">
        <f>I42/(VLOOKUP(B42,'Team Stats'!$B$3:$K$18,5,0))</f>
        <v>0.10437710437710437</v>
      </c>
      <c r="M42" t="s">
        <v>485</v>
      </c>
      <c r="N42" t="s">
        <v>205</v>
      </c>
      <c r="O42">
        <v>39</v>
      </c>
      <c r="P42">
        <v>642</v>
      </c>
      <c r="Q42">
        <v>6.0747663551401869E-2</v>
      </c>
      <c r="R42" s="57">
        <f>VLOOKUP(N42,'Team Stats'!$B$3:$K$18,9,0)</f>
        <v>11</v>
      </c>
      <c r="S42" s="54">
        <f>VLOOKUP(N42,'Team Stats'!$B$3:$K$18,10,0)</f>
        <v>86.121951219512198</v>
      </c>
      <c r="T42" s="54">
        <f t="shared" si="0"/>
        <v>5.2317073170731705</v>
      </c>
      <c r="U42">
        <f t="shared" si="1"/>
        <v>40</v>
      </c>
    </row>
    <row r="43" spans="1:21" x14ac:dyDescent="0.25">
      <c r="A43" s="44" t="s">
        <v>366</v>
      </c>
      <c r="B43" s="44" t="s">
        <v>364</v>
      </c>
      <c r="C43" s="45">
        <v>82</v>
      </c>
      <c r="D43" s="45"/>
      <c r="E43" s="45">
        <v>15</v>
      </c>
      <c r="F43" s="45"/>
      <c r="G43" s="45">
        <v>47</v>
      </c>
      <c r="H43" s="45"/>
      <c r="I43" s="34">
        <v>62</v>
      </c>
      <c r="J43" t="e">
        <f>I43/(VLOOKUP(B43,'Team Stats'!$B$3:$K$18,5,0))</f>
        <v>#N/A</v>
      </c>
      <c r="M43" t="s">
        <v>340</v>
      </c>
      <c r="N43" t="s">
        <v>197</v>
      </c>
      <c r="O43">
        <v>70</v>
      </c>
      <c r="P43">
        <v>600</v>
      </c>
      <c r="Q43">
        <v>0.11666666666666667</v>
      </c>
      <c r="R43" s="57">
        <f>VLOOKUP(N43,'Team Stats'!$B$3:$K$18,9,0)</f>
        <v>6</v>
      </c>
      <c r="S43" s="54">
        <f>VLOOKUP(N43,'Team Stats'!$B$3:$K$18,10,0)</f>
        <v>43.902439024390247</v>
      </c>
      <c r="T43" s="54">
        <f t="shared" si="0"/>
        <v>5.1219512195121952</v>
      </c>
      <c r="U43">
        <f t="shared" si="1"/>
        <v>41</v>
      </c>
    </row>
    <row r="44" spans="1:21" x14ac:dyDescent="0.25">
      <c r="A44" s="44" t="s">
        <v>367</v>
      </c>
      <c r="B44" s="44" t="s">
        <v>207</v>
      </c>
      <c r="C44" s="45">
        <v>81</v>
      </c>
      <c r="D44" s="45"/>
      <c r="E44" s="45">
        <v>31</v>
      </c>
      <c r="F44" s="45"/>
      <c r="G44" s="45">
        <v>31</v>
      </c>
      <c r="H44" s="45"/>
      <c r="I44" s="34">
        <v>62</v>
      </c>
      <c r="J44">
        <f>I44/(VLOOKUP(B44,'Team Stats'!$B$3:$K$18,5,0))</f>
        <v>9.337349397590361E-2</v>
      </c>
      <c r="M44" t="s">
        <v>524</v>
      </c>
      <c r="N44" t="s">
        <v>201</v>
      </c>
      <c r="O44">
        <v>34</v>
      </c>
      <c r="P44">
        <v>601</v>
      </c>
      <c r="Q44">
        <v>5.6572379367720464E-2</v>
      </c>
      <c r="R44" s="57">
        <f>VLOOKUP(N44,'Team Stats'!$B$3:$K$18,9,0)</f>
        <v>12</v>
      </c>
      <c r="S44" s="54">
        <f>VLOOKUP(N44,'Team Stats'!$B$3:$K$18,10,0)</f>
        <v>87.951219512195124</v>
      </c>
      <c r="T44" s="54">
        <f t="shared" si="0"/>
        <v>4.975609756097561</v>
      </c>
      <c r="U44">
        <f t="shared" si="1"/>
        <v>42</v>
      </c>
    </row>
    <row r="45" spans="1:21" x14ac:dyDescent="0.25">
      <c r="A45" s="44" t="s">
        <v>368</v>
      </c>
      <c r="B45" s="44" t="s">
        <v>211</v>
      </c>
      <c r="C45" s="45">
        <v>74</v>
      </c>
      <c r="D45" s="45"/>
      <c r="E45" s="45">
        <v>33</v>
      </c>
      <c r="F45" s="45"/>
      <c r="G45" s="45">
        <v>29</v>
      </c>
      <c r="H45" s="45"/>
      <c r="I45" s="34">
        <v>62</v>
      </c>
      <c r="J45">
        <f>I45/(VLOOKUP(B45,'Team Stats'!$B$3:$K$18,5,0))</f>
        <v>0.10197368421052631</v>
      </c>
      <c r="M45" t="s">
        <v>502</v>
      </c>
      <c r="N45" t="s">
        <v>204</v>
      </c>
      <c r="O45">
        <v>37</v>
      </c>
      <c r="P45">
        <v>613</v>
      </c>
      <c r="Q45">
        <v>6.0358890701468187E-2</v>
      </c>
      <c r="R45" s="57">
        <f>VLOOKUP(N45,'Team Stats'!$B$3:$K$18,9,0)</f>
        <v>11</v>
      </c>
      <c r="S45" s="54">
        <f>VLOOKUP(N45,'Team Stats'!$B$3:$K$18,10,0)</f>
        <v>82.231707317073173</v>
      </c>
      <c r="T45" s="54">
        <f t="shared" si="0"/>
        <v>4.9634146341463419</v>
      </c>
      <c r="U45">
        <f t="shared" si="1"/>
        <v>43</v>
      </c>
    </row>
    <row r="46" spans="1:21" x14ac:dyDescent="0.25">
      <c r="A46" s="44" t="s">
        <v>369</v>
      </c>
      <c r="B46" s="44" t="s">
        <v>203</v>
      </c>
      <c r="C46" s="45">
        <v>82</v>
      </c>
      <c r="D46" s="45"/>
      <c r="E46" s="45">
        <v>17</v>
      </c>
      <c r="F46" s="45"/>
      <c r="G46" s="45">
        <v>45</v>
      </c>
      <c r="H46" s="45"/>
      <c r="I46" s="34">
        <v>62</v>
      </c>
      <c r="J46" t="e">
        <f>I46/(VLOOKUP(B46,'Team Stats'!$B$3:$K$18,5,0))</f>
        <v>#N/A</v>
      </c>
      <c r="M46" t="s">
        <v>508</v>
      </c>
      <c r="N46" t="s">
        <v>205</v>
      </c>
      <c r="O46">
        <v>36</v>
      </c>
      <c r="P46">
        <v>642</v>
      </c>
      <c r="Q46">
        <v>5.6074766355140186E-2</v>
      </c>
      <c r="R46" s="57">
        <f>VLOOKUP(N46,'Team Stats'!$B$3:$K$18,9,0)</f>
        <v>11</v>
      </c>
      <c r="S46" s="54">
        <f>VLOOKUP(N46,'Team Stats'!$B$3:$K$18,10,0)</f>
        <v>86.121951219512198</v>
      </c>
      <c r="T46" s="54">
        <f t="shared" si="0"/>
        <v>4.8292682926829267</v>
      </c>
      <c r="U46">
        <f t="shared" si="1"/>
        <v>44</v>
      </c>
    </row>
    <row r="47" spans="1:21" x14ac:dyDescent="0.25">
      <c r="A47" s="44" t="s">
        <v>370</v>
      </c>
      <c r="B47" s="44" t="s">
        <v>356</v>
      </c>
      <c r="C47" s="45">
        <v>82</v>
      </c>
      <c r="D47" s="45"/>
      <c r="E47" s="45">
        <v>28</v>
      </c>
      <c r="F47" s="45"/>
      <c r="G47" s="45">
        <v>34</v>
      </c>
      <c r="H47" s="45"/>
      <c r="I47" s="34">
        <v>62</v>
      </c>
      <c r="J47" t="e">
        <f>I47/(VLOOKUP(B47,'Team Stats'!$B$3:$K$18,5,0))</f>
        <v>#N/A</v>
      </c>
      <c r="M47" t="s">
        <v>346</v>
      </c>
      <c r="N47" t="s">
        <v>208</v>
      </c>
      <c r="O47">
        <v>66</v>
      </c>
      <c r="P47">
        <v>630</v>
      </c>
      <c r="Q47">
        <v>0.10476190476190476</v>
      </c>
      <c r="R47" s="57">
        <f>VLOOKUP(N47,'Team Stats'!$B$3:$K$18,9,0)</f>
        <v>6</v>
      </c>
      <c r="S47" s="54">
        <f>VLOOKUP(N47,'Team Stats'!$B$3:$K$18,10,0)</f>
        <v>46.097560975609753</v>
      </c>
      <c r="T47" s="54">
        <f t="shared" si="0"/>
        <v>4.8292682926829267</v>
      </c>
      <c r="U47">
        <f t="shared" si="1"/>
        <v>44</v>
      </c>
    </row>
    <row r="48" spans="1:21" x14ac:dyDescent="0.25">
      <c r="A48" s="44" t="s">
        <v>371</v>
      </c>
      <c r="B48" s="44" t="s">
        <v>201</v>
      </c>
      <c r="C48" s="45">
        <v>82</v>
      </c>
      <c r="D48" s="45"/>
      <c r="E48" s="45">
        <v>22</v>
      </c>
      <c r="F48" s="45"/>
      <c r="G48" s="45">
        <v>39</v>
      </c>
      <c r="H48" s="45"/>
      <c r="I48" s="34">
        <v>61</v>
      </c>
      <c r="J48">
        <f>I48/(VLOOKUP(B48,'Team Stats'!$B$3:$K$18,5,0))</f>
        <v>0.10149750415973377</v>
      </c>
      <c r="M48" t="s">
        <v>350</v>
      </c>
      <c r="N48" t="s">
        <v>208</v>
      </c>
      <c r="O48">
        <v>65</v>
      </c>
      <c r="P48">
        <v>630</v>
      </c>
      <c r="Q48">
        <v>0.10317460317460317</v>
      </c>
      <c r="R48" s="57">
        <f>VLOOKUP(N48,'Team Stats'!$B$3:$K$18,9,0)</f>
        <v>6</v>
      </c>
      <c r="S48" s="54">
        <f>VLOOKUP(N48,'Team Stats'!$B$3:$K$18,10,0)</f>
        <v>46.097560975609753</v>
      </c>
      <c r="T48" s="54">
        <f t="shared" si="0"/>
        <v>4.7560975609756095</v>
      </c>
      <c r="U48">
        <f t="shared" si="1"/>
        <v>46</v>
      </c>
    </row>
    <row r="49" spans="1:21" x14ac:dyDescent="0.25">
      <c r="A49" s="44" t="s">
        <v>372</v>
      </c>
      <c r="B49" s="44" t="s">
        <v>209</v>
      </c>
      <c r="C49" s="45">
        <v>79</v>
      </c>
      <c r="D49" s="45"/>
      <c r="E49" s="45">
        <v>26</v>
      </c>
      <c r="F49" s="45"/>
      <c r="G49" s="45">
        <v>35</v>
      </c>
      <c r="H49" s="45"/>
      <c r="I49" s="34">
        <v>61</v>
      </c>
      <c r="J49">
        <f>I49/(VLOOKUP(B49,'Team Stats'!$B$3:$K$18,5,0))</f>
        <v>0.1026936026936027</v>
      </c>
      <c r="M49" t="s">
        <v>397</v>
      </c>
      <c r="N49" t="s">
        <v>213</v>
      </c>
      <c r="O49">
        <v>54</v>
      </c>
      <c r="P49">
        <v>619</v>
      </c>
      <c r="Q49">
        <v>8.723747980613894E-2</v>
      </c>
      <c r="R49" s="57">
        <f>VLOOKUP(N49,'Team Stats'!$B$3:$K$18,9,0)</f>
        <v>7</v>
      </c>
      <c r="S49" s="54">
        <f>VLOOKUP(N49,'Team Stats'!$B$3:$K$18,10,0)</f>
        <v>52.841463414634148</v>
      </c>
      <c r="T49" s="54">
        <f t="shared" si="0"/>
        <v>4.6097560975609762</v>
      </c>
      <c r="U49">
        <f t="shared" si="1"/>
        <v>47</v>
      </c>
    </row>
    <row r="50" spans="1:21" x14ac:dyDescent="0.25">
      <c r="A50" s="44" t="s">
        <v>373</v>
      </c>
      <c r="B50" s="44" t="s">
        <v>212</v>
      </c>
      <c r="C50" s="45">
        <v>82</v>
      </c>
      <c r="D50" s="45"/>
      <c r="E50" s="45">
        <v>25</v>
      </c>
      <c r="F50" s="45"/>
      <c r="G50" s="45">
        <v>36</v>
      </c>
      <c r="H50" s="45"/>
      <c r="I50" s="34">
        <v>61</v>
      </c>
      <c r="J50" t="e">
        <f>I50/(VLOOKUP(B50,'Team Stats'!$B$3:$K$18,5,0))</f>
        <v>#N/A</v>
      </c>
      <c r="M50" t="s">
        <v>592</v>
      </c>
      <c r="N50" t="s">
        <v>202</v>
      </c>
      <c r="O50">
        <v>27</v>
      </c>
      <c r="P50">
        <v>659</v>
      </c>
      <c r="Q50">
        <v>4.09711684370258E-2</v>
      </c>
      <c r="R50" s="57">
        <f>VLOOKUP(N50,'Team Stats'!$B$3:$K$18,9,0)</f>
        <v>14</v>
      </c>
      <c r="S50" s="54">
        <f>VLOOKUP(N50,'Team Stats'!$B$3:$K$18,10,0)</f>
        <v>112.51219512195122</v>
      </c>
      <c r="T50" s="54">
        <f t="shared" si="0"/>
        <v>4.6097560975609762</v>
      </c>
      <c r="U50">
        <f t="shared" si="1"/>
        <v>47</v>
      </c>
    </row>
    <row r="51" spans="1:21" x14ac:dyDescent="0.25">
      <c r="A51" s="44" t="s">
        <v>374</v>
      </c>
      <c r="B51" s="44" t="s">
        <v>202</v>
      </c>
      <c r="C51" s="45">
        <v>80</v>
      </c>
      <c r="D51" s="45"/>
      <c r="E51" s="45">
        <v>19</v>
      </c>
      <c r="F51" s="45"/>
      <c r="G51" s="45">
        <v>41</v>
      </c>
      <c r="H51" s="45"/>
      <c r="I51" s="34">
        <v>60</v>
      </c>
      <c r="J51">
        <f>I51/(VLOOKUP(B51,'Team Stats'!$B$3:$K$18,5,0))</f>
        <v>9.1047040971168433E-2</v>
      </c>
      <c r="M51" t="s">
        <v>530</v>
      </c>
      <c r="N51" t="s">
        <v>204</v>
      </c>
      <c r="O51">
        <v>34</v>
      </c>
      <c r="P51">
        <v>613</v>
      </c>
      <c r="Q51">
        <v>5.5464926590538338E-2</v>
      </c>
      <c r="R51" s="57">
        <f>VLOOKUP(N51,'Team Stats'!$B$3:$K$18,9,0)</f>
        <v>11</v>
      </c>
      <c r="S51" s="54">
        <f>VLOOKUP(N51,'Team Stats'!$B$3:$K$18,10,0)</f>
        <v>82.231707317073173</v>
      </c>
      <c r="T51" s="54">
        <f t="shared" si="0"/>
        <v>4.5609756097560981</v>
      </c>
      <c r="U51">
        <f t="shared" si="1"/>
        <v>49</v>
      </c>
    </row>
    <row r="52" spans="1:21" x14ac:dyDescent="0.25">
      <c r="A52" s="44" t="s">
        <v>375</v>
      </c>
      <c r="B52" s="44" t="s">
        <v>330</v>
      </c>
      <c r="C52" s="45">
        <v>77</v>
      </c>
      <c r="D52" s="45"/>
      <c r="E52" s="45">
        <v>28</v>
      </c>
      <c r="F52" s="45"/>
      <c r="G52" s="45">
        <v>32</v>
      </c>
      <c r="H52" s="45"/>
      <c r="I52" s="34">
        <v>60</v>
      </c>
      <c r="J52" t="e">
        <f>I52/(VLOOKUP(B52,'Team Stats'!$B$3:$K$18,5,0))</f>
        <v>#N/A</v>
      </c>
      <c r="M52" t="s">
        <v>529</v>
      </c>
      <c r="N52" t="s">
        <v>204</v>
      </c>
      <c r="O52">
        <v>34</v>
      </c>
      <c r="P52">
        <v>613</v>
      </c>
      <c r="Q52">
        <v>5.5464926590538338E-2</v>
      </c>
      <c r="R52" s="57">
        <f>VLOOKUP(N52,'Team Stats'!$B$3:$K$18,9,0)</f>
        <v>11</v>
      </c>
      <c r="S52" s="54">
        <f>VLOOKUP(N52,'Team Stats'!$B$3:$K$18,10,0)</f>
        <v>82.231707317073173</v>
      </c>
      <c r="T52" s="54">
        <f t="shared" si="0"/>
        <v>4.5609756097560981</v>
      </c>
      <c r="U52">
        <f t="shared" si="1"/>
        <v>49</v>
      </c>
    </row>
    <row r="53" spans="1:21" x14ac:dyDescent="0.25">
      <c r="A53" s="44" t="s">
        <v>376</v>
      </c>
      <c r="B53" s="44" t="s">
        <v>344</v>
      </c>
      <c r="C53" s="45">
        <v>82</v>
      </c>
      <c r="D53" s="45"/>
      <c r="E53" s="45">
        <v>15</v>
      </c>
      <c r="F53" s="45"/>
      <c r="G53" s="45">
        <v>45</v>
      </c>
      <c r="H53" s="45"/>
      <c r="I53" s="34">
        <v>60</v>
      </c>
      <c r="J53" t="e">
        <f>I53/(VLOOKUP(B53,'Team Stats'!$B$3:$K$18,5,0))</f>
        <v>#N/A</v>
      </c>
      <c r="M53" t="s">
        <v>531</v>
      </c>
      <c r="N53" t="s">
        <v>204</v>
      </c>
      <c r="O53">
        <v>34</v>
      </c>
      <c r="P53">
        <v>613</v>
      </c>
      <c r="Q53">
        <v>5.5464926590538338E-2</v>
      </c>
      <c r="R53" s="57">
        <f>VLOOKUP(N53,'Team Stats'!$B$3:$K$18,9,0)</f>
        <v>11</v>
      </c>
      <c r="S53" s="54">
        <f>VLOOKUP(N53,'Team Stats'!$B$3:$K$18,10,0)</f>
        <v>82.231707317073173</v>
      </c>
      <c r="T53" s="54">
        <f t="shared" si="0"/>
        <v>4.5609756097560981</v>
      </c>
      <c r="U53">
        <f t="shared" si="1"/>
        <v>49</v>
      </c>
    </row>
    <row r="54" spans="1:21" x14ac:dyDescent="0.25">
      <c r="A54" s="44" t="s">
        <v>377</v>
      </c>
      <c r="B54" s="44" t="s">
        <v>344</v>
      </c>
      <c r="C54" s="45">
        <v>82</v>
      </c>
      <c r="D54" s="45"/>
      <c r="E54" s="45">
        <v>26</v>
      </c>
      <c r="F54" s="45"/>
      <c r="G54" s="45">
        <v>34</v>
      </c>
      <c r="H54" s="45"/>
      <c r="I54" s="34">
        <v>60</v>
      </c>
      <c r="J54" t="e">
        <f>I54/(VLOOKUP(B54,'Team Stats'!$B$3:$K$18,5,0))</f>
        <v>#N/A</v>
      </c>
      <c r="M54" t="s">
        <v>534</v>
      </c>
      <c r="N54" t="s">
        <v>204</v>
      </c>
      <c r="O54">
        <v>34</v>
      </c>
      <c r="P54">
        <v>613</v>
      </c>
      <c r="Q54">
        <v>5.5464926590538338E-2</v>
      </c>
      <c r="R54" s="57">
        <f>VLOOKUP(N54,'Team Stats'!$B$3:$K$18,9,0)</f>
        <v>11</v>
      </c>
      <c r="S54" s="54">
        <f>VLOOKUP(N54,'Team Stats'!$B$3:$K$18,10,0)</f>
        <v>82.231707317073173</v>
      </c>
      <c r="T54" s="54">
        <f t="shared" si="0"/>
        <v>4.5609756097560981</v>
      </c>
      <c r="U54">
        <f t="shared" si="1"/>
        <v>49</v>
      </c>
    </row>
    <row r="55" spans="1:21" x14ac:dyDescent="0.25">
      <c r="A55" s="44" t="s">
        <v>378</v>
      </c>
      <c r="B55" s="44" t="s">
        <v>339</v>
      </c>
      <c r="C55" s="45">
        <v>82</v>
      </c>
      <c r="D55" s="45"/>
      <c r="E55" s="45">
        <v>17</v>
      </c>
      <c r="F55" s="45"/>
      <c r="G55" s="45">
        <v>43</v>
      </c>
      <c r="H55" s="45"/>
      <c r="I55" s="34">
        <v>60</v>
      </c>
      <c r="J55" t="e">
        <f>I55/(VLOOKUP(B55,'Team Stats'!$B$3:$K$18,5,0))</f>
        <v>#N/A</v>
      </c>
      <c r="M55" t="s">
        <v>565</v>
      </c>
      <c r="N55" t="s">
        <v>201</v>
      </c>
      <c r="O55">
        <v>31</v>
      </c>
      <c r="P55">
        <v>601</v>
      </c>
      <c r="Q55">
        <v>5.1580698835274545E-2</v>
      </c>
      <c r="R55" s="57">
        <f>VLOOKUP(N55,'Team Stats'!$B$3:$K$18,9,0)</f>
        <v>12</v>
      </c>
      <c r="S55" s="54">
        <f>VLOOKUP(N55,'Team Stats'!$B$3:$K$18,10,0)</f>
        <v>87.951219512195124</v>
      </c>
      <c r="T55" s="54">
        <f t="shared" si="0"/>
        <v>4.536585365853659</v>
      </c>
      <c r="U55">
        <f t="shared" si="1"/>
        <v>53</v>
      </c>
    </row>
    <row r="56" spans="1:21" x14ac:dyDescent="0.25">
      <c r="A56" s="44" t="s">
        <v>379</v>
      </c>
      <c r="B56" s="44" t="s">
        <v>215</v>
      </c>
      <c r="C56" s="45">
        <v>82</v>
      </c>
      <c r="D56" s="45"/>
      <c r="E56" s="45">
        <v>23</v>
      </c>
      <c r="F56" s="45"/>
      <c r="G56" s="45">
        <v>36</v>
      </c>
      <c r="H56" s="45"/>
      <c r="I56" s="34">
        <v>59</v>
      </c>
      <c r="J56" t="e">
        <f>I56/(VLOOKUP(B56,'Team Stats'!$B$3:$K$18,5,0))</f>
        <v>#N/A</v>
      </c>
      <c r="M56" t="s">
        <v>368</v>
      </c>
      <c r="N56" t="s">
        <v>211</v>
      </c>
      <c r="O56">
        <v>62</v>
      </c>
      <c r="P56">
        <v>608</v>
      </c>
      <c r="Q56">
        <v>0.10197368421052631</v>
      </c>
      <c r="R56" s="57">
        <f>VLOOKUP(N56,'Team Stats'!$B$3:$K$18,9,0)</f>
        <v>6</v>
      </c>
      <c r="S56" s="54">
        <f>VLOOKUP(N56,'Team Stats'!$B$3:$K$18,10,0)</f>
        <v>44.487804878048784</v>
      </c>
      <c r="T56" s="54">
        <f t="shared" si="0"/>
        <v>4.536585365853659</v>
      </c>
      <c r="U56">
        <f t="shared" si="1"/>
        <v>53</v>
      </c>
    </row>
    <row r="57" spans="1:21" x14ac:dyDescent="0.25">
      <c r="A57" s="44" t="s">
        <v>380</v>
      </c>
      <c r="B57" s="44" t="s">
        <v>215</v>
      </c>
      <c r="C57" s="45">
        <v>82</v>
      </c>
      <c r="D57" s="45"/>
      <c r="E57" s="45">
        <v>29</v>
      </c>
      <c r="F57" s="45"/>
      <c r="G57" s="45">
        <v>30</v>
      </c>
      <c r="H57" s="45"/>
      <c r="I57" s="34">
        <v>59</v>
      </c>
      <c r="J57" t="e">
        <f>I57/(VLOOKUP(B57,'Team Stats'!$B$3:$K$18,5,0))</f>
        <v>#N/A</v>
      </c>
      <c r="M57" t="s">
        <v>609</v>
      </c>
      <c r="N57" t="s">
        <v>202</v>
      </c>
      <c r="O57">
        <v>26</v>
      </c>
      <c r="P57">
        <v>659</v>
      </c>
      <c r="Q57">
        <v>3.9453717754172987E-2</v>
      </c>
      <c r="R57" s="57">
        <f>VLOOKUP(N57,'Team Stats'!$B$3:$K$18,9,0)</f>
        <v>14</v>
      </c>
      <c r="S57" s="54">
        <f>VLOOKUP(N57,'Team Stats'!$B$3:$K$18,10,0)</f>
        <v>112.51219512195122</v>
      </c>
      <c r="T57" s="54">
        <f t="shared" si="0"/>
        <v>4.4390243902439019</v>
      </c>
      <c r="U57">
        <f t="shared" si="1"/>
        <v>55</v>
      </c>
    </row>
    <row r="58" spans="1:21" x14ac:dyDescent="0.25">
      <c r="A58" s="44" t="s">
        <v>381</v>
      </c>
      <c r="B58" s="44" t="s">
        <v>199</v>
      </c>
      <c r="C58" s="45">
        <v>80</v>
      </c>
      <c r="D58" s="45"/>
      <c r="E58" s="45">
        <v>26</v>
      </c>
      <c r="F58" s="45"/>
      <c r="G58" s="45">
        <v>32</v>
      </c>
      <c r="H58" s="45"/>
      <c r="I58" s="34">
        <v>58</v>
      </c>
      <c r="J58">
        <f>I58/(VLOOKUP(B58,'Team Stats'!$B$3:$K$18,5,0))</f>
        <v>8.7878787878787876E-2</v>
      </c>
      <c r="M58" t="s">
        <v>541</v>
      </c>
      <c r="N58" t="s">
        <v>205</v>
      </c>
      <c r="O58">
        <v>33</v>
      </c>
      <c r="P58">
        <v>642</v>
      </c>
      <c r="Q58">
        <v>5.1401869158878503E-2</v>
      </c>
      <c r="R58" s="57">
        <f>VLOOKUP(N58,'Team Stats'!$B$3:$K$18,9,0)</f>
        <v>11</v>
      </c>
      <c r="S58" s="54">
        <f>VLOOKUP(N58,'Team Stats'!$B$3:$K$18,10,0)</f>
        <v>86.121951219512198</v>
      </c>
      <c r="T58" s="54">
        <f t="shared" si="0"/>
        <v>4.4268292682926829</v>
      </c>
      <c r="U58">
        <f t="shared" si="1"/>
        <v>56</v>
      </c>
    </row>
    <row r="59" spans="1:21" x14ac:dyDescent="0.25">
      <c r="A59" s="44" t="s">
        <v>382</v>
      </c>
      <c r="B59" s="44" t="s">
        <v>339</v>
      </c>
      <c r="C59" s="45">
        <v>82</v>
      </c>
      <c r="D59" s="45"/>
      <c r="E59" s="45">
        <v>19</v>
      </c>
      <c r="F59" s="45"/>
      <c r="G59" s="45">
        <v>38</v>
      </c>
      <c r="H59" s="45"/>
      <c r="I59" s="34">
        <v>57</v>
      </c>
      <c r="J59" t="e">
        <f>I59/(VLOOKUP(B59,'Team Stats'!$B$3:$K$18,5,0))</f>
        <v>#N/A</v>
      </c>
      <c r="M59" t="s">
        <v>546</v>
      </c>
      <c r="N59" t="s">
        <v>205</v>
      </c>
      <c r="O59">
        <v>33</v>
      </c>
      <c r="P59">
        <v>642</v>
      </c>
      <c r="Q59">
        <v>5.1401869158878503E-2</v>
      </c>
      <c r="R59" s="57">
        <f>VLOOKUP(N59,'Team Stats'!$B$3:$K$18,9,0)</f>
        <v>11</v>
      </c>
      <c r="S59" s="54">
        <f>VLOOKUP(N59,'Team Stats'!$B$3:$K$18,10,0)</f>
        <v>86.121951219512198</v>
      </c>
      <c r="T59" s="54">
        <f t="shared" si="0"/>
        <v>4.4268292682926829</v>
      </c>
      <c r="U59">
        <f t="shared" si="1"/>
        <v>56</v>
      </c>
    </row>
    <row r="60" spans="1:21" ht="30" x14ac:dyDescent="0.25">
      <c r="A60" s="44" t="s">
        <v>383</v>
      </c>
      <c r="B60" s="44" t="s">
        <v>214</v>
      </c>
      <c r="C60" s="45">
        <v>76</v>
      </c>
      <c r="D60" s="45"/>
      <c r="E60" s="45">
        <v>24</v>
      </c>
      <c r="F60" s="45"/>
      <c r="G60" s="45">
        <v>32</v>
      </c>
      <c r="H60" s="45"/>
      <c r="I60" s="34">
        <v>56</v>
      </c>
      <c r="J60" t="e">
        <f>I60/(VLOOKUP(B60,'Team Stats'!$B$3:$K$18,5,0))</f>
        <v>#N/A</v>
      </c>
      <c r="M60" t="s">
        <v>553</v>
      </c>
      <c r="N60" t="s">
        <v>204</v>
      </c>
      <c r="O60">
        <v>32</v>
      </c>
      <c r="P60">
        <v>613</v>
      </c>
      <c r="Q60">
        <v>5.2202283849918436E-2</v>
      </c>
      <c r="R60" s="57">
        <f>VLOOKUP(N60,'Team Stats'!$B$3:$K$18,9,0)</f>
        <v>11</v>
      </c>
      <c r="S60" s="54">
        <f>VLOOKUP(N60,'Team Stats'!$B$3:$K$18,10,0)</f>
        <v>82.231707317073173</v>
      </c>
      <c r="T60" s="54">
        <f t="shared" si="0"/>
        <v>4.2926829268292686</v>
      </c>
      <c r="U60">
        <f t="shared" si="1"/>
        <v>58</v>
      </c>
    </row>
    <row r="61" spans="1:21" ht="30" x14ac:dyDescent="0.25">
      <c r="A61" s="44" t="s">
        <v>384</v>
      </c>
      <c r="B61" s="44" t="s">
        <v>212</v>
      </c>
      <c r="C61" s="45">
        <v>82</v>
      </c>
      <c r="D61" s="45"/>
      <c r="E61" s="45">
        <v>27</v>
      </c>
      <c r="F61" s="45"/>
      <c r="G61" s="45">
        <v>29</v>
      </c>
      <c r="H61" s="45"/>
      <c r="I61" s="34">
        <v>56</v>
      </c>
      <c r="J61" t="e">
        <f>I61/(VLOOKUP(B61,'Team Stats'!$B$3:$K$18,5,0))</f>
        <v>#N/A</v>
      </c>
      <c r="M61" t="s">
        <v>564</v>
      </c>
      <c r="N61" t="s">
        <v>205</v>
      </c>
      <c r="O61">
        <v>31</v>
      </c>
      <c r="P61">
        <v>642</v>
      </c>
      <c r="Q61">
        <v>4.8286604361370715E-2</v>
      </c>
      <c r="R61" s="57">
        <f>VLOOKUP(N61,'Team Stats'!$B$3:$K$18,9,0)</f>
        <v>11</v>
      </c>
      <c r="S61" s="54">
        <f>VLOOKUP(N61,'Team Stats'!$B$3:$K$18,10,0)</f>
        <v>86.121951219512198</v>
      </c>
      <c r="T61" s="54">
        <f t="shared" si="0"/>
        <v>4.1585365853658534</v>
      </c>
      <c r="U61">
        <f t="shared" si="1"/>
        <v>59</v>
      </c>
    </row>
    <row r="62" spans="1:21" x14ac:dyDescent="0.25">
      <c r="A62" s="44" t="s">
        <v>385</v>
      </c>
      <c r="B62" s="44" t="s">
        <v>207</v>
      </c>
      <c r="C62" s="45">
        <v>80</v>
      </c>
      <c r="D62" s="45"/>
      <c r="E62" s="45">
        <v>15</v>
      </c>
      <c r="F62" s="45"/>
      <c r="G62" s="45">
        <v>41</v>
      </c>
      <c r="H62" s="45"/>
      <c r="I62" s="34">
        <v>56</v>
      </c>
      <c r="J62">
        <f>I62/(VLOOKUP(B62,'Team Stats'!$B$3:$K$18,5,0))</f>
        <v>8.4337349397590355E-2</v>
      </c>
      <c r="M62" t="s">
        <v>561</v>
      </c>
      <c r="N62" t="s">
        <v>204</v>
      </c>
      <c r="O62">
        <v>31</v>
      </c>
      <c r="P62">
        <v>613</v>
      </c>
      <c r="Q62">
        <v>5.0570962479608482E-2</v>
      </c>
      <c r="R62" s="57">
        <f>VLOOKUP(N62,'Team Stats'!$B$3:$K$18,9,0)</f>
        <v>11</v>
      </c>
      <c r="S62" s="54">
        <f>VLOOKUP(N62,'Team Stats'!$B$3:$K$18,10,0)</f>
        <v>82.231707317073173</v>
      </c>
      <c r="T62" s="54">
        <f t="shared" si="0"/>
        <v>4.1585365853658534</v>
      </c>
      <c r="U62">
        <f t="shared" si="1"/>
        <v>59</v>
      </c>
    </row>
    <row r="63" spans="1:21" x14ac:dyDescent="0.25">
      <c r="A63" s="44" t="s">
        <v>386</v>
      </c>
      <c r="B63" s="44" t="s">
        <v>208</v>
      </c>
      <c r="C63" s="45">
        <v>82</v>
      </c>
      <c r="D63" s="45"/>
      <c r="E63" s="45">
        <v>29</v>
      </c>
      <c r="F63" s="45"/>
      <c r="G63" s="45">
        <v>27</v>
      </c>
      <c r="H63" s="45"/>
      <c r="I63" s="34">
        <v>56</v>
      </c>
      <c r="J63">
        <f>I63/(VLOOKUP(B63,'Team Stats'!$B$3:$K$18,5,0))</f>
        <v>8.8888888888888892E-2</v>
      </c>
      <c r="M63" t="s">
        <v>579</v>
      </c>
      <c r="N63" t="s">
        <v>201</v>
      </c>
      <c r="O63">
        <v>28</v>
      </c>
      <c r="P63">
        <v>601</v>
      </c>
      <c r="Q63">
        <v>4.6589018302828619E-2</v>
      </c>
      <c r="R63" s="57">
        <f>VLOOKUP(N63,'Team Stats'!$B$3:$K$18,9,0)</f>
        <v>12</v>
      </c>
      <c r="S63" s="54">
        <f>VLOOKUP(N63,'Team Stats'!$B$3:$K$18,10,0)</f>
        <v>87.951219512195124</v>
      </c>
      <c r="T63" s="54">
        <f t="shared" si="0"/>
        <v>4.0975609756097562</v>
      </c>
      <c r="U63">
        <f t="shared" si="1"/>
        <v>61</v>
      </c>
    </row>
    <row r="64" spans="1:21" x14ac:dyDescent="0.25">
      <c r="A64" s="44" t="s">
        <v>387</v>
      </c>
      <c r="B64" s="44" t="s">
        <v>215</v>
      </c>
      <c r="C64" s="45">
        <v>82</v>
      </c>
      <c r="D64" s="45"/>
      <c r="E64" s="45">
        <v>21</v>
      </c>
      <c r="F64" s="45"/>
      <c r="G64" s="45">
        <v>34</v>
      </c>
      <c r="H64" s="45"/>
      <c r="I64" s="34">
        <v>55</v>
      </c>
      <c r="J64" t="e">
        <f>I64/(VLOOKUP(B64,'Team Stats'!$B$3:$K$18,5,0))</f>
        <v>#N/A</v>
      </c>
      <c r="M64" t="s">
        <v>421</v>
      </c>
      <c r="N64" t="s">
        <v>213</v>
      </c>
      <c r="O64">
        <v>48</v>
      </c>
      <c r="P64">
        <v>619</v>
      </c>
      <c r="Q64">
        <v>7.7544426494345717E-2</v>
      </c>
      <c r="R64" s="57">
        <f>VLOOKUP(N64,'Team Stats'!$B$3:$K$18,9,0)</f>
        <v>7</v>
      </c>
      <c r="S64" s="54">
        <f>VLOOKUP(N64,'Team Stats'!$B$3:$K$18,10,0)</f>
        <v>52.841463414634148</v>
      </c>
      <c r="T64" s="54">
        <f t="shared" si="0"/>
        <v>4.0975609756097562</v>
      </c>
      <c r="U64">
        <f t="shared" si="1"/>
        <v>61</v>
      </c>
    </row>
    <row r="65" spans="1:21" x14ac:dyDescent="0.25">
      <c r="A65" s="44" t="s">
        <v>388</v>
      </c>
      <c r="B65" s="44" t="s">
        <v>324</v>
      </c>
      <c r="C65" s="45">
        <v>82</v>
      </c>
      <c r="D65" s="45"/>
      <c r="E65" s="45">
        <v>12</v>
      </c>
      <c r="F65" s="45"/>
      <c r="G65" s="45">
        <v>43</v>
      </c>
      <c r="H65" s="45"/>
      <c r="I65" s="34">
        <v>55</v>
      </c>
      <c r="J65" t="e">
        <f>I65/(VLOOKUP(B65,'Team Stats'!$B$3:$K$18,5,0))</f>
        <v>#N/A</v>
      </c>
      <c r="M65" t="s">
        <v>386</v>
      </c>
      <c r="N65" t="s">
        <v>208</v>
      </c>
      <c r="O65">
        <v>56</v>
      </c>
      <c r="P65">
        <v>630</v>
      </c>
      <c r="Q65">
        <v>8.8888888888888892E-2</v>
      </c>
      <c r="R65" s="57">
        <f>VLOOKUP(N65,'Team Stats'!$B$3:$K$18,9,0)</f>
        <v>6</v>
      </c>
      <c r="S65" s="54">
        <f>VLOOKUP(N65,'Team Stats'!$B$3:$K$18,10,0)</f>
        <v>46.097560975609753</v>
      </c>
      <c r="T65" s="54">
        <f t="shared" si="0"/>
        <v>4.0975609756097562</v>
      </c>
      <c r="U65">
        <f t="shared" si="1"/>
        <v>61</v>
      </c>
    </row>
    <row r="66" spans="1:21" x14ac:dyDescent="0.25">
      <c r="A66" s="44" t="s">
        <v>389</v>
      </c>
      <c r="B66" s="44" t="s">
        <v>215</v>
      </c>
      <c r="C66" s="45">
        <v>82</v>
      </c>
      <c r="D66" s="45"/>
      <c r="E66" s="45">
        <v>17</v>
      </c>
      <c r="F66" s="45"/>
      <c r="G66" s="45">
        <v>38</v>
      </c>
      <c r="H66" s="45"/>
      <c r="I66" s="34">
        <v>55</v>
      </c>
      <c r="J66" t="e">
        <f>I66/(VLOOKUP(B66,'Team Stats'!$B$3:$K$18,5,0))</f>
        <v>#N/A</v>
      </c>
      <c r="M66" t="s">
        <v>398</v>
      </c>
      <c r="N66" t="s">
        <v>211</v>
      </c>
      <c r="O66">
        <v>54</v>
      </c>
      <c r="P66">
        <v>608</v>
      </c>
      <c r="Q66">
        <v>8.8815789473684209E-2</v>
      </c>
      <c r="R66" s="57">
        <f>VLOOKUP(N66,'Team Stats'!$B$3:$K$18,9,0)</f>
        <v>6</v>
      </c>
      <c r="S66" s="54">
        <f>VLOOKUP(N66,'Team Stats'!$B$3:$K$18,10,0)</f>
        <v>44.487804878048784</v>
      </c>
      <c r="T66" s="54">
        <f t="shared" si="0"/>
        <v>3.9512195121951224</v>
      </c>
      <c r="U66">
        <f t="shared" si="1"/>
        <v>64</v>
      </c>
    </row>
    <row r="67" spans="1:21" x14ac:dyDescent="0.25">
      <c r="A67" s="44" t="s">
        <v>390</v>
      </c>
      <c r="B67" s="44" t="s">
        <v>364</v>
      </c>
      <c r="C67" s="45">
        <v>81</v>
      </c>
      <c r="D67" s="45"/>
      <c r="E67" s="45">
        <v>15</v>
      </c>
      <c r="F67" s="45"/>
      <c r="G67" s="45">
        <v>40</v>
      </c>
      <c r="H67" s="45"/>
      <c r="I67" s="34">
        <v>55</v>
      </c>
      <c r="J67" t="e">
        <f>I67/(VLOOKUP(B67,'Team Stats'!$B$3:$K$18,5,0))</f>
        <v>#N/A</v>
      </c>
      <c r="M67" t="s">
        <v>593</v>
      </c>
      <c r="N67" t="s">
        <v>199</v>
      </c>
      <c r="O67">
        <v>27</v>
      </c>
      <c r="P67">
        <v>660</v>
      </c>
      <c r="Q67">
        <v>4.0909090909090909E-2</v>
      </c>
      <c r="R67" s="57">
        <f>VLOOKUP(N67,'Team Stats'!$B$3:$K$18,9,0)</f>
        <v>12</v>
      </c>
      <c r="S67" s="54">
        <f>VLOOKUP(N67,'Team Stats'!$B$3:$K$18,10,0)</f>
        <v>96.585365853658544</v>
      </c>
      <c r="T67" s="54">
        <f t="shared" ref="T67:T130" si="2">VLOOKUP(M67,$A$3:$J$884,10,0)*S67</f>
        <v>3.9512195121951224</v>
      </c>
      <c r="U67">
        <f t="shared" ref="U67:U130" si="3">RANK(T67,$T$3:$T$318,0)</f>
        <v>64</v>
      </c>
    </row>
    <row r="68" spans="1:21" x14ac:dyDescent="0.25">
      <c r="A68" s="44" t="s">
        <v>391</v>
      </c>
      <c r="B68" s="44" t="s">
        <v>204</v>
      </c>
      <c r="C68" s="45">
        <v>67</v>
      </c>
      <c r="D68" s="45"/>
      <c r="E68" s="45">
        <v>33</v>
      </c>
      <c r="F68" s="45"/>
      <c r="G68" s="45">
        <v>22</v>
      </c>
      <c r="H68" s="45"/>
      <c r="I68" s="34">
        <v>55</v>
      </c>
      <c r="J68">
        <f>I68/(VLOOKUP(B68,'Team Stats'!$B$3:$K$18,5,0))</f>
        <v>8.9722675367047311E-2</v>
      </c>
      <c r="M68" t="s">
        <v>401</v>
      </c>
      <c r="N68" t="s">
        <v>208</v>
      </c>
      <c r="O68">
        <v>54</v>
      </c>
      <c r="P68">
        <v>630</v>
      </c>
      <c r="Q68">
        <v>8.5714285714285715E-2</v>
      </c>
      <c r="R68" s="57">
        <f>VLOOKUP(N68,'Team Stats'!$B$3:$K$18,9,0)</f>
        <v>6</v>
      </c>
      <c r="S68" s="54">
        <f>VLOOKUP(N68,'Team Stats'!$B$3:$K$18,10,0)</f>
        <v>46.097560975609753</v>
      </c>
      <c r="T68" s="54">
        <f t="shared" si="2"/>
        <v>3.9512195121951219</v>
      </c>
      <c r="U68">
        <f t="shared" si="3"/>
        <v>66</v>
      </c>
    </row>
    <row r="69" spans="1:21" x14ac:dyDescent="0.25">
      <c r="A69" s="44" t="s">
        <v>392</v>
      </c>
      <c r="B69" s="44" t="s">
        <v>199</v>
      </c>
      <c r="C69" s="45">
        <v>72</v>
      </c>
      <c r="D69" s="45"/>
      <c r="E69" s="45">
        <v>19</v>
      </c>
      <c r="F69" s="45"/>
      <c r="G69" s="45">
        <v>36</v>
      </c>
      <c r="H69" s="45"/>
      <c r="I69" s="34">
        <v>55</v>
      </c>
      <c r="J69">
        <f>I69/(VLOOKUP(B69,'Team Stats'!$B$3:$K$18,5,0))</f>
        <v>8.3333333333333329E-2</v>
      </c>
      <c r="M69" t="s">
        <v>402</v>
      </c>
      <c r="N69" t="s">
        <v>197</v>
      </c>
      <c r="O69">
        <v>54</v>
      </c>
      <c r="P69">
        <v>600</v>
      </c>
      <c r="Q69">
        <v>0.09</v>
      </c>
      <c r="R69" s="57">
        <f>VLOOKUP(N69,'Team Stats'!$B$3:$K$18,9,0)</f>
        <v>6</v>
      </c>
      <c r="S69" s="54">
        <f>VLOOKUP(N69,'Team Stats'!$B$3:$K$18,10,0)</f>
        <v>43.902439024390247</v>
      </c>
      <c r="T69" s="54">
        <f t="shared" si="2"/>
        <v>3.9512195121951219</v>
      </c>
      <c r="U69">
        <f t="shared" si="3"/>
        <v>66</v>
      </c>
    </row>
    <row r="70" spans="1:21" x14ac:dyDescent="0.25">
      <c r="A70" s="44" t="s">
        <v>393</v>
      </c>
      <c r="B70" s="44" t="s">
        <v>216</v>
      </c>
      <c r="C70" s="45">
        <v>81</v>
      </c>
      <c r="D70" s="45"/>
      <c r="E70" s="45">
        <v>23</v>
      </c>
      <c r="F70" s="45"/>
      <c r="G70" s="45">
        <v>32</v>
      </c>
      <c r="H70" s="45"/>
      <c r="I70" s="34">
        <v>55</v>
      </c>
      <c r="J70" t="e">
        <f>I70/(VLOOKUP(B70,'Team Stats'!$B$3:$K$18,5,0))</f>
        <v>#N/A</v>
      </c>
      <c r="M70" t="s">
        <v>642</v>
      </c>
      <c r="N70" t="s">
        <v>202</v>
      </c>
      <c r="O70">
        <v>23</v>
      </c>
      <c r="P70">
        <v>659</v>
      </c>
      <c r="Q70">
        <v>3.490136570561457E-2</v>
      </c>
      <c r="R70" s="57">
        <f>VLOOKUP(N70,'Team Stats'!$B$3:$K$18,9,0)</f>
        <v>14</v>
      </c>
      <c r="S70" s="54">
        <f>VLOOKUP(N70,'Team Stats'!$B$3:$K$18,10,0)</f>
        <v>112.51219512195122</v>
      </c>
      <c r="T70" s="54">
        <f t="shared" si="2"/>
        <v>3.9268292682926833</v>
      </c>
      <c r="U70">
        <f t="shared" si="3"/>
        <v>68</v>
      </c>
    </row>
    <row r="71" spans="1:21" x14ac:dyDescent="0.25">
      <c r="A71" s="44" t="s">
        <v>394</v>
      </c>
      <c r="B71" s="44" t="s">
        <v>215</v>
      </c>
      <c r="C71" s="45">
        <v>80</v>
      </c>
      <c r="D71" s="45"/>
      <c r="E71" s="45">
        <v>22</v>
      </c>
      <c r="F71" s="45"/>
      <c r="G71" s="45">
        <v>33</v>
      </c>
      <c r="H71" s="45"/>
      <c r="I71" s="34">
        <v>55</v>
      </c>
      <c r="J71" t="e">
        <f>I71/(VLOOKUP(B71,'Team Stats'!$B$3:$K$18,5,0))</f>
        <v>#N/A</v>
      </c>
      <c r="M71" t="s">
        <v>435</v>
      </c>
      <c r="N71" t="s">
        <v>213</v>
      </c>
      <c r="O71">
        <v>46</v>
      </c>
      <c r="P71">
        <v>619</v>
      </c>
      <c r="Q71">
        <v>7.4313408723747976E-2</v>
      </c>
      <c r="R71" s="57">
        <f>VLOOKUP(N71,'Team Stats'!$B$3:$K$18,9,0)</f>
        <v>7</v>
      </c>
      <c r="S71" s="54">
        <f>VLOOKUP(N71,'Team Stats'!$B$3:$K$18,10,0)</f>
        <v>52.841463414634148</v>
      </c>
      <c r="T71" s="54">
        <f t="shared" si="2"/>
        <v>3.9268292682926829</v>
      </c>
      <c r="U71">
        <f t="shared" si="3"/>
        <v>69</v>
      </c>
    </row>
    <row r="72" spans="1:21" x14ac:dyDescent="0.25">
      <c r="A72" s="44" t="s">
        <v>395</v>
      </c>
      <c r="B72" s="44" t="s">
        <v>202</v>
      </c>
      <c r="C72" s="45">
        <v>68</v>
      </c>
      <c r="D72" s="45"/>
      <c r="E72" s="45">
        <v>16</v>
      </c>
      <c r="F72" s="45"/>
      <c r="G72" s="45">
        <v>39</v>
      </c>
      <c r="H72" s="45"/>
      <c r="I72" s="34">
        <v>55</v>
      </c>
      <c r="J72">
        <f>I72/(VLOOKUP(B72,'Team Stats'!$B$3:$K$18,5,0))</f>
        <v>8.3459787556904405E-2</v>
      </c>
      <c r="M72" t="s">
        <v>577</v>
      </c>
      <c r="N72" t="s">
        <v>204</v>
      </c>
      <c r="O72">
        <v>29</v>
      </c>
      <c r="P72">
        <v>613</v>
      </c>
      <c r="Q72">
        <v>4.730831973898858E-2</v>
      </c>
      <c r="R72" s="57">
        <f>VLOOKUP(N72,'Team Stats'!$B$3:$K$18,9,0)</f>
        <v>11</v>
      </c>
      <c r="S72" s="54">
        <f>VLOOKUP(N72,'Team Stats'!$B$3:$K$18,10,0)</f>
        <v>82.231707317073173</v>
      </c>
      <c r="T72" s="54">
        <f t="shared" si="2"/>
        <v>3.8902439024390243</v>
      </c>
      <c r="U72">
        <f t="shared" si="3"/>
        <v>70</v>
      </c>
    </row>
    <row r="73" spans="1:21" x14ac:dyDescent="0.25">
      <c r="A73" s="44" t="s">
        <v>396</v>
      </c>
      <c r="B73" s="44" t="s">
        <v>217</v>
      </c>
      <c r="C73" s="45">
        <v>77</v>
      </c>
      <c r="D73" s="45"/>
      <c r="E73" s="45">
        <v>23</v>
      </c>
      <c r="F73" s="45"/>
      <c r="G73" s="45">
        <v>31</v>
      </c>
      <c r="H73" s="45"/>
      <c r="I73" s="34">
        <v>54</v>
      </c>
      <c r="J73" t="e">
        <f>I73/(VLOOKUP(B73,'Team Stats'!$B$3:$K$18,5,0))</f>
        <v>#N/A</v>
      </c>
      <c r="M73" t="s">
        <v>572</v>
      </c>
      <c r="N73" t="s">
        <v>204</v>
      </c>
      <c r="O73">
        <v>29</v>
      </c>
      <c r="P73">
        <v>613</v>
      </c>
      <c r="Q73">
        <v>4.730831973898858E-2</v>
      </c>
      <c r="R73" s="57">
        <f>VLOOKUP(N73,'Team Stats'!$B$3:$K$18,9,0)</f>
        <v>11</v>
      </c>
      <c r="S73" s="54">
        <f>VLOOKUP(N73,'Team Stats'!$B$3:$K$18,10,0)</f>
        <v>82.231707317073173</v>
      </c>
      <c r="T73" s="54">
        <f t="shared" si="2"/>
        <v>3.8902439024390243</v>
      </c>
      <c r="U73">
        <f t="shared" si="3"/>
        <v>70</v>
      </c>
    </row>
    <row r="74" spans="1:21" x14ac:dyDescent="0.25">
      <c r="A74" s="44" t="s">
        <v>397</v>
      </c>
      <c r="B74" s="44" t="s">
        <v>213</v>
      </c>
      <c r="C74" s="45">
        <v>78</v>
      </c>
      <c r="D74" s="45"/>
      <c r="E74" s="45">
        <v>18</v>
      </c>
      <c r="F74" s="45"/>
      <c r="G74" s="45">
        <v>36</v>
      </c>
      <c r="H74" s="45"/>
      <c r="I74" s="34">
        <v>54</v>
      </c>
      <c r="J74">
        <f>I74/(VLOOKUP(B74,'Team Stats'!$B$3:$K$18,5,0))</f>
        <v>8.723747980613894E-2</v>
      </c>
      <c r="M74" t="s">
        <v>608</v>
      </c>
      <c r="N74" t="s">
        <v>201</v>
      </c>
      <c r="O74">
        <v>26</v>
      </c>
      <c r="P74">
        <v>601</v>
      </c>
      <c r="Q74">
        <v>4.3261231281198007E-2</v>
      </c>
      <c r="R74" s="57">
        <f>VLOOKUP(N74,'Team Stats'!$B$3:$K$18,9,0)</f>
        <v>12</v>
      </c>
      <c r="S74" s="54">
        <f>VLOOKUP(N74,'Team Stats'!$B$3:$K$18,10,0)</f>
        <v>87.951219512195124</v>
      </c>
      <c r="T74" s="54">
        <f t="shared" si="2"/>
        <v>3.8048780487804881</v>
      </c>
      <c r="U74">
        <f t="shared" si="3"/>
        <v>72</v>
      </c>
    </row>
    <row r="75" spans="1:21" x14ac:dyDescent="0.25">
      <c r="A75" s="44" t="s">
        <v>398</v>
      </c>
      <c r="B75" s="44" t="s">
        <v>211</v>
      </c>
      <c r="C75" s="45">
        <v>82</v>
      </c>
      <c r="D75" s="45"/>
      <c r="E75" s="45">
        <v>18</v>
      </c>
      <c r="F75" s="45"/>
      <c r="G75" s="45">
        <v>36</v>
      </c>
      <c r="H75" s="45"/>
      <c r="I75" s="34">
        <v>54</v>
      </c>
      <c r="J75">
        <f>I75/(VLOOKUP(B75,'Team Stats'!$B$3:$K$18,5,0))</f>
        <v>8.8815789473684209E-2</v>
      </c>
      <c r="M75" t="s">
        <v>408</v>
      </c>
      <c r="N75" t="s">
        <v>211</v>
      </c>
      <c r="O75">
        <v>52</v>
      </c>
      <c r="P75">
        <v>608</v>
      </c>
      <c r="Q75">
        <v>8.5526315789473686E-2</v>
      </c>
      <c r="R75" s="57">
        <f>VLOOKUP(N75,'Team Stats'!$B$3:$K$18,9,0)</f>
        <v>6</v>
      </c>
      <c r="S75" s="54">
        <f>VLOOKUP(N75,'Team Stats'!$B$3:$K$18,10,0)</f>
        <v>44.487804878048784</v>
      </c>
      <c r="T75" s="54">
        <f t="shared" si="2"/>
        <v>3.8048780487804881</v>
      </c>
      <c r="U75">
        <f t="shared" si="3"/>
        <v>72</v>
      </c>
    </row>
    <row r="76" spans="1:21" x14ac:dyDescent="0.25">
      <c r="A76" s="44" t="s">
        <v>399</v>
      </c>
      <c r="B76" s="44" t="s">
        <v>335</v>
      </c>
      <c r="C76" s="45">
        <v>77</v>
      </c>
      <c r="D76" s="45"/>
      <c r="E76" s="45">
        <v>24</v>
      </c>
      <c r="F76" s="45"/>
      <c r="G76" s="45">
        <v>30</v>
      </c>
      <c r="H76" s="45"/>
      <c r="I76" s="34">
        <v>54</v>
      </c>
      <c r="J76" t="e">
        <f>I76/(VLOOKUP(B76,'Team Stats'!$B$3:$K$18,5,0))</f>
        <v>#N/A</v>
      </c>
      <c r="M76" t="s">
        <v>411</v>
      </c>
      <c r="N76" t="s">
        <v>197</v>
      </c>
      <c r="O76">
        <v>51</v>
      </c>
      <c r="P76">
        <v>600</v>
      </c>
      <c r="Q76">
        <v>8.5000000000000006E-2</v>
      </c>
      <c r="R76" s="57">
        <f>VLOOKUP(N76,'Team Stats'!$B$3:$K$18,9,0)</f>
        <v>6</v>
      </c>
      <c r="S76" s="54">
        <f>VLOOKUP(N76,'Team Stats'!$B$3:$K$18,10,0)</f>
        <v>43.902439024390247</v>
      </c>
      <c r="T76" s="54">
        <f t="shared" si="2"/>
        <v>3.7317073170731714</v>
      </c>
      <c r="U76">
        <f t="shared" si="3"/>
        <v>74</v>
      </c>
    </row>
    <row r="77" spans="1:21" ht="30" x14ac:dyDescent="0.25">
      <c r="A77" s="44" t="s">
        <v>400</v>
      </c>
      <c r="B77" s="44" t="s">
        <v>218</v>
      </c>
      <c r="C77" s="45">
        <v>79</v>
      </c>
      <c r="D77" s="45"/>
      <c r="E77" s="45">
        <v>15</v>
      </c>
      <c r="F77" s="45"/>
      <c r="G77" s="45">
        <v>39</v>
      </c>
      <c r="H77" s="45"/>
      <c r="I77" s="34">
        <v>54</v>
      </c>
      <c r="J77" t="e">
        <f>I77/(VLOOKUP(B77,'Team Stats'!$B$3:$K$18,5,0))</f>
        <v>#N/A</v>
      </c>
      <c r="M77" t="s">
        <v>410</v>
      </c>
      <c r="N77" t="s">
        <v>195</v>
      </c>
      <c r="O77">
        <v>51</v>
      </c>
      <c r="P77">
        <v>656</v>
      </c>
      <c r="Q77">
        <v>7.774390243902439E-2</v>
      </c>
      <c r="R77" s="57">
        <f>VLOOKUP(N77,'Team Stats'!$B$3:$K$18,9,0)</f>
        <v>6</v>
      </c>
      <c r="S77" s="54">
        <f>VLOOKUP(N77,'Team Stats'!$B$3:$K$18,10,0)</f>
        <v>48</v>
      </c>
      <c r="T77" s="54">
        <f t="shared" si="2"/>
        <v>3.7317073170731705</v>
      </c>
      <c r="U77">
        <f t="shared" si="3"/>
        <v>75</v>
      </c>
    </row>
    <row r="78" spans="1:21" x14ac:dyDescent="0.25">
      <c r="A78" s="44" t="s">
        <v>401</v>
      </c>
      <c r="B78" s="44" t="s">
        <v>208</v>
      </c>
      <c r="C78" s="45">
        <v>82</v>
      </c>
      <c r="D78" s="45"/>
      <c r="E78" s="45">
        <v>27</v>
      </c>
      <c r="F78" s="45"/>
      <c r="G78" s="45">
        <v>27</v>
      </c>
      <c r="H78" s="45"/>
      <c r="I78" s="34">
        <v>54</v>
      </c>
      <c r="J78">
        <f>I78/(VLOOKUP(B78,'Team Stats'!$B$3:$K$18,5,0))</f>
        <v>8.5714285714285715E-2</v>
      </c>
      <c r="M78" t="s">
        <v>413</v>
      </c>
      <c r="N78" t="s">
        <v>195</v>
      </c>
      <c r="O78">
        <v>50</v>
      </c>
      <c r="P78">
        <v>656</v>
      </c>
      <c r="Q78">
        <v>7.621951219512195E-2</v>
      </c>
      <c r="R78" s="57">
        <f>VLOOKUP(N78,'Team Stats'!$B$3:$K$18,9,0)</f>
        <v>6</v>
      </c>
      <c r="S78" s="54">
        <f>VLOOKUP(N78,'Team Stats'!$B$3:$K$18,10,0)</f>
        <v>48</v>
      </c>
      <c r="T78" s="54">
        <f t="shared" si="2"/>
        <v>3.6585365853658534</v>
      </c>
      <c r="U78">
        <f t="shared" si="3"/>
        <v>76</v>
      </c>
    </row>
    <row r="79" spans="1:21" x14ac:dyDescent="0.25">
      <c r="A79" s="44" t="s">
        <v>402</v>
      </c>
      <c r="B79" s="44" t="s">
        <v>197</v>
      </c>
      <c r="C79" s="45">
        <v>69</v>
      </c>
      <c r="D79" s="45"/>
      <c r="E79" s="45">
        <v>11</v>
      </c>
      <c r="F79" s="45"/>
      <c r="G79" s="45">
        <v>43</v>
      </c>
      <c r="H79" s="45"/>
      <c r="I79" s="34">
        <v>54</v>
      </c>
      <c r="J79">
        <f>I79/(VLOOKUP(B79,'Team Stats'!$B$3:$K$18,5,0))</f>
        <v>0.09</v>
      </c>
      <c r="M79" t="s">
        <v>588</v>
      </c>
      <c r="N79" t="s">
        <v>205</v>
      </c>
      <c r="O79">
        <v>27</v>
      </c>
      <c r="P79">
        <v>642</v>
      </c>
      <c r="Q79">
        <v>4.2056074766355138E-2</v>
      </c>
      <c r="R79" s="57">
        <f>VLOOKUP(N79,'Team Stats'!$B$3:$K$18,9,0)</f>
        <v>11</v>
      </c>
      <c r="S79" s="54">
        <f>VLOOKUP(N79,'Team Stats'!$B$3:$K$18,10,0)</f>
        <v>86.121951219512198</v>
      </c>
      <c r="T79" s="54">
        <f t="shared" si="2"/>
        <v>3.6219512195121952</v>
      </c>
      <c r="U79">
        <f t="shared" si="3"/>
        <v>77</v>
      </c>
    </row>
    <row r="80" spans="1:21" x14ac:dyDescent="0.25">
      <c r="A80" s="44" t="s">
        <v>403</v>
      </c>
      <c r="B80" s="44" t="s">
        <v>215</v>
      </c>
      <c r="C80" s="45">
        <v>80</v>
      </c>
      <c r="D80" s="45"/>
      <c r="E80" s="45">
        <v>12</v>
      </c>
      <c r="F80" s="45"/>
      <c r="G80" s="45">
        <v>41</v>
      </c>
      <c r="H80" s="45"/>
      <c r="I80" s="34">
        <v>53</v>
      </c>
      <c r="J80" t="e">
        <f>I80/(VLOOKUP(B80,'Team Stats'!$B$3:$K$18,5,0))</f>
        <v>#N/A</v>
      </c>
      <c r="M80" t="s">
        <v>591</v>
      </c>
      <c r="N80" t="s">
        <v>204</v>
      </c>
      <c r="O80">
        <v>27</v>
      </c>
      <c r="P80">
        <v>613</v>
      </c>
      <c r="Q80">
        <v>4.4045676998368678E-2</v>
      </c>
      <c r="R80" s="57">
        <f>VLOOKUP(N80,'Team Stats'!$B$3:$K$18,9,0)</f>
        <v>11</v>
      </c>
      <c r="S80" s="54">
        <f>VLOOKUP(N80,'Team Stats'!$B$3:$K$18,10,0)</f>
        <v>82.231707317073173</v>
      </c>
      <c r="T80" s="54">
        <f t="shared" si="2"/>
        <v>3.6219512195121952</v>
      </c>
      <c r="U80">
        <f t="shared" si="3"/>
        <v>77</v>
      </c>
    </row>
    <row r="81" spans="1:21" x14ac:dyDescent="0.25">
      <c r="A81" s="44" t="s">
        <v>404</v>
      </c>
      <c r="B81" s="44" t="s">
        <v>198</v>
      </c>
      <c r="C81" s="45">
        <v>81</v>
      </c>
      <c r="D81" s="45"/>
      <c r="E81" s="45">
        <v>9</v>
      </c>
      <c r="F81" s="45"/>
      <c r="G81" s="45">
        <v>43</v>
      </c>
      <c r="H81" s="45"/>
      <c r="I81" s="34">
        <v>52</v>
      </c>
      <c r="J81" t="e">
        <f>I81/(VLOOKUP(B81,'Team Stats'!$B$3:$K$18,5,0))</f>
        <v>#N/A</v>
      </c>
      <c r="M81" t="s">
        <v>420</v>
      </c>
      <c r="N81" t="s">
        <v>211</v>
      </c>
      <c r="O81">
        <v>48</v>
      </c>
      <c r="P81">
        <v>608</v>
      </c>
      <c r="Q81">
        <v>7.8947368421052627E-2</v>
      </c>
      <c r="R81" s="57">
        <f>VLOOKUP(N81,'Team Stats'!$B$3:$K$18,9,0)</f>
        <v>6</v>
      </c>
      <c r="S81" s="54">
        <f>VLOOKUP(N81,'Team Stats'!$B$3:$K$18,10,0)</f>
        <v>44.487804878048784</v>
      </c>
      <c r="T81" s="54">
        <f t="shared" si="2"/>
        <v>3.5121951219512195</v>
      </c>
      <c r="U81">
        <f t="shared" si="3"/>
        <v>79</v>
      </c>
    </row>
    <row r="82" spans="1:21" x14ac:dyDescent="0.25">
      <c r="A82" s="44" t="s">
        <v>405</v>
      </c>
      <c r="B82" s="44" t="s">
        <v>201</v>
      </c>
      <c r="C82" s="45">
        <v>82</v>
      </c>
      <c r="D82" s="45"/>
      <c r="E82" s="45">
        <v>23</v>
      </c>
      <c r="F82" s="45"/>
      <c r="G82" s="45">
        <v>29</v>
      </c>
      <c r="H82" s="45"/>
      <c r="I82" s="34">
        <v>52</v>
      </c>
      <c r="J82">
        <f>I82/(VLOOKUP(B82,'Team Stats'!$B$3:$K$18,5,0))</f>
        <v>8.6522462562396013E-2</v>
      </c>
      <c r="M82" t="s">
        <v>674</v>
      </c>
      <c r="N82" t="s">
        <v>202</v>
      </c>
      <c r="O82">
        <v>20</v>
      </c>
      <c r="P82">
        <v>659</v>
      </c>
      <c r="Q82">
        <v>3.0349013657056147E-2</v>
      </c>
      <c r="R82" s="57">
        <f>VLOOKUP(N82,'Team Stats'!$B$3:$K$18,9,0)</f>
        <v>14</v>
      </c>
      <c r="S82" s="54">
        <f>VLOOKUP(N82,'Team Stats'!$B$3:$K$18,10,0)</f>
        <v>112.51219512195122</v>
      </c>
      <c r="T82" s="54">
        <f t="shared" si="2"/>
        <v>3.4146341463414638</v>
      </c>
      <c r="U82">
        <f t="shared" si="3"/>
        <v>80</v>
      </c>
    </row>
    <row r="83" spans="1:21" x14ac:dyDescent="0.25">
      <c r="A83" s="44" t="s">
        <v>406</v>
      </c>
      <c r="B83" s="44" t="s">
        <v>202</v>
      </c>
      <c r="C83" s="45">
        <v>84</v>
      </c>
      <c r="D83" s="45"/>
      <c r="E83" s="45">
        <v>6</v>
      </c>
      <c r="F83" s="45"/>
      <c r="G83" s="45">
        <v>46</v>
      </c>
      <c r="H83" s="45"/>
      <c r="I83" s="34">
        <v>52</v>
      </c>
      <c r="J83">
        <f>I83/(VLOOKUP(B83,'Team Stats'!$B$3:$K$18,5,0))</f>
        <v>7.8907435508345974E-2</v>
      </c>
      <c r="M83" t="s">
        <v>690</v>
      </c>
      <c r="N83" t="s">
        <v>202</v>
      </c>
      <c r="O83">
        <v>20</v>
      </c>
      <c r="P83">
        <v>659</v>
      </c>
      <c r="Q83">
        <v>3.0349013657056147E-2</v>
      </c>
      <c r="R83" s="57">
        <f>VLOOKUP(N83,'Team Stats'!$B$3:$K$18,9,0)</f>
        <v>14</v>
      </c>
      <c r="S83" s="54">
        <f>VLOOKUP(N83,'Team Stats'!$B$3:$K$18,10,0)</f>
        <v>112.51219512195122</v>
      </c>
      <c r="T83" s="54">
        <f t="shared" si="2"/>
        <v>3.4146341463414638</v>
      </c>
      <c r="U83">
        <f t="shared" si="3"/>
        <v>80</v>
      </c>
    </row>
    <row r="84" spans="1:21" x14ac:dyDescent="0.25">
      <c r="A84" s="44" t="s">
        <v>407</v>
      </c>
      <c r="B84" s="44" t="s">
        <v>209</v>
      </c>
      <c r="C84" s="45">
        <v>70</v>
      </c>
      <c r="D84" s="45"/>
      <c r="E84" s="45">
        <v>24</v>
      </c>
      <c r="F84" s="45"/>
      <c r="G84" s="45">
        <v>28</v>
      </c>
      <c r="H84" s="45"/>
      <c r="I84" s="34">
        <v>52</v>
      </c>
      <c r="J84">
        <f>I84/(VLOOKUP(B84,'Team Stats'!$B$3:$K$18,5,0))</f>
        <v>8.7542087542087546E-2</v>
      </c>
      <c r="M84" t="s">
        <v>678</v>
      </c>
      <c r="N84" t="s">
        <v>202</v>
      </c>
      <c r="O84">
        <v>20</v>
      </c>
      <c r="P84">
        <v>659</v>
      </c>
      <c r="Q84">
        <v>3.0349013657056147E-2</v>
      </c>
      <c r="R84" s="57">
        <f>VLOOKUP(N84,'Team Stats'!$B$3:$K$18,9,0)</f>
        <v>14</v>
      </c>
      <c r="S84" s="54">
        <f>VLOOKUP(N84,'Team Stats'!$B$3:$K$18,10,0)</f>
        <v>112.51219512195122</v>
      </c>
      <c r="T84" s="54">
        <f t="shared" si="2"/>
        <v>3.4146341463414638</v>
      </c>
      <c r="U84">
        <f t="shared" si="3"/>
        <v>80</v>
      </c>
    </row>
    <row r="85" spans="1:21" x14ac:dyDescent="0.25">
      <c r="A85" s="44" t="s">
        <v>408</v>
      </c>
      <c r="B85" s="44" t="s">
        <v>211</v>
      </c>
      <c r="C85" s="45">
        <v>80</v>
      </c>
      <c r="D85" s="45"/>
      <c r="E85" s="45">
        <v>21</v>
      </c>
      <c r="F85" s="45"/>
      <c r="G85" s="45">
        <v>31</v>
      </c>
      <c r="H85" s="45"/>
      <c r="I85" s="34">
        <v>52</v>
      </c>
      <c r="J85">
        <f>I85/(VLOOKUP(B85,'Team Stats'!$B$3:$K$18,5,0))</f>
        <v>8.5526315789473686E-2</v>
      </c>
      <c r="M85" t="s">
        <v>616</v>
      </c>
      <c r="N85" t="s">
        <v>205</v>
      </c>
      <c r="O85">
        <v>25</v>
      </c>
      <c r="P85">
        <v>642</v>
      </c>
      <c r="Q85">
        <v>3.8940809968847349E-2</v>
      </c>
      <c r="R85" s="57">
        <f>VLOOKUP(N85,'Team Stats'!$B$3:$K$18,9,0)</f>
        <v>11</v>
      </c>
      <c r="S85" s="54">
        <f>VLOOKUP(N85,'Team Stats'!$B$3:$K$18,10,0)</f>
        <v>86.121951219512198</v>
      </c>
      <c r="T85" s="54">
        <f t="shared" si="2"/>
        <v>3.3536585365853657</v>
      </c>
      <c r="U85">
        <f t="shared" si="3"/>
        <v>83</v>
      </c>
    </row>
    <row r="86" spans="1:21" x14ac:dyDescent="0.25">
      <c r="A86" s="44" t="s">
        <v>409</v>
      </c>
      <c r="B86" s="44" t="s">
        <v>202</v>
      </c>
      <c r="C86" s="45">
        <v>74</v>
      </c>
      <c r="D86" s="45"/>
      <c r="E86" s="45">
        <v>21</v>
      </c>
      <c r="F86" s="45"/>
      <c r="G86" s="45">
        <v>31</v>
      </c>
      <c r="H86" s="45"/>
      <c r="I86" s="34">
        <v>52</v>
      </c>
      <c r="J86">
        <f>I86/(VLOOKUP(B86,'Team Stats'!$B$3:$K$18,5,0))</f>
        <v>7.8907435508345974E-2</v>
      </c>
      <c r="M86" t="s">
        <v>615</v>
      </c>
      <c r="N86" t="s">
        <v>205</v>
      </c>
      <c r="O86">
        <v>25</v>
      </c>
      <c r="P86">
        <v>642</v>
      </c>
      <c r="Q86">
        <v>3.8940809968847349E-2</v>
      </c>
      <c r="R86" s="57">
        <f>VLOOKUP(N86,'Team Stats'!$B$3:$K$18,9,0)</f>
        <v>11</v>
      </c>
      <c r="S86" s="54">
        <f>VLOOKUP(N86,'Team Stats'!$B$3:$K$18,10,0)</f>
        <v>86.121951219512198</v>
      </c>
      <c r="T86" s="54">
        <f t="shared" si="2"/>
        <v>3.3536585365853657</v>
      </c>
      <c r="U86">
        <f t="shared" si="3"/>
        <v>83</v>
      </c>
    </row>
    <row r="87" spans="1:21" x14ac:dyDescent="0.25">
      <c r="A87" s="44" t="s">
        <v>410</v>
      </c>
      <c r="B87" s="44" t="s">
        <v>195</v>
      </c>
      <c r="C87" s="45">
        <v>60</v>
      </c>
      <c r="D87" s="45"/>
      <c r="E87" s="45">
        <v>18</v>
      </c>
      <c r="F87" s="45"/>
      <c r="G87" s="45">
        <v>33</v>
      </c>
      <c r="H87" s="45"/>
      <c r="I87" s="34">
        <v>51</v>
      </c>
      <c r="J87">
        <f>I87/(VLOOKUP(B87,'Team Stats'!$B$3:$K$18,5,0))</f>
        <v>7.774390243902439E-2</v>
      </c>
      <c r="M87" t="s">
        <v>444</v>
      </c>
      <c r="N87" t="s">
        <v>208</v>
      </c>
      <c r="O87">
        <v>44</v>
      </c>
      <c r="P87">
        <v>630</v>
      </c>
      <c r="Q87">
        <v>6.9841269841269843E-2</v>
      </c>
      <c r="R87" s="57">
        <f>VLOOKUP(N87,'Team Stats'!$B$3:$K$18,9,0)</f>
        <v>6</v>
      </c>
      <c r="S87" s="54">
        <f>VLOOKUP(N87,'Team Stats'!$B$3:$K$18,10,0)</f>
        <v>46.097560975609753</v>
      </c>
      <c r="T87" s="54">
        <f t="shared" si="2"/>
        <v>3.219512195121951</v>
      </c>
      <c r="U87">
        <f t="shared" si="3"/>
        <v>85</v>
      </c>
    </row>
    <row r="88" spans="1:21" x14ac:dyDescent="0.25">
      <c r="A88" s="44" t="s">
        <v>411</v>
      </c>
      <c r="B88" s="44" t="s">
        <v>197</v>
      </c>
      <c r="C88" s="45">
        <v>64</v>
      </c>
      <c r="D88" s="45"/>
      <c r="E88" s="45">
        <v>25</v>
      </c>
      <c r="F88" s="45"/>
      <c r="G88" s="45">
        <v>26</v>
      </c>
      <c r="H88" s="45"/>
      <c r="I88" s="34">
        <v>51</v>
      </c>
      <c r="J88">
        <f>I88/(VLOOKUP(B88,'Team Stats'!$B$3:$K$18,5,0))</f>
        <v>8.5000000000000006E-2</v>
      </c>
      <c r="M88" t="s">
        <v>632</v>
      </c>
      <c r="N88" t="s">
        <v>205</v>
      </c>
      <c r="O88">
        <v>24</v>
      </c>
      <c r="P88">
        <v>642</v>
      </c>
      <c r="Q88">
        <v>3.7383177570093455E-2</v>
      </c>
      <c r="R88" s="57">
        <f>VLOOKUP(N88,'Team Stats'!$B$3:$K$18,9,0)</f>
        <v>11</v>
      </c>
      <c r="S88" s="54">
        <f>VLOOKUP(N88,'Team Stats'!$B$3:$K$18,10,0)</f>
        <v>86.121951219512198</v>
      </c>
      <c r="T88" s="54">
        <f t="shared" si="2"/>
        <v>3.219512195121951</v>
      </c>
      <c r="U88">
        <f t="shared" si="3"/>
        <v>85</v>
      </c>
    </row>
    <row r="89" spans="1:21" x14ac:dyDescent="0.25">
      <c r="A89" s="44" t="s">
        <v>412</v>
      </c>
      <c r="B89" s="44" t="s">
        <v>344</v>
      </c>
      <c r="C89" s="45">
        <v>81</v>
      </c>
      <c r="D89" s="45"/>
      <c r="E89" s="45">
        <v>10</v>
      </c>
      <c r="F89" s="45"/>
      <c r="G89" s="45">
        <v>40</v>
      </c>
      <c r="H89" s="45"/>
      <c r="I89" s="34">
        <v>50</v>
      </c>
      <c r="J89" t="e">
        <f>I89/(VLOOKUP(B89,'Team Stats'!$B$3:$K$18,5,0))</f>
        <v>#N/A</v>
      </c>
      <c r="M89" t="s">
        <v>446</v>
      </c>
      <c r="N89" t="s">
        <v>208</v>
      </c>
      <c r="O89">
        <v>44</v>
      </c>
      <c r="P89">
        <v>630</v>
      </c>
      <c r="Q89">
        <v>6.9841269841269843E-2</v>
      </c>
      <c r="R89" s="57">
        <f>VLOOKUP(N89,'Team Stats'!$B$3:$K$18,9,0)</f>
        <v>6</v>
      </c>
      <c r="S89" s="54">
        <f>VLOOKUP(N89,'Team Stats'!$B$3:$K$18,10,0)</f>
        <v>46.097560975609753</v>
      </c>
      <c r="T89" s="54">
        <f t="shared" si="2"/>
        <v>3.219512195121951</v>
      </c>
      <c r="U89">
        <f t="shared" si="3"/>
        <v>85</v>
      </c>
    </row>
    <row r="90" spans="1:21" x14ac:dyDescent="0.25">
      <c r="A90" s="44" t="s">
        <v>413</v>
      </c>
      <c r="B90" s="44" t="s">
        <v>195</v>
      </c>
      <c r="C90" s="45">
        <v>81</v>
      </c>
      <c r="D90" s="45"/>
      <c r="E90" s="45">
        <v>17</v>
      </c>
      <c r="F90" s="45"/>
      <c r="G90" s="45">
        <v>33</v>
      </c>
      <c r="H90" s="45"/>
      <c r="I90" s="34">
        <v>50</v>
      </c>
      <c r="J90">
        <f>I90/(VLOOKUP(B90,'Team Stats'!$B$3:$K$18,5,0))</f>
        <v>7.621951219512195E-2</v>
      </c>
      <c r="M90" t="s">
        <v>453</v>
      </c>
      <c r="N90" t="s">
        <v>195</v>
      </c>
      <c r="O90">
        <v>43</v>
      </c>
      <c r="P90">
        <v>656</v>
      </c>
      <c r="Q90">
        <v>6.5548780487804881E-2</v>
      </c>
      <c r="R90" s="57">
        <f>VLOOKUP(N90,'Team Stats'!$B$3:$K$18,9,0)</f>
        <v>6</v>
      </c>
      <c r="S90" s="54">
        <f>VLOOKUP(N90,'Team Stats'!$B$3:$K$18,10,0)</f>
        <v>48</v>
      </c>
      <c r="T90" s="54">
        <f t="shared" si="2"/>
        <v>3.1463414634146343</v>
      </c>
      <c r="U90">
        <f t="shared" si="3"/>
        <v>88</v>
      </c>
    </row>
    <row r="91" spans="1:21" x14ac:dyDescent="0.25">
      <c r="A91" s="44" t="s">
        <v>414</v>
      </c>
      <c r="B91" s="44" t="s">
        <v>198</v>
      </c>
      <c r="C91" s="45">
        <v>75</v>
      </c>
      <c r="D91" s="45"/>
      <c r="E91" s="45">
        <v>28</v>
      </c>
      <c r="F91" s="45"/>
      <c r="G91" s="45">
        <v>22</v>
      </c>
      <c r="H91" s="45"/>
      <c r="I91" s="34">
        <v>50</v>
      </c>
      <c r="J91" t="e">
        <f>I91/(VLOOKUP(B91,'Team Stats'!$B$3:$K$18,5,0))</f>
        <v>#N/A</v>
      </c>
      <c r="M91" t="s">
        <v>640</v>
      </c>
      <c r="N91" t="s">
        <v>204</v>
      </c>
      <c r="O91">
        <v>23</v>
      </c>
      <c r="P91">
        <v>613</v>
      </c>
      <c r="Q91">
        <v>3.7520391517128875E-2</v>
      </c>
      <c r="R91" s="57">
        <f>VLOOKUP(N91,'Team Stats'!$B$3:$K$18,9,0)</f>
        <v>11</v>
      </c>
      <c r="S91" s="54">
        <f>VLOOKUP(N91,'Team Stats'!$B$3:$K$18,10,0)</f>
        <v>82.231707317073173</v>
      </c>
      <c r="T91" s="54">
        <f t="shared" si="2"/>
        <v>3.0853658536585367</v>
      </c>
      <c r="U91">
        <f t="shared" si="3"/>
        <v>89</v>
      </c>
    </row>
    <row r="92" spans="1:21" x14ac:dyDescent="0.25">
      <c r="A92" s="44" t="s">
        <v>415</v>
      </c>
      <c r="B92" s="44" t="s">
        <v>212</v>
      </c>
      <c r="C92" s="45">
        <v>82</v>
      </c>
      <c r="D92" s="45"/>
      <c r="E92" s="45">
        <v>23</v>
      </c>
      <c r="F92" s="45"/>
      <c r="G92" s="45">
        <v>26</v>
      </c>
      <c r="H92" s="45"/>
      <c r="I92" s="34">
        <v>49</v>
      </c>
      <c r="J92" t="e">
        <f>I92/(VLOOKUP(B92,'Team Stats'!$B$3:$K$18,5,0))</f>
        <v>#N/A</v>
      </c>
      <c r="M92" t="s">
        <v>647</v>
      </c>
      <c r="N92" t="s">
        <v>204</v>
      </c>
      <c r="O92">
        <v>23</v>
      </c>
      <c r="P92">
        <v>613</v>
      </c>
      <c r="Q92">
        <v>3.7520391517128875E-2</v>
      </c>
      <c r="R92" s="57">
        <f>VLOOKUP(N92,'Team Stats'!$B$3:$K$18,9,0)</f>
        <v>11</v>
      </c>
      <c r="S92" s="54">
        <f>VLOOKUP(N92,'Team Stats'!$B$3:$K$18,10,0)</f>
        <v>82.231707317073173</v>
      </c>
      <c r="T92" s="54">
        <f t="shared" si="2"/>
        <v>3.0853658536585367</v>
      </c>
      <c r="U92">
        <f t="shared" si="3"/>
        <v>89</v>
      </c>
    </row>
    <row r="93" spans="1:21" x14ac:dyDescent="0.25">
      <c r="A93" s="44" t="s">
        <v>416</v>
      </c>
      <c r="B93" s="44" t="s">
        <v>202</v>
      </c>
      <c r="C93" s="45">
        <v>78</v>
      </c>
      <c r="D93" s="45"/>
      <c r="E93" s="45">
        <v>15</v>
      </c>
      <c r="F93" s="45"/>
      <c r="G93" s="45">
        <v>34</v>
      </c>
      <c r="H93" s="45"/>
      <c r="I93" s="34">
        <v>49</v>
      </c>
      <c r="J93">
        <f>I93/(VLOOKUP(B93,'Team Stats'!$B$3:$K$18,5,0))</f>
        <v>7.4355083459787558E-2</v>
      </c>
      <c r="M93" t="s">
        <v>643</v>
      </c>
      <c r="N93" t="s">
        <v>204</v>
      </c>
      <c r="O93">
        <v>23</v>
      </c>
      <c r="P93">
        <v>613</v>
      </c>
      <c r="Q93">
        <v>3.7520391517128875E-2</v>
      </c>
      <c r="R93" s="57">
        <f>VLOOKUP(N93,'Team Stats'!$B$3:$K$18,9,0)</f>
        <v>11</v>
      </c>
      <c r="S93" s="54">
        <f>VLOOKUP(N93,'Team Stats'!$B$3:$K$18,10,0)</f>
        <v>82.231707317073173</v>
      </c>
      <c r="T93" s="54">
        <f t="shared" si="2"/>
        <v>3.0853658536585367</v>
      </c>
      <c r="U93">
        <f t="shared" si="3"/>
        <v>89</v>
      </c>
    </row>
    <row r="94" spans="1:21" x14ac:dyDescent="0.25">
      <c r="A94" s="44" t="s">
        <v>417</v>
      </c>
      <c r="B94" s="44" t="s">
        <v>209</v>
      </c>
      <c r="C94" s="45">
        <v>82</v>
      </c>
      <c r="D94" s="45"/>
      <c r="E94" s="45">
        <v>15</v>
      </c>
      <c r="F94" s="45"/>
      <c r="G94" s="45">
        <v>34</v>
      </c>
      <c r="H94" s="45"/>
      <c r="I94" s="34">
        <v>49</v>
      </c>
      <c r="J94">
        <f>I94/(VLOOKUP(B94,'Team Stats'!$B$3:$K$18,5,0))</f>
        <v>8.2491582491582491E-2</v>
      </c>
      <c r="M94" t="s">
        <v>637</v>
      </c>
      <c r="N94" t="s">
        <v>205</v>
      </c>
      <c r="O94">
        <v>23</v>
      </c>
      <c r="P94">
        <v>642</v>
      </c>
      <c r="Q94">
        <v>3.5825545171339561E-2</v>
      </c>
      <c r="R94" s="57">
        <f>VLOOKUP(N94,'Team Stats'!$B$3:$K$18,9,0)</f>
        <v>11</v>
      </c>
      <c r="S94" s="54">
        <f>VLOOKUP(N94,'Team Stats'!$B$3:$K$18,10,0)</f>
        <v>86.121951219512198</v>
      </c>
      <c r="T94" s="54">
        <f t="shared" si="2"/>
        <v>3.0853658536585362</v>
      </c>
      <c r="U94">
        <f t="shared" si="3"/>
        <v>92</v>
      </c>
    </row>
    <row r="95" spans="1:21" x14ac:dyDescent="0.25">
      <c r="A95" s="44" t="s">
        <v>418</v>
      </c>
      <c r="B95" s="44" t="s">
        <v>217</v>
      </c>
      <c r="C95" s="45">
        <v>82</v>
      </c>
      <c r="D95" s="45"/>
      <c r="E95" s="45">
        <v>15</v>
      </c>
      <c r="F95" s="45"/>
      <c r="G95" s="45">
        <v>34</v>
      </c>
      <c r="H95" s="45"/>
      <c r="I95" s="34">
        <v>49</v>
      </c>
      <c r="J95" t="e">
        <f>I95/(VLOOKUP(B95,'Team Stats'!$B$3:$K$18,5,0))</f>
        <v>#N/A</v>
      </c>
      <c r="M95" t="s">
        <v>463</v>
      </c>
      <c r="N95" t="s">
        <v>195</v>
      </c>
      <c r="O95">
        <v>42</v>
      </c>
      <c r="P95">
        <v>656</v>
      </c>
      <c r="Q95">
        <v>6.402439024390244E-2</v>
      </c>
      <c r="R95" s="57">
        <f>VLOOKUP(N95,'Team Stats'!$B$3:$K$18,9,0)</f>
        <v>6</v>
      </c>
      <c r="S95" s="54">
        <f>VLOOKUP(N95,'Team Stats'!$B$3:$K$18,10,0)</f>
        <v>48</v>
      </c>
      <c r="T95" s="54">
        <f t="shared" si="2"/>
        <v>3.0731707317073171</v>
      </c>
      <c r="U95">
        <f t="shared" si="3"/>
        <v>93</v>
      </c>
    </row>
    <row r="96" spans="1:21" x14ac:dyDescent="0.25">
      <c r="A96" s="44" t="s">
        <v>419</v>
      </c>
      <c r="B96" s="44" t="s">
        <v>356</v>
      </c>
      <c r="C96" s="45">
        <v>76</v>
      </c>
      <c r="D96" s="45"/>
      <c r="E96" s="45">
        <v>23</v>
      </c>
      <c r="F96" s="45"/>
      <c r="G96" s="45">
        <v>26</v>
      </c>
      <c r="H96" s="45"/>
      <c r="I96" s="34">
        <v>49</v>
      </c>
      <c r="J96" t="e">
        <f>I96/(VLOOKUP(B96,'Team Stats'!$B$3:$K$18,5,0))</f>
        <v>#N/A</v>
      </c>
      <c r="M96" t="s">
        <v>514</v>
      </c>
      <c r="N96" t="s">
        <v>213</v>
      </c>
      <c r="O96">
        <v>36</v>
      </c>
      <c r="P96">
        <v>619</v>
      </c>
      <c r="Q96">
        <v>5.8158319870759291E-2</v>
      </c>
      <c r="R96" s="57">
        <f>VLOOKUP(N96,'Team Stats'!$B$3:$K$18,9,0)</f>
        <v>7</v>
      </c>
      <c r="S96" s="54">
        <f>VLOOKUP(N96,'Team Stats'!$B$3:$K$18,10,0)</f>
        <v>52.841463414634148</v>
      </c>
      <c r="T96" s="54">
        <f t="shared" si="2"/>
        <v>3.0731707317073171</v>
      </c>
      <c r="U96">
        <f t="shared" si="3"/>
        <v>93</v>
      </c>
    </row>
    <row r="97" spans="1:21" x14ac:dyDescent="0.25">
      <c r="A97" s="44" t="s">
        <v>420</v>
      </c>
      <c r="B97" s="44" t="s">
        <v>211</v>
      </c>
      <c r="C97" s="45">
        <v>80</v>
      </c>
      <c r="D97" s="45"/>
      <c r="E97" s="45">
        <v>14</v>
      </c>
      <c r="F97" s="45"/>
      <c r="G97" s="45">
        <v>34</v>
      </c>
      <c r="H97" s="45"/>
      <c r="I97" s="34">
        <v>48</v>
      </c>
      <c r="J97">
        <f>I97/(VLOOKUP(B97,'Team Stats'!$B$3:$K$18,5,0))</f>
        <v>7.8947368421052627E-2</v>
      </c>
      <c r="M97" t="s">
        <v>706</v>
      </c>
      <c r="N97" t="s">
        <v>202</v>
      </c>
      <c r="O97">
        <v>18</v>
      </c>
      <c r="P97">
        <v>659</v>
      </c>
      <c r="Q97">
        <v>2.7314112291350532E-2</v>
      </c>
      <c r="R97" s="57">
        <f>VLOOKUP(N97,'Team Stats'!$B$3:$K$18,9,0)</f>
        <v>14</v>
      </c>
      <c r="S97" s="54">
        <f>VLOOKUP(N97,'Team Stats'!$B$3:$K$18,10,0)</f>
        <v>112.51219512195122</v>
      </c>
      <c r="T97" s="54">
        <f t="shared" si="2"/>
        <v>3.0731707317073171</v>
      </c>
      <c r="U97">
        <f t="shared" si="3"/>
        <v>93</v>
      </c>
    </row>
    <row r="98" spans="1:21" x14ac:dyDescent="0.25">
      <c r="A98" s="44" t="s">
        <v>421</v>
      </c>
      <c r="B98" s="44" t="s">
        <v>213</v>
      </c>
      <c r="C98" s="45">
        <v>79</v>
      </c>
      <c r="D98" s="45"/>
      <c r="E98" s="45">
        <v>27</v>
      </c>
      <c r="F98" s="45"/>
      <c r="G98" s="45">
        <v>21</v>
      </c>
      <c r="H98" s="45"/>
      <c r="I98" s="34">
        <v>48</v>
      </c>
      <c r="J98">
        <f>I98/(VLOOKUP(B98,'Team Stats'!$B$3:$K$18,5,0))</f>
        <v>7.7544426494345717E-2</v>
      </c>
      <c r="M98" t="s">
        <v>365</v>
      </c>
      <c r="N98" t="s">
        <v>209</v>
      </c>
      <c r="O98">
        <v>62</v>
      </c>
      <c r="P98">
        <v>594</v>
      </c>
      <c r="Q98">
        <v>0.10437710437710437</v>
      </c>
      <c r="R98" s="57">
        <f>VLOOKUP(N98,'Team Stats'!$B$3:$K$18,9,0)</f>
        <v>4</v>
      </c>
      <c r="S98" s="54">
        <f>VLOOKUP(N98,'Team Stats'!$B$3:$K$18,10,0)</f>
        <v>28.975609756097562</v>
      </c>
      <c r="T98" s="54">
        <f t="shared" si="2"/>
        <v>3.024390243902439</v>
      </c>
      <c r="U98">
        <f t="shared" si="3"/>
        <v>96</v>
      </c>
    </row>
    <row r="99" spans="1:21" x14ac:dyDescent="0.25">
      <c r="A99" s="44" t="s">
        <v>422</v>
      </c>
      <c r="B99" s="44" t="s">
        <v>207</v>
      </c>
      <c r="C99" s="45">
        <v>61</v>
      </c>
      <c r="D99" s="45"/>
      <c r="E99" s="45">
        <v>11</v>
      </c>
      <c r="F99" s="45"/>
      <c r="G99" s="45">
        <v>37</v>
      </c>
      <c r="H99" s="45"/>
      <c r="I99" s="34">
        <v>48</v>
      </c>
      <c r="J99">
        <f>I99/(VLOOKUP(B99,'Team Stats'!$B$3:$K$18,5,0))</f>
        <v>7.2289156626506021E-2</v>
      </c>
      <c r="M99" t="s">
        <v>468</v>
      </c>
      <c r="N99" t="s">
        <v>195</v>
      </c>
      <c r="O99">
        <v>41</v>
      </c>
      <c r="P99">
        <v>656</v>
      </c>
      <c r="Q99">
        <v>6.25E-2</v>
      </c>
      <c r="R99" s="57">
        <f>VLOOKUP(N99,'Team Stats'!$B$3:$K$18,9,0)</f>
        <v>6</v>
      </c>
      <c r="S99" s="54">
        <f>VLOOKUP(N99,'Team Stats'!$B$3:$K$18,10,0)</f>
        <v>48</v>
      </c>
      <c r="T99" s="54">
        <f t="shared" si="2"/>
        <v>3</v>
      </c>
      <c r="U99">
        <f t="shared" si="3"/>
        <v>97</v>
      </c>
    </row>
    <row r="100" spans="1:21" x14ac:dyDescent="0.25">
      <c r="A100" s="44" t="s">
        <v>423</v>
      </c>
      <c r="B100" s="44" t="s">
        <v>335</v>
      </c>
      <c r="C100" s="45">
        <v>82</v>
      </c>
      <c r="D100" s="45"/>
      <c r="E100" s="45">
        <v>12</v>
      </c>
      <c r="F100" s="45"/>
      <c r="G100" s="45">
        <v>36</v>
      </c>
      <c r="H100" s="45"/>
      <c r="I100" s="34">
        <v>48</v>
      </c>
      <c r="J100" t="e">
        <f>I100/(VLOOKUP(B100,'Team Stats'!$B$3:$K$18,5,0))</f>
        <v>#N/A</v>
      </c>
      <c r="M100" t="s">
        <v>473</v>
      </c>
      <c r="N100" t="s">
        <v>197</v>
      </c>
      <c r="O100">
        <v>41</v>
      </c>
      <c r="P100">
        <v>600</v>
      </c>
      <c r="Q100">
        <v>6.8333333333333329E-2</v>
      </c>
      <c r="R100" s="57">
        <f>VLOOKUP(N100,'Team Stats'!$B$3:$K$18,9,0)</f>
        <v>6</v>
      </c>
      <c r="S100" s="54">
        <f>VLOOKUP(N100,'Team Stats'!$B$3:$K$18,10,0)</f>
        <v>43.902439024390247</v>
      </c>
      <c r="T100" s="54">
        <f t="shared" si="2"/>
        <v>3</v>
      </c>
      <c r="U100">
        <f t="shared" si="3"/>
        <v>97</v>
      </c>
    </row>
    <row r="101" spans="1:21" x14ac:dyDescent="0.25">
      <c r="A101" s="44" t="s">
        <v>424</v>
      </c>
      <c r="B101" s="44" t="s">
        <v>344</v>
      </c>
      <c r="C101" s="45">
        <v>82</v>
      </c>
      <c r="D101" s="45"/>
      <c r="E101" s="45">
        <v>14</v>
      </c>
      <c r="F101" s="45"/>
      <c r="G101" s="45">
        <v>34</v>
      </c>
      <c r="H101" s="45"/>
      <c r="I101" s="34">
        <v>48</v>
      </c>
      <c r="J101" t="e">
        <f>I101/(VLOOKUP(B101,'Team Stats'!$B$3:$K$18,5,0))</f>
        <v>#N/A</v>
      </c>
      <c r="M101" t="s">
        <v>471</v>
      </c>
      <c r="N101" t="s">
        <v>195</v>
      </c>
      <c r="O101">
        <v>41</v>
      </c>
      <c r="P101">
        <v>656</v>
      </c>
      <c r="Q101">
        <v>6.25E-2</v>
      </c>
      <c r="R101" s="57">
        <f>VLOOKUP(N101,'Team Stats'!$B$3:$K$18,9,0)</f>
        <v>6</v>
      </c>
      <c r="S101" s="54">
        <f>VLOOKUP(N101,'Team Stats'!$B$3:$K$18,10,0)</f>
        <v>48</v>
      </c>
      <c r="T101" s="54">
        <f t="shared" si="2"/>
        <v>3</v>
      </c>
      <c r="U101">
        <f t="shared" si="3"/>
        <v>97</v>
      </c>
    </row>
    <row r="102" spans="1:21" x14ac:dyDescent="0.25">
      <c r="A102" s="44" t="s">
        <v>425</v>
      </c>
      <c r="B102" s="44" t="s">
        <v>344</v>
      </c>
      <c r="C102" s="45">
        <v>82</v>
      </c>
      <c r="D102" s="45"/>
      <c r="E102" s="45">
        <v>24</v>
      </c>
      <c r="F102" s="45"/>
      <c r="G102" s="45">
        <v>23</v>
      </c>
      <c r="H102" s="45"/>
      <c r="I102" s="34">
        <v>47</v>
      </c>
      <c r="J102" t="e">
        <f>I102/(VLOOKUP(B102,'Team Stats'!$B$3:$K$18,5,0))</f>
        <v>#N/A</v>
      </c>
      <c r="M102" t="s">
        <v>372</v>
      </c>
      <c r="N102" t="s">
        <v>209</v>
      </c>
      <c r="O102">
        <v>61</v>
      </c>
      <c r="P102">
        <v>594</v>
      </c>
      <c r="Q102">
        <v>0.1026936026936027</v>
      </c>
      <c r="R102" s="57">
        <f>VLOOKUP(N102,'Team Stats'!$B$3:$K$18,9,0)</f>
        <v>4</v>
      </c>
      <c r="S102" s="54">
        <f>VLOOKUP(N102,'Team Stats'!$B$3:$K$18,10,0)</f>
        <v>28.975609756097562</v>
      </c>
      <c r="T102" s="54">
        <f t="shared" si="2"/>
        <v>2.9756097560975614</v>
      </c>
      <c r="U102">
        <f t="shared" si="3"/>
        <v>100</v>
      </c>
    </row>
    <row r="103" spans="1:21" x14ac:dyDescent="0.25">
      <c r="A103" s="44" t="s">
        <v>426</v>
      </c>
      <c r="B103" s="44" t="s">
        <v>198</v>
      </c>
      <c r="C103" s="45">
        <v>82</v>
      </c>
      <c r="D103" s="45"/>
      <c r="E103" s="45">
        <v>18</v>
      </c>
      <c r="F103" s="45"/>
      <c r="G103" s="45">
        <v>29</v>
      </c>
      <c r="H103" s="45"/>
      <c r="I103" s="34">
        <v>47</v>
      </c>
      <c r="J103" t="e">
        <f>I103/(VLOOKUP(B103,'Team Stats'!$B$3:$K$18,5,0))</f>
        <v>#N/A</v>
      </c>
      <c r="M103" t="s">
        <v>477</v>
      </c>
      <c r="N103" t="s">
        <v>197</v>
      </c>
      <c r="O103">
        <v>40</v>
      </c>
      <c r="P103">
        <v>600</v>
      </c>
      <c r="Q103">
        <v>6.6666666666666666E-2</v>
      </c>
      <c r="R103" s="57">
        <f>VLOOKUP(N103,'Team Stats'!$B$3:$K$18,9,0)</f>
        <v>6</v>
      </c>
      <c r="S103" s="54">
        <f>VLOOKUP(N103,'Team Stats'!$B$3:$K$18,10,0)</f>
        <v>43.902439024390247</v>
      </c>
      <c r="T103" s="54">
        <f t="shared" si="2"/>
        <v>2.9268292682926833</v>
      </c>
      <c r="U103">
        <f t="shared" si="3"/>
        <v>101</v>
      </c>
    </row>
    <row r="104" spans="1:21" x14ac:dyDescent="0.25">
      <c r="A104" s="44" t="s">
        <v>427</v>
      </c>
      <c r="B104" s="44" t="s">
        <v>204</v>
      </c>
      <c r="C104" s="45">
        <v>81</v>
      </c>
      <c r="D104" s="45"/>
      <c r="E104" s="45">
        <v>20</v>
      </c>
      <c r="F104" s="45"/>
      <c r="G104" s="45">
        <v>27</v>
      </c>
      <c r="H104" s="45"/>
      <c r="I104" s="34">
        <v>47</v>
      </c>
      <c r="J104">
        <f>I104/(VLOOKUP(B104,'Team Stats'!$B$3:$K$18,5,0))</f>
        <v>7.6672104404567704E-2</v>
      </c>
      <c r="M104" t="s">
        <v>528</v>
      </c>
      <c r="N104" t="s">
        <v>213</v>
      </c>
      <c r="O104">
        <v>34</v>
      </c>
      <c r="P104">
        <v>619</v>
      </c>
      <c r="Q104">
        <v>5.492730210016155E-2</v>
      </c>
      <c r="R104" s="57">
        <f>VLOOKUP(N104,'Team Stats'!$B$3:$K$18,9,0)</f>
        <v>7</v>
      </c>
      <c r="S104" s="54">
        <f>VLOOKUP(N104,'Team Stats'!$B$3:$K$18,10,0)</f>
        <v>52.841463414634148</v>
      </c>
      <c r="T104" s="54">
        <f t="shared" si="2"/>
        <v>2.9024390243902438</v>
      </c>
      <c r="U104">
        <f t="shared" si="3"/>
        <v>102</v>
      </c>
    </row>
    <row r="105" spans="1:21" x14ac:dyDescent="0.25">
      <c r="A105" s="44" t="s">
        <v>428</v>
      </c>
      <c r="B105" s="44" t="s">
        <v>218</v>
      </c>
      <c r="C105" s="45">
        <v>77</v>
      </c>
      <c r="D105" s="45"/>
      <c r="E105" s="45">
        <v>17</v>
      </c>
      <c r="F105" s="45"/>
      <c r="G105" s="45">
        <v>30</v>
      </c>
      <c r="H105" s="45"/>
      <c r="I105" s="34">
        <v>47</v>
      </c>
      <c r="J105" t="e">
        <f>I105/(VLOOKUP(B105,'Team Stats'!$B$3:$K$18,5,0))</f>
        <v>#N/A</v>
      </c>
      <c r="M105" t="s">
        <v>484</v>
      </c>
      <c r="N105" t="s">
        <v>211</v>
      </c>
      <c r="O105">
        <v>39</v>
      </c>
      <c r="P105">
        <v>608</v>
      </c>
      <c r="Q105">
        <v>6.4144736842105268E-2</v>
      </c>
      <c r="R105" s="57">
        <f>VLOOKUP(N105,'Team Stats'!$B$3:$K$18,9,0)</f>
        <v>6</v>
      </c>
      <c r="S105" s="54">
        <f>VLOOKUP(N105,'Team Stats'!$B$3:$K$18,10,0)</f>
        <v>44.487804878048784</v>
      </c>
      <c r="T105" s="54">
        <f t="shared" si="2"/>
        <v>2.8536585365853662</v>
      </c>
      <c r="U105">
        <f t="shared" si="3"/>
        <v>103</v>
      </c>
    </row>
    <row r="106" spans="1:21" x14ac:dyDescent="0.25">
      <c r="A106" s="44" t="s">
        <v>429</v>
      </c>
      <c r="B106" s="44" t="s">
        <v>216</v>
      </c>
      <c r="C106" s="45">
        <v>81</v>
      </c>
      <c r="D106" s="45"/>
      <c r="E106" s="45">
        <v>22</v>
      </c>
      <c r="F106" s="45"/>
      <c r="G106" s="45">
        <v>25</v>
      </c>
      <c r="H106" s="45"/>
      <c r="I106" s="34">
        <v>47</v>
      </c>
      <c r="J106" t="e">
        <f>I106/(VLOOKUP(B106,'Team Stats'!$B$3:$K$18,5,0))</f>
        <v>#N/A</v>
      </c>
      <c r="M106" t="s">
        <v>487</v>
      </c>
      <c r="N106" t="s">
        <v>208</v>
      </c>
      <c r="O106">
        <v>39</v>
      </c>
      <c r="P106">
        <v>630</v>
      </c>
      <c r="Q106">
        <v>6.1904761904761907E-2</v>
      </c>
      <c r="R106" s="57">
        <f>VLOOKUP(N106,'Team Stats'!$B$3:$K$18,9,0)</f>
        <v>6</v>
      </c>
      <c r="S106" s="54">
        <f>VLOOKUP(N106,'Team Stats'!$B$3:$K$18,10,0)</f>
        <v>46.097560975609753</v>
      </c>
      <c r="T106" s="54">
        <f t="shared" si="2"/>
        <v>2.8536585365853657</v>
      </c>
      <c r="U106">
        <f t="shared" si="3"/>
        <v>104</v>
      </c>
    </row>
    <row r="107" spans="1:21" x14ac:dyDescent="0.25">
      <c r="A107" s="44" t="s">
        <v>430</v>
      </c>
      <c r="B107" s="44" t="s">
        <v>356</v>
      </c>
      <c r="C107" s="45">
        <v>69</v>
      </c>
      <c r="D107" s="45"/>
      <c r="E107" s="45">
        <v>27</v>
      </c>
      <c r="F107" s="45"/>
      <c r="G107" s="45">
        <v>20</v>
      </c>
      <c r="H107" s="45"/>
      <c r="I107" s="34">
        <v>47</v>
      </c>
      <c r="J107" t="e">
        <f>I107/(VLOOKUP(B107,'Team Stats'!$B$3:$K$18,5,0))</f>
        <v>#N/A</v>
      </c>
      <c r="M107" t="s">
        <v>669</v>
      </c>
      <c r="N107" t="s">
        <v>205</v>
      </c>
      <c r="O107">
        <v>21</v>
      </c>
      <c r="P107">
        <v>642</v>
      </c>
      <c r="Q107">
        <v>3.2710280373831772E-2</v>
      </c>
      <c r="R107" s="57">
        <f>VLOOKUP(N107,'Team Stats'!$B$3:$K$18,9,0)</f>
        <v>11</v>
      </c>
      <c r="S107" s="54">
        <f>VLOOKUP(N107,'Team Stats'!$B$3:$K$18,10,0)</f>
        <v>86.121951219512198</v>
      </c>
      <c r="T107" s="54">
        <f t="shared" si="2"/>
        <v>2.8170731707317072</v>
      </c>
      <c r="U107">
        <f t="shared" si="3"/>
        <v>105</v>
      </c>
    </row>
    <row r="108" spans="1:21" x14ac:dyDescent="0.25">
      <c r="A108" s="44" t="s">
        <v>431</v>
      </c>
      <c r="B108" s="44" t="s">
        <v>324</v>
      </c>
      <c r="C108" s="45">
        <v>82</v>
      </c>
      <c r="D108" s="45"/>
      <c r="E108" s="45">
        <v>20</v>
      </c>
      <c r="F108" s="45"/>
      <c r="G108" s="45">
        <v>27</v>
      </c>
      <c r="H108" s="45"/>
      <c r="I108" s="34">
        <v>47</v>
      </c>
      <c r="J108" t="e">
        <f>I108/(VLOOKUP(B108,'Team Stats'!$B$3:$K$18,5,0))</f>
        <v>#N/A</v>
      </c>
      <c r="M108" t="s">
        <v>663</v>
      </c>
      <c r="N108" t="s">
        <v>205</v>
      </c>
      <c r="O108">
        <v>21</v>
      </c>
      <c r="P108">
        <v>642</v>
      </c>
      <c r="Q108">
        <v>3.2710280373831772E-2</v>
      </c>
      <c r="R108" s="57">
        <f>VLOOKUP(N108,'Team Stats'!$B$3:$K$18,9,0)</f>
        <v>11</v>
      </c>
      <c r="S108" s="54">
        <f>VLOOKUP(N108,'Team Stats'!$B$3:$K$18,10,0)</f>
        <v>86.121951219512198</v>
      </c>
      <c r="T108" s="54">
        <f t="shared" si="2"/>
        <v>2.8170731707317072</v>
      </c>
      <c r="U108">
        <f t="shared" si="3"/>
        <v>105</v>
      </c>
    </row>
    <row r="109" spans="1:21" x14ac:dyDescent="0.25">
      <c r="A109" s="44" t="s">
        <v>432</v>
      </c>
      <c r="B109" s="44" t="s">
        <v>199</v>
      </c>
      <c r="C109" s="45">
        <v>81</v>
      </c>
      <c r="D109" s="45"/>
      <c r="E109" s="45">
        <v>7</v>
      </c>
      <c r="F109" s="45"/>
      <c r="G109" s="45">
        <v>39</v>
      </c>
      <c r="H109" s="45"/>
      <c r="I109" s="34">
        <v>46</v>
      </c>
      <c r="J109">
        <f>I109/(VLOOKUP(B109,'Team Stats'!$B$3:$K$18,5,0))</f>
        <v>6.9696969696969702E-2</v>
      </c>
      <c r="M109" t="s">
        <v>495</v>
      </c>
      <c r="N109" t="s">
        <v>211</v>
      </c>
      <c r="O109">
        <v>38</v>
      </c>
      <c r="P109">
        <v>608</v>
      </c>
      <c r="Q109">
        <v>6.25E-2</v>
      </c>
      <c r="R109" s="57">
        <f>VLOOKUP(N109,'Team Stats'!$B$3:$K$18,9,0)</f>
        <v>6</v>
      </c>
      <c r="S109" s="54">
        <f>VLOOKUP(N109,'Team Stats'!$B$3:$K$18,10,0)</f>
        <v>44.487804878048784</v>
      </c>
      <c r="T109" s="54">
        <f t="shared" si="2"/>
        <v>2.780487804878049</v>
      </c>
      <c r="U109">
        <f t="shared" si="3"/>
        <v>107</v>
      </c>
    </row>
    <row r="110" spans="1:21" x14ac:dyDescent="0.25">
      <c r="A110" s="44" t="s">
        <v>433</v>
      </c>
      <c r="B110" s="44" t="s">
        <v>356</v>
      </c>
      <c r="C110" s="45">
        <v>82</v>
      </c>
      <c r="D110" s="45"/>
      <c r="E110" s="45">
        <v>7</v>
      </c>
      <c r="F110" s="45"/>
      <c r="G110" s="45">
        <v>39</v>
      </c>
      <c r="H110" s="45"/>
      <c r="I110" s="34">
        <v>46</v>
      </c>
      <c r="J110" t="e">
        <f>I110/(VLOOKUP(B110,'Team Stats'!$B$3:$K$18,5,0))</f>
        <v>#N/A</v>
      </c>
      <c r="M110" t="s">
        <v>702</v>
      </c>
      <c r="N110" t="s">
        <v>201</v>
      </c>
      <c r="O110">
        <v>19</v>
      </c>
      <c r="P110">
        <v>601</v>
      </c>
      <c r="Q110">
        <v>3.1613976705490848E-2</v>
      </c>
      <c r="R110" s="57">
        <f>VLOOKUP(N110,'Team Stats'!$B$3:$K$18,9,0)</f>
        <v>12</v>
      </c>
      <c r="S110" s="54">
        <f>VLOOKUP(N110,'Team Stats'!$B$3:$K$18,10,0)</f>
        <v>87.951219512195124</v>
      </c>
      <c r="T110" s="54">
        <f t="shared" si="2"/>
        <v>2.7804878048780486</v>
      </c>
      <c r="U110">
        <f t="shared" si="3"/>
        <v>108</v>
      </c>
    </row>
    <row r="111" spans="1:21" x14ac:dyDescent="0.25">
      <c r="A111" s="44" t="s">
        <v>434</v>
      </c>
      <c r="B111" s="44" t="s">
        <v>220</v>
      </c>
      <c r="C111" s="45">
        <v>78</v>
      </c>
      <c r="D111" s="45"/>
      <c r="E111" s="45">
        <v>20</v>
      </c>
      <c r="F111" s="45"/>
      <c r="G111" s="45">
        <v>26</v>
      </c>
      <c r="H111" s="45"/>
      <c r="I111" s="34">
        <v>46</v>
      </c>
      <c r="J111" t="e">
        <f>I111/(VLOOKUP(B111,'Team Stats'!$B$3:$K$18,5,0))</f>
        <v>#N/A</v>
      </c>
      <c r="M111" t="s">
        <v>500</v>
      </c>
      <c r="N111" t="s">
        <v>195</v>
      </c>
      <c r="O111">
        <v>37</v>
      </c>
      <c r="P111">
        <v>656</v>
      </c>
      <c r="Q111">
        <v>5.6402439024390245E-2</v>
      </c>
      <c r="R111" s="57">
        <f>VLOOKUP(N111,'Team Stats'!$B$3:$K$18,9,0)</f>
        <v>6</v>
      </c>
      <c r="S111" s="54">
        <f>VLOOKUP(N111,'Team Stats'!$B$3:$K$18,10,0)</f>
        <v>48</v>
      </c>
      <c r="T111" s="54">
        <f t="shared" si="2"/>
        <v>2.7073170731707319</v>
      </c>
      <c r="U111">
        <f t="shared" si="3"/>
        <v>109</v>
      </c>
    </row>
    <row r="112" spans="1:21" x14ac:dyDescent="0.25">
      <c r="A112" s="44" t="s">
        <v>435</v>
      </c>
      <c r="B112" s="44" t="s">
        <v>213</v>
      </c>
      <c r="C112" s="45">
        <v>80</v>
      </c>
      <c r="D112" s="45"/>
      <c r="E112" s="45">
        <v>20</v>
      </c>
      <c r="F112" s="45"/>
      <c r="G112" s="45">
        <v>26</v>
      </c>
      <c r="H112" s="45"/>
      <c r="I112" s="34">
        <v>46</v>
      </c>
      <c r="J112">
        <f>I112/(VLOOKUP(B112,'Team Stats'!$B$3:$K$18,5,0))</f>
        <v>7.4313408723747976E-2</v>
      </c>
      <c r="M112" t="s">
        <v>504</v>
      </c>
      <c r="N112" t="s">
        <v>211</v>
      </c>
      <c r="O112">
        <v>37</v>
      </c>
      <c r="P112">
        <v>608</v>
      </c>
      <c r="Q112">
        <v>6.0855263157894739E-2</v>
      </c>
      <c r="R112" s="57">
        <f>VLOOKUP(N112,'Team Stats'!$B$3:$K$18,9,0)</f>
        <v>6</v>
      </c>
      <c r="S112" s="54">
        <f>VLOOKUP(N112,'Team Stats'!$B$3:$K$18,10,0)</f>
        <v>44.487804878048784</v>
      </c>
      <c r="T112" s="54">
        <f t="shared" si="2"/>
        <v>2.7073170731707319</v>
      </c>
      <c r="U112">
        <f t="shared" si="3"/>
        <v>109</v>
      </c>
    </row>
    <row r="113" spans="1:21" x14ac:dyDescent="0.25">
      <c r="A113" s="44" t="s">
        <v>436</v>
      </c>
      <c r="B113" s="44" t="s">
        <v>344</v>
      </c>
      <c r="C113" s="45">
        <v>80</v>
      </c>
      <c r="D113" s="45"/>
      <c r="E113" s="45">
        <v>20</v>
      </c>
      <c r="F113" s="45"/>
      <c r="G113" s="45">
        <v>26</v>
      </c>
      <c r="H113" s="45"/>
      <c r="I113" s="34">
        <v>46</v>
      </c>
      <c r="J113" t="e">
        <f>I113/(VLOOKUP(B113,'Team Stats'!$B$3:$K$18,5,0))</f>
        <v>#N/A</v>
      </c>
      <c r="M113" t="s">
        <v>681</v>
      </c>
      <c r="N113" t="s">
        <v>205</v>
      </c>
      <c r="O113">
        <v>20</v>
      </c>
      <c r="P113">
        <v>642</v>
      </c>
      <c r="Q113">
        <v>3.1152647975077882E-2</v>
      </c>
      <c r="R113" s="57">
        <f>VLOOKUP(N113,'Team Stats'!$B$3:$K$18,9,0)</f>
        <v>11</v>
      </c>
      <c r="S113" s="54">
        <f>VLOOKUP(N113,'Team Stats'!$B$3:$K$18,10,0)</f>
        <v>86.121951219512198</v>
      </c>
      <c r="T113" s="54">
        <f t="shared" si="2"/>
        <v>2.6829268292682928</v>
      </c>
      <c r="U113">
        <f t="shared" si="3"/>
        <v>111</v>
      </c>
    </row>
    <row r="114" spans="1:21" x14ac:dyDescent="0.25">
      <c r="A114" s="44" t="s">
        <v>437</v>
      </c>
      <c r="B114" s="44" t="s">
        <v>202</v>
      </c>
      <c r="C114" s="45">
        <v>80</v>
      </c>
      <c r="D114" s="45"/>
      <c r="E114" s="45">
        <v>21</v>
      </c>
      <c r="F114" s="45"/>
      <c r="G114" s="45">
        <v>25</v>
      </c>
      <c r="H114" s="45"/>
      <c r="I114" s="34">
        <v>46</v>
      </c>
      <c r="J114">
        <f>I114/(VLOOKUP(B114,'Team Stats'!$B$3:$K$18,5,0))</f>
        <v>6.9802731411229141E-2</v>
      </c>
      <c r="M114" t="s">
        <v>511</v>
      </c>
      <c r="N114" t="s">
        <v>211</v>
      </c>
      <c r="O114">
        <v>36</v>
      </c>
      <c r="P114">
        <v>608</v>
      </c>
      <c r="Q114">
        <v>5.921052631578947E-2</v>
      </c>
      <c r="R114" s="57">
        <f>VLOOKUP(N114,'Team Stats'!$B$3:$K$18,9,0)</f>
        <v>6</v>
      </c>
      <c r="S114" s="54">
        <f>VLOOKUP(N114,'Team Stats'!$B$3:$K$18,10,0)</f>
        <v>44.487804878048784</v>
      </c>
      <c r="T114" s="54">
        <f t="shared" si="2"/>
        <v>2.6341463414634148</v>
      </c>
      <c r="U114">
        <f t="shared" si="3"/>
        <v>112</v>
      </c>
    </row>
    <row r="115" spans="1:21" x14ac:dyDescent="0.25">
      <c r="A115" s="44" t="s">
        <v>438</v>
      </c>
      <c r="B115" s="44" t="s">
        <v>199</v>
      </c>
      <c r="C115" s="45">
        <v>74</v>
      </c>
      <c r="D115" s="45"/>
      <c r="E115" s="45">
        <v>16</v>
      </c>
      <c r="F115" s="45"/>
      <c r="G115" s="45">
        <v>30</v>
      </c>
      <c r="H115" s="45"/>
      <c r="I115" s="34">
        <v>46</v>
      </c>
      <c r="J115">
        <f>I115/(VLOOKUP(B115,'Team Stats'!$B$3:$K$18,5,0))</f>
        <v>6.9696969696969702E-2</v>
      </c>
      <c r="M115" t="s">
        <v>719</v>
      </c>
      <c r="N115" t="s">
        <v>199</v>
      </c>
      <c r="O115">
        <v>18</v>
      </c>
      <c r="P115">
        <v>660</v>
      </c>
      <c r="Q115">
        <v>2.7272727272727271E-2</v>
      </c>
      <c r="R115" s="57">
        <f>VLOOKUP(N115,'Team Stats'!$B$3:$K$18,9,0)</f>
        <v>12</v>
      </c>
      <c r="S115" s="54">
        <f>VLOOKUP(N115,'Team Stats'!$B$3:$K$18,10,0)</f>
        <v>96.585365853658544</v>
      </c>
      <c r="T115" s="54">
        <f t="shared" si="2"/>
        <v>2.6341463414634148</v>
      </c>
      <c r="U115">
        <f t="shared" si="3"/>
        <v>112</v>
      </c>
    </row>
    <row r="116" spans="1:21" x14ac:dyDescent="0.25">
      <c r="A116" s="44" t="s">
        <v>439</v>
      </c>
      <c r="B116" s="44" t="s">
        <v>202</v>
      </c>
      <c r="C116" s="45">
        <v>79</v>
      </c>
      <c r="D116" s="45"/>
      <c r="E116" s="45">
        <v>17</v>
      </c>
      <c r="F116" s="45"/>
      <c r="G116" s="45">
        <v>28</v>
      </c>
      <c r="H116" s="45"/>
      <c r="I116" s="34">
        <v>45</v>
      </c>
      <c r="J116">
        <f>I116/(VLOOKUP(B116,'Team Stats'!$B$3:$K$18,5,0))</f>
        <v>6.8285280728376321E-2</v>
      </c>
      <c r="M116" t="s">
        <v>509</v>
      </c>
      <c r="N116" t="s">
        <v>208</v>
      </c>
      <c r="O116">
        <v>36</v>
      </c>
      <c r="P116">
        <v>630</v>
      </c>
      <c r="Q116">
        <v>5.7142857142857141E-2</v>
      </c>
      <c r="R116" s="57">
        <f>VLOOKUP(N116,'Team Stats'!$B$3:$K$18,9,0)</f>
        <v>6</v>
      </c>
      <c r="S116" s="54">
        <f>VLOOKUP(N116,'Team Stats'!$B$3:$K$18,10,0)</f>
        <v>46.097560975609753</v>
      </c>
      <c r="T116" s="54">
        <f t="shared" si="2"/>
        <v>2.6341463414634143</v>
      </c>
      <c r="U116">
        <f t="shared" si="3"/>
        <v>114</v>
      </c>
    </row>
    <row r="117" spans="1:21" x14ac:dyDescent="0.25">
      <c r="A117" s="44" t="s">
        <v>440</v>
      </c>
      <c r="B117" s="44" t="s">
        <v>324</v>
      </c>
      <c r="C117" s="45">
        <v>72</v>
      </c>
      <c r="D117" s="45"/>
      <c r="E117" s="45">
        <v>10</v>
      </c>
      <c r="F117" s="45"/>
      <c r="G117" s="45">
        <v>35</v>
      </c>
      <c r="H117" s="45"/>
      <c r="I117" s="34">
        <v>45</v>
      </c>
      <c r="J117" t="e">
        <f>I117/(VLOOKUP(B117,'Team Stats'!$B$3:$K$18,5,0))</f>
        <v>#N/A</v>
      </c>
      <c r="M117" t="s">
        <v>520</v>
      </c>
      <c r="N117" t="s">
        <v>211</v>
      </c>
      <c r="O117">
        <v>35</v>
      </c>
      <c r="P117">
        <v>608</v>
      </c>
      <c r="Q117">
        <v>5.7565789473684209E-2</v>
      </c>
      <c r="R117" s="57">
        <f>VLOOKUP(N117,'Team Stats'!$B$3:$K$18,9,0)</f>
        <v>6</v>
      </c>
      <c r="S117" s="54">
        <f>VLOOKUP(N117,'Team Stats'!$B$3:$K$18,10,0)</f>
        <v>44.487804878048784</v>
      </c>
      <c r="T117" s="54">
        <f t="shared" si="2"/>
        <v>2.5609756097560976</v>
      </c>
      <c r="U117">
        <f t="shared" si="3"/>
        <v>115</v>
      </c>
    </row>
    <row r="118" spans="1:21" x14ac:dyDescent="0.25">
      <c r="A118" s="44" t="s">
        <v>441</v>
      </c>
      <c r="B118" s="44" t="s">
        <v>201</v>
      </c>
      <c r="C118" s="45">
        <v>80</v>
      </c>
      <c r="D118" s="45"/>
      <c r="E118" s="45">
        <v>10</v>
      </c>
      <c r="F118" s="45"/>
      <c r="G118" s="45">
        <v>35</v>
      </c>
      <c r="H118" s="45"/>
      <c r="I118" s="34">
        <v>45</v>
      </c>
      <c r="J118">
        <f>I118/(VLOOKUP(B118,'Team Stats'!$B$3:$K$18,5,0))</f>
        <v>7.4875207986688855E-2</v>
      </c>
      <c r="M118" t="s">
        <v>519</v>
      </c>
      <c r="N118" t="s">
        <v>195</v>
      </c>
      <c r="O118">
        <v>35</v>
      </c>
      <c r="P118">
        <v>656</v>
      </c>
      <c r="Q118">
        <v>5.3353658536585365E-2</v>
      </c>
      <c r="R118" s="57">
        <f>VLOOKUP(N118,'Team Stats'!$B$3:$K$18,9,0)</f>
        <v>6</v>
      </c>
      <c r="S118" s="54">
        <f>VLOOKUP(N118,'Team Stats'!$B$3:$K$18,10,0)</f>
        <v>48</v>
      </c>
      <c r="T118" s="54">
        <f t="shared" si="2"/>
        <v>2.5609756097560976</v>
      </c>
      <c r="U118">
        <f t="shared" si="3"/>
        <v>115</v>
      </c>
    </row>
    <row r="119" spans="1:21" x14ac:dyDescent="0.25">
      <c r="A119" s="44" t="s">
        <v>442</v>
      </c>
      <c r="B119" s="44" t="s">
        <v>364</v>
      </c>
      <c r="C119" s="45">
        <v>78</v>
      </c>
      <c r="D119" s="45"/>
      <c r="E119" s="45">
        <v>15</v>
      </c>
      <c r="F119" s="45"/>
      <c r="G119" s="45">
        <v>30</v>
      </c>
      <c r="H119" s="45"/>
      <c r="I119" s="34">
        <v>45</v>
      </c>
      <c r="J119" t="e">
        <f>I119/(VLOOKUP(B119,'Team Stats'!$B$3:$K$18,5,0))</f>
        <v>#N/A</v>
      </c>
      <c r="M119" t="s">
        <v>407</v>
      </c>
      <c r="N119" t="s">
        <v>209</v>
      </c>
      <c r="O119">
        <v>52</v>
      </c>
      <c r="P119">
        <v>594</v>
      </c>
      <c r="Q119">
        <v>8.7542087542087546E-2</v>
      </c>
      <c r="R119" s="57">
        <f>VLOOKUP(N119,'Team Stats'!$B$3:$K$18,9,0)</f>
        <v>4</v>
      </c>
      <c r="S119" s="54">
        <f>VLOOKUP(N119,'Team Stats'!$B$3:$K$18,10,0)</f>
        <v>28.975609756097562</v>
      </c>
      <c r="T119" s="54">
        <f t="shared" si="2"/>
        <v>2.5365853658536586</v>
      </c>
      <c r="U119">
        <f t="shared" si="3"/>
        <v>117</v>
      </c>
    </row>
    <row r="120" spans="1:21" x14ac:dyDescent="0.25">
      <c r="A120" s="44" t="s">
        <v>443</v>
      </c>
      <c r="B120" s="44" t="s">
        <v>209</v>
      </c>
      <c r="C120" s="45">
        <v>69</v>
      </c>
      <c r="D120" s="45"/>
      <c r="E120" s="45">
        <v>18</v>
      </c>
      <c r="F120" s="45"/>
      <c r="G120" s="45">
        <v>27</v>
      </c>
      <c r="H120" s="45"/>
      <c r="I120" s="34">
        <v>45</v>
      </c>
      <c r="J120">
        <f>I120/(VLOOKUP(B120,'Team Stats'!$B$3:$K$18,5,0))</f>
        <v>7.575757575757576E-2</v>
      </c>
      <c r="M120" t="s">
        <v>532</v>
      </c>
      <c r="N120" t="s">
        <v>197</v>
      </c>
      <c r="O120">
        <v>34</v>
      </c>
      <c r="P120">
        <v>600</v>
      </c>
      <c r="Q120">
        <v>5.6666666666666664E-2</v>
      </c>
      <c r="R120" s="57">
        <f>VLOOKUP(N120,'Team Stats'!$B$3:$K$18,9,0)</f>
        <v>6</v>
      </c>
      <c r="S120" s="54">
        <f>VLOOKUP(N120,'Team Stats'!$B$3:$K$18,10,0)</f>
        <v>43.902439024390247</v>
      </c>
      <c r="T120" s="54">
        <f t="shared" si="2"/>
        <v>2.4878048780487805</v>
      </c>
      <c r="U120">
        <f t="shared" si="3"/>
        <v>118</v>
      </c>
    </row>
    <row r="121" spans="1:21" x14ac:dyDescent="0.25">
      <c r="A121" s="44" t="s">
        <v>444</v>
      </c>
      <c r="B121" s="44" t="s">
        <v>208</v>
      </c>
      <c r="C121" s="45">
        <v>71</v>
      </c>
      <c r="D121" s="45"/>
      <c r="E121" s="45">
        <v>23</v>
      </c>
      <c r="F121" s="45"/>
      <c r="G121" s="45">
        <v>21</v>
      </c>
      <c r="H121" s="45"/>
      <c r="I121" s="34">
        <v>44</v>
      </c>
      <c r="J121">
        <f>I121/(VLOOKUP(B121,'Team Stats'!$B$3:$K$18,5,0))</f>
        <v>6.9841269841269843E-2</v>
      </c>
      <c r="M121" t="s">
        <v>525</v>
      </c>
      <c r="N121" t="s">
        <v>208</v>
      </c>
      <c r="O121">
        <v>34</v>
      </c>
      <c r="P121">
        <v>630</v>
      </c>
      <c r="Q121">
        <v>5.3968253968253971E-2</v>
      </c>
      <c r="R121" s="57">
        <f>VLOOKUP(N121,'Team Stats'!$B$3:$K$18,9,0)</f>
        <v>6</v>
      </c>
      <c r="S121" s="54">
        <f>VLOOKUP(N121,'Team Stats'!$B$3:$K$18,10,0)</f>
        <v>46.097560975609753</v>
      </c>
      <c r="T121" s="54">
        <f t="shared" si="2"/>
        <v>2.4878048780487805</v>
      </c>
      <c r="U121">
        <f t="shared" si="3"/>
        <v>118</v>
      </c>
    </row>
    <row r="122" spans="1:21" x14ac:dyDescent="0.25">
      <c r="A122" s="44" t="s">
        <v>445</v>
      </c>
      <c r="B122" s="44" t="s">
        <v>199</v>
      </c>
      <c r="C122" s="45">
        <v>75</v>
      </c>
      <c r="D122" s="45"/>
      <c r="E122" s="45">
        <v>14</v>
      </c>
      <c r="F122" s="45"/>
      <c r="G122" s="45">
        <v>30</v>
      </c>
      <c r="H122" s="45"/>
      <c r="I122" s="34">
        <v>44</v>
      </c>
      <c r="J122">
        <f>I122/(VLOOKUP(B122,'Team Stats'!$B$3:$K$18,5,0))</f>
        <v>6.6666666666666666E-2</v>
      </c>
      <c r="M122" t="s">
        <v>730</v>
      </c>
      <c r="N122" t="s">
        <v>201</v>
      </c>
      <c r="O122">
        <v>17</v>
      </c>
      <c r="P122">
        <v>601</v>
      </c>
      <c r="Q122">
        <v>2.8286189683860232E-2</v>
      </c>
      <c r="R122" s="57">
        <f>VLOOKUP(N122,'Team Stats'!$B$3:$K$18,9,0)</f>
        <v>12</v>
      </c>
      <c r="S122" s="54">
        <f>VLOOKUP(N122,'Team Stats'!$B$3:$K$18,10,0)</f>
        <v>87.951219512195124</v>
      </c>
      <c r="T122" s="54">
        <f t="shared" si="2"/>
        <v>2.4878048780487805</v>
      </c>
      <c r="U122">
        <f t="shared" si="3"/>
        <v>118</v>
      </c>
    </row>
    <row r="123" spans="1:21" x14ac:dyDescent="0.25">
      <c r="A123" s="44" t="s">
        <v>446</v>
      </c>
      <c r="B123" s="44" t="s">
        <v>208</v>
      </c>
      <c r="C123" s="45">
        <v>80</v>
      </c>
      <c r="D123" s="45"/>
      <c r="E123" s="45">
        <v>9</v>
      </c>
      <c r="F123" s="45"/>
      <c r="G123" s="45">
        <v>35</v>
      </c>
      <c r="H123" s="45"/>
      <c r="I123" s="34">
        <v>44</v>
      </c>
      <c r="J123">
        <f>I123/(VLOOKUP(B123,'Team Stats'!$B$3:$K$18,5,0))</f>
        <v>6.9841269841269843E-2</v>
      </c>
      <c r="M123" t="s">
        <v>538</v>
      </c>
      <c r="N123" t="s">
        <v>197</v>
      </c>
      <c r="O123">
        <v>33</v>
      </c>
      <c r="P123">
        <v>600</v>
      </c>
      <c r="Q123">
        <v>5.5E-2</v>
      </c>
      <c r="R123" s="57">
        <f>VLOOKUP(N123,'Team Stats'!$B$3:$K$18,9,0)</f>
        <v>6</v>
      </c>
      <c r="S123" s="54">
        <f>VLOOKUP(N123,'Team Stats'!$B$3:$K$18,10,0)</f>
        <v>43.902439024390247</v>
      </c>
      <c r="T123" s="54">
        <f t="shared" si="2"/>
        <v>2.4146341463414638</v>
      </c>
      <c r="U123">
        <f t="shared" si="3"/>
        <v>121</v>
      </c>
    </row>
    <row r="124" spans="1:21" x14ac:dyDescent="0.25">
      <c r="A124" s="44" t="s">
        <v>447</v>
      </c>
      <c r="B124" s="44" t="s">
        <v>364</v>
      </c>
      <c r="C124" s="45">
        <v>82</v>
      </c>
      <c r="D124" s="45"/>
      <c r="E124" s="45">
        <v>23</v>
      </c>
      <c r="F124" s="45"/>
      <c r="G124" s="45">
        <v>21</v>
      </c>
      <c r="H124" s="45"/>
      <c r="I124" s="34">
        <v>44</v>
      </c>
      <c r="J124" t="e">
        <f>I124/(VLOOKUP(B124,'Team Stats'!$B$3:$K$18,5,0))</f>
        <v>#N/A</v>
      </c>
      <c r="M124" t="s">
        <v>709</v>
      </c>
      <c r="N124" t="s">
        <v>204</v>
      </c>
      <c r="O124">
        <v>18</v>
      </c>
      <c r="P124">
        <v>613</v>
      </c>
      <c r="Q124">
        <v>2.936378466557912E-2</v>
      </c>
      <c r="R124" s="57">
        <f>VLOOKUP(N124,'Team Stats'!$B$3:$K$18,9,0)</f>
        <v>11</v>
      </c>
      <c r="S124" s="54">
        <f>VLOOKUP(N124,'Team Stats'!$B$3:$K$18,10,0)</f>
        <v>82.231707317073173</v>
      </c>
      <c r="T124" s="54">
        <f t="shared" si="2"/>
        <v>2.4146341463414638</v>
      </c>
      <c r="U124">
        <f t="shared" si="3"/>
        <v>121</v>
      </c>
    </row>
    <row r="125" spans="1:21" x14ac:dyDescent="0.25">
      <c r="A125" s="44" t="s">
        <v>448</v>
      </c>
      <c r="B125" s="44" t="s">
        <v>199</v>
      </c>
      <c r="C125" s="45">
        <v>56</v>
      </c>
      <c r="D125" s="45"/>
      <c r="E125" s="45">
        <v>8</v>
      </c>
      <c r="F125" s="45"/>
      <c r="G125" s="45">
        <v>36</v>
      </c>
      <c r="H125" s="45"/>
      <c r="I125" s="34">
        <v>44</v>
      </c>
      <c r="J125">
        <f>I125/(VLOOKUP(B125,'Team Stats'!$B$3:$K$18,5,0))</f>
        <v>6.6666666666666666E-2</v>
      </c>
      <c r="M125" t="s">
        <v>539</v>
      </c>
      <c r="N125" t="s">
        <v>195</v>
      </c>
      <c r="O125">
        <v>33</v>
      </c>
      <c r="P125">
        <v>656</v>
      </c>
      <c r="Q125">
        <v>5.0304878048780491E-2</v>
      </c>
      <c r="R125" s="57">
        <f>VLOOKUP(N125,'Team Stats'!$B$3:$K$18,9,0)</f>
        <v>6</v>
      </c>
      <c r="S125" s="54">
        <f>VLOOKUP(N125,'Team Stats'!$B$3:$K$18,10,0)</f>
        <v>48</v>
      </c>
      <c r="T125" s="54">
        <f t="shared" si="2"/>
        <v>2.4146341463414638</v>
      </c>
      <c r="U125">
        <f t="shared" si="3"/>
        <v>121</v>
      </c>
    </row>
    <row r="126" spans="1:21" x14ac:dyDescent="0.25">
      <c r="A126" s="44" t="s">
        <v>449</v>
      </c>
      <c r="B126" s="44" t="s">
        <v>216</v>
      </c>
      <c r="C126" s="45">
        <v>81</v>
      </c>
      <c r="D126" s="45"/>
      <c r="E126" s="45">
        <v>18</v>
      </c>
      <c r="F126" s="45"/>
      <c r="G126" s="45">
        <v>26</v>
      </c>
      <c r="H126" s="45"/>
      <c r="I126" s="34">
        <v>44</v>
      </c>
      <c r="J126" t="e">
        <f>I126/(VLOOKUP(B126,'Team Stats'!$B$3:$K$18,5,0))</f>
        <v>#N/A</v>
      </c>
      <c r="M126" t="s">
        <v>537</v>
      </c>
      <c r="N126" t="s">
        <v>208</v>
      </c>
      <c r="O126">
        <v>33</v>
      </c>
      <c r="P126">
        <v>630</v>
      </c>
      <c r="Q126">
        <v>5.2380952380952382E-2</v>
      </c>
      <c r="R126" s="57">
        <f>VLOOKUP(N126,'Team Stats'!$B$3:$K$18,9,0)</f>
        <v>6</v>
      </c>
      <c r="S126" s="54">
        <f>VLOOKUP(N126,'Team Stats'!$B$3:$K$18,10,0)</f>
        <v>46.097560975609753</v>
      </c>
      <c r="T126" s="54">
        <f t="shared" si="2"/>
        <v>2.4146341463414633</v>
      </c>
      <c r="U126">
        <f t="shared" si="3"/>
        <v>124</v>
      </c>
    </row>
    <row r="127" spans="1:21" x14ac:dyDescent="0.25">
      <c r="A127" s="44" t="s">
        <v>450</v>
      </c>
      <c r="B127" s="44" t="s">
        <v>218</v>
      </c>
      <c r="C127" s="45">
        <v>81</v>
      </c>
      <c r="D127" s="45"/>
      <c r="E127" s="45">
        <v>8</v>
      </c>
      <c r="F127" s="45"/>
      <c r="G127" s="45">
        <v>36</v>
      </c>
      <c r="H127" s="45"/>
      <c r="I127" s="34">
        <v>44</v>
      </c>
      <c r="J127" t="e">
        <f>I127/(VLOOKUP(B127,'Team Stats'!$B$3:$K$18,5,0))</f>
        <v>#N/A</v>
      </c>
      <c r="M127" t="s">
        <v>775</v>
      </c>
      <c r="N127" t="s">
        <v>202</v>
      </c>
      <c r="O127">
        <v>14</v>
      </c>
      <c r="P127">
        <v>659</v>
      </c>
      <c r="Q127">
        <v>2.1244309559939303E-2</v>
      </c>
      <c r="R127" s="57">
        <f>VLOOKUP(N127,'Team Stats'!$B$3:$K$18,9,0)</f>
        <v>14</v>
      </c>
      <c r="S127" s="54">
        <f>VLOOKUP(N127,'Team Stats'!$B$3:$K$18,10,0)</f>
        <v>112.51219512195122</v>
      </c>
      <c r="T127" s="54">
        <f t="shared" si="2"/>
        <v>2.3902439024390247</v>
      </c>
      <c r="U127">
        <f t="shared" si="3"/>
        <v>125</v>
      </c>
    </row>
    <row r="128" spans="1:21" x14ac:dyDescent="0.25">
      <c r="A128" s="44" t="s">
        <v>451</v>
      </c>
      <c r="B128" s="44" t="s">
        <v>216</v>
      </c>
      <c r="C128" s="45">
        <v>82</v>
      </c>
      <c r="D128" s="45"/>
      <c r="E128" s="45">
        <v>13</v>
      </c>
      <c r="F128" s="45"/>
      <c r="G128" s="45">
        <v>31</v>
      </c>
      <c r="H128" s="45"/>
      <c r="I128" s="34">
        <v>44</v>
      </c>
      <c r="J128" t="e">
        <f>I128/(VLOOKUP(B128,'Team Stats'!$B$3:$K$18,5,0))</f>
        <v>#N/A</v>
      </c>
      <c r="M128" t="s">
        <v>417</v>
      </c>
      <c r="N128" t="s">
        <v>209</v>
      </c>
      <c r="O128">
        <v>49</v>
      </c>
      <c r="P128">
        <v>594</v>
      </c>
      <c r="Q128">
        <v>8.2491582491582491E-2</v>
      </c>
      <c r="R128" s="57">
        <f>VLOOKUP(N128,'Team Stats'!$B$3:$K$18,9,0)</f>
        <v>4</v>
      </c>
      <c r="S128" s="54">
        <f>VLOOKUP(N128,'Team Stats'!$B$3:$K$18,10,0)</f>
        <v>28.975609756097562</v>
      </c>
      <c r="T128" s="54">
        <f t="shared" si="2"/>
        <v>2.3902439024390243</v>
      </c>
      <c r="U128">
        <f t="shared" si="3"/>
        <v>126</v>
      </c>
    </row>
    <row r="129" spans="1:21" x14ac:dyDescent="0.25">
      <c r="A129" s="44" t="s">
        <v>452</v>
      </c>
      <c r="B129" s="44" t="s">
        <v>218</v>
      </c>
      <c r="C129" s="45">
        <v>72</v>
      </c>
      <c r="D129" s="45"/>
      <c r="E129" s="45">
        <v>24</v>
      </c>
      <c r="F129" s="45"/>
      <c r="G129" s="45">
        <v>19</v>
      </c>
      <c r="H129" s="45"/>
      <c r="I129" s="34">
        <v>43</v>
      </c>
      <c r="J129" t="e">
        <f>I129/(VLOOKUP(B129,'Team Stats'!$B$3:$K$18,5,0))</f>
        <v>#N/A</v>
      </c>
      <c r="M129" t="s">
        <v>597</v>
      </c>
      <c r="N129" t="s">
        <v>213</v>
      </c>
      <c r="O129">
        <v>27</v>
      </c>
      <c r="P129">
        <v>619</v>
      </c>
      <c r="Q129">
        <v>4.361873990306947E-2</v>
      </c>
      <c r="R129" s="57">
        <f>VLOOKUP(N129,'Team Stats'!$B$3:$K$18,9,0)</f>
        <v>7</v>
      </c>
      <c r="S129" s="54">
        <f>VLOOKUP(N129,'Team Stats'!$B$3:$K$18,10,0)</f>
        <v>52.841463414634148</v>
      </c>
      <c r="T129" s="54">
        <f t="shared" si="2"/>
        <v>2.3048780487804881</v>
      </c>
      <c r="U129">
        <f t="shared" si="3"/>
        <v>127</v>
      </c>
    </row>
    <row r="130" spans="1:21" x14ac:dyDescent="0.25">
      <c r="A130" s="44" t="s">
        <v>453</v>
      </c>
      <c r="B130" s="44" t="s">
        <v>195</v>
      </c>
      <c r="C130" s="45">
        <v>78</v>
      </c>
      <c r="D130" s="45"/>
      <c r="E130" s="45">
        <v>14</v>
      </c>
      <c r="F130" s="45"/>
      <c r="G130" s="45">
        <v>29</v>
      </c>
      <c r="H130" s="45"/>
      <c r="I130" s="34">
        <v>43</v>
      </c>
      <c r="J130">
        <f>I130/(VLOOKUP(B130,'Team Stats'!$B$3:$K$18,5,0))</f>
        <v>6.5548780487804881E-2</v>
      </c>
      <c r="M130" t="s">
        <v>567</v>
      </c>
      <c r="N130" t="s">
        <v>197</v>
      </c>
      <c r="O130">
        <v>31</v>
      </c>
      <c r="P130">
        <v>600</v>
      </c>
      <c r="Q130">
        <v>5.1666666666666666E-2</v>
      </c>
      <c r="R130" s="57">
        <f>VLOOKUP(N130,'Team Stats'!$B$3:$K$18,9,0)</f>
        <v>6</v>
      </c>
      <c r="S130" s="54">
        <f>VLOOKUP(N130,'Team Stats'!$B$3:$K$18,10,0)</f>
        <v>43.902439024390247</v>
      </c>
      <c r="T130" s="54">
        <f t="shared" si="2"/>
        <v>2.2682926829268295</v>
      </c>
      <c r="U130">
        <f t="shared" si="3"/>
        <v>128</v>
      </c>
    </row>
    <row r="131" spans="1:21" x14ac:dyDescent="0.25">
      <c r="A131" s="44" t="s">
        <v>454</v>
      </c>
      <c r="B131" s="44" t="s">
        <v>219</v>
      </c>
      <c r="C131" s="45">
        <v>75</v>
      </c>
      <c r="D131" s="45"/>
      <c r="E131" s="45">
        <v>16</v>
      </c>
      <c r="F131" s="45"/>
      <c r="G131" s="45">
        <v>27</v>
      </c>
      <c r="H131" s="45"/>
      <c r="I131" s="34">
        <v>43</v>
      </c>
      <c r="J131" t="e">
        <f>I131/(VLOOKUP(B131,'Team Stats'!$B$3:$K$18,5,0))</f>
        <v>#N/A</v>
      </c>
      <c r="M131" t="s">
        <v>559</v>
      </c>
      <c r="N131" t="s">
        <v>211</v>
      </c>
      <c r="O131">
        <v>31</v>
      </c>
      <c r="P131">
        <v>608</v>
      </c>
      <c r="Q131">
        <v>5.0986842105263157E-2</v>
      </c>
      <c r="R131" s="57">
        <f>VLOOKUP(N131,'Team Stats'!$B$3:$K$18,9,0)</f>
        <v>6</v>
      </c>
      <c r="S131" s="54">
        <f>VLOOKUP(N131,'Team Stats'!$B$3:$K$18,10,0)</f>
        <v>44.487804878048784</v>
      </c>
      <c r="T131" s="54">
        <f t="shared" ref="T131:T194" si="4">VLOOKUP(M131,$A$3:$J$884,10,0)*S131</f>
        <v>2.2682926829268295</v>
      </c>
      <c r="U131">
        <f t="shared" ref="U131:U194" si="5">RANK(T131,$T$3:$T$318,0)</f>
        <v>128</v>
      </c>
    </row>
    <row r="132" spans="1:21" x14ac:dyDescent="0.25">
      <c r="A132" s="44" t="s">
        <v>455</v>
      </c>
      <c r="B132" s="44" t="s">
        <v>209</v>
      </c>
      <c r="C132" s="45">
        <v>76</v>
      </c>
      <c r="D132" s="45"/>
      <c r="E132" s="45">
        <v>18</v>
      </c>
      <c r="F132" s="45"/>
      <c r="G132" s="45">
        <v>25</v>
      </c>
      <c r="H132" s="45"/>
      <c r="I132" s="34">
        <v>43</v>
      </c>
      <c r="J132">
        <f>I132/(VLOOKUP(B132,'Team Stats'!$B$3:$K$18,5,0))</f>
        <v>7.2390572390572394E-2</v>
      </c>
      <c r="M132" t="s">
        <v>557</v>
      </c>
      <c r="N132" t="s">
        <v>195</v>
      </c>
      <c r="O132">
        <v>31</v>
      </c>
      <c r="P132">
        <v>656</v>
      </c>
      <c r="Q132">
        <v>4.725609756097561E-2</v>
      </c>
      <c r="R132" s="57">
        <f>VLOOKUP(N132,'Team Stats'!$B$3:$K$18,9,0)</f>
        <v>6</v>
      </c>
      <c r="S132" s="54">
        <f>VLOOKUP(N132,'Team Stats'!$B$3:$K$18,10,0)</f>
        <v>48</v>
      </c>
      <c r="T132" s="54">
        <f t="shared" si="4"/>
        <v>2.2682926829268295</v>
      </c>
      <c r="U132">
        <f t="shared" si="5"/>
        <v>128</v>
      </c>
    </row>
    <row r="133" spans="1:21" x14ac:dyDescent="0.25">
      <c r="A133" s="44" t="s">
        <v>456</v>
      </c>
      <c r="B133" s="44" t="s">
        <v>201</v>
      </c>
      <c r="C133" s="45">
        <v>68</v>
      </c>
      <c r="D133" s="45"/>
      <c r="E133" s="45">
        <v>16</v>
      </c>
      <c r="F133" s="45"/>
      <c r="G133" s="45">
        <v>27</v>
      </c>
      <c r="H133" s="45"/>
      <c r="I133" s="34">
        <v>43</v>
      </c>
      <c r="J133">
        <f>I133/(VLOOKUP(B133,'Team Stats'!$B$3:$K$18,5,0))</f>
        <v>7.1547420965058242E-2</v>
      </c>
      <c r="M133" t="s">
        <v>555</v>
      </c>
      <c r="N133" t="s">
        <v>208</v>
      </c>
      <c r="O133">
        <v>31</v>
      </c>
      <c r="P133">
        <v>630</v>
      </c>
      <c r="Q133">
        <v>4.9206349206349205E-2</v>
      </c>
      <c r="R133" s="57">
        <f>VLOOKUP(N133,'Team Stats'!$B$3:$K$18,9,0)</f>
        <v>6</v>
      </c>
      <c r="S133" s="54">
        <f>VLOOKUP(N133,'Team Stats'!$B$3:$K$18,10,0)</f>
        <v>46.097560975609753</v>
      </c>
      <c r="T133" s="54">
        <f t="shared" si="4"/>
        <v>2.2682926829268291</v>
      </c>
      <c r="U133">
        <f t="shared" si="5"/>
        <v>131</v>
      </c>
    </row>
    <row r="134" spans="1:21" x14ac:dyDescent="0.25">
      <c r="A134" s="44" t="s">
        <v>457</v>
      </c>
      <c r="B134" s="44" t="s">
        <v>324</v>
      </c>
      <c r="C134" s="45">
        <v>82</v>
      </c>
      <c r="D134" s="45"/>
      <c r="E134" s="45">
        <v>21</v>
      </c>
      <c r="F134" s="45"/>
      <c r="G134" s="45">
        <v>22</v>
      </c>
      <c r="H134" s="45"/>
      <c r="I134" s="34">
        <v>43</v>
      </c>
      <c r="J134" t="e">
        <f>I134/(VLOOKUP(B134,'Team Stats'!$B$3:$K$18,5,0))</f>
        <v>#N/A</v>
      </c>
      <c r="M134" t="s">
        <v>605</v>
      </c>
      <c r="N134" t="s">
        <v>213</v>
      </c>
      <c r="O134">
        <v>26</v>
      </c>
      <c r="P134">
        <v>619</v>
      </c>
      <c r="Q134">
        <v>4.2003231017770599E-2</v>
      </c>
      <c r="R134" s="57">
        <f>VLOOKUP(N134,'Team Stats'!$B$3:$K$18,9,0)</f>
        <v>7</v>
      </c>
      <c r="S134" s="54">
        <f>VLOOKUP(N134,'Team Stats'!$B$3:$K$18,10,0)</f>
        <v>52.841463414634148</v>
      </c>
      <c r="T134" s="54">
        <f t="shared" si="4"/>
        <v>2.2195121951219514</v>
      </c>
      <c r="U134">
        <f t="shared" si="5"/>
        <v>132</v>
      </c>
    </row>
    <row r="135" spans="1:21" ht="30" x14ac:dyDescent="0.25">
      <c r="A135" s="44" t="s">
        <v>458</v>
      </c>
      <c r="B135" s="44" t="s">
        <v>221</v>
      </c>
      <c r="C135" s="45">
        <v>82</v>
      </c>
      <c r="D135" s="45"/>
      <c r="E135" s="45">
        <v>23</v>
      </c>
      <c r="F135" s="45"/>
      <c r="G135" s="45">
        <v>20</v>
      </c>
      <c r="H135" s="45"/>
      <c r="I135" s="34">
        <v>43</v>
      </c>
      <c r="J135" t="e">
        <f>I135/(VLOOKUP(B135,'Team Stats'!$B$3:$K$18,5,0))</f>
        <v>#N/A</v>
      </c>
      <c r="M135" t="s">
        <v>752</v>
      </c>
      <c r="N135" t="s">
        <v>199</v>
      </c>
      <c r="O135">
        <v>15</v>
      </c>
      <c r="P135">
        <v>660</v>
      </c>
      <c r="Q135">
        <v>2.2727272727272728E-2</v>
      </c>
      <c r="R135" s="57">
        <f>VLOOKUP(N135,'Team Stats'!$B$3:$K$18,9,0)</f>
        <v>12</v>
      </c>
      <c r="S135" s="54">
        <f>VLOOKUP(N135,'Team Stats'!$B$3:$K$18,10,0)</f>
        <v>96.585365853658544</v>
      </c>
      <c r="T135" s="54">
        <f t="shared" si="4"/>
        <v>2.1951219512195124</v>
      </c>
      <c r="U135">
        <f t="shared" si="5"/>
        <v>133</v>
      </c>
    </row>
    <row r="136" spans="1:21" x14ac:dyDescent="0.25">
      <c r="A136" s="44" t="s">
        <v>459</v>
      </c>
      <c r="B136" s="44" t="s">
        <v>216</v>
      </c>
      <c r="C136" s="45">
        <v>72</v>
      </c>
      <c r="D136" s="45"/>
      <c r="E136" s="45">
        <v>10</v>
      </c>
      <c r="F136" s="45"/>
      <c r="G136" s="45">
        <v>32</v>
      </c>
      <c r="H136" s="45"/>
      <c r="I136" s="34">
        <v>42</v>
      </c>
      <c r="J136" t="e">
        <f>I136/(VLOOKUP(B136,'Team Stats'!$B$3:$K$18,5,0))</f>
        <v>#N/A</v>
      </c>
      <c r="M136" t="s">
        <v>443</v>
      </c>
      <c r="N136" t="s">
        <v>209</v>
      </c>
      <c r="O136">
        <v>45</v>
      </c>
      <c r="P136">
        <v>594</v>
      </c>
      <c r="Q136">
        <v>7.575757575757576E-2</v>
      </c>
      <c r="R136" s="57">
        <f>VLOOKUP(N136,'Team Stats'!$B$3:$K$18,9,0)</f>
        <v>4</v>
      </c>
      <c r="S136" s="54">
        <f>VLOOKUP(N136,'Team Stats'!$B$3:$K$18,10,0)</f>
        <v>28.975609756097562</v>
      </c>
      <c r="T136" s="54">
        <f t="shared" si="4"/>
        <v>2.1951219512195124</v>
      </c>
      <c r="U136">
        <f t="shared" si="5"/>
        <v>133</v>
      </c>
    </row>
    <row r="137" spans="1:21" x14ac:dyDescent="0.25">
      <c r="A137" s="44" t="s">
        <v>460</v>
      </c>
      <c r="B137" s="44" t="s">
        <v>216</v>
      </c>
      <c r="C137" s="45">
        <v>77</v>
      </c>
      <c r="D137" s="45"/>
      <c r="E137" s="45">
        <v>24</v>
      </c>
      <c r="F137" s="45"/>
      <c r="G137" s="45">
        <v>18</v>
      </c>
      <c r="H137" s="45"/>
      <c r="I137" s="34">
        <v>42</v>
      </c>
      <c r="J137" t="e">
        <f>I137/(VLOOKUP(B137,'Team Stats'!$B$3:$K$18,5,0))</f>
        <v>#N/A</v>
      </c>
      <c r="M137" t="s">
        <v>737</v>
      </c>
      <c r="N137" t="s">
        <v>205</v>
      </c>
      <c r="O137">
        <v>16</v>
      </c>
      <c r="P137">
        <v>642</v>
      </c>
      <c r="Q137">
        <v>2.4922118380062305E-2</v>
      </c>
      <c r="R137" s="57">
        <f>VLOOKUP(N137,'Team Stats'!$B$3:$K$18,9,0)</f>
        <v>11</v>
      </c>
      <c r="S137" s="54">
        <f>VLOOKUP(N137,'Team Stats'!$B$3:$K$18,10,0)</f>
        <v>86.121951219512198</v>
      </c>
      <c r="T137" s="54">
        <f t="shared" si="4"/>
        <v>2.1463414634146343</v>
      </c>
      <c r="U137">
        <f t="shared" si="5"/>
        <v>135</v>
      </c>
    </row>
    <row r="138" spans="1:21" x14ac:dyDescent="0.25">
      <c r="A138" s="44" t="s">
        <v>461</v>
      </c>
      <c r="B138" s="44" t="s">
        <v>219</v>
      </c>
      <c r="C138" s="45">
        <v>68</v>
      </c>
      <c r="D138" s="45"/>
      <c r="E138" s="45">
        <v>27</v>
      </c>
      <c r="F138" s="45"/>
      <c r="G138" s="45">
        <v>15</v>
      </c>
      <c r="H138" s="45"/>
      <c r="I138" s="34">
        <v>42</v>
      </c>
      <c r="J138" t="e">
        <f>I138/(VLOOKUP(B138,'Team Stats'!$B$3:$K$18,5,0))</f>
        <v>#N/A</v>
      </c>
      <c r="M138" t="s">
        <v>455</v>
      </c>
      <c r="N138" t="s">
        <v>209</v>
      </c>
      <c r="O138">
        <v>43</v>
      </c>
      <c r="P138">
        <v>594</v>
      </c>
      <c r="Q138">
        <v>7.2390572390572394E-2</v>
      </c>
      <c r="R138" s="57">
        <f>VLOOKUP(N138,'Team Stats'!$B$3:$K$18,9,0)</f>
        <v>4</v>
      </c>
      <c r="S138" s="54">
        <f>VLOOKUP(N138,'Team Stats'!$B$3:$K$18,10,0)</f>
        <v>28.975609756097562</v>
      </c>
      <c r="T138" s="54">
        <f t="shared" si="4"/>
        <v>2.0975609756097562</v>
      </c>
      <c r="U138">
        <f t="shared" si="5"/>
        <v>136</v>
      </c>
    </row>
    <row r="139" spans="1:21" x14ac:dyDescent="0.25">
      <c r="A139" s="44" t="s">
        <v>462</v>
      </c>
      <c r="B139" s="44" t="s">
        <v>364</v>
      </c>
      <c r="C139" s="45">
        <v>77</v>
      </c>
      <c r="D139" s="45"/>
      <c r="E139" s="45">
        <v>20</v>
      </c>
      <c r="F139" s="45"/>
      <c r="G139" s="45">
        <v>22</v>
      </c>
      <c r="H139" s="45"/>
      <c r="I139" s="34">
        <v>42</v>
      </c>
      <c r="J139" t="e">
        <f>I139/(VLOOKUP(B139,'Team Stats'!$B$3:$K$18,5,0))</f>
        <v>#N/A</v>
      </c>
      <c r="M139" t="s">
        <v>760</v>
      </c>
      <c r="N139" t="s">
        <v>201</v>
      </c>
      <c r="O139">
        <v>14</v>
      </c>
      <c r="P139">
        <v>601</v>
      </c>
      <c r="Q139">
        <v>2.329450915141431E-2</v>
      </c>
      <c r="R139" s="57">
        <f>VLOOKUP(N139,'Team Stats'!$B$3:$K$18,9,0)</f>
        <v>12</v>
      </c>
      <c r="S139" s="54">
        <f>VLOOKUP(N139,'Team Stats'!$B$3:$K$18,10,0)</f>
        <v>87.951219512195124</v>
      </c>
      <c r="T139" s="54">
        <f t="shared" si="4"/>
        <v>2.0487804878048781</v>
      </c>
      <c r="U139">
        <f t="shared" si="5"/>
        <v>137</v>
      </c>
    </row>
    <row r="140" spans="1:21" x14ac:dyDescent="0.25">
      <c r="A140" s="44" t="s">
        <v>463</v>
      </c>
      <c r="B140" s="44" t="s">
        <v>195</v>
      </c>
      <c r="C140" s="45">
        <v>82</v>
      </c>
      <c r="D140" s="45"/>
      <c r="E140" s="45">
        <v>20</v>
      </c>
      <c r="F140" s="45"/>
      <c r="G140" s="45">
        <v>22</v>
      </c>
      <c r="H140" s="45"/>
      <c r="I140" s="34">
        <v>42</v>
      </c>
      <c r="J140">
        <f>I140/(VLOOKUP(B140,'Team Stats'!$B$3:$K$18,5,0))</f>
        <v>6.402439024390244E-2</v>
      </c>
      <c r="M140" t="s">
        <v>464</v>
      </c>
      <c r="N140" t="s">
        <v>209</v>
      </c>
      <c r="O140">
        <v>42</v>
      </c>
      <c r="P140">
        <v>594</v>
      </c>
      <c r="Q140">
        <v>7.0707070707070704E-2</v>
      </c>
      <c r="R140" s="57">
        <f>VLOOKUP(N140,'Team Stats'!$B$3:$K$18,9,0)</f>
        <v>4</v>
      </c>
      <c r="S140" s="54">
        <f>VLOOKUP(N140,'Team Stats'!$B$3:$K$18,10,0)</f>
        <v>28.975609756097562</v>
      </c>
      <c r="T140" s="54">
        <f t="shared" si="4"/>
        <v>2.0487804878048781</v>
      </c>
      <c r="U140">
        <f t="shared" si="5"/>
        <v>137</v>
      </c>
    </row>
    <row r="141" spans="1:21" x14ac:dyDescent="0.25">
      <c r="A141" s="44" t="s">
        <v>464</v>
      </c>
      <c r="B141" s="44" t="s">
        <v>209</v>
      </c>
      <c r="C141" s="45">
        <v>82</v>
      </c>
      <c r="D141" s="45"/>
      <c r="E141" s="45">
        <v>19</v>
      </c>
      <c r="F141" s="45"/>
      <c r="G141" s="45">
        <v>23</v>
      </c>
      <c r="H141" s="45"/>
      <c r="I141" s="34">
        <v>42</v>
      </c>
      <c r="J141">
        <f>I141/(VLOOKUP(B141,'Team Stats'!$B$3:$K$18,5,0))</f>
        <v>7.0707070707070704E-2</v>
      </c>
      <c r="M141" t="s">
        <v>586</v>
      </c>
      <c r="N141" t="s">
        <v>197</v>
      </c>
      <c r="O141">
        <v>28</v>
      </c>
      <c r="P141">
        <v>600</v>
      </c>
      <c r="Q141">
        <v>4.6666666666666669E-2</v>
      </c>
      <c r="R141" s="57">
        <f>VLOOKUP(N141,'Team Stats'!$B$3:$K$18,9,0)</f>
        <v>6</v>
      </c>
      <c r="S141" s="54">
        <f>VLOOKUP(N141,'Team Stats'!$B$3:$K$18,10,0)</f>
        <v>43.902439024390247</v>
      </c>
      <c r="T141" s="54">
        <f t="shared" si="4"/>
        <v>2.0487804878048781</v>
      </c>
      <c r="U141">
        <f t="shared" si="5"/>
        <v>137</v>
      </c>
    </row>
    <row r="142" spans="1:21" x14ac:dyDescent="0.25">
      <c r="A142" s="44" t="s">
        <v>465</v>
      </c>
      <c r="B142" s="44" t="s">
        <v>221</v>
      </c>
      <c r="C142" s="45">
        <v>81</v>
      </c>
      <c r="D142" s="45"/>
      <c r="E142" s="45">
        <v>15</v>
      </c>
      <c r="F142" s="45"/>
      <c r="G142" s="45">
        <v>26</v>
      </c>
      <c r="H142" s="45"/>
      <c r="I142" s="34">
        <v>41</v>
      </c>
      <c r="J142" t="e">
        <f>I142/(VLOOKUP(B142,'Team Stats'!$B$3:$K$18,5,0))</f>
        <v>#N/A</v>
      </c>
      <c r="M142" t="s">
        <v>467</v>
      </c>
      <c r="N142" t="s">
        <v>209</v>
      </c>
      <c r="O142">
        <v>41</v>
      </c>
      <c r="P142">
        <v>594</v>
      </c>
      <c r="Q142">
        <v>6.9023569023569029E-2</v>
      </c>
      <c r="R142" s="57">
        <f>VLOOKUP(N142,'Team Stats'!$B$3:$K$18,9,0)</f>
        <v>4</v>
      </c>
      <c r="S142" s="54">
        <f>VLOOKUP(N142,'Team Stats'!$B$3:$K$18,10,0)</f>
        <v>28.975609756097562</v>
      </c>
      <c r="T142" s="54">
        <f t="shared" si="4"/>
        <v>2</v>
      </c>
      <c r="U142">
        <f t="shared" si="5"/>
        <v>140</v>
      </c>
    </row>
    <row r="143" spans="1:21" x14ac:dyDescent="0.25">
      <c r="A143" s="44" t="s">
        <v>466</v>
      </c>
      <c r="B143" s="44" t="s">
        <v>207</v>
      </c>
      <c r="C143" s="45">
        <v>81</v>
      </c>
      <c r="D143" s="45"/>
      <c r="E143" s="45">
        <v>11</v>
      </c>
      <c r="F143" s="45"/>
      <c r="G143" s="45">
        <v>30</v>
      </c>
      <c r="H143" s="45"/>
      <c r="I143" s="34">
        <v>41</v>
      </c>
      <c r="J143">
        <f>I143/(VLOOKUP(B143,'Team Stats'!$B$3:$K$18,5,0))</f>
        <v>6.1746987951807226E-2</v>
      </c>
      <c r="M143" t="s">
        <v>596</v>
      </c>
      <c r="N143" t="s">
        <v>197</v>
      </c>
      <c r="O143">
        <v>27</v>
      </c>
      <c r="P143">
        <v>600</v>
      </c>
      <c r="Q143">
        <v>4.4999999999999998E-2</v>
      </c>
      <c r="R143" s="57">
        <f>VLOOKUP(N143,'Team Stats'!$B$3:$K$18,9,0)</f>
        <v>6</v>
      </c>
      <c r="S143" s="54">
        <f>VLOOKUP(N143,'Team Stats'!$B$3:$K$18,10,0)</f>
        <v>43.902439024390247</v>
      </c>
      <c r="T143" s="54">
        <f t="shared" si="4"/>
        <v>1.975609756097561</v>
      </c>
      <c r="U143">
        <f t="shared" si="5"/>
        <v>141</v>
      </c>
    </row>
    <row r="144" spans="1:21" x14ac:dyDescent="0.25">
      <c r="A144" s="44" t="s">
        <v>467</v>
      </c>
      <c r="B144" s="44" t="s">
        <v>209</v>
      </c>
      <c r="C144" s="45">
        <v>62</v>
      </c>
      <c r="D144" s="45"/>
      <c r="E144" s="45">
        <v>18</v>
      </c>
      <c r="F144" s="45"/>
      <c r="G144" s="45">
        <v>23</v>
      </c>
      <c r="H144" s="45"/>
      <c r="I144" s="34">
        <v>41</v>
      </c>
      <c r="J144">
        <f>I144/(VLOOKUP(B144,'Team Stats'!$B$3:$K$18,5,0))</f>
        <v>6.9023569023569029E-2</v>
      </c>
      <c r="M144" t="s">
        <v>646</v>
      </c>
      <c r="N144" t="s">
        <v>213</v>
      </c>
      <c r="O144">
        <v>23</v>
      </c>
      <c r="P144">
        <v>619</v>
      </c>
      <c r="Q144">
        <v>3.7156704361873988E-2</v>
      </c>
      <c r="R144" s="57">
        <f>VLOOKUP(N144,'Team Stats'!$B$3:$K$18,9,0)</f>
        <v>7</v>
      </c>
      <c r="S144" s="54">
        <f>VLOOKUP(N144,'Team Stats'!$B$3:$K$18,10,0)</f>
        <v>52.841463414634148</v>
      </c>
      <c r="T144" s="54">
        <f t="shared" si="4"/>
        <v>1.9634146341463414</v>
      </c>
      <c r="U144">
        <f t="shared" si="5"/>
        <v>142</v>
      </c>
    </row>
    <row r="145" spans="1:21" x14ac:dyDescent="0.25">
      <c r="A145" s="44" t="s">
        <v>468</v>
      </c>
      <c r="B145" s="44" t="s">
        <v>195</v>
      </c>
      <c r="C145" s="45">
        <v>76</v>
      </c>
      <c r="D145" s="45"/>
      <c r="E145" s="45">
        <v>25</v>
      </c>
      <c r="F145" s="45"/>
      <c r="G145" s="45">
        <v>16</v>
      </c>
      <c r="H145" s="45"/>
      <c r="I145" s="34">
        <v>41</v>
      </c>
      <c r="J145">
        <f>I145/(VLOOKUP(B145,'Team Stats'!$B$3:$K$18,5,0))</f>
        <v>6.25E-2</v>
      </c>
      <c r="M145" t="s">
        <v>606</v>
      </c>
      <c r="N145" t="s">
        <v>211</v>
      </c>
      <c r="O145">
        <v>26</v>
      </c>
      <c r="P145">
        <v>608</v>
      </c>
      <c r="Q145">
        <v>4.2763157894736843E-2</v>
      </c>
      <c r="R145" s="57">
        <f>VLOOKUP(N145,'Team Stats'!$B$3:$K$18,9,0)</f>
        <v>6</v>
      </c>
      <c r="S145" s="54">
        <f>VLOOKUP(N145,'Team Stats'!$B$3:$K$18,10,0)</f>
        <v>44.487804878048784</v>
      </c>
      <c r="T145" s="54">
        <f t="shared" si="4"/>
        <v>1.902439024390244</v>
      </c>
      <c r="U145">
        <f t="shared" si="5"/>
        <v>143</v>
      </c>
    </row>
    <row r="146" spans="1:21" x14ac:dyDescent="0.25">
      <c r="A146" s="44" t="s">
        <v>469</v>
      </c>
      <c r="B146" s="44" t="s">
        <v>220</v>
      </c>
      <c r="C146" s="45">
        <v>77</v>
      </c>
      <c r="D146" s="45"/>
      <c r="E146" s="45">
        <v>13</v>
      </c>
      <c r="F146" s="45"/>
      <c r="G146" s="45">
        <v>28</v>
      </c>
      <c r="H146" s="45"/>
      <c r="I146" s="34">
        <v>41</v>
      </c>
      <c r="J146" t="e">
        <f>I146/(VLOOKUP(B146,'Team Stats'!$B$3:$K$18,5,0))</f>
        <v>#N/A</v>
      </c>
      <c r="M146" t="s">
        <v>797</v>
      </c>
      <c r="N146" t="s">
        <v>201</v>
      </c>
      <c r="O146">
        <v>13</v>
      </c>
      <c r="P146">
        <v>601</v>
      </c>
      <c r="Q146">
        <v>2.1630615640599003E-2</v>
      </c>
      <c r="R146" s="57">
        <f>VLOOKUP(N146,'Team Stats'!$B$3:$K$18,9,0)</f>
        <v>12</v>
      </c>
      <c r="S146" s="54">
        <f>VLOOKUP(N146,'Team Stats'!$B$3:$K$18,10,0)</f>
        <v>87.951219512195124</v>
      </c>
      <c r="T146" s="54">
        <f t="shared" si="4"/>
        <v>1.902439024390244</v>
      </c>
      <c r="U146">
        <f t="shared" si="5"/>
        <v>143</v>
      </c>
    </row>
    <row r="147" spans="1:21" x14ac:dyDescent="0.25">
      <c r="A147" s="44" t="s">
        <v>470</v>
      </c>
      <c r="B147" s="44" t="s">
        <v>356</v>
      </c>
      <c r="C147" s="45">
        <v>76</v>
      </c>
      <c r="D147" s="45"/>
      <c r="E147" s="45">
        <v>10</v>
      </c>
      <c r="F147" s="45"/>
      <c r="G147" s="45">
        <v>31</v>
      </c>
      <c r="H147" s="45"/>
      <c r="I147" s="34">
        <v>41</v>
      </c>
      <c r="J147" t="e">
        <f>I147/(VLOOKUP(B147,'Team Stats'!$B$3:$K$18,5,0))</f>
        <v>#N/A</v>
      </c>
      <c r="M147" t="s">
        <v>803</v>
      </c>
      <c r="N147" t="s">
        <v>199</v>
      </c>
      <c r="O147">
        <v>13</v>
      </c>
      <c r="P147">
        <v>660</v>
      </c>
      <c r="Q147">
        <v>1.9696969696969695E-2</v>
      </c>
      <c r="R147" s="57">
        <f>VLOOKUP(N147,'Team Stats'!$B$3:$K$18,9,0)</f>
        <v>12</v>
      </c>
      <c r="S147" s="54">
        <f>VLOOKUP(N147,'Team Stats'!$B$3:$K$18,10,0)</f>
        <v>96.585365853658544</v>
      </c>
      <c r="T147" s="54">
        <f t="shared" si="4"/>
        <v>1.9024390243902438</v>
      </c>
      <c r="U147">
        <f t="shared" si="5"/>
        <v>145</v>
      </c>
    </row>
    <row r="148" spans="1:21" x14ac:dyDescent="0.25">
      <c r="A148" s="44" t="s">
        <v>471</v>
      </c>
      <c r="B148" s="44" t="s">
        <v>195</v>
      </c>
      <c r="C148" s="45">
        <v>70</v>
      </c>
      <c r="D148" s="45"/>
      <c r="E148" s="45">
        <v>15</v>
      </c>
      <c r="F148" s="45"/>
      <c r="G148" s="45">
        <v>26</v>
      </c>
      <c r="H148" s="45"/>
      <c r="I148" s="34">
        <v>41</v>
      </c>
      <c r="J148">
        <f>I148/(VLOOKUP(B148,'Team Stats'!$B$3:$K$18,5,0))</f>
        <v>6.25E-2</v>
      </c>
      <c r="M148" t="s">
        <v>767</v>
      </c>
      <c r="N148" t="s">
        <v>205</v>
      </c>
      <c r="O148">
        <v>14</v>
      </c>
      <c r="P148">
        <v>642</v>
      </c>
      <c r="Q148">
        <v>2.1806853582554516E-2</v>
      </c>
      <c r="R148" s="57">
        <f>VLOOKUP(N148,'Team Stats'!$B$3:$K$18,9,0)</f>
        <v>11</v>
      </c>
      <c r="S148" s="54">
        <f>VLOOKUP(N148,'Team Stats'!$B$3:$K$18,10,0)</f>
        <v>86.121951219512198</v>
      </c>
      <c r="T148" s="54">
        <f t="shared" si="4"/>
        <v>1.8780487804878048</v>
      </c>
      <c r="U148">
        <f t="shared" si="5"/>
        <v>146</v>
      </c>
    </row>
    <row r="149" spans="1:21" x14ac:dyDescent="0.25">
      <c r="A149" s="44" t="s">
        <v>472</v>
      </c>
      <c r="B149" s="44" t="s">
        <v>356</v>
      </c>
      <c r="C149" s="45">
        <v>81</v>
      </c>
      <c r="D149" s="45"/>
      <c r="E149" s="45">
        <v>18</v>
      </c>
      <c r="F149" s="45"/>
      <c r="G149" s="45">
        <v>23</v>
      </c>
      <c r="H149" s="45"/>
      <c r="I149" s="34">
        <v>41</v>
      </c>
      <c r="J149" t="e">
        <f>I149/(VLOOKUP(B149,'Team Stats'!$B$3:$K$18,5,0))</f>
        <v>#N/A</v>
      </c>
      <c r="M149" t="s">
        <v>828</v>
      </c>
      <c r="N149" t="s">
        <v>202</v>
      </c>
      <c r="O149">
        <v>11</v>
      </c>
      <c r="P149">
        <v>659</v>
      </c>
      <c r="Q149">
        <v>1.6691957511380879E-2</v>
      </c>
      <c r="R149" s="57">
        <f>VLOOKUP(N149,'Team Stats'!$B$3:$K$18,9,0)</f>
        <v>14</v>
      </c>
      <c r="S149" s="54">
        <f>VLOOKUP(N149,'Team Stats'!$B$3:$K$18,10,0)</f>
        <v>112.51219512195122</v>
      </c>
      <c r="T149" s="54">
        <f t="shared" si="4"/>
        <v>1.8780487804878048</v>
      </c>
      <c r="U149">
        <f t="shared" si="5"/>
        <v>146</v>
      </c>
    </row>
    <row r="150" spans="1:21" x14ac:dyDescent="0.25">
      <c r="A150" s="44" t="s">
        <v>473</v>
      </c>
      <c r="B150" s="44" t="s">
        <v>197</v>
      </c>
      <c r="C150" s="45">
        <v>81</v>
      </c>
      <c r="D150" s="45"/>
      <c r="E150" s="45">
        <v>17</v>
      </c>
      <c r="F150" s="45"/>
      <c r="G150" s="45">
        <v>24</v>
      </c>
      <c r="H150" s="45"/>
      <c r="I150" s="34">
        <v>41</v>
      </c>
      <c r="J150">
        <f>I150/(VLOOKUP(B150,'Team Stats'!$B$3:$K$18,5,0))</f>
        <v>6.8333333333333329E-2</v>
      </c>
      <c r="M150" t="s">
        <v>613</v>
      </c>
      <c r="N150" t="s">
        <v>211</v>
      </c>
      <c r="O150">
        <v>25</v>
      </c>
      <c r="P150">
        <v>608</v>
      </c>
      <c r="Q150">
        <v>4.1118421052631582E-2</v>
      </c>
      <c r="R150" s="57">
        <f>VLOOKUP(N150,'Team Stats'!$B$3:$K$18,9,0)</f>
        <v>6</v>
      </c>
      <c r="S150" s="54">
        <f>VLOOKUP(N150,'Team Stats'!$B$3:$K$18,10,0)</f>
        <v>44.487804878048784</v>
      </c>
      <c r="T150" s="54">
        <f t="shared" si="4"/>
        <v>1.8292682926829271</v>
      </c>
      <c r="U150">
        <f t="shared" si="5"/>
        <v>148</v>
      </c>
    </row>
    <row r="151" spans="1:21" x14ac:dyDescent="0.25">
      <c r="A151" s="44" t="s">
        <v>474</v>
      </c>
      <c r="B151" s="44" t="s">
        <v>330</v>
      </c>
      <c r="C151" s="45">
        <v>79</v>
      </c>
      <c r="D151" s="45"/>
      <c r="E151" s="45">
        <v>8</v>
      </c>
      <c r="F151" s="45"/>
      <c r="G151" s="45">
        <v>32</v>
      </c>
      <c r="H151" s="45"/>
      <c r="I151" s="34">
        <v>40</v>
      </c>
      <c r="J151" t="e">
        <f>I151/(VLOOKUP(B151,'Team Stats'!$B$3:$K$18,5,0))</f>
        <v>#N/A</v>
      </c>
      <c r="M151" t="s">
        <v>620</v>
      </c>
      <c r="N151" t="s">
        <v>208</v>
      </c>
      <c r="O151">
        <v>25</v>
      </c>
      <c r="P151">
        <v>630</v>
      </c>
      <c r="Q151">
        <v>3.968253968253968E-2</v>
      </c>
      <c r="R151" s="57">
        <f>VLOOKUP(N151,'Team Stats'!$B$3:$K$18,9,0)</f>
        <v>6</v>
      </c>
      <c r="S151" s="54">
        <f>VLOOKUP(N151,'Team Stats'!$B$3:$K$18,10,0)</f>
        <v>46.097560975609753</v>
      </c>
      <c r="T151" s="54">
        <f t="shared" si="4"/>
        <v>1.8292682926829267</v>
      </c>
      <c r="U151">
        <f t="shared" si="5"/>
        <v>149</v>
      </c>
    </row>
    <row r="152" spans="1:21" x14ac:dyDescent="0.25">
      <c r="A152" s="44" t="s">
        <v>475</v>
      </c>
      <c r="B152" s="44" t="s">
        <v>216</v>
      </c>
      <c r="C152" s="45">
        <v>81</v>
      </c>
      <c r="D152" s="45"/>
      <c r="E152" s="45">
        <v>13</v>
      </c>
      <c r="F152" s="45"/>
      <c r="G152" s="45">
        <v>27</v>
      </c>
      <c r="H152" s="45"/>
      <c r="I152" s="34">
        <v>40</v>
      </c>
      <c r="J152" t="e">
        <f>I152/(VLOOKUP(B152,'Team Stats'!$B$3:$K$18,5,0))</f>
        <v>#N/A</v>
      </c>
      <c r="M152" t="s">
        <v>665</v>
      </c>
      <c r="N152" t="s">
        <v>213</v>
      </c>
      <c r="O152">
        <v>21</v>
      </c>
      <c r="P152">
        <v>619</v>
      </c>
      <c r="Q152">
        <v>3.3925686591276254E-2</v>
      </c>
      <c r="R152" s="57">
        <f>VLOOKUP(N152,'Team Stats'!$B$3:$K$18,9,0)</f>
        <v>7</v>
      </c>
      <c r="S152" s="54">
        <f>VLOOKUP(N152,'Team Stats'!$B$3:$K$18,10,0)</f>
        <v>52.841463414634148</v>
      </c>
      <c r="T152" s="54">
        <f t="shared" si="4"/>
        <v>1.7926829268292686</v>
      </c>
      <c r="U152">
        <f t="shared" si="5"/>
        <v>150</v>
      </c>
    </row>
    <row r="153" spans="1:21" x14ac:dyDescent="0.25">
      <c r="A153" s="44" t="s">
        <v>476</v>
      </c>
      <c r="B153" s="44" t="s">
        <v>203</v>
      </c>
      <c r="C153" s="45">
        <v>65</v>
      </c>
      <c r="D153" s="45"/>
      <c r="E153" s="45">
        <v>11</v>
      </c>
      <c r="F153" s="45"/>
      <c r="G153" s="45">
        <v>29</v>
      </c>
      <c r="H153" s="45"/>
      <c r="I153" s="34">
        <v>40</v>
      </c>
      <c r="J153" t="e">
        <f>I153/(VLOOKUP(B153,'Team Stats'!$B$3:$K$18,5,0))</f>
        <v>#N/A</v>
      </c>
      <c r="M153" t="s">
        <v>825</v>
      </c>
      <c r="N153" t="s">
        <v>199</v>
      </c>
      <c r="O153">
        <v>12</v>
      </c>
      <c r="P153">
        <v>660</v>
      </c>
      <c r="Q153">
        <v>1.8181818181818181E-2</v>
      </c>
      <c r="R153" s="57">
        <f>VLOOKUP(N153,'Team Stats'!$B$3:$K$18,9,0)</f>
        <v>12</v>
      </c>
      <c r="S153" s="54">
        <f>VLOOKUP(N153,'Team Stats'!$B$3:$K$18,10,0)</f>
        <v>96.585365853658544</v>
      </c>
      <c r="T153" s="54">
        <f t="shared" si="4"/>
        <v>1.7560975609756098</v>
      </c>
      <c r="U153">
        <f t="shared" si="5"/>
        <v>151</v>
      </c>
    </row>
    <row r="154" spans="1:21" x14ac:dyDescent="0.25">
      <c r="A154" s="44" t="s">
        <v>477</v>
      </c>
      <c r="B154" s="44" t="s">
        <v>197</v>
      </c>
      <c r="C154" s="45">
        <v>74</v>
      </c>
      <c r="D154" s="45"/>
      <c r="E154" s="45">
        <v>17</v>
      </c>
      <c r="F154" s="45"/>
      <c r="G154" s="45">
        <v>23</v>
      </c>
      <c r="H154" s="45"/>
      <c r="I154" s="34">
        <v>40</v>
      </c>
      <c r="J154">
        <f>I154/(VLOOKUP(B154,'Team Stats'!$B$3:$K$18,5,0))</f>
        <v>6.6666666666666666E-2</v>
      </c>
      <c r="M154" t="s">
        <v>822</v>
      </c>
      <c r="N154" t="s">
        <v>199</v>
      </c>
      <c r="O154">
        <v>12</v>
      </c>
      <c r="P154">
        <v>660</v>
      </c>
      <c r="Q154">
        <v>1.8181818181818181E-2</v>
      </c>
      <c r="R154" s="57">
        <f>VLOOKUP(N154,'Team Stats'!$B$3:$K$18,9,0)</f>
        <v>12</v>
      </c>
      <c r="S154" s="54">
        <f>VLOOKUP(N154,'Team Stats'!$B$3:$K$18,10,0)</f>
        <v>96.585365853658544</v>
      </c>
      <c r="T154" s="54">
        <f t="shared" si="4"/>
        <v>1.7560975609756098</v>
      </c>
      <c r="U154">
        <f t="shared" si="5"/>
        <v>151</v>
      </c>
    </row>
    <row r="155" spans="1:21" x14ac:dyDescent="0.25">
      <c r="A155" s="44" t="s">
        <v>478</v>
      </c>
      <c r="B155" s="44" t="s">
        <v>330</v>
      </c>
      <c r="C155" s="45">
        <v>78</v>
      </c>
      <c r="D155" s="45"/>
      <c r="E155" s="45">
        <v>22</v>
      </c>
      <c r="F155" s="45"/>
      <c r="G155" s="45">
        <v>18</v>
      </c>
      <c r="H155" s="45"/>
      <c r="I155" s="34">
        <v>40</v>
      </c>
      <c r="J155" t="e">
        <f>I155/(VLOOKUP(B155,'Team Stats'!$B$3:$K$18,5,0))</f>
        <v>#N/A</v>
      </c>
      <c r="M155" t="s">
        <v>824</v>
      </c>
      <c r="N155" t="s">
        <v>199</v>
      </c>
      <c r="O155">
        <v>12</v>
      </c>
      <c r="P155">
        <v>660</v>
      </c>
      <c r="Q155">
        <v>1.8181818181818181E-2</v>
      </c>
      <c r="R155" s="57">
        <f>VLOOKUP(N155,'Team Stats'!$B$3:$K$18,9,0)</f>
        <v>12</v>
      </c>
      <c r="S155" s="54">
        <f>VLOOKUP(N155,'Team Stats'!$B$3:$K$18,10,0)</f>
        <v>96.585365853658544</v>
      </c>
      <c r="T155" s="54">
        <f t="shared" si="4"/>
        <v>1.7560975609756098</v>
      </c>
      <c r="U155">
        <f t="shared" si="5"/>
        <v>151</v>
      </c>
    </row>
    <row r="156" spans="1:21" x14ac:dyDescent="0.25">
      <c r="A156" s="44" t="s">
        <v>479</v>
      </c>
      <c r="B156" s="44" t="s">
        <v>203</v>
      </c>
      <c r="C156" s="45">
        <v>78</v>
      </c>
      <c r="D156" s="45"/>
      <c r="E156" s="45">
        <v>19</v>
      </c>
      <c r="F156" s="45"/>
      <c r="G156" s="45">
        <v>21</v>
      </c>
      <c r="H156" s="45"/>
      <c r="I156" s="34">
        <v>40</v>
      </c>
      <c r="J156" t="e">
        <f>I156/(VLOOKUP(B156,'Team Stats'!$B$3:$K$18,5,0))</f>
        <v>#N/A</v>
      </c>
      <c r="M156" t="s">
        <v>813</v>
      </c>
      <c r="N156" t="s">
        <v>199</v>
      </c>
      <c r="O156">
        <v>12</v>
      </c>
      <c r="P156">
        <v>660</v>
      </c>
      <c r="Q156">
        <v>1.8181818181818181E-2</v>
      </c>
      <c r="R156" s="57">
        <f>VLOOKUP(N156,'Team Stats'!$B$3:$K$18,9,0)</f>
        <v>12</v>
      </c>
      <c r="S156" s="54">
        <f>VLOOKUP(N156,'Team Stats'!$B$3:$K$18,10,0)</f>
        <v>96.585365853658544</v>
      </c>
      <c r="T156" s="54">
        <f t="shared" si="4"/>
        <v>1.7560975609756098</v>
      </c>
      <c r="U156">
        <f t="shared" si="5"/>
        <v>151</v>
      </c>
    </row>
    <row r="157" spans="1:21" x14ac:dyDescent="0.25">
      <c r="A157" s="44" t="s">
        <v>480</v>
      </c>
      <c r="B157" s="44" t="s">
        <v>212</v>
      </c>
      <c r="C157" s="45">
        <v>73</v>
      </c>
      <c r="D157" s="45"/>
      <c r="E157" s="45">
        <v>18</v>
      </c>
      <c r="F157" s="45"/>
      <c r="G157" s="45">
        <v>21</v>
      </c>
      <c r="H157" s="45"/>
      <c r="I157" s="34">
        <v>39</v>
      </c>
      <c r="J157" t="e">
        <f>I157/(VLOOKUP(B157,'Team Stats'!$B$3:$K$18,5,0))</f>
        <v>#N/A</v>
      </c>
      <c r="M157" t="s">
        <v>635</v>
      </c>
      <c r="N157" t="s">
        <v>211</v>
      </c>
      <c r="O157">
        <v>23</v>
      </c>
      <c r="P157">
        <v>608</v>
      </c>
      <c r="Q157">
        <v>3.7828947368421052E-2</v>
      </c>
      <c r="R157" s="57">
        <f>VLOOKUP(N157,'Team Stats'!$B$3:$K$18,9,0)</f>
        <v>6</v>
      </c>
      <c r="S157" s="54">
        <f>VLOOKUP(N157,'Team Stats'!$B$3:$K$18,10,0)</f>
        <v>44.487804878048784</v>
      </c>
      <c r="T157" s="54">
        <f t="shared" si="4"/>
        <v>1.6829268292682928</v>
      </c>
      <c r="U157">
        <f t="shared" si="5"/>
        <v>155</v>
      </c>
    </row>
    <row r="158" spans="1:21" x14ac:dyDescent="0.25">
      <c r="A158" s="44" t="s">
        <v>481</v>
      </c>
      <c r="B158" s="44" t="s">
        <v>216</v>
      </c>
      <c r="C158" s="45">
        <v>78</v>
      </c>
      <c r="D158" s="45"/>
      <c r="E158" s="45">
        <v>12</v>
      </c>
      <c r="F158" s="45"/>
      <c r="G158" s="45">
        <v>27</v>
      </c>
      <c r="H158" s="45"/>
      <c r="I158" s="34">
        <v>39</v>
      </c>
      <c r="J158" t="e">
        <f>I158/(VLOOKUP(B158,'Team Stats'!$B$3:$K$18,5,0))</f>
        <v>#N/A</v>
      </c>
      <c r="M158" t="s">
        <v>700</v>
      </c>
      <c r="N158" t="s">
        <v>213</v>
      </c>
      <c r="O158">
        <v>19</v>
      </c>
      <c r="P158">
        <v>619</v>
      </c>
      <c r="Q158">
        <v>3.0694668820678513E-2</v>
      </c>
      <c r="R158" s="57">
        <f>VLOOKUP(N158,'Team Stats'!$B$3:$K$18,9,0)</f>
        <v>7</v>
      </c>
      <c r="S158" s="54">
        <f>VLOOKUP(N158,'Team Stats'!$B$3:$K$18,10,0)</f>
        <v>52.841463414634148</v>
      </c>
      <c r="T158" s="54">
        <f t="shared" si="4"/>
        <v>1.6219512195121952</v>
      </c>
      <c r="U158">
        <f t="shared" si="5"/>
        <v>156</v>
      </c>
    </row>
    <row r="159" spans="1:21" x14ac:dyDescent="0.25">
      <c r="A159" s="44" t="s">
        <v>482</v>
      </c>
      <c r="B159" s="44" t="s">
        <v>364</v>
      </c>
      <c r="C159" s="45">
        <v>59</v>
      </c>
      <c r="D159" s="45"/>
      <c r="E159" s="45">
        <v>19</v>
      </c>
      <c r="F159" s="45"/>
      <c r="G159" s="45">
        <v>20</v>
      </c>
      <c r="H159" s="45"/>
      <c r="I159" s="34">
        <v>39</v>
      </c>
      <c r="J159" t="e">
        <f>I159/(VLOOKUP(B159,'Team Stats'!$B$3:$K$18,5,0))</f>
        <v>#N/A</v>
      </c>
      <c r="M159" t="s">
        <v>652</v>
      </c>
      <c r="N159" t="s">
        <v>195</v>
      </c>
      <c r="O159">
        <v>22</v>
      </c>
      <c r="P159">
        <v>656</v>
      </c>
      <c r="Q159">
        <v>3.3536585365853661E-2</v>
      </c>
      <c r="R159" s="57">
        <f>VLOOKUP(N159,'Team Stats'!$B$3:$K$18,9,0)</f>
        <v>6</v>
      </c>
      <c r="S159" s="54">
        <f>VLOOKUP(N159,'Team Stats'!$B$3:$K$18,10,0)</f>
        <v>48</v>
      </c>
      <c r="T159" s="54">
        <f t="shared" si="4"/>
        <v>1.6097560975609757</v>
      </c>
      <c r="U159">
        <f t="shared" si="5"/>
        <v>157</v>
      </c>
    </row>
    <row r="160" spans="1:21" x14ac:dyDescent="0.25">
      <c r="A160" s="44" t="s">
        <v>483</v>
      </c>
      <c r="B160" s="44" t="s">
        <v>218</v>
      </c>
      <c r="C160" s="45">
        <v>81</v>
      </c>
      <c r="D160" s="45"/>
      <c r="E160" s="45">
        <v>12</v>
      </c>
      <c r="F160" s="45"/>
      <c r="G160" s="45">
        <v>27</v>
      </c>
      <c r="H160" s="45"/>
      <c r="I160" s="34">
        <v>39</v>
      </c>
      <c r="J160" t="e">
        <f>I160/(VLOOKUP(B160,'Team Stats'!$B$3:$K$18,5,0))</f>
        <v>#N/A</v>
      </c>
      <c r="M160" t="s">
        <v>661</v>
      </c>
      <c r="N160" t="s">
        <v>208</v>
      </c>
      <c r="O160">
        <v>22</v>
      </c>
      <c r="P160">
        <v>630</v>
      </c>
      <c r="Q160">
        <v>3.4920634920634921E-2</v>
      </c>
      <c r="R160" s="57">
        <f>VLOOKUP(N160,'Team Stats'!$B$3:$K$18,9,0)</f>
        <v>6</v>
      </c>
      <c r="S160" s="54">
        <f>VLOOKUP(N160,'Team Stats'!$B$3:$K$18,10,0)</f>
        <v>46.097560975609753</v>
      </c>
      <c r="T160" s="54">
        <f t="shared" si="4"/>
        <v>1.6097560975609755</v>
      </c>
      <c r="U160">
        <f t="shared" si="5"/>
        <v>158</v>
      </c>
    </row>
    <row r="161" spans="1:21" x14ac:dyDescent="0.25">
      <c r="A161" s="44" t="s">
        <v>484</v>
      </c>
      <c r="B161" s="44" t="s">
        <v>211</v>
      </c>
      <c r="C161" s="45">
        <v>68</v>
      </c>
      <c r="D161" s="45"/>
      <c r="E161" s="45">
        <v>8</v>
      </c>
      <c r="F161" s="45"/>
      <c r="G161" s="45">
        <v>31</v>
      </c>
      <c r="H161" s="45"/>
      <c r="I161" s="34">
        <v>39</v>
      </c>
      <c r="J161">
        <f>I161/(VLOOKUP(B161,'Team Stats'!$B$3:$K$18,5,0))</f>
        <v>6.4144736842105268E-2</v>
      </c>
      <c r="M161" t="s">
        <v>810</v>
      </c>
      <c r="N161" t="s">
        <v>205</v>
      </c>
      <c r="O161">
        <v>12</v>
      </c>
      <c r="P161">
        <v>642</v>
      </c>
      <c r="Q161">
        <v>1.8691588785046728E-2</v>
      </c>
      <c r="R161" s="57">
        <f>VLOOKUP(N161,'Team Stats'!$B$3:$K$18,9,0)</f>
        <v>11</v>
      </c>
      <c r="S161" s="54">
        <f>VLOOKUP(N161,'Team Stats'!$B$3:$K$18,10,0)</f>
        <v>86.121951219512198</v>
      </c>
      <c r="T161" s="54">
        <f t="shared" si="4"/>
        <v>1.6097560975609755</v>
      </c>
      <c r="U161">
        <f t="shared" si="5"/>
        <v>158</v>
      </c>
    </row>
    <row r="162" spans="1:21" x14ac:dyDescent="0.25">
      <c r="A162" s="44" t="s">
        <v>485</v>
      </c>
      <c r="B162" s="44" t="s">
        <v>205</v>
      </c>
      <c r="C162" s="45">
        <v>75</v>
      </c>
      <c r="D162" s="45"/>
      <c r="E162" s="45">
        <v>15</v>
      </c>
      <c r="F162" s="45"/>
      <c r="G162" s="45">
        <v>24</v>
      </c>
      <c r="H162" s="45"/>
      <c r="I162" s="34">
        <v>39</v>
      </c>
      <c r="J162">
        <f>I162/(VLOOKUP(B162,'Team Stats'!$B$3:$K$18,5,0))</f>
        <v>6.0747663551401869E-2</v>
      </c>
      <c r="M162" t="s">
        <v>562</v>
      </c>
      <c r="N162" t="s">
        <v>209</v>
      </c>
      <c r="O162">
        <v>31</v>
      </c>
      <c r="P162">
        <v>594</v>
      </c>
      <c r="Q162">
        <v>5.2188552188552187E-2</v>
      </c>
      <c r="R162" s="57">
        <f>VLOOKUP(N162,'Team Stats'!$B$3:$K$18,9,0)</f>
        <v>4</v>
      </c>
      <c r="S162" s="54">
        <f>VLOOKUP(N162,'Team Stats'!$B$3:$K$18,10,0)</f>
        <v>28.975609756097562</v>
      </c>
      <c r="T162" s="54">
        <f t="shared" si="4"/>
        <v>1.5121951219512195</v>
      </c>
      <c r="U162">
        <f t="shared" si="5"/>
        <v>160</v>
      </c>
    </row>
    <row r="163" spans="1:21" x14ac:dyDescent="0.25">
      <c r="A163" s="44" t="s">
        <v>486</v>
      </c>
      <c r="B163" s="44" t="s">
        <v>217</v>
      </c>
      <c r="C163" s="45">
        <v>81</v>
      </c>
      <c r="D163" s="45"/>
      <c r="E163" s="45">
        <v>17</v>
      </c>
      <c r="F163" s="45"/>
      <c r="G163" s="45">
        <v>22</v>
      </c>
      <c r="H163" s="45"/>
      <c r="I163" s="34">
        <v>39</v>
      </c>
      <c r="J163" t="e">
        <f>I163/(VLOOKUP(B163,'Team Stats'!$B$3:$K$18,5,0))</f>
        <v>#N/A</v>
      </c>
      <c r="M163" t="s">
        <v>834</v>
      </c>
      <c r="N163" t="s">
        <v>205</v>
      </c>
      <c r="O163">
        <v>11</v>
      </c>
      <c r="P163">
        <v>642</v>
      </c>
      <c r="Q163">
        <v>1.7133956386292833E-2</v>
      </c>
      <c r="R163" s="57">
        <f>VLOOKUP(N163,'Team Stats'!$B$3:$K$18,9,0)</f>
        <v>11</v>
      </c>
      <c r="S163" s="54">
        <f>VLOOKUP(N163,'Team Stats'!$B$3:$K$18,10,0)</f>
        <v>86.121951219512198</v>
      </c>
      <c r="T163" s="54">
        <f t="shared" si="4"/>
        <v>1.475609756097561</v>
      </c>
      <c r="U163">
        <f t="shared" si="5"/>
        <v>161</v>
      </c>
    </row>
    <row r="164" spans="1:21" x14ac:dyDescent="0.25">
      <c r="A164" s="44" t="s">
        <v>487</v>
      </c>
      <c r="B164" s="44" t="s">
        <v>208</v>
      </c>
      <c r="C164" s="45">
        <v>68</v>
      </c>
      <c r="D164" s="45"/>
      <c r="E164" s="45">
        <v>21</v>
      </c>
      <c r="F164" s="45"/>
      <c r="G164" s="45">
        <v>18</v>
      </c>
      <c r="H164" s="45"/>
      <c r="I164" s="34">
        <v>39</v>
      </c>
      <c r="J164">
        <f>I164/(VLOOKUP(B164,'Team Stats'!$B$3:$K$18,5,0))</f>
        <v>6.1904761904761907E-2</v>
      </c>
      <c r="M164" t="s">
        <v>838</v>
      </c>
      <c r="N164" t="s">
        <v>205</v>
      </c>
      <c r="O164">
        <v>11</v>
      </c>
      <c r="P164">
        <v>642</v>
      </c>
      <c r="Q164">
        <v>1.7133956386292833E-2</v>
      </c>
      <c r="R164" s="57">
        <f>VLOOKUP(N164,'Team Stats'!$B$3:$K$18,9,0)</f>
        <v>11</v>
      </c>
      <c r="S164" s="54">
        <f>VLOOKUP(N164,'Team Stats'!$B$3:$K$18,10,0)</f>
        <v>86.121951219512198</v>
      </c>
      <c r="T164" s="54">
        <f t="shared" si="4"/>
        <v>1.475609756097561</v>
      </c>
      <c r="U164">
        <f t="shared" si="5"/>
        <v>161</v>
      </c>
    </row>
    <row r="165" spans="1:21" x14ac:dyDescent="0.25">
      <c r="A165" s="44" t="s">
        <v>488</v>
      </c>
      <c r="B165" s="44" t="s">
        <v>204</v>
      </c>
      <c r="C165" s="45">
        <v>81</v>
      </c>
      <c r="D165" s="45"/>
      <c r="E165" s="45">
        <v>13</v>
      </c>
      <c r="F165" s="45"/>
      <c r="G165" s="45">
        <v>26</v>
      </c>
      <c r="H165" s="45"/>
      <c r="I165" s="34">
        <v>39</v>
      </c>
      <c r="J165">
        <f>I165/(VLOOKUP(B165,'Team Stats'!$B$3:$K$18,5,0))</f>
        <v>6.3621533442088096E-2</v>
      </c>
      <c r="M165" t="s">
        <v>842</v>
      </c>
      <c r="N165" t="s">
        <v>199</v>
      </c>
      <c r="O165">
        <v>10</v>
      </c>
      <c r="P165">
        <v>660</v>
      </c>
      <c r="Q165">
        <v>1.5151515151515152E-2</v>
      </c>
      <c r="R165" s="57">
        <f>VLOOKUP(N165,'Team Stats'!$B$3:$K$18,9,0)</f>
        <v>12</v>
      </c>
      <c r="S165" s="54">
        <f>VLOOKUP(N165,'Team Stats'!$B$3:$K$18,10,0)</f>
        <v>96.585365853658544</v>
      </c>
      <c r="T165" s="54">
        <f t="shared" si="4"/>
        <v>1.4634146341463417</v>
      </c>
      <c r="U165">
        <f t="shared" si="5"/>
        <v>163</v>
      </c>
    </row>
    <row r="166" spans="1:21" x14ac:dyDescent="0.25">
      <c r="A166" s="44" t="s">
        <v>489</v>
      </c>
      <c r="B166" s="44" t="s">
        <v>335</v>
      </c>
      <c r="C166" s="45">
        <v>82</v>
      </c>
      <c r="D166" s="45"/>
      <c r="E166" s="45">
        <v>9</v>
      </c>
      <c r="F166" s="45"/>
      <c r="G166" s="45">
        <v>30</v>
      </c>
      <c r="H166" s="45"/>
      <c r="I166" s="34">
        <v>39</v>
      </c>
      <c r="J166" t="e">
        <f>I166/(VLOOKUP(B166,'Team Stats'!$B$3:$K$18,5,0))</f>
        <v>#N/A</v>
      </c>
      <c r="M166" t="s">
        <v>689</v>
      </c>
      <c r="N166" t="s">
        <v>197</v>
      </c>
      <c r="O166">
        <v>20</v>
      </c>
      <c r="P166">
        <v>600</v>
      </c>
      <c r="Q166">
        <v>3.3333333333333333E-2</v>
      </c>
      <c r="R166" s="57">
        <f>VLOOKUP(N166,'Team Stats'!$B$3:$K$18,9,0)</f>
        <v>6</v>
      </c>
      <c r="S166" s="54">
        <f>VLOOKUP(N166,'Team Stats'!$B$3:$K$18,10,0)</f>
        <v>43.902439024390247</v>
      </c>
      <c r="T166" s="54">
        <f t="shared" si="4"/>
        <v>1.4634146341463417</v>
      </c>
      <c r="U166">
        <f t="shared" si="5"/>
        <v>163</v>
      </c>
    </row>
    <row r="167" spans="1:21" x14ac:dyDescent="0.25">
      <c r="A167" s="44" t="s">
        <v>490</v>
      </c>
      <c r="B167" s="44" t="s">
        <v>215</v>
      </c>
      <c r="C167" s="45">
        <v>64</v>
      </c>
      <c r="D167" s="45"/>
      <c r="E167" s="45">
        <v>14</v>
      </c>
      <c r="F167" s="45"/>
      <c r="G167" s="45">
        <v>24</v>
      </c>
      <c r="H167" s="45"/>
      <c r="I167" s="34">
        <v>38</v>
      </c>
      <c r="J167" t="e">
        <f>I167/(VLOOKUP(B167,'Team Stats'!$B$3:$K$18,5,0))</f>
        <v>#N/A</v>
      </c>
      <c r="M167" t="s">
        <v>855</v>
      </c>
      <c r="N167" t="s">
        <v>201</v>
      </c>
      <c r="O167">
        <v>10</v>
      </c>
      <c r="P167">
        <v>601</v>
      </c>
      <c r="Q167">
        <v>1.6638935108153077E-2</v>
      </c>
      <c r="R167" s="57">
        <f>VLOOKUP(N167,'Team Stats'!$B$3:$K$18,9,0)</f>
        <v>12</v>
      </c>
      <c r="S167" s="54">
        <f>VLOOKUP(N167,'Team Stats'!$B$3:$K$18,10,0)</f>
        <v>87.951219512195124</v>
      </c>
      <c r="T167" s="54">
        <f t="shared" si="4"/>
        <v>1.4634146341463414</v>
      </c>
      <c r="U167">
        <f t="shared" si="5"/>
        <v>165</v>
      </c>
    </row>
    <row r="168" spans="1:21" x14ac:dyDescent="0.25">
      <c r="A168" s="44" t="s">
        <v>491</v>
      </c>
      <c r="B168" s="44" t="s">
        <v>201</v>
      </c>
      <c r="C168" s="45">
        <v>82</v>
      </c>
      <c r="D168" s="45"/>
      <c r="E168" s="45">
        <v>13</v>
      </c>
      <c r="F168" s="45"/>
      <c r="G168" s="45">
        <v>25</v>
      </c>
      <c r="H168" s="45"/>
      <c r="I168" s="34">
        <v>38</v>
      </c>
      <c r="J168">
        <f>I168/(VLOOKUP(B168,'Team Stats'!$B$3:$K$18,5,0))</f>
        <v>6.3227953410981697E-2</v>
      </c>
      <c r="M168" t="s">
        <v>846</v>
      </c>
      <c r="N168" t="s">
        <v>201</v>
      </c>
      <c r="O168">
        <v>10</v>
      </c>
      <c r="P168">
        <v>601</v>
      </c>
      <c r="Q168">
        <v>1.6638935108153077E-2</v>
      </c>
      <c r="R168" s="57">
        <f>VLOOKUP(N168,'Team Stats'!$B$3:$K$18,9,0)</f>
        <v>12</v>
      </c>
      <c r="S168" s="54">
        <f>VLOOKUP(N168,'Team Stats'!$B$3:$K$18,10,0)</f>
        <v>87.951219512195124</v>
      </c>
      <c r="T168" s="54">
        <f t="shared" si="4"/>
        <v>1.4634146341463414</v>
      </c>
      <c r="U168">
        <f t="shared" si="5"/>
        <v>165</v>
      </c>
    </row>
    <row r="169" spans="1:21" x14ac:dyDescent="0.25">
      <c r="A169" s="44" t="s">
        <v>492</v>
      </c>
      <c r="B169" s="44" t="s">
        <v>218</v>
      </c>
      <c r="C169" s="45">
        <v>78</v>
      </c>
      <c r="D169" s="45"/>
      <c r="E169" s="45">
        <v>14</v>
      </c>
      <c r="F169" s="45"/>
      <c r="G169" s="45">
        <v>24</v>
      </c>
      <c r="H169" s="45"/>
      <c r="I169" s="34">
        <v>38</v>
      </c>
      <c r="J169" t="e">
        <f>I169/(VLOOKUP(B169,'Team Stats'!$B$3:$K$18,5,0))</f>
        <v>#N/A</v>
      </c>
      <c r="M169" t="s">
        <v>688</v>
      </c>
      <c r="N169" t="s">
        <v>211</v>
      </c>
      <c r="O169">
        <v>20</v>
      </c>
      <c r="P169">
        <v>608</v>
      </c>
      <c r="Q169">
        <v>3.2894736842105261E-2</v>
      </c>
      <c r="R169" s="57">
        <f>VLOOKUP(N169,'Team Stats'!$B$3:$K$18,9,0)</f>
        <v>6</v>
      </c>
      <c r="S169" s="54">
        <f>VLOOKUP(N169,'Team Stats'!$B$3:$K$18,10,0)</f>
        <v>44.487804878048784</v>
      </c>
      <c r="T169" s="54">
        <f t="shared" si="4"/>
        <v>1.4634146341463414</v>
      </c>
      <c r="U169">
        <f t="shared" si="5"/>
        <v>165</v>
      </c>
    </row>
    <row r="170" spans="1:21" x14ac:dyDescent="0.25">
      <c r="A170" s="44" t="s">
        <v>493</v>
      </c>
      <c r="B170" s="44" t="s">
        <v>335</v>
      </c>
      <c r="C170" s="45">
        <v>71</v>
      </c>
      <c r="D170" s="45"/>
      <c r="E170" s="45">
        <v>15</v>
      </c>
      <c r="F170" s="45"/>
      <c r="G170" s="45">
        <v>23</v>
      </c>
      <c r="H170" s="45"/>
      <c r="I170" s="34">
        <v>38</v>
      </c>
      <c r="J170" t="e">
        <f>I170/(VLOOKUP(B170,'Team Stats'!$B$3:$K$18,5,0))</f>
        <v>#N/A</v>
      </c>
      <c r="M170" t="s">
        <v>687</v>
      </c>
      <c r="N170" t="s">
        <v>195</v>
      </c>
      <c r="O170">
        <v>20</v>
      </c>
      <c r="P170">
        <v>656</v>
      </c>
      <c r="Q170">
        <v>3.048780487804878E-2</v>
      </c>
      <c r="R170" s="57">
        <f>VLOOKUP(N170,'Team Stats'!$B$3:$K$18,9,0)</f>
        <v>6</v>
      </c>
      <c r="S170" s="54">
        <f>VLOOKUP(N170,'Team Stats'!$B$3:$K$18,10,0)</f>
        <v>48</v>
      </c>
      <c r="T170" s="54">
        <f t="shared" si="4"/>
        <v>1.4634146341463414</v>
      </c>
      <c r="U170">
        <f t="shared" si="5"/>
        <v>165</v>
      </c>
    </row>
    <row r="171" spans="1:21" x14ac:dyDescent="0.25">
      <c r="A171" s="44" t="s">
        <v>494</v>
      </c>
      <c r="B171" s="44" t="s">
        <v>214</v>
      </c>
      <c r="C171" s="45">
        <v>53</v>
      </c>
      <c r="D171" s="45"/>
      <c r="E171" s="45">
        <v>14</v>
      </c>
      <c r="F171" s="45"/>
      <c r="G171" s="45">
        <v>24</v>
      </c>
      <c r="H171" s="45"/>
      <c r="I171" s="34">
        <v>38</v>
      </c>
      <c r="J171" t="e">
        <f>I171/(VLOOKUP(B171,'Team Stats'!$B$3:$K$18,5,0))</f>
        <v>#N/A</v>
      </c>
      <c r="M171" t="s">
        <v>698</v>
      </c>
      <c r="N171" t="s">
        <v>195</v>
      </c>
      <c r="O171">
        <v>19</v>
      </c>
      <c r="P171">
        <v>656</v>
      </c>
      <c r="Q171">
        <v>2.8963414634146343E-2</v>
      </c>
      <c r="R171" s="57">
        <f>VLOOKUP(N171,'Team Stats'!$B$3:$K$18,9,0)</f>
        <v>6</v>
      </c>
      <c r="S171" s="54">
        <f>VLOOKUP(N171,'Team Stats'!$B$3:$K$18,10,0)</f>
        <v>48</v>
      </c>
      <c r="T171" s="54">
        <f t="shared" si="4"/>
        <v>1.3902439024390245</v>
      </c>
      <c r="U171">
        <f t="shared" si="5"/>
        <v>169</v>
      </c>
    </row>
    <row r="172" spans="1:21" x14ac:dyDescent="0.25">
      <c r="A172" s="44" t="s">
        <v>495</v>
      </c>
      <c r="B172" s="44" t="s">
        <v>211</v>
      </c>
      <c r="C172" s="45">
        <v>77</v>
      </c>
      <c r="D172" s="45"/>
      <c r="E172" s="45">
        <v>2</v>
      </c>
      <c r="F172" s="45"/>
      <c r="G172" s="45">
        <v>36</v>
      </c>
      <c r="H172" s="45"/>
      <c r="I172" s="34">
        <v>38</v>
      </c>
      <c r="J172">
        <f>I172/(VLOOKUP(B172,'Team Stats'!$B$3:$K$18,5,0))</f>
        <v>6.25E-2</v>
      </c>
      <c r="M172" t="s">
        <v>699</v>
      </c>
      <c r="N172" t="s">
        <v>211</v>
      </c>
      <c r="O172">
        <v>19</v>
      </c>
      <c r="P172">
        <v>608</v>
      </c>
      <c r="Q172">
        <v>3.125E-2</v>
      </c>
      <c r="R172" s="57">
        <f>VLOOKUP(N172,'Team Stats'!$B$3:$K$18,9,0)</f>
        <v>6</v>
      </c>
      <c r="S172" s="54">
        <f>VLOOKUP(N172,'Team Stats'!$B$3:$K$18,10,0)</f>
        <v>44.487804878048784</v>
      </c>
      <c r="T172" s="54">
        <f t="shared" si="4"/>
        <v>1.3902439024390245</v>
      </c>
      <c r="U172">
        <f t="shared" si="5"/>
        <v>169</v>
      </c>
    </row>
    <row r="173" spans="1:21" x14ac:dyDescent="0.25">
      <c r="A173" s="44" t="s">
        <v>496</v>
      </c>
      <c r="B173" s="44" t="s">
        <v>335</v>
      </c>
      <c r="C173" s="45">
        <v>59</v>
      </c>
      <c r="D173" s="45"/>
      <c r="E173" s="45">
        <v>10</v>
      </c>
      <c r="F173" s="45"/>
      <c r="G173" s="45">
        <v>28</v>
      </c>
      <c r="H173" s="45"/>
      <c r="I173" s="34">
        <v>38</v>
      </c>
      <c r="J173" t="e">
        <f>I173/(VLOOKUP(B173,'Team Stats'!$B$3:$K$18,5,0))</f>
        <v>#N/A</v>
      </c>
      <c r="M173" t="s">
        <v>582</v>
      </c>
      <c r="N173" t="s">
        <v>209</v>
      </c>
      <c r="O173">
        <v>28</v>
      </c>
      <c r="P173">
        <v>594</v>
      </c>
      <c r="Q173">
        <v>4.7138047138047139E-2</v>
      </c>
      <c r="R173" s="57">
        <f>VLOOKUP(N173,'Team Stats'!$B$3:$K$18,9,0)</f>
        <v>4</v>
      </c>
      <c r="S173" s="54">
        <f>VLOOKUP(N173,'Team Stats'!$B$3:$K$18,10,0)</f>
        <v>28.975609756097562</v>
      </c>
      <c r="T173" s="54">
        <f t="shared" si="4"/>
        <v>1.3658536585365855</v>
      </c>
      <c r="U173">
        <f t="shared" si="5"/>
        <v>171</v>
      </c>
    </row>
    <row r="174" spans="1:21" x14ac:dyDescent="0.25">
      <c r="A174" s="44" t="s">
        <v>497</v>
      </c>
      <c r="B174" s="44" t="s">
        <v>203</v>
      </c>
      <c r="C174" s="45">
        <v>68</v>
      </c>
      <c r="D174" s="45"/>
      <c r="E174" s="45">
        <v>16</v>
      </c>
      <c r="F174" s="45"/>
      <c r="G174" s="45">
        <v>22</v>
      </c>
      <c r="H174" s="45"/>
      <c r="I174" s="34">
        <v>38</v>
      </c>
      <c r="J174" t="e">
        <f>I174/(VLOOKUP(B174,'Team Stats'!$B$3:$K$18,5,0))</f>
        <v>#N/A</v>
      </c>
      <c r="M174" t="s">
        <v>584</v>
      </c>
      <c r="N174" t="s">
        <v>209</v>
      </c>
      <c r="O174">
        <v>28</v>
      </c>
      <c r="P174">
        <v>594</v>
      </c>
      <c r="Q174">
        <v>4.7138047138047139E-2</v>
      </c>
      <c r="R174" s="57">
        <f>VLOOKUP(N174,'Team Stats'!$B$3:$K$18,9,0)</f>
        <v>4</v>
      </c>
      <c r="S174" s="54">
        <f>VLOOKUP(N174,'Team Stats'!$B$3:$K$18,10,0)</f>
        <v>28.975609756097562</v>
      </c>
      <c r="T174" s="54">
        <f t="shared" si="4"/>
        <v>1.3658536585365855</v>
      </c>
      <c r="U174">
        <f t="shared" si="5"/>
        <v>171</v>
      </c>
    </row>
    <row r="175" spans="1:21" x14ac:dyDescent="0.25">
      <c r="A175" s="44" t="s">
        <v>498</v>
      </c>
      <c r="B175" s="44" t="s">
        <v>324</v>
      </c>
      <c r="C175" s="45">
        <v>80</v>
      </c>
      <c r="D175" s="45"/>
      <c r="E175" s="45">
        <v>11</v>
      </c>
      <c r="F175" s="45"/>
      <c r="G175" s="45">
        <v>26</v>
      </c>
      <c r="H175" s="45"/>
      <c r="I175" s="34">
        <v>37</v>
      </c>
      <c r="J175" t="e">
        <f>I175/(VLOOKUP(B175,'Team Stats'!$B$3:$K$18,5,0))</f>
        <v>#N/A</v>
      </c>
      <c r="M175" t="s">
        <v>850</v>
      </c>
      <c r="N175" t="s">
        <v>204</v>
      </c>
      <c r="O175">
        <v>10</v>
      </c>
      <c r="P175">
        <v>613</v>
      </c>
      <c r="Q175">
        <v>1.6313213703099509E-2</v>
      </c>
      <c r="R175" s="57">
        <f>VLOOKUP(N175,'Team Stats'!$B$3:$K$18,9,0)</f>
        <v>11</v>
      </c>
      <c r="S175" s="54">
        <f>VLOOKUP(N175,'Team Stats'!$B$3:$K$18,10,0)</f>
        <v>82.231707317073173</v>
      </c>
      <c r="T175" s="54">
        <f t="shared" si="4"/>
        <v>1.3414634146341462</v>
      </c>
      <c r="U175">
        <f t="shared" si="5"/>
        <v>173</v>
      </c>
    </row>
    <row r="176" spans="1:21" x14ac:dyDescent="0.25">
      <c r="A176" s="44" t="s">
        <v>499</v>
      </c>
      <c r="B176" s="44" t="s">
        <v>201</v>
      </c>
      <c r="C176" s="45">
        <v>76</v>
      </c>
      <c r="D176" s="45"/>
      <c r="E176" s="45">
        <v>12</v>
      </c>
      <c r="F176" s="45"/>
      <c r="G176" s="45">
        <v>25</v>
      </c>
      <c r="H176" s="45"/>
      <c r="I176" s="34">
        <v>37</v>
      </c>
      <c r="J176">
        <f>I176/(VLOOKUP(B176,'Team Stats'!$B$3:$K$18,5,0))</f>
        <v>6.156405990016639E-2</v>
      </c>
      <c r="M176" t="s">
        <v>714</v>
      </c>
      <c r="N176" t="s">
        <v>195</v>
      </c>
      <c r="O176">
        <v>18</v>
      </c>
      <c r="P176">
        <v>656</v>
      </c>
      <c r="Q176">
        <v>2.7439024390243903E-2</v>
      </c>
      <c r="R176" s="57">
        <f>VLOOKUP(N176,'Team Stats'!$B$3:$K$18,9,0)</f>
        <v>6</v>
      </c>
      <c r="S176" s="54">
        <f>VLOOKUP(N176,'Team Stats'!$B$3:$K$18,10,0)</f>
        <v>48</v>
      </c>
      <c r="T176" s="54">
        <f t="shared" si="4"/>
        <v>1.3170731707317074</v>
      </c>
      <c r="U176">
        <f t="shared" si="5"/>
        <v>174</v>
      </c>
    </row>
    <row r="177" spans="1:21" x14ac:dyDescent="0.25">
      <c r="A177" s="44" t="s">
        <v>500</v>
      </c>
      <c r="B177" s="44" t="s">
        <v>195</v>
      </c>
      <c r="C177" s="45">
        <v>78</v>
      </c>
      <c r="D177" s="45"/>
      <c r="E177" s="45">
        <v>10</v>
      </c>
      <c r="F177" s="45"/>
      <c r="G177" s="45">
        <v>27</v>
      </c>
      <c r="H177" s="45"/>
      <c r="I177" s="34">
        <v>37</v>
      </c>
      <c r="J177">
        <f>I177/(VLOOKUP(B177,'Team Stats'!$B$3:$K$18,5,0))</f>
        <v>5.6402439024390245E-2</v>
      </c>
      <c r="M177" t="s">
        <v>865</v>
      </c>
      <c r="N177" t="s">
        <v>199</v>
      </c>
      <c r="O177">
        <v>9</v>
      </c>
      <c r="P177">
        <v>660</v>
      </c>
      <c r="Q177">
        <v>1.3636363636363636E-2</v>
      </c>
      <c r="R177" s="57">
        <f>VLOOKUP(N177,'Team Stats'!$B$3:$K$18,9,0)</f>
        <v>12</v>
      </c>
      <c r="S177" s="54">
        <f>VLOOKUP(N177,'Team Stats'!$B$3:$K$18,10,0)</f>
        <v>96.585365853658544</v>
      </c>
      <c r="T177" s="54">
        <f t="shared" si="4"/>
        <v>1.3170731707317074</v>
      </c>
      <c r="U177">
        <f t="shared" si="5"/>
        <v>174</v>
      </c>
    </row>
    <row r="178" spans="1:21" x14ac:dyDescent="0.25">
      <c r="A178" s="44" t="s">
        <v>501</v>
      </c>
      <c r="B178" s="44" t="s">
        <v>198</v>
      </c>
      <c r="C178" s="45">
        <v>82</v>
      </c>
      <c r="D178" s="45"/>
      <c r="E178" s="45">
        <v>15</v>
      </c>
      <c r="F178" s="45"/>
      <c r="G178" s="45">
        <v>22</v>
      </c>
      <c r="H178" s="45"/>
      <c r="I178" s="34">
        <v>37</v>
      </c>
      <c r="J178" t="e">
        <f>I178/(VLOOKUP(B178,'Team Stats'!$B$3:$K$18,5,0))</f>
        <v>#N/A</v>
      </c>
      <c r="M178" t="s">
        <v>856</v>
      </c>
      <c r="N178" t="s">
        <v>199</v>
      </c>
      <c r="O178">
        <v>9</v>
      </c>
      <c r="P178">
        <v>660</v>
      </c>
      <c r="Q178">
        <v>1.3636363636363636E-2</v>
      </c>
      <c r="R178" s="57">
        <f>VLOOKUP(N178,'Team Stats'!$B$3:$K$18,9,0)</f>
        <v>12</v>
      </c>
      <c r="S178" s="54">
        <f>VLOOKUP(N178,'Team Stats'!$B$3:$K$18,10,0)</f>
        <v>96.585365853658544</v>
      </c>
      <c r="T178" s="54">
        <f t="shared" si="4"/>
        <v>1.3170731707317074</v>
      </c>
      <c r="U178">
        <f t="shared" si="5"/>
        <v>174</v>
      </c>
    </row>
    <row r="179" spans="1:21" x14ac:dyDescent="0.25">
      <c r="A179" s="44" t="s">
        <v>502</v>
      </c>
      <c r="B179" s="44" t="s">
        <v>204</v>
      </c>
      <c r="C179" s="45">
        <v>67</v>
      </c>
      <c r="D179" s="45"/>
      <c r="E179" s="45">
        <v>12</v>
      </c>
      <c r="F179" s="45"/>
      <c r="G179" s="45">
        <v>25</v>
      </c>
      <c r="H179" s="45"/>
      <c r="I179" s="34">
        <v>37</v>
      </c>
      <c r="J179">
        <f>I179/(VLOOKUP(B179,'Team Stats'!$B$3:$K$18,5,0))</f>
        <v>6.0358890701468187E-2</v>
      </c>
      <c r="M179" t="s">
        <v>863</v>
      </c>
      <c r="N179" t="s">
        <v>201</v>
      </c>
      <c r="O179">
        <v>9</v>
      </c>
      <c r="P179">
        <v>601</v>
      </c>
      <c r="Q179">
        <v>1.4975041597337771E-2</v>
      </c>
      <c r="R179" s="57">
        <f>VLOOKUP(N179,'Team Stats'!$B$3:$K$18,9,0)</f>
        <v>12</v>
      </c>
      <c r="S179" s="54">
        <f>VLOOKUP(N179,'Team Stats'!$B$3:$K$18,10,0)</f>
        <v>87.951219512195124</v>
      </c>
      <c r="T179" s="54">
        <f t="shared" si="4"/>
        <v>1.3170731707317074</v>
      </c>
      <c r="U179">
        <f t="shared" si="5"/>
        <v>174</v>
      </c>
    </row>
    <row r="180" spans="1:21" x14ac:dyDescent="0.25">
      <c r="A180" s="44" t="s">
        <v>503</v>
      </c>
      <c r="B180" s="44" t="s">
        <v>364</v>
      </c>
      <c r="C180" s="45">
        <v>67</v>
      </c>
      <c r="D180" s="45"/>
      <c r="E180" s="45">
        <v>23</v>
      </c>
      <c r="F180" s="45"/>
      <c r="G180" s="45">
        <v>14</v>
      </c>
      <c r="H180" s="45"/>
      <c r="I180" s="34">
        <v>37</v>
      </c>
      <c r="J180" t="e">
        <f>I180/(VLOOKUP(B180,'Team Stats'!$B$3:$K$18,5,0))</f>
        <v>#N/A</v>
      </c>
      <c r="M180" t="s">
        <v>717</v>
      </c>
      <c r="N180" t="s">
        <v>208</v>
      </c>
      <c r="O180">
        <v>18</v>
      </c>
      <c r="P180">
        <v>630</v>
      </c>
      <c r="Q180">
        <v>2.8571428571428571E-2</v>
      </c>
      <c r="R180" s="57">
        <f>VLOOKUP(N180,'Team Stats'!$B$3:$K$18,9,0)</f>
        <v>6</v>
      </c>
      <c r="S180" s="54">
        <f>VLOOKUP(N180,'Team Stats'!$B$3:$K$18,10,0)</f>
        <v>46.097560975609753</v>
      </c>
      <c r="T180" s="54">
        <f t="shared" si="4"/>
        <v>1.3170731707317072</v>
      </c>
      <c r="U180">
        <f t="shared" si="5"/>
        <v>178</v>
      </c>
    </row>
    <row r="181" spans="1:21" x14ac:dyDescent="0.25">
      <c r="A181" s="44" t="s">
        <v>504</v>
      </c>
      <c r="B181" s="44" t="s">
        <v>211</v>
      </c>
      <c r="C181" s="45">
        <v>80</v>
      </c>
      <c r="D181" s="45"/>
      <c r="E181" s="45">
        <v>24</v>
      </c>
      <c r="F181" s="45"/>
      <c r="G181" s="45">
        <v>13</v>
      </c>
      <c r="H181" s="45"/>
      <c r="I181" s="34">
        <v>37</v>
      </c>
      <c r="J181">
        <f>I181/(VLOOKUP(B181,'Team Stats'!$B$3:$K$18,5,0))</f>
        <v>6.0855263157894739E-2</v>
      </c>
      <c r="M181" t="s">
        <v>713</v>
      </c>
      <c r="N181" t="s">
        <v>208</v>
      </c>
      <c r="O181">
        <v>18</v>
      </c>
      <c r="P181">
        <v>630</v>
      </c>
      <c r="Q181">
        <v>2.8571428571428571E-2</v>
      </c>
      <c r="R181" s="57">
        <f>VLOOKUP(N181,'Team Stats'!$B$3:$K$18,9,0)</f>
        <v>6</v>
      </c>
      <c r="S181" s="54">
        <f>VLOOKUP(N181,'Team Stats'!$B$3:$K$18,10,0)</f>
        <v>46.097560975609753</v>
      </c>
      <c r="T181" s="54">
        <f t="shared" si="4"/>
        <v>1.3170731707317072</v>
      </c>
      <c r="U181">
        <f t="shared" si="5"/>
        <v>178</v>
      </c>
    </row>
    <row r="182" spans="1:21" x14ac:dyDescent="0.25">
      <c r="A182" s="44" t="s">
        <v>505</v>
      </c>
      <c r="B182" s="44" t="s">
        <v>203</v>
      </c>
      <c r="C182" s="45">
        <v>81</v>
      </c>
      <c r="D182" s="45"/>
      <c r="E182" s="45">
        <v>4</v>
      </c>
      <c r="F182" s="45"/>
      <c r="G182" s="45">
        <v>32</v>
      </c>
      <c r="H182" s="45"/>
      <c r="I182" s="34">
        <v>36</v>
      </c>
      <c r="J182" t="e">
        <f>I182/(VLOOKUP(B182,'Team Stats'!$B$3:$K$18,5,0))</f>
        <v>#N/A</v>
      </c>
      <c r="M182" t="s">
        <v>716</v>
      </c>
      <c r="N182" t="s">
        <v>208</v>
      </c>
      <c r="O182">
        <v>18</v>
      </c>
      <c r="P182">
        <v>630</v>
      </c>
      <c r="Q182">
        <v>2.8571428571428571E-2</v>
      </c>
      <c r="R182" s="57">
        <f>VLOOKUP(N182,'Team Stats'!$B$3:$K$18,9,0)</f>
        <v>6</v>
      </c>
      <c r="S182" s="54">
        <f>VLOOKUP(N182,'Team Stats'!$B$3:$K$18,10,0)</f>
        <v>46.097560975609753</v>
      </c>
      <c r="T182" s="54">
        <f t="shared" si="4"/>
        <v>1.3170731707317072</v>
      </c>
      <c r="U182">
        <f t="shared" si="5"/>
        <v>178</v>
      </c>
    </row>
    <row r="183" spans="1:21" x14ac:dyDescent="0.25">
      <c r="A183" s="44" t="s">
        <v>506</v>
      </c>
      <c r="B183" s="44" t="s">
        <v>221</v>
      </c>
      <c r="C183" s="45">
        <v>79</v>
      </c>
      <c r="D183" s="45"/>
      <c r="E183" s="45">
        <v>14</v>
      </c>
      <c r="F183" s="45"/>
      <c r="G183" s="45">
        <v>22</v>
      </c>
      <c r="H183" s="45"/>
      <c r="I183" s="34">
        <v>36</v>
      </c>
      <c r="J183" t="e">
        <f>I183/(VLOOKUP(B183,'Team Stats'!$B$3:$K$18,5,0))</f>
        <v>#N/A</v>
      </c>
      <c r="M183" t="s">
        <v>754</v>
      </c>
      <c r="N183" t="s">
        <v>213</v>
      </c>
      <c r="O183">
        <v>15</v>
      </c>
      <c r="P183">
        <v>619</v>
      </c>
      <c r="Q183">
        <v>2.4232633279483037E-2</v>
      </c>
      <c r="R183" s="57">
        <f>VLOOKUP(N183,'Team Stats'!$B$3:$K$18,9,0)</f>
        <v>7</v>
      </c>
      <c r="S183" s="54">
        <f>VLOOKUP(N183,'Team Stats'!$B$3:$K$18,10,0)</f>
        <v>52.841463414634148</v>
      </c>
      <c r="T183" s="54">
        <f t="shared" si="4"/>
        <v>1.2804878048780488</v>
      </c>
      <c r="U183">
        <f t="shared" si="5"/>
        <v>181</v>
      </c>
    </row>
    <row r="184" spans="1:21" x14ac:dyDescent="0.25">
      <c r="A184" s="44" t="s">
        <v>507</v>
      </c>
      <c r="B184" s="44" t="s">
        <v>339</v>
      </c>
      <c r="C184" s="45">
        <v>75</v>
      </c>
      <c r="D184" s="45"/>
      <c r="E184" s="45">
        <v>15</v>
      </c>
      <c r="F184" s="45"/>
      <c r="G184" s="45">
        <v>21</v>
      </c>
      <c r="H184" s="45"/>
      <c r="I184" s="34">
        <v>36</v>
      </c>
      <c r="J184" t="e">
        <f>I184/(VLOOKUP(B184,'Team Stats'!$B$3:$K$18,5,0))</f>
        <v>#N/A</v>
      </c>
      <c r="M184" t="s">
        <v>731</v>
      </c>
      <c r="N184" t="s">
        <v>211</v>
      </c>
      <c r="O184">
        <v>17</v>
      </c>
      <c r="P184">
        <v>608</v>
      </c>
      <c r="Q184">
        <v>2.7960526315789474E-2</v>
      </c>
      <c r="R184" s="57">
        <f>VLOOKUP(N184,'Team Stats'!$B$3:$K$18,9,0)</f>
        <v>6</v>
      </c>
      <c r="S184" s="54">
        <f>VLOOKUP(N184,'Team Stats'!$B$3:$K$18,10,0)</f>
        <v>44.487804878048784</v>
      </c>
      <c r="T184" s="54">
        <f t="shared" si="4"/>
        <v>1.2439024390243905</v>
      </c>
      <c r="U184">
        <f t="shared" si="5"/>
        <v>182</v>
      </c>
    </row>
    <row r="185" spans="1:21" x14ac:dyDescent="0.25">
      <c r="A185" s="44" t="s">
        <v>508</v>
      </c>
      <c r="B185" s="44" t="s">
        <v>205</v>
      </c>
      <c r="C185" s="45">
        <v>77</v>
      </c>
      <c r="D185" s="45"/>
      <c r="E185" s="45">
        <v>12</v>
      </c>
      <c r="F185" s="45"/>
      <c r="G185" s="45">
        <v>24</v>
      </c>
      <c r="H185" s="45"/>
      <c r="I185" s="34">
        <v>36</v>
      </c>
      <c r="J185">
        <f>I185/(VLOOKUP(B185,'Team Stats'!$B$3:$K$18,5,0))</f>
        <v>5.6074766355140186E-2</v>
      </c>
      <c r="M185" t="s">
        <v>722</v>
      </c>
      <c r="N185" t="s">
        <v>197</v>
      </c>
      <c r="O185">
        <v>17</v>
      </c>
      <c r="P185">
        <v>600</v>
      </c>
      <c r="Q185">
        <v>2.8333333333333332E-2</v>
      </c>
      <c r="R185" s="57">
        <f>VLOOKUP(N185,'Team Stats'!$B$3:$K$18,9,0)</f>
        <v>6</v>
      </c>
      <c r="S185" s="54">
        <f>VLOOKUP(N185,'Team Stats'!$B$3:$K$18,10,0)</f>
        <v>43.902439024390247</v>
      </c>
      <c r="T185" s="54">
        <f t="shared" si="4"/>
        <v>1.2439024390243902</v>
      </c>
      <c r="U185">
        <f t="shared" si="5"/>
        <v>183</v>
      </c>
    </row>
    <row r="186" spans="1:21" x14ac:dyDescent="0.25">
      <c r="A186" s="44" t="s">
        <v>509</v>
      </c>
      <c r="B186" s="44" t="s">
        <v>208</v>
      </c>
      <c r="C186" s="45">
        <v>79</v>
      </c>
      <c r="D186" s="45"/>
      <c r="E186" s="45">
        <v>13</v>
      </c>
      <c r="F186" s="45"/>
      <c r="G186" s="45">
        <v>23</v>
      </c>
      <c r="H186" s="45"/>
      <c r="I186" s="34">
        <v>36</v>
      </c>
      <c r="J186">
        <f>I186/(VLOOKUP(B186,'Team Stats'!$B$3:$K$18,5,0))</f>
        <v>5.7142857142857141E-2</v>
      </c>
      <c r="M186" t="s">
        <v>732</v>
      </c>
      <c r="N186" t="s">
        <v>195</v>
      </c>
      <c r="O186">
        <v>16</v>
      </c>
      <c r="P186">
        <v>656</v>
      </c>
      <c r="Q186">
        <v>2.4390243902439025E-2</v>
      </c>
      <c r="R186" s="57">
        <f>VLOOKUP(N186,'Team Stats'!$B$3:$K$18,9,0)</f>
        <v>6</v>
      </c>
      <c r="S186" s="54">
        <f>VLOOKUP(N186,'Team Stats'!$B$3:$K$18,10,0)</f>
        <v>48</v>
      </c>
      <c r="T186" s="54">
        <f t="shared" si="4"/>
        <v>1.1707317073170733</v>
      </c>
      <c r="U186">
        <f t="shared" si="5"/>
        <v>184</v>
      </c>
    </row>
    <row r="187" spans="1:21" x14ac:dyDescent="0.25">
      <c r="A187" s="44" t="s">
        <v>510</v>
      </c>
      <c r="B187" s="44" t="s">
        <v>330</v>
      </c>
      <c r="C187" s="45">
        <v>82</v>
      </c>
      <c r="D187" s="45"/>
      <c r="E187" s="45">
        <v>11</v>
      </c>
      <c r="F187" s="45"/>
      <c r="G187" s="45">
        <v>25</v>
      </c>
      <c r="H187" s="45"/>
      <c r="I187" s="34">
        <v>36</v>
      </c>
      <c r="J187" t="e">
        <f>I187/(VLOOKUP(B187,'Team Stats'!$B$3:$K$18,5,0))</f>
        <v>#N/A</v>
      </c>
      <c r="M187" t="s">
        <v>895</v>
      </c>
      <c r="N187" t="s">
        <v>201</v>
      </c>
      <c r="O187">
        <v>8</v>
      </c>
      <c r="P187">
        <v>601</v>
      </c>
      <c r="Q187">
        <v>1.3311148086522463E-2</v>
      </c>
      <c r="R187" s="57">
        <f>VLOOKUP(N187,'Team Stats'!$B$3:$K$18,9,0)</f>
        <v>12</v>
      </c>
      <c r="S187" s="54">
        <f>VLOOKUP(N187,'Team Stats'!$B$3:$K$18,10,0)</f>
        <v>87.951219512195124</v>
      </c>
      <c r="T187" s="54">
        <f t="shared" si="4"/>
        <v>1.1707317073170733</v>
      </c>
      <c r="U187">
        <f t="shared" si="5"/>
        <v>184</v>
      </c>
    </row>
    <row r="188" spans="1:21" x14ac:dyDescent="0.25">
      <c r="A188" s="44" t="s">
        <v>511</v>
      </c>
      <c r="B188" s="44" t="s">
        <v>211</v>
      </c>
      <c r="C188" s="45">
        <v>81</v>
      </c>
      <c r="D188" s="45"/>
      <c r="E188" s="45">
        <v>14</v>
      </c>
      <c r="F188" s="45"/>
      <c r="G188" s="45">
        <v>22</v>
      </c>
      <c r="H188" s="45"/>
      <c r="I188" s="34">
        <v>36</v>
      </c>
      <c r="J188">
        <f>I188/(VLOOKUP(B188,'Team Stats'!$B$3:$K$18,5,0))</f>
        <v>5.921052631578947E-2</v>
      </c>
      <c r="M188" t="s">
        <v>883</v>
      </c>
      <c r="N188" t="s">
        <v>199</v>
      </c>
      <c r="O188">
        <v>8</v>
      </c>
      <c r="P188">
        <v>660</v>
      </c>
      <c r="Q188">
        <v>1.2121212121212121E-2</v>
      </c>
      <c r="R188" s="57">
        <f>VLOOKUP(N188,'Team Stats'!$B$3:$K$18,9,0)</f>
        <v>12</v>
      </c>
      <c r="S188" s="54">
        <f>VLOOKUP(N188,'Team Stats'!$B$3:$K$18,10,0)</f>
        <v>96.585365853658544</v>
      </c>
      <c r="T188" s="54">
        <f t="shared" si="4"/>
        <v>1.1707317073170733</v>
      </c>
      <c r="U188">
        <f t="shared" si="5"/>
        <v>184</v>
      </c>
    </row>
    <row r="189" spans="1:21" x14ac:dyDescent="0.25">
      <c r="A189" s="44" t="s">
        <v>512</v>
      </c>
      <c r="B189" s="44" t="s">
        <v>364</v>
      </c>
      <c r="C189" s="45">
        <v>78</v>
      </c>
      <c r="D189" s="45"/>
      <c r="E189" s="45">
        <v>7</v>
      </c>
      <c r="F189" s="45"/>
      <c r="G189" s="45">
        <v>29</v>
      </c>
      <c r="H189" s="45"/>
      <c r="I189" s="34">
        <v>36</v>
      </c>
      <c r="J189" t="e">
        <f>I189/(VLOOKUP(B189,'Team Stats'!$B$3:$K$18,5,0))</f>
        <v>#N/A</v>
      </c>
      <c r="M189" t="s">
        <v>741</v>
      </c>
      <c r="N189" t="s">
        <v>211</v>
      </c>
      <c r="O189">
        <v>16</v>
      </c>
      <c r="P189">
        <v>608</v>
      </c>
      <c r="Q189">
        <v>2.6315789473684209E-2</v>
      </c>
      <c r="R189" s="57">
        <f>VLOOKUP(N189,'Team Stats'!$B$3:$K$18,9,0)</f>
        <v>6</v>
      </c>
      <c r="S189" s="54">
        <f>VLOOKUP(N189,'Team Stats'!$B$3:$K$18,10,0)</f>
        <v>44.487804878048784</v>
      </c>
      <c r="T189" s="54">
        <f t="shared" si="4"/>
        <v>1.1707317073170731</v>
      </c>
      <c r="U189">
        <f t="shared" si="5"/>
        <v>187</v>
      </c>
    </row>
    <row r="190" spans="1:21" x14ac:dyDescent="0.25">
      <c r="A190" s="44" t="s">
        <v>513</v>
      </c>
      <c r="B190" s="44" t="s">
        <v>218</v>
      </c>
      <c r="C190" s="45">
        <v>71</v>
      </c>
      <c r="D190" s="45"/>
      <c r="E190" s="45">
        <v>16</v>
      </c>
      <c r="F190" s="45"/>
      <c r="G190" s="45">
        <v>20</v>
      </c>
      <c r="H190" s="45"/>
      <c r="I190" s="34">
        <v>36</v>
      </c>
      <c r="J190" t="e">
        <f>I190/(VLOOKUP(B190,'Team Stats'!$B$3:$K$18,5,0))</f>
        <v>#N/A</v>
      </c>
      <c r="M190" t="s">
        <v>648</v>
      </c>
      <c r="N190" t="s">
        <v>209</v>
      </c>
      <c r="O190">
        <v>23</v>
      </c>
      <c r="P190">
        <v>594</v>
      </c>
      <c r="Q190">
        <v>3.8720538720538718E-2</v>
      </c>
      <c r="R190" s="57">
        <f>VLOOKUP(N190,'Team Stats'!$B$3:$K$18,9,0)</f>
        <v>4</v>
      </c>
      <c r="S190" s="54">
        <f>VLOOKUP(N190,'Team Stats'!$B$3:$K$18,10,0)</f>
        <v>28.975609756097562</v>
      </c>
      <c r="T190" s="54">
        <f t="shared" si="4"/>
        <v>1.121951219512195</v>
      </c>
      <c r="U190">
        <f t="shared" si="5"/>
        <v>188</v>
      </c>
    </row>
    <row r="191" spans="1:21" x14ac:dyDescent="0.25">
      <c r="A191" s="44" t="s">
        <v>514</v>
      </c>
      <c r="B191" s="44" t="s">
        <v>213</v>
      </c>
      <c r="C191" s="45">
        <v>62</v>
      </c>
      <c r="D191" s="45"/>
      <c r="E191" s="45">
        <v>16</v>
      </c>
      <c r="F191" s="45"/>
      <c r="G191" s="45">
        <v>20</v>
      </c>
      <c r="H191" s="45"/>
      <c r="I191" s="34">
        <v>36</v>
      </c>
      <c r="J191">
        <f>I191/(VLOOKUP(B191,'Team Stats'!$B$3:$K$18,5,0))</f>
        <v>5.8158319870759291E-2</v>
      </c>
      <c r="M191" t="s">
        <v>636</v>
      </c>
      <c r="N191" t="s">
        <v>209</v>
      </c>
      <c r="O191">
        <v>23</v>
      </c>
      <c r="P191">
        <v>594</v>
      </c>
      <c r="Q191">
        <v>3.8720538720538718E-2</v>
      </c>
      <c r="R191" s="57">
        <f>VLOOKUP(N191,'Team Stats'!$B$3:$K$18,9,0)</f>
        <v>4</v>
      </c>
      <c r="S191" s="54">
        <f>VLOOKUP(N191,'Team Stats'!$B$3:$K$18,10,0)</f>
        <v>28.975609756097562</v>
      </c>
      <c r="T191" s="54">
        <f t="shared" si="4"/>
        <v>1.121951219512195</v>
      </c>
      <c r="U191">
        <f t="shared" si="5"/>
        <v>188</v>
      </c>
    </row>
    <row r="192" spans="1:21" x14ac:dyDescent="0.25">
      <c r="A192" s="44" t="s">
        <v>515</v>
      </c>
      <c r="B192" s="44" t="s">
        <v>330</v>
      </c>
      <c r="C192" s="45">
        <v>47</v>
      </c>
      <c r="D192" s="45"/>
      <c r="E192" s="45">
        <v>13</v>
      </c>
      <c r="F192" s="45"/>
      <c r="G192" s="45">
        <v>23</v>
      </c>
      <c r="H192" s="45"/>
      <c r="I192" s="34">
        <v>36</v>
      </c>
      <c r="J192" t="e">
        <f>I192/(VLOOKUP(B192,'Team Stats'!$B$3:$K$18,5,0))</f>
        <v>#N/A</v>
      </c>
      <c r="M192" t="s">
        <v>782</v>
      </c>
      <c r="N192" t="s">
        <v>213</v>
      </c>
      <c r="O192">
        <v>13</v>
      </c>
      <c r="P192">
        <v>619</v>
      </c>
      <c r="Q192">
        <v>2.10016155088853E-2</v>
      </c>
      <c r="R192" s="57">
        <f>VLOOKUP(N192,'Team Stats'!$B$3:$K$18,9,0)</f>
        <v>7</v>
      </c>
      <c r="S192" s="54">
        <f>VLOOKUP(N192,'Team Stats'!$B$3:$K$18,10,0)</f>
        <v>52.841463414634148</v>
      </c>
      <c r="T192" s="54">
        <f t="shared" si="4"/>
        <v>1.1097560975609757</v>
      </c>
      <c r="U192">
        <f t="shared" si="5"/>
        <v>190</v>
      </c>
    </row>
    <row r="193" spans="1:21" x14ac:dyDescent="0.25">
      <c r="A193" s="44" t="s">
        <v>516</v>
      </c>
      <c r="B193" s="44" t="s">
        <v>220</v>
      </c>
      <c r="C193" s="45">
        <v>69</v>
      </c>
      <c r="D193" s="45"/>
      <c r="E193" s="45">
        <v>13</v>
      </c>
      <c r="F193" s="45"/>
      <c r="G193" s="45">
        <v>22</v>
      </c>
      <c r="H193" s="45"/>
      <c r="I193" s="34">
        <v>35</v>
      </c>
      <c r="J193" t="e">
        <f>I193/(VLOOKUP(B193,'Team Stats'!$B$3:$K$18,5,0))</f>
        <v>#N/A</v>
      </c>
      <c r="M193" t="s">
        <v>753</v>
      </c>
      <c r="N193" t="s">
        <v>208</v>
      </c>
      <c r="O193">
        <v>15</v>
      </c>
      <c r="P193">
        <v>630</v>
      </c>
      <c r="Q193">
        <v>2.3809523809523808E-2</v>
      </c>
      <c r="R193" s="57">
        <f>VLOOKUP(N193,'Team Stats'!$B$3:$K$18,9,0)</f>
        <v>6</v>
      </c>
      <c r="S193" s="54">
        <f>VLOOKUP(N193,'Team Stats'!$B$3:$K$18,10,0)</f>
        <v>46.097560975609753</v>
      </c>
      <c r="T193" s="54">
        <f t="shared" si="4"/>
        <v>1.097560975609756</v>
      </c>
      <c r="U193">
        <f t="shared" si="5"/>
        <v>191</v>
      </c>
    </row>
    <row r="194" spans="1:21" x14ac:dyDescent="0.25">
      <c r="A194" s="44" t="s">
        <v>517</v>
      </c>
      <c r="B194" s="44" t="s">
        <v>218</v>
      </c>
      <c r="C194" s="45">
        <v>72</v>
      </c>
      <c r="D194" s="45"/>
      <c r="E194" s="45">
        <v>19</v>
      </c>
      <c r="F194" s="45"/>
      <c r="G194" s="45">
        <v>16</v>
      </c>
      <c r="H194" s="45"/>
      <c r="I194" s="34">
        <v>35</v>
      </c>
      <c r="J194" t="e">
        <f>I194/(VLOOKUP(B194,'Team Stats'!$B$3:$K$18,5,0))</f>
        <v>#N/A</v>
      </c>
      <c r="M194" t="s">
        <v>877</v>
      </c>
      <c r="N194" t="s">
        <v>204</v>
      </c>
      <c r="O194">
        <v>8</v>
      </c>
      <c r="P194">
        <v>613</v>
      </c>
      <c r="Q194">
        <v>1.3050570962479609E-2</v>
      </c>
      <c r="R194" s="57">
        <f>VLOOKUP(N194,'Team Stats'!$B$3:$K$18,9,0)</f>
        <v>11</v>
      </c>
      <c r="S194" s="54">
        <f>VLOOKUP(N194,'Team Stats'!$B$3:$K$18,10,0)</f>
        <v>82.231707317073173</v>
      </c>
      <c r="T194" s="54">
        <f t="shared" si="4"/>
        <v>1.0731707317073171</v>
      </c>
      <c r="U194">
        <f t="shared" si="5"/>
        <v>192</v>
      </c>
    </row>
    <row r="195" spans="1:21" x14ac:dyDescent="0.25">
      <c r="A195" s="44" t="s">
        <v>518</v>
      </c>
      <c r="B195" s="44" t="s">
        <v>324</v>
      </c>
      <c r="C195" s="45">
        <v>71</v>
      </c>
      <c r="D195" s="45"/>
      <c r="E195" s="45">
        <v>13</v>
      </c>
      <c r="F195" s="45"/>
      <c r="G195" s="45">
        <v>22</v>
      </c>
      <c r="H195" s="45"/>
      <c r="I195" s="34">
        <v>35</v>
      </c>
      <c r="J195" t="e">
        <f>I195/(VLOOKUP(B195,'Team Stats'!$B$3:$K$18,5,0))</f>
        <v>#N/A</v>
      </c>
      <c r="M195" t="s">
        <v>656</v>
      </c>
      <c r="N195" t="s">
        <v>209</v>
      </c>
      <c r="O195">
        <v>22</v>
      </c>
      <c r="P195">
        <v>594</v>
      </c>
      <c r="Q195">
        <v>3.7037037037037035E-2</v>
      </c>
      <c r="R195" s="57">
        <f>VLOOKUP(N195,'Team Stats'!$B$3:$K$18,9,0)</f>
        <v>4</v>
      </c>
      <c r="S195" s="54">
        <f>VLOOKUP(N195,'Team Stats'!$B$3:$K$18,10,0)</f>
        <v>28.975609756097562</v>
      </c>
      <c r="T195" s="54">
        <f t="shared" ref="T195:T258" si="6">VLOOKUP(M195,$A$3:$J$884,10,0)*S195</f>
        <v>1.0731707317073171</v>
      </c>
      <c r="U195">
        <f t="shared" ref="U195:U258" si="7">RANK(T195,$T$3:$T$318,0)</f>
        <v>192</v>
      </c>
    </row>
    <row r="196" spans="1:21" x14ac:dyDescent="0.25">
      <c r="A196" s="44" t="s">
        <v>519</v>
      </c>
      <c r="B196" s="44" t="s">
        <v>195</v>
      </c>
      <c r="C196" s="45">
        <v>72</v>
      </c>
      <c r="D196" s="45"/>
      <c r="E196" s="45">
        <v>9</v>
      </c>
      <c r="F196" s="45"/>
      <c r="G196" s="45">
        <v>26</v>
      </c>
      <c r="H196" s="45"/>
      <c r="I196" s="34">
        <v>35</v>
      </c>
      <c r="J196">
        <f>I196/(VLOOKUP(B196,'Team Stats'!$B$3:$K$18,5,0))</f>
        <v>5.3353658536585365E-2</v>
      </c>
      <c r="M196" t="s">
        <v>781</v>
      </c>
      <c r="N196" t="s">
        <v>197</v>
      </c>
      <c r="O196">
        <v>14</v>
      </c>
      <c r="P196">
        <v>600</v>
      </c>
      <c r="Q196">
        <v>2.3333333333333334E-2</v>
      </c>
      <c r="R196" s="57">
        <f>VLOOKUP(N196,'Team Stats'!$B$3:$K$18,9,0)</f>
        <v>6</v>
      </c>
      <c r="S196" s="54">
        <f>VLOOKUP(N196,'Team Stats'!$B$3:$K$18,10,0)</f>
        <v>43.902439024390247</v>
      </c>
      <c r="T196" s="54">
        <f t="shared" si="6"/>
        <v>1.024390243902439</v>
      </c>
      <c r="U196">
        <f t="shared" si="7"/>
        <v>194</v>
      </c>
    </row>
    <row r="197" spans="1:21" x14ac:dyDescent="0.25">
      <c r="A197" s="44" t="s">
        <v>520</v>
      </c>
      <c r="B197" s="44" t="s">
        <v>211</v>
      </c>
      <c r="C197" s="45">
        <v>82</v>
      </c>
      <c r="D197" s="45"/>
      <c r="E197" s="45">
        <v>11</v>
      </c>
      <c r="F197" s="45"/>
      <c r="G197" s="45">
        <v>24</v>
      </c>
      <c r="H197" s="45"/>
      <c r="I197" s="34">
        <v>35</v>
      </c>
      <c r="J197">
        <f>I197/(VLOOKUP(B197,'Team Stats'!$B$3:$K$18,5,0))</f>
        <v>5.7565789473684209E-2</v>
      </c>
      <c r="M197" t="s">
        <v>776</v>
      </c>
      <c r="N197" t="s">
        <v>197</v>
      </c>
      <c r="O197">
        <v>14</v>
      </c>
      <c r="P197">
        <v>600</v>
      </c>
      <c r="Q197">
        <v>2.3333333333333334E-2</v>
      </c>
      <c r="R197" s="57">
        <f>VLOOKUP(N197,'Team Stats'!$B$3:$K$18,9,0)</f>
        <v>6</v>
      </c>
      <c r="S197" s="54">
        <f>VLOOKUP(N197,'Team Stats'!$B$3:$K$18,10,0)</f>
        <v>43.902439024390247</v>
      </c>
      <c r="T197" s="54">
        <f t="shared" si="6"/>
        <v>1.024390243902439</v>
      </c>
      <c r="U197">
        <f t="shared" si="7"/>
        <v>194</v>
      </c>
    </row>
    <row r="198" spans="1:21" x14ac:dyDescent="0.25">
      <c r="A198" s="44" t="s">
        <v>521</v>
      </c>
      <c r="B198" s="44" t="s">
        <v>202</v>
      </c>
      <c r="C198" s="45">
        <v>82</v>
      </c>
      <c r="D198" s="45"/>
      <c r="E198" s="45">
        <v>17</v>
      </c>
      <c r="F198" s="45"/>
      <c r="G198" s="45">
        <v>18</v>
      </c>
      <c r="H198" s="45"/>
      <c r="I198" s="34">
        <v>35</v>
      </c>
      <c r="J198">
        <f>I198/(VLOOKUP(B198,'Team Stats'!$B$3:$K$18,5,0))</f>
        <v>5.3110773899848251E-2</v>
      </c>
      <c r="M198" t="s">
        <v>806</v>
      </c>
      <c r="N198" t="s">
        <v>213</v>
      </c>
      <c r="O198">
        <v>12</v>
      </c>
      <c r="P198">
        <v>619</v>
      </c>
      <c r="Q198">
        <v>1.9386106623586429E-2</v>
      </c>
      <c r="R198" s="57">
        <f>VLOOKUP(N198,'Team Stats'!$B$3:$K$18,9,0)</f>
        <v>7</v>
      </c>
      <c r="S198" s="54">
        <f>VLOOKUP(N198,'Team Stats'!$B$3:$K$18,10,0)</f>
        <v>52.841463414634148</v>
      </c>
      <c r="T198" s="54">
        <f t="shared" si="6"/>
        <v>1.024390243902439</v>
      </c>
      <c r="U198">
        <f t="shared" si="7"/>
        <v>194</v>
      </c>
    </row>
    <row r="199" spans="1:21" x14ac:dyDescent="0.25">
      <c r="A199" s="44" t="s">
        <v>522</v>
      </c>
      <c r="B199" s="44" t="s">
        <v>219</v>
      </c>
      <c r="C199" s="45">
        <v>69</v>
      </c>
      <c r="D199" s="45"/>
      <c r="E199" s="45">
        <v>13</v>
      </c>
      <c r="F199" s="45"/>
      <c r="G199" s="45">
        <v>21</v>
      </c>
      <c r="H199" s="45"/>
      <c r="I199" s="34">
        <v>34</v>
      </c>
      <c r="J199" t="e">
        <f>I199/(VLOOKUP(B199,'Team Stats'!$B$3:$K$18,5,0))</f>
        <v>#N/A</v>
      </c>
      <c r="M199" t="s">
        <v>757</v>
      </c>
      <c r="N199" t="s">
        <v>211</v>
      </c>
      <c r="O199">
        <v>14</v>
      </c>
      <c r="P199">
        <v>608</v>
      </c>
      <c r="Q199">
        <v>2.3026315789473683E-2</v>
      </c>
      <c r="R199" s="57">
        <f>VLOOKUP(N199,'Team Stats'!$B$3:$K$18,9,0)</f>
        <v>6</v>
      </c>
      <c r="S199" s="54">
        <f>VLOOKUP(N199,'Team Stats'!$B$3:$K$18,10,0)</f>
        <v>44.487804878048784</v>
      </c>
      <c r="T199" s="54">
        <f t="shared" si="6"/>
        <v>1.024390243902439</v>
      </c>
      <c r="U199">
        <f t="shared" si="7"/>
        <v>194</v>
      </c>
    </row>
    <row r="200" spans="1:21" x14ac:dyDescent="0.25">
      <c r="A200" s="44" t="s">
        <v>523</v>
      </c>
      <c r="B200" s="44" t="s">
        <v>214</v>
      </c>
      <c r="C200" s="45">
        <v>58</v>
      </c>
      <c r="D200" s="45"/>
      <c r="E200" s="45">
        <v>19</v>
      </c>
      <c r="F200" s="45"/>
      <c r="G200" s="45">
        <v>15</v>
      </c>
      <c r="H200" s="45"/>
      <c r="I200" s="34">
        <v>34</v>
      </c>
      <c r="J200" t="e">
        <f>I200/(VLOOKUP(B200,'Team Stats'!$B$3:$K$18,5,0))</f>
        <v>#N/A</v>
      </c>
      <c r="M200" t="s">
        <v>766</v>
      </c>
      <c r="N200" t="s">
        <v>195</v>
      </c>
      <c r="O200">
        <v>14</v>
      </c>
      <c r="P200">
        <v>656</v>
      </c>
      <c r="Q200">
        <v>2.1341463414634148E-2</v>
      </c>
      <c r="R200" s="57">
        <f>VLOOKUP(N200,'Team Stats'!$B$3:$K$18,9,0)</f>
        <v>6</v>
      </c>
      <c r="S200" s="54">
        <f>VLOOKUP(N200,'Team Stats'!$B$3:$K$18,10,0)</f>
        <v>48</v>
      </c>
      <c r="T200" s="54">
        <f t="shared" si="6"/>
        <v>1.024390243902439</v>
      </c>
      <c r="U200">
        <f t="shared" si="7"/>
        <v>194</v>
      </c>
    </row>
    <row r="201" spans="1:21" x14ac:dyDescent="0.25">
      <c r="A201" s="44" t="s">
        <v>524</v>
      </c>
      <c r="B201" s="44" t="s">
        <v>201</v>
      </c>
      <c r="C201" s="45">
        <v>61</v>
      </c>
      <c r="D201" s="45"/>
      <c r="E201" s="45">
        <v>14</v>
      </c>
      <c r="F201" s="45"/>
      <c r="G201" s="45">
        <v>20</v>
      </c>
      <c r="H201" s="45"/>
      <c r="I201" s="34">
        <v>34</v>
      </c>
      <c r="J201">
        <f>I201/(VLOOKUP(B201,'Team Stats'!$B$3:$K$18,5,0))</f>
        <v>5.6572379367720464E-2</v>
      </c>
      <c r="M201" t="s">
        <v>926</v>
      </c>
      <c r="N201" t="s">
        <v>202</v>
      </c>
      <c r="O201">
        <v>6</v>
      </c>
      <c r="P201">
        <v>659</v>
      </c>
      <c r="Q201">
        <v>9.104704097116844E-3</v>
      </c>
      <c r="R201" s="57">
        <f>VLOOKUP(N201,'Team Stats'!$B$3:$K$18,9,0)</f>
        <v>14</v>
      </c>
      <c r="S201" s="54">
        <f>VLOOKUP(N201,'Team Stats'!$B$3:$K$18,10,0)</f>
        <v>112.51219512195122</v>
      </c>
      <c r="T201" s="54">
        <f t="shared" si="6"/>
        <v>1.024390243902439</v>
      </c>
      <c r="U201">
        <f t="shared" si="7"/>
        <v>194</v>
      </c>
    </row>
    <row r="202" spans="1:21" x14ac:dyDescent="0.25">
      <c r="A202" s="44" t="s">
        <v>525</v>
      </c>
      <c r="B202" s="44" t="s">
        <v>208</v>
      </c>
      <c r="C202" s="45">
        <v>84</v>
      </c>
      <c r="D202" s="45"/>
      <c r="E202" s="45">
        <v>7</v>
      </c>
      <c r="F202" s="45"/>
      <c r="G202" s="45">
        <v>27</v>
      </c>
      <c r="H202" s="45"/>
      <c r="I202" s="34">
        <v>34</v>
      </c>
      <c r="J202">
        <f>I202/(VLOOKUP(B202,'Team Stats'!$B$3:$K$18,5,0))</f>
        <v>5.3968253968253971E-2</v>
      </c>
      <c r="M202" t="s">
        <v>779</v>
      </c>
      <c r="N202" t="s">
        <v>195</v>
      </c>
      <c r="O202">
        <v>14</v>
      </c>
      <c r="P202">
        <v>656</v>
      </c>
      <c r="Q202">
        <v>2.1341463414634148E-2</v>
      </c>
      <c r="R202" s="57">
        <f>VLOOKUP(N202,'Team Stats'!$B$3:$K$18,9,0)</f>
        <v>6</v>
      </c>
      <c r="S202" s="54">
        <f>VLOOKUP(N202,'Team Stats'!$B$3:$K$18,10,0)</f>
        <v>48</v>
      </c>
      <c r="T202" s="54">
        <f t="shared" si="6"/>
        <v>1.024390243902439</v>
      </c>
      <c r="U202">
        <f t="shared" si="7"/>
        <v>194</v>
      </c>
    </row>
    <row r="203" spans="1:21" x14ac:dyDescent="0.25">
      <c r="A203" s="44" t="s">
        <v>526</v>
      </c>
      <c r="B203" s="44" t="s">
        <v>207</v>
      </c>
      <c r="C203" s="45">
        <v>79</v>
      </c>
      <c r="D203" s="45"/>
      <c r="E203" s="45">
        <v>4</v>
      </c>
      <c r="F203" s="45"/>
      <c r="G203" s="45">
        <v>30</v>
      </c>
      <c r="H203" s="45"/>
      <c r="I203" s="34">
        <v>34</v>
      </c>
      <c r="J203">
        <f>I203/(VLOOKUP(B203,'Team Stats'!$B$3:$K$18,5,0))</f>
        <v>5.1204819277108432E-2</v>
      </c>
      <c r="M203" t="s">
        <v>798</v>
      </c>
      <c r="N203" t="s">
        <v>211</v>
      </c>
      <c r="O203">
        <v>13</v>
      </c>
      <c r="P203">
        <v>608</v>
      </c>
      <c r="Q203">
        <v>2.1381578947368422E-2</v>
      </c>
      <c r="R203" s="57">
        <f>VLOOKUP(N203,'Team Stats'!$B$3:$K$18,9,0)</f>
        <v>6</v>
      </c>
      <c r="S203" s="54">
        <f>VLOOKUP(N203,'Team Stats'!$B$3:$K$18,10,0)</f>
        <v>44.487804878048784</v>
      </c>
      <c r="T203" s="54">
        <f t="shared" si="6"/>
        <v>0.95121951219512202</v>
      </c>
      <c r="U203">
        <f t="shared" si="7"/>
        <v>201</v>
      </c>
    </row>
    <row r="204" spans="1:21" x14ac:dyDescent="0.25">
      <c r="A204" s="44" t="s">
        <v>527</v>
      </c>
      <c r="B204" s="44" t="s">
        <v>219</v>
      </c>
      <c r="C204" s="45">
        <v>58</v>
      </c>
      <c r="D204" s="45"/>
      <c r="E204" s="45">
        <v>7</v>
      </c>
      <c r="F204" s="45"/>
      <c r="G204" s="45">
        <v>27</v>
      </c>
      <c r="H204" s="45"/>
      <c r="I204" s="34">
        <v>34</v>
      </c>
      <c r="J204" t="e">
        <f>I204/(VLOOKUP(B204,'Team Stats'!$B$3:$K$18,5,0))</f>
        <v>#N/A</v>
      </c>
      <c r="M204" t="s">
        <v>804</v>
      </c>
      <c r="N204" t="s">
        <v>208</v>
      </c>
      <c r="O204">
        <v>13</v>
      </c>
      <c r="P204">
        <v>630</v>
      </c>
      <c r="Q204">
        <v>2.0634920634920634E-2</v>
      </c>
      <c r="R204" s="57">
        <f>VLOOKUP(N204,'Team Stats'!$B$3:$K$18,9,0)</f>
        <v>6</v>
      </c>
      <c r="S204" s="54">
        <f>VLOOKUP(N204,'Team Stats'!$B$3:$K$18,10,0)</f>
        <v>46.097560975609753</v>
      </c>
      <c r="T204" s="54">
        <f t="shared" si="6"/>
        <v>0.95121951219512191</v>
      </c>
      <c r="U204">
        <f t="shared" si="7"/>
        <v>202</v>
      </c>
    </row>
    <row r="205" spans="1:21" x14ac:dyDescent="0.25">
      <c r="A205" s="44" t="s">
        <v>528</v>
      </c>
      <c r="B205" s="44" t="s">
        <v>213</v>
      </c>
      <c r="C205" s="45">
        <v>66</v>
      </c>
      <c r="D205" s="45"/>
      <c r="E205" s="45">
        <v>13</v>
      </c>
      <c r="F205" s="45"/>
      <c r="G205" s="45">
        <v>21</v>
      </c>
      <c r="H205" s="45"/>
      <c r="I205" s="34">
        <v>34</v>
      </c>
      <c r="J205">
        <f>I205/(VLOOKUP(B205,'Team Stats'!$B$3:$K$18,5,0))</f>
        <v>5.492730210016155E-2</v>
      </c>
      <c r="M205" t="s">
        <v>793</v>
      </c>
      <c r="N205" t="s">
        <v>208</v>
      </c>
      <c r="O205">
        <v>13</v>
      </c>
      <c r="P205">
        <v>630</v>
      </c>
      <c r="Q205">
        <v>2.0634920634920634E-2</v>
      </c>
      <c r="R205" s="57">
        <f>VLOOKUP(N205,'Team Stats'!$B$3:$K$18,9,0)</f>
        <v>6</v>
      </c>
      <c r="S205" s="54">
        <f>VLOOKUP(N205,'Team Stats'!$B$3:$K$18,10,0)</f>
        <v>46.097560975609753</v>
      </c>
      <c r="T205" s="54">
        <f t="shared" si="6"/>
        <v>0.95121951219512191</v>
      </c>
      <c r="U205">
        <f t="shared" si="7"/>
        <v>202</v>
      </c>
    </row>
    <row r="206" spans="1:21" x14ac:dyDescent="0.25">
      <c r="A206" s="44" t="s">
        <v>529</v>
      </c>
      <c r="B206" s="44" t="s">
        <v>204</v>
      </c>
      <c r="C206" s="45">
        <v>78</v>
      </c>
      <c r="D206" s="45"/>
      <c r="E206" s="45">
        <v>7</v>
      </c>
      <c r="F206" s="45"/>
      <c r="G206" s="45">
        <v>27</v>
      </c>
      <c r="H206" s="45"/>
      <c r="I206" s="34">
        <v>34</v>
      </c>
      <c r="J206">
        <f>I206/(VLOOKUP(B206,'Team Stats'!$B$3:$K$18,5,0))</f>
        <v>5.5464926590538338E-2</v>
      </c>
      <c r="M206" t="s">
        <v>790</v>
      </c>
      <c r="N206" t="s">
        <v>208</v>
      </c>
      <c r="O206">
        <v>13</v>
      </c>
      <c r="P206">
        <v>630</v>
      </c>
      <c r="Q206">
        <v>2.0634920634920634E-2</v>
      </c>
      <c r="R206" s="57">
        <f>VLOOKUP(N206,'Team Stats'!$B$3:$K$18,9,0)</f>
        <v>6</v>
      </c>
      <c r="S206" s="54">
        <f>VLOOKUP(N206,'Team Stats'!$B$3:$K$18,10,0)</f>
        <v>46.097560975609753</v>
      </c>
      <c r="T206" s="54">
        <f t="shared" si="6"/>
        <v>0.95121951219512191</v>
      </c>
      <c r="U206">
        <f t="shared" si="7"/>
        <v>202</v>
      </c>
    </row>
    <row r="207" spans="1:21" x14ac:dyDescent="0.25">
      <c r="A207" s="44" t="s">
        <v>530</v>
      </c>
      <c r="B207" s="44" t="s">
        <v>204</v>
      </c>
      <c r="C207" s="45">
        <v>80</v>
      </c>
      <c r="D207" s="45"/>
      <c r="E207" s="45">
        <v>7</v>
      </c>
      <c r="F207" s="45"/>
      <c r="G207" s="45">
        <v>27</v>
      </c>
      <c r="H207" s="45"/>
      <c r="I207" s="34">
        <v>34</v>
      </c>
      <c r="J207">
        <f>I207/(VLOOKUP(B207,'Team Stats'!$B$3:$K$18,5,0))</f>
        <v>5.5464926590538338E-2</v>
      </c>
      <c r="M207" t="s">
        <v>799</v>
      </c>
      <c r="N207" t="s">
        <v>195</v>
      </c>
      <c r="O207">
        <v>13</v>
      </c>
      <c r="P207">
        <v>656</v>
      </c>
      <c r="Q207">
        <v>1.9817073170731708E-2</v>
      </c>
      <c r="R207" s="57">
        <f>VLOOKUP(N207,'Team Stats'!$B$3:$K$18,9,0)</f>
        <v>6</v>
      </c>
      <c r="S207" s="54">
        <f>VLOOKUP(N207,'Team Stats'!$B$3:$K$18,10,0)</f>
        <v>48</v>
      </c>
      <c r="T207" s="54">
        <f t="shared" si="6"/>
        <v>0.95121951219512191</v>
      </c>
      <c r="U207">
        <f t="shared" si="7"/>
        <v>202</v>
      </c>
    </row>
    <row r="208" spans="1:21" x14ac:dyDescent="0.25">
      <c r="A208" s="44" t="s">
        <v>531</v>
      </c>
      <c r="B208" s="44" t="s">
        <v>204</v>
      </c>
      <c r="C208" s="45">
        <v>69</v>
      </c>
      <c r="D208" s="45"/>
      <c r="E208" s="45">
        <v>8</v>
      </c>
      <c r="F208" s="45"/>
      <c r="G208" s="45">
        <v>26</v>
      </c>
      <c r="H208" s="45"/>
      <c r="I208" s="34">
        <v>34</v>
      </c>
      <c r="J208">
        <f>I208/(VLOOKUP(B208,'Team Stats'!$B$3:$K$18,5,0))</f>
        <v>5.5464926590538338E-2</v>
      </c>
      <c r="M208" t="s">
        <v>836</v>
      </c>
      <c r="N208" t="s">
        <v>213</v>
      </c>
      <c r="O208">
        <v>11</v>
      </c>
      <c r="P208">
        <v>619</v>
      </c>
      <c r="Q208">
        <v>1.7770597738287562E-2</v>
      </c>
      <c r="R208" s="57">
        <f>VLOOKUP(N208,'Team Stats'!$B$3:$K$18,9,0)</f>
        <v>7</v>
      </c>
      <c r="S208" s="54">
        <f>VLOOKUP(N208,'Team Stats'!$B$3:$K$18,10,0)</f>
        <v>52.841463414634148</v>
      </c>
      <c r="T208" s="54">
        <f t="shared" si="6"/>
        <v>0.93902439024390261</v>
      </c>
      <c r="U208">
        <f t="shared" si="7"/>
        <v>206</v>
      </c>
    </row>
    <row r="209" spans="1:21" x14ac:dyDescent="0.25">
      <c r="A209" s="44" t="s">
        <v>532</v>
      </c>
      <c r="B209" s="44" t="s">
        <v>197</v>
      </c>
      <c r="C209" s="45">
        <v>79</v>
      </c>
      <c r="D209" s="45"/>
      <c r="E209" s="45">
        <v>9</v>
      </c>
      <c r="F209" s="45"/>
      <c r="G209" s="45">
        <v>25</v>
      </c>
      <c r="H209" s="45"/>
      <c r="I209" s="34">
        <v>34</v>
      </c>
      <c r="J209">
        <f>I209/(VLOOKUP(B209,'Team Stats'!$B$3:$K$18,5,0))</f>
        <v>5.6666666666666664E-2</v>
      </c>
      <c r="M209" t="s">
        <v>826</v>
      </c>
      <c r="N209" t="s">
        <v>213</v>
      </c>
      <c r="O209">
        <v>11</v>
      </c>
      <c r="P209">
        <v>619</v>
      </c>
      <c r="Q209">
        <v>1.7770597738287562E-2</v>
      </c>
      <c r="R209" s="57">
        <f>VLOOKUP(N209,'Team Stats'!$B$3:$K$18,9,0)</f>
        <v>7</v>
      </c>
      <c r="S209" s="54">
        <f>VLOOKUP(N209,'Team Stats'!$B$3:$K$18,10,0)</f>
        <v>52.841463414634148</v>
      </c>
      <c r="T209" s="54">
        <f t="shared" si="6"/>
        <v>0.93902439024390261</v>
      </c>
      <c r="U209">
        <f t="shared" si="7"/>
        <v>206</v>
      </c>
    </row>
    <row r="210" spans="1:21" x14ac:dyDescent="0.25">
      <c r="A210" s="44" t="s">
        <v>533</v>
      </c>
      <c r="B210" s="44" t="s">
        <v>207</v>
      </c>
      <c r="C210" s="45">
        <v>78</v>
      </c>
      <c r="D210" s="45"/>
      <c r="E210" s="45">
        <v>16</v>
      </c>
      <c r="F210" s="45"/>
      <c r="G210" s="45">
        <v>18</v>
      </c>
      <c r="H210" s="45"/>
      <c r="I210" s="34">
        <v>34</v>
      </c>
      <c r="J210">
        <f>I210/(VLOOKUP(B210,'Team Stats'!$B$3:$K$18,5,0))</f>
        <v>5.1204819277108432E-2</v>
      </c>
      <c r="M210" t="s">
        <v>899</v>
      </c>
      <c r="N210" t="s">
        <v>204</v>
      </c>
      <c r="O210">
        <v>7</v>
      </c>
      <c r="P210">
        <v>613</v>
      </c>
      <c r="Q210">
        <v>1.1419249592169658E-2</v>
      </c>
      <c r="R210" s="57">
        <f>VLOOKUP(N210,'Team Stats'!$B$3:$K$18,9,0)</f>
        <v>11</v>
      </c>
      <c r="S210" s="54">
        <f>VLOOKUP(N210,'Team Stats'!$B$3:$K$18,10,0)</f>
        <v>82.231707317073173</v>
      </c>
      <c r="T210" s="54">
        <f t="shared" si="6"/>
        <v>0.9390243902439025</v>
      </c>
      <c r="U210">
        <f t="shared" si="7"/>
        <v>208</v>
      </c>
    </row>
    <row r="211" spans="1:21" x14ac:dyDescent="0.25">
      <c r="A211" s="44" t="s">
        <v>534</v>
      </c>
      <c r="B211" s="44" t="s">
        <v>204</v>
      </c>
      <c r="C211" s="45">
        <v>71</v>
      </c>
      <c r="D211" s="45"/>
      <c r="E211" s="45">
        <v>9</v>
      </c>
      <c r="F211" s="45"/>
      <c r="G211" s="45">
        <v>25</v>
      </c>
      <c r="H211" s="45"/>
      <c r="I211" s="34">
        <v>34</v>
      </c>
      <c r="J211">
        <f>I211/(VLOOKUP(B211,'Team Stats'!$B$3:$K$18,5,0))</f>
        <v>5.5464926590538338E-2</v>
      </c>
      <c r="M211" t="s">
        <v>816</v>
      </c>
      <c r="N211" t="s">
        <v>197</v>
      </c>
      <c r="O211">
        <v>12</v>
      </c>
      <c r="P211">
        <v>600</v>
      </c>
      <c r="Q211">
        <v>0.02</v>
      </c>
      <c r="R211" s="57">
        <f>VLOOKUP(N211,'Team Stats'!$B$3:$K$18,9,0)</f>
        <v>6</v>
      </c>
      <c r="S211" s="54">
        <f>VLOOKUP(N211,'Team Stats'!$B$3:$K$18,10,0)</f>
        <v>43.902439024390247</v>
      </c>
      <c r="T211" s="54">
        <f t="shared" si="6"/>
        <v>0.87804878048780499</v>
      </c>
      <c r="U211">
        <f t="shared" si="7"/>
        <v>209</v>
      </c>
    </row>
    <row r="212" spans="1:21" x14ac:dyDescent="0.25">
      <c r="A212" s="44" t="s">
        <v>535</v>
      </c>
      <c r="B212" s="44" t="s">
        <v>324</v>
      </c>
      <c r="C212" s="45">
        <v>82</v>
      </c>
      <c r="D212" s="45"/>
      <c r="E212" s="45">
        <v>19</v>
      </c>
      <c r="F212" s="45"/>
      <c r="G212" s="45">
        <v>15</v>
      </c>
      <c r="H212" s="45"/>
      <c r="I212" s="34">
        <v>34</v>
      </c>
      <c r="J212" t="e">
        <f>I212/(VLOOKUP(B212,'Team Stats'!$B$3:$K$18,5,0))</f>
        <v>#N/A</v>
      </c>
      <c r="M212" t="s">
        <v>821</v>
      </c>
      <c r="N212" t="s">
        <v>195</v>
      </c>
      <c r="O212">
        <v>12</v>
      </c>
      <c r="P212">
        <v>656</v>
      </c>
      <c r="Q212">
        <v>1.8292682926829267E-2</v>
      </c>
      <c r="R212" s="57">
        <f>VLOOKUP(N212,'Team Stats'!$B$3:$K$18,9,0)</f>
        <v>6</v>
      </c>
      <c r="S212" s="54">
        <f>VLOOKUP(N212,'Team Stats'!$B$3:$K$18,10,0)</f>
        <v>48</v>
      </c>
      <c r="T212" s="54">
        <f t="shared" si="6"/>
        <v>0.87804878048780477</v>
      </c>
      <c r="U212">
        <f t="shared" si="7"/>
        <v>210</v>
      </c>
    </row>
    <row r="213" spans="1:21" x14ac:dyDescent="0.25">
      <c r="A213" s="44" t="s">
        <v>536</v>
      </c>
      <c r="B213" s="44" t="s">
        <v>214</v>
      </c>
      <c r="C213" s="45">
        <v>82</v>
      </c>
      <c r="D213" s="45"/>
      <c r="E213" s="45">
        <v>12</v>
      </c>
      <c r="F213" s="45"/>
      <c r="G213" s="45">
        <v>22</v>
      </c>
      <c r="H213" s="45"/>
      <c r="I213" s="34">
        <v>34</v>
      </c>
      <c r="J213" t="e">
        <f>I213/(VLOOKUP(B213,'Team Stats'!$B$3:$K$18,5,0))</f>
        <v>#N/A</v>
      </c>
      <c r="M213" t="s">
        <v>829</v>
      </c>
      <c r="N213" t="s">
        <v>197</v>
      </c>
      <c r="O213">
        <v>11</v>
      </c>
      <c r="P213">
        <v>600</v>
      </c>
      <c r="Q213">
        <v>1.8333333333333333E-2</v>
      </c>
      <c r="R213" s="57">
        <f>VLOOKUP(N213,'Team Stats'!$B$3:$K$18,9,0)</f>
        <v>6</v>
      </c>
      <c r="S213" s="54">
        <f>VLOOKUP(N213,'Team Stats'!$B$3:$K$18,10,0)</f>
        <v>43.902439024390247</v>
      </c>
      <c r="T213" s="54">
        <f t="shared" si="6"/>
        <v>0.80487804878048785</v>
      </c>
      <c r="U213">
        <f t="shared" si="7"/>
        <v>211</v>
      </c>
    </row>
    <row r="214" spans="1:21" x14ac:dyDescent="0.25">
      <c r="A214" s="44" t="s">
        <v>537</v>
      </c>
      <c r="B214" s="44" t="s">
        <v>208</v>
      </c>
      <c r="C214" s="45">
        <v>75</v>
      </c>
      <c r="D214" s="45"/>
      <c r="E214" s="45">
        <v>15</v>
      </c>
      <c r="F214" s="45"/>
      <c r="G214" s="45">
        <v>18</v>
      </c>
      <c r="H214" s="45"/>
      <c r="I214" s="34">
        <v>33</v>
      </c>
      <c r="J214">
        <f>I214/(VLOOKUP(B214,'Team Stats'!$B$3:$K$18,5,0))</f>
        <v>5.2380952380952382E-2</v>
      </c>
      <c r="M214" t="s">
        <v>835</v>
      </c>
      <c r="N214" t="s">
        <v>197</v>
      </c>
      <c r="O214">
        <v>11</v>
      </c>
      <c r="P214">
        <v>600</v>
      </c>
      <c r="Q214">
        <v>1.8333333333333333E-2</v>
      </c>
      <c r="R214" s="57">
        <f>VLOOKUP(N214,'Team Stats'!$B$3:$K$18,9,0)</f>
        <v>6</v>
      </c>
      <c r="S214" s="54">
        <f>VLOOKUP(N214,'Team Stats'!$B$3:$K$18,10,0)</f>
        <v>43.902439024390247</v>
      </c>
      <c r="T214" s="54">
        <f t="shared" si="6"/>
        <v>0.80487804878048785</v>
      </c>
      <c r="U214">
        <f t="shared" si="7"/>
        <v>211</v>
      </c>
    </row>
    <row r="215" spans="1:21" x14ac:dyDescent="0.25">
      <c r="A215" s="44" t="s">
        <v>538</v>
      </c>
      <c r="B215" s="44" t="s">
        <v>197</v>
      </c>
      <c r="C215" s="45">
        <v>80</v>
      </c>
      <c r="D215" s="45"/>
      <c r="E215" s="45">
        <v>21</v>
      </c>
      <c r="F215" s="45"/>
      <c r="G215" s="45">
        <v>12</v>
      </c>
      <c r="H215" s="45"/>
      <c r="I215" s="34">
        <v>33</v>
      </c>
      <c r="J215">
        <f>I215/(VLOOKUP(B215,'Team Stats'!$B$3:$K$18,5,0))</f>
        <v>5.5E-2</v>
      </c>
      <c r="M215" t="s">
        <v>933</v>
      </c>
      <c r="N215" t="s">
        <v>204</v>
      </c>
      <c r="O215">
        <v>6</v>
      </c>
      <c r="P215">
        <v>613</v>
      </c>
      <c r="Q215">
        <v>9.7879282218597055E-3</v>
      </c>
      <c r="R215" s="57">
        <f>VLOOKUP(N215,'Team Stats'!$B$3:$K$18,9,0)</f>
        <v>11</v>
      </c>
      <c r="S215" s="54">
        <f>VLOOKUP(N215,'Team Stats'!$B$3:$K$18,10,0)</f>
        <v>82.231707317073173</v>
      </c>
      <c r="T215" s="54">
        <f t="shared" si="6"/>
        <v>0.80487804878048774</v>
      </c>
      <c r="U215">
        <f t="shared" si="7"/>
        <v>213</v>
      </c>
    </row>
    <row r="216" spans="1:21" x14ac:dyDescent="0.25">
      <c r="A216" s="44" t="s">
        <v>539</v>
      </c>
      <c r="B216" s="44" t="s">
        <v>195</v>
      </c>
      <c r="C216" s="45">
        <v>71</v>
      </c>
      <c r="D216" s="45"/>
      <c r="E216" s="45">
        <v>5</v>
      </c>
      <c r="F216" s="45"/>
      <c r="G216" s="45">
        <v>28</v>
      </c>
      <c r="H216" s="45"/>
      <c r="I216" s="34">
        <v>33</v>
      </c>
      <c r="J216">
        <f>I216/(VLOOKUP(B216,'Team Stats'!$B$3:$K$18,5,0))</f>
        <v>5.0304878048780491E-2</v>
      </c>
      <c r="M216" t="s">
        <v>919</v>
      </c>
      <c r="N216" t="s">
        <v>205</v>
      </c>
      <c r="O216">
        <v>6</v>
      </c>
      <c r="P216">
        <v>642</v>
      </c>
      <c r="Q216">
        <v>9.3457943925233638E-3</v>
      </c>
      <c r="R216" s="57">
        <f>VLOOKUP(N216,'Team Stats'!$B$3:$K$18,9,0)</f>
        <v>11</v>
      </c>
      <c r="S216" s="54">
        <f>VLOOKUP(N216,'Team Stats'!$B$3:$K$18,10,0)</f>
        <v>86.121951219512198</v>
      </c>
      <c r="T216" s="54">
        <f t="shared" si="6"/>
        <v>0.80487804878048774</v>
      </c>
      <c r="U216">
        <f t="shared" si="7"/>
        <v>213</v>
      </c>
    </row>
    <row r="217" spans="1:21" x14ac:dyDescent="0.25">
      <c r="A217" s="44" t="s">
        <v>540</v>
      </c>
      <c r="B217" s="44" t="s">
        <v>324</v>
      </c>
      <c r="C217" s="45">
        <v>75</v>
      </c>
      <c r="D217" s="45"/>
      <c r="E217" s="45">
        <v>19</v>
      </c>
      <c r="F217" s="45"/>
      <c r="G217" s="45">
        <v>14</v>
      </c>
      <c r="H217" s="45"/>
      <c r="I217" s="34">
        <v>33</v>
      </c>
      <c r="J217" t="e">
        <f>I217/(VLOOKUP(B217,'Team Stats'!$B$3:$K$18,5,0))</f>
        <v>#N/A</v>
      </c>
      <c r="M217" t="s">
        <v>876</v>
      </c>
      <c r="N217" t="s">
        <v>213</v>
      </c>
      <c r="O217">
        <v>9</v>
      </c>
      <c r="P217">
        <v>619</v>
      </c>
      <c r="Q217">
        <v>1.4539579967689823E-2</v>
      </c>
      <c r="R217" s="57">
        <f>VLOOKUP(N217,'Team Stats'!$B$3:$K$18,9,0)</f>
        <v>7</v>
      </c>
      <c r="S217" s="54">
        <f>VLOOKUP(N217,'Team Stats'!$B$3:$K$18,10,0)</f>
        <v>52.841463414634148</v>
      </c>
      <c r="T217" s="54">
        <f t="shared" si="6"/>
        <v>0.76829268292682928</v>
      </c>
      <c r="U217">
        <f t="shared" si="7"/>
        <v>215</v>
      </c>
    </row>
    <row r="218" spans="1:21" x14ac:dyDescent="0.25">
      <c r="A218" s="44" t="s">
        <v>541</v>
      </c>
      <c r="B218" s="44" t="s">
        <v>205</v>
      </c>
      <c r="C218" s="45">
        <v>70</v>
      </c>
      <c r="D218" s="45"/>
      <c r="E218" s="45">
        <v>18</v>
      </c>
      <c r="F218" s="45"/>
      <c r="G218" s="45">
        <v>15</v>
      </c>
      <c r="H218" s="45"/>
      <c r="I218" s="34">
        <v>33</v>
      </c>
      <c r="J218">
        <f>I218/(VLOOKUP(B218,'Team Stats'!$B$3:$K$18,5,0))</f>
        <v>5.1401869158878503E-2</v>
      </c>
      <c r="M218" t="s">
        <v>848</v>
      </c>
      <c r="N218" t="s">
        <v>197</v>
      </c>
      <c r="O218">
        <v>10</v>
      </c>
      <c r="P218">
        <v>600</v>
      </c>
      <c r="Q218">
        <v>1.6666666666666666E-2</v>
      </c>
      <c r="R218" s="57">
        <f>VLOOKUP(N218,'Team Stats'!$B$3:$K$18,9,0)</f>
        <v>6</v>
      </c>
      <c r="S218" s="54">
        <f>VLOOKUP(N218,'Team Stats'!$B$3:$K$18,10,0)</f>
        <v>43.902439024390247</v>
      </c>
      <c r="T218" s="54">
        <f t="shared" si="6"/>
        <v>0.73170731707317083</v>
      </c>
      <c r="U218">
        <f t="shared" si="7"/>
        <v>216</v>
      </c>
    </row>
    <row r="219" spans="1:21" x14ac:dyDescent="0.25">
      <c r="A219" s="44" t="s">
        <v>542</v>
      </c>
      <c r="B219" s="44" t="s">
        <v>364</v>
      </c>
      <c r="C219" s="45">
        <v>79</v>
      </c>
      <c r="D219" s="45"/>
      <c r="E219" s="45">
        <v>12</v>
      </c>
      <c r="F219" s="45"/>
      <c r="G219" s="45">
        <v>21</v>
      </c>
      <c r="H219" s="45"/>
      <c r="I219" s="34">
        <v>33</v>
      </c>
      <c r="J219" t="e">
        <f>I219/(VLOOKUP(B219,'Team Stats'!$B$3:$K$18,5,0))</f>
        <v>#N/A</v>
      </c>
      <c r="M219" t="s">
        <v>852</v>
      </c>
      <c r="N219" t="s">
        <v>211</v>
      </c>
      <c r="O219">
        <v>10</v>
      </c>
      <c r="P219">
        <v>608</v>
      </c>
      <c r="Q219">
        <v>1.6447368421052631E-2</v>
      </c>
      <c r="R219" s="57">
        <f>VLOOKUP(N219,'Team Stats'!$B$3:$K$18,9,0)</f>
        <v>6</v>
      </c>
      <c r="S219" s="54">
        <f>VLOOKUP(N219,'Team Stats'!$B$3:$K$18,10,0)</f>
        <v>44.487804878048784</v>
      </c>
      <c r="T219" s="54">
        <f t="shared" si="6"/>
        <v>0.73170731707317072</v>
      </c>
      <c r="U219">
        <f t="shared" si="7"/>
        <v>217</v>
      </c>
    </row>
    <row r="220" spans="1:21" x14ac:dyDescent="0.25">
      <c r="A220" s="44" t="s">
        <v>543</v>
      </c>
      <c r="B220" s="44" t="s">
        <v>217</v>
      </c>
      <c r="C220" s="45">
        <v>80</v>
      </c>
      <c r="D220" s="45"/>
      <c r="E220" s="45">
        <v>11</v>
      </c>
      <c r="F220" s="45"/>
      <c r="G220" s="45">
        <v>22</v>
      </c>
      <c r="H220" s="45"/>
      <c r="I220" s="34">
        <v>33</v>
      </c>
      <c r="J220" t="e">
        <f>I220/(VLOOKUP(B220,'Team Stats'!$B$3:$K$18,5,0))</f>
        <v>#N/A</v>
      </c>
      <c r="M220" t="s">
        <v>845</v>
      </c>
      <c r="N220" t="s">
        <v>211</v>
      </c>
      <c r="O220">
        <v>10</v>
      </c>
      <c r="P220">
        <v>608</v>
      </c>
      <c r="Q220">
        <v>1.6447368421052631E-2</v>
      </c>
      <c r="R220" s="57">
        <f>VLOOKUP(N220,'Team Stats'!$B$3:$K$18,9,0)</f>
        <v>6</v>
      </c>
      <c r="S220" s="54">
        <f>VLOOKUP(N220,'Team Stats'!$B$3:$K$18,10,0)</f>
        <v>44.487804878048784</v>
      </c>
      <c r="T220" s="54">
        <f t="shared" si="6"/>
        <v>0.73170731707317072</v>
      </c>
      <c r="U220">
        <f t="shared" si="7"/>
        <v>217</v>
      </c>
    </row>
    <row r="221" spans="1:21" x14ac:dyDescent="0.25">
      <c r="A221" s="44" t="s">
        <v>544</v>
      </c>
      <c r="B221" s="44" t="s">
        <v>214</v>
      </c>
      <c r="C221" s="45">
        <v>81</v>
      </c>
      <c r="D221" s="45"/>
      <c r="E221" s="45">
        <v>14</v>
      </c>
      <c r="F221" s="45"/>
      <c r="G221" s="45">
        <v>19</v>
      </c>
      <c r="H221" s="45"/>
      <c r="I221" s="34">
        <v>33</v>
      </c>
      <c r="J221" t="e">
        <f>I221/(VLOOKUP(B221,'Team Stats'!$B$3:$K$18,5,0))</f>
        <v>#N/A</v>
      </c>
      <c r="M221" t="s">
        <v>762</v>
      </c>
      <c r="N221" t="s">
        <v>209</v>
      </c>
      <c r="O221">
        <v>14</v>
      </c>
      <c r="P221">
        <v>594</v>
      </c>
      <c r="Q221">
        <v>2.3569023569023569E-2</v>
      </c>
      <c r="R221" s="57">
        <f>VLOOKUP(N221,'Team Stats'!$B$3:$K$18,9,0)</f>
        <v>4</v>
      </c>
      <c r="S221" s="54">
        <f>VLOOKUP(N221,'Team Stats'!$B$3:$K$18,10,0)</f>
        <v>28.975609756097562</v>
      </c>
      <c r="T221" s="54">
        <f t="shared" si="6"/>
        <v>0.68292682926829273</v>
      </c>
      <c r="U221">
        <f t="shared" si="7"/>
        <v>219</v>
      </c>
    </row>
    <row r="222" spans="1:21" x14ac:dyDescent="0.25">
      <c r="A222" s="44" t="s">
        <v>545</v>
      </c>
      <c r="B222" s="44" t="s">
        <v>202</v>
      </c>
      <c r="C222" s="45">
        <v>71</v>
      </c>
      <c r="D222" s="45"/>
      <c r="E222" s="45">
        <v>8</v>
      </c>
      <c r="F222" s="45"/>
      <c r="G222" s="45">
        <v>25</v>
      </c>
      <c r="H222" s="45"/>
      <c r="I222" s="34">
        <v>33</v>
      </c>
      <c r="J222">
        <f>I222/(VLOOKUP(B222,'Team Stats'!$B$3:$K$18,5,0))</f>
        <v>5.007587253414264E-2</v>
      </c>
      <c r="M222" t="s">
        <v>769</v>
      </c>
      <c r="N222" t="s">
        <v>209</v>
      </c>
      <c r="O222">
        <v>14</v>
      </c>
      <c r="P222">
        <v>594</v>
      </c>
      <c r="Q222">
        <v>2.3569023569023569E-2</v>
      </c>
      <c r="R222" s="57">
        <f>VLOOKUP(N222,'Team Stats'!$B$3:$K$18,9,0)</f>
        <v>4</v>
      </c>
      <c r="S222" s="54">
        <f>VLOOKUP(N222,'Team Stats'!$B$3:$K$18,10,0)</f>
        <v>28.975609756097562</v>
      </c>
      <c r="T222" s="54">
        <f t="shared" si="6"/>
        <v>0.68292682926829273</v>
      </c>
      <c r="U222">
        <f t="shared" si="7"/>
        <v>219</v>
      </c>
    </row>
    <row r="223" spans="1:21" x14ac:dyDescent="0.25">
      <c r="A223" s="44" t="s">
        <v>546</v>
      </c>
      <c r="B223" s="44" t="s">
        <v>205</v>
      </c>
      <c r="C223" s="45">
        <v>81</v>
      </c>
      <c r="D223" s="45"/>
      <c r="E223" s="45">
        <v>16</v>
      </c>
      <c r="F223" s="45"/>
      <c r="G223" s="45">
        <v>17</v>
      </c>
      <c r="H223" s="45"/>
      <c r="I223" s="34">
        <v>33</v>
      </c>
      <c r="J223">
        <f>I223/(VLOOKUP(B223,'Team Stats'!$B$3:$K$18,5,0))</f>
        <v>5.1401869158878503E-2</v>
      </c>
      <c r="M223" t="s">
        <v>866</v>
      </c>
      <c r="N223" t="s">
        <v>197</v>
      </c>
      <c r="O223">
        <v>9</v>
      </c>
      <c r="P223">
        <v>600</v>
      </c>
      <c r="Q223">
        <v>1.4999999999999999E-2</v>
      </c>
      <c r="R223" s="57">
        <f>VLOOKUP(N223,'Team Stats'!$B$3:$K$18,9,0)</f>
        <v>6</v>
      </c>
      <c r="S223" s="54">
        <f>VLOOKUP(N223,'Team Stats'!$B$3:$K$18,10,0)</f>
        <v>43.902439024390247</v>
      </c>
      <c r="T223" s="54">
        <f t="shared" si="6"/>
        <v>0.65853658536585369</v>
      </c>
      <c r="U223">
        <f t="shared" si="7"/>
        <v>221</v>
      </c>
    </row>
    <row r="224" spans="1:21" x14ac:dyDescent="0.25">
      <c r="A224" s="44" t="s">
        <v>547</v>
      </c>
      <c r="B224" s="44" t="s">
        <v>198</v>
      </c>
      <c r="C224" s="45">
        <v>64</v>
      </c>
      <c r="D224" s="45"/>
      <c r="E224" s="45">
        <v>10</v>
      </c>
      <c r="F224" s="45"/>
      <c r="G224" s="45">
        <v>22</v>
      </c>
      <c r="H224" s="45"/>
      <c r="I224" s="34">
        <v>32</v>
      </c>
      <c r="J224" t="e">
        <f>I224/(VLOOKUP(B224,'Team Stats'!$B$3:$K$18,5,0))</f>
        <v>#N/A</v>
      </c>
      <c r="M224" t="s">
        <v>800</v>
      </c>
      <c r="N224" t="s">
        <v>209</v>
      </c>
      <c r="O224">
        <v>13</v>
      </c>
      <c r="P224">
        <v>594</v>
      </c>
      <c r="Q224">
        <v>2.1885521885521887E-2</v>
      </c>
      <c r="R224" s="57">
        <f>VLOOKUP(N224,'Team Stats'!$B$3:$K$18,9,0)</f>
        <v>4</v>
      </c>
      <c r="S224" s="54">
        <f>VLOOKUP(N224,'Team Stats'!$B$3:$K$18,10,0)</f>
        <v>28.975609756097562</v>
      </c>
      <c r="T224" s="54">
        <f t="shared" si="6"/>
        <v>0.63414634146341464</v>
      </c>
      <c r="U224">
        <f t="shared" si="7"/>
        <v>222</v>
      </c>
    </row>
    <row r="225" spans="1:21" x14ac:dyDescent="0.25">
      <c r="A225" s="44" t="s">
        <v>548</v>
      </c>
      <c r="B225" s="44" t="s">
        <v>335</v>
      </c>
      <c r="C225" s="45">
        <v>70</v>
      </c>
      <c r="D225" s="45"/>
      <c r="E225" s="45">
        <v>4</v>
      </c>
      <c r="F225" s="45"/>
      <c r="G225" s="45">
        <v>28</v>
      </c>
      <c r="H225" s="45"/>
      <c r="I225" s="34">
        <v>32</v>
      </c>
      <c r="J225" t="e">
        <f>I225/(VLOOKUP(B225,'Team Stats'!$B$3:$K$18,5,0))</f>
        <v>#N/A</v>
      </c>
      <c r="M225" t="s">
        <v>901</v>
      </c>
      <c r="N225" t="s">
        <v>213</v>
      </c>
      <c r="O225">
        <v>7</v>
      </c>
      <c r="P225">
        <v>619</v>
      </c>
      <c r="Q225">
        <v>1.1308562197092083E-2</v>
      </c>
      <c r="R225" s="57">
        <f>VLOOKUP(N225,'Team Stats'!$B$3:$K$18,9,0)</f>
        <v>7</v>
      </c>
      <c r="S225" s="54">
        <f>VLOOKUP(N225,'Team Stats'!$B$3:$K$18,10,0)</f>
        <v>52.841463414634148</v>
      </c>
      <c r="T225" s="54">
        <f t="shared" si="6"/>
        <v>0.59756097560975607</v>
      </c>
      <c r="U225">
        <f t="shared" si="7"/>
        <v>223</v>
      </c>
    </row>
    <row r="226" spans="1:21" x14ac:dyDescent="0.25">
      <c r="A226" s="44" t="s">
        <v>549</v>
      </c>
      <c r="B226" s="44" t="s">
        <v>219</v>
      </c>
      <c r="C226" s="45">
        <v>67</v>
      </c>
      <c r="D226" s="45"/>
      <c r="E226" s="45">
        <v>16</v>
      </c>
      <c r="F226" s="45"/>
      <c r="G226" s="45">
        <v>16</v>
      </c>
      <c r="H226" s="45"/>
      <c r="I226" s="34">
        <v>32</v>
      </c>
      <c r="J226" t="e">
        <f>I226/(VLOOKUP(B226,'Team Stats'!$B$3:$K$18,5,0))</f>
        <v>#N/A</v>
      </c>
      <c r="M226" t="s">
        <v>891</v>
      </c>
      <c r="N226" t="s">
        <v>195</v>
      </c>
      <c r="O226">
        <v>8</v>
      </c>
      <c r="P226">
        <v>656</v>
      </c>
      <c r="Q226">
        <v>1.2195121951219513E-2</v>
      </c>
      <c r="R226" s="57">
        <f>VLOOKUP(N226,'Team Stats'!$B$3:$K$18,9,0)</f>
        <v>6</v>
      </c>
      <c r="S226" s="54">
        <f>VLOOKUP(N226,'Team Stats'!$B$3:$K$18,10,0)</f>
        <v>48</v>
      </c>
      <c r="T226" s="54">
        <f t="shared" si="6"/>
        <v>0.58536585365853666</v>
      </c>
      <c r="U226">
        <f t="shared" si="7"/>
        <v>224</v>
      </c>
    </row>
    <row r="227" spans="1:21" x14ac:dyDescent="0.25">
      <c r="A227" s="44" t="s">
        <v>550</v>
      </c>
      <c r="B227" s="44" t="s">
        <v>221</v>
      </c>
      <c r="C227" s="45">
        <v>79</v>
      </c>
      <c r="D227" s="45"/>
      <c r="E227" s="45">
        <v>9</v>
      </c>
      <c r="F227" s="45"/>
      <c r="G227" s="45">
        <v>23</v>
      </c>
      <c r="H227" s="45"/>
      <c r="I227" s="34">
        <v>32</v>
      </c>
      <c r="J227" t="e">
        <f>I227/(VLOOKUP(B227,'Team Stats'!$B$3:$K$18,5,0))</f>
        <v>#N/A</v>
      </c>
      <c r="M227" t="s">
        <v>893</v>
      </c>
      <c r="N227" t="s">
        <v>208</v>
      </c>
      <c r="O227">
        <v>8</v>
      </c>
      <c r="P227">
        <v>630</v>
      </c>
      <c r="Q227">
        <v>1.2698412698412698E-2</v>
      </c>
      <c r="R227" s="57">
        <f>VLOOKUP(N227,'Team Stats'!$B$3:$K$18,9,0)</f>
        <v>6</v>
      </c>
      <c r="S227" s="54">
        <f>VLOOKUP(N227,'Team Stats'!$B$3:$K$18,10,0)</f>
        <v>46.097560975609753</v>
      </c>
      <c r="T227" s="54">
        <f t="shared" si="6"/>
        <v>0.58536585365853655</v>
      </c>
      <c r="U227">
        <f t="shared" si="7"/>
        <v>225</v>
      </c>
    </row>
    <row r="228" spans="1:21" x14ac:dyDescent="0.25">
      <c r="A228" s="44" t="s">
        <v>551</v>
      </c>
      <c r="B228" s="44" t="s">
        <v>214</v>
      </c>
      <c r="C228" s="45">
        <v>72</v>
      </c>
      <c r="D228" s="45"/>
      <c r="E228" s="45">
        <v>12</v>
      </c>
      <c r="F228" s="45"/>
      <c r="G228" s="45">
        <v>20</v>
      </c>
      <c r="H228" s="45"/>
      <c r="I228" s="34">
        <v>32</v>
      </c>
      <c r="J228" t="e">
        <f>I228/(VLOOKUP(B228,'Team Stats'!$B$3:$K$18,5,0))</f>
        <v>#N/A</v>
      </c>
      <c r="M228" t="s">
        <v>886</v>
      </c>
      <c r="N228" t="s">
        <v>211</v>
      </c>
      <c r="O228">
        <v>8</v>
      </c>
      <c r="P228">
        <v>608</v>
      </c>
      <c r="Q228">
        <v>1.3157894736842105E-2</v>
      </c>
      <c r="R228" s="57">
        <f>VLOOKUP(N228,'Team Stats'!$B$3:$K$18,9,0)</f>
        <v>6</v>
      </c>
      <c r="S228" s="54">
        <f>VLOOKUP(N228,'Team Stats'!$B$3:$K$18,10,0)</f>
        <v>44.487804878048784</v>
      </c>
      <c r="T228" s="54">
        <f t="shared" si="6"/>
        <v>0.58536585365853655</v>
      </c>
      <c r="U228">
        <f t="shared" si="7"/>
        <v>225</v>
      </c>
    </row>
    <row r="229" spans="1:21" x14ac:dyDescent="0.25">
      <c r="A229" s="44" t="s">
        <v>552</v>
      </c>
      <c r="B229" s="44" t="s">
        <v>203</v>
      </c>
      <c r="C229" s="45">
        <v>76</v>
      </c>
      <c r="D229" s="45"/>
      <c r="E229" s="45">
        <v>11</v>
      </c>
      <c r="F229" s="45"/>
      <c r="G229" s="45">
        <v>21</v>
      </c>
      <c r="H229" s="45"/>
      <c r="I229" s="34">
        <v>32</v>
      </c>
      <c r="J229" t="e">
        <f>I229/(VLOOKUP(B229,'Team Stats'!$B$3:$K$18,5,0))</f>
        <v>#N/A</v>
      </c>
      <c r="M229" t="s">
        <v>890</v>
      </c>
      <c r="N229" t="s">
        <v>208</v>
      </c>
      <c r="O229">
        <v>8</v>
      </c>
      <c r="P229">
        <v>630</v>
      </c>
      <c r="Q229">
        <v>1.2698412698412698E-2</v>
      </c>
      <c r="R229" s="57">
        <f>VLOOKUP(N229,'Team Stats'!$B$3:$K$18,9,0)</f>
        <v>6</v>
      </c>
      <c r="S229" s="54">
        <f>VLOOKUP(N229,'Team Stats'!$B$3:$K$18,10,0)</f>
        <v>46.097560975609753</v>
      </c>
      <c r="T229" s="54">
        <f t="shared" si="6"/>
        <v>0.58536585365853655</v>
      </c>
      <c r="U229">
        <f t="shared" si="7"/>
        <v>225</v>
      </c>
    </row>
    <row r="230" spans="1:21" x14ac:dyDescent="0.25">
      <c r="A230" s="44" t="s">
        <v>553</v>
      </c>
      <c r="B230" s="44" t="s">
        <v>204</v>
      </c>
      <c r="C230" s="45">
        <v>65</v>
      </c>
      <c r="D230" s="45"/>
      <c r="E230" s="45">
        <v>22</v>
      </c>
      <c r="F230" s="45"/>
      <c r="G230" s="45">
        <v>10</v>
      </c>
      <c r="H230" s="45"/>
      <c r="I230" s="34">
        <v>32</v>
      </c>
      <c r="J230">
        <f>I230/(VLOOKUP(B230,'Team Stats'!$B$3:$K$18,5,0))</f>
        <v>5.2202283849918436E-2</v>
      </c>
      <c r="M230" t="s">
        <v>972</v>
      </c>
      <c r="N230" t="s">
        <v>205</v>
      </c>
      <c r="O230">
        <v>4</v>
      </c>
      <c r="P230">
        <v>642</v>
      </c>
      <c r="Q230">
        <v>6.2305295950155761E-3</v>
      </c>
      <c r="R230" s="57">
        <f>VLOOKUP(N230,'Team Stats'!$B$3:$K$18,9,0)</f>
        <v>11</v>
      </c>
      <c r="S230" s="54">
        <f>VLOOKUP(N230,'Team Stats'!$B$3:$K$18,10,0)</f>
        <v>86.121951219512198</v>
      </c>
      <c r="T230" s="54">
        <f t="shared" si="6"/>
        <v>0.53658536585365857</v>
      </c>
      <c r="U230">
        <f t="shared" si="7"/>
        <v>228</v>
      </c>
    </row>
    <row r="231" spans="1:21" x14ac:dyDescent="0.25">
      <c r="A231" s="44" t="s">
        <v>554</v>
      </c>
      <c r="B231" s="44" t="s">
        <v>216</v>
      </c>
      <c r="C231" s="45">
        <v>47</v>
      </c>
      <c r="D231" s="45"/>
      <c r="E231" s="45">
        <v>7</v>
      </c>
      <c r="F231" s="45"/>
      <c r="G231" s="45">
        <v>24</v>
      </c>
      <c r="H231" s="45"/>
      <c r="I231" s="34">
        <v>31</v>
      </c>
      <c r="J231" t="e">
        <f>I231/(VLOOKUP(B231,'Team Stats'!$B$3:$K$18,5,0))</f>
        <v>#N/A</v>
      </c>
      <c r="M231" t="s">
        <v>962</v>
      </c>
      <c r="N231" t="s">
        <v>205</v>
      </c>
      <c r="O231">
        <v>4</v>
      </c>
      <c r="P231">
        <v>642</v>
      </c>
      <c r="Q231">
        <v>6.2305295950155761E-3</v>
      </c>
      <c r="R231" s="57">
        <f>VLOOKUP(N231,'Team Stats'!$B$3:$K$18,9,0)</f>
        <v>11</v>
      </c>
      <c r="S231" s="54">
        <f>VLOOKUP(N231,'Team Stats'!$B$3:$K$18,10,0)</f>
        <v>86.121951219512198</v>
      </c>
      <c r="T231" s="54">
        <f t="shared" si="6"/>
        <v>0.53658536585365857</v>
      </c>
      <c r="U231">
        <f t="shared" si="7"/>
        <v>228</v>
      </c>
    </row>
    <row r="232" spans="1:21" x14ac:dyDescent="0.25">
      <c r="A232" s="44" t="s">
        <v>555</v>
      </c>
      <c r="B232" s="44" t="s">
        <v>208</v>
      </c>
      <c r="C232" s="45">
        <v>80</v>
      </c>
      <c r="D232" s="45"/>
      <c r="E232" s="45">
        <v>2</v>
      </c>
      <c r="F232" s="45"/>
      <c r="G232" s="45">
        <v>29</v>
      </c>
      <c r="H232" s="45"/>
      <c r="I232" s="34">
        <v>31</v>
      </c>
      <c r="J232">
        <f>I232/(VLOOKUP(B232,'Team Stats'!$B$3:$K$18,5,0))</f>
        <v>4.9206349206349205E-2</v>
      </c>
      <c r="M232" t="s">
        <v>909</v>
      </c>
      <c r="N232" t="s">
        <v>195</v>
      </c>
      <c r="O232">
        <v>7</v>
      </c>
      <c r="P232">
        <v>656</v>
      </c>
      <c r="Q232">
        <v>1.0670731707317074E-2</v>
      </c>
      <c r="R232" s="57">
        <f>VLOOKUP(N232,'Team Stats'!$B$3:$K$18,9,0)</f>
        <v>6</v>
      </c>
      <c r="S232" s="54">
        <f>VLOOKUP(N232,'Team Stats'!$B$3:$K$18,10,0)</f>
        <v>48</v>
      </c>
      <c r="T232" s="54">
        <f t="shared" si="6"/>
        <v>0.51219512195121952</v>
      </c>
      <c r="U232">
        <f t="shared" si="7"/>
        <v>230</v>
      </c>
    </row>
    <row r="233" spans="1:21" x14ac:dyDescent="0.25">
      <c r="A233" s="44" t="s">
        <v>556</v>
      </c>
      <c r="B233" s="44" t="s">
        <v>339</v>
      </c>
      <c r="C233" s="45">
        <v>82</v>
      </c>
      <c r="D233" s="45"/>
      <c r="E233" s="45">
        <v>13</v>
      </c>
      <c r="F233" s="45"/>
      <c r="G233" s="45">
        <v>18</v>
      </c>
      <c r="H233" s="45"/>
      <c r="I233" s="34">
        <v>31</v>
      </c>
      <c r="J233" t="e">
        <f>I233/(VLOOKUP(B233,'Team Stats'!$B$3:$K$18,5,0))</f>
        <v>#N/A</v>
      </c>
      <c r="M233" t="s">
        <v>982</v>
      </c>
      <c r="N233" t="s">
        <v>202</v>
      </c>
      <c r="O233">
        <v>3</v>
      </c>
      <c r="P233">
        <v>659</v>
      </c>
      <c r="Q233">
        <v>4.552352048558422E-3</v>
      </c>
      <c r="R233" s="57">
        <f>VLOOKUP(N233,'Team Stats'!$B$3:$K$18,9,0)</f>
        <v>14</v>
      </c>
      <c r="S233" s="54">
        <f>VLOOKUP(N233,'Team Stats'!$B$3:$K$18,10,0)</f>
        <v>112.51219512195122</v>
      </c>
      <c r="T233" s="54">
        <f t="shared" si="6"/>
        <v>0.51219512195121952</v>
      </c>
      <c r="U233">
        <f t="shared" si="7"/>
        <v>230</v>
      </c>
    </row>
    <row r="234" spans="1:21" x14ac:dyDescent="0.25">
      <c r="A234" s="44" t="s">
        <v>557</v>
      </c>
      <c r="B234" s="44" t="s">
        <v>195</v>
      </c>
      <c r="C234" s="45">
        <v>82</v>
      </c>
      <c r="D234" s="45"/>
      <c r="E234" s="45">
        <v>15</v>
      </c>
      <c r="F234" s="45"/>
      <c r="G234" s="45">
        <v>16</v>
      </c>
      <c r="H234" s="45"/>
      <c r="I234" s="34">
        <v>31</v>
      </c>
      <c r="J234">
        <f>I234/(VLOOKUP(B234,'Team Stats'!$B$3:$K$18,5,0))</f>
        <v>4.725609756097561E-2</v>
      </c>
      <c r="M234" t="s">
        <v>904</v>
      </c>
      <c r="N234" t="s">
        <v>197</v>
      </c>
      <c r="O234">
        <v>7</v>
      </c>
      <c r="P234">
        <v>600</v>
      </c>
      <c r="Q234">
        <v>1.1666666666666667E-2</v>
      </c>
      <c r="R234" s="57">
        <f>VLOOKUP(N234,'Team Stats'!$B$3:$K$18,9,0)</f>
        <v>6</v>
      </c>
      <c r="S234" s="54">
        <f>VLOOKUP(N234,'Team Stats'!$B$3:$K$18,10,0)</f>
        <v>43.902439024390247</v>
      </c>
      <c r="T234" s="54">
        <f t="shared" si="6"/>
        <v>0.51219512195121952</v>
      </c>
      <c r="U234">
        <f t="shared" si="7"/>
        <v>230</v>
      </c>
    </row>
    <row r="235" spans="1:21" x14ac:dyDescent="0.25">
      <c r="A235" s="44" t="s">
        <v>558</v>
      </c>
      <c r="B235" s="44" t="s">
        <v>217</v>
      </c>
      <c r="C235" s="45">
        <v>77</v>
      </c>
      <c r="D235" s="45"/>
      <c r="E235" s="45">
        <v>18</v>
      </c>
      <c r="F235" s="45"/>
      <c r="G235" s="45">
        <v>13</v>
      </c>
      <c r="H235" s="45"/>
      <c r="I235" s="34">
        <v>31</v>
      </c>
      <c r="J235" t="e">
        <f>I235/(VLOOKUP(B235,'Team Stats'!$B$3:$K$18,5,0))</f>
        <v>#N/A</v>
      </c>
      <c r="M235" t="s">
        <v>900</v>
      </c>
      <c r="N235" t="s">
        <v>197</v>
      </c>
      <c r="O235">
        <v>7</v>
      </c>
      <c r="P235">
        <v>600</v>
      </c>
      <c r="Q235">
        <v>1.1666666666666667E-2</v>
      </c>
      <c r="R235" s="57">
        <f>VLOOKUP(N235,'Team Stats'!$B$3:$K$18,9,0)</f>
        <v>6</v>
      </c>
      <c r="S235" s="54">
        <f>VLOOKUP(N235,'Team Stats'!$B$3:$K$18,10,0)</f>
        <v>43.902439024390247</v>
      </c>
      <c r="T235" s="54">
        <f t="shared" si="6"/>
        <v>0.51219512195121952</v>
      </c>
      <c r="U235">
        <f t="shared" si="7"/>
        <v>230</v>
      </c>
    </row>
    <row r="236" spans="1:21" x14ac:dyDescent="0.25">
      <c r="A236" s="44" t="s">
        <v>559</v>
      </c>
      <c r="B236" s="44" t="s">
        <v>211</v>
      </c>
      <c r="C236" s="45">
        <v>71</v>
      </c>
      <c r="D236" s="45"/>
      <c r="E236" s="45">
        <v>9</v>
      </c>
      <c r="F236" s="45"/>
      <c r="G236" s="45">
        <v>22</v>
      </c>
      <c r="H236" s="45"/>
      <c r="I236" s="34">
        <v>31</v>
      </c>
      <c r="J236">
        <f>I236/(VLOOKUP(B236,'Team Stats'!$B$3:$K$18,5,0))</f>
        <v>5.0986842105263157E-2</v>
      </c>
      <c r="M236" t="s">
        <v>907</v>
      </c>
      <c r="N236" t="s">
        <v>211</v>
      </c>
      <c r="O236">
        <v>7</v>
      </c>
      <c r="P236">
        <v>608</v>
      </c>
      <c r="Q236">
        <v>1.1513157894736841E-2</v>
      </c>
      <c r="R236" s="57">
        <f>VLOOKUP(N236,'Team Stats'!$B$3:$K$18,9,0)</f>
        <v>6</v>
      </c>
      <c r="S236" s="54">
        <f>VLOOKUP(N236,'Team Stats'!$B$3:$K$18,10,0)</f>
        <v>44.487804878048784</v>
      </c>
      <c r="T236" s="54">
        <f t="shared" si="6"/>
        <v>0.51219512195121952</v>
      </c>
      <c r="U236">
        <f t="shared" si="7"/>
        <v>230</v>
      </c>
    </row>
    <row r="237" spans="1:21" x14ac:dyDescent="0.25">
      <c r="A237" s="44" t="s">
        <v>560</v>
      </c>
      <c r="B237" s="44" t="s">
        <v>221</v>
      </c>
      <c r="C237" s="45">
        <v>77</v>
      </c>
      <c r="D237" s="45"/>
      <c r="E237" s="45">
        <v>17</v>
      </c>
      <c r="F237" s="45"/>
      <c r="G237" s="45">
        <v>14</v>
      </c>
      <c r="H237" s="45"/>
      <c r="I237" s="34">
        <v>31</v>
      </c>
      <c r="J237" t="e">
        <f>I237/(VLOOKUP(B237,'Team Stats'!$B$3:$K$18,5,0))</f>
        <v>#N/A</v>
      </c>
      <c r="M237" t="s">
        <v>925</v>
      </c>
      <c r="N237" t="s">
        <v>197</v>
      </c>
      <c r="O237">
        <v>6</v>
      </c>
      <c r="P237">
        <v>600</v>
      </c>
      <c r="Q237">
        <v>0.01</v>
      </c>
      <c r="R237" s="57">
        <f>VLOOKUP(N237,'Team Stats'!$B$3:$K$18,9,0)</f>
        <v>6</v>
      </c>
      <c r="S237" s="54">
        <f>VLOOKUP(N237,'Team Stats'!$B$3:$K$18,10,0)</f>
        <v>43.902439024390247</v>
      </c>
      <c r="T237" s="54">
        <f t="shared" si="6"/>
        <v>0.4390243902439025</v>
      </c>
      <c r="U237">
        <f t="shared" si="7"/>
        <v>235</v>
      </c>
    </row>
    <row r="238" spans="1:21" x14ac:dyDescent="0.25">
      <c r="A238" s="44" t="s">
        <v>561</v>
      </c>
      <c r="B238" s="44" t="s">
        <v>204</v>
      </c>
      <c r="C238" s="45">
        <v>71</v>
      </c>
      <c r="D238" s="45"/>
      <c r="E238" s="45">
        <v>9</v>
      </c>
      <c r="F238" s="45"/>
      <c r="G238" s="45">
        <v>22</v>
      </c>
      <c r="H238" s="45"/>
      <c r="I238" s="34">
        <v>31</v>
      </c>
      <c r="J238">
        <f>I238/(VLOOKUP(B238,'Team Stats'!$B$3:$K$18,5,0))</f>
        <v>5.0570962479608482E-2</v>
      </c>
      <c r="M238" t="s">
        <v>864</v>
      </c>
      <c r="N238" t="s">
        <v>209</v>
      </c>
      <c r="O238">
        <v>9</v>
      </c>
      <c r="P238">
        <v>594</v>
      </c>
      <c r="Q238">
        <v>1.5151515151515152E-2</v>
      </c>
      <c r="R238" s="57">
        <f>VLOOKUP(N238,'Team Stats'!$B$3:$K$18,9,0)</f>
        <v>4</v>
      </c>
      <c r="S238" s="54">
        <f>VLOOKUP(N238,'Team Stats'!$B$3:$K$18,10,0)</f>
        <v>28.975609756097562</v>
      </c>
      <c r="T238" s="54">
        <f t="shared" si="6"/>
        <v>0.43902439024390244</v>
      </c>
      <c r="U238">
        <f t="shared" si="7"/>
        <v>236</v>
      </c>
    </row>
    <row r="239" spans="1:21" x14ac:dyDescent="0.25">
      <c r="A239" s="44" t="s">
        <v>562</v>
      </c>
      <c r="B239" s="44" t="s">
        <v>209</v>
      </c>
      <c r="C239" s="45">
        <v>72</v>
      </c>
      <c r="D239" s="45"/>
      <c r="E239" s="45">
        <v>14</v>
      </c>
      <c r="F239" s="45"/>
      <c r="G239" s="45">
        <v>17</v>
      </c>
      <c r="H239" s="45"/>
      <c r="I239" s="34">
        <v>31</v>
      </c>
      <c r="J239">
        <f>I239/(VLOOKUP(B239,'Team Stats'!$B$3:$K$18,5,0))</f>
        <v>5.2188552188552187E-2</v>
      </c>
      <c r="M239" t="s">
        <v>872</v>
      </c>
      <c r="N239" t="s">
        <v>209</v>
      </c>
      <c r="O239">
        <v>9</v>
      </c>
      <c r="P239">
        <v>594</v>
      </c>
      <c r="Q239">
        <v>1.5151515151515152E-2</v>
      </c>
      <c r="R239" s="57">
        <f>VLOOKUP(N239,'Team Stats'!$B$3:$K$18,9,0)</f>
        <v>4</v>
      </c>
      <c r="S239" s="54">
        <f>VLOOKUP(N239,'Team Stats'!$B$3:$K$18,10,0)</f>
        <v>28.975609756097562</v>
      </c>
      <c r="T239" s="54">
        <f t="shared" si="6"/>
        <v>0.43902439024390244</v>
      </c>
      <c r="U239">
        <f t="shared" si="7"/>
        <v>236</v>
      </c>
    </row>
    <row r="240" spans="1:21" x14ac:dyDescent="0.25">
      <c r="A240" s="44" t="s">
        <v>563</v>
      </c>
      <c r="B240" s="44" t="s">
        <v>214</v>
      </c>
      <c r="C240" s="45">
        <v>81</v>
      </c>
      <c r="D240" s="45"/>
      <c r="E240" s="45">
        <v>6</v>
      </c>
      <c r="F240" s="45"/>
      <c r="G240" s="45">
        <v>25</v>
      </c>
      <c r="H240" s="45"/>
      <c r="I240" s="34">
        <v>31</v>
      </c>
      <c r="J240" t="e">
        <f>I240/(VLOOKUP(B240,'Team Stats'!$B$3:$K$18,5,0))</f>
        <v>#N/A</v>
      </c>
      <c r="M240" t="s">
        <v>998</v>
      </c>
      <c r="N240" t="s">
        <v>201</v>
      </c>
      <c r="O240">
        <v>3</v>
      </c>
      <c r="P240">
        <v>601</v>
      </c>
      <c r="Q240">
        <v>4.9916805324459234E-3</v>
      </c>
      <c r="R240" s="57">
        <f>VLOOKUP(N240,'Team Stats'!$B$3:$K$18,9,0)</f>
        <v>12</v>
      </c>
      <c r="S240" s="54">
        <f>VLOOKUP(N240,'Team Stats'!$B$3:$K$18,10,0)</f>
        <v>87.951219512195124</v>
      </c>
      <c r="T240" s="54">
        <f t="shared" si="6"/>
        <v>0.43902439024390244</v>
      </c>
      <c r="U240">
        <f t="shared" si="7"/>
        <v>236</v>
      </c>
    </row>
    <row r="241" spans="1:21" x14ac:dyDescent="0.25">
      <c r="A241" s="44" t="s">
        <v>564</v>
      </c>
      <c r="B241" s="44" t="s">
        <v>205</v>
      </c>
      <c r="C241" s="45">
        <v>74</v>
      </c>
      <c r="D241" s="45"/>
      <c r="E241" s="45">
        <v>8</v>
      </c>
      <c r="F241" s="45"/>
      <c r="G241" s="45">
        <v>23</v>
      </c>
      <c r="H241" s="45"/>
      <c r="I241" s="34">
        <v>31</v>
      </c>
      <c r="J241">
        <f>I241/(VLOOKUP(B241,'Team Stats'!$B$3:$K$18,5,0))</f>
        <v>4.8286604361370715E-2</v>
      </c>
      <c r="M241" t="s">
        <v>997</v>
      </c>
      <c r="N241" t="s">
        <v>199</v>
      </c>
      <c r="O241">
        <v>3</v>
      </c>
      <c r="P241">
        <v>660</v>
      </c>
      <c r="Q241">
        <v>4.5454545454545452E-3</v>
      </c>
      <c r="R241" s="57">
        <f>VLOOKUP(N241,'Team Stats'!$B$3:$K$18,9,0)</f>
        <v>12</v>
      </c>
      <c r="S241" s="54">
        <f>VLOOKUP(N241,'Team Stats'!$B$3:$K$18,10,0)</f>
        <v>96.585365853658544</v>
      </c>
      <c r="T241" s="54">
        <f t="shared" si="6"/>
        <v>0.43902439024390244</v>
      </c>
      <c r="U241">
        <f t="shared" si="7"/>
        <v>236</v>
      </c>
    </row>
    <row r="242" spans="1:21" x14ac:dyDescent="0.25">
      <c r="A242" s="44" t="s">
        <v>565</v>
      </c>
      <c r="B242" s="44" t="s">
        <v>201</v>
      </c>
      <c r="C242" s="45">
        <v>82</v>
      </c>
      <c r="D242" s="45"/>
      <c r="E242" s="45">
        <v>8</v>
      </c>
      <c r="F242" s="45"/>
      <c r="G242" s="45">
        <v>23</v>
      </c>
      <c r="H242" s="45"/>
      <c r="I242" s="34">
        <v>31</v>
      </c>
      <c r="J242">
        <f>I242/(VLOOKUP(B242,'Team Stats'!$B$3:$K$18,5,0))</f>
        <v>5.1580698835274545E-2</v>
      </c>
      <c r="M242" t="s">
        <v>994</v>
      </c>
      <c r="N242" t="s">
        <v>205</v>
      </c>
      <c r="O242">
        <v>3</v>
      </c>
      <c r="P242">
        <v>642</v>
      </c>
      <c r="Q242">
        <v>4.6728971962616819E-3</v>
      </c>
      <c r="R242" s="57">
        <f>VLOOKUP(N242,'Team Stats'!$B$3:$K$18,9,0)</f>
        <v>11</v>
      </c>
      <c r="S242" s="54">
        <f>VLOOKUP(N242,'Team Stats'!$B$3:$K$18,10,0)</f>
        <v>86.121951219512198</v>
      </c>
      <c r="T242" s="54">
        <f t="shared" si="6"/>
        <v>0.40243902439024387</v>
      </c>
      <c r="U242">
        <f t="shared" si="7"/>
        <v>240</v>
      </c>
    </row>
    <row r="243" spans="1:21" x14ac:dyDescent="0.25">
      <c r="A243" s="44" t="s">
        <v>566</v>
      </c>
      <c r="B243" s="44" t="s">
        <v>324</v>
      </c>
      <c r="C243" s="45">
        <v>82</v>
      </c>
      <c r="D243" s="45"/>
      <c r="E243" s="45">
        <v>4</v>
      </c>
      <c r="F243" s="45"/>
      <c r="G243" s="45">
        <v>27</v>
      </c>
      <c r="H243" s="45"/>
      <c r="I243" s="34">
        <v>31</v>
      </c>
      <c r="J243" t="e">
        <f>I243/(VLOOKUP(B243,'Team Stats'!$B$3:$K$18,5,0))</f>
        <v>#N/A</v>
      </c>
      <c r="M243" t="s">
        <v>992</v>
      </c>
      <c r="N243" t="s">
        <v>204</v>
      </c>
      <c r="O243">
        <v>3</v>
      </c>
      <c r="P243">
        <v>613</v>
      </c>
      <c r="Q243">
        <v>4.8939641109298528E-3</v>
      </c>
      <c r="R243" s="57">
        <f>VLOOKUP(N243,'Team Stats'!$B$3:$K$18,9,0)</f>
        <v>11</v>
      </c>
      <c r="S243" s="54">
        <f>VLOOKUP(N243,'Team Stats'!$B$3:$K$18,10,0)</f>
        <v>82.231707317073173</v>
      </c>
      <c r="T243" s="54">
        <f t="shared" si="6"/>
        <v>0.40243902439024387</v>
      </c>
      <c r="U243">
        <f t="shared" si="7"/>
        <v>240</v>
      </c>
    </row>
    <row r="244" spans="1:21" x14ac:dyDescent="0.25">
      <c r="A244" s="44" t="s">
        <v>567</v>
      </c>
      <c r="B244" s="44" t="s">
        <v>197</v>
      </c>
      <c r="C244" s="45">
        <v>61</v>
      </c>
      <c r="D244" s="45"/>
      <c r="E244" s="45">
        <v>16</v>
      </c>
      <c r="F244" s="45"/>
      <c r="G244" s="45">
        <v>15</v>
      </c>
      <c r="H244" s="45"/>
      <c r="I244" s="34">
        <v>31</v>
      </c>
      <c r="J244">
        <f>I244/(VLOOKUP(B244,'Team Stats'!$B$3:$K$18,5,0))</f>
        <v>5.1666666666666666E-2</v>
      </c>
      <c r="M244" t="s">
        <v>882</v>
      </c>
      <c r="N244" t="s">
        <v>209</v>
      </c>
      <c r="O244">
        <v>8</v>
      </c>
      <c r="P244">
        <v>594</v>
      </c>
      <c r="Q244">
        <v>1.3468013468013467E-2</v>
      </c>
      <c r="R244" s="57">
        <f>VLOOKUP(N244,'Team Stats'!$B$3:$K$18,9,0)</f>
        <v>4</v>
      </c>
      <c r="S244" s="54">
        <f>VLOOKUP(N244,'Team Stats'!$B$3:$K$18,10,0)</f>
        <v>28.975609756097562</v>
      </c>
      <c r="T244" s="54">
        <f t="shared" si="6"/>
        <v>0.3902439024390244</v>
      </c>
      <c r="U244">
        <f t="shared" si="7"/>
        <v>242</v>
      </c>
    </row>
    <row r="245" spans="1:21" x14ac:dyDescent="0.25">
      <c r="A245" s="44" t="s">
        <v>568</v>
      </c>
      <c r="B245" s="44" t="s">
        <v>198</v>
      </c>
      <c r="C245" s="45">
        <v>80</v>
      </c>
      <c r="D245" s="45"/>
      <c r="E245" s="45">
        <v>8</v>
      </c>
      <c r="F245" s="45"/>
      <c r="G245" s="45">
        <v>22</v>
      </c>
      <c r="H245" s="45"/>
      <c r="I245" s="34">
        <v>30</v>
      </c>
      <c r="J245" t="e">
        <f>I245/(VLOOKUP(B245,'Team Stats'!$B$3:$K$18,5,0))</f>
        <v>#N/A</v>
      </c>
      <c r="M245" t="s">
        <v>885</v>
      </c>
      <c r="N245" t="s">
        <v>209</v>
      </c>
      <c r="O245">
        <v>8</v>
      </c>
      <c r="P245">
        <v>594</v>
      </c>
      <c r="Q245">
        <v>1.3468013468013467E-2</v>
      </c>
      <c r="R245" s="57">
        <f>VLOOKUP(N245,'Team Stats'!$B$3:$K$18,9,0)</f>
        <v>4</v>
      </c>
      <c r="S245" s="54">
        <f>VLOOKUP(N245,'Team Stats'!$B$3:$K$18,10,0)</f>
        <v>28.975609756097562</v>
      </c>
      <c r="T245" s="54">
        <f t="shared" si="6"/>
        <v>0.3902439024390244</v>
      </c>
      <c r="U245">
        <f t="shared" si="7"/>
        <v>242</v>
      </c>
    </row>
    <row r="246" spans="1:21" x14ac:dyDescent="0.25">
      <c r="A246" s="44" t="s">
        <v>569</v>
      </c>
      <c r="B246" s="44" t="s">
        <v>207</v>
      </c>
      <c r="C246" s="45">
        <v>67</v>
      </c>
      <c r="D246" s="45"/>
      <c r="E246" s="45">
        <v>14</v>
      </c>
      <c r="F246" s="45"/>
      <c r="G246" s="45">
        <v>16</v>
      </c>
      <c r="H246" s="45"/>
      <c r="I246" s="34">
        <v>30</v>
      </c>
      <c r="J246">
        <f>I246/(VLOOKUP(B246,'Team Stats'!$B$3:$K$18,5,0))</f>
        <v>4.5180722891566265E-2</v>
      </c>
      <c r="M246" t="s">
        <v>1027</v>
      </c>
      <c r="N246" t="s">
        <v>202</v>
      </c>
      <c r="O246">
        <v>2</v>
      </c>
      <c r="P246">
        <v>659</v>
      </c>
      <c r="Q246">
        <v>3.0349013657056147E-3</v>
      </c>
      <c r="R246" s="57">
        <f>VLOOKUP(N246,'Team Stats'!$B$3:$K$18,9,0)</f>
        <v>14</v>
      </c>
      <c r="S246" s="54">
        <f>VLOOKUP(N246,'Team Stats'!$B$3:$K$18,10,0)</f>
        <v>112.51219512195122</v>
      </c>
      <c r="T246" s="54">
        <f t="shared" si="6"/>
        <v>0.34146341463414637</v>
      </c>
      <c r="U246">
        <f t="shared" si="7"/>
        <v>244</v>
      </c>
    </row>
    <row r="247" spans="1:21" x14ac:dyDescent="0.25">
      <c r="A247" s="44" t="s">
        <v>570</v>
      </c>
      <c r="B247" s="44" t="s">
        <v>335</v>
      </c>
      <c r="C247" s="45">
        <v>70</v>
      </c>
      <c r="D247" s="45"/>
      <c r="E247" s="45">
        <v>4</v>
      </c>
      <c r="F247" s="45"/>
      <c r="G247" s="45">
        <v>26</v>
      </c>
      <c r="H247" s="45"/>
      <c r="I247" s="34">
        <v>30</v>
      </c>
      <c r="J247" t="e">
        <f>I247/(VLOOKUP(B247,'Team Stats'!$B$3:$K$18,5,0))</f>
        <v>#N/A</v>
      </c>
      <c r="M247" t="s">
        <v>1023</v>
      </c>
      <c r="N247" t="s">
        <v>199</v>
      </c>
      <c r="O247">
        <v>2</v>
      </c>
      <c r="P247">
        <v>660</v>
      </c>
      <c r="Q247">
        <v>3.0303030303030303E-3</v>
      </c>
      <c r="R247" s="57">
        <f>VLOOKUP(N247,'Team Stats'!$B$3:$K$18,9,0)</f>
        <v>12</v>
      </c>
      <c r="S247" s="54">
        <f>VLOOKUP(N247,'Team Stats'!$B$3:$K$18,10,0)</f>
        <v>96.585365853658544</v>
      </c>
      <c r="T247" s="54">
        <f t="shared" si="6"/>
        <v>0.29268292682926833</v>
      </c>
      <c r="U247">
        <f t="shared" si="7"/>
        <v>245</v>
      </c>
    </row>
    <row r="248" spans="1:21" x14ac:dyDescent="0.25">
      <c r="A248" s="44" t="s">
        <v>571</v>
      </c>
      <c r="B248" s="44" t="s">
        <v>220</v>
      </c>
      <c r="C248" s="45">
        <v>61</v>
      </c>
      <c r="D248" s="45"/>
      <c r="E248" s="45">
        <v>15</v>
      </c>
      <c r="F248" s="45"/>
      <c r="G248" s="45">
        <v>15</v>
      </c>
      <c r="H248" s="45"/>
      <c r="I248" s="34">
        <v>30</v>
      </c>
      <c r="J248" t="e">
        <f>I248/(VLOOKUP(B248,'Team Stats'!$B$3:$K$18,5,0))</f>
        <v>#N/A</v>
      </c>
      <c r="M248" t="s">
        <v>924</v>
      </c>
      <c r="N248" t="s">
        <v>209</v>
      </c>
      <c r="O248">
        <v>6</v>
      </c>
      <c r="P248">
        <v>594</v>
      </c>
      <c r="Q248">
        <v>1.0101010101010102E-2</v>
      </c>
      <c r="R248" s="57">
        <f>VLOOKUP(N248,'Team Stats'!$B$3:$K$18,9,0)</f>
        <v>4</v>
      </c>
      <c r="S248" s="54">
        <f>VLOOKUP(N248,'Team Stats'!$B$3:$K$18,10,0)</f>
        <v>28.975609756097562</v>
      </c>
      <c r="T248" s="54">
        <f t="shared" si="6"/>
        <v>0.29268292682926833</v>
      </c>
      <c r="U248">
        <f t="shared" si="7"/>
        <v>245</v>
      </c>
    </row>
    <row r="249" spans="1:21" x14ac:dyDescent="0.25">
      <c r="A249" s="44" t="s">
        <v>572</v>
      </c>
      <c r="B249" s="44" t="s">
        <v>204</v>
      </c>
      <c r="C249" s="45">
        <v>57</v>
      </c>
      <c r="D249" s="45"/>
      <c r="E249" s="45">
        <v>14</v>
      </c>
      <c r="F249" s="45"/>
      <c r="G249" s="45">
        <v>15</v>
      </c>
      <c r="H249" s="45"/>
      <c r="I249" s="34">
        <v>29</v>
      </c>
      <c r="J249">
        <f>I249/(VLOOKUP(B249,'Team Stats'!$B$3:$K$18,5,0))</f>
        <v>4.730831973898858E-2</v>
      </c>
      <c r="M249" t="s">
        <v>1032</v>
      </c>
      <c r="N249" t="s">
        <v>199</v>
      </c>
      <c r="O249">
        <v>2</v>
      </c>
      <c r="P249">
        <v>660</v>
      </c>
      <c r="Q249">
        <v>3.0303030303030303E-3</v>
      </c>
      <c r="R249" s="57">
        <f>VLOOKUP(N249,'Team Stats'!$B$3:$K$18,9,0)</f>
        <v>12</v>
      </c>
      <c r="S249" s="54">
        <f>VLOOKUP(N249,'Team Stats'!$B$3:$K$18,10,0)</f>
        <v>96.585365853658544</v>
      </c>
      <c r="T249" s="54">
        <f t="shared" si="6"/>
        <v>0.29268292682926833</v>
      </c>
      <c r="U249">
        <f t="shared" si="7"/>
        <v>245</v>
      </c>
    </row>
    <row r="250" spans="1:21" x14ac:dyDescent="0.25">
      <c r="A250" s="44" t="s">
        <v>573</v>
      </c>
      <c r="B250" s="44" t="s">
        <v>212</v>
      </c>
      <c r="C250" s="45">
        <v>70</v>
      </c>
      <c r="D250" s="45"/>
      <c r="E250" s="45">
        <v>3</v>
      </c>
      <c r="F250" s="45"/>
      <c r="G250" s="45">
        <v>26</v>
      </c>
      <c r="H250" s="45"/>
      <c r="I250" s="34">
        <v>29</v>
      </c>
      <c r="J250" t="e">
        <f>I250/(VLOOKUP(B250,'Team Stats'!$B$3:$K$18,5,0))</f>
        <v>#N/A</v>
      </c>
      <c r="M250" t="s">
        <v>957</v>
      </c>
      <c r="N250" t="s">
        <v>211</v>
      </c>
      <c r="O250">
        <v>4</v>
      </c>
      <c r="P250">
        <v>608</v>
      </c>
      <c r="Q250">
        <v>6.5789473684210523E-3</v>
      </c>
      <c r="R250" s="57">
        <f>VLOOKUP(N250,'Team Stats'!$B$3:$K$18,9,0)</f>
        <v>6</v>
      </c>
      <c r="S250" s="54">
        <f>VLOOKUP(N250,'Team Stats'!$B$3:$K$18,10,0)</f>
        <v>44.487804878048784</v>
      </c>
      <c r="T250" s="54">
        <f t="shared" si="6"/>
        <v>0.29268292682926828</v>
      </c>
      <c r="U250">
        <f t="shared" si="7"/>
        <v>248</v>
      </c>
    </row>
    <row r="251" spans="1:21" x14ac:dyDescent="0.25">
      <c r="A251" s="44" t="s">
        <v>574</v>
      </c>
      <c r="B251" s="44" t="s">
        <v>212</v>
      </c>
      <c r="C251" s="45">
        <v>81</v>
      </c>
      <c r="D251" s="45"/>
      <c r="E251" s="45">
        <v>8</v>
      </c>
      <c r="F251" s="45"/>
      <c r="G251" s="45">
        <v>21</v>
      </c>
      <c r="H251" s="45"/>
      <c r="I251" s="34">
        <v>29</v>
      </c>
      <c r="J251" t="e">
        <f>I251/(VLOOKUP(B251,'Team Stats'!$B$3:$K$18,5,0))</f>
        <v>#N/A</v>
      </c>
      <c r="M251" t="s">
        <v>1001</v>
      </c>
      <c r="N251" t="s">
        <v>213</v>
      </c>
      <c r="O251">
        <v>3</v>
      </c>
      <c r="P251">
        <v>619</v>
      </c>
      <c r="Q251">
        <v>4.8465266558966073E-3</v>
      </c>
      <c r="R251" s="57">
        <f>VLOOKUP(N251,'Team Stats'!$B$3:$K$18,9,0)</f>
        <v>7</v>
      </c>
      <c r="S251" s="54">
        <f>VLOOKUP(N251,'Team Stats'!$B$3:$K$18,10,0)</f>
        <v>52.841463414634148</v>
      </c>
      <c r="T251" s="54">
        <f t="shared" si="6"/>
        <v>0.25609756097560976</v>
      </c>
      <c r="U251">
        <f t="shared" si="7"/>
        <v>249</v>
      </c>
    </row>
    <row r="252" spans="1:21" x14ac:dyDescent="0.25">
      <c r="A252" s="44" t="s">
        <v>575</v>
      </c>
      <c r="B252" s="44" t="s">
        <v>203</v>
      </c>
      <c r="C252" s="45">
        <v>80</v>
      </c>
      <c r="D252" s="45"/>
      <c r="E252" s="45">
        <v>13</v>
      </c>
      <c r="F252" s="45"/>
      <c r="G252" s="45">
        <v>16</v>
      </c>
      <c r="H252" s="45"/>
      <c r="I252" s="34">
        <v>29</v>
      </c>
      <c r="J252" t="e">
        <f>I252/(VLOOKUP(B252,'Team Stats'!$B$3:$K$18,5,0))</f>
        <v>#N/A</v>
      </c>
      <c r="M252" t="s">
        <v>979</v>
      </c>
      <c r="N252" t="s">
        <v>213</v>
      </c>
      <c r="O252">
        <v>3</v>
      </c>
      <c r="P252">
        <v>619</v>
      </c>
      <c r="Q252">
        <v>4.8465266558966073E-3</v>
      </c>
      <c r="R252" s="57">
        <f>VLOOKUP(N252,'Team Stats'!$B$3:$K$18,9,0)</f>
        <v>7</v>
      </c>
      <c r="S252" s="54">
        <f>VLOOKUP(N252,'Team Stats'!$B$3:$K$18,10,0)</f>
        <v>52.841463414634148</v>
      </c>
      <c r="T252" s="54">
        <f t="shared" si="6"/>
        <v>0.25609756097560976</v>
      </c>
      <c r="U252">
        <f t="shared" si="7"/>
        <v>249</v>
      </c>
    </row>
    <row r="253" spans="1:21" x14ac:dyDescent="0.25">
      <c r="A253" s="44" t="s">
        <v>576</v>
      </c>
      <c r="B253" s="44" t="s">
        <v>203</v>
      </c>
      <c r="C253" s="45">
        <v>76</v>
      </c>
      <c r="D253" s="45"/>
      <c r="E253" s="45">
        <v>11</v>
      </c>
      <c r="F253" s="45"/>
      <c r="G253" s="45">
        <v>18</v>
      </c>
      <c r="H253" s="45"/>
      <c r="I253" s="34">
        <v>29</v>
      </c>
      <c r="J253" t="e">
        <f>I253/(VLOOKUP(B253,'Team Stats'!$B$3:$K$18,5,0))</f>
        <v>#N/A</v>
      </c>
      <c r="M253" t="s">
        <v>989</v>
      </c>
      <c r="N253" t="s">
        <v>213</v>
      </c>
      <c r="O253">
        <v>3</v>
      </c>
      <c r="P253">
        <v>619</v>
      </c>
      <c r="Q253">
        <v>4.8465266558966073E-3</v>
      </c>
      <c r="R253" s="57">
        <f>VLOOKUP(N253,'Team Stats'!$B$3:$K$18,9,0)</f>
        <v>7</v>
      </c>
      <c r="S253" s="54">
        <f>VLOOKUP(N253,'Team Stats'!$B$3:$K$18,10,0)</f>
        <v>52.841463414634148</v>
      </c>
      <c r="T253" s="54">
        <f t="shared" si="6"/>
        <v>0.25609756097560976</v>
      </c>
      <c r="U253">
        <f t="shared" si="7"/>
        <v>249</v>
      </c>
    </row>
    <row r="254" spans="1:21" x14ac:dyDescent="0.25">
      <c r="A254" s="44" t="s">
        <v>577</v>
      </c>
      <c r="B254" s="44" t="s">
        <v>204</v>
      </c>
      <c r="C254" s="45">
        <v>82</v>
      </c>
      <c r="D254" s="45"/>
      <c r="E254" s="45">
        <v>15</v>
      </c>
      <c r="F254" s="45"/>
      <c r="G254" s="45">
        <v>14</v>
      </c>
      <c r="H254" s="45"/>
      <c r="I254" s="34">
        <v>29</v>
      </c>
      <c r="J254">
        <f>I254/(VLOOKUP(B254,'Team Stats'!$B$3:$K$18,5,0))</f>
        <v>4.730831973898858E-2</v>
      </c>
      <c r="M254" t="s">
        <v>978</v>
      </c>
      <c r="N254" t="s">
        <v>211</v>
      </c>
      <c r="O254">
        <v>3</v>
      </c>
      <c r="P254">
        <v>608</v>
      </c>
      <c r="Q254">
        <v>4.9342105263157892E-3</v>
      </c>
      <c r="R254" s="57">
        <f>VLOOKUP(N254,'Team Stats'!$B$3:$K$18,9,0)</f>
        <v>6</v>
      </c>
      <c r="S254" s="54">
        <f>VLOOKUP(N254,'Team Stats'!$B$3:$K$18,10,0)</f>
        <v>44.487804878048784</v>
      </c>
      <c r="T254" s="54">
        <f t="shared" si="6"/>
        <v>0.21951219512195122</v>
      </c>
      <c r="U254">
        <f t="shared" si="7"/>
        <v>252</v>
      </c>
    </row>
    <row r="255" spans="1:21" x14ac:dyDescent="0.25">
      <c r="A255" s="44" t="s">
        <v>578</v>
      </c>
      <c r="B255" s="44" t="s">
        <v>344</v>
      </c>
      <c r="C255" s="45">
        <v>79</v>
      </c>
      <c r="D255" s="45"/>
      <c r="E255" s="45">
        <v>10</v>
      </c>
      <c r="F255" s="45"/>
      <c r="G255" s="45">
        <v>19</v>
      </c>
      <c r="H255" s="45"/>
      <c r="I255" s="34">
        <v>29</v>
      </c>
      <c r="J255" t="e">
        <f>I255/(VLOOKUP(B255,'Team Stats'!$B$3:$K$18,5,0))</f>
        <v>#N/A</v>
      </c>
      <c r="M255" t="s">
        <v>990</v>
      </c>
      <c r="N255" t="s">
        <v>208</v>
      </c>
      <c r="O255">
        <v>3</v>
      </c>
      <c r="P255">
        <v>630</v>
      </c>
      <c r="Q255">
        <v>4.7619047619047623E-3</v>
      </c>
      <c r="R255" s="57">
        <f>VLOOKUP(N255,'Team Stats'!$B$3:$K$18,9,0)</f>
        <v>6</v>
      </c>
      <c r="S255" s="54">
        <f>VLOOKUP(N255,'Team Stats'!$B$3:$K$18,10,0)</f>
        <v>46.097560975609753</v>
      </c>
      <c r="T255" s="54">
        <f t="shared" si="6"/>
        <v>0.21951219512195122</v>
      </c>
      <c r="U255">
        <f t="shared" si="7"/>
        <v>252</v>
      </c>
    </row>
    <row r="256" spans="1:21" x14ac:dyDescent="0.25">
      <c r="A256" s="44" t="s">
        <v>579</v>
      </c>
      <c r="B256" s="44" t="s">
        <v>201</v>
      </c>
      <c r="C256" s="45">
        <v>80</v>
      </c>
      <c r="D256" s="45"/>
      <c r="E256" s="45">
        <v>14</v>
      </c>
      <c r="F256" s="45"/>
      <c r="G256" s="45">
        <v>14</v>
      </c>
      <c r="H256" s="45"/>
      <c r="I256" s="34">
        <v>28</v>
      </c>
      <c r="J256">
        <f>I256/(VLOOKUP(B256,'Team Stats'!$B$3:$K$18,5,0))</f>
        <v>4.6589018302828619E-2</v>
      </c>
      <c r="M256" t="s">
        <v>1000</v>
      </c>
      <c r="N256" t="s">
        <v>195</v>
      </c>
      <c r="O256">
        <v>3</v>
      </c>
      <c r="P256">
        <v>656</v>
      </c>
      <c r="Q256">
        <v>4.5731707317073168E-3</v>
      </c>
      <c r="R256" s="57">
        <f>VLOOKUP(N256,'Team Stats'!$B$3:$K$18,9,0)</f>
        <v>6</v>
      </c>
      <c r="S256" s="54">
        <f>VLOOKUP(N256,'Team Stats'!$B$3:$K$18,10,0)</f>
        <v>48</v>
      </c>
      <c r="T256" s="54">
        <f t="shared" si="6"/>
        <v>0.21951219512195119</v>
      </c>
      <c r="U256">
        <f t="shared" si="7"/>
        <v>254</v>
      </c>
    </row>
    <row r="257" spans="1:21" x14ac:dyDescent="0.25">
      <c r="A257" s="44" t="s">
        <v>580</v>
      </c>
      <c r="B257" s="44" t="s">
        <v>198</v>
      </c>
      <c r="C257" s="45">
        <v>67</v>
      </c>
      <c r="D257" s="45"/>
      <c r="E257" s="45">
        <v>21</v>
      </c>
      <c r="F257" s="45"/>
      <c r="G257" s="45">
        <v>7</v>
      </c>
      <c r="H257" s="45"/>
      <c r="I257" s="34">
        <v>28</v>
      </c>
      <c r="J257" t="e">
        <f>I257/(VLOOKUP(B257,'Team Stats'!$B$3:$K$18,5,0))</f>
        <v>#N/A</v>
      </c>
      <c r="M257" t="s">
        <v>975</v>
      </c>
      <c r="N257" t="s">
        <v>209</v>
      </c>
      <c r="O257">
        <v>4</v>
      </c>
      <c r="P257">
        <v>594</v>
      </c>
      <c r="Q257">
        <v>6.7340067340067337E-3</v>
      </c>
      <c r="R257" s="57">
        <f>VLOOKUP(N257,'Team Stats'!$B$3:$K$18,9,0)</f>
        <v>4</v>
      </c>
      <c r="S257" s="54">
        <f>VLOOKUP(N257,'Team Stats'!$B$3:$K$18,10,0)</f>
        <v>28.975609756097562</v>
      </c>
      <c r="T257" s="54">
        <f t="shared" si="6"/>
        <v>0.1951219512195122</v>
      </c>
      <c r="U257">
        <f t="shared" si="7"/>
        <v>255</v>
      </c>
    </row>
    <row r="258" spans="1:21" x14ac:dyDescent="0.25">
      <c r="A258" s="44" t="s">
        <v>581</v>
      </c>
      <c r="B258" s="44" t="s">
        <v>207</v>
      </c>
      <c r="C258" s="45">
        <v>64</v>
      </c>
      <c r="D258" s="45"/>
      <c r="E258" s="45">
        <v>8</v>
      </c>
      <c r="F258" s="45"/>
      <c r="G258" s="45">
        <v>20</v>
      </c>
      <c r="H258" s="45"/>
      <c r="I258" s="34">
        <v>28</v>
      </c>
      <c r="J258">
        <f>I258/(VLOOKUP(B258,'Team Stats'!$B$3:$K$18,5,0))</f>
        <v>4.2168674698795178E-2</v>
      </c>
      <c r="M258" t="s">
        <v>1098</v>
      </c>
      <c r="N258" t="s">
        <v>202</v>
      </c>
      <c r="O258">
        <v>1</v>
      </c>
      <c r="P258">
        <v>659</v>
      </c>
      <c r="Q258">
        <v>1.5174506828528073E-3</v>
      </c>
      <c r="R258" s="57">
        <f>VLOOKUP(N258,'Team Stats'!$B$3:$K$18,9,0)</f>
        <v>14</v>
      </c>
      <c r="S258" s="54">
        <f>VLOOKUP(N258,'Team Stats'!$B$3:$K$18,10,0)</f>
        <v>112.51219512195122</v>
      </c>
      <c r="T258" s="54">
        <f t="shared" si="6"/>
        <v>0.17073170731707318</v>
      </c>
      <c r="U258">
        <f t="shared" si="7"/>
        <v>256</v>
      </c>
    </row>
    <row r="259" spans="1:21" x14ac:dyDescent="0.25">
      <c r="A259" s="44" t="s">
        <v>582</v>
      </c>
      <c r="B259" s="44" t="s">
        <v>209</v>
      </c>
      <c r="C259" s="45">
        <v>71</v>
      </c>
      <c r="D259" s="45"/>
      <c r="E259" s="45">
        <v>15</v>
      </c>
      <c r="F259" s="45"/>
      <c r="G259" s="45">
        <v>13</v>
      </c>
      <c r="H259" s="45"/>
      <c r="I259" s="34">
        <v>28</v>
      </c>
      <c r="J259">
        <f>I259/(VLOOKUP(B259,'Team Stats'!$B$3:$K$18,5,0))</f>
        <v>4.7138047138047139E-2</v>
      </c>
      <c r="M259" t="s">
        <v>1067</v>
      </c>
      <c r="N259" t="s">
        <v>199</v>
      </c>
      <c r="O259">
        <v>1</v>
      </c>
      <c r="P259">
        <v>660</v>
      </c>
      <c r="Q259">
        <v>1.5151515151515152E-3</v>
      </c>
      <c r="R259" s="57">
        <f>VLOOKUP(N259,'Team Stats'!$B$3:$K$18,9,0)</f>
        <v>12</v>
      </c>
      <c r="S259" s="54">
        <f>VLOOKUP(N259,'Team Stats'!$B$3:$K$18,10,0)</f>
        <v>96.585365853658544</v>
      </c>
      <c r="T259" s="54">
        <f t="shared" ref="T259:T318" si="8">VLOOKUP(M259,$A$3:$J$884,10,0)*S259</f>
        <v>0.14634146341463417</v>
      </c>
      <c r="U259">
        <f t="shared" ref="U259:U318" si="9">RANK(T259,$T$3:$T$318,0)</f>
        <v>257</v>
      </c>
    </row>
    <row r="260" spans="1:21" x14ac:dyDescent="0.25">
      <c r="A260" s="44" t="s">
        <v>583</v>
      </c>
      <c r="B260" s="44" t="s">
        <v>217</v>
      </c>
      <c r="C260" s="45">
        <v>78</v>
      </c>
      <c r="D260" s="45"/>
      <c r="E260" s="45">
        <v>10</v>
      </c>
      <c r="F260" s="45"/>
      <c r="G260" s="45">
        <v>18</v>
      </c>
      <c r="H260" s="45"/>
      <c r="I260" s="34">
        <v>28</v>
      </c>
      <c r="J260" t="e">
        <f>I260/(VLOOKUP(B260,'Team Stats'!$B$3:$K$18,5,0))</f>
        <v>#N/A</v>
      </c>
      <c r="M260" t="s">
        <v>1018</v>
      </c>
      <c r="N260" t="s">
        <v>197</v>
      </c>
      <c r="O260">
        <v>2</v>
      </c>
      <c r="P260">
        <v>600</v>
      </c>
      <c r="Q260">
        <v>3.3333333333333335E-3</v>
      </c>
      <c r="R260" s="57">
        <f>VLOOKUP(N260,'Team Stats'!$B$3:$K$18,9,0)</f>
        <v>6</v>
      </c>
      <c r="S260" s="54">
        <f>VLOOKUP(N260,'Team Stats'!$B$3:$K$18,10,0)</f>
        <v>43.902439024390247</v>
      </c>
      <c r="T260" s="54">
        <f t="shared" si="8"/>
        <v>0.14634146341463417</v>
      </c>
      <c r="U260">
        <f t="shared" si="9"/>
        <v>257</v>
      </c>
    </row>
    <row r="261" spans="1:21" x14ac:dyDescent="0.25">
      <c r="A261" s="44" t="s">
        <v>584</v>
      </c>
      <c r="B261" s="44" t="s">
        <v>209</v>
      </c>
      <c r="C261" s="45">
        <v>71</v>
      </c>
      <c r="D261" s="45"/>
      <c r="E261" s="45">
        <v>7</v>
      </c>
      <c r="F261" s="45"/>
      <c r="G261" s="45">
        <v>21</v>
      </c>
      <c r="H261" s="45"/>
      <c r="I261" s="34">
        <v>28</v>
      </c>
      <c r="J261">
        <f>I261/(VLOOKUP(B261,'Team Stats'!$B$3:$K$18,5,0))</f>
        <v>4.7138047138047139E-2</v>
      </c>
      <c r="M261" t="s">
        <v>1015</v>
      </c>
      <c r="N261" t="s">
        <v>195</v>
      </c>
      <c r="O261">
        <v>2</v>
      </c>
      <c r="P261">
        <v>656</v>
      </c>
      <c r="Q261">
        <v>3.0487804878048782E-3</v>
      </c>
      <c r="R261" s="57">
        <f>VLOOKUP(N261,'Team Stats'!$B$3:$K$18,9,0)</f>
        <v>6</v>
      </c>
      <c r="S261" s="54">
        <f>VLOOKUP(N261,'Team Stats'!$B$3:$K$18,10,0)</f>
        <v>48</v>
      </c>
      <c r="T261" s="54">
        <f t="shared" si="8"/>
        <v>0.14634146341463417</v>
      </c>
      <c r="U261">
        <f t="shared" si="9"/>
        <v>257</v>
      </c>
    </row>
    <row r="262" spans="1:21" x14ac:dyDescent="0.25">
      <c r="A262" s="44" t="s">
        <v>585</v>
      </c>
      <c r="B262" s="44" t="s">
        <v>216</v>
      </c>
      <c r="C262" s="45">
        <v>80</v>
      </c>
      <c r="D262" s="45"/>
      <c r="E262" s="45">
        <v>7</v>
      </c>
      <c r="F262" s="45"/>
      <c r="G262" s="45">
        <v>21</v>
      </c>
      <c r="H262" s="45"/>
      <c r="I262" s="34">
        <v>28</v>
      </c>
      <c r="J262" t="e">
        <f>I262/(VLOOKUP(B262,'Team Stats'!$B$3:$K$18,5,0))</f>
        <v>#N/A</v>
      </c>
      <c r="M262" t="s">
        <v>1005</v>
      </c>
      <c r="N262" t="s">
        <v>195</v>
      </c>
      <c r="O262">
        <v>2</v>
      </c>
      <c r="P262">
        <v>656</v>
      </c>
      <c r="Q262">
        <v>3.0487804878048782E-3</v>
      </c>
      <c r="R262" s="57">
        <f>VLOOKUP(N262,'Team Stats'!$B$3:$K$18,9,0)</f>
        <v>6</v>
      </c>
      <c r="S262" s="54">
        <f>VLOOKUP(N262,'Team Stats'!$B$3:$K$18,10,0)</f>
        <v>48</v>
      </c>
      <c r="T262" s="54">
        <f t="shared" si="8"/>
        <v>0.14634146341463417</v>
      </c>
      <c r="U262">
        <f t="shared" si="9"/>
        <v>257</v>
      </c>
    </row>
    <row r="263" spans="1:21" x14ac:dyDescent="0.25">
      <c r="A263" s="44" t="s">
        <v>586</v>
      </c>
      <c r="B263" s="44" t="s">
        <v>197</v>
      </c>
      <c r="C263" s="45">
        <v>72</v>
      </c>
      <c r="D263" s="45"/>
      <c r="E263" s="45">
        <v>14</v>
      </c>
      <c r="F263" s="45"/>
      <c r="G263" s="45">
        <v>14</v>
      </c>
      <c r="H263" s="45"/>
      <c r="I263" s="34">
        <v>28</v>
      </c>
      <c r="J263">
        <f>I263/(VLOOKUP(B263,'Team Stats'!$B$3:$K$18,5,0))</f>
        <v>4.6666666666666669E-2</v>
      </c>
      <c r="M263" t="s">
        <v>1049</v>
      </c>
      <c r="N263" t="s">
        <v>199</v>
      </c>
      <c r="O263">
        <v>1</v>
      </c>
      <c r="P263">
        <v>660</v>
      </c>
      <c r="Q263">
        <v>1.5151515151515152E-3</v>
      </c>
      <c r="R263" s="57">
        <f>VLOOKUP(N263,'Team Stats'!$B$3:$K$18,9,0)</f>
        <v>12</v>
      </c>
      <c r="S263" s="54">
        <f>VLOOKUP(N263,'Team Stats'!$B$3:$K$18,10,0)</f>
        <v>96.585365853658544</v>
      </c>
      <c r="T263" s="54">
        <f t="shared" si="8"/>
        <v>0.14634146341463417</v>
      </c>
      <c r="U263">
        <f t="shared" si="9"/>
        <v>257</v>
      </c>
    </row>
    <row r="264" spans="1:21" x14ac:dyDescent="0.25">
      <c r="A264" s="44" t="s">
        <v>587</v>
      </c>
      <c r="B264" s="44" t="s">
        <v>221</v>
      </c>
      <c r="C264" s="45">
        <v>45</v>
      </c>
      <c r="D264" s="45"/>
      <c r="E264" s="45">
        <v>14</v>
      </c>
      <c r="F264" s="45"/>
      <c r="G264" s="45">
        <v>14</v>
      </c>
      <c r="H264" s="45"/>
      <c r="I264" s="34">
        <v>28</v>
      </c>
      <c r="J264" t="e">
        <f>I264/(VLOOKUP(B264,'Team Stats'!$B$3:$K$18,5,0))</f>
        <v>#N/A</v>
      </c>
      <c r="M264" t="s">
        <v>1082</v>
      </c>
      <c r="N264" t="s">
        <v>201</v>
      </c>
      <c r="O264">
        <v>1</v>
      </c>
      <c r="P264">
        <v>601</v>
      </c>
      <c r="Q264">
        <v>1.6638935108153079E-3</v>
      </c>
      <c r="R264" s="57">
        <f>VLOOKUP(N264,'Team Stats'!$B$3:$K$18,9,0)</f>
        <v>12</v>
      </c>
      <c r="S264" s="54">
        <f>VLOOKUP(N264,'Team Stats'!$B$3:$K$18,10,0)</f>
        <v>87.951219512195124</v>
      </c>
      <c r="T264" s="54">
        <f t="shared" si="8"/>
        <v>0.14634146341463417</v>
      </c>
      <c r="U264">
        <f t="shared" si="9"/>
        <v>257</v>
      </c>
    </row>
    <row r="265" spans="1:21" x14ac:dyDescent="0.25">
      <c r="A265" s="44" t="s">
        <v>588</v>
      </c>
      <c r="B265" s="44" t="s">
        <v>205</v>
      </c>
      <c r="C265" s="45">
        <v>78</v>
      </c>
      <c r="D265" s="45"/>
      <c r="E265" s="45">
        <v>18</v>
      </c>
      <c r="F265" s="45"/>
      <c r="G265" s="45">
        <v>9</v>
      </c>
      <c r="H265" s="45"/>
      <c r="I265" s="34">
        <v>27</v>
      </c>
      <c r="J265">
        <f>I265/(VLOOKUP(B265,'Team Stats'!$B$3:$K$18,5,0))</f>
        <v>4.2056074766355138E-2</v>
      </c>
      <c r="M265" t="s">
        <v>1093</v>
      </c>
      <c r="N265" t="s">
        <v>201</v>
      </c>
      <c r="O265">
        <v>1</v>
      </c>
      <c r="P265">
        <v>601</v>
      </c>
      <c r="Q265">
        <v>1.6638935108153079E-3</v>
      </c>
      <c r="R265" s="57">
        <f>VLOOKUP(N265,'Team Stats'!$B$3:$K$18,9,0)</f>
        <v>12</v>
      </c>
      <c r="S265" s="54">
        <f>VLOOKUP(N265,'Team Stats'!$B$3:$K$18,10,0)</f>
        <v>87.951219512195124</v>
      </c>
      <c r="T265" s="54">
        <f t="shared" si="8"/>
        <v>0.14634146341463417</v>
      </c>
      <c r="U265">
        <f t="shared" si="9"/>
        <v>257</v>
      </c>
    </row>
    <row r="266" spans="1:21" x14ac:dyDescent="0.25">
      <c r="A266" s="44" t="s">
        <v>589</v>
      </c>
      <c r="B266" s="44" t="s">
        <v>364</v>
      </c>
      <c r="C266" s="45">
        <v>58</v>
      </c>
      <c r="D266" s="45"/>
      <c r="E266" s="45">
        <v>9</v>
      </c>
      <c r="F266" s="45"/>
      <c r="G266" s="45">
        <v>18</v>
      </c>
      <c r="H266" s="45"/>
      <c r="I266" s="34">
        <v>27</v>
      </c>
      <c r="J266" t="e">
        <f>I266/(VLOOKUP(B266,'Team Stats'!$B$3:$K$18,5,0))</f>
        <v>#N/A</v>
      </c>
      <c r="M266" t="s">
        <v>1094</v>
      </c>
      <c r="N266" t="s">
        <v>201</v>
      </c>
      <c r="O266">
        <v>1</v>
      </c>
      <c r="P266">
        <v>601</v>
      </c>
      <c r="Q266">
        <v>1.6638935108153079E-3</v>
      </c>
      <c r="R266" s="57">
        <f>VLOOKUP(N266,'Team Stats'!$B$3:$K$18,9,0)</f>
        <v>12</v>
      </c>
      <c r="S266" s="54">
        <f>VLOOKUP(N266,'Team Stats'!$B$3:$K$18,10,0)</f>
        <v>87.951219512195124</v>
      </c>
      <c r="T266" s="54">
        <f t="shared" si="8"/>
        <v>0.14634146341463417</v>
      </c>
      <c r="U266">
        <f t="shared" si="9"/>
        <v>257</v>
      </c>
    </row>
    <row r="267" spans="1:21" x14ac:dyDescent="0.25">
      <c r="A267" s="44" t="s">
        <v>590</v>
      </c>
      <c r="B267" s="44" t="s">
        <v>218</v>
      </c>
      <c r="C267" s="45">
        <v>82</v>
      </c>
      <c r="D267" s="45"/>
      <c r="E267" s="45">
        <v>3</v>
      </c>
      <c r="F267" s="45"/>
      <c r="G267" s="45">
        <v>24</v>
      </c>
      <c r="H267" s="45"/>
      <c r="I267" s="34">
        <v>27</v>
      </c>
      <c r="J267" t="e">
        <f>I267/(VLOOKUP(B267,'Team Stats'!$B$3:$K$18,5,0))</f>
        <v>#N/A</v>
      </c>
      <c r="M267" t="s">
        <v>1007</v>
      </c>
      <c r="N267" t="s">
        <v>208</v>
      </c>
      <c r="O267">
        <v>2</v>
      </c>
      <c r="P267">
        <v>630</v>
      </c>
      <c r="Q267">
        <v>3.1746031746031746E-3</v>
      </c>
      <c r="R267" s="57">
        <f>VLOOKUP(N267,'Team Stats'!$B$3:$K$18,9,0)</f>
        <v>6</v>
      </c>
      <c r="S267" s="54">
        <f>VLOOKUP(N267,'Team Stats'!$B$3:$K$18,10,0)</f>
        <v>46.097560975609753</v>
      </c>
      <c r="T267" s="54">
        <f t="shared" si="8"/>
        <v>0.14634146341463414</v>
      </c>
      <c r="U267">
        <f t="shared" si="9"/>
        <v>265</v>
      </c>
    </row>
    <row r="268" spans="1:21" x14ac:dyDescent="0.25">
      <c r="A268" s="44" t="s">
        <v>591</v>
      </c>
      <c r="B268" s="44" t="s">
        <v>204</v>
      </c>
      <c r="C268" s="45">
        <v>66</v>
      </c>
      <c r="D268" s="45"/>
      <c r="E268" s="45">
        <v>8</v>
      </c>
      <c r="F268" s="45"/>
      <c r="G268" s="45">
        <v>19</v>
      </c>
      <c r="H268" s="45"/>
      <c r="I268" s="34">
        <v>27</v>
      </c>
      <c r="J268">
        <f>I268/(VLOOKUP(B268,'Team Stats'!$B$3:$K$18,5,0))</f>
        <v>4.4045676998368678E-2</v>
      </c>
      <c r="M268" t="s">
        <v>1034</v>
      </c>
      <c r="N268" t="s">
        <v>208</v>
      </c>
      <c r="O268">
        <v>2</v>
      </c>
      <c r="P268">
        <v>630</v>
      </c>
      <c r="Q268">
        <v>3.1746031746031746E-3</v>
      </c>
      <c r="R268" s="57">
        <f>VLOOKUP(N268,'Team Stats'!$B$3:$K$18,9,0)</f>
        <v>6</v>
      </c>
      <c r="S268" s="54">
        <f>VLOOKUP(N268,'Team Stats'!$B$3:$K$18,10,0)</f>
        <v>46.097560975609753</v>
      </c>
      <c r="T268" s="54">
        <f t="shared" si="8"/>
        <v>0.14634146341463414</v>
      </c>
      <c r="U268">
        <f t="shared" si="9"/>
        <v>265</v>
      </c>
    </row>
    <row r="269" spans="1:21" x14ac:dyDescent="0.25">
      <c r="A269" s="44" t="s">
        <v>592</v>
      </c>
      <c r="B269" s="44" t="s">
        <v>202</v>
      </c>
      <c r="C269" s="45">
        <v>82</v>
      </c>
      <c r="D269" s="45"/>
      <c r="E269" s="45">
        <v>10</v>
      </c>
      <c r="F269" s="45"/>
      <c r="G269" s="45">
        <v>17</v>
      </c>
      <c r="H269" s="45"/>
      <c r="I269" s="34">
        <v>27</v>
      </c>
      <c r="J269">
        <f>I269/(VLOOKUP(B269,'Team Stats'!$B$3:$K$18,5,0))</f>
        <v>4.09711684370258E-2</v>
      </c>
      <c r="M269" t="s">
        <v>1012</v>
      </c>
      <c r="N269" t="s">
        <v>208</v>
      </c>
      <c r="O269">
        <v>2</v>
      </c>
      <c r="P269">
        <v>630</v>
      </c>
      <c r="Q269">
        <v>3.1746031746031746E-3</v>
      </c>
      <c r="R269" s="57">
        <f>VLOOKUP(N269,'Team Stats'!$B$3:$K$18,9,0)</f>
        <v>6</v>
      </c>
      <c r="S269" s="54">
        <f>VLOOKUP(N269,'Team Stats'!$B$3:$K$18,10,0)</f>
        <v>46.097560975609753</v>
      </c>
      <c r="T269" s="54">
        <f t="shared" si="8"/>
        <v>0.14634146341463414</v>
      </c>
      <c r="U269">
        <f t="shared" si="9"/>
        <v>265</v>
      </c>
    </row>
    <row r="270" spans="1:21" x14ac:dyDescent="0.25">
      <c r="A270" s="44" t="s">
        <v>593</v>
      </c>
      <c r="B270" s="44" t="s">
        <v>199</v>
      </c>
      <c r="C270" s="45">
        <v>77</v>
      </c>
      <c r="D270" s="45"/>
      <c r="E270" s="45">
        <v>12</v>
      </c>
      <c r="F270" s="45"/>
      <c r="G270" s="45">
        <v>15</v>
      </c>
      <c r="H270" s="45"/>
      <c r="I270" s="34">
        <v>27</v>
      </c>
      <c r="J270">
        <f>I270/(VLOOKUP(B270,'Team Stats'!$B$3:$K$18,5,0))</f>
        <v>4.0909090909090909E-2</v>
      </c>
      <c r="M270" t="s">
        <v>1014</v>
      </c>
      <c r="N270" t="s">
        <v>211</v>
      </c>
      <c r="O270">
        <v>2</v>
      </c>
      <c r="P270">
        <v>608</v>
      </c>
      <c r="Q270">
        <v>3.2894736842105261E-3</v>
      </c>
      <c r="R270" s="57">
        <f>VLOOKUP(N270,'Team Stats'!$B$3:$K$18,9,0)</f>
        <v>6</v>
      </c>
      <c r="S270" s="54">
        <f>VLOOKUP(N270,'Team Stats'!$B$3:$K$18,10,0)</f>
        <v>44.487804878048784</v>
      </c>
      <c r="T270" s="54">
        <f t="shared" si="8"/>
        <v>0.14634146341463414</v>
      </c>
      <c r="U270">
        <f t="shared" si="9"/>
        <v>265</v>
      </c>
    </row>
    <row r="271" spans="1:21" x14ac:dyDescent="0.25">
      <c r="A271" s="44" t="s">
        <v>594</v>
      </c>
      <c r="B271" s="44" t="s">
        <v>216</v>
      </c>
      <c r="C271" s="45">
        <v>46</v>
      </c>
      <c r="D271" s="45"/>
      <c r="E271" s="45">
        <v>10</v>
      </c>
      <c r="F271" s="45"/>
      <c r="G271" s="45">
        <v>17</v>
      </c>
      <c r="H271" s="45"/>
      <c r="I271" s="34">
        <v>27</v>
      </c>
      <c r="J271" t="e">
        <f>I271/(VLOOKUP(B271,'Team Stats'!$B$3:$K$18,5,0))</f>
        <v>#N/A</v>
      </c>
      <c r="M271" t="s">
        <v>1099</v>
      </c>
      <c r="N271" t="s">
        <v>205</v>
      </c>
      <c r="O271">
        <v>1</v>
      </c>
      <c r="P271">
        <v>642</v>
      </c>
      <c r="Q271">
        <v>1.557632398753894E-3</v>
      </c>
      <c r="R271" s="57">
        <f>VLOOKUP(N271,'Team Stats'!$B$3:$K$18,9,0)</f>
        <v>11</v>
      </c>
      <c r="S271" s="54">
        <f>VLOOKUP(N271,'Team Stats'!$B$3:$K$18,10,0)</f>
        <v>86.121951219512198</v>
      </c>
      <c r="T271" s="54">
        <f t="shared" si="8"/>
        <v>0.13414634146341464</v>
      </c>
      <c r="U271">
        <f t="shared" si="9"/>
        <v>269</v>
      </c>
    </row>
    <row r="272" spans="1:21" x14ac:dyDescent="0.25">
      <c r="A272" s="44" t="s">
        <v>595</v>
      </c>
      <c r="B272" s="44" t="s">
        <v>356</v>
      </c>
      <c r="C272" s="45">
        <v>82</v>
      </c>
      <c r="D272" s="45"/>
      <c r="E272" s="45">
        <v>11</v>
      </c>
      <c r="F272" s="45"/>
      <c r="G272" s="45">
        <v>16</v>
      </c>
      <c r="H272" s="45"/>
      <c r="I272" s="34">
        <v>27</v>
      </c>
      <c r="J272" t="e">
        <f>I272/(VLOOKUP(B272,'Team Stats'!$B$3:$K$18,5,0))</f>
        <v>#N/A</v>
      </c>
      <c r="M272" t="s">
        <v>1060</v>
      </c>
      <c r="N272" t="s">
        <v>204</v>
      </c>
      <c r="O272">
        <v>1</v>
      </c>
      <c r="P272">
        <v>613</v>
      </c>
      <c r="Q272">
        <v>1.6313213703099511E-3</v>
      </c>
      <c r="R272" s="57">
        <f>VLOOKUP(N272,'Team Stats'!$B$3:$K$18,9,0)</f>
        <v>11</v>
      </c>
      <c r="S272" s="54">
        <f>VLOOKUP(N272,'Team Stats'!$B$3:$K$18,10,0)</f>
        <v>82.231707317073173</v>
      </c>
      <c r="T272" s="54">
        <f t="shared" si="8"/>
        <v>0.13414634146341464</v>
      </c>
      <c r="U272">
        <f t="shared" si="9"/>
        <v>269</v>
      </c>
    </row>
    <row r="273" spans="1:21" x14ac:dyDescent="0.25">
      <c r="A273" s="44" t="s">
        <v>596</v>
      </c>
      <c r="B273" s="44" t="s">
        <v>197</v>
      </c>
      <c r="C273" s="45">
        <v>82</v>
      </c>
      <c r="D273" s="45"/>
      <c r="E273" s="45">
        <v>9</v>
      </c>
      <c r="F273" s="45"/>
      <c r="G273" s="45">
        <v>18</v>
      </c>
      <c r="H273" s="45"/>
      <c r="I273" s="34">
        <v>27</v>
      </c>
      <c r="J273">
        <f>I273/(VLOOKUP(B273,'Team Stats'!$B$3:$K$18,5,0))</f>
        <v>4.4999999999999998E-2</v>
      </c>
      <c r="M273" t="s">
        <v>1091</v>
      </c>
      <c r="N273" t="s">
        <v>205</v>
      </c>
      <c r="O273">
        <v>1</v>
      </c>
      <c r="P273">
        <v>642</v>
      </c>
      <c r="Q273">
        <v>1.557632398753894E-3</v>
      </c>
      <c r="R273" s="57">
        <f>VLOOKUP(N273,'Team Stats'!$B$3:$K$18,9,0)</f>
        <v>11</v>
      </c>
      <c r="S273" s="54">
        <f>VLOOKUP(N273,'Team Stats'!$B$3:$K$18,10,0)</f>
        <v>86.121951219512198</v>
      </c>
      <c r="T273" s="54">
        <f t="shared" si="8"/>
        <v>0.13414634146341464</v>
      </c>
      <c r="U273">
        <f t="shared" si="9"/>
        <v>269</v>
      </c>
    </row>
    <row r="274" spans="1:21" x14ac:dyDescent="0.25">
      <c r="A274" s="44" t="s">
        <v>597</v>
      </c>
      <c r="B274" s="44" t="s">
        <v>213</v>
      </c>
      <c r="C274" s="45">
        <v>80</v>
      </c>
      <c r="D274" s="45"/>
      <c r="E274" s="45">
        <v>9</v>
      </c>
      <c r="F274" s="45"/>
      <c r="G274" s="45">
        <v>18</v>
      </c>
      <c r="H274" s="45"/>
      <c r="I274" s="34">
        <v>27</v>
      </c>
      <c r="J274">
        <f>I274/(VLOOKUP(B274,'Team Stats'!$B$3:$K$18,5,0))</f>
        <v>4.361873990306947E-2</v>
      </c>
      <c r="M274" t="s">
        <v>1057</v>
      </c>
      <c r="N274" t="s">
        <v>204</v>
      </c>
      <c r="O274">
        <v>1</v>
      </c>
      <c r="P274">
        <v>613</v>
      </c>
      <c r="Q274">
        <v>1.6313213703099511E-3</v>
      </c>
      <c r="R274" s="57">
        <f>VLOOKUP(N274,'Team Stats'!$B$3:$K$18,9,0)</f>
        <v>11</v>
      </c>
      <c r="S274" s="54">
        <f>VLOOKUP(N274,'Team Stats'!$B$3:$K$18,10,0)</f>
        <v>82.231707317073173</v>
      </c>
      <c r="T274" s="54">
        <f t="shared" si="8"/>
        <v>0.13414634146341464</v>
      </c>
      <c r="U274">
        <f t="shared" si="9"/>
        <v>269</v>
      </c>
    </row>
    <row r="275" spans="1:21" x14ac:dyDescent="0.25">
      <c r="A275" s="44" t="s">
        <v>598</v>
      </c>
      <c r="B275" s="44" t="s">
        <v>339</v>
      </c>
      <c r="C275" s="45">
        <v>72</v>
      </c>
      <c r="D275" s="45"/>
      <c r="E275" s="45">
        <v>10</v>
      </c>
      <c r="F275" s="45"/>
      <c r="G275" s="45">
        <v>17</v>
      </c>
      <c r="H275" s="45"/>
      <c r="I275" s="34">
        <v>27</v>
      </c>
      <c r="J275" t="e">
        <f>I275/(VLOOKUP(B275,'Team Stats'!$B$3:$K$18,5,0))</f>
        <v>#N/A</v>
      </c>
      <c r="M275" t="s">
        <v>1042</v>
      </c>
      <c r="N275" t="s">
        <v>205</v>
      </c>
      <c r="O275">
        <v>1</v>
      </c>
      <c r="P275">
        <v>642</v>
      </c>
      <c r="Q275">
        <v>1.557632398753894E-3</v>
      </c>
      <c r="R275" s="57">
        <f>VLOOKUP(N275,'Team Stats'!$B$3:$K$18,9,0)</f>
        <v>11</v>
      </c>
      <c r="S275" s="54">
        <f>VLOOKUP(N275,'Team Stats'!$B$3:$K$18,10,0)</f>
        <v>86.121951219512198</v>
      </c>
      <c r="T275" s="54">
        <f t="shared" si="8"/>
        <v>0.13414634146341464</v>
      </c>
      <c r="U275">
        <f t="shared" si="9"/>
        <v>269</v>
      </c>
    </row>
    <row r="276" spans="1:21" x14ac:dyDescent="0.25">
      <c r="A276" s="44" t="s">
        <v>599</v>
      </c>
      <c r="B276" s="44" t="s">
        <v>203</v>
      </c>
      <c r="C276" s="45">
        <v>47</v>
      </c>
      <c r="D276" s="45"/>
      <c r="E276" s="45">
        <v>14</v>
      </c>
      <c r="F276" s="45"/>
      <c r="G276" s="45">
        <v>13</v>
      </c>
      <c r="H276" s="45"/>
      <c r="I276" s="34">
        <v>27</v>
      </c>
      <c r="J276" t="e">
        <f>I276/(VLOOKUP(B276,'Team Stats'!$B$3:$K$18,5,0))</f>
        <v>#N/A</v>
      </c>
      <c r="M276" t="s">
        <v>1031</v>
      </c>
      <c r="N276" t="s">
        <v>209</v>
      </c>
      <c r="O276">
        <v>2</v>
      </c>
      <c r="P276">
        <v>594</v>
      </c>
      <c r="Q276">
        <v>3.3670033670033669E-3</v>
      </c>
      <c r="R276" s="57">
        <f>VLOOKUP(N276,'Team Stats'!$B$3:$K$18,9,0)</f>
        <v>4</v>
      </c>
      <c r="S276" s="54">
        <f>VLOOKUP(N276,'Team Stats'!$B$3:$K$18,10,0)</f>
        <v>28.975609756097562</v>
      </c>
      <c r="T276" s="54">
        <f t="shared" si="8"/>
        <v>9.7560975609756101E-2</v>
      </c>
      <c r="U276">
        <f t="shared" si="9"/>
        <v>274</v>
      </c>
    </row>
    <row r="277" spans="1:21" x14ac:dyDescent="0.25">
      <c r="A277" s="44" t="s">
        <v>600</v>
      </c>
      <c r="B277" s="44" t="s">
        <v>344</v>
      </c>
      <c r="C277" s="45">
        <v>77</v>
      </c>
      <c r="D277" s="45"/>
      <c r="E277" s="45">
        <v>15</v>
      </c>
      <c r="F277" s="45"/>
      <c r="G277" s="45">
        <v>12</v>
      </c>
      <c r="H277" s="45"/>
      <c r="I277" s="34">
        <v>27</v>
      </c>
      <c r="J277" t="e">
        <f>I277/(VLOOKUP(B277,'Team Stats'!$B$3:$K$18,5,0))</f>
        <v>#N/A</v>
      </c>
      <c r="M277" t="s">
        <v>1046</v>
      </c>
      <c r="N277" t="s">
        <v>213</v>
      </c>
      <c r="O277">
        <v>1</v>
      </c>
      <c r="P277">
        <v>619</v>
      </c>
      <c r="Q277">
        <v>1.6155088852988692E-3</v>
      </c>
      <c r="R277" s="57">
        <f>VLOOKUP(N277,'Team Stats'!$B$3:$K$18,9,0)</f>
        <v>7</v>
      </c>
      <c r="S277" s="54">
        <f>VLOOKUP(N277,'Team Stats'!$B$3:$K$18,10,0)</f>
        <v>52.841463414634148</v>
      </c>
      <c r="T277" s="54">
        <f t="shared" si="8"/>
        <v>8.5365853658536592E-2</v>
      </c>
      <c r="U277">
        <f t="shared" si="9"/>
        <v>275</v>
      </c>
    </row>
    <row r="278" spans="1:21" x14ac:dyDescent="0.25">
      <c r="A278" s="44" t="s">
        <v>601</v>
      </c>
      <c r="B278" s="44" t="s">
        <v>207</v>
      </c>
      <c r="C278" s="45">
        <v>52</v>
      </c>
      <c r="D278" s="45"/>
      <c r="E278" s="45">
        <v>10</v>
      </c>
      <c r="F278" s="45"/>
      <c r="G278" s="45">
        <v>17</v>
      </c>
      <c r="H278" s="45"/>
      <c r="I278" s="34">
        <v>27</v>
      </c>
      <c r="J278">
        <f>I278/(VLOOKUP(B278,'Team Stats'!$B$3:$K$18,5,0))</f>
        <v>4.0662650602409638E-2</v>
      </c>
      <c r="M278" t="s">
        <v>1089</v>
      </c>
      <c r="N278" t="s">
        <v>213</v>
      </c>
      <c r="O278">
        <v>1</v>
      </c>
      <c r="P278">
        <v>619</v>
      </c>
      <c r="Q278">
        <v>1.6155088852988692E-3</v>
      </c>
      <c r="R278" s="57">
        <f>VLOOKUP(N278,'Team Stats'!$B$3:$K$18,9,0)</f>
        <v>7</v>
      </c>
      <c r="S278" s="54">
        <f>VLOOKUP(N278,'Team Stats'!$B$3:$K$18,10,0)</f>
        <v>52.841463414634148</v>
      </c>
      <c r="T278" s="54">
        <f t="shared" si="8"/>
        <v>8.5365853658536592E-2</v>
      </c>
      <c r="U278">
        <f t="shared" si="9"/>
        <v>275</v>
      </c>
    </row>
    <row r="279" spans="1:21" x14ac:dyDescent="0.25">
      <c r="A279" s="44" t="s">
        <v>602</v>
      </c>
      <c r="B279" s="44" t="s">
        <v>364</v>
      </c>
      <c r="C279" s="45">
        <v>82</v>
      </c>
      <c r="D279" s="45"/>
      <c r="E279" s="45">
        <v>8</v>
      </c>
      <c r="F279" s="45"/>
      <c r="G279" s="45">
        <v>19</v>
      </c>
      <c r="H279" s="45"/>
      <c r="I279" s="34">
        <v>27</v>
      </c>
      <c r="J279" t="e">
        <f>I279/(VLOOKUP(B279,'Team Stats'!$B$3:$K$18,5,0))</f>
        <v>#N/A</v>
      </c>
      <c r="M279" t="s">
        <v>1038</v>
      </c>
      <c r="N279" t="s">
        <v>197</v>
      </c>
      <c r="O279">
        <v>1</v>
      </c>
      <c r="P279">
        <v>600</v>
      </c>
      <c r="Q279">
        <v>1.6666666666666668E-3</v>
      </c>
      <c r="R279" s="57">
        <f>VLOOKUP(N279,'Team Stats'!$B$3:$K$18,9,0)</f>
        <v>6</v>
      </c>
      <c r="S279" s="54">
        <f>VLOOKUP(N279,'Team Stats'!$B$3:$K$18,10,0)</f>
        <v>43.902439024390247</v>
      </c>
      <c r="T279" s="54">
        <f t="shared" si="8"/>
        <v>7.3170731707317083E-2</v>
      </c>
      <c r="U279">
        <f t="shared" si="9"/>
        <v>277</v>
      </c>
    </row>
    <row r="280" spans="1:21" x14ac:dyDescent="0.25">
      <c r="A280" s="44" t="s">
        <v>603</v>
      </c>
      <c r="B280" s="44" t="s">
        <v>330</v>
      </c>
      <c r="C280" s="45">
        <v>52</v>
      </c>
      <c r="D280" s="45"/>
      <c r="E280" s="45">
        <v>7</v>
      </c>
      <c r="F280" s="45"/>
      <c r="G280" s="45">
        <v>20</v>
      </c>
      <c r="H280" s="45"/>
      <c r="I280" s="34">
        <v>27</v>
      </c>
      <c r="J280" t="e">
        <f>I280/(VLOOKUP(B280,'Team Stats'!$B$3:$K$18,5,0))</f>
        <v>#N/A</v>
      </c>
      <c r="M280" t="s">
        <v>1043</v>
      </c>
      <c r="N280" t="s">
        <v>195</v>
      </c>
      <c r="O280">
        <v>1</v>
      </c>
      <c r="P280">
        <v>656</v>
      </c>
      <c r="Q280">
        <v>1.5243902439024391E-3</v>
      </c>
      <c r="R280" s="57">
        <f>VLOOKUP(N280,'Team Stats'!$B$3:$K$18,9,0)</f>
        <v>6</v>
      </c>
      <c r="S280" s="54">
        <f>VLOOKUP(N280,'Team Stats'!$B$3:$K$18,10,0)</f>
        <v>48</v>
      </c>
      <c r="T280" s="54">
        <f t="shared" si="8"/>
        <v>7.3170731707317083E-2</v>
      </c>
      <c r="U280">
        <f t="shared" si="9"/>
        <v>277</v>
      </c>
    </row>
    <row r="281" spans="1:21" x14ac:dyDescent="0.25">
      <c r="A281" s="44" t="s">
        <v>604</v>
      </c>
      <c r="B281" s="44" t="s">
        <v>215</v>
      </c>
      <c r="C281" s="45">
        <v>68</v>
      </c>
      <c r="D281" s="45"/>
      <c r="E281" s="45">
        <v>11</v>
      </c>
      <c r="F281" s="45"/>
      <c r="G281" s="45">
        <v>15</v>
      </c>
      <c r="H281" s="45"/>
      <c r="I281" s="34">
        <v>26</v>
      </c>
      <c r="J281" t="e">
        <f>I281/(VLOOKUP(B281,'Team Stats'!$B$3:$K$18,5,0))</f>
        <v>#N/A</v>
      </c>
      <c r="M281" t="s">
        <v>1058</v>
      </c>
      <c r="N281" t="s">
        <v>197</v>
      </c>
      <c r="O281">
        <v>1</v>
      </c>
      <c r="P281">
        <v>600</v>
      </c>
      <c r="Q281">
        <v>1.6666666666666668E-3</v>
      </c>
      <c r="R281" s="57">
        <f>VLOOKUP(N281,'Team Stats'!$B$3:$K$18,9,0)</f>
        <v>6</v>
      </c>
      <c r="S281" s="54">
        <f>VLOOKUP(N281,'Team Stats'!$B$3:$K$18,10,0)</f>
        <v>43.902439024390247</v>
      </c>
      <c r="T281" s="54">
        <f t="shared" si="8"/>
        <v>7.3170731707317083E-2</v>
      </c>
      <c r="U281">
        <f t="shared" si="9"/>
        <v>277</v>
      </c>
    </row>
    <row r="282" spans="1:21" x14ac:dyDescent="0.25">
      <c r="A282" s="44" t="s">
        <v>605</v>
      </c>
      <c r="B282" s="44" t="s">
        <v>213</v>
      </c>
      <c r="C282" s="45">
        <v>76</v>
      </c>
      <c r="D282" s="45"/>
      <c r="E282" s="45">
        <v>11</v>
      </c>
      <c r="F282" s="45"/>
      <c r="G282" s="45">
        <v>15</v>
      </c>
      <c r="H282" s="45"/>
      <c r="I282" s="34">
        <v>26</v>
      </c>
      <c r="J282">
        <f>I282/(VLOOKUP(B282,'Team Stats'!$B$3:$K$18,5,0))</f>
        <v>4.2003231017770599E-2</v>
      </c>
      <c r="M282" t="s">
        <v>1045</v>
      </c>
      <c r="N282" t="s">
        <v>211</v>
      </c>
      <c r="O282">
        <v>1</v>
      </c>
      <c r="P282">
        <v>608</v>
      </c>
      <c r="Q282">
        <v>1.6447368421052631E-3</v>
      </c>
      <c r="R282" s="57">
        <f>VLOOKUP(N282,'Team Stats'!$B$3:$K$18,9,0)</f>
        <v>6</v>
      </c>
      <c r="S282" s="54">
        <f>VLOOKUP(N282,'Team Stats'!$B$3:$K$18,10,0)</f>
        <v>44.487804878048784</v>
      </c>
      <c r="T282" s="54">
        <f t="shared" si="8"/>
        <v>7.3170731707317069E-2</v>
      </c>
      <c r="U282">
        <f t="shared" si="9"/>
        <v>280</v>
      </c>
    </row>
    <row r="283" spans="1:21" x14ac:dyDescent="0.25">
      <c r="A283" s="44" t="s">
        <v>606</v>
      </c>
      <c r="B283" s="44" t="s">
        <v>211</v>
      </c>
      <c r="C283" s="45">
        <v>51</v>
      </c>
      <c r="D283" s="45"/>
      <c r="E283" s="45">
        <v>21</v>
      </c>
      <c r="F283" s="45"/>
      <c r="G283" s="45">
        <v>5</v>
      </c>
      <c r="H283" s="45"/>
      <c r="I283" s="34">
        <v>26</v>
      </c>
      <c r="J283">
        <f>I283/(VLOOKUP(B283,'Team Stats'!$B$3:$K$18,5,0))</f>
        <v>4.2763157894736843E-2</v>
      </c>
      <c r="M283" t="s">
        <v>1066</v>
      </c>
      <c r="N283" t="s">
        <v>211</v>
      </c>
      <c r="O283">
        <v>1</v>
      </c>
      <c r="P283">
        <v>608</v>
      </c>
      <c r="Q283">
        <v>1.6447368421052631E-3</v>
      </c>
      <c r="R283" s="57">
        <f>VLOOKUP(N283,'Team Stats'!$B$3:$K$18,9,0)</f>
        <v>6</v>
      </c>
      <c r="S283" s="54">
        <f>VLOOKUP(N283,'Team Stats'!$B$3:$K$18,10,0)</f>
        <v>44.487804878048784</v>
      </c>
      <c r="T283" s="54">
        <f t="shared" si="8"/>
        <v>7.3170731707317069E-2</v>
      </c>
      <c r="U283">
        <f t="shared" si="9"/>
        <v>280</v>
      </c>
    </row>
    <row r="284" spans="1:21" x14ac:dyDescent="0.25">
      <c r="A284" s="44" t="s">
        <v>607</v>
      </c>
      <c r="B284" s="44" t="s">
        <v>212</v>
      </c>
      <c r="C284" s="45">
        <v>62</v>
      </c>
      <c r="D284" s="45"/>
      <c r="E284" s="45">
        <v>8</v>
      </c>
      <c r="F284" s="45"/>
      <c r="G284" s="45">
        <v>18</v>
      </c>
      <c r="H284" s="45"/>
      <c r="I284" s="34">
        <v>26</v>
      </c>
      <c r="J284" t="e">
        <f>I284/(VLOOKUP(B284,'Team Stats'!$B$3:$K$18,5,0))</f>
        <v>#N/A</v>
      </c>
      <c r="M284" t="s">
        <v>1053</v>
      </c>
      <c r="N284" t="s">
        <v>208</v>
      </c>
      <c r="O284">
        <v>1</v>
      </c>
      <c r="P284">
        <v>630</v>
      </c>
      <c r="Q284">
        <v>1.5873015873015873E-3</v>
      </c>
      <c r="R284" s="57">
        <f>VLOOKUP(N284,'Team Stats'!$B$3:$K$18,9,0)</f>
        <v>6</v>
      </c>
      <c r="S284" s="54">
        <f>VLOOKUP(N284,'Team Stats'!$B$3:$K$18,10,0)</f>
        <v>46.097560975609753</v>
      </c>
      <c r="T284" s="54">
        <f t="shared" si="8"/>
        <v>7.3170731707317069E-2</v>
      </c>
      <c r="U284">
        <f t="shared" si="9"/>
        <v>280</v>
      </c>
    </row>
    <row r="285" spans="1:21" x14ac:dyDescent="0.25">
      <c r="A285" s="44" t="s">
        <v>608</v>
      </c>
      <c r="B285" s="44" t="s">
        <v>201</v>
      </c>
      <c r="C285" s="45">
        <v>79</v>
      </c>
      <c r="D285" s="45"/>
      <c r="E285" s="45">
        <v>15</v>
      </c>
      <c r="F285" s="45"/>
      <c r="G285" s="45">
        <v>11</v>
      </c>
      <c r="H285" s="45"/>
      <c r="I285" s="34">
        <v>26</v>
      </c>
      <c r="J285">
        <f>I285/(VLOOKUP(B285,'Team Stats'!$B$3:$K$18,5,0))</f>
        <v>4.3261231281198007E-2</v>
      </c>
      <c r="M285" t="s">
        <v>1081</v>
      </c>
      <c r="N285" t="s">
        <v>211</v>
      </c>
      <c r="O285">
        <v>1</v>
      </c>
      <c r="P285">
        <v>608</v>
      </c>
      <c r="Q285">
        <v>1.6447368421052631E-3</v>
      </c>
      <c r="R285" s="57">
        <f>VLOOKUP(N285,'Team Stats'!$B$3:$K$18,9,0)</f>
        <v>6</v>
      </c>
      <c r="S285" s="54">
        <f>VLOOKUP(N285,'Team Stats'!$B$3:$K$18,10,0)</f>
        <v>44.487804878048784</v>
      </c>
      <c r="T285" s="54">
        <f t="shared" si="8"/>
        <v>7.3170731707317069E-2</v>
      </c>
      <c r="U285">
        <f t="shared" si="9"/>
        <v>280</v>
      </c>
    </row>
    <row r="286" spans="1:21" x14ac:dyDescent="0.25">
      <c r="A286" s="44" t="s">
        <v>609</v>
      </c>
      <c r="B286" s="44" t="s">
        <v>202</v>
      </c>
      <c r="C286" s="45">
        <v>65</v>
      </c>
      <c r="D286" s="45"/>
      <c r="E286" s="45">
        <v>9</v>
      </c>
      <c r="F286" s="45"/>
      <c r="G286" s="45">
        <v>17</v>
      </c>
      <c r="H286" s="45"/>
      <c r="I286" s="34">
        <v>26</v>
      </c>
      <c r="J286">
        <f>I286/(VLOOKUP(B286,'Team Stats'!$B$3:$K$18,5,0))</f>
        <v>3.9453717754172987E-2</v>
      </c>
      <c r="M286" t="s">
        <v>1041</v>
      </c>
      <c r="N286" t="s">
        <v>209</v>
      </c>
      <c r="O286">
        <v>1</v>
      </c>
      <c r="P286">
        <v>594</v>
      </c>
      <c r="Q286">
        <v>1.6835016835016834E-3</v>
      </c>
      <c r="R286" s="57">
        <f>VLOOKUP(N286,'Team Stats'!$B$3:$K$18,9,0)</f>
        <v>4</v>
      </c>
      <c r="S286" s="54">
        <f>VLOOKUP(N286,'Team Stats'!$B$3:$K$18,10,0)</f>
        <v>28.975609756097562</v>
      </c>
      <c r="T286" s="54">
        <f t="shared" si="8"/>
        <v>4.878048780487805E-2</v>
      </c>
      <c r="U286">
        <f t="shared" si="9"/>
        <v>284</v>
      </c>
    </row>
    <row r="287" spans="1:21" x14ac:dyDescent="0.25">
      <c r="A287" s="44" t="s">
        <v>610</v>
      </c>
      <c r="B287" s="44" t="s">
        <v>203</v>
      </c>
      <c r="C287" s="45">
        <v>71</v>
      </c>
      <c r="D287" s="45"/>
      <c r="E287" s="45">
        <v>9</v>
      </c>
      <c r="F287" s="45"/>
      <c r="G287" s="45">
        <v>17</v>
      </c>
      <c r="H287" s="45"/>
      <c r="I287" s="34">
        <v>26</v>
      </c>
      <c r="J287" t="e">
        <f>I287/(VLOOKUP(B287,'Team Stats'!$B$3:$K$18,5,0))</f>
        <v>#N/A</v>
      </c>
      <c r="M287" t="s">
        <v>1088</v>
      </c>
      <c r="N287" t="s">
        <v>209</v>
      </c>
      <c r="O287">
        <v>1</v>
      </c>
      <c r="P287">
        <v>594</v>
      </c>
      <c r="Q287">
        <v>1.6835016835016834E-3</v>
      </c>
      <c r="R287" s="57">
        <f>VLOOKUP(N287,'Team Stats'!$B$3:$K$18,9,0)</f>
        <v>4</v>
      </c>
      <c r="S287" s="54">
        <f>VLOOKUP(N287,'Team Stats'!$B$3:$K$18,10,0)</f>
        <v>28.975609756097562</v>
      </c>
      <c r="T287" s="54">
        <f t="shared" si="8"/>
        <v>4.878048780487805E-2</v>
      </c>
      <c r="U287">
        <f t="shared" si="9"/>
        <v>284</v>
      </c>
    </row>
    <row r="288" spans="1:21" x14ac:dyDescent="0.25">
      <c r="A288" s="44" t="s">
        <v>611</v>
      </c>
      <c r="B288" s="44" t="s">
        <v>356</v>
      </c>
      <c r="C288" s="45">
        <v>81</v>
      </c>
      <c r="D288" s="45"/>
      <c r="E288" s="45">
        <v>13</v>
      </c>
      <c r="F288" s="45"/>
      <c r="G288" s="45">
        <v>13</v>
      </c>
      <c r="H288" s="45"/>
      <c r="I288" s="34">
        <v>26</v>
      </c>
      <c r="J288" t="e">
        <f>I288/(VLOOKUP(B288,'Team Stats'!$B$3:$K$18,5,0))</f>
        <v>#N/A</v>
      </c>
      <c r="M288" t="s">
        <v>1040</v>
      </c>
      <c r="N288" t="s">
        <v>209</v>
      </c>
      <c r="O288">
        <v>1</v>
      </c>
      <c r="P288">
        <v>594</v>
      </c>
      <c r="Q288">
        <v>1.6835016835016834E-3</v>
      </c>
      <c r="R288" s="57">
        <f>VLOOKUP(N288,'Team Stats'!$B$3:$K$18,9,0)</f>
        <v>4</v>
      </c>
      <c r="S288" s="54">
        <f>VLOOKUP(N288,'Team Stats'!$B$3:$K$18,10,0)</f>
        <v>28.975609756097562</v>
      </c>
      <c r="T288" s="54">
        <f t="shared" si="8"/>
        <v>4.878048780487805E-2</v>
      </c>
      <c r="U288">
        <f t="shared" si="9"/>
        <v>284</v>
      </c>
    </row>
    <row r="289" spans="1:21" x14ac:dyDescent="0.25">
      <c r="A289" s="44" t="s">
        <v>612</v>
      </c>
      <c r="B289" s="44" t="s">
        <v>212</v>
      </c>
      <c r="C289" s="45">
        <v>62</v>
      </c>
      <c r="D289" s="45"/>
      <c r="E289" s="45">
        <v>11</v>
      </c>
      <c r="F289" s="45"/>
      <c r="G289" s="45">
        <v>14</v>
      </c>
      <c r="H289" s="45"/>
      <c r="I289" s="34">
        <v>25</v>
      </c>
      <c r="J289" t="e">
        <f>I289/(VLOOKUP(B289,'Team Stats'!$B$3:$K$18,5,0))</f>
        <v>#N/A</v>
      </c>
      <c r="M289" t="s">
        <v>1095</v>
      </c>
      <c r="N289" t="s">
        <v>209</v>
      </c>
      <c r="O289">
        <v>1</v>
      </c>
      <c r="P289">
        <v>594</v>
      </c>
      <c r="Q289">
        <v>1.6835016835016834E-3</v>
      </c>
      <c r="R289" s="57">
        <f>VLOOKUP(N289,'Team Stats'!$B$3:$K$18,9,0)</f>
        <v>4</v>
      </c>
      <c r="S289" s="54">
        <f>VLOOKUP(N289,'Team Stats'!$B$3:$K$18,10,0)</f>
        <v>28.975609756097562</v>
      </c>
      <c r="T289" s="54">
        <f t="shared" si="8"/>
        <v>4.878048780487805E-2</v>
      </c>
      <c r="U289">
        <f t="shared" si="9"/>
        <v>284</v>
      </c>
    </row>
    <row r="290" spans="1:21" x14ac:dyDescent="0.25">
      <c r="A290" s="44" t="s">
        <v>613</v>
      </c>
      <c r="B290" s="44" t="s">
        <v>211</v>
      </c>
      <c r="C290" s="45">
        <v>66</v>
      </c>
      <c r="D290" s="45"/>
      <c r="E290" s="45">
        <v>9</v>
      </c>
      <c r="F290" s="45"/>
      <c r="G290" s="45">
        <v>16</v>
      </c>
      <c r="H290" s="45"/>
      <c r="I290" s="34">
        <v>25</v>
      </c>
      <c r="J290">
        <f>I290/(VLOOKUP(B290,'Team Stats'!$B$3:$K$18,5,0))</f>
        <v>4.1118421052631582E-2</v>
      </c>
      <c r="M290" t="s">
        <v>1103</v>
      </c>
      <c r="N290" t="s">
        <v>197</v>
      </c>
      <c r="O290">
        <v>0</v>
      </c>
      <c r="P290">
        <v>600</v>
      </c>
      <c r="Q290">
        <v>0</v>
      </c>
      <c r="R290" s="57">
        <f>VLOOKUP(N290,'Team Stats'!$B$3:$K$18,9,0)</f>
        <v>6</v>
      </c>
      <c r="S290" s="54">
        <f>VLOOKUP(N290,'Team Stats'!$B$3:$K$18,10,0)</f>
        <v>43.902439024390247</v>
      </c>
      <c r="T290" s="54">
        <f t="shared" si="8"/>
        <v>0</v>
      </c>
      <c r="U290">
        <f t="shared" si="9"/>
        <v>288</v>
      </c>
    </row>
    <row r="291" spans="1:21" x14ac:dyDescent="0.25">
      <c r="A291" s="44" t="s">
        <v>614</v>
      </c>
      <c r="B291" s="44" t="s">
        <v>219</v>
      </c>
      <c r="C291" s="45">
        <v>74</v>
      </c>
      <c r="D291" s="45"/>
      <c r="E291" s="45">
        <v>11</v>
      </c>
      <c r="F291" s="45"/>
      <c r="G291" s="45">
        <v>14</v>
      </c>
      <c r="H291" s="45"/>
      <c r="I291" s="34">
        <v>25</v>
      </c>
      <c r="J291" t="e">
        <f>I291/(VLOOKUP(B291,'Team Stats'!$B$3:$K$18,5,0))</f>
        <v>#N/A</v>
      </c>
      <c r="M291" t="s">
        <v>1181</v>
      </c>
      <c r="N291" t="s">
        <v>205</v>
      </c>
      <c r="O291">
        <v>0</v>
      </c>
      <c r="P291">
        <v>642</v>
      </c>
      <c r="Q291">
        <v>0</v>
      </c>
      <c r="R291" s="57">
        <f>VLOOKUP(N291,'Team Stats'!$B$3:$K$18,9,0)</f>
        <v>11</v>
      </c>
      <c r="S291" s="54">
        <f>VLOOKUP(N291,'Team Stats'!$B$3:$K$18,10,0)</f>
        <v>86.121951219512198</v>
      </c>
      <c r="T291" s="54">
        <f t="shared" si="8"/>
        <v>0</v>
      </c>
      <c r="U291">
        <f t="shared" si="9"/>
        <v>288</v>
      </c>
    </row>
    <row r="292" spans="1:21" x14ac:dyDescent="0.25">
      <c r="A292" s="44" t="s">
        <v>615</v>
      </c>
      <c r="B292" s="44" t="s">
        <v>205</v>
      </c>
      <c r="C292" s="45">
        <v>79</v>
      </c>
      <c r="D292" s="45"/>
      <c r="E292" s="45">
        <v>7</v>
      </c>
      <c r="F292" s="45"/>
      <c r="G292" s="45">
        <v>18</v>
      </c>
      <c r="H292" s="45"/>
      <c r="I292" s="34">
        <v>25</v>
      </c>
      <c r="J292">
        <f>I292/(VLOOKUP(B292,'Team Stats'!$B$3:$K$18,5,0))</f>
        <v>3.8940809968847349E-2</v>
      </c>
      <c r="M292" t="s">
        <v>1120</v>
      </c>
      <c r="N292" t="s">
        <v>202</v>
      </c>
      <c r="O292">
        <v>0</v>
      </c>
      <c r="P292">
        <v>659</v>
      </c>
      <c r="Q292">
        <v>0</v>
      </c>
      <c r="R292" s="57">
        <f>VLOOKUP(N292,'Team Stats'!$B$3:$K$18,9,0)</f>
        <v>14</v>
      </c>
      <c r="S292" s="54">
        <f>VLOOKUP(N292,'Team Stats'!$B$3:$K$18,10,0)</f>
        <v>112.51219512195122</v>
      </c>
      <c r="T292" s="54">
        <f t="shared" si="8"/>
        <v>0</v>
      </c>
      <c r="U292">
        <f t="shared" si="9"/>
        <v>288</v>
      </c>
    </row>
    <row r="293" spans="1:21" x14ac:dyDescent="0.25">
      <c r="A293" s="44" t="s">
        <v>616</v>
      </c>
      <c r="B293" s="44" t="s">
        <v>205</v>
      </c>
      <c r="C293" s="45">
        <v>68</v>
      </c>
      <c r="D293" s="45"/>
      <c r="E293" s="45">
        <v>13</v>
      </c>
      <c r="F293" s="45"/>
      <c r="G293" s="45">
        <v>12</v>
      </c>
      <c r="H293" s="45"/>
      <c r="I293" s="34">
        <v>25</v>
      </c>
      <c r="J293">
        <f>I293/(VLOOKUP(B293,'Team Stats'!$B$3:$K$18,5,0))</f>
        <v>3.8940809968847349E-2</v>
      </c>
      <c r="M293" t="s">
        <v>1131</v>
      </c>
      <c r="N293" t="s">
        <v>204</v>
      </c>
      <c r="O293">
        <v>0</v>
      </c>
      <c r="P293">
        <v>613</v>
      </c>
      <c r="Q293">
        <v>0</v>
      </c>
      <c r="R293" s="57">
        <f>VLOOKUP(N293,'Team Stats'!$B$3:$K$18,9,0)</f>
        <v>11</v>
      </c>
      <c r="S293" s="54">
        <f>VLOOKUP(N293,'Team Stats'!$B$3:$K$18,10,0)</f>
        <v>82.231707317073173</v>
      </c>
      <c r="T293" s="54">
        <f t="shared" si="8"/>
        <v>0</v>
      </c>
      <c r="U293">
        <f t="shared" si="9"/>
        <v>288</v>
      </c>
    </row>
    <row r="294" spans="1:21" x14ac:dyDescent="0.25">
      <c r="A294" s="44" t="s">
        <v>617</v>
      </c>
      <c r="B294" s="44" t="s">
        <v>203</v>
      </c>
      <c r="C294" s="45">
        <v>67</v>
      </c>
      <c r="D294" s="45"/>
      <c r="E294" s="45">
        <v>8</v>
      </c>
      <c r="F294" s="45"/>
      <c r="G294" s="45">
        <v>17</v>
      </c>
      <c r="H294" s="45"/>
      <c r="I294" s="34">
        <v>25</v>
      </c>
      <c r="J294" t="e">
        <f>I294/(VLOOKUP(B294,'Team Stats'!$B$3:$K$18,5,0))</f>
        <v>#N/A</v>
      </c>
      <c r="M294" t="s">
        <v>1133</v>
      </c>
      <c r="N294" t="s">
        <v>199</v>
      </c>
      <c r="O294">
        <v>0</v>
      </c>
      <c r="P294">
        <v>660</v>
      </c>
      <c r="Q294">
        <v>0</v>
      </c>
      <c r="R294" s="57">
        <f>VLOOKUP(N294,'Team Stats'!$B$3:$K$18,9,0)</f>
        <v>12</v>
      </c>
      <c r="S294" s="54">
        <f>VLOOKUP(N294,'Team Stats'!$B$3:$K$18,10,0)</f>
        <v>96.585365853658544</v>
      </c>
      <c r="T294" s="54">
        <f t="shared" si="8"/>
        <v>0</v>
      </c>
      <c r="U294">
        <f t="shared" si="9"/>
        <v>288</v>
      </c>
    </row>
    <row r="295" spans="1:21" x14ac:dyDescent="0.25">
      <c r="A295" s="44" t="s">
        <v>618</v>
      </c>
      <c r="B295" s="44" t="s">
        <v>203</v>
      </c>
      <c r="C295" s="45">
        <v>81</v>
      </c>
      <c r="D295" s="45"/>
      <c r="E295" s="45">
        <v>5</v>
      </c>
      <c r="F295" s="45"/>
      <c r="G295" s="45">
        <v>20</v>
      </c>
      <c r="H295" s="45"/>
      <c r="I295" s="34">
        <v>25</v>
      </c>
      <c r="J295" t="e">
        <f>I295/(VLOOKUP(B295,'Team Stats'!$B$3:$K$18,5,0))</f>
        <v>#N/A</v>
      </c>
      <c r="M295" t="s">
        <v>1186</v>
      </c>
      <c r="N295" t="s">
        <v>202</v>
      </c>
      <c r="O295">
        <v>0</v>
      </c>
      <c r="P295">
        <v>659</v>
      </c>
      <c r="Q295">
        <v>0</v>
      </c>
      <c r="R295" s="57">
        <f>VLOOKUP(N295,'Team Stats'!$B$3:$K$18,9,0)</f>
        <v>14</v>
      </c>
      <c r="S295" s="54">
        <f>VLOOKUP(N295,'Team Stats'!$B$3:$K$18,10,0)</f>
        <v>112.51219512195122</v>
      </c>
      <c r="T295" s="54">
        <f t="shared" si="8"/>
        <v>0</v>
      </c>
      <c r="U295">
        <f t="shared" si="9"/>
        <v>288</v>
      </c>
    </row>
    <row r="296" spans="1:21" x14ac:dyDescent="0.25">
      <c r="A296" s="44" t="s">
        <v>619</v>
      </c>
      <c r="B296" s="44" t="s">
        <v>217</v>
      </c>
      <c r="C296" s="45">
        <v>68</v>
      </c>
      <c r="D296" s="45"/>
      <c r="E296" s="45">
        <v>8</v>
      </c>
      <c r="F296" s="45"/>
      <c r="G296" s="45">
        <v>17</v>
      </c>
      <c r="H296" s="45"/>
      <c r="I296" s="34">
        <v>25</v>
      </c>
      <c r="J296" t="e">
        <f>I296/(VLOOKUP(B296,'Team Stats'!$B$3:$K$18,5,0))</f>
        <v>#N/A</v>
      </c>
      <c r="M296" t="s">
        <v>1167</v>
      </c>
      <c r="N296" t="s">
        <v>197</v>
      </c>
      <c r="O296">
        <v>0</v>
      </c>
      <c r="P296">
        <v>600</v>
      </c>
      <c r="Q296">
        <v>0</v>
      </c>
      <c r="R296" s="57">
        <f>VLOOKUP(N296,'Team Stats'!$B$3:$K$18,9,0)</f>
        <v>6</v>
      </c>
      <c r="S296" s="54">
        <f>VLOOKUP(N296,'Team Stats'!$B$3:$K$18,10,0)</f>
        <v>43.902439024390247</v>
      </c>
      <c r="T296" s="54">
        <f t="shared" si="8"/>
        <v>0</v>
      </c>
      <c r="U296">
        <f t="shared" si="9"/>
        <v>288</v>
      </c>
    </row>
    <row r="297" spans="1:21" x14ac:dyDescent="0.25">
      <c r="A297" s="44" t="s">
        <v>620</v>
      </c>
      <c r="B297" s="44" t="s">
        <v>208</v>
      </c>
      <c r="C297" s="45">
        <v>52</v>
      </c>
      <c r="D297" s="45"/>
      <c r="E297" s="45">
        <v>9</v>
      </c>
      <c r="F297" s="45"/>
      <c r="G297" s="45">
        <v>16</v>
      </c>
      <c r="H297" s="45"/>
      <c r="I297" s="34">
        <v>25</v>
      </c>
      <c r="J297">
        <f>I297/(VLOOKUP(B297,'Team Stats'!$B$3:$K$18,5,0))</f>
        <v>3.968253968253968E-2</v>
      </c>
      <c r="M297" t="s">
        <v>1151</v>
      </c>
      <c r="N297" t="s">
        <v>202</v>
      </c>
      <c r="O297">
        <v>0</v>
      </c>
      <c r="P297">
        <v>659</v>
      </c>
      <c r="Q297">
        <v>0</v>
      </c>
      <c r="R297" s="57">
        <f>VLOOKUP(N297,'Team Stats'!$B$3:$K$18,9,0)</f>
        <v>14</v>
      </c>
      <c r="S297" s="54">
        <f>VLOOKUP(N297,'Team Stats'!$B$3:$K$18,10,0)</f>
        <v>112.51219512195122</v>
      </c>
      <c r="T297" s="54">
        <f t="shared" si="8"/>
        <v>0</v>
      </c>
      <c r="U297">
        <f t="shared" si="9"/>
        <v>288</v>
      </c>
    </row>
    <row r="298" spans="1:21" x14ac:dyDescent="0.25">
      <c r="A298" s="44" t="s">
        <v>621</v>
      </c>
      <c r="B298" s="44" t="s">
        <v>203</v>
      </c>
      <c r="C298" s="45">
        <v>80</v>
      </c>
      <c r="D298" s="45"/>
      <c r="E298" s="45">
        <v>13</v>
      </c>
      <c r="F298" s="45"/>
      <c r="G298" s="45">
        <v>12</v>
      </c>
      <c r="H298" s="45"/>
      <c r="I298" s="34">
        <v>25</v>
      </c>
      <c r="J298" t="e">
        <f>I298/(VLOOKUP(B298,'Team Stats'!$B$3:$K$18,5,0))</f>
        <v>#N/A</v>
      </c>
      <c r="M298" t="s">
        <v>1162</v>
      </c>
      <c r="N298" t="s">
        <v>195</v>
      </c>
      <c r="O298">
        <v>0</v>
      </c>
      <c r="P298">
        <v>656</v>
      </c>
      <c r="Q298">
        <v>0</v>
      </c>
      <c r="R298" s="57">
        <f>VLOOKUP(N298,'Team Stats'!$B$3:$K$18,9,0)</f>
        <v>6</v>
      </c>
      <c r="S298" s="54">
        <f>VLOOKUP(N298,'Team Stats'!$B$3:$K$18,10,0)</f>
        <v>48</v>
      </c>
      <c r="T298" s="54">
        <f t="shared" si="8"/>
        <v>0</v>
      </c>
      <c r="U298">
        <f t="shared" si="9"/>
        <v>288</v>
      </c>
    </row>
    <row r="299" spans="1:21" x14ac:dyDescent="0.25">
      <c r="A299" s="44" t="s">
        <v>622</v>
      </c>
      <c r="B299" s="44" t="s">
        <v>364</v>
      </c>
      <c r="C299" s="45">
        <v>62</v>
      </c>
      <c r="D299" s="45"/>
      <c r="E299" s="45">
        <v>7</v>
      </c>
      <c r="F299" s="45"/>
      <c r="G299" s="45">
        <v>18</v>
      </c>
      <c r="H299" s="45"/>
      <c r="I299" s="34">
        <v>25</v>
      </c>
      <c r="J299" t="e">
        <f>I299/(VLOOKUP(B299,'Team Stats'!$B$3:$K$18,5,0))</f>
        <v>#N/A</v>
      </c>
      <c r="M299" t="s">
        <v>1190</v>
      </c>
      <c r="N299" t="s">
        <v>209</v>
      </c>
      <c r="O299">
        <v>0</v>
      </c>
      <c r="P299">
        <v>594</v>
      </c>
      <c r="Q299">
        <v>0</v>
      </c>
      <c r="R299" s="57">
        <f>VLOOKUP(N299,'Team Stats'!$B$3:$K$18,9,0)</f>
        <v>4</v>
      </c>
      <c r="S299" s="54">
        <f>VLOOKUP(N299,'Team Stats'!$B$3:$K$18,10,0)</f>
        <v>28.975609756097562</v>
      </c>
      <c r="T299" s="54">
        <f t="shared" si="8"/>
        <v>0</v>
      </c>
      <c r="U299">
        <f t="shared" si="9"/>
        <v>288</v>
      </c>
    </row>
    <row r="300" spans="1:21" x14ac:dyDescent="0.25">
      <c r="A300" s="44" t="s">
        <v>623</v>
      </c>
      <c r="B300" s="44" t="s">
        <v>356</v>
      </c>
      <c r="C300" s="45">
        <v>73</v>
      </c>
      <c r="D300" s="45"/>
      <c r="E300" s="45">
        <v>9</v>
      </c>
      <c r="F300" s="45"/>
      <c r="G300" s="45">
        <v>16</v>
      </c>
      <c r="H300" s="45"/>
      <c r="I300" s="34">
        <v>25</v>
      </c>
      <c r="J300" t="e">
        <f>I300/(VLOOKUP(B300,'Team Stats'!$B$3:$K$18,5,0))</f>
        <v>#N/A</v>
      </c>
      <c r="M300" t="s">
        <v>1145</v>
      </c>
      <c r="N300" t="s">
        <v>209</v>
      </c>
      <c r="O300">
        <v>0</v>
      </c>
      <c r="P300">
        <v>594</v>
      </c>
      <c r="Q300">
        <v>0</v>
      </c>
      <c r="R300" s="57">
        <f>VLOOKUP(N300,'Team Stats'!$B$3:$K$18,9,0)</f>
        <v>4</v>
      </c>
      <c r="S300" s="54">
        <f>VLOOKUP(N300,'Team Stats'!$B$3:$K$18,10,0)</f>
        <v>28.975609756097562</v>
      </c>
      <c r="T300" s="54">
        <f t="shared" si="8"/>
        <v>0</v>
      </c>
      <c r="U300">
        <f t="shared" si="9"/>
        <v>288</v>
      </c>
    </row>
    <row r="301" spans="1:21" x14ac:dyDescent="0.25">
      <c r="A301" s="44" t="s">
        <v>624</v>
      </c>
      <c r="B301" s="44" t="s">
        <v>356</v>
      </c>
      <c r="C301" s="45">
        <v>71</v>
      </c>
      <c r="D301" s="45"/>
      <c r="E301" s="45">
        <v>2</v>
      </c>
      <c r="F301" s="45"/>
      <c r="G301" s="45">
        <v>22</v>
      </c>
      <c r="H301" s="45"/>
      <c r="I301" s="34">
        <v>24</v>
      </c>
      <c r="J301" t="e">
        <f>I301/(VLOOKUP(B301,'Team Stats'!$B$3:$K$18,5,0))</f>
        <v>#N/A</v>
      </c>
      <c r="M301" t="s">
        <v>1127</v>
      </c>
      <c r="N301" t="s">
        <v>201</v>
      </c>
      <c r="O301">
        <v>0</v>
      </c>
      <c r="P301">
        <v>601</v>
      </c>
      <c r="Q301">
        <v>0</v>
      </c>
      <c r="R301" s="57">
        <f>VLOOKUP(N301,'Team Stats'!$B$3:$K$18,9,0)</f>
        <v>12</v>
      </c>
      <c r="S301" s="54">
        <f>VLOOKUP(N301,'Team Stats'!$B$3:$K$18,10,0)</f>
        <v>87.951219512195124</v>
      </c>
      <c r="T301" s="54">
        <f t="shared" si="8"/>
        <v>0</v>
      </c>
      <c r="U301">
        <f t="shared" si="9"/>
        <v>288</v>
      </c>
    </row>
    <row r="302" spans="1:21" x14ac:dyDescent="0.25">
      <c r="A302" s="44" t="s">
        <v>625</v>
      </c>
      <c r="B302" s="44" t="s">
        <v>217</v>
      </c>
      <c r="C302" s="45">
        <v>46</v>
      </c>
      <c r="D302" s="45"/>
      <c r="E302" s="45">
        <v>6</v>
      </c>
      <c r="F302" s="45"/>
      <c r="G302" s="45">
        <v>18</v>
      </c>
      <c r="H302" s="45"/>
      <c r="I302" s="34">
        <v>24</v>
      </c>
      <c r="J302" t="e">
        <f>I302/(VLOOKUP(B302,'Team Stats'!$B$3:$K$18,5,0))</f>
        <v>#N/A</v>
      </c>
      <c r="M302" t="s">
        <v>1105</v>
      </c>
      <c r="N302" t="s">
        <v>201</v>
      </c>
      <c r="O302">
        <v>0</v>
      </c>
      <c r="P302">
        <v>601</v>
      </c>
      <c r="Q302">
        <v>0</v>
      </c>
      <c r="R302" s="57">
        <f>VLOOKUP(N302,'Team Stats'!$B$3:$K$18,9,0)</f>
        <v>12</v>
      </c>
      <c r="S302" s="54">
        <f>VLOOKUP(N302,'Team Stats'!$B$3:$K$18,10,0)</f>
        <v>87.951219512195124</v>
      </c>
      <c r="T302" s="54">
        <f t="shared" si="8"/>
        <v>0</v>
      </c>
      <c r="U302">
        <f t="shared" si="9"/>
        <v>288</v>
      </c>
    </row>
    <row r="303" spans="1:21" x14ac:dyDescent="0.25">
      <c r="A303" s="44" t="s">
        <v>626</v>
      </c>
      <c r="B303" s="44" t="s">
        <v>207</v>
      </c>
      <c r="C303" s="45">
        <v>60</v>
      </c>
      <c r="D303" s="45"/>
      <c r="E303" s="45">
        <v>12</v>
      </c>
      <c r="F303" s="45"/>
      <c r="G303" s="45">
        <v>12</v>
      </c>
      <c r="H303" s="45"/>
      <c r="I303" s="34">
        <v>24</v>
      </c>
      <c r="J303">
        <f>I303/(VLOOKUP(B303,'Team Stats'!$B$3:$K$18,5,0))</f>
        <v>3.614457831325301E-2</v>
      </c>
      <c r="M303" t="s">
        <v>1199</v>
      </c>
      <c r="N303" t="s">
        <v>201</v>
      </c>
      <c r="O303">
        <v>0</v>
      </c>
      <c r="P303">
        <v>601</v>
      </c>
      <c r="Q303">
        <v>0</v>
      </c>
      <c r="R303" s="57">
        <f>VLOOKUP(N303,'Team Stats'!$B$3:$K$18,9,0)</f>
        <v>12</v>
      </c>
      <c r="S303" s="54">
        <f>VLOOKUP(N303,'Team Stats'!$B$3:$K$18,10,0)</f>
        <v>87.951219512195124</v>
      </c>
      <c r="T303" s="54">
        <f t="shared" si="8"/>
        <v>0</v>
      </c>
      <c r="U303">
        <f t="shared" si="9"/>
        <v>288</v>
      </c>
    </row>
    <row r="304" spans="1:21" x14ac:dyDescent="0.25">
      <c r="A304" s="44" t="s">
        <v>627</v>
      </c>
      <c r="B304" s="44" t="s">
        <v>212</v>
      </c>
      <c r="C304" s="45">
        <v>79</v>
      </c>
      <c r="D304" s="45"/>
      <c r="E304" s="45">
        <v>4</v>
      </c>
      <c r="F304" s="45"/>
      <c r="G304" s="45">
        <v>20</v>
      </c>
      <c r="H304" s="45"/>
      <c r="I304" s="34">
        <v>24</v>
      </c>
      <c r="J304" t="e">
        <f>I304/(VLOOKUP(B304,'Team Stats'!$B$3:$K$18,5,0))</f>
        <v>#N/A</v>
      </c>
      <c r="M304" t="s">
        <v>1116</v>
      </c>
      <c r="N304" t="s">
        <v>204</v>
      </c>
      <c r="O304">
        <v>0</v>
      </c>
      <c r="P304">
        <v>613</v>
      </c>
      <c r="Q304">
        <v>0</v>
      </c>
      <c r="R304" s="57">
        <f>VLOOKUP(N304,'Team Stats'!$B$3:$K$18,9,0)</f>
        <v>11</v>
      </c>
      <c r="S304" s="54">
        <f>VLOOKUP(N304,'Team Stats'!$B$3:$K$18,10,0)</f>
        <v>82.231707317073173</v>
      </c>
      <c r="T304" s="54">
        <f t="shared" si="8"/>
        <v>0</v>
      </c>
      <c r="U304">
        <f t="shared" si="9"/>
        <v>288</v>
      </c>
    </row>
    <row r="305" spans="1:21" x14ac:dyDescent="0.25">
      <c r="A305" s="44" t="s">
        <v>628</v>
      </c>
      <c r="B305" s="44" t="s">
        <v>218</v>
      </c>
      <c r="C305" s="45">
        <v>49</v>
      </c>
      <c r="D305" s="45"/>
      <c r="E305" s="45">
        <v>22</v>
      </c>
      <c r="F305" s="45"/>
      <c r="G305" s="45">
        <v>2</v>
      </c>
      <c r="H305" s="45"/>
      <c r="I305" s="34">
        <v>24</v>
      </c>
      <c r="J305" t="e">
        <f>I305/(VLOOKUP(B305,'Team Stats'!$B$3:$K$18,5,0))</f>
        <v>#N/A</v>
      </c>
      <c r="M305" t="s">
        <v>1169</v>
      </c>
      <c r="N305" t="s">
        <v>204</v>
      </c>
      <c r="O305">
        <v>0</v>
      </c>
      <c r="P305">
        <v>613</v>
      </c>
      <c r="Q305">
        <v>0</v>
      </c>
      <c r="R305" s="57">
        <f>VLOOKUP(N305,'Team Stats'!$B$3:$K$18,9,0)</f>
        <v>11</v>
      </c>
      <c r="S305" s="54">
        <f>VLOOKUP(N305,'Team Stats'!$B$3:$K$18,10,0)</f>
        <v>82.231707317073173</v>
      </c>
      <c r="T305" s="54">
        <f t="shared" si="8"/>
        <v>0</v>
      </c>
      <c r="U305">
        <f t="shared" si="9"/>
        <v>288</v>
      </c>
    </row>
    <row r="306" spans="1:21" x14ac:dyDescent="0.25">
      <c r="A306" s="44" t="s">
        <v>629</v>
      </c>
      <c r="B306" s="44" t="s">
        <v>221</v>
      </c>
      <c r="C306" s="45">
        <v>37</v>
      </c>
      <c r="D306" s="45"/>
      <c r="E306" s="45">
        <v>8</v>
      </c>
      <c r="F306" s="45"/>
      <c r="G306" s="45">
        <v>16</v>
      </c>
      <c r="H306" s="45"/>
      <c r="I306" s="34">
        <v>24</v>
      </c>
      <c r="J306" t="e">
        <f>I306/(VLOOKUP(B306,'Team Stats'!$B$3:$K$18,5,0))</f>
        <v>#N/A</v>
      </c>
      <c r="M306" t="s">
        <v>1142</v>
      </c>
      <c r="N306" t="s">
        <v>205</v>
      </c>
      <c r="O306">
        <v>0</v>
      </c>
      <c r="P306">
        <v>642</v>
      </c>
      <c r="Q306">
        <v>0</v>
      </c>
      <c r="R306" s="57">
        <f>VLOOKUP(N306,'Team Stats'!$B$3:$K$18,9,0)</f>
        <v>11</v>
      </c>
      <c r="S306" s="54">
        <f>VLOOKUP(N306,'Team Stats'!$B$3:$K$18,10,0)</f>
        <v>86.121951219512198</v>
      </c>
      <c r="T306" s="54">
        <f t="shared" si="8"/>
        <v>0</v>
      </c>
      <c r="U306">
        <f t="shared" si="9"/>
        <v>288</v>
      </c>
    </row>
    <row r="307" spans="1:21" x14ac:dyDescent="0.25">
      <c r="A307" s="44" t="s">
        <v>630</v>
      </c>
      <c r="B307" s="44" t="s">
        <v>335</v>
      </c>
      <c r="C307" s="45">
        <v>82</v>
      </c>
      <c r="D307" s="45"/>
      <c r="E307" s="45">
        <v>15</v>
      </c>
      <c r="F307" s="45"/>
      <c r="G307" s="45">
        <v>9</v>
      </c>
      <c r="H307" s="45"/>
      <c r="I307" s="34">
        <v>24</v>
      </c>
      <c r="J307" t="e">
        <f>I307/(VLOOKUP(B307,'Team Stats'!$B$3:$K$18,5,0))</f>
        <v>#N/A</v>
      </c>
      <c r="M307" t="s">
        <v>1174</v>
      </c>
      <c r="N307" t="s">
        <v>202</v>
      </c>
      <c r="O307">
        <v>0</v>
      </c>
      <c r="P307">
        <v>659</v>
      </c>
      <c r="Q307">
        <v>0</v>
      </c>
      <c r="R307" s="57">
        <f>VLOOKUP(N307,'Team Stats'!$B$3:$K$18,9,0)</f>
        <v>14</v>
      </c>
      <c r="S307" s="54">
        <f>VLOOKUP(N307,'Team Stats'!$B$3:$K$18,10,0)</f>
        <v>112.51219512195122</v>
      </c>
      <c r="T307" s="54">
        <f t="shared" si="8"/>
        <v>0</v>
      </c>
      <c r="U307">
        <f t="shared" si="9"/>
        <v>288</v>
      </c>
    </row>
    <row r="308" spans="1:21" x14ac:dyDescent="0.25">
      <c r="A308" s="44" t="s">
        <v>631</v>
      </c>
      <c r="B308" s="44" t="s">
        <v>339</v>
      </c>
      <c r="C308" s="45">
        <v>53</v>
      </c>
      <c r="D308" s="45"/>
      <c r="E308" s="45">
        <v>13</v>
      </c>
      <c r="F308" s="45"/>
      <c r="G308" s="45">
        <v>11</v>
      </c>
      <c r="H308" s="45"/>
      <c r="I308" s="34">
        <v>24</v>
      </c>
      <c r="J308" t="e">
        <f>I308/(VLOOKUP(B308,'Team Stats'!$B$3:$K$18,5,0))</f>
        <v>#N/A</v>
      </c>
      <c r="M308" t="s">
        <v>1178</v>
      </c>
      <c r="N308" t="s">
        <v>209</v>
      </c>
      <c r="O308">
        <v>0</v>
      </c>
      <c r="P308">
        <v>594</v>
      </c>
      <c r="Q308">
        <v>0</v>
      </c>
      <c r="R308" s="57">
        <f>VLOOKUP(N308,'Team Stats'!$B$3:$K$18,9,0)</f>
        <v>4</v>
      </c>
      <c r="S308" s="54">
        <f>VLOOKUP(N308,'Team Stats'!$B$3:$K$18,10,0)</f>
        <v>28.975609756097562</v>
      </c>
      <c r="T308" s="54">
        <f t="shared" si="8"/>
        <v>0</v>
      </c>
      <c r="U308">
        <f t="shared" si="9"/>
        <v>288</v>
      </c>
    </row>
    <row r="309" spans="1:21" x14ac:dyDescent="0.25">
      <c r="A309" s="44" t="s">
        <v>632</v>
      </c>
      <c r="B309" s="44" t="s">
        <v>205</v>
      </c>
      <c r="C309" s="45">
        <v>75</v>
      </c>
      <c r="D309" s="45"/>
      <c r="E309" s="45">
        <v>10</v>
      </c>
      <c r="F309" s="45"/>
      <c r="G309" s="45">
        <v>14</v>
      </c>
      <c r="H309" s="45"/>
      <c r="I309" s="34">
        <v>24</v>
      </c>
      <c r="J309">
        <f>I309/(VLOOKUP(B309,'Team Stats'!$B$3:$K$18,5,0))</f>
        <v>3.7383177570093455E-2</v>
      </c>
      <c r="M309" t="s">
        <v>1153</v>
      </c>
      <c r="N309" t="s">
        <v>201</v>
      </c>
      <c r="O309">
        <v>0</v>
      </c>
      <c r="P309">
        <v>601</v>
      </c>
      <c r="Q309">
        <v>0</v>
      </c>
      <c r="R309" s="57">
        <f>VLOOKUP(N309,'Team Stats'!$B$3:$K$18,9,0)</f>
        <v>12</v>
      </c>
      <c r="S309" s="54">
        <f>VLOOKUP(N309,'Team Stats'!$B$3:$K$18,10,0)</f>
        <v>87.951219512195124</v>
      </c>
      <c r="T309" s="54">
        <f t="shared" si="8"/>
        <v>0</v>
      </c>
      <c r="U309">
        <f t="shared" si="9"/>
        <v>288</v>
      </c>
    </row>
    <row r="310" spans="1:21" x14ac:dyDescent="0.25">
      <c r="A310" s="44" t="s">
        <v>633</v>
      </c>
      <c r="B310" s="44" t="s">
        <v>219</v>
      </c>
      <c r="C310" s="45">
        <v>64</v>
      </c>
      <c r="D310" s="45"/>
      <c r="E310" s="45">
        <v>3</v>
      </c>
      <c r="F310" s="45"/>
      <c r="G310" s="45">
        <v>21</v>
      </c>
      <c r="H310" s="45"/>
      <c r="I310" s="34">
        <v>24</v>
      </c>
      <c r="J310" t="e">
        <f>I310/(VLOOKUP(B310,'Team Stats'!$B$3:$K$18,5,0))</f>
        <v>#N/A</v>
      </c>
      <c r="M310" t="s">
        <v>1203</v>
      </c>
      <c r="N310" t="s">
        <v>202</v>
      </c>
      <c r="O310">
        <v>0</v>
      </c>
      <c r="P310">
        <v>659</v>
      </c>
      <c r="Q310">
        <v>0</v>
      </c>
      <c r="R310" s="57">
        <f>VLOOKUP(N310,'Team Stats'!$B$3:$K$18,9,0)</f>
        <v>14</v>
      </c>
      <c r="S310" s="54">
        <f>VLOOKUP(N310,'Team Stats'!$B$3:$K$18,10,0)</f>
        <v>112.51219512195122</v>
      </c>
      <c r="T310" s="54">
        <f t="shared" si="8"/>
        <v>0</v>
      </c>
      <c r="U310">
        <f t="shared" si="9"/>
        <v>288</v>
      </c>
    </row>
    <row r="311" spans="1:21" x14ac:dyDescent="0.25">
      <c r="A311" s="44" t="s">
        <v>634</v>
      </c>
      <c r="B311" s="44" t="s">
        <v>218</v>
      </c>
      <c r="C311" s="45">
        <v>53</v>
      </c>
      <c r="D311" s="45"/>
      <c r="E311" s="45">
        <v>6</v>
      </c>
      <c r="F311" s="45"/>
      <c r="G311" s="45">
        <v>17</v>
      </c>
      <c r="H311" s="45"/>
      <c r="I311" s="34">
        <v>23</v>
      </c>
      <c r="J311" t="e">
        <f>I311/(VLOOKUP(B311,'Team Stats'!$B$3:$K$18,5,0))</f>
        <v>#N/A</v>
      </c>
      <c r="M311" t="s">
        <v>1124</v>
      </c>
      <c r="N311" t="s">
        <v>201</v>
      </c>
      <c r="O311">
        <v>0</v>
      </c>
      <c r="P311">
        <v>601</v>
      </c>
      <c r="Q311">
        <v>0</v>
      </c>
      <c r="R311" s="57">
        <f>VLOOKUP(N311,'Team Stats'!$B$3:$K$18,9,0)</f>
        <v>12</v>
      </c>
      <c r="S311" s="54">
        <f>VLOOKUP(N311,'Team Stats'!$B$3:$K$18,10,0)</f>
        <v>87.951219512195124</v>
      </c>
      <c r="T311" s="54">
        <f t="shared" si="8"/>
        <v>0</v>
      </c>
      <c r="U311">
        <f t="shared" si="9"/>
        <v>288</v>
      </c>
    </row>
    <row r="312" spans="1:21" x14ac:dyDescent="0.25">
      <c r="A312" s="44" t="s">
        <v>635</v>
      </c>
      <c r="B312" s="44" t="s">
        <v>211</v>
      </c>
      <c r="C312" s="45">
        <v>64</v>
      </c>
      <c r="D312" s="45"/>
      <c r="E312" s="45">
        <v>11</v>
      </c>
      <c r="F312" s="45"/>
      <c r="G312" s="45">
        <v>12</v>
      </c>
      <c r="H312" s="45"/>
      <c r="I312" s="34">
        <v>23</v>
      </c>
      <c r="J312">
        <f>I312/(VLOOKUP(B312,'Team Stats'!$B$3:$K$18,5,0))</f>
        <v>3.7828947368421052E-2</v>
      </c>
      <c r="M312" t="s">
        <v>1128</v>
      </c>
      <c r="N312" t="s">
        <v>202</v>
      </c>
      <c r="O312">
        <v>0</v>
      </c>
      <c r="P312">
        <v>659</v>
      </c>
      <c r="Q312">
        <v>0</v>
      </c>
      <c r="R312" s="57">
        <f>VLOOKUP(N312,'Team Stats'!$B$3:$K$18,9,0)</f>
        <v>14</v>
      </c>
      <c r="S312" s="54">
        <f>VLOOKUP(N312,'Team Stats'!$B$3:$K$18,10,0)</f>
        <v>112.51219512195122</v>
      </c>
      <c r="T312" s="54">
        <f t="shared" si="8"/>
        <v>0</v>
      </c>
      <c r="U312">
        <f t="shared" si="9"/>
        <v>288</v>
      </c>
    </row>
    <row r="313" spans="1:21" x14ac:dyDescent="0.25">
      <c r="A313" s="44" t="s">
        <v>636</v>
      </c>
      <c r="B313" s="44" t="s">
        <v>209</v>
      </c>
      <c r="C313" s="45">
        <v>60</v>
      </c>
      <c r="D313" s="45"/>
      <c r="E313" s="45">
        <v>4</v>
      </c>
      <c r="F313" s="45"/>
      <c r="G313" s="45">
        <v>19</v>
      </c>
      <c r="H313" s="45"/>
      <c r="I313" s="34">
        <v>23</v>
      </c>
      <c r="J313">
        <f>I313/(VLOOKUP(B313,'Team Stats'!$B$3:$K$18,5,0))</f>
        <v>3.8720538720538718E-2</v>
      </c>
      <c r="M313" t="s">
        <v>1146</v>
      </c>
      <c r="N313" t="s">
        <v>197</v>
      </c>
      <c r="O313">
        <v>0</v>
      </c>
      <c r="P313">
        <v>600</v>
      </c>
      <c r="Q313">
        <v>0</v>
      </c>
      <c r="R313" s="57">
        <f>VLOOKUP(N313,'Team Stats'!$B$3:$K$18,9,0)</f>
        <v>6</v>
      </c>
      <c r="S313" s="54">
        <f>VLOOKUP(N313,'Team Stats'!$B$3:$K$18,10,0)</f>
        <v>43.902439024390247</v>
      </c>
      <c r="T313" s="54">
        <f t="shared" si="8"/>
        <v>0</v>
      </c>
      <c r="U313">
        <f t="shared" si="9"/>
        <v>288</v>
      </c>
    </row>
    <row r="314" spans="1:21" x14ac:dyDescent="0.25">
      <c r="A314" s="44" t="s">
        <v>637</v>
      </c>
      <c r="B314" s="44" t="s">
        <v>205</v>
      </c>
      <c r="C314" s="45">
        <v>59</v>
      </c>
      <c r="D314" s="45"/>
      <c r="E314" s="45">
        <v>1</v>
      </c>
      <c r="F314" s="45"/>
      <c r="G314" s="45">
        <v>22</v>
      </c>
      <c r="H314" s="45"/>
      <c r="I314" s="34">
        <v>23</v>
      </c>
      <c r="J314">
        <f>I314/(VLOOKUP(B314,'Team Stats'!$B$3:$K$18,5,0))</f>
        <v>3.5825545171339561E-2</v>
      </c>
      <c r="M314" t="s">
        <v>1144</v>
      </c>
      <c r="N314" t="s">
        <v>197</v>
      </c>
      <c r="O314">
        <v>0</v>
      </c>
      <c r="P314">
        <v>600</v>
      </c>
      <c r="Q314">
        <v>0</v>
      </c>
      <c r="R314" s="57">
        <f>VLOOKUP(N314,'Team Stats'!$B$3:$K$18,9,0)</f>
        <v>6</v>
      </c>
      <c r="S314" s="54">
        <f>VLOOKUP(N314,'Team Stats'!$B$3:$K$18,10,0)</f>
        <v>43.902439024390247</v>
      </c>
      <c r="T314" s="54">
        <f t="shared" si="8"/>
        <v>0</v>
      </c>
      <c r="U314">
        <f t="shared" si="9"/>
        <v>288</v>
      </c>
    </row>
    <row r="315" spans="1:21" x14ac:dyDescent="0.25">
      <c r="A315" s="44" t="s">
        <v>638</v>
      </c>
      <c r="B315" s="44" t="s">
        <v>207</v>
      </c>
      <c r="C315" s="45">
        <v>57</v>
      </c>
      <c r="D315" s="45"/>
      <c r="E315" s="45">
        <v>12</v>
      </c>
      <c r="F315" s="45"/>
      <c r="G315" s="45">
        <v>11</v>
      </c>
      <c r="H315" s="45"/>
      <c r="I315" s="34">
        <v>23</v>
      </c>
      <c r="J315">
        <f>I315/(VLOOKUP(B315,'Team Stats'!$B$3:$K$18,5,0))</f>
        <v>3.463855421686747E-2</v>
      </c>
      <c r="M315" t="s">
        <v>1150</v>
      </c>
      <c r="N315" t="s">
        <v>204</v>
      </c>
      <c r="O315">
        <v>0</v>
      </c>
      <c r="P315">
        <v>613</v>
      </c>
      <c r="Q315">
        <v>0</v>
      </c>
      <c r="R315" s="57">
        <f>VLOOKUP(N315,'Team Stats'!$B$3:$K$18,9,0)</f>
        <v>11</v>
      </c>
      <c r="S315" s="54">
        <f>VLOOKUP(N315,'Team Stats'!$B$3:$K$18,10,0)</f>
        <v>82.231707317073173</v>
      </c>
      <c r="T315" s="54">
        <f t="shared" si="8"/>
        <v>0</v>
      </c>
      <c r="U315">
        <f t="shared" si="9"/>
        <v>288</v>
      </c>
    </row>
    <row r="316" spans="1:21" x14ac:dyDescent="0.25">
      <c r="A316" s="44" t="s">
        <v>639</v>
      </c>
      <c r="B316" s="44" t="s">
        <v>356</v>
      </c>
      <c r="C316" s="45">
        <v>73</v>
      </c>
      <c r="D316" s="45"/>
      <c r="E316" s="45">
        <v>3</v>
      </c>
      <c r="F316" s="45"/>
      <c r="G316" s="45">
        <v>20</v>
      </c>
      <c r="H316" s="45"/>
      <c r="I316" s="34">
        <v>23</v>
      </c>
      <c r="J316" t="e">
        <f>I316/(VLOOKUP(B316,'Team Stats'!$B$3:$K$18,5,0))</f>
        <v>#N/A</v>
      </c>
      <c r="M316" t="s">
        <v>1172</v>
      </c>
      <c r="N316" t="s">
        <v>197</v>
      </c>
      <c r="O316">
        <v>0</v>
      </c>
      <c r="P316">
        <v>600</v>
      </c>
      <c r="Q316">
        <v>0</v>
      </c>
      <c r="R316" s="57">
        <f>VLOOKUP(N316,'Team Stats'!$B$3:$K$18,9,0)</f>
        <v>6</v>
      </c>
      <c r="S316" s="54">
        <f>VLOOKUP(N316,'Team Stats'!$B$3:$K$18,10,0)</f>
        <v>43.902439024390247</v>
      </c>
      <c r="T316" s="54">
        <f t="shared" si="8"/>
        <v>0</v>
      </c>
      <c r="U316">
        <f t="shared" si="9"/>
        <v>288</v>
      </c>
    </row>
    <row r="317" spans="1:21" ht="30" x14ac:dyDescent="0.25">
      <c r="A317" s="44" t="s">
        <v>640</v>
      </c>
      <c r="B317" s="44" t="s">
        <v>204</v>
      </c>
      <c r="C317" s="45">
        <v>64</v>
      </c>
      <c r="D317" s="45"/>
      <c r="E317" s="45">
        <v>11</v>
      </c>
      <c r="F317" s="45"/>
      <c r="G317" s="45">
        <v>12</v>
      </c>
      <c r="H317" s="45"/>
      <c r="I317" s="34">
        <v>23</v>
      </c>
      <c r="J317">
        <f>I317/(VLOOKUP(B317,'Team Stats'!$B$3:$K$18,5,0))</f>
        <v>3.7520391517128875E-2</v>
      </c>
      <c r="M317" t="s">
        <v>1157</v>
      </c>
      <c r="N317" t="s">
        <v>211</v>
      </c>
      <c r="O317">
        <v>0</v>
      </c>
      <c r="P317">
        <v>608</v>
      </c>
      <c r="Q317">
        <v>0</v>
      </c>
      <c r="R317" s="57">
        <f>VLOOKUP(N317,'Team Stats'!$B$3:$K$18,9,0)</f>
        <v>6</v>
      </c>
      <c r="S317" s="54">
        <f>VLOOKUP(N317,'Team Stats'!$B$3:$K$18,10,0)</f>
        <v>44.487804878048784</v>
      </c>
      <c r="T317" s="54">
        <f t="shared" si="8"/>
        <v>0</v>
      </c>
      <c r="U317">
        <f t="shared" si="9"/>
        <v>288</v>
      </c>
    </row>
    <row r="318" spans="1:21" x14ac:dyDescent="0.25">
      <c r="A318" s="44" t="s">
        <v>641</v>
      </c>
      <c r="B318" s="44" t="s">
        <v>215</v>
      </c>
      <c r="C318" s="45">
        <v>47</v>
      </c>
      <c r="D318" s="45"/>
      <c r="E318" s="45">
        <v>12</v>
      </c>
      <c r="F318" s="45"/>
      <c r="G318" s="45">
        <v>11</v>
      </c>
      <c r="H318" s="45"/>
      <c r="I318" s="34">
        <v>23</v>
      </c>
      <c r="J318" t="e">
        <f>I318/(VLOOKUP(B318,'Team Stats'!$B$3:$K$18,5,0))</f>
        <v>#N/A</v>
      </c>
      <c r="M318" t="s">
        <v>1102</v>
      </c>
      <c r="N318" t="s">
        <v>205</v>
      </c>
      <c r="O318">
        <v>0</v>
      </c>
      <c r="P318">
        <v>642</v>
      </c>
      <c r="Q318">
        <v>0</v>
      </c>
      <c r="R318" s="57">
        <f>VLOOKUP(N318,'Team Stats'!$B$3:$K$18,9,0)</f>
        <v>11</v>
      </c>
      <c r="S318" s="54">
        <f>VLOOKUP(N318,'Team Stats'!$B$3:$K$18,10,0)</f>
        <v>86.121951219512198</v>
      </c>
      <c r="T318" s="54">
        <f t="shared" si="8"/>
        <v>0</v>
      </c>
      <c r="U318">
        <f t="shared" si="9"/>
        <v>288</v>
      </c>
    </row>
    <row r="319" spans="1:21" x14ac:dyDescent="0.25">
      <c r="A319" s="44" t="s">
        <v>642</v>
      </c>
      <c r="B319" s="44" t="s">
        <v>202</v>
      </c>
      <c r="C319" s="45">
        <v>58</v>
      </c>
      <c r="D319" s="45"/>
      <c r="E319" s="45">
        <v>10</v>
      </c>
      <c r="F319" s="45"/>
      <c r="G319" s="45">
        <v>13</v>
      </c>
      <c r="H319" s="45"/>
      <c r="I319" s="34">
        <v>23</v>
      </c>
      <c r="J319">
        <f>I319/(VLOOKUP(B319,'Team Stats'!$B$3:$K$18,5,0))</f>
        <v>3.490136570561457E-2</v>
      </c>
    </row>
    <row r="320" spans="1:21" x14ac:dyDescent="0.25">
      <c r="A320" s="44" t="s">
        <v>643</v>
      </c>
      <c r="B320" s="44" t="s">
        <v>204</v>
      </c>
      <c r="C320" s="45">
        <v>75</v>
      </c>
      <c r="D320" s="45"/>
      <c r="E320" s="45">
        <v>3</v>
      </c>
      <c r="F320" s="45"/>
      <c r="G320" s="45">
        <v>20</v>
      </c>
      <c r="H320" s="45"/>
      <c r="I320" s="34">
        <v>23</v>
      </c>
      <c r="J320">
        <f>I320/(VLOOKUP(B320,'Team Stats'!$B$3:$K$18,5,0))</f>
        <v>3.7520391517128875E-2</v>
      </c>
      <c r="M320" t="s">
        <v>1227</v>
      </c>
      <c r="N320" t="s">
        <v>1227</v>
      </c>
      <c r="O320" t="s">
        <v>1227</v>
      </c>
      <c r="P320" t="s">
        <v>1227</v>
      </c>
      <c r="Q320" t="s">
        <v>1227</v>
      </c>
      <c r="R320" t="s">
        <v>1227</v>
      </c>
      <c r="S320" t="s">
        <v>1227</v>
      </c>
      <c r="T320" s="54" t="s">
        <v>1227</v>
      </c>
      <c r="U320" t="s">
        <v>1227</v>
      </c>
    </row>
    <row r="321" spans="1:21" x14ac:dyDescent="0.25">
      <c r="A321" s="44" t="s">
        <v>644</v>
      </c>
      <c r="B321" s="44" t="s">
        <v>339</v>
      </c>
      <c r="C321" s="45">
        <v>70</v>
      </c>
      <c r="D321" s="45"/>
      <c r="E321" s="45">
        <v>1</v>
      </c>
      <c r="F321" s="45"/>
      <c r="G321" s="45">
        <v>22</v>
      </c>
      <c r="H321" s="45"/>
      <c r="I321" s="34">
        <v>23</v>
      </c>
      <c r="J321" t="e">
        <f>I321/(VLOOKUP(B321,'Team Stats'!$B$3:$K$18,5,0))</f>
        <v>#N/A</v>
      </c>
      <c r="M321" t="s">
        <v>1227</v>
      </c>
      <c r="N321" t="s">
        <v>1227</v>
      </c>
      <c r="O321" t="s">
        <v>1227</v>
      </c>
      <c r="P321" t="s">
        <v>1227</v>
      </c>
      <c r="Q321" t="s">
        <v>1227</v>
      </c>
      <c r="R321" t="s">
        <v>1227</v>
      </c>
      <c r="S321" t="s">
        <v>1227</v>
      </c>
      <c r="T321" s="54" t="s">
        <v>1227</v>
      </c>
      <c r="U321" t="s">
        <v>1227</v>
      </c>
    </row>
    <row r="322" spans="1:21" ht="30" x14ac:dyDescent="0.25">
      <c r="A322" s="44" t="s">
        <v>645</v>
      </c>
      <c r="B322" s="44" t="s">
        <v>339</v>
      </c>
      <c r="C322" s="45">
        <v>70</v>
      </c>
      <c r="D322" s="45"/>
      <c r="E322" s="45">
        <v>9</v>
      </c>
      <c r="F322" s="45"/>
      <c r="G322" s="45">
        <v>14</v>
      </c>
      <c r="H322" s="45"/>
      <c r="I322" s="34">
        <v>23</v>
      </c>
      <c r="J322" t="e">
        <f>I322/(VLOOKUP(B322,'Team Stats'!$B$3:$K$18,5,0))</f>
        <v>#N/A</v>
      </c>
      <c r="M322" t="s">
        <v>1227</v>
      </c>
      <c r="N322" t="s">
        <v>1227</v>
      </c>
      <c r="O322" t="s">
        <v>1227</v>
      </c>
      <c r="P322" t="s">
        <v>1227</v>
      </c>
      <c r="Q322" t="s">
        <v>1227</v>
      </c>
      <c r="R322" t="s">
        <v>1227</v>
      </c>
      <c r="S322" t="s">
        <v>1227</v>
      </c>
      <c r="T322" s="54" t="s">
        <v>1227</v>
      </c>
      <c r="U322" t="s">
        <v>1227</v>
      </c>
    </row>
    <row r="323" spans="1:21" x14ac:dyDescent="0.25">
      <c r="A323" s="44" t="s">
        <v>646</v>
      </c>
      <c r="B323" s="44" t="s">
        <v>213</v>
      </c>
      <c r="C323" s="45">
        <v>68</v>
      </c>
      <c r="D323" s="45"/>
      <c r="E323" s="45">
        <v>9</v>
      </c>
      <c r="F323" s="45"/>
      <c r="G323" s="45">
        <v>14</v>
      </c>
      <c r="H323" s="45"/>
      <c r="I323" s="34">
        <v>23</v>
      </c>
      <c r="J323">
        <f>I323/(VLOOKUP(B323,'Team Stats'!$B$3:$K$18,5,0))</f>
        <v>3.7156704361873988E-2</v>
      </c>
      <c r="M323" t="s">
        <v>1227</v>
      </c>
      <c r="N323" t="s">
        <v>1227</v>
      </c>
      <c r="O323" t="s">
        <v>1227</v>
      </c>
      <c r="P323" t="s">
        <v>1227</v>
      </c>
      <c r="Q323" t="s">
        <v>1227</v>
      </c>
      <c r="R323" t="s">
        <v>1227</v>
      </c>
      <c r="S323" t="s">
        <v>1227</v>
      </c>
      <c r="T323" s="54" t="s">
        <v>1227</v>
      </c>
      <c r="U323" t="s">
        <v>1227</v>
      </c>
    </row>
    <row r="324" spans="1:21" x14ac:dyDescent="0.25">
      <c r="A324" s="44" t="s">
        <v>647</v>
      </c>
      <c r="B324" s="44" t="s">
        <v>204</v>
      </c>
      <c r="C324" s="45">
        <v>69</v>
      </c>
      <c r="D324" s="45"/>
      <c r="E324" s="45">
        <v>9</v>
      </c>
      <c r="F324" s="45"/>
      <c r="G324" s="45">
        <v>14</v>
      </c>
      <c r="H324" s="45"/>
      <c r="I324" s="34">
        <v>23</v>
      </c>
      <c r="J324">
        <f>I324/(VLOOKUP(B324,'Team Stats'!$B$3:$K$18,5,0))</f>
        <v>3.7520391517128875E-2</v>
      </c>
      <c r="M324" t="s">
        <v>1227</v>
      </c>
      <c r="N324" t="s">
        <v>1227</v>
      </c>
      <c r="O324" t="s">
        <v>1227</v>
      </c>
      <c r="P324" t="s">
        <v>1227</v>
      </c>
      <c r="Q324" t="s">
        <v>1227</v>
      </c>
      <c r="R324" t="s">
        <v>1227</v>
      </c>
      <c r="S324" t="s">
        <v>1227</v>
      </c>
      <c r="T324" s="54" t="s">
        <v>1227</v>
      </c>
      <c r="U324" t="s">
        <v>1227</v>
      </c>
    </row>
    <row r="325" spans="1:21" x14ac:dyDescent="0.25">
      <c r="A325" s="44" t="s">
        <v>648</v>
      </c>
      <c r="B325" s="44" t="s">
        <v>209</v>
      </c>
      <c r="C325" s="45">
        <v>80</v>
      </c>
      <c r="D325" s="45"/>
      <c r="E325" s="45">
        <v>11</v>
      </c>
      <c r="F325" s="45"/>
      <c r="G325" s="45">
        <v>12</v>
      </c>
      <c r="H325" s="45"/>
      <c r="I325" s="34">
        <v>23</v>
      </c>
      <c r="J325">
        <f>I325/(VLOOKUP(B325,'Team Stats'!$B$3:$K$18,5,0))</f>
        <v>3.8720538720538718E-2</v>
      </c>
      <c r="M325" t="s">
        <v>1227</v>
      </c>
      <c r="N325" t="s">
        <v>1227</v>
      </c>
      <c r="O325" t="s">
        <v>1227</v>
      </c>
      <c r="P325" t="s">
        <v>1227</v>
      </c>
      <c r="Q325" t="s">
        <v>1227</v>
      </c>
      <c r="R325" t="s">
        <v>1227</v>
      </c>
      <c r="S325" t="s">
        <v>1227</v>
      </c>
      <c r="T325" s="54" t="s">
        <v>1227</v>
      </c>
      <c r="U325" t="s">
        <v>1227</v>
      </c>
    </row>
    <row r="326" spans="1:21" x14ac:dyDescent="0.25">
      <c r="A326" s="44" t="s">
        <v>649</v>
      </c>
      <c r="B326" s="44" t="s">
        <v>330</v>
      </c>
      <c r="C326" s="45">
        <v>56</v>
      </c>
      <c r="D326" s="45"/>
      <c r="E326" s="45">
        <v>13</v>
      </c>
      <c r="F326" s="45"/>
      <c r="G326" s="45">
        <v>10</v>
      </c>
      <c r="H326" s="45"/>
      <c r="I326" s="34">
        <v>23</v>
      </c>
      <c r="J326" t="e">
        <f>I326/(VLOOKUP(B326,'Team Stats'!$B$3:$K$18,5,0))</f>
        <v>#N/A</v>
      </c>
      <c r="M326" t="s">
        <v>1227</v>
      </c>
      <c r="N326" t="s">
        <v>1227</v>
      </c>
      <c r="O326" t="s">
        <v>1227</v>
      </c>
      <c r="P326" t="s">
        <v>1227</v>
      </c>
      <c r="Q326" t="s">
        <v>1227</v>
      </c>
      <c r="R326" t="s">
        <v>1227</v>
      </c>
      <c r="S326" t="s">
        <v>1227</v>
      </c>
      <c r="T326" s="54" t="s">
        <v>1227</v>
      </c>
      <c r="U326" t="s">
        <v>1227</v>
      </c>
    </row>
    <row r="327" spans="1:21" x14ac:dyDescent="0.25">
      <c r="A327" s="44" t="s">
        <v>650</v>
      </c>
      <c r="B327" s="44" t="s">
        <v>356</v>
      </c>
      <c r="C327" s="45">
        <v>56</v>
      </c>
      <c r="D327" s="45"/>
      <c r="E327" s="45">
        <v>6</v>
      </c>
      <c r="F327" s="45"/>
      <c r="G327" s="45">
        <v>16</v>
      </c>
      <c r="H327" s="45"/>
      <c r="I327" s="34">
        <v>22</v>
      </c>
      <c r="J327" t="e">
        <f>I327/(VLOOKUP(B327,'Team Stats'!$B$3:$K$18,5,0))</f>
        <v>#N/A</v>
      </c>
      <c r="M327" t="s">
        <v>1227</v>
      </c>
      <c r="N327" t="s">
        <v>1227</v>
      </c>
      <c r="O327" t="s">
        <v>1227</v>
      </c>
      <c r="P327" t="s">
        <v>1227</v>
      </c>
      <c r="Q327" t="s">
        <v>1227</v>
      </c>
      <c r="R327" t="s">
        <v>1227</v>
      </c>
      <c r="S327" t="s">
        <v>1227</v>
      </c>
      <c r="T327" s="54" t="s">
        <v>1227</v>
      </c>
      <c r="U327" t="s">
        <v>1227</v>
      </c>
    </row>
    <row r="328" spans="1:21" x14ac:dyDescent="0.25">
      <c r="A328" s="44" t="s">
        <v>651</v>
      </c>
      <c r="B328" s="44" t="s">
        <v>217</v>
      </c>
      <c r="C328" s="45">
        <v>57</v>
      </c>
      <c r="D328" s="45"/>
      <c r="E328" s="45">
        <v>2</v>
      </c>
      <c r="F328" s="45"/>
      <c r="G328" s="45">
        <v>20</v>
      </c>
      <c r="H328" s="45"/>
      <c r="I328" s="34">
        <v>22</v>
      </c>
      <c r="J328" t="e">
        <f>I328/(VLOOKUP(B328,'Team Stats'!$B$3:$K$18,5,0))</f>
        <v>#N/A</v>
      </c>
      <c r="M328" t="s">
        <v>1227</v>
      </c>
      <c r="N328" t="s">
        <v>1227</v>
      </c>
      <c r="O328" t="s">
        <v>1227</v>
      </c>
      <c r="P328" t="s">
        <v>1227</v>
      </c>
      <c r="Q328" t="s">
        <v>1227</v>
      </c>
      <c r="R328" t="s">
        <v>1227</v>
      </c>
      <c r="S328" t="s">
        <v>1227</v>
      </c>
      <c r="T328" s="54" t="s">
        <v>1227</v>
      </c>
      <c r="U328" t="s">
        <v>1227</v>
      </c>
    </row>
    <row r="329" spans="1:21" x14ac:dyDescent="0.25">
      <c r="A329" s="44" t="s">
        <v>652</v>
      </c>
      <c r="B329" s="44" t="s">
        <v>195</v>
      </c>
      <c r="C329" s="45">
        <v>81</v>
      </c>
      <c r="D329" s="45"/>
      <c r="E329" s="45">
        <v>2</v>
      </c>
      <c r="F329" s="45"/>
      <c r="G329" s="45">
        <v>20</v>
      </c>
      <c r="H329" s="45"/>
      <c r="I329" s="34">
        <v>22</v>
      </c>
      <c r="J329">
        <f>I329/(VLOOKUP(B329,'Team Stats'!$B$3:$K$18,5,0))</f>
        <v>3.3536585365853661E-2</v>
      </c>
      <c r="M329" t="s">
        <v>1227</v>
      </c>
      <c r="N329" t="s">
        <v>1227</v>
      </c>
      <c r="O329" t="s">
        <v>1227</v>
      </c>
      <c r="P329" t="s">
        <v>1227</v>
      </c>
      <c r="Q329" t="s">
        <v>1227</v>
      </c>
      <c r="R329" t="s">
        <v>1227</v>
      </c>
      <c r="S329" t="s">
        <v>1227</v>
      </c>
      <c r="T329" s="54" t="s">
        <v>1227</v>
      </c>
      <c r="U329" t="s">
        <v>1227</v>
      </c>
    </row>
    <row r="330" spans="1:21" x14ac:dyDescent="0.25">
      <c r="A330" s="44" t="s">
        <v>653</v>
      </c>
      <c r="B330" s="44" t="s">
        <v>344</v>
      </c>
      <c r="C330" s="45">
        <v>78</v>
      </c>
      <c r="D330" s="45"/>
      <c r="E330" s="45">
        <v>7</v>
      </c>
      <c r="F330" s="45"/>
      <c r="G330" s="45">
        <v>15</v>
      </c>
      <c r="H330" s="45"/>
      <c r="I330" s="34">
        <v>22</v>
      </c>
      <c r="J330" t="e">
        <f>I330/(VLOOKUP(B330,'Team Stats'!$B$3:$K$18,5,0))</f>
        <v>#N/A</v>
      </c>
      <c r="M330" t="s">
        <v>1227</v>
      </c>
      <c r="N330" t="s">
        <v>1227</v>
      </c>
      <c r="O330" t="s">
        <v>1227</v>
      </c>
      <c r="P330" t="s">
        <v>1227</v>
      </c>
      <c r="Q330" t="s">
        <v>1227</v>
      </c>
      <c r="R330" t="s">
        <v>1227</v>
      </c>
      <c r="S330" t="s">
        <v>1227</v>
      </c>
      <c r="T330" s="54" t="s">
        <v>1227</v>
      </c>
      <c r="U330" t="s">
        <v>1227</v>
      </c>
    </row>
    <row r="331" spans="1:21" ht="30" x14ac:dyDescent="0.25">
      <c r="A331" s="44" t="s">
        <v>654</v>
      </c>
      <c r="B331" s="44" t="s">
        <v>344</v>
      </c>
      <c r="C331" s="45">
        <v>56</v>
      </c>
      <c r="D331" s="45"/>
      <c r="E331" s="45">
        <v>8</v>
      </c>
      <c r="F331" s="45"/>
      <c r="G331" s="45">
        <v>14</v>
      </c>
      <c r="H331" s="45"/>
      <c r="I331" s="34">
        <v>22</v>
      </c>
      <c r="J331" t="e">
        <f>I331/(VLOOKUP(B331,'Team Stats'!$B$3:$K$18,5,0))</f>
        <v>#N/A</v>
      </c>
      <c r="M331" t="s">
        <v>1227</v>
      </c>
      <c r="N331" t="s">
        <v>1227</v>
      </c>
      <c r="O331" t="s">
        <v>1227</v>
      </c>
      <c r="P331" t="s">
        <v>1227</v>
      </c>
      <c r="Q331" t="s">
        <v>1227</v>
      </c>
      <c r="R331" t="s">
        <v>1227</v>
      </c>
      <c r="S331" t="s">
        <v>1227</v>
      </c>
      <c r="T331" s="54" t="s">
        <v>1227</v>
      </c>
      <c r="U331" t="s">
        <v>1227</v>
      </c>
    </row>
    <row r="332" spans="1:21" x14ac:dyDescent="0.25">
      <c r="A332" s="44" t="s">
        <v>655</v>
      </c>
      <c r="B332" s="44" t="s">
        <v>218</v>
      </c>
      <c r="C332" s="45">
        <v>50</v>
      </c>
      <c r="D332" s="45"/>
      <c r="E332" s="45">
        <v>7</v>
      </c>
      <c r="F332" s="45"/>
      <c r="G332" s="45">
        <v>15</v>
      </c>
      <c r="H332" s="45"/>
      <c r="I332" s="34">
        <v>22</v>
      </c>
      <c r="J332" t="e">
        <f>I332/(VLOOKUP(B332,'Team Stats'!$B$3:$K$18,5,0))</f>
        <v>#N/A</v>
      </c>
      <c r="M332" t="s">
        <v>1227</v>
      </c>
      <c r="N332" t="s">
        <v>1227</v>
      </c>
      <c r="O332" t="s">
        <v>1227</v>
      </c>
      <c r="P332" t="s">
        <v>1227</v>
      </c>
      <c r="Q332" t="s">
        <v>1227</v>
      </c>
      <c r="R332" t="s">
        <v>1227</v>
      </c>
      <c r="S332" t="s">
        <v>1227</v>
      </c>
      <c r="T332" s="54" t="s">
        <v>1227</v>
      </c>
      <c r="U332" t="s">
        <v>1227</v>
      </c>
    </row>
    <row r="333" spans="1:21" x14ac:dyDescent="0.25">
      <c r="A333" s="44" t="s">
        <v>656</v>
      </c>
      <c r="B333" s="44" t="s">
        <v>209</v>
      </c>
      <c r="C333" s="45">
        <v>65</v>
      </c>
      <c r="D333" s="45"/>
      <c r="E333" s="45">
        <v>7</v>
      </c>
      <c r="F333" s="45"/>
      <c r="G333" s="45">
        <v>15</v>
      </c>
      <c r="H333" s="45"/>
      <c r="I333" s="34">
        <v>22</v>
      </c>
      <c r="J333">
        <f>I333/(VLOOKUP(B333,'Team Stats'!$B$3:$K$18,5,0))</f>
        <v>3.7037037037037035E-2</v>
      </c>
      <c r="M333" t="s">
        <v>1227</v>
      </c>
      <c r="N333" t="s">
        <v>1227</v>
      </c>
      <c r="O333" t="s">
        <v>1227</v>
      </c>
      <c r="P333" t="s">
        <v>1227</v>
      </c>
      <c r="Q333" t="s">
        <v>1227</v>
      </c>
      <c r="R333" t="s">
        <v>1227</v>
      </c>
      <c r="S333" t="s">
        <v>1227</v>
      </c>
      <c r="T333" s="54" t="s">
        <v>1227</v>
      </c>
      <c r="U333" t="s">
        <v>1227</v>
      </c>
    </row>
    <row r="334" spans="1:21" x14ac:dyDescent="0.25">
      <c r="A334" s="44" t="s">
        <v>657</v>
      </c>
      <c r="B334" s="44" t="s">
        <v>218</v>
      </c>
      <c r="C334" s="45">
        <v>73</v>
      </c>
      <c r="D334" s="45"/>
      <c r="E334" s="45">
        <v>3</v>
      </c>
      <c r="F334" s="45"/>
      <c r="G334" s="45">
        <v>19</v>
      </c>
      <c r="H334" s="45"/>
      <c r="I334" s="34">
        <v>22</v>
      </c>
      <c r="J334" t="e">
        <f>I334/(VLOOKUP(B334,'Team Stats'!$B$3:$K$18,5,0))</f>
        <v>#N/A</v>
      </c>
      <c r="M334" t="s">
        <v>1227</v>
      </c>
      <c r="N334" t="s">
        <v>1227</v>
      </c>
      <c r="O334" t="s">
        <v>1227</v>
      </c>
      <c r="P334" t="s">
        <v>1227</v>
      </c>
      <c r="Q334" t="s">
        <v>1227</v>
      </c>
      <c r="R334" t="s">
        <v>1227</v>
      </c>
      <c r="S334" t="s">
        <v>1227</v>
      </c>
      <c r="T334" s="54" t="s">
        <v>1227</v>
      </c>
      <c r="U334" t="s">
        <v>1227</v>
      </c>
    </row>
    <row r="335" spans="1:21" x14ac:dyDescent="0.25">
      <c r="A335" s="44" t="s">
        <v>658</v>
      </c>
      <c r="B335" s="44" t="s">
        <v>219</v>
      </c>
      <c r="C335" s="45">
        <v>82</v>
      </c>
      <c r="D335" s="45"/>
      <c r="E335" s="45">
        <v>3</v>
      </c>
      <c r="F335" s="45"/>
      <c r="G335" s="45">
        <v>19</v>
      </c>
      <c r="H335" s="45"/>
      <c r="I335" s="34">
        <v>22</v>
      </c>
      <c r="J335" t="e">
        <f>I335/(VLOOKUP(B335,'Team Stats'!$B$3:$K$18,5,0))</f>
        <v>#N/A</v>
      </c>
      <c r="M335" t="s">
        <v>1227</v>
      </c>
      <c r="N335" t="s">
        <v>1227</v>
      </c>
      <c r="O335" t="s">
        <v>1227</v>
      </c>
      <c r="P335" t="s">
        <v>1227</v>
      </c>
      <c r="Q335" t="s">
        <v>1227</v>
      </c>
      <c r="R335" t="s">
        <v>1227</v>
      </c>
      <c r="S335" t="s">
        <v>1227</v>
      </c>
      <c r="T335" s="54" t="s">
        <v>1227</v>
      </c>
      <c r="U335" t="s">
        <v>1227</v>
      </c>
    </row>
    <row r="336" spans="1:21" x14ac:dyDescent="0.25">
      <c r="A336" s="44" t="s">
        <v>659</v>
      </c>
      <c r="B336" s="44" t="s">
        <v>324</v>
      </c>
      <c r="C336" s="45">
        <v>53</v>
      </c>
      <c r="D336" s="45"/>
      <c r="E336" s="45">
        <v>9</v>
      </c>
      <c r="F336" s="45"/>
      <c r="G336" s="45">
        <v>13</v>
      </c>
      <c r="H336" s="45"/>
      <c r="I336" s="34">
        <v>22</v>
      </c>
      <c r="J336" t="e">
        <f>I336/(VLOOKUP(B336,'Team Stats'!$B$3:$K$18,5,0))</f>
        <v>#N/A</v>
      </c>
      <c r="M336" t="s">
        <v>1227</v>
      </c>
      <c r="N336" t="s">
        <v>1227</v>
      </c>
      <c r="O336" t="s">
        <v>1227</v>
      </c>
      <c r="P336" t="s">
        <v>1227</v>
      </c>
      <c r="Q336" t="s">
        <v>1227</v>
      </c>
      <c r="R336" t="s">
        <v>1227</v>
      </c>
      <c r="S336" t="s">
        <v>1227</v>
      </c>
      <c r="T336" s="54" t="s">
        <v>1227</v>
      </c>
      <c r="U336" t="s">
        <v>1227</v>
      </c>
    </row>
    <row r="337" spans="1:21" x14ac:dyDescent="0.25">
      <c r="A337" s="44" t="s">
        <v>660</v>
      </c>
      <c r="B337" s="44" t="s">
        <v>220</v>
      </c>
      <c r="C337" s="45">
        <v>37</v>
      </c>
      <c r="D337" s="45"/>
      <c r="E337" s="45">
        <v>10</v>
      </c>
      <c r="F337" s="45"/>
      <c r="G337" s="45">
        <v>12</v>
      </c>
      <c r="H337" s="45"/>
      <c r="I337" s="34">
        <v>22</v>
      </c>
      <c r="J337" t="e">
        <f>I337/(VLOOKUP(B337,'Team Stats'!$B$3:$K$18,5,0))</f>
        <v>#N/A</v>
      </c>
      <c r="M337" t="s">
        <v>1227</v>
      </c>
      <c r="N337" t="s">
        <v>1227</v>
      </c>
      <c r="O337" t="s">
        <v>1227</v>
      </c>
      <c r="P337" t="s">
        <v>1227</v>
      </c>
      <c r="Q337" t="s">
        <v>1227</v>
      </c>
      <c r="R337" t="s">
        <v>1227</v>
      </c>
      <c r="S337" t="s">
        <v>1227</v>
      </c>
      <c r="T337" s="54" t="s">
        <v>1227</v>
      </c>
      <c r="U337" t="s">
        <v>1227</v>
      </c>
    </row>
    <row r="338" spans="1:21" x14ac:dyDescent="0.25">
      <c r="A338" s="44" t="s">
        <v>661</v>
      </c>
      <c r="B338" s="44" t="s">
        <v>208</v>
      </c>
      <c r="C338" s="45">
        <v>33</v>
      </c>
      <c r="D338" s="45"/>
      <c r="E338" s="45">
        <v>7</v>
      </c>
      <c r="F338" s="45"/>
      <c r="G338" s="45">
        <v>15</v>
      </c>
      <c r="H338" s="45"/>
      <c r="I338" s="34">
        <v>22</v>
      </c>
      <c r="J338">
        <f>I338/(VLOOKUP(B338,'Team Stats'!$B$3:$K$18,5,0))</f>
        <v>3.4920634920634921E-2</v>
      </c>
      <c r="M338" t="s">
        <v>1227</v>
      </c>
      <c r="N338" t="s">
        <v>1227</v>
      </c>
      <c r="O338" t="s">
        <v>1227</v>
      </c>
      <c r="P338" t="s">
        <v>1227</v>
      </c>
      <c r="Q338" t="s">
        <v>1227</v>
      </c>
      <c r="R338" t="s">
        <v>1227</v>
      </c>
      <c r="S338" t="s">
        <v>1227</v>
      </c>
      <c r="T338" s="54" t="s">
        <v>1227</v>
      </c>
      <c r="U338" t="s">
        <v>1227</v>
      </c>
    </row>
    <row r="339" spans="1:21" x14ac:dyDescent="0.25">
      <c r="A339" s="44" t="s">
        <v>662</v>
      </c>
      <c r="B339" s="44" t="s">
        <v>217</v>
      </c>
      <c r="C339" s="45">
        <v>82</v>
      </c>
      <c r="D339" s="45"/>
      <c r="E339" s="45">
        <v>7</v>
      </c>
      <c r="F339" s="45"/>
      <c r="G339" s="45">
        <v>14</v>
      </c>
      <c r="H339" s="45"/>
      <c r="I339" s="34">
        <v>21</v>
      </c>
      <c r="J339" t="e">
        <f>I339/(VLOOKUP(B339,'Team Stats'!$B$3:$K$18,5,0))</f>
        <v>#N/A</v>
      </c>
      <c r="M339" t="s">
        <v>1227</v>
      </c>
      <c r="N339" t="s">
        <v>1227</v>
      </c>
      <c r="O339" t="s">
        <v>1227</v>
      </c>
      <c r="P339" t="s">
        <v>1227</v>
      </c>
      <c r="Q339" t="s">
        <v>1227</v>
      </c>
      <c r="R339" t="s">
        <v>1227</v>
      </c>
      <c r="S339" t="s">
        <v>1227</v>
      </c>
      <c r="T339" s="54" t="s">
        <v>1227</v>
      </c>
      <c r="U339" t="s">
        <v>1227</v>
      </c>
    </row>
    <row r="340" spans="1:21" x14ac:dyDescent="0.25">
      <c r="A340" s="44" t="s">
        <v>663</v>
      </c>
      <c r="B340" s="44" t="s">
        <v>205</v>
      </c>
      <c r="C340" s="45">
        <v>65</v>
      </c>
      <c r="D340" s="45"/>
      <c r="E340" s="45">
        <v>11</v>
      </c>
      <c r="F340" s="45"/>
      <c r="G340" s="45">
        <v>10</v>
      </c>
      <c r="H340" s="45"/>
      <c r="I340" s="34">
        <v>21</v>
      </c>
      <c r="J340">
        <f>I340/(VLOOKUP(B340,'Team Stats'!$B$3:$K$18,5,0))</f>
        <v>3.2710280373831772E-2</v>
      </c>
      <c r="M340" t="s">
        <v>1227</v>
      </c>
      <c r="N340" t="s">
        <v>1227</v>
      </c>
      <c r="O340" t="s">
        <v>1227</v>
      </c>
      <c r="P340" t="s">
        <v>1227</v>
      </c>
      <c r="Q340" t="s">
        <v>1227</v>
      </c>
      <c r="R340" t="s">
        <v>1227</v>
      </c>
      <c r="S340" t="s">
        <v>1227</v>
      </c>
      <c r="T340" s="54" t="s">
        <v>1227</v>
      </c>
      <c r="U340" t="s">
        <v>1227</v>
      </c>
    </row>
    <row r="341" spans="1:21" x14ac:dyDescent="0.25">
      <c r="A341" s="44" t="s">
        <v>664</v>
      </c>
      <c r="B341" s="44" t="s">
        <v>221</v>
      </c>
      <c r="C341" s="45">
        <v>72</v>
      </c>
      <c r="D341" s="45"/>
      <c r="E341" s="45">
        <v>13</v>
      </c>
      <c r="F341" s="45"/>
      <c r="G341" s="45">
        <v>8</v>
      </c>
      <c r="H341" s="45"/>
      <c r="I341" s="34">
        <v>21</v>
      </c>
      <c r="J341" t="e">
        <f>I341/(VLOOKUP(B341,'Team Stats'!$B$3:$K$18,5,0))</f>
        <v>#N/A</v>
      </c>
      <c r="M341" t="s">
        <v>1227</v>
      </c>
      <c r="N341" t="s">
        <v>1227</v>
      </c>
      <c r="O341" t="s">
        <v>1227</v>
      </c>
      <c r="P341" t="s">
        <v>1227</v>
      </c>
      <c r="Q341" t="s">
        <v>1227</v>
      </c>
      <c r="R341" t="s">
        <v>1227</v>
      </c>
      <c r="S341" t="s">
        <v>1227</v>
      </c>
      <c r="T341" s="54" t="s">
        <v>1227</v>
      </c>
      <c r="U341" t="s">
        <v>1227</v>
      </c>
    </row>
    <row r="342" spans="1:21" x14ac:dyDescent="0.25">
      <c r="A342" s="44" t="s">
        <v>665</v>
      </c>
      <c r="B342" s="44" t="s">
        <v>213</v>
      </c>
      <c r="C342" s="45">
        <v>81</v>
      </c>
      <c r="D342" s="45"/>
      <c r="E342" s="45">
        <v>5</v>
      </c>
      <c r="F342" s="45"/>
      <c r="G342" s="45">
        <v>16</v>
      </c>
      <c r="H342" s="45"/>
      <c r="I342" s="34">
        <v>21</v>
      </c>
      <c r="J342">
        <f>I342/(VLOOKUP(B342,'Team Stats'!$B$3:$K$18,5,0))</f>
        <v>3.3925686591276254E-2</v>
      </c>
      <c r="M342" t="s">
        <v>1227</v>
      </c>
      <c r="N342" t="s">
        <v>1227</v>
      </c>
      <c r="O342" t="s">
        <v>1227</v>
      </c>
      <c r="P342" t="s">
        <v>1227</v>
      </c>
      <c r="Q342" t="s">
        <v>1227</v>
      </c>
      <c r="R342" t="s">
        <v>1227</v>
      </c>
      <c r="S342" t="s">
        <v>1227</v>
      </c>
      <c r="T342" s="54" t="s">
        <v>1227</v>
      </c>
      <c r="U342" t="s">
        <v>1227</v>
      </c>
    </row>
    <row r="343" spans="1:21" x14ac:dyDescent="0.25">
      <c r="A343" s="44" t="s">
        <v>666</v>
      </c>
      <c r="B343" s="44" t="s">
        <v>339</v>
      </c>
      <c r="C343" s="45">
        <v>43</v>
      </c>
      <c r="D343" s="45"/>
      <c r="E343" s="45">
        <v>6</v>
      </c>
      <c r="F343" s="45"/>
      <c r="G343" s="45">
        <v>15</v>
      </c>
      <c r="H343" s="45"/>
      <c r="I343" s="34">
        <v>21</v>
      </c>
      <c r="J343" t="e">
        <f>I343/(VLOOKUP(B343,'Team Stats'!$B$3:$K$18,5,0))</f>
        <v>#N/A</v>
      </c>
      <c r="M343" t="s">
        <v>1227</v>
      </c>
      <c r="N343" t="s">
        <v>1227</v>
      </c>
      <c r="O343" t="s">
        <v>1227</v>
      </c>
      <c r="P343" t="s">
        <v>1227</v>
      </c>
      <c r="Q343" t="s">
        <v>1227</v>
      </c>
      <c r="R343" t="s">
        <v>1227</v>
      </c>
      <c r="S343" t="s">
        <v>1227</v>
      </c>
      <c r="T343" s="54" t="s">
        <v>1227</v>
      </c>
      <c r="U343" t="s">
        <v>1227</v>
      </c>
    </row>
    <row r="344" spans="1:21" x14ac:dyDescent="0.25">
      <c r="A344" s="44" t="s">
        <v>667</v>
      </c>
      <c r="B344" s="44" t="s">
        <v>221</v>
      </c>
      <c r="C344" s="45">
        <v>69</v>
      </c>
      <c r="D344" s="45"/>
      <c r="E344" s="45">
        <v>6</v>
      </c>
      <c r="F344" s="45"/>
      <c r="G344" s="45">
        <v>15</v>
      </c>
      <c r="H344" s="45"/>
      <c r="I344" s="34">
        <v>21</v>
      </c>
      <c r="J344" t="e">
        <f>I344/(VLOOKUP(B344,'Team Stats'!$B$3:$K$18,5,0))</f>
        <v>#N/A</v>
      </c>
      <c r="M344" t="s">
        <v>1227</v>
      </c>
      <c r="N344" t="s">
        <v>1227</v>
      </c>
      <c r="O344" t="s">
        <v>1227</v>
      </c>
      <c r="P344" t="s">
        <v>1227</v>
      </c>
      <c r="Q344" t="s">
        <v>1227</v>
      </c>
      <c r="R344" t="s">
        <v>1227</v>
      </c>
      <c r="S344" t="s">
        <v>1227</v>
      </c>
      <c r="T344" s="54" t="s">
        <v>1227</v>
      </c>
      <c r="U344" t="s">
        <v>1227</v>
      </c>
    </row>
    <row r="345" spans="1:21" x14ac:dyDescent="0.25">
      <c r="A345" s="44" t="s">
        <v>668</v>
      </c>
      <c r="B345" s="44" t="s">
        <v>330</v>
      </c>
      <c r="C345" s="45">
        <v>62</v>
      </c>
      <c r="D345" s="45"/>
      <c r="E345" s="45">
        <v>9</v>
      </c>
      <c r="F345" s="45"/>
      <c r="G345" s="45">
        <v>12</v>
      </c>
      <c r="H345" s="45"/>
      <c r="I345" s="34">
        <v>21</v>
      </c>
      <c r="J345" t="e">
        <f>I345/(VLOOKUP(B345,'Team Stats'!$B$3:$K$18,5,0))</f>
        <v>#N/A</v>
      </c>
      <c r="M345" t="s">
        <v>1227</v>
      </c>
      <c r="N345" t="s">
        <v>1227</v>
      </c>
      <c r="O345" t="s">
        <v>1227</v>
      </c>
      <c r="P345" t="s">
        <v>1227</v>
      </c>
      <c r="Q345" t="s">
        <v>1227</v>
      </c>
      <c r="R345" t="s">
        <v>1227</v>
      </c>
      <c r="S345" t="s">
        <v>1227</v>
      </c>
      <c r="T345" s="54" t="s">
        <v>1227</v>
      </c>
      <c r="U345" t="s">
        <v>1227</v>
      </c>
    </row>
    <row r="346" spans="1:21" x14ac:dyDescent="0.25">
      <c r="A346" s="44" t="s">
        <v>669</v>
      </c>
      <c r="B346" s="44" t="s">
        <v>205</v>
      </c>
      <c r="C346" s="45">
        <v>45</v>
      </c>
      <c r="D346" s="45"/>
      <c r="E346" s="45">
        <v>8</v>
      </c>
      <c r="F346" s="45"/>
      <c r="G346" s="45">
        <v>13</v>
      </c>
      <c r="H346" s="45"/>
      <c r="I346" s="34">
        <v>21</v>
      </c>
      <c r="J346">
        <f>I346/(VLOOKUP(B346,'Team Stats'!$B$3:$K$18,5,0))</f>
        <v>3.2710280373831772E-2</v>
      </c>
      <c r="M346" t="s">
        <v>1227</v>
      </c>
      <c r="N346" t="s">
        <v>1227</v>
      </c>
      <c r="O346" t="s">
        <v>1227</v>
      </c>
      <c r="P346" t="s">
        <v>1227</v>
      </c>
      <c r="Q346" t="s">
        <v>1227</v>
      </c>
      <c r="R346" t="s">
        <v>1227</v>
      </c>
      <c r="S346" t="s">
        <v>1227</v>
      </c>
      <c r="T346" s="54" t="s">
        <v>1227</v>
      </c>
      <c r="U346" t="s">
        <v>1227</v>
      </c>
    </row>
    <row r="347" spans="1:21" x14ac:dyDescent="0.25">
      <c r="A347" s="44" t="s">
        <v>670</v>
      </c>
      <c r="B347" s="44" t="s">
        <v>324</v>
      </c>
      <c r="C347" s="45">
        <v>82</v>
      </c>
      <c r="D347" s="45"/>
      <c r="E347" s="45">
        <v>5</v>
      </c>
      <c r="F347" s="45"/>
      <c r="G347" s="45">
        <v>16</v>
      </c>
      <c r="H347" s="45"/>
      <c r="I347" s="34">
        <v>21</v>
      </c>
      <c r="J347" t="e">
        <f>I347/(VLOOKUP(B347,'Team Stats'!$B$3:$K$18,5,0))</f>
        <v>#N/A</v>
      </c>
      <c r="M347" t="s">
        <v>1227</v>
      </c>
      <c r="N347" t="s">
        <v>1227</v>
      </c>
      <c r="O347" t="s">
        <v>1227</v>
      </c>
      <c r="P347" t="s">
        <v>1227</v>
      </c>
      <c r="Q347" t="s">
        <v>1227</v>
      </c>
      <c r="R347" t="s">
        <v>1227</v>
      </c>
      <c r="S347" t="s">
        <v>1227</v>
      </c>
      <c r="T347" s="54" t="s">
        <v>1227</v>
      </c>
      <c r="U347" t="s">
        <v>1227</v>
      </c>
    </row>
    <row r="348" spans="1:21" x14ac:dyDescent="0.25">
      <c r="A348" s="44" t="s">
        <v>671</v>
      </c>
      <c r="B348" s="44" t="s">
        <v>212</v>
      </c>
      <c r="C348" s="45">
        <v>55</v>
      </c>
      <c r="D348" s="45"/>
      <c r="E348" s="45">
        <v>10</v>
      </c>
      <c r="F348" s="45"/>
      <c r="G348" s="45">
        <v>11</v>
      </c>
      <c r="H348" s="45"/>
      <c r="I348" s="34">
        <v>21</v>
      </c>
      <c r="J348" t="e">
        <f>I348/(VLOOKUP(B348,'Team Stats'!$B$3:$K$18,5,0))</f>
        <v>#N/A</v>
      </c>
      <c r="M348" t="s">
        <v>1227</v>
      </c>
      <c r="N348" t="s">
        <v>1227</v>
      </c>
      <c r="O348" t="s">
        <v>1227</v>
      </c>
      <c r="P348" t="s">
        <v>1227</v>
      </c>
      <c r="Q348" t="s">
        <v>1227</v>
      </c>
      <c r="R348" t="s">
        <v>1227</v>
      </c>
      <c r="S348" t="s">
        <v>1227</v>
      </c>
      <c r="T348" s="54" t="s">
        <v>1227</v>
      </c>
      <c r="U348" t="s">
        <v>1227</v>
      </c>
    </row>
    <row r="349" spans="1:21" x14ac:dyDescent="0.25">
      <c r="A349" s="44" t="s">
        <v>672</v>
      </c>
      <c r="B349" s="44" t="s">
        <v>330</v>
      </c>
      <c r="C349" s="45">
        <v>35</v>
      </c>
      <c r="D349" s="45"/>
      <c r="E349" s="45">
        <v>8</v>
      </c>
      <c r="F349" s="45"/>
      <c r="G349" s="45">
        <v>13</v>
      </c>
      <c r="H349" s="45"/>
      <c r="I349" s="34">
        <v>21</v>
      </c>
      <c r="J349" t="e">
        <f>I349/(VLOOKUP(B349,'Team Stats'!$B$3:$K$18,5,0))</f>
        <v>#N/A</v>
      </c>
      <c r="M349" t="s">
        <v>1227</v>
      </c>
      <c r="N349" t="s">
        <v>1227</v>
      </c>
      <c r="O349" t="s">
        <v>1227</v>
      </c>
      <c r="P349" t="s">
        <v>1227</v>
      </c>
      <c r="Q349" t="s">
        <v>1227</v>
      </c>
      <c r="R349" t="s">
        <v>1227</v>
      </c>
      <c r="S349" t="s">
        <v>1227</v>
      </c>
      <c r="T349" s="54" t="s">
        <v>1227</v>
      </c>
      <c r="U349" t="s">
        <v>1227</v>
      </c>
    </row>
    <row r="350" spans="1:21" x14ac:dyDescent="0.25">
      <c r="A350" s="44" t="s">
        <v>673</v>
      </c>
      <c r="B350" s="44" t="s">
        <v>214</v>
      </c>
      <c r="C350" s="45">
        <v>60</v>
      </c>
      <c r="D350" s="45"/>
      <c r="E350" s="45">
        <v>2</v>
      </c>
      <c r="F350" s="45"/>
      <c r="G350" s="45">
        <v>18</v>
      </c>
      <c r="H350" s="45"/>
      <c r="I350" s="34">
        <v>20</v>
      </c>
      <c r="J350" t="e">
        <f>I350/(VLOOKUP(B350,'Team Stats'!$B$3:$K$18,5,0))</f>
        <v>#N/A</v>
      </c>
      <c r="M350" t="s">
        <v>1227</v>
      </c>
      <c r="N350" t="s">
        <v>1227</v>
      </c>
      <c r="O350" t="s">
        <v>1227</v>
      </c>
      <c r="P350" t="s">
        <v>1227</v>
      </c>
      <c r="Q350" t="s">
        <v>1227</v>
      </c>
      <c r="R350" t="s">
        <v>1227</v>
      </c>
      <c r="S350" t="s">
        <v>1227</v>
      </c>
      <c r="T350" s="54" t="s">
        <v>1227</v>
      </c>
      <c r="U350" t="s">
        <v>1227</v>
      </c>
    </row>
    <row r="351" spans="1:21" x14ac:dyDescent="0.25">
      <c r="A351" s="44" t="s">
        <v>674</v>
      </c>
      <c r="B351" s="44" t="s">
        <v>202</v>
      </c>
      <c r="C351" s="45">
        <v>82</v>
      </c>
      <c r="D351" s="45"/>
      <c r="E351" s="45">
        <v>4</v>
      </c>
      <c r="F351" s="45"/>
      <c r="G351" s="45">
        <v>16</v>
      </c>
      <c r="H351" s="45"/>
      <c r="I351" s="34">
        <v>20</v>
      </c>
      <c r="J351">
        <f>I351/(VLOOKUP(B351,'Team Stats'!$B$3:$K$18,5,0))</f>
        <v>3.0349013657056147E-2</v>
      </c>
      <c r="M351" t="s">
        <v>1227</v>
      </c>
      <c r="N351" t="s">
        <v>1227</v>
      </c>
      <c r="O351" t="s">
        <v>1227</v>
      </c>
      <c r="P351" t="s">
        <v>1227</v>
      </c>
      <c r="Q351" t="s">
        <v>1227</v>
      </c>
      <c r="R351" t="s">
        <v>1227</v>
      </c>
      <c r="S351" t="s">
        <v>1227</v>
      </c>
      <c r="T351" s="54" t="s">
        <v>1227</v>
      </c>
      <c r="U351" t="s">
        <v>1227</v>
      </c>
    </row>
    <row r="352" spans="1:21" x14ac:dyDescent="0.25">
      <c r="A352" s="44" t="s">
        <v>675</v>
      </c>
      <c r="B352" s="44" t="s">
        <v>324</v>
      </c>
      <c r="C352" s="45">
        <v>62</v>
      </c>
      <c r="D352" s="45"/>
      <c r="E352" s="45">
        <v>10</v>
      </c>
      <c r="F352" s="45"/>
      <c r="G352" s="45">
        <v>10</v>
      </c>
      <c r="H352" s="45"/>
      <c r="I352" s="34">
        <v>20</v>
      </c>
      <c r="J352" t="e">
        <f>I352/(VLOOKUP(B352,'Team Stats'!$B$3:$K$18,5,0))</f>
        <v>#N/A</v>
      </c>
      <c r="M352" t="s">
        <v>1227</v>
      </c>
      <c r="N352" t="s">
        <v>1227</v>
      </c>
      <c r="O352" t="s">
        <v>1227</v>
      </c>
      <c r="P352" t="s">
        <v>1227</v>
      </c>
      <c r="Q352" t="s">
        <v>1227</v>
      </c>
      <c r="R352" t="s">
        <v>1227</v>
      </c>
      <c r="S352" t="s">
        <v>1227</v>
      </c>
      <c r="T352" s="54" t="s">
        <v>1227</v>
      </c>
      <c r="U352" t="s">
        <v>1227</v>
      </c>
    </row>
    <row r="353" spans="1:21" x14ac:dyDescent="0.25">
      <c r="A353" s="44" t="s">
        <v>676</v>
      </c>
      <c r="B353" s="44" t="s">
        <v>198</v>
      </c>
      <c r="C353" s="45">
        <v>57</v>
      </c>
      <c r="D353" s="45"/>
      <c r="E353" s="45">
        <v>8</v>
      </c>
      <c r="F353" s="45"/>
      <c r="G353" s="45">
        <v>12</v>
      </c>
      <c r="H353" s="45"/>
      <c r="I353" s="34">
        <v>20</v>
      </c>
      <c r="J353" t="e">
        <f>I353/(VLOOKUP(B353,'Team Stats'!$B$3:$K$18,5,0))</f>
        <v>#N/A</v>
      </c>
      <c r="M353" t="s">
        <v>1227</v>
      </c>
      <c r="N353" t="s">
        <v>1227</v>
      </c>
      <c r="O353" t="s">
        <v>1227</v>
      </c>
      <c r="P353" t="s">
        <v>1227</v>
      </c>
      <c r="Q353" t="s">
        <v>1227</v>
      </c>
      <c r="R353" t="s">
        <v>1227</v>
      </c>
      <c r="S353" t="s">
        <v>1227</v>
      </c>
      <c r="T353" s="54" t="s">
        <v>1227</v>
      </c>
      <c r="U353" t="s">
        <v>1227</v>
      </c>
    </row>
    <row r="354" spans="1:21" ht="30" x14ac:dyDescent="0.25">
      <c r="A354" s="44" t="s">
        <v>677</v>
      </c>
      <c r="B354" s="44" t="s">
        <v>344</v>
      </c>
      <c r="C354" s="45">
        <v>74</v>
      </c>
      <c r="D354" s="45"/>
      <c r="E354" s="45">
        <v>6</v>
      </c>
      <c r="F354" s="45"/>
      <c r="G354" s="45">
        <v>14</v>
      </c>
      <c r="H354" s="45"/>
      <c r="I354" s="34">
        <v>20</v>
      </c>
      <c r="J354" t="e">
        <f>I354/(VLOOKUP(B354,'Team Stats'!$B$3:$K$18,5,0))</f>
        <v>#N/A</v>
      </c>
      <c r="M354" t="s">
        <v>1227</v>
      </c>
      <c r="N354" t="s">
        <v>1227</v>
      </c>
      <c r="O354" t="s">
        <v>1227</v>
      </c>
      <c r="P354" t="s">
        <v>1227</v>
      </c>
      <c r="Q354" t="s">
        <v>1227</v>
      </c>
      <c r="R354" t="s">
        <v>1227</v>
      </c>
      <c r="S354" t="s">
        <v>1227</v>
      </c>
      <c r="T354" s="54" t="s">
        <v>1227</v>
      </c>
      <c r="U354" t="s">
        <v>1227</v>
      </c>
    </row>
    <row r="355" spans="1:21" x14ac:dyDescent="0.25">
      <c r="A355" s="44" t="s">
        <v>678</v>
      </c>
      <c r="B355" s="44" t="s">
        <v>202</v>
      </c>
      <c r="C355" s="45">
        <v>80</v>
      </c>
      <c r="D355" s="45"/>
      <c r="E355" s="45">
        <v>5</v>
      </c>
      <c r="F355" s="45"/>
      <c r="G355" s="45">
        <v>15</v>
      </c>
      <c r="H355" s="45"/>
      <c r="I355" s="34">
        <v>20</v>
      </c>
      <c r="J355">
        <f>I355/(VLOOKUP(B355,'Team Stats'!$B$3:$K$18,5,0))</f>
        <v>3.0349013657056147E-2</v>
      </c>
      <c r="M355" t="s">
        <v>1227</v>
      </c>
      <c r="N355" t="s">
        <v>1227</v>
      </c>
      <c r="O355" t="s">
        <v>1227</v>
      </c>
      <c r="P355" t="s">
        <v>1227</v>
      </c>
      <c r="Q355" t="s">
        <v>1227</v>
      </c>
      <c r="R355" t="s">
        <v>1227</v>
      </c>
      <c r="S355" t="s">
        <v>1227</v>
      </c>
      <c r="T355" s="54" t="s">
        <v>1227</v>
      </c>
      <c r="U355" t="s">
        <v>1227</v>
      </c>
    </row>
    <row r="356" spans="1:21" x14ac:dyDescent="0.25">
      <c r="A356" s="44" t="s">
        <v>679</v>
      </c>
      <c r="B356" s="44" t="s">
        <v>324</v>
      </c>
      <c r="C356" s="45">
        <v>66</v>
      </c>
      <c r="D356" s="45"/>
      <c r="E356" s="45">
        <v>7</v>
      </c>
      <c r="F356" s="45"/>
      <c r="G356" s="45">
        <v>13</v>
      </c>
      <c r="H356" s="45"/>
      <c r="I356" s="34">
        <v>20</v>
      </c>
      <c r="J356" t="e">
        <f>I356/(VLOOKUP(B356,'Team Stats'!$B$3:$K$18,5,0))</f>
        <v>#N/A</v>
      </c>
      <c r="M356" t="s">
        <v>1227</v>
      </c>
      <c r="N356" t="s">
        <v>1227</v>
      </c>
      <c r="O356" t="s">
        <v>1227</v>
      </c>
      <c r="P356" t="s">
        <v>1227</v>
      </c>
      <c r="Q356" t="s">
        <v>1227</v>
      </c>
      <c r="R356" t="s">
        <v>1227</v>
      </c>
      <c r="S356" t="s">
        <v>1227</v>
      </c>
      <c r="T356" s="54" t="s">
        <v>1227</v>
      </c>
      <c r="U356" t="s">
        <v>1227</v>
      </c>
    </row>
    <row r="357" spans="1:21" ht="30" x14ac:dyDescent="0.25">
      <c r="A357" s="44" t="s">
        <v>680</v>
      </c>
      <c r="B357" s="44" t="s">
        <v>330</v>
      </c>
      <c r="C357" s="45">
        <v>68</v>
      </c>
      <c r="D357" s="45"/>
      <c r="E357" s="45">
        <v>4</v>
      </c>
      <c r="F357" s="45"/>
      <c r="G357" s="45">
        <v>16</v>
      </c>
      <c r="H357" s="45"/>
      <c r="I357" s="34">
        <v>20</v>
      </c>
      <c r="J357" t="e">
        <f>I357/(VLOOKUP(B357,'Team Stats'!$B$3:$K$18,5,0))</f>
        <v>#N/A</v>
      </c>
      <c r="M357" t="s">
        <v>1227</v>
      </c>
      <c r="N357" t="s">
        <v>1227</v>
      </c>
      <c r="O357" t="s">
        <v>1227</v>
      </c>
      <c r="P357" t="s">
        <v>1227</v>
      </c>
      <c r="Q357" t="s">
        <v>1227</v>
      </c>
      <c r="R357" t="s">
        <v>1227</v>
      </c>
      <c r="S357" t="s">
        <v>1227</v>
      </c>
      <c r="T357" s="54" t="s">
        <v>1227</v>
      </c>
      <c r="U357" t="s">
        <v>1227</v>
      </c>
    </row>
    <row r="358" spans="1:21" x14ac:dyDescent="0.25">
      <c r="A358" s="44" t="s">
        <v>681</v>
      </c>
      <c r="B358" s="44" t="s">
        <v>205</v>
      </c>
      <c r="C358" s="45">
        <v>70</v>
      </c>
      <c r="D358" s="45"/>
      <c r="E358" s="45">
        <v>2</v>
      </c>
      <c r="F358" s="45"/>
      <c r="G358" s="45">
        <v>18</v>
      </c>
      <c r="H358" s="45"/>
      <c r="I358" s="34">
        <v>20</v>
      </c>
      <c r="J358">
        <f>I358/(VLOOKUP(B358,'Team Stats'!$B$3:$K$18,5,0))</f>
        <v>3.1152647975077882E-2</v>
      </c>
      <c r="M358" t="s">
        <v>1227</v>
      </c>
      <c r="N358" t="s">
        <v>1227</v>
      </c>
      <c r="O358" t="s">
        <v>1227</v>
      </c>
      <c r="P358" t="s">
        <v>1227</v>
      </c>
      <c r="Q358" t="s">
        <v>1227</v>
      </c>
      <c r="R358" t="s">
        <v>1227</v>
      </c>
      <c r="S358" t="s">
        <v>1227</v>
      </c>
      <c r="T358" s="54" t="s">
        <v>1227</v>
      </c>
      <c r="U358" t="s">
        <v>1227</v>
      </c>
    </row>
    <row r="359" spans="1:21" x14ac:dyDescent="0.25">
      <c r="A359" s="44" t="s">
        <v>682</v>
      </c>
      <c r="B359" s="44" t="s">
        <v>214</v>
      </c>
      <c r="C359" s="45">
        <v>38</v>
      </c>
      <c r="D359" s="45"/>
      <c r="E359" s="45">
        <v>6</v>
      </c>
      <c r="F359" s="45"/>
      <c r="G359" s="45">
        <v>14</v>
      </c>
      <c r="H359" s="45"/>
      <c r="I359" s="34">
        <v>20</v>
      </c>
      <c r="J359" t="e">
        <f>I359/(VLOOKUP(B359,'Team Stats'!$B$3:$K$18,5,0))</f>
        <v>#N/A</v>
      </c>
      <c r="M359" t="s">
        <v>1227</v>
      </c>
      <c r="N359" t="s">
        <v>1227</v>
      </c>
      <c r="O359" t="s">
        <v>1227</v>
      </c>
      <c r="P359" t="s">
        <v>1227</v>
      </c>
      <c r="Q359" t="s">
        <v>1227</v>
      </c>
      <c r="R359" t="s">
        <v>1227</v>
      </c>
      <c r="S359" t="s">
        <v>1227</v>
      </c>
      <c r="T359" s="54" t="s">
        <v>1227</v>
      </c>
      <c r="U359" t="s">
        <v>1227</v>
      </c>
    </row>
    <row r="360" spans="1:21" x14ac:dyDescent="0.25">
      <c r="A360" s="44" t="s">
        <v>683</v>
      </c>
      <c r="B360" s="44" t="s">
        <v>217</v>
      </c>
      <c r="C360" s="45">
        <v>57</v>
      </c>
      <c r="D360" s="45"/>
      <c r="E360" s="45">
        <v>11</v>
      </c>
      <c r="F360" s="45"/>
      <c r="G360" s="45">
        <v>9</v>
      </c>
      <c r="H360" s="45"/>
      <c r="I360" s="34">
        <v>20</v>
      </c>
      <c r="J360" t="e">
        <f>I360/(VLOOKUP(B360,'Team Stats'!$B$3:$K$18,5,0))</f>
        <v>#N/A</v>
      </c>
      <c r="M360" t="s">
        <v>1227</v>
      </c>
      <c r="N360" t="s">
        <v>1227</v>
      </c>
      <c r="O360" t="s">
        <v>1227</v>
      </c>
      <c r="P360" t="s">
        <v>1227</v>
      </c>
      <c r="Q360" t="s">
        <v>1227</v>
      </c>
      <c r="R360" t="s">
        <v>1227</v>
      </c>
      <c r="S360" t="s">
        <v>1227</v>
      </c>
      <c r="T360" s="54" t="s">
        <v>1227</v>
      </c>
      <c r="U360" t="s">
        <v>1227</v>
      </c>
    </row>
    <row r="361" spans="1:21" x14ac:dyDescent="0.25">
      <c r="A361" s="44" t="s">
        <v>684</v>
      </c>
      <c r="B361" s="44" t="s">
        <v>220</v>
      </c>
      <c r="C361" s="45">
        <v>78</v>
      </c>
      <c r="D361" s="45"/>
      <c r="E361" s="45">
        <v>8</v>
      </c>
      <c r="F361" s="45"/>
      <c r="G361" s="45">
        <v>12</v>
      </c>
      <c r="H361" s="45"/>
      <c r="I361" s="34">
        <v>20</v>
      </c>
      <c r="J361" t="e">
        <f>I361/(VLOOKUP(B361,'Team Stats'!$B$3:$K$18,5,0))</f>
        <v>#N/A</v>
      </c>
      <c r="M361" t="s">
        <v>1227</v>
      </c>
      <c r="N361" t="s">
        <v>1227</v>
      </c>
      <c r="O361" t="s">
        <v>1227</v>
      </c>
      <c r="P361" t="s">
        <v>1227</v>
      </c>
      <c r="Q361" t="s">
        <v>1227</v>
      </c>
      <c r="R361" t="s">
        <v>1227</v>
      </c>
      <c r="S361" t="s">
        <v>1227</v>
      </c>
      <c r="T361" s="54" t="s">
        <v>1227</v>
      </c>
      <c r="U361" t="s">
        <v>1227</v>
      </c>
    </row>
    <row r="362" spans="1:21" x14ac:dyDescent="0.25">
      <c r="A362" s="44" t="s">
        <v>685</v>
      </c>
      <c r="B362" s="44" t="s">
        <v>220</v>
      </c>
      <c r="C362" s="45">
        <v>62</v>
      </c>
      <c r="D362" s="45"/>
      <c r="E362" s="45">
        <v>3</v>
      </c>
      <c r="F362" s="45"/>
      <c r="G362" s="45">
        <v>17</v>
      </c>
      <c r="H362" s="45"/>
      <c r="I362" s="34">
        <v>20</v>
      </c>
      <c r="J362" t="e">
        <f>I362/(VLOOKUP(B362,'Team Stats'!$B$3:$K$18,5,0))</f>
        <v>#N/A</v>
      </c>
      <c r="M362" t="s">
        <v>1227</v>
      </c>
      <c r="N362" t="s">
        <v>1227</v>
      </c>
      <c r="O362" t="s">
        <v>1227</v>
      </c>
      <c r="P362" t="s">
        <v>1227</v>
      </c>
      <c r="Q362" t="s">
        <v>1227</v>
      </c>
      <c r="R362" t="s">
        <v>1227</v>
      </c>
      <c r="S362" t="s">
        <v>1227</v>
      </c>
      <c r="T362" s="54" t="s">
        <v>1227</v>
      </c>
      <c r="U362" t="s">
        <v>1227</v>
      </c>
    </row>
    <row r="363" spans="1:21" x14ac:dyDescent="0.25">
      <c r="A363" s="44" t="s">
        <v>686</v>
      </c>
      <c r="B363" s="44" t="s">
        <v>217</v>
      </c>
      <c r="C363" s="45">
        <v>54</v>
      </c>
      <c r="D363" s="45"/>
      <c r="E363" s="45">
        <v>7</v>
      </c>
      <c r="F363" s="45"/>
      <c r="G363" s="45">
        <v>13</v>
      </c>
      <c r="H363" s="45"/>
      <c r="I363" s="34">
        <v>20</v>
      </c>
      <c r="J363" t="e">
        <f>I363/(VLOOKUP(B363,'Team Stats'!$B$3:$K$18,5,0))</f>
        <v>#N/A</v>
      </c>
      <c r="M363" t="s">
        <v>1227</v>
      </c>
      <c r="N363" t="s">
        <v>1227</v>
      </c>
      <c r="O363" t="s">
        <v>1227</v>
      </c>
      <c r="P363" t="s">
        <v>1227</v>
      </c>
      <c r="Q363" t="s">
        <v>1227</v>
      </c>
      <c r="R363" t="s">
        <v>1227</v>
      </c>
      <c r="S363" t="s">
        <v>1227</v>
      </c>
      <c r="T363" s="54" t="s">
        <v>1227</v>
      </c>
      <c r="U363" t="s">
        <v>1227</v>
      </c>
    </row>
    <row r="364" spans="1:21" x14ac:dyDescent="0.25">
      <c r="A364" s="44" t="s">
        <v>687</v>
      </c>
      <c r="B364" s="44" t="s">
        <v>195</v>
      </c>
      <c r="C364" s="45">
        <v>53</v>
      </c>
      <c r="D364" s="45"/>
      <c r="E364" s="45">
        <v>5</v>
      </c>
      <c r="F364" s="45"/>
      <c r="G364" s="45">
        <v>15</v>
      </c>
      <c r="H364" s="45"/>
      <c r="I364" s="34">
        <v>20</v>
      </c>
      <c r="J364">
        <f>I364/(VLOOKUP(B364,'Team Stats'!$B$3:$K$18,5,0))</f>
        <v>3.048780487804878E-2</v>
      </c>
      <c r="M364" t="s">
        <v>1227</v>
      </c>
      <c r="N364" t="s">
        <v>1227</v>
      </c>
      <c r="O364" t="s">
        <v>1227</v>
      </c>
      <c r="P364" t="s">
        <v>1227</v>
      </c>
      <c r="Q364" t="s">
        <v>1227</v>
      </c>
      <c r="R364" t="s">
        <v>1227</v>
      </c>
      <c r="S364" t="s">
        <v>1227</v>
      </c>
      <c r="T364" s="54" t="s">
        <v>1227</v>
      </c>
      <c r="U364" t="s">
        <v>1227</v>
      </c>
    </row>
    <row r="365" spans="1:21" x14ac:dyDescent="0.25">
      <c r="A365" s="44" t="s">
        <v>688</v>
      </c>
      <c r="B365" s="44" t="s">
        <v>211</v>
      </c>
      <c r="C365" s="45">
        <v>73</v>
      </c>
      <c r="D365" s="45"/>
      <c r="E365" s="45">
        <v>9</v>
      </c>
      <c r="F365" s="45"/>
      <c r="G365" s="45">
        <v>11</v>
      </c>
      <c r="H365" s="45"/>
      <c r="I365" s="34">
        <v>20</v>
      </c>
      <c r="J365">
        <f>I365/(VLOOKUP(B365,'Team Stats'!$B$3:$K$18,5,0))</f>
        <v>3.2894736842105261E-2</v>
      </c>
      <c r="M365" t="s">
        <v>1227</v>
      </c>
      <c r="N365" t="s">
        <v>1227</v>
      </c>
      <c r="O365" t="s">
        <v>1227</v>
      </c>
      <c r="P365" t="s">
        <v>1227</v>
      </c>
      <c r="Q365" t="s">
        <v>1227</v>
      </c>
      <c r="R365" t="s">
        <v>1227</v>
      </c>
      <c r="S365" t="s">
        <v>1227</v>
      </c>
      <c r="T365" s="54" t="s">
        <v>1227</v>
      </c>
      <c r="U365" t="s">
        <v>1227</v>
      </c>
    </row>
    <row r="366" spans="1:21" x14ac:dyDescent="0.25">
      <c r="A366" s="44" t="s">
        <v>689</v>
      </c>
      <c r="B366" s="44" t="s">
        <v>197</v>
      </c>
      <c r="C366" s="45">
        <v>74</v>
      </c>
      <c r="D366" s="45"/>
      <c r="E366" s="45">
        <v>3</v>
      </c>
      <c r="F366" s="45"/>
      <c r="G366" s="45">
        <v>17</v>
      </c>
      <c r="H366" s="45"/>
      <c r="I366" s="34">
        <v>20</v>
      </c>
      <c r="J366">
        <f>I366/(VLOOKUP(B366,'Team Stats'!$B$3:$K$18,5,0))</f>
        <v>3.3333333333333333E-2</v>
      </c>
      <c r="M366" t="s">
        <v>1227</v>
      </c>
      <c r="N366" t="s">
        <v>1227</v>
      </c>
      <c r="O366" t="s">
        <v>1227</v>
      </c>
      <c r="P366" t="s">
        <v>1227</v>
      </c>
      <c r="Q366" t="s">
        <v>1227</v>
      </c>
      <c r="R366" t="s">
        <v>1227</v>
      </c>
      <c r="S366" t="s">
        <v>1227</v>
      </c>
      <c r="T366" s="54" t="s">
        <v>1227</v>
      </c>
      <c r="U366" t="s">
        <v>1227</v>
      </c>
    </row>
    <row r="367" spans="1:21" x14ac:dyDescent="0.25">
      <c r="A367" s="44" t="s">
        <v>690</v>
      </c>
      <c r="B367" s="44" t="s">
        <v>202</v>
      </c>
      <c r="C367" s="45">
        <v>65</v>
      </c>
      <c r="D367" s="45"/>
      <c r="E367" s="45">
        <v>9</v>
      </c>
      <c r="F367" s="45"/>
      <c r="G367" s="45">
        <v>11</v>
      </c>
      <c r="H367" s="45"/>
      <c r="I367" s="34">
        <v>20</v>
      </c>
      <c r="J367">
        <f>I367/(VLOOKUP(B367,'Team Stats'!$B$3:$K$18,5,0))</f>
        <v>3.0349013657056147E-2</v>
      </c>
      <c r="M367" t="s">
        <v>1227</v>
      </c>
      <c r="N367" t="s">
        <v>1227</v>
      </c>
      <c r="O367" t="s">
        <v>1227</v>
      </c>
      <c r="P367" t="s">
        <v>1227</v>
      </c>
      <c r="Q367" t="s">
        <v>1227</v>
      </c>
      <c r="R367" t="s">
        <v>1227</v>
      </c>
      <c r="S367" t="s">
        <v>1227</v>
      </c>
      <c r="T367" s="54" t="s">
        <v>1227</v>
      </c>
      <c r="U367" t="s">
        <v>1227</v>
      </c>
    </row>
    <row r="368" spans="1:21" x14ac:dyDescent="0.25">
      <c r="A368" s="44" t="s">
        <v>691</v>
      </c>
      <c r="B368" s="44" t="s">
        <v>220</v>
      </c>
      <c r="C368" s="45">
        <v>57</v>
      </c>
      <c r="D368" s="45"/>
      <c r="E368" s="45">
        <v>8</v>
      </c>
      <c r="F368" s="45"/>
      <c r="G368" s="45">
        <v>12</v>
      </c>
      <c r="H368" s="45"/>
      <c r="I368" s="34">
        <v>20</v>
      </c>
      <c r="J368" t="e">
        <f>I368/(VLOOKUP(B368,'Team Stats'!$B$3:$K$18,5,0))</f>
        <v>#N/A</v>
      </c>
      <c r="M368" t="s">
        <v>1227</v>
      </c>
      <c r="N368" t="s">
        <v>1227</v>
      </c>
      <c r="O368" t="s">
        <v>1227</v>
      </c>
      <c r="P368" t="s">
        <v>1227</v>
      </c>
      <c r="Q368" t="s">
        <v>1227</v>
      </c>
      <c r="R368" t="s">
        <v>1227</v>
      </c>
      <c r="S368" t="s">
        <v>1227</v>
      </c>
      <c r="T368" s="54" t="s">
        <v>1227</v>
      </c>
      <c r="U368" t="s">
        <v>1227</v>
      </c>
    </row>
    <row r="369" spans="1:21" x14ac:dyDescent="0.25">
      <c r="A369" s="44" t="s">
        <v>692</v>
      </c>
      <c r="B369" s="44" t="s">
        <v>215</v>
      </c>
      <c r="C369" s="45">
        <v>59</v>
      </c>
      <c r="D369" s="45"/>
      <c r="E369" s="45">
        <v>5</v>
      </c>
      <c r="F369" s="45"/>
      <c r="G369" s="45">
        <v>15</v>
      </c>
      <c r="H369" s="45"/>
      <c r="I369" s="34">
        <v>20</v>
      </c>
      <c r="J369" t="e">
        <f>I369/(VLOOKUP(B369,'Team Stats'!$B$3:$K$18,5,0))</f>
        <v>#N/A</v>
      </c>
      <c r="M369" t="s">
        <v>1227</v>
      </c>
      <c r="N369" t="s">
        <v>1227</v>
      </c>
      <c r="O369" t="s">
        <v>1227</v>
      </c>
      <c r="P369" t="s">
        <v>1227</v>
      </c>
      <c r="Q369" t="s">
        <v>1227</v>
      </c>
      <c r="R369" t="s">
        <v>1227</v>
      </c>
      <c r="S369" t="s">
        <v>1227</v>
      </c>
      <c r="T369" s="54" t="s">
        <v>1227</v>
      </c>
      <c r="U369" t="s">
        <v>1227</v>
      </c>
    </row>
    <row r="370" spans="1:21" x14ac:dyDescent="0.25">
      <c r="A370" s="44" t="s">
        <v>693</v>
      </c>
      <c r="B370" s="44" t="s">
        <v>216</v>
      </c>
      <c r="C370" s="45">
        <v>63</v>
      </c>
      <c r="D370" s="45"/>
      <c r="E370" s="45">
        <v>8</v>
      </c>
      <c r="F370" s="45"/>
      <c r="G370" s="45">
        <v>12</v>
      </c>
      <c r="H370" s="45"/>
      <c r="I370" s="34">
        <v>20</v>
      </c>
      <c r="J370" t="e">
        <f>I370/(VLOOKUP(B370,'Team Stats'!$B$3:$K$18,5,0))</f>
        <v>#N/A</v>
      </c>
      <c r="M370" t="s">
        <v>1227</v>
      </c>
      <c r="N370" t="s">
        <v>1227</v>
      </c>
      <c r="O370" t="s">
        <v>1227</v>
      </c>
      <c r="P370" t="s">
        <v>1227</v>
      </c>
      <c r="Q370" t="s">
        <v>1227</v>
      </c>
      <c r="R370" t="s">
        <v>1227</v>
      </c>
      <c r="S370" t="s">
        <v>1227</v>
      </c>
      <c r="T370" s="54" t="s">
        <v>1227</v>
      </c>
      <c r="U370" t="s">
        <v>1227</v>
      </c>
    </row>
    <row r="371" spans="1:21" x14ac:dyDescent="0.25">
      <c r="A371" s="44" t="s">
        <v>694</v>
      </c>
      <c r="B371" s="44" t="s">
        <v>207</v>
      </c>
      <c r="C371" s="45">
        <v>57</v>
      </c>
      <c r="D371" s="45"/>
      <c r="E371" s="45">
        <v>6</v>
      </c>
      <c r="F371" s="45"/>
      <c r="G371" s="45">
        <v>13</v>
      </c>
      <c r="H371" s="45"/>
      <c r="I371" s="34">
        <v>19</v>
      </c>
      <c r="J371">
        <f>I371/(VLOOKUP(B371,'Team Stats'!$B$3:$K$18,5,0))</f>
        <v>2.86144578313253E-2</v>
      </c>
      <c r="M371" t="s">
        <v>1227</v>
      </c>
      <c r="N371" t="s">
        <v>1227</v>
      </c>
      <c r="O371" t="s">
        <v>1227</v>
      </c>
      <c r="P371" t="s">
        <v>1227</v>
      </c>
      <c r="Q371" t="s">
        <v>1227</v>
      </c>
      <c r="R371" t="s">
        <v>1227</v>
      </c>
      <c r="S371" t="s">
        <v>1227</v>
      </c>
      <c r="T371" s="54" t="s">
        <v>1227</v>
      </c>
      <c r="U371" t="s">
        <v>1227</v>
      </c>
    </row>
    <row r="372" spans="1:21" x14ac:dyDescent="0.25">
      <c r="A372" s="44" t="s">
        <v>695</v>
      </c>
      <c r="B372" s="44" t="s">
        <v>219</v>
      </c>
      <c r="C372" s="45">
        <v>61</v>
      </c>
      <c r="D372" s="45"/>
      <c r="E372" s="45">
        <v>6</v>
      </c>
      <c r="F372" s="45"/>
      <c r="G372" s="45">
        <v>13</v>
      </c>
      <c r="H372" s="45"/>
      <c r="I372" s="34">
        <v>19</v>
      </c>
      <c r="J372" t="e">
        <f>I372/(VLOOKUP(B372,'Team Stats'!$B$3:$K$18,5,0))</f>
        <v>#N/A</v>
      </c>
      <c r="M372" t="s">
        <v>1227</v>
      </c>
      <c r="N372" t="s">
        <v>1227</v>
      </c>
      <c r="O372" t="s">
        <v>1227</v>
      </c>
      <c r="P372" t="s">
        <v>1227</v>
      </c>
      <c r="Q372" t="s">
        <v>1227</v>
      </c>
      <c r="R372" t="s">
        <v>1227</v>
      </c>
      <c r="S372" t="s">
        <v>1227</v>
      </c>
      <c r="T372" s="54" t="s">
        <v>1227</v>
      </c>
      <c r="U372" t="s">
        <v>1227</v>
      </c>
    </row>
    <row r="373" spans="1:21" x14ac:dyDescent="0.25">
      <c r="A373" s="44" t="s">
        <v>696</v>
      </c>
      <c r="B373" s="44" t="s">
        <v>219</v>
      </c>
      <c r="C373" s="45">
        <v>47</v>
      </c>
      <c r="D373" s="45"/>
      <c r="E373" s="45">
        <v>6</v>
      </c>
      <c r="F373" s="45"/>
      <c r="G373" s="45">
        <v>13</v>
      </c>
      <c r="H373" s="45"/>
      <c r="I373" s="34">
        <v>19</v>
      </c>
      <c r="J373" t="e">
        <f>I373/(VLOOKUP(B373,'Team Stats'!$B$3:$K$18,5,0))</f>
        <v>#N/A</v>
      </c>
      <c r="M373" t="s">
        <v>1227</v>
      </c>
      <c r="N373" t="s">
        <v>1227</v>
      </c>
      <c r="O373" t="s">
        <v>1227</v>
      </c>
      <c r="P373" t="s">
        <v>1227</v>
      </c>
      <c r="Q373" t="s">
        <v>1227</v>
      </c>
      <c r="R373" t="s">
        <v>1227</v>
      </c>
      <c r="S373" t="s">
        <v>1227</v>
      </c>
      <c r="T373" s="54" t="s">
        <v>1227</v>
      </c>
      <c r="U373" t="s">
        <v>1227</v>
      </c>
    </row>
    <row r="374" spans="1:21" x14ac:dyDescent="0.25">
      <c r="A374" s="44" t="s">
        <v>697</v>
      </c>
      <c r="B374" s="44" t="s">
        <v>335</v>
      </c>
      <c r="C374" s="45">
        <v>64</v>
      </c>
      <c r="D374" s="45"/>
      <c r="E374" s="45">
        <v>12</v>
      </c>
      <c r="F374" s="45"/>
      <c r="G374" s="45">
        <v>7</v>
      </c>
      <c r="H374" s="45"/>
      <c r="I374" s="34">
        <v>19</v>
      </c>
      <c r="J374" t="e">
        <f>I374/(VLOOKUP(B374,'Team Stats'!$B$3:$K$18,5,0))</f>
        <v>#N/A</v>
      </c>
      <c r="M374" t="s">
        <v>1227</v>
      </c>
      <c r="N374" t="s">
        <v>1227</v>
      </c>
      <c r="O374" t="s">
        <v>1227</v>
      </c>
      <c r="P374" t="s">
        <v>1227</v>
      </c>
      <c r="Q374" t="s">
        <v>1227</v>
      </c>
      <c r="R374" t="s">
        <v>1227</v>
      </c>
      <c r="S374" t="s">
        <v>1227</v>
      </c>
      <c r="T374" s="54" t="s">
        <v>1227</v>
      </c>
      <c r="U374" t="s">
        <v>1227</v>
      </c>
    </row>
    <row r="375" spans="1:21" x14ac:dyDescent="0.25">
      <c r="A375" s="44" t="s">
        <v>698</v>
      </c>
      <c r="B375" s="44" t="s">
        <v>195</v>
      </c>
      <c r="C375" s="45">
        <v>51</v>
      </c>
      <c r="D375" s="45"/>
      <c r="E375" s="45">
        <v>9</v>
      </c>
      <c r="F375" s="45"/>
      <c r="G375" s="45">
        <v>10</v>
      </c>
      <c r="H375" s="45"/>
      <c r="I375" s="34">
        <v>19</v>
      </c>
      <c r="J375">
        <f>I375/(VLOOKUP(B375,'Team Stats'!$B$3:$K$18,5,0))</f>
        <v>2.8963414634146343E-2</v>
      </c>
      <c r="M375" t="s">
        <v>1227</v>
      </c>
      <c r="N375" t="s">
        <v>1227</v>
      </c>
      <c r="O375" t="s">
        <v>1227</v>
      </c>
      <c r="P375" t="s">
        <v>1227</v>
      </c>
      <c r="Q375" t="s">
        <v>1227</v>
      </c>
      <c r="R375" t="s">
        <v>1227</v>
      </c>
      <c r="S375" t="s">
        <v>1227</v>
      </c>
      <c r="T375" s="54" t="s">
        <v>1227</v>
      </c>
      <c r="U375" t="s">
        <v>1227</v>
      </c>
    </row>
    <row r="376" spans="1:21" x14ac:dyDescent="0.25">
      <c r="A376" s="44" t="s">
        <v>699</v>
      </c>
      <c r="B376" s="44" t="s">
        <v>211</v>
      </c>
      <c r="C376" s="45">
        <v>56</v>
      </c>
      <c r="D376" s="45"/>
      <c r="E376" s="45">
        <v>9</v>
      </c>
      <c r="F376" s="45"/>
      <c r="G376" s="45">
        <v>10</v>
      </c>
      <c r="H376" s="45"/>
      <c r="I376" s="34">
        <v>19</v>
      </c>
      <c r="J376">
        <f>I376/(VLOOKUP(B376,'Team Stats'!$B$3:$K$18,5,0))</f>
        <v>3.125E-2</v>
      </c>
      <c r="M376" t="s">
        <v>1227</v>
      </c>
      <c r="N376" t="s">
        <v>1227</v>
      </c>
      <c r="O376" t="s">
        <v>1227</v>
      </c>
      <c r="P376" t="s">
        <v>1227</v>
      </c>
      <c r="Q376" t="s">
        <v>1227</v>
      </c>
      <c r="R376" t="s">
        <v>1227</v>
      </c>
      <c r="S376" t="s">
        <v>1227</v>
      </c>
      <c r="T376" s="54" t="s">
        <v>1227</v>
      </c>
      <c r="U376" t="s">
        <v>1227</v>
      </c>
    </row>
    <row r="377" spans="1:21" ht="30" x14ac:dyDescent="0.25">
      <c r="A377" s="44" t="s">
        <v>700</v>
      </c>
      <c r="B377" s="44" t="s">
        <v>213</v>
      </c>
      <c r="C377" s="45">
        <v>50</v>
      </c>
      <c r="D377" s="45"/>
      <c r="E377" s="45">
        <v>10</v>
      </c>
      <c r="F377" s="45"/>
      <c r="G377" s="45">
        <v>9</v>
      </c>
      <c r="H377" s="45"/>
      <c r="I377" s="34">
        <v>19</v>
      </c>
      <c r="J377">
        <f>I377/(VLOOKUP(B377,'Team Stats'!$B$3:$K$18,5,0))</f>
        <v>3.0694668820678513E-2</v>
      </c>
      <c r="M377" t="s">
        <v>1227</v>
      </c>
      <c r="N377" t="s">
        <v>1227</v>
      </c>
      <c r="O377" t="s">
        <v>1227</v>
      </c>
      <c r="P377" t="s">
        <v>1227</v>
      </c>
      <c r="Q377" t="s">
        <v>1227</v>
      </c>
      <c r="R377" t="s">
        <v>1227</v>
      </c>
      <c r="S377" t="s">
        <v>1227</v>
      </c>
      <c r="T377" s="54" t="s">
        <v>1227</v>
      </c>
      <c r="U377" t="s">
        <v>1227</v>
      </c>
    </row>
    <row r="378" spans="1:21" x14ac:dyDescent="0.25">
      <c r="A378" s="44" t="s">
        <v>701</v>
      </c>
      <c r="B378" s="44" t="s">
        <v>324</v>
      </c>
      <c r="C378" s="45">
        <v>77</v>
      </c>
      <c r="D378" s="45"/>
      <c r="E378" s="45">
        <v>7</v>
      </c>
      <c r="F378" s="45"/>
      <c r="G378" s="45">
        <v>12</v>
      </c>
      <c r="H378" s="45"/>
      <c r="I378" s="34">
        <v>19</v>
      </c>
      <c r="J378" t="e">
        <f>I378/(VLOOKUP(B378,'Team Stats'!$B$3:$K$18,5,0))</f>
        <v>#N/A</v>
      </c>
      <c r="M378" t="s">
        <v>1227</v>
      </c>
      <c r="N378" t="s">
        <v>1227</v>
      </c>
      <c r="O378" t="s">
        <v>1227</v>
      </c>
      <c r="P378" t="s">
        <v>1227</v>
      </c>
      <c r="Q378" t="s">
        <v>1227</v>
      </c>
      <c r="R378" t="s">
        <v>1227</v>
      </c>
      <c r="S378" t="s">
        <v>1227</v>
      </c>
      <c r="T378" s="54" t="s">
        <v>1227</v>
      </c>
      <c r="U378" t="s">
        <v>1227</v>
      </c>
    </row>
    <row r="379" spans="1:21" x14ac:dyDescent="0.25">
      <c r="A379" s="44" t="s">
        <v>702</v>
      </c>
      <c r="B379" s="44" t="s">
        <v>201</v>
      </c>
      <c r="C379" s="45">
        <v>82</v>
      </c>
      <c r="D379" s="45"/>
      <c r="E379" s="45">
        <v>3</v>
      </c>
      <c r="F379" s="45"/>
      <c r="G379" s="45">
        <v>16</v>
      </c>
      <c r="H379" s="45"/>
      <c r="I379" s="34">
        <v>19</v>
      </c>
      <c r="J379">
        <f>I379/(VLOOKUP(B379,'Team Stats'!$B$3:$K$18,5,0))</f>
        <v>3.1613976705490848E-2</v>
      </c>
      <c r="M379" t="s">
        <v>1227</v>
      </c>
      <c r="N379" t="s">
        <v>1227</v>
      </c>
      <c r="O379" t="s">
        <v>1227</v>
      </c>
      <c r="P379" t="s">
        <v>1227</v>
      </c>
      <c r="Q379" t="s">
        <v>1227</v>
      </c>
      <c r="R379" t="s">
        <v>1227</v>
      </c>
      <c r="S379" t="s">
        <v>1227</v>
      </c>
      <c r="T379" s="54" t="s">
        <v>1227</v>
      </c>
      <c r="U379" t="s">
        <v>1227</v>
      </c>
    </row>
    <row r="380" spans="1:21" x14ac:dyDescent="0.25">
      <c r="A380" s="44" t="s">
        <v>703</v>
      </c>
      <c r="B380" s="44" t="s">
        <v>217</v>
      </c>
      <c r="C380" s="45">
        <v>57</v>
      </c>
      <c r="D380" s="45"/>
      <c r="E380" s="45">
        <v>6</v>
      </c>
      <c r="F380" s="45"/>
      <c r="G380" s="45">
        <v>13</v>
      </c>
      <c r="H380" s="45"/>
      <c r="I380" s="34">
        <v>19</v>
      </c>
      <c r="J380" t="e">
        <f>I380/(VLOOKUP(B380,'Team Stats'!$B$3:$K$18,5,0))</f>
        <v>#N/A</v>
      </c>
      <c r="M380" t="s">
        <v>1227</v>
      </c>
      <c r="N380" t="s">
        <v>1227</v>
      </c>
      <c r="O380" t="s">
        <v>1227</v>
      </c>
      <c r="P380" t="s">
        <v>1227</v>
      </c>
      <c r="Q380" t="s">
        <v>1227</v>
      </c>
      <c r="R380" t="s">
        <v>1227</v>
      </c>
      <c r="S380" t="s">
        <v>1227</v>
      </c>
      <c r="T380" s="54" t="s">
        <v>1227</v>
      </c>
      <c r="U380" t="s">
        <v>1227</v>
      </c>
    </row>
    <row r="381" spans="1:21" x14ac:dyDescent="0.25">
      <c r="A381" s="44" t="s">
        <v>704</v>
      </c>
      <c r="B381" s="44" t="s">
        <v>324</v>
      </c>
      <c r="C381" s="45">
        <v>78</v>
      </c>
      <c r="D381" s="45"/>
      <c r="E381" s="45">
        <v>0</v>
      </c>
      <c r="F381" s="45"/>
      <c r="G381" s="45">
        <v>19</v>
      </c>
      <c r="H381" s="45"/>
      <c r="I381" s="34">
        <v>19</v>
      </c>
      <c r="J381" t="e">
        <f>I381/(VLOOKUP(B381,'Team Stats'!$B$3:$K$18,5,0))</f>
        <v>#N/A</v>
      </c>
      <c r="M381" t="s">
        <v>1227</v>
      </c>
      <c r="N381" t="s">
        <v>1227</v>
      </c>
      <c r="O381" t="s">
        <v>1227</v>
      </c>
      <c r="P381" t="s">
        <v>1227</v>
      </c>
      <c r="Q381" t="s">
        <v>1227</v>
      </c>
      <c r="R381" t="s">
        <v>1227</v>
      </c>
      <c r="S381" t="s">
        <v>1227</v>
      </c>
      <c r="T381" s="54" t="s">
        <v>1227</v>
      </c>
      <c r="U381" t="s">
        <v>1227</v>
      </c>
    </row>
    <row r="382" spans="1:21" x14ac:dyDescent="0.25">
      <c r="A382" s="44" t="s">
        <v>705</v>
      </c>
      <c r="B382" s="44" t="s">
        <v>339</v>
      </c>
      <c r="C382" s="45">
        <v>53</v>
      </c>
      <c r="D382" s="45"/>
      <c r="E382" s="45">
        <v>8</v>
      </c>
      <c r="F382" s="45"/>
      <c r="G382" s="45">
        <v>11</v>
      </c>
      <c r="H382" s="45"/>
      <c r="I382" s="34">
        <v>19</v>
      </c>
      <c r="J382" t="e">
        <f>I382/(VLOOKUP(B382,'Team Stats'!$B$3:$K$18,5,0))</f>
        <v>#N/A</v>
      </c>
      <c r="M382" t="s">
        <v>1227</v>
      </c>
      <c r="N382" t="s">
        <v>1227</v>
      </c>
      <c r="O382" t="s">
        <v>1227</v>
      </c>
      <c r="P382" t="s">
        <v>1227</v>
      </c>
      <c r="Q382" t="s">
        <v>1227</v>
      </c>
      <c r="R382" t="s">
        <v>1227</v>
      </c>
      <c r="S382" t="s">
        <v>1227</v>
      </c>
      <c r="T382" s="54" t="s">
        <v>1227</v>
      </c>
      <c r="U382" t="s">
        <v>1227</v>
      </c>
    </row>
    <row r="383" spans="1:21" x14ac:dyDescent="0.25">
      <c r="A383" s="44" t="s">
        <v>706</v>
      </c>
      <c r="B383" s="44" t="s">
        <v>202</v>
      </c>
      <c r="C383" s="45">
        <v>71</v>
      </c>
      <c r="D383" s="45"/>
      <c r="E383" s="45">
        <v>7</v>
      </c>
      <c r="F383" s="45"/>
      <c r="G383" s="45">
        <v>11</v>
      </c>
      <c r="H383" s="45"/>
      <c r="I383" s="34">
        <v>18</v>
      </c>
      <c r="J383">
        <f>I383/(VLOOKUP(B383,'Team Stats'!$B$3:$K$18,5,0))</f>
        <v>2.7314112291350532E-2</v>
      </c>
      <c r="M383" t="s">
        <v>1227</v>
      </c>
      <c r="N383" t="s">
        <v>1227</v>
      </c>
      <c r="O383" t="s">
        <v>1227</v>
      </c>
      <c r="P383" t="s">
        <v>1227</v>
      </c>
      <c r="Q383" t="s">
        <v>1227</v>
      </c>
      <c r="R383" t="s">
        <v>1227</v>
      </c>
      <c r="S383" t="s">
        <v>1227</v>
      </c>
      <c r="T383" s="54" t="s">
        <v>1227</v>
      </c>
      <c r="U383" t="s">
        <v>1227</v>
      </c>
    </row>
    <row r="384" spans="1:21" x14ac:dyDescent="0.25">
      <c r="A384" s="44" t="s">
        <v>707</v>
      </c>
      <c r="B384" s="44" t="s">
        <v>207</v>
      </c>
      <c r="C384" s="45">
        <v>48</v>
      </c>
      <c r="D384" s="45"/>
      <c r="E384" s="45">
        <v>8</v>
      </c>
      <c r="F384" s="45"/>
      <c r="G384" s="45">
        <v>10</v>
      </c>
      <c r="H384" s="45"/>
      <c r="I384" s="34">
        <v>18</v>
      </c>
      <c r="J384">
        <f>I384/(VLOOKUP(B384,'Team Stats'!$B$3:$K$18,5,0))</f>
        <v>2.710843373493976E-2</v>
      </c>
      <c r="M384" t="s">
        <v>1227</v>
      </c>
      <c r="N384" t="s">
        <v>1227</v>
      </c>
      <c r="O384" t="s">
        <v>1227</v>
      </c>
      <c r="P384" t="s">
        <v>1227</v>
      </c>
      <c r="Q384" t="s">
        <v>1227</v>
      </c>
      <c r="R384" t="s">
        <v>1227</v>
      </c>
      <c r="S384" t="s">
        <v>1227</v>
      </c>
      <c r="T384" s="54" t="s">
        <v>1227</v>
      </c>
      <c r="U384" t="s">
        <v>1227</v>
      </c>
    </row>
    <row r="385" spans="1:21" x14ac:dyDescent="0.25">
      <c r="A385" s="44" t="s">
        <v>708</v>
      </c>
      <c r="B385" s="44" t="s">
        <v>364</v>
      </c>
      <c r="C385" s="45">
        <v>74</v>
      </c>
      <c r="D385" s="45"/>
      <c r="E385" s="45">
        <v>7</v>
      </c>
      <c r="F385" s="45"/>
      <c r="G385" s="45">
        <v>11</v>
      </c>
      <c r="H385" s="45"/>
      <c r="I385" s="34">
        <v>18</v>
      </c>
      <c r="J385" t="e">
        <f>I385/(VLOOKUP(B385,'Team Stats'!$B$3:$K$18,5,0))</f>
        <v>#N/A</v>
      </c>
      <c r="M385" t="s">
        <v>1227</v>
      </c>
      <c r="N385" t="s">
        <v>1227</v>
      </c>
      <c r="O385" t="s">
        <v>1227</v>
      </c>
      <c r="P385" t="s">
        <v>1227</v>
      </c>
      <c r="Q385" t="s">
        <v>1227</v>
      </c>
      <c r="R385" t="s">
        <v>1227</v>
      </c>
      <c r="S385" t="s">
        <v>1227</v>
      </c>
      <c r="T385" s="54" t="s">
        <v>1227</v>
      </c>
      <c r="U385" t="s">
        <v>1227</v>
      </c>
    </row>
    <row r="386" spans="1:21" x14ac:dyDescent="0.25">
      <c r="A386" s="44" t="s">
        <v>709</v>
      </c>
      <c r="B386" s="44" t="s">
        <v>204</v>
      </c>
      <c r="C386" s="45">
        <v>80</v>
      </c>
      <c r="D386" s="45"/>
      <c r="E386" s="45">
        <v>5</v>
      </c>
      <c r="F386" s="45"/>
      <c r="G386" s="45">
        <v>13</v>
      </c>
      <c r="H386" s="45"/>
      <c r="I386" s="34">
        <v>18</v>
      </c>
      <c r="J386">
        <f>I386/(VLOOKUP(B386,'Team Stats'!$B$3:$K$18,5,0))</f>
        <v>2.936378466557912E-2</v>
      </c>
      <c r="M386" t="s">
        <v>1227</v>
      </c>
      <c r="N386" t="s">
        <v>1227</v>
      </c>
      <c r="O386" t="s">
        <v>1227</v>
      </c>
      <c r="P386" t="s">
        <v>1227</v>
      </c>
      <c r="Q386" t="s">
        <v>1227</v>
      </c>
      <c r="R386" t="s">
        <v>1227</v>
      </c>
      <c r="S386" t="s">
        <v>1227</v>
      </c>
      <c r="T386" s="54" t="s">
        <v>1227</v>
      </c>
      <c r="U386" t="s">
        <v>1227</v>
      </c>
    </row>
    <row r="387" spans="1:21" x14ac:dyDescent="0.25">
      <c r="A387" s="44" t="s">
        <v>710</v>
      </c>
      <c r="B387" s="44" t="s">
        <v>216</v>
      </c>
      <c r="C387" s="45">
        <v>81</v>
      </c>
      <c r="D387" s="45"/>
      <c r="E387" s="45">
        <v>5</v>
      </c>
      <c r="F387" s="45"/>
      <c r="G387" s="45">
        <v>13</v>
      </c>
      <c r="H387" s="45"/>
      <c r="I387" s="34">
        <v>18</v>
      </c>
      <c r="J387" t="e">
        <f>I387/(VLOOKUP(B387,'Team Stats'!$B$3:$K$18,5,0))</f>
        <v>#N/A</v>
      </c>
      <c r="M387" t="s">
        <v>1227</v>
      </c>
      <c r="N387" t="s">
        <v>1227</v>
      </c>
      <c r="O387" t="s">
        <v>1227</v>
      </c>
      <c r="P387" t="s">
        <v>1227</v>
      </c>
      <c r="Q387" t="s">
        <v>1227</v>
      </c>
      <c r="R387" t="s">
        <v>1227</v>
      </c>
      <c r="S387" t="s">
        <v>1227</v>
      </c>
      <c r="T387" s="54" t="s">
        <v>1227</v>
      </c>
      <c r="U387" t="s">
        <v>1227</v>
      </c>
    </row>
    <row r="388" spans="1:21" x14ac:dyDescent="0.25">
      <c r="A388" s="44" t="s">
        <v>711</v>
      </c>
      <c r="B388" s="44" t="s">
        <v>221</v>
      </c>
      <c r="C388" s="45">
        <v>81</v>
      </c>
      <c r="D388" s="45"/>
      <c r="E388" s="45">
        <v>3</v>
      </c>
      <c r="F388" s="45"/>
      <c r="G388" s="45">
        <v>15</v>
      </c>
      <c r="H388" s="45"/>
      <c r="I388" s="34">
        <v>18</v>
      </c>
      <c r="J388" t="e">
        <f>I388/(VLOOKUP(B388,'Team Stats'!$B$3:$K$18,5,0))</f>
        <v>#N/A</v>
      </c>
      <c r="M388" t="s">
        <v>1227</v>
      </c>
      <c r="N388" t="s">
        <v>1227</v>
      </c>
      <c r="O388" t="s">
        <v>1227</v>
      </c>
      <c r="P388" t="s">
        <v>1227</v>
      </c>
      <c r="Q388" t="s">
        <v>1227</v>
      </c>
      <c r="R388" t="s">
        <v>1227</v>
      </c>
      <c r="S388" t="s">
        <v>1227</v>
      </c>
      <c r="T388" s="54" t="s">
        <v>1227</v>
      </c>
      <c r="U388" t="s">
        <v>1227</v>
      </c>
    </row>
    <row r="389" spans="1:21" x14ac:dyDescent="0.25">
      <c r="A389" s="44" t="s">
        <v>712</v>
      </c>
      <c r="B389" s="44" t="s">
        <v>216</v>
      </c>
      <c r="C389" s="45">
        <v>29</v>
      </c>
      <c r="D389" s="45"/>
      <c r="E389" s="45">
        <v>8</v>
      </c>
      <c r="F389" s="45"/>
      <c r="G389" s="45">
        <v>10</v>
      </c>
      <c r="H389" s="45"/>
      <c r="I389" s="34">
        <v>18</v>
      </c>
      <c r="J389" t="e">
        <f>I389/(VLOOKUP(B389,'Team Stats'!$B$3:$K$18,5,0))</f>
        <v>#N/A</v>
      </c>
      <c r="M389" t="s">
        <v>1227</v>
      </c>
      <c r="N389" t="s">
        <v>1227</v>
      </c>
      <c r="O389" t="s">
        <v>1227</v>
      </c>
      <c r="P389" t="s">
        <v>1227</v>
      </c>
      <c r="Q389" t="s">
        <v>1227</v>
      </c>
      <c r="R389" t="s">
        <v>1227</v>
      </c>
      <c r="S389" t="s">
        <v>1227</v>
      </c>
      <c r="T389" s="54" t="s">
        <v>1227</v>
      </c>
      <c r="U389" t="s">
        <v>1227</v>
      </c>
    </row>
    <row r="390" spans="1:21" x14ac:dyDescent="0.25">
      <c r="A390" s="44" t="s">
        <v>713</v>
      </c>
      <c r="B390" s="44" t="s">
        <v>208</v>
      </c>
      <c r="C390" s="45">
        <v>82</v>
      </c>
      <c r="D390" s="45"/>
      <c r="E390" s="45">
        <v>12</v>
      </c>
      <c r="F390" s="45"/>
      <c r="G390" s="45">
        <v>6</v>
      </c>
      <c r="H390" s="45"/>
      <c r="I390" s="34">
        <v>18</v>
      </c>
      <c r="J390">
        <f>I390/(VLOOKUP(B390,'Team Stats'!$B$3:$K$18,5,0))</f>
        <v>2.8571428571428571E-2</v>
      </c>
      <c r="M390" t="s">
        <v>1227</v>
      </c>
      <c r="N390" t="s">
        <v>1227</v>
      </c>
      <c r="O390" t="s">
        <v>1227</v>
      </c>
      <c r="P390" t="s">
        <v>1227</v>
      </c>
      <c r="Q390" t="s">
        <v>1227</v>
      </c>
      <c r="R390" t="s">
        <v>1227</v>
      </c>
      <c r="S390" t="s">
        <v>1227</v>
      </c>
      <c r="T390" s="54" t="s">
        <v>1227</v>
      </c>
      <c r="U390" t="s">
        <v>1227</v>
      </c>
    </row>
    <row r="391" spans="1:21" x14ac:dyDescent="0.25">
      <c r="A391" s="44" t="s">
        <v>714</v>
      </c>
      <c r="B391" s="44" t="s">
        <v>195</v>
      </c>
      <c r="C391" s="45">
        <v>70</v>
      </c>
      <c r="D391" s="45"/>
      <c r="E391" s="45">
        <v>9</v>
      </c>
      <c r="F391" s="45"/>
      <c r="G391" s="45">
        <v>9</v>
      </c>
      <c r="H391" s="45"/>
      <c r="I391" s="34">
        <v>18</v>
      </c>
      <c r="J391">
        <f>I391/(VLOOKUP(B391,'Team Stats'!$B$3:$K$18,5,0))</f>
        <v>2.7439024390243903E-2</v>
      </c>
      <c r="M391" t="s">
        <v>1227</v>
      </c>
      <c r="N391" t="s">
        <v>1227</v>
      </c>
      <c r="O391" t="s">
        <v>1227</v>
      </c>
      <c r="P391" t="s">
        <v>1227</v>
      </c>
      <c r="Q391" t="s">
        <v>1227</v>
      </c>
      <c r="R391" t="s">
        <v>1227</v>
      </c>
      <c r="S391" t="s">
        <v>1227</v>
      </c>
      <c r="T391" s="54" t="s">
        <v>1227</v>
      </c>
      <c r="U391" t="s">
        <v>1227</v>
      </c>
    </row>
    <row r="392" spans="1:21" x14ac:dyDescent="0.25">
      <c r="A392" s="44" t="s">
        <v>715</v>
      </c>
      <c r="B392" s="44" t="s">
        <v>335</v>
      </c>
      <c r="C392" s="45">
        <v>59</v>
      </c>
      <c r="D392" s="45"/>
      <c r="E392" s="45">
        <v>4</v>
      </c>
      <c r="F392" s="45"/>
      <c r="G392" s="45">
        <v>14</v>
      </c>
      <c r="H392" s="45"/>
      <c r="I392" s="34">
        <v>18</v>
      </c>
      <c r="J392" t="e">
        <f>I392/(VLOOKUP(B392,'Team Stats'!$B$3:$K$18,5,0))</f>
        <v>#N/A</v>
      </c>
      <c r="M392" t="s">
        <v>1227</v>
      </c>
      <c r="N392" t="s">
        <v>1227</v>
      </c>
      <c r="O392" t="s">
        <v>1227</v>
      </c>
      <c r="P392" t="s">
        <v>1227</v>
      </c>
      <c r="Q392" t="s">
        <v>1227</v>
      </c>
      <c r="R392" t="s">
        <v>1227</v>
      </c>
      <c r="S392" t="s">
        <v>1227</v>
      </c>
      <c r="T392" s="54" t="s">
        <v>1227</v>
      </c>
      <c r="U392" t="s">
        <v>1227</v>
      </c>
    </row>
    <row r="393" spans="1:21" x14ac:dyDescent="0.25">
      <c r="A393" s="44" t="s">
        <v>716</v>
      </c>
      <c r="B393" s="44" t="s">
        <v>208</v>
      </c>
      <c r="C393" s="45">
        <v>63</v>
      </c>
      <c r="D393" s="45"/>
      <c r="E393" s="45">
        <v>3</v>
      </c>
      <c r="F393" s="45"/>
      <c r="G393" s="45">
        <v>15</v>
      </c>
      <c r="H393" s="45"/>
      <c r="I393" s="34">
        <v>18</v>
      </c>
      <c r="J393">
        <f>I393/(VLOOKUP(B393,'Team Stats'!$B$3:$K$18,5,0))</f>
        <v>2.8571428571428571E-2</v>
      </c>
      <c r="M393" t="s">
        <v>1227</v>
      </c>
      <c r="N393" t="s">
        <v>1227</v>
      </c>
      <c r="O393" t="s">
        <v>1227</v>
      </c>
      <c r="P393" t="s">
        <v>1227</v>
      </c>
      <c r="Q393" t="s">
        <v>1227</v>
      </c>
      <c r="R393" t="s">
        <v>1227</v>
      </c>
      <c r="S393" t="s">
        <v>1227</v>
      </c>
      <c r="T393" s="54" t="s">
        <v>1227</v>
      </c>
      <c r="U393" t="s">
        <v>1227</v>
      </c>
    </row>
    <row r="394" spans="1:21" x14ac:dyDescent="0.25">
      <c r="A394" s="44" t="s">
        <v>717</v>
      </c>
      <c r="B394" s="44" t="s">
        <v>208</v>
      </c>
      <c r="C394" s="45">
        <v>73</v>
      </c>
      <c r="D394" s="45"/>
      <c r="E394" s="45">
        <v>3</v>
      </c>
      <c r="F394" s="45"/>
      <c r="G394" s="45">
        <v>15</v>
      </c>
      <c r="H394" s="45"/>
      <c r="I394" s="34">
        <v>18</v>
      </c>
      <c r="J394">
        <f>I394/(VLOOKUP(B394,'Team Stats'!$B$3:$K$18,5,0))</f>
        <v>2.8571428571428571E-2</v>
      </c>
      <c r="M394" t="s">
        <v>1227</v>
      </c>
      <c r="N394" t="s">
        <v>1227</v>
      </c>
      <c r="O394" t="s">
        <v>1227</v>
      </c>
      <c r="P394" t="s">
        <v>1227</v>
      </c>
      <c r="Q394" t="s">
        <v>1227</v>
      </c>
      <c r="R394" t="s">
        <v>1227</v>
      </c>
      <c r="S394" t="s">
        <v>1227</v>
      </c>
      <c r="T394" s="54" t="s">
        <v>1227</v>
      </c>
      <c r="U394" t="s">
        <v>1227</v>
      </c>
    </row>
    <row r="395" spans="1:21" x14ac:dyDescent="0.25">
      <c r="A395" s="44" t="s">
        <v>718</v>
      </c>
      <c r="B395" s="44" t="s">
        <v>364</v>
      </c>
      <c r="C395" s="45">
        <v>80</v>
      </c>
      <c r="D395" s="45"/>
      <c r="E395" s="45">
        <v>7</v>
      </c>
      <c r="F395" s="45"/>
      <c r="G395" s="45">
        <v>11</v>
      </c>
      <c r="H395" s="45"/>
      <c r="I395" s="34">
        <v>18</v>
      </c>
      <c r="J395" t="e">
        <f>I395/(VLOOKUP(B395,'Team Stats'!$B$3:$K$18,5,0))</f>
        <v>#N/A</v>
      </c>
      <c r="M395" t="s">
        <v>1227</v>
      </c>
      <c r="N395" t="s">
        <v>1227</v>
      </c>
      <c r="O395" t="s">
        <v>1227</v>
      </c>
      <c r="P395" t="s">
        <v>1227</v>
      </c>
      <c r="Q395" t="s">
        <v>1227</v>
      </c>
      <c r="R395" t="s">
        <v>1227</v>
      </c>
      <c r="S395" t="s">
        <v>1227</v>
      </c>
      <c r="T395" s="54" t="s">
        <v>1227</v>
      </c>
      <c r="U395" t="s">
        <v>1227</v>
      </c>
    </row>
    <row r="396" spans="1:21" x14ac:dyDescent="0.25">
      <c r="A396" s="44" t="s">
        <v>719</v>
      </c>
      <c r="B396" s="44" t="s">
        <v>199</v>
      </c>
      <c r="C396" s="45">
        <v>54</v>
      </c>
      <c r="D396" s="45"/>
      <c r="E396" s="45">
        <v>13</v>
      </c>
      <c r="F396" s="45"/>
      <c r="G396" s="45">
        <v>5</v>
      </c>
      <c r="H396" s="45"/>
      <c r="I396" s="34">
        <v>18</v>
      </c>
      <c r="J396">
        <f>I396/(VLOOKUP(B396,'Team Stats'!$B$3:$K$18,5,0))</f>
        <v>2.7272727272727271E-2</v>
      </c>
      <c r="M396" t="s">
        <v>1227</v>
      </c>
      <c r="N396" t="s">
        <v>1227</v>
      </c>
      <c r="O396" t="s">
        <v>1227</v>
      </c>
      <c r="P396" t="s">
        <v>1227</v>
      </c>
      <c r="Q396" t="s">
        <v>1227</v>
      </c>
      <c r="R396" t="s">
        <v>1227</v>
      </c>
      <c r="S396" t="s">
        <v>1227</v>
      </c>
      <c r="T396" s="54" t="s">
        <v>1227</v>
      </c>
      <c r="U396" t="s">
        <v>1227</v>
      </c>
    </row>
    <row r="397" spans="1:21" x14ac:dyDescent="0.25">
      <c r="A397" s="44" t="s">
        <v>720</v>
      </c>
      <c r="B397" s="44" t="s">
        <v>344</v>
      </c>
      <c r="C397" s="45">
        <v>82</v>
      </c>
      <c r="D397" s="45"/>
      <c r="E397" s="45">
        <v>4</v>
      </c>
      <c r="F397" s="45"/>
      <c r="G397" s="45">
        <v>14</v>
      </c>
      <c r="H397" s="45"/>
      <c r="I397" s="34">
        <v>18</v>
      </c>
      <c r="J397" t="e">
        <f>I397/(VLOOKUP(B397,'Team Stats'!$B$3:$K$18,5,0))</f>
        <v>#N/A</v>
      </c>
      <c r="M397" t="s">
        <v>1227</v>
      </c>
      <c r="N397" t="s">
        <v>1227</v>
      </c>
      <c r="O397" t="s">
        <v>1227</v>
      </c>
      <c r="P397" t="s">
        <v>1227</v>
      </c>
      <c r="Q397" t="s">
        <v>1227</v>
      </c>
      <c r="R397" t="s">
        <v>1227</v>
      </c>
      <c r="S397" t="s">
        <v>1227</v>
      </c>
      <c r="T397" s="54" t="s">
        <v>1227</v>
      </c>
      <c r="U397" t="s">
        <v>1227</v>
      </c>
    </row>
    <row r="398" spans="1:21" x14ac:dyDescent="0.25">
      <c r="A398" s="44" t="s">
        <v>721</v>
      </c>
      <c r="B398" s="44" t="s">
        <v>356</v>
      </c>
      <c r="C398" s="45">
        <v>73</v>
      </c>
      <c r="D398" s="45"/>
      <c r="E398" s="45">
        <v>6</v>
      </c>
      <c r="F398" s="45"/>
      <c r="G398" s="45">
        <v>11</v>
      </c>
      <c r="H398" s="45"/>
      <c r="I398" s="34">
        <v>17</v>
      </c>
      <c r="J398" t="e">
        <f>I398/(VLOOKUP(B398,'Team Stats'!$B$3:$K$18,5,0))</f>
        <v>#N/A</v>
      </c>
      <c r="M398" t="s">
        <v>1227</v>
      </c>
      <c r="N398" t="s">
        <v>1227</v>
      </c>
      <c r="O398" t="s">
        <v>1227</v>
      </c>
      <c r="P398" t="s">
        <v>1227</v>
      </c>
      <c r="Q398" t="s">
        <v>1227</v>
      </c>
      <c r="R398" t="s">
        <v>1227</v>
      </c>
      <c r="S398" t="s">
        <v>1227</v>
      </c>
      <c r="T398" s="54" t="s">
        <v>1227</v>
      </c>
      <c r="U398" t="s">
        <v>1227</v>
      </c>
    </row>
    <row r="399" spans="1:21" x14ac:dyDescent="0.25">
      <c r="A399" s="44" t="s">
        <v>722</v>
      </c>
      <c r="B399" s="44" t="s">
        <v>197</v>
      </c>
      <c r="C399" s="45">
        <v>74</v>
      </c>
      <c r="D399" s="45"/>
      <c r="E399" s="45">
        <v>5</v>
      </c>
      <c r="F399" s="45"/>
      <c r="G399" s="45">
        <v>12</v>
      </c>
      <c r="H399" s="45"/>
      <c r="I399" s="34">
        <v>17</v>
      </c>
      <c r="J399">
        <f>I399/(VLOOKUP(B399,'Team Stats'!$B$3:$K$18,5,0))</f>
        <v>2.8333333333333332E-2</v>
      </c>
      <c r="M399" t="s">
        <v>1227</v>
      </c>
      <c r="N399" t="s">
        <v>1227</v>
      </c>
      <c r="O399" t="s">
        <v>1227</v>
      </c>
      <c r="P399" t="s">
        <v>1227</v>
      </c>
      <c r="Q399" t="s">
        <v>1227</v>
      </c>
      <c r="R399" t="s">
        <v>1227</v>
      </c>
      <c r="S399" t="s">
        <v>1227</v>
      </c>
      <c r="T399" s="54" t="s">
        <v>1227</v>
      </c>
      <c r="U399" t="s">
        <v>1227</v>
      </c>
    </row>
    <row r="400" spans="1:21" x14ac:dyDescent="0.25">
      <c r="A400" s="44" t="s">
        <v>723</v>
      </c>
      <c r="B400" s="44" t="s">
        <v>219</v>
      </c>
      <c r="C400" s="45">
        <v>51</v>
      </c>
      <c r="D400" s="45"/>
      <c r="E400" s="45">
        <v>5</v>
      </c>
      <c r="F400" s="45"/>
      <c r="G400" s="45">
        <v>12</v>
      </c>
      <c r="H400" s="45"/>
      <c r="I400" s="34">
        <v>17</v>
      </c>
      <c r="J400" t="e">
        <f>I400/(VLOOKUP(B400,'Team Stats'!$B$3:$K$18,5,0))</f>
        <v>#N/A</v>
      </c>
      <c r="M400" t="s">
        <v>1227</v>
      </c>
      <c r="N400" t="s">
        <v>1227</v>
      </c>
      <c r="O400" t="s">
        <v>1227</v>
      </c>
      <c r="P400" t="s">
        <v>1227</v>
      </c>
      <c r="Q400" t="s">
        <v>1227</v>
      </c>
      <c r="R400" t="s">
        <v>1227</v>
      </c>
      <c r="S400" t="s">
        <v>1227</v>
      </c>
      <c r="T400" s="54" t="s">
        <v>1227</v>
      </c>
      <c r="U400" t="s">
        <v>1227</v>
      </c>
    </row>
    <row r="401" spans="1:21" x14ac:dyDescent="0.25">
      <c r="A401" s="44" t="s">
        <v>724</v>
      </c>
      <c r="B401" s="44" t="s">
        <v>216</v>
      </c>
      <c r="C401" s="45">
        <v>55</v>
      </c>
      <c r="D401" s="45"/>
      <c r="E401" s="45">
        <v>12</v>
      </c>
      <c r="F401" s="45"/>
      <c r="G401" s="45">
        <v>5</v>
      </c>
      <c r="H401" s="45"/>
      <c r="I401" s="34">
        <v>17</v>
      </c>
      <c r="J401" t="e">
        <f>I401/(VLOOKUP(B401,'Team Stats'!$B$3:$K$18,5,0))</f>
        <v>#N/A</v>
      </c>
      <c r="M401" t="s">
        <v>1227</v>
      </c>
      <c r="N401" t="s">
        <v>1227</v>
      </c>
      <c r="O401" t="s">
        <v>1227</v>
      </c>
      <c r="P401" t="s">
        <v>1227</v>
      </c>
      <c r="Q401" t="s">
        <v>1227</v>
      </c>
      <c r="R401" t="s">
        <v>1227</v>
      </c>
      <c r="S401" t="s">
        <v>1227</v>
      </c>
      <c r="T401" s="54" t="s">
        <v>1227</v>
      </c>
      <c r="U401" t="s">
        <v>1227</v>
      </c>
    </row>
    <row r="402" spans="1:21" x14ac:dyDescent="0.25">
      <c r="A402" s="44" t="s">
        <v>725</v>
      </c>
      <c r="B402" s="44" t="s">
        <v>344</v>
      </c>
      <c r="C402" s="45">
        <v>63</v>
      </c>
      <c r="D402" s="45"/>
      <c r="E402" s="45">
        <v>5</v>
      </c>
      <c r="F402" s="45"/>
      <c r="G402" s="45">
        <v>12</v>
      </c>
      <c r="H402" s="45"/>
      <c r="I402" s="34">
        <v>17</v>
      </c>
      <c r="J402" t="e">
        <f>I402/(VLOOKUP(B402,'Team Stats'!$B$3:$K$18,5,0))</f>
        <v>#N/A</v>
      </c>
      <c r="M402" t="s">
        <v>1227</v>
      </c>
      <c r="N402" t="s">
        <v>1227</v>
      </c>
      <c r="O402" t="s">
        <v>1227</v>
      </c>
      <c r="P402" t="s">
        <v>1227</v>
      </c>
      <c r="Q402" t="s">
        <v>1227</v>
      </c>
      <c r="R402" t="s">
        <v>1227</v>
      </c>
      <c r="S402" t="s">
        <v>1227</v>
      </c>
      <c r="T402" s="54" t="s">
        <v>1227</v>
      </c>
      <c r="U402" t="s">
        <v>1227</v>
      </c>
    </row>
    <row r="403" spans="1:21" x14ac:dyDescent="0.25">
      <c r="A403" s="44" t="s">
        <v>726</v>
      </c>
      <c r="B403" s="44" t="s">
        <v>324</v>
      </c>
      <c r="C403" s="45">
        <v>67</v>
      </c>
      <c r="D403" s="45"/>
      <c r="E403" s="45">
        <v>4</v>
      </c>
      <c r="F403" s="45"/>
      <c r="G403" s="45">
        <v>13</v>
      </c>
      <c r="H403" s="45"/>
      <c r="I403" s="34">
        <v>17</v>
      </c>
      <c r="J403" t="e">
        <f>I403/(VLOOKUP(B403,'Team Stats'!$B$3:$K$18,5,0))</f>
        <v>#N/A</v>
      </c>
      <c r="M403" t="s">
        <v>1227</v>
      </c>
      <c r="N403" t="s">
        <v>1227</v>
      </c>
      <c r="O403" t="s">
        <v>1227</v>
      </c>
      <c r="P403" t="s">
        <v>1227</v>
      </c>
      <c r="Q403" t="s">
        <v>1227</v>
      </c>
      <c r="R403" t="s">
        <v>1227</v>
      </c>
      <c r="S403" t="s">
        <v>1227</v>
      </c>
      <c r="T403" s="54" t="s">
        <v>1227</v>
      </c>
      <c r="U403" t="s">
        <v>1227</v>
      </c>
    </row>
    <row r="404" spans="1:21" x14ac:dyDescent="0.25">
      <c r="A404" s="44" t="s">
        <v>727</v>
      </c>
      <c r="B404" s="44" t="s">
        <v>212</v>
      </c>
      <c r="C404" s="45">
        <v>76</v>
      </c>
      <c r="D404" s="45"/>
      <c r="E404" s="45">
        <v>11</v>
      </c>
      <c r="F404" s="45"/>
      <c r="G404" s="45">
        <v>6</v>
      </c>
      <c r="H404" s="45"/>
      <c r="I404" s="34">
        <v>17</v>
      </c>
      <c r="J404" t="e">
        <f>I404/(VLOOKUP(B404,'Team Stats'!$B$3:$K$18,5,0))</f>
        <v>#N/A</v>
      </c>
      <c r="M404" t="s">
        <v>1227</v>
      </c>
      <c r="N404" t="s">
        <v>1227</v>
      </c>
      <c r="O404" t="s">
        <v>1227</v>
      </c>
      <c r="P404" t="s">
        <v>1227</v>
      </c>
      <c r="Q404" t="s">
        <v>1227</v>
      </c>
      <c r="R404" t="s">
        <v>1227</v>
      </c>
      <c r="S404" t="s">
        <v>1227</v>
      </c>
      <c r="T404" s="54" t="s">
        <v>1227</v>
      </c>
      <c r="U404" t="s">
        <v>1227</v>
      </c>
    </row>
    <row r="405" spans="1:21" x14ac:dyDescent="0.25">
      <c r="A405" s="44" t="s">
        <v>728</v>
      </c>
      <c r="B405" s="44" t="s">
        <v>207</v>
      </c>
      <c r="C405" s="45">
        <v>59</v>
      </c>
      <c r="D405" s="45"/>
      <c r="E405" s="45">
        <v>7</v>
      </c>
      <c r="F405" s="45"/>
      <c r="G405" s="45">
        <v>10</v>
      </c>
      <c r="H405" s="45"/>
      <c r="I405" s="34">
        <v>17</v>
      </c>
      <c r="J405">
        <f>I405/(VLOOKUP(B405,'Team Stats'!$B$3:$K$18,5,0))</f>
        <v>2.5602409638554216E-2</v>
      </c>
      <c r="M405" t="s">
        <v>1227</v>
      </c>
      <c r="N405" t="s">
        <v>1227</v>
      </c>
      <c r="O405" t="s">
        <v>1227</v>
      </c>
      <c r="P405" t="s">
        <v>1227</v>
      </c>
      <c r="Q405" t="s">
        <v>1227</v>
      </c>
      <c r="R405" t="s">
        <v>1227</v>
      </c>
      <c r="S405" t="s">
        <v>1227</v>
      </c>
      <c r="T405" s="54" t="s">
        <v>1227</v>
      </c>
      <c r="U405" t="s">
        <v>1227</v>
      </c>
    </row>
    <row r="406" spans="1:21" x14ac:dyDescent="0.25">
      <c r="A406" s="44" t="s">
        <v>729</v>
      </c>
      <c r="B406" s="44" t="s">
        <v>330</v>
      </c>
      <c r="C406" s="45">
        <v>31</v>
      </c>
      <c r="D406" s="45"/>
      <c r="E406" s="45">
        <v>9</v>
      </c>
      <c r="F406" s="45"/>
      <c r="G406" s="45">
        <v>8</v>
      </c>
      <c r="H406" s="45"/>
      <c r="I406" s="34">
        <v>17</v>
      </c>
      <c r="J406" t="e">
        <f>I406/(VLOOKUP(B406,'Team Stats'!$B$3:$K$18,5,0))</f>
        <v>#N/A</v>
      </c>
      <c r="M406" t="s">
        <v>1227</v>
      </c>
      <c r="N406" t="s">
        <v>1227</v>
      </c>
      <c r="O406" t="s">
        <v>1227</v>
      </c>
      <c r="P406" t="s">
        <v>1227</v>
      </c>
      <c r="Q406" t="s">
        <v>1227</v>
      </c>
      <c r="R406" t="s">
        <v>1227</v>
      </c>
      <c r="S406" t="s">
        <v>1227</v>
      </c>
      <c r="T406" s="54" t="s">
        <v>1227</v>
      </c>
      <c r="U406" t="s">
        <v>1227</v>
      </c>
    </row>
    <row r="407" spans="1:21" x14ac:dyDescent="0.25">
      <c r="A407" s="44" t="s">
        <v>730</v>
      </c>
      <c r="B407" s="44" t="s">
        <v>201</v>
      </c>
      <c r="C407" s="45">
        <v>81</v>
      </c>
      <c r="D407" s="45"/>
      <c r="E407" s="45">
        <v>7</v>
      </c>
      <c r="F407" s="45"/>
      <c r="G407" s="45">
        <v>10</v>
      </c>
      <c r="H407" s="45"/>
      <c r="I407" s="34">
        <v>17</v>
      </c>
      <c r="J407">
        <f>I407/(VLOOKUP(B407,'Team Stats'!$B$3:$K$18,5,0))</f>
        <v>2.8286189683860232E-2</v>
      </c>
      <c r="M407" t="s">
        <v>1227</v>
      </c>
      <c r="N407" t="s">
        <v>1227</v>
      </c>
      <c r="O407" t="s">
        <v>1227</v>
      </c>
      <c r="P407" t="s">
        <v>1227</v>
      </c>
      <c r="Q407" t="s">
        <v>1227</v>
      </c>
      <c r="R407" t="s">
        <v>1227</v>
      </c>
      <c r="S407" t="s">
        <v>1227</v>
      </c>
      <c r="T407" s="54" t="s">
        <v>1227</v>
      </c>
      <c r="U407" t="s">
        <v>1227</v>
      </c>
    </row>
    <row r="408" spans="1:21" x14ac:dyDescent="0.25">
      <c r="A408" s="44" t="s">
        <v>731</v>
      </c>
      <c r="B408" s="44" t="s">
        <v>211</v>
      </c>
      <c r="C408" s="45">
        <v>71</v>
      </c>
      <c r="D408" s="45"/>
      <c r="E408" s="45">
        <v>3</v>
      </c>
      <c r="F408" s="45"/>
      <c r="G408" s="45">
        <v>14</v>
      </c>
      <c r="H408" s="45"/>
      <c r="I408" s="34">
        <v>17</v>
      </c>
      <c r="J408">
        <f>I408/(VLOOKUP(B408,'Team Stats'!$B$3:$K$18,5,0))</f>
        <v>2.7960526315789474E-2</v>
      </c>
      <c r="M408" t="s">
        <v>1227</v>
      </c>
      <c r="N408" t="s">
        <v>1227</v>
      </c>
      <c r="O408" t="s">
        <v>1227</v>
      </c>
      <c r="P408" t="s">
        <v>1227</v>
      </c>
      <c r="Q408" t="s">
        <v>1227</v>
      </c>
      <c r="R408" t="s">
        <v>1227</v>
      </c>
      <c r="S408" t="s">
        <v>1227</v>
      </c>
      <c r="T408" s="54" t="s">
        <v>1227</v>
      </c>
      <c r="U408" t="s">
        <v>1227</v>
      </c>
    </row>
    <row r="409" spans="1:21" x14ac:dyDescent="0.25">
      <c r="A409" s="44" t="s">
        <v>732</v>
      </c>
      <c r="B409" s="44" t="s">
        <v>195</v>
      </c>
      <c r="C409" s="45">
        <v>76</v>
      </c>
      <c r="D409" s="45"/>
      <c r="E409" s="45">
        <v>7</v>
      </c>
      <c r="F409" s="45"/>
      <c r="G409" s="45">
        <v>9</v>
      </c>
      <c r="H409" s="45"/>
      <c r="I409" s="34">
        <v>16</v>
      </c>
      <c r="J409">
        <f>I409/(VLOOKUP(B409,'Team Stats'!$B$3:$K$18,5,0))</f>
        <v>2.4390243902439025E-2</v>
      </c>
      <c r="M409" t="s">
        <v>1227</v>
      </c>
      <c r="N409" t="s">
        <v>1227</v>
      </c>
      <c r="O409" t="s">
        <v>1227</v>
      </c>
      <c r="P409" t="s">
        <v>1227</v>
      </c>
      <c r="Q409" t="s">
        <v>1227</v>
      </c>
      <c r="R409" t="s">
        <v>1227</v>
      </c>
      <c r="S409" t="s">
        <v>1227</v>
      </c>
      <c r="T409" s="54" t="s">
        <v>1227</v>
      </c>
      <c r="U409" t="s">
        <v>1227</v>
      </c>
    </row>
    <row r="410" spans="1:21" x14ac:dyDescent="0.25">
      <c r="A410" s="44" t="s">
        <v>733</v>
      </c>
      <c r="B410" s="44" t="s">
        <v>214</v>
      </c>
      <c r="C410" s="45">
        <v>71</v>
      </c>
      <c r="D410" s="45"/>
      <c r="E410" s="45">
        <v>8</v>
      </c>
      <c r="F410" s="45"/>
      <c r="G410" s="45">
        <v>8</v>
      </c>
      <c r="H410" s="45"/>
      <c r="I410" s="34">
        <v>16</v>
      </c>
      <c r="J410" t="e">
        <f>I410/(VLOOKUP(B410,'Team Stats'!$B$3:$K$18,5,0))</f>
        <v>#N/A</v>
      </c>
      <c r="M410" t="s">
        <v>1227</v>
      </c>
      <c r="N410" t="s">
        <v>1227</v>
      </c>
      <c r="O410" t="s">
        <v>1227</v>
      </c>
      <c r="P410" t="s">
        <v>1227</v>
      </c>
      <c r="Q410" t="s">
        <v>1227</v>
      </c>
      <c r="R410" t="s">
        <v>1227</v>
      </c>
      <c r="S410" t="s">
        <v>1227</v>
      </c>
      <c r="T410" s="54" t="s">
        <v>1227</v>
      </c>
      <c r="U410" t="s">
        <v>1227</v>
      </c>
    </row>
    <row r="411" spans="1:21" x14ac:dyDescent="0.25">
      <c r="A411" s="44" t="s">
        <v>734</v>
      </c>
      <c r="B411" s="44" t="s">
        <v>364</v>
      </c>
      <c r="C411" s="45">
        <v>62</v>
      </c>
      <c r="D411" s="45"/>
      <c r="E411" s="45">
        <v>8</v>
      </c>
      <c r="F411" s="45"/>
      <c r="G411" s="45">
        <v>8</v>
      </c>
      <c r="H411" s="45"/>
      <c r="I411" s="34">
        <v>16</v>
      </c>
      <c r="J411" t="e">
        <f>I411/(VLOOKUP(B411,'Team Stats'!$B$3:$K$18,5,0))</f>
        <v>#N/A</v>
      </c>
      <c r="M411" t="s">
        <v>1227</v>
      </c>
      <c r="N411" t="s">
        <v>1227</v>
      </c>
      <c r="O411" t="s">
        <v>1227</v>
      </c>
      <c r="P411" t="s">
        <v>1227</v>
      </c>
      <c r="Q411" t="s">
        <v>1227</v>
      </c>
      <c r="R411" t="s">
        <v>1227</v>
      </c>
      <c r="S411" t="s">
        <v>1227</v>
      </c>
      <c r="T411" s="54" t="s">
        <v>1227</v>
      </c>
      <c r="U411" t="s">
        <v>1227</v>
      </c>
    </row>
    <row r="412" spans="1:21" x14ac:dyDescent="0.25">
      <c r="A412" s="44" t="s">
        <v>735</v>
      </c>
      <c r="B412" s="44" t="s">
        <v>356</v>
      </c>
      <c r="C412" s="45">
        <v>53</v>
      </c>
      <c r="D412" s="45"/>
      <c r="E412" s="45">
        <v>5</v>
      </c>
      <c r="F412" s="45"/>
      <c r="G412" s="45">
        <v>11</v>
      </c>
      <c r="H412" s="45"/>
      <c r="I412" s="34">
        <v>16</v>
      </c>
      <c r="J412" t="e">
        <f>I412/(VLOOKUP(B412,'Team Stats'!$B$3:$K$18,5,0))</f>
        <v>#N/A</v>
      </c>
      <c r="M412" t="s">
        <v>1227</v>
      </c>
      <c r="N412" t="s">
        <v>1227</v>
      </c>
      <c r="O412" t="s">
        <v>1227</v>
      </c>
      <c r="P412" t="s">
        <v>1227</v>
      </c>
      <c r="Q412" t="s">
        <v>1227</v>
      </c>
      <c r="R412" t="s">
        <v>1227</v>
      </c>
      <c r="S412" t="s">
        <v>1227</v>
      </c>
      <c r="T412" s="54" t="s">
        <v>1227</v>
      </c>
      <c r="U412" t="s">
        <v>1227</v>
      </c>
    </row>
    <row r="413" spans="1:21" x14ac:dyDescent="0.25">
      <c r="A413" s="44" t="s">
        <v>736</v>
      </c>
      <c r="B413" s="44" t="s">
        <v>203</v>
      </c>
      <c r="C413" s="45">
        <v>73</v>
      </c>
      <c r="D413" s="45"/>
      <c r="E413" s="45">
        <v>2</v>
      </c>
      <c r="F413" s="45"/>
      <c r="G413" s="45">
        <v>14</v>
      </c>
      <c r="H413" s="45"/>
      <c r="I413" s="34">
        <v>16</v>
      </c>
      <c r="J413" t="e">
        <f>I413/(VLOOKUP(B413,'Team Stats'!$B$3:$K$18,5,0))</f>
        <v>#N/A</v>
      </c>
      <c r="M413" t="s">
        <v>1227</v>
      </c>
      <c r="N413" t="s">
        <v>1227</v>
      </c>
      <c r="O413" t="s">
        <v>1227</v>
      </c>
      <c r="P413" t="s">
        <v>1227</v>
      </c>
      <c r="Q413" t="s">
        <v>1227</v>
      </c>
      <c r="R413" t="s">
        <v>1227</v>
      </c>
      <c r="S413" t="s">
        <v>1227</v>
      </c>
      <c r="T413" s="54" t="s">
        <v>1227</v>
      </c>
      <c r="U413" t="s">
        <v>1227</v>
      </c>
    </row>
    <row r="414" spans="1:21" x14ac:dyDescent="0.25">
      <c r="A414" s="44" t="s">
        <v>737</v>
      </c>
      <c r="B414" s="44" t="s">
        <v>205</v>
      </c>
      <c r="C414" s="45">
        <v>42</v>
      </c>
      <c r="D414" s="45"/>
      <c r="E414" s="45">
        <v>10</v>
      </c>
      <c r="F414" s="45"/>
      <c r="G414" s="45">
        <v>6</v>
      </c>
      <c r="H414" s="45"/>
      <c r="I414" s="34">
        <v>16</v>
      </c>
      <c r="J414">
        <f>I414/(VLOOKUP(B414,'Team Stats'!$B$3:$K$18,5,0))</f>
        <v>2.4922118380062305E-2</v>
      </c>
      <c r="M414" t="s">
        <v>1227</v>
      </c>
      <c r="N414" t="s">
        <v>1227</v>
      </c>
      <c r="O414" t="s">
        <v>1227</v>
      </c>
      <c r="P414" t="s">
        <v>1227</v>
      </c>
      <c r="Q414" t="s">
        <v>1227</v>
      </c>
      <c r="R414" t="s">
        <v>1227</v>
      </c>
      <c r="S414" t="s">
        <v>1227</v>
      </c>
      <c r="T414" s="54" t="s">
        <v>1227</v>
      </c>
      <c r="U414" t="s">
        <v>1227</v>
      </c>
    </row>
    <row r="415" spans="1:21" ht="30" x14ac:dyDescent="0.25">
      <c r="A415" s="44" t="s">
        <v>738</v>
      </c>
      <c r="B415" s="44" t="s">
        <v>335</v>
      </c>
      <c r="C415" s="45">
        <v>43</v>
      </c>
      <c r="D415" s="45"/>
      <c r="E415" s="45">
        <v>9</v>
      </c>
      <c r="F415" s="45"/>
      <c r="G415" s="45">
        <v>7</v>
      </c>
      <c r="H415" s="45"/>
      <c r="I415" s="34">
        <v>16</v>
      </c>
      <c r="J415" t="e">
        <f>I415/(VLOOKUP(B415,'Team Stats'!$B$3:$K$18,5,0))</f>
        <v>#N/A</v>
      </c>
      <c r="M415" t="s">
        <v>1227</v>
      </c>
      <c r="N415" t="s">
        <v>1227</v>
      </c>
      <c r="O415" t="s">
        <v>1227</v>
      </c>
      <c r="P415" t="s">
        <v>1227</v>
      </c>
      <c r="Q415" t="s">
        <v>1227</v>
      </c>
      <c r="R415" t="s">
        <v>1227</v>
      </c>
      <c r="S415" t="s">
        <v>1227</v>
      </c>
      <c r="T415" s="54" t="s">
        <v>1227</v>
      </c>
      <c r="U415" t="s">
        <v>1227</v>
      </c>
    </row>
    <row r="416" spans="1:21" x14ac:dyDescent="0.25">
      <c r="A416" s="44" t="s">
        <v>739</v>
      </c>
      <c r="B416" s="44" t="s">
        <v>220</v>
      </c>
      <c r="C416" s="45">
        <v>39</v>
      </c>
      <c r="D416" s="45"/>
      <c r="E416" s="45">
        <v>6</v>
      </c>
      <c r="F416" s="45"/>
      <c r="G416" s="45">
        <v>10</v>
      </c>
      <c r="H416" s="45"/>
      <c r="I416" s="34">
        <v>16</v>
      </c>
      <c r="J416" t="e">
        <f>I416/(VLOOKUP(B416,'Team Stats'!$B$3:$K$18,5,0))</f>
        <v>#N/A</v>
      </c>
      <c r="M416" t="s">
        <v>1227</v>
      </c>
      <c r="N416" t="s">
        <v>1227</v>
      </c>
      <c r="O416" t="s">
        <v>1227</v>
      </c>
      <c r="P416" t="s">
        <v>1227</v>
      </c>
      <c r="Q416" t="s">
        <v>1227</v>
      </c>
      <c r="R416" t="s">
        <v>1227</v>
      </c>
      <c r="S416" t="s">
        <v>1227</v>
      </c>
      <c r="T416" s="54" t="s">
        <v>1227</v>
      </c>
      <c r="U416" t="s">
        <v>1227</v>
      </c>
    </row>
    <row r="417" spans="1:21" x14ac:dyDescent="0.25">
      <c r="A417" s="44" t="s">
        <v>740</v>
      </c>
      <c r="B417" s="44" t="s">
        <v>356</v>
      </c>
      <c r="C417" s="45">
        <v>42</v>
      </c>
      <c r="D417" s="45"/>
      <c r="E417" s="45">
        <v>12</v>
      </c>
      <c r="F417" s="45"/>
      <c r="G417" s="45">
        <v>4</v>
      </c>
      <c r="H417" s="45"/>
      <c r="I417" s="34">
        <v>16</v>
      </c>
      <c r="J417" t="e">
        <f>I417/(VLOOKUP(B417,'Team Stats'!$B$3:$K$18,5,0))</f>
        <v>#N/A</v>
      </c>
      <c r="M417" t="s">
        <v>1227</v>
      </c>
      <c r="N417" t="s">
        <v>1227</v>
      </c>
      <c r="O417" t="s">
        <v>1227</v>
      </c>
      <c r="P417" t="s">
        <v>1227</v>
      </c>
      <c r="Q417" t="s">
        <v>1227</v>
      </c>
      <c r="R417" t="s">
        <v>1227</v>
      </c>
      <c r="S417" t="s">
        <v>1227</v>
      </c>
      <c r="T417" s="54" t="s">
        <v>1227</v>
      </c>
      <c r="U417" t="s">
        <v>1227</v>
      </c>
    </row>
    <row r="418" spans="1:21" x14ac:dyDescent="0.25">
      <c r="A418" s="44" t="s">
        <v>741</v>
      </c>
      <c r="B418" s="44" t="s">
        <v>211</v>
      </c>
      <c r="C418" s="45">
        <v>58</v>
      </c>
      <c r="D418" s="45"/>
      <c r="E418" s="45">
        <v>8</v>
      </c>
      <c r="F418" s="45"/>
      <c r="G418" s="45">
        <v>8</v>
      </c>
      <c r="H418" s="45"/>
      <c r="I418" s="34">
        <v>16</v>
      </c>
      <c r="J418">
        <f>I418/(VLOOKUP(B418,'Team Stats'!$B$3:$K$18,5,0))</f>
        <v>2.6315789473684209E-2</v>
      </c>
      <c r="M418" t="s">
        <v>1227</v>
      </c>
      <c r="N418" t="s">
        <v>1227</v>
      </c>
      <c r="O418" t="s">
        <v>1227</v>
      </c>
      <c r="P418" t="s">
        <v>1227</v>
      </c>
      <c r="Q418" t="s">
        <v>1227</v>
      </c>
      <c r="R418" t="s">
        <v>1227</v>
      </c>
      <c r="S418" t="s">
        <v>1227</v>
      </c>
      <c r="T418" s="54" t="s">
        <v>1227</v>
      </c>
      <c r="U418" t="s">
        <v>1227</v>
      </c>
    </row>
    <row r="419" spans="1:21" x14ac:dyDescent="0.25">
      <c r="A419" s="44" t="s">
        <v>742</v>
      </c>
      <c r="B419" s="44" t="s">
        <v>330</v>
      </c>
      <c r="C419" s="45">
        <v>61</v>
      </c>
      <c r="D419" s="45"/>
      <c r="E419" s="45">
        <v>10</v>
      </c>
      <c r="F419" s="45"/>
      <c r="G419" s="45">
        <v>5</v>
      </c>
      <c r="H419" s="45"/>
      <c r="I419" s="34">
        <v>15</v>
      </c>
      <c r="J419" t="e">
        <f>I419/(VLOOKUP(B419,'Team Stats'!$B$3:$K$18,5,0))</f>
        <v>#N/A</v>
      </c>
      <c r="M419" t="s">
        <v>1227</v>
      </c>
      <c r="N419" t="s">
        <v>1227</v>
      </c>
      <c r="O419" t="s">
        <v>1227</v>
      </c>
      <c r="P419" t="s">
        <v>1227</v>
      </c>
      <c r="Q419" t="s">
        <v>1227</v>
      </c>
      <c r="R419" t="s">
        <v>1227</v>
      </c>
      <c r="S419" t="s">
        <v>1227</v>
      </c>
      <c r="T419" s="54" t="s">
        <v>1227</v>
      </c>
      <c r="U419" t="s">
        <v>1227</v>
      </c>
    </row>
    <row r="420" spans="1:21" x14ac:dyDescent="0.25">
      <c r="A420" s="44" t="s">
        <v>743</v>
      </c>
      <c r="B420" s="44" t="s">
        <v>219</v>
      </c>
      <c r="C420" s="45">
        <v>68</v>
      </c>
      <c r="D420" s="45"/>
      <c r="E420" s="45">
        <v>10</v>
      </c>
      <c r="F420" s="45"/>
      <c r="G420" s="45">
        <v>5</v>
      </c>
      <c r="H420" s="45"/>
      <c r="I420" s="34">
        <v>15</v>
      </c>
      <c r="J420" t="e">
        <f>I420/(VLOOKUP(B420,'Team Stats'!$B$3:$K$18,5,0))</f>
        <v>#N/A</v>
      </c>
      <c r="M420" t="s">
        <v>1227</v>
      </c>
      <c r="N420" t="s">
        <v>1227</v>
      </c>
      <c r="O420" t="s">
        <v>1227</v>
      </c>
      <c r="P420" t="s">
        <v>1227</v>
      </c>
      <c r="Q420" t="s">
        <v>1227</v>
      </c>
      <c r="R420" t="s">
        <v>1227</v>
      </c>
      <c r="S420" t="s">
        <v>1227</v>
      </c>
      <c r="T420" s="54" t="s">
        <v>1227</v>
      </c>
      <c r="U420" t="s">
        <v>1227</v>
      </c>
    </row>
    <row r="421" spans="1:21" x14ac:dyDescent="0.25">
      <c r="A421" s="44" t="s">
        <v>744</v>
      </c>
      <c r="B421" s="44" t="s">
        <v>198</v>
      </c>
      <c r="C421" s="45">
        <v>67</v>
      </c>
      <c r="D421" s="45"/>
      <c r="E421" s="45">
        <v>9</v>
      </c>
      <c r="F421" s="45"/>
      <c r="G421" s="45">
        <v>6</v>
      </c>
      <c r="H421" s="45"/>
      <c r="I421" s="34">
        <v>15</v>
      </c>
      <c r="J421" t="e">
        <f>I421/(VLOOKUP(B421,'Team Stats'!$B$3:$K$18,5,0))</f>
        <v>#N/A</v>
      </c>
      <c r="M421" t="s">
        <v>1227</v>
      </c>
      <c r="N421" t="s">
        <v>1227</v>
      </c>
      <c r="O421" t="s">
        <v>1227</v>
      </c>
      <c r="P421" t="s">
        <v>1227</v>
      </c>
      <c r="Q421" t="s">
        <v>1227</v>
      </c>
      <c r="R421" t="s">
        <v>1227</v>
      </c>
      <c r="S421" t="s">
        <v>1227</v>
      </c>
      <c r="T421" s="54" t="s">
        <v>1227</v>
      </c>
      <c r="U421" t="s">
        <v>1227</v>
      </c>
    </row>
    <row r="422" spans="1:21" x14ac:dyDescent="0.25">
      <c r="A422" s="44" t="s">
        <v>745</v>
      </c>
      <c r="B422" s="44" t="s">
        <v>198</v>
      </c>
      <c r="C422" s="45">
        <v>72</v>
      </c>
      <c r="D422" s="45"/>
      <c r="E422" s="45">
        <v>9</v>
      </c>
      <c r="F422" s="45"/>
      <c r="G422" s="45">
        <v>6</v>
      </c>
      <c r="H422" s="45"/>
      <c r="I422" s="34">
        <v>15</v>
      </c>
      <c r="J422" t="e">
        <f>I422/(VLOOKUP(B422,'Team Stats'!$B$3:$K$18,5,0))</f>
        <v>#N/A</v>
      </c>
      <c r="M422" t="s">
        <v>1227</v>
      </c>
      <c r="N422" t="s">
        <v>1227</v>
      </c>
      <c r="O422" t="s">
        <v>1227</v>
      </c>
      <c r="P422" t="s">
        <v>1227</v>
      </c>
      <c r="Q422" t="s">
        <v>1227</v>
      </c>
      <c r="R422" t="s">
        <v>1227</v>
      </c>
      <c r="S422" t="s">
        <v>1227</v>
      </c>
      <c r="T422" s="54" t="s">
        <v>1227</v>
      </c>
      <c r="U422" t="s">
        <v>1227</v>
      </c>
    </row>
    <row r="423" spans="1:21" x14ac:dyDescent="0.25">
      <c r="A423" s="44" t="s">
        <v>746</v>
      </c>
      <c r="B423" s="44" t="s">
        <v>356</v>
      </c>
      <c r="C423" s="45">
        <v>80</v>
      </c>
      <c r="D423" s="45"/>
      <c r="E423" s="45">
        <v>6</v>
      </c>
      <c r="F423" s="45"/>
      <c r="G423" s="45">
        <v>9</v>
      </c>
      <c r="H423" s="45"/>
      <c r="I423" s="34">
        <v>15</v>
      </c>
      <c r="J423" t="e">
        <f>I423/(VLOOKUP(B423,'Team Stats'!$B$3:$K$18,5,0))</f>
        <v>#N/A</v>
      </c>
      <c r="M423" t="s">
        <v>1227</v>
      </c>
      <c r="N423" t="s">
        <v>1227</v>
      </c>
      <c r="O423" t="s">
        <v>1227</v>
      </c>
      <c r="P423" t="s">
        <v>1227</v>
      </c>
      <c r="Q423" t="s">
        <v>1227</v>
      </c>
      <c r="R423" t="s">
        <v>1227</v>
      </c>
      <c r="S423" t="s">
        <v>1227</v>
      </c>
      <c r="T423" s="54" t="s">
        <v>1227</v>
      </c>
      <c r="U423" t="s">
        <v>1227</v>
      </c>
    </row>
    <row r="424" spans="1:21" x14ac:dyDescent="0.25">
      <c r="A424" s="44" t="s">
        <v>747</v>
      </c>
      <c r="B424" s="44" t="s">
        <v>218</v>
      </c>
      <c r="C424" s="45">
        <v>63</v>
      </c>
      <c r="D424" s="45"/>
      <c r="E424" s="45">
        <v>8</v>
      </c>
      <c r="F424" s="45"/>
      <c r="G424" s="45">
        <v>7</v>
      </c>
      <c r="H424" s="45"/>
      <c r="I424" s="34">
        <v>15</v>
      </c>
      <c r="J424" t="e">
        <f>I424/(VLOOKUP(B424,'Team Stats'!$B$3:$K$18,5,0))</f>
        <v>#N/A</v>
      </c>
      <c r="M424" t="s">
        <v>1227</v>
      </c>
      <c r="N424" t="s">
        <v>1227</v>
      </c>
      <c r="O424" t="s">
        <v>1227</v>
      </c>
      <c r="P424" t="s">
        <v>1227</v>
      </c>
      <c r="Q424" t="s">
        <v>1227</v>
      </c>
      <c r="R424" t="s">
        <v>1227</v>
      </c>
      <c r="S424" t="s">
        <v>1227</v>
      </c>
      <c r="T424" s="54" t="s">
        <v>1227</v>
      </c>
      <c r="U424" t="s">
        <v>1227</v>
      </c>
    </row>
    <row r="425" spans="1:21" x14ac:dyDescent="0.25">
      <c r="A425" s="44" t="s">
        <v>748</v>
      </c>
      <c r="B425" s="44" t="s">
        <v>330</v>
      </c>
      <c r="C425" s="45">
        <v>67</v>
      </c>
      <c r="D425" s="45"/>
      <c r="E425" s="45">
        <v>3</v>
      </c>
      <c r="F425" s="45"/>
      <c r="G425" s="45">
        <v>12</v>
      </c>
      <c r="H425" s="45"/>
      <c r="I425" s="34">
        <v>15</v>
      </c>
      <c r="J425" t="e">
        <f>I425/(VLOOKUP(B425,'Team Stats'!$B$3:$K$18,5,0))</f>
        <v>#N/A</v>
      </c>
      <c r="M425" t="s">
        <v>1227</v>
      </c>
      <c r="N425" t="s">
        <v>1227</v>
      </c>
      <c r="O425" t="s">
        <v>1227</v>
      </c>
      <c r="P425" t="s">
        <v>1227</v>
      </c>
      <c r="Q425" t="s">
        <v>1227</v>
      </c>
      <c r="R425" t="s">
        <v>1227</v>
      </c>
      <c r="S425" t="s">
        <v>1227</v>
      </c>
      <c r="T425" s="54" t="s">
        <v>1227</v>
      </c>
      <c r="U425" t="s">
        <v>1227</v>
      </c>
    </row>
    <row r="426" spans="1:21" x14ac:dyDescent="0.25">
      <c r="A426" s="44" t="s">
        <v>749</v>
      </c>
      <c r="B426" s="44" t="s">
        <v>220</v>
      </c>
      <c r="C426" s="45">
        <v>82</v>
      </c>
      <c r="D426" s="45"/>
      <c r="E426" s="45">
        <v>5</v>
      </c>
      <c r="F426" s="45"/>
      <c r="G426" s="45">
        <v>10</v>
      </c>
      <c r="H426" s="45"/>
      <c r="I426" s="34">
        <v>15</v>
      </c>
      <c r="J426" t="e">
        <f>I426/(VLOOKUP(B426,'Team Stats'!$B$3:$K$18,5,0))</f>
        <v>#N/A</v>
      </c>
      <c r="M426" t="s">
        <v>1227</v>
      </c>
      <c r="N426" t="s">
        <v>1227</v>
      </c>
      <c r="O426" t="s">
        <v>1227</v>
      </c>
      <c r="P426" t="s">
        <v>1227</v>
      </c>
      <c r="Q426" t="s">
        <v>1227</v>
      </c>
      <c r="R426" t="s">
        <v>1227</v>
      </c>
      <c r="S426" t="s">
        <v>1227</v>
      </c>
      <c r="T426" s="54" t="s">
        <v>1227</v>
      </c>
      <c r="U426" t="s">
        <v>1227</v>
      </c>
    </row>
    <row r="427" spans="1:21" x14ac:dyDescent="0.25">
      <c r="A427" s="44" t="s">
        <v>750</v>
      </c>
      <c r="B427" s="44" t="s">
        <v>220</v>
      </c>
      <c r="C427" s="45">
        <v>60</v>
      </c>
      <c r="D427" s="45"/>
      <c r="E427" s="45">
        <v>3</v>
      </c>
      <c r="F427" s="45"/>
      <c r="G427" s="45">
        <v>12</v>
      </c>
      <c r="H427" s="45"/>
      <c r="I427" s="34">
        <v>15</v>
      </c>
      <c r="J427" t="e">
        <f>I427/(VLOOKUP(B427,'Team Stats'!$B$3:$K$18,5,0))</f>
        <v>#N/A</v>
      </c>
      <c r="M427" t="s">
        <v>1227</v>
      </c>
      <c r="N427" t="s">
        <v>1227</v>
      </c>
      <c r="O427" t="s">
        <v>1227</v>
      </c>
      <c r="P427" t="s">
        <v>1227</v>
      </c>
      <c r="Q427" t="s">
        <v>1227</v>
      </c>
      <c r="R427" t="s">
        <v>1227</v>
      </c>
      <c r="S427" t="s">
        <v>1227</v>
      </c>
      <c r="T427" s="54" t="s">
        <v>1227</v>
      </c>
      <c r="U427" t="s">
        <v>1227</v>
      </c>
    </row>
    <row r="428" spans="1:21" x14ac:dyDescent="0.25">
      <c r="A428" s="44" t="s">
        <v>751</v>
      </c>
      <c r="B428" s="44" t="s">
        <v>217</v>
      </c>
      <c r="C428" s="45">
        <v>65</v>
      </c>
      <c r="D428" s="45"/>
      <c r="E428" s="45">
        <v>7</v>
      </c>
      <c r="F428" s="45"/>
      <c r="G428" s="45">
        <v>8</v>
      </c>
      <c r="H428" s="45"/>
      <c r="I428" s="34">
        <v>15</v>
      </c>
      <c r="J428" t="e">
        <f>I428/(VLOOKUP(B428,'Team Stats'!$B$3:$K$18,5,0))</f>
        <v>#N/A</v>
      </c>
      <c r="M428" t="s">
        <v>1227</v>
      </c>
      <c r="N428" t="s">
        <v>1227</v>
      </c>
      <c r="O428" t="s">
        <v>1227</v>
      </c>
      <c r="P428" t="s">
        <v>1227</v>
      </c>
      <c r="Q428" t="s">
        <v>1227</v>
      </c>
      <c r="R428" t="s">
        <v>1227</v>
      </c>
      <c r="S428" t="s">
        <v>1227</v>
      </c>
      <c r="T428" s="54" t="s">
        <v>1227</v>
      </c>
      <c r="U428" t="s">
        <v>1227</v>
      </c>
    </row>
    <row r="429" spans="1:21" x14ac:dyDescent="0.25">
      <c r="A429" s="44" t="s">
        <v>752</v>
      </c>
      <c r="B429" s="44" t="s">
        <v>199</v>
      </c>
      <c r="C429" s="45">
        <v>80</v>
      </c>
      <c r="D429" s="45"/>
      <c r="E429" s="45">
        <v>2</v>
      </c>
      <c r="F429" s="45"/>
      <c r="G429" s="45">
        <v>13</v>
      </c>
      <c r="H429" s="45"/>
      <c r="I429" s="34">
        <v>15</v>
      </c>
      <c r="J429">
        <f>I429/(VLOOKUP(B429,'Team Stats'!$B$3:$K$18,5,0))</f>
        <v>2.2727272727272728E-2</v>
      </c>
      <c r="M429" t="s">
        <v>1227</v>
      </c>
      <c r="N429" t="s">
        <v>1227</v>
      </c>
      <c r="O429" t="s">
        <v>1227</v>
      </c>
      <c r="P429" t="s">
        <v>1227</v>
      </c>
      <c r="Q429" t="s">
        <v>1227</v>
      </c>
      <c r="R429" t="s">
        <v>1227</v>
      </c>
      <c r="S429" t="s">
        <v>1227</v>
      </c>
      <c r="T429" s="54" t="s">
        <v>1227</v>
      </c>
      <c r="U429" t="s">
        <v>1227</v>
      </c>
    </row>
    <row r="430" spans="1:21" x14ac:dyDescent="0.25">
      <c r="A430" s="44" t="s">
        <v>753</v>
      </c>
      <c r="B430" s="44" t="s">
        <v>208</v>
      </c>
      <c r="C430" s="45">
        <v>82</v>
      </c>
      <c r="D430" s="45"/>
      <c r="E430" s="45">
        <v>3</v>
      </c>
      <c r="F430" s="45"/>
      <c r="G430" s="45">
        <v>12</v>
      </c>
      <c r="H430" s="45"/>
      <c r="I430" s="34">
        <v>15</v>
      </c>
      <c r="J430">
        <f>I430/(VLOOKUP(B430,'Team Stats'!$B$3:$K$18,5,0))</f>
        <v>2.3809523809523808E-2</v>
      </c>
      <c r="M430" t="s">
        <v>1227</v>
      </c>
      <c r="N430" t="s">
        <v>1227</v>
      </c>
      <c r="O430" t="s">
        <v>1227</v>
      </c>
      <c r="P430" t="s">
        <v>1227</v>
      </c>
      <c r="Q430" t="s">
        <v>1227</v>
      </c>
      <c r="R430" t="s">
        <v>1227</v>
      </c>
      <c r="S430" t="s">
        <v>1227</v>
      </c>
      <c r="T430" s="54" t="s">
        <v>1227</v>
      </c>
      <c r="U430" t="s">
        <v>1227</v>
      </c>
    </row>
    <row r="431" spans="1:21" x14ac:dyDescent="0.25">
      <c r="A431" s="44" t="s">
        <v>754</v>
      </c>
      <c r="B431" s="44" t="s">
        <v>213</v>
      </c>
      <c r="C431" s="45">
        <v>67</v>
      </c>
      <c r="D431" s="45"/>
      <c r="E431" s="45">
        <v>6</v>
      </c>
      <c r="F431" s="45"/>
      <c r="G431" s="45">
        <v>9</v>
      </c>
      <c r="H431" s="45"/>
      <c r="I431" s="34">
        <v>15</v>
      </c>
      <c r="J431">
        <f>I431/(VLOOKUP(B431,'Team Stats'!$B$3:$K$18,5,0))</f>
        <v>2.4232633279483037E-2</v>
      </c>
      <c r="M431" t="s">
        <v>1227</v>
      </c>
      <c r="N431" t="s">
        <v>1227</v>
      </c>
      <c r="O431" t="s">
        <v>1227</v>
      </c>
      <c r="P431" t="s">
        <v>1227</v>
      </c>
      <c r="Q431" t="s">
        <v>1227</v>
      </c>
      <c r="R431" t="s">
        <v>1227</v>
      </c>
      <c r="S431" t="s">
        <v>1227</v>
      </c>
      <c r="T431" s="54" t="s">
        <v>1227</v>
      </c>
      <c r="U431" t="s">
        <v>1227</v>
      </c>
    </row>
    <row r="432" spans="1:21" x14ac:dyDescent="0.25">
      <c r="A432" s="44" t="s">
        <v>755</v>
      </c>
      <c r="B432" s="44" t="s">
        <v>198</v>
      </c>
      <c r="C432" s="45">
        <v>80</v>
      </c>
      <c r="D432" s="45"/>
      <c r="E432" s="45">
        <v>2</v>
      </c>
      <c r="F432" s="45"/>
      <c r="G432" s="45">
        <v>13</v>
      </c>
      <c r="H432" s="45"/>
      <c r="I432" s="34">
        <v>15</v>
      </c>
      <c r="J432" t="e">
        <f>I432/(VLOOKUP(B432,'Team Stats'!$B$3:$K$18,5,0))</f>
        <v>#N/A</v>
      </c>
      <c r="M432" t="s">
        <v>1227</v>
      </c>
      <c r="N432" t="s">
        <v>1227</v>
      </c>
      <c r="O432" t="s">
        <v>1227</v>
      </c>
      <c r="P432" t="s">
        <v>1227</v>
      </c>
      <c r="Q432" t="s">
        <v>1227</v>
      </c>
      <c r="R432" t="s">
        <v>1227</v>
      </c>
      <c r="S432" t="s">
        <v>1227</v>
      </c>
      <c r="T432" s="54" t="s">
        <v>1227</v>
      </c>
      <c r="U432" t="s">
        <v>1227</v>
      </c>
    </row>
    <row r="433" spans="1:21" x14ac:dyDescent="0.25">
      <c r="A433" s="44" t="s">
        <v>756</v>
      </c>
      <c r="B433" s="44" t="s">
        <v>215</v>
      </c>
      <c r="C433" s="45">
        <v>76</v>
      </c>
      <c r="D433" s="45"/>
      <c r="E433" s="45">
        <v>2</v>
      </c>
      <c r="F433" s="45"/>
      <c r="G433" s="45">
        <v>13</v>
      </c>
      <c r="H433" s="45"/>
      <c r="I433" s="34">
        <v>15</v>
      </c>
      <c r="J433" t="e">
        <f>I433/(VLOOKUP(B433,'Team Stats'!$B$3:$K$18,5,0))</f>
        <v>#N/A</v>
      </c>
      <c r="M433" t="s">
        <v>1227</v>
      </c>
      <c r="N433" t="s">
        <v>1227</v>
      </c>
      <c r="O433" t="s">
        <v>1227</v>
      </c>
      <c r="P433" t="s">
        <v>1227</v>
      </c>
      <c r="Q433" t="s">
        <v>1227</v>
      </c>
      <c r="R433" t="s">
        <v>1227</v>
      </c>
      <c r="S433" t="s">
        <v>1227</v>
      </c>
      <c r="T433" s="54" t="s">
        <v>1227</v>
      </c>
      <c r="U433" t="s">
        <v>1227</v>
      </c>
    </row>
    <row r="434" spans="1:21" x14ac:dyDescent="0.25">
      <c r="A434" s="44" t="s">
        <v>757</v>
      </c>
      <c r="B434" s="44" t="s">
        <v>211</v>
      </c>
      <c r="C434" s="45">
        <v>72</v>
      </c>
      <c r="D434" s="45"/>
      <c r="E434" s="45">
        <v>7</v>
      </c>
      <c r="F434" s="45"/>
      <c r="G434" s="45">
        <v>7</v>
      </c>
      <c r="H434" s="45"/>
      <c r="I434" s="34">
        <v>14</v>
      </c>
      <c r="J434">
        <f>I434/(VLOOKUP(B434,'Team Stats'!$B$3:$K$18,5,0))</f>
        <v>2.3026315789473683E-2</v>
      </c>
      <c r="M434" t="s">
        <v>1227</v>
      </c>
      <c r="N434" t="s">
        <v>1227</v>
      </c>
      <c r="O434" t="s">
        <v>1227</v>
      </c>
      <c r="P434" t="s">
        <v>1227</v>
      </c>
      <c r="Q434" t="s">
        <v>1227</v>
      </c>
      <c r="R434" t="s">
        <v>1227</v>
      </c>
      <c r="S434" t="s">
        <v>1227</v>
      </c>
      <c r="T434" s="54" t="s">
        <v>1227</v>
      </c>
      <c r="U434" t="s">
        <v>1227</v>
      </c>
    </row>
    <row r="435" spans="1:21" x14ac:dyDescent="0.25">
      <c r="A435" s="44" t="s">
        <v>758</v>
      </c>
      <c r="B435" s="44" t="s">
        <v>215</v>
      </c>
      <c r="C435" s="45">
        <v>78</v>
      </c>
      <c r="D435" s="45"/>
      <c r="E435" s="45">
        <v>5</v>
      </c>
      <c r="F435" s="45"/>
      <c r="G435" s="45">
        <v>9</v>
      </c>
      <c r="H435" s="45"/>
      <c r="I435" s="34">
        <v>14</v>
      </c>
      <c r="J435" t="e">
        <f>I435/(VLOOKUP(B435,'Team Stats'!$B$3:$K$18,5,0))</f>
        <v>#N/A</v>
      </c>
      <c r="M435" t="s">
        <v>1227</v>
      </c>
      <c r="N435" t="s">
        <v>1227</v>
      </c>
      <c r="O435" t="s">
        <v>1227</v>
      </c>
      <c r="P435" t="s">
        <v>1227</v>
      </c>
      <c r="Q435" t="s">
        <v>1227</v>
      </c>
      <c r="R435" t="s">
        <v>1227</v>
      </c>
      <c r="S435" t="s">
        <v>1227</v>
      </c>
      <c r="T435" s="54" t="s">
        <v>1227</v>
      </c>
      <c r="U435" t="s">
        <v>1227</v>
      </c>
    </row>
    <row r="436" spans="1:21" x14ac:dyDescent="0.25">
      <c r="A436" s="44" t="s">
        <v>759</v>
      </c>
      <c r="B436" s="44" t="s">
        <v>339</v>
      </c>
      <c r="C436" s="45">
        <v>80</v>
      </c>
      <c r="D436" s="45"/>
      <c r="E436" s="45">
        <v>7</v>
      </c>
      <c r="F436" s="45"/>
      <c r="G436" s="45">
        <v>7</v>
      </c>
      <c r="H436" s="45"/>
      <c r="I436" s="34">
        <v>14</v>
      </c>
      <c r="J436" t="e">
        <f>I436/(VLOOKUP(B436,'Team Stats'!$B$3:$K$18,5,0))</f>
        <v>#N/A</v>
      </c>
      <c r="M436" t="s">
        <v>1227</v>
      </c>
      <c r="N436" t="s">
        <v>1227</v>
      </c>
      <c r="O436" t="s">
        <v>1227</v>
      </c>
      <c r="P436" t="s">
        <v>1227</v>
      </c>
      <c r="Q436" t="s">
        <v>1227</v>
      </c>
      <c r="R436" t="s">
        <v>1227</v>
      </c>
      <c r="S436" t="s">
        <v>1227</v>
      </c>
      <c r="T436" s="54" t="s">
        <v>1227</v>
      </c>
      <c r="U436" t="s">
        <v>1227</v>
      </c>
    </row>
    <row r="437" spans="1:21" x14ac:dyDescent="0.25">
      <c r="A437" s="44" t="s">
        <v>760</v>
      </c>
      <c r="B437" s="44" t="s">
        <v>201</v>
      </c>
      <c r="C437" s="45">
        <v>49</v>
      </c>
      <c r="D437" s="45"/>
      <c r="E437" s="45">
        <v>3</v>
      </c>
      <c r="F437" s="45"/>
      <c r="G437" s="45">
        <v>11</v>
      </c>
      <c r="H437" s="45"/>
      <c r="I437" s="34">
        <v>14</v>
      </c>
      <c r="J437">
        <f>I437/(VLOOKUP(B437,'Team Stats'!$B$3:$K$18,5,0))</f>
        <v>2.329450915141431E-2</v>
      </c>
      <c r="M437" t="s">
        <v>1227</v>
      </c>
      <c r="N437" t="s">
        <v>1227</v>
      </c>
      <c r="O437" t="s">
        <v>1227</v>
      </c>
      <c r="P437" t="s">
        <v>1227</v>
      </c>
      <c r="Q437" t="s">
        <v>1227</v>
      </c>
      <c r="R437" t="s">
        <v>1227</v>
      </c>
      <c r="S437" t="s">
        <v>1227</v>
      </c>
      <c r="T437" s="54" t="s">
        <v>1227</v>
      </c>
      <c r="U437" t="s">
        <v>1227</v>
      </c>
    </row>
    <row r="438" spans="1:21" x14ac:dyDescent="0.25">
      <c r="A438" s="44" t="s">
        <v>761</v>
      </c>
      <c r="B438" s="44" t="s">
        <v>364</v>
      </c>
      <c r="C438" s="45">
        <v>73</v>
      </c>
      <c r="D438" s="45"/>
      <c r="E438" s="45">
        <v>4</v>
      </c>
      <c r="F438" s="45"/>
      <c r="G438" s="45">
        <v>10</v>
      </c>
      <c r="H438" s="45"/>
      <c r="I438" s="34">
        <v>14</v>
      </c>
      <c r="J438" t="e">
        <f>I438/(VLOOKUP(B438,'Team Stats'!$B$3:$K$18,5,0))</f>
        <v>#N/A</v>
      </c>
      <c r="M438" t="s">
        <v>1227</v>
      </c>
      <c r="N438" t="s">
        <v>1227</v>
      </c>
      <c r="O438" t="s">
        <v>1227</v>
      </c>
      <c r="P438" t="s">
        <v>1227</v>
      </c>
      <c r="Q438" t="s">
        <v>1227</v>
      </c>
      <c r="R438" t="s">
        <v>1227</v>
      </c>
      <c r="S438" t="s">
        <v>1227</v>
      </c>
      <c r="T438" s="54" t="s">
        <v>1227</v>
      </c>
      <c r="U438" t="s">
        <v>1227</v>
      </c>
    </row>
    <row r="439" spans="1:21" x14ac:dyDescent="0.25">
      <c r="A439" s="44" t="s">
        <v>762</v>
      </c>
      <c r="B439" s="44" t="s">
        <v>209</v>
      </c>
      <c r="C439" s="45">
        <v>81</v>
      </c>
      <c r="D439" s="45"/>
      <c r="E439" s="45">
        <v>7</v>
      </c>
      <c r="F439" s="45"/>
      <c r="G439" s="45">
        <v>7</v>
      </c>
      <c r="H439" s="45"/>
      <c r="I439" s="34">
        <v>14</v>
      </c>
      <c r="J439">
        <f>I439/(VLOOKUP(B439,'Team Stats'!$B$3:$K$18,5,0))</f>
        <v>2.3569023569023569E-2</v>
      </c>
      <c r="M439" t="s">
        <v>1227</v>
      </c>
      <c r="N439" t="s">
        <v>1227</v>
      </c>
      <c r="O439" t="s">
        <v>1227</v>
      </c>
      <c r="P439" t="s">
        <v>1227</v>
      </c>
      <c r="Q439" t="s">
        <v>1227</v>
      </c>
      <c r="R439" t="s">
        <v>1227</v>
      </c>
      <c r="S439" t="s">
        <v>1227</v>
      </c>
      <c r="T439" s="54" t="s">
        <v>1227</v>
      </c>
      <c r="U439" t="s">
        <v>1227</v>
      </c>
    </row>
    <row r="440" spans="1:21" x14ac:dyDescent="0.25">
      <c r="A440" s="44" t="s">
        <v>763</v>
      </c>
      <c r="B440" s="44" t="s">
        <v>221</v>
      </c>
      <c r="C440" s="45">
        <v>70</v>
      </c>
      <c r="D440" s="45"/>
      <c r="E440" s="45">
        <v>4</v>
      </c>
      <c r="F440" s="45"/>
      <c r="G440" s="45">
        <v>10</v>
      </c>
      <c r="H440" s="45"/>
      <c r="I440" s="34">
        <v>14</v>
      </c>
      <c r="J440" t="e">
        <f>I440/(VLOOKUP(B440,'Team Stats'!$B$3:$K$18,5,0))</f>
        <v>#N/A</v>
      </c>
      <c r="M440" t="s">
        <v>1227</v>
      </c>
      <c r="N440" t="s">
        <v>1227</v>
      </c>
      <c r="O440" t="s">
        <v>1227</v>
      </c>
      <c r="P440" t="s">
        <v>1227</v>
      </c>
      <c r="Q440" t="s">
        <v>1227</v>
      </c>
      <c r="R440" t="s">
        <v>1227</v>
      </c>
      <c r="S440" t="s">
        <v>1227</v>
      </c>
      <c r="T440" s="54" t="s">
        <v>1227</v>
      </c>
      <c r="U440" t="s">
        <v>1227</v>
      </c>
    </row>
    <row r="441" spans="1:21" x14ac:dyDescent="0.25">
      <c r="A441" s="44" t="s">
        <v>764</v>
      </c>
      <c r="B441" s="44" t="s">
        <v>344</v>
      </c>
      <c r="C441" s="45">
        <v>68</v>
      </c>
      <c r="D441" s="45"/>
      <c r="E441" s="45">
        <v>3</v>
      </c>
      <c r="F441" s="45"/>
      <c r="G441" s="45">
        <v>11</v>
      </c>
      <c r="H441" s="45"/>
      <c r="I441" s="34">
        <v>14</v>
      </c>
      <c r="J441" t="e">
        <f>I441/(VLOOKUP(B441,'Team Stats'!$B$3:$K$18,5,0))</f>
        <v>#N/A</v>
      </c>
      <c r="M441" t="s">
        <v>1227</v>
      </c>
      <c r="N441" t="s">
        <v>1227</v>
      </c>
      <c r="O441" t="s">
        <v>1227</v>
      </c>
      <c r="P441" t="s">
        <v>1227</v>
      </c>
      <c r="Q441" t="s">
        <v>1227</v>
      </c>
      <c r="R441" t="s">
        <v>1227</v>
      </c>
      <c r="S441" t="s">
        <v>1227</v>
      </c>
      <c r="T441" s="54" t="s">
        <v>1227</v>
      </c>
      <c r="U441" t="s">
        <v>1227</v>
      </c>
    </row>
    <row r="442" spans="1:21" x14ac:dyDescent="0.25">
      <c r="A442" s="44" t="s">
        <v>765</v>
      </c>
      <c r="B442" s="44" t="s">
        <v>220</v>
      </c>
      <c r="C442" s="45">
        <v>60</v>
      </c>
      <c r="D442" s="45"/>
      <c r="E442" s="45">
        <v>7</v>
      </c>
      <c r="F442" s="45"/>
      <c r="G442" s="45">
        <v>7</v>
      </c>
      <c r="H442" s="45"/>
      <c r="I442" s="34">
        <v>14</v>
      </c>
      <c r="J442" t="e">
        <f>I442/(VLOOKUP(B442,'Team Stats'!$B$3:$K$18,5,0))</f>
        <v>#N/A</v>
      </c>
      <c r="M442" t="s">
        <v>1227</v>
      </c>
      <c r="N442" t="s">
        <v>1227</v>
      </c>
      <c r="O442" t="s">
        <v>1227</v>
      </c>
      <c r="P442" t="s">
        <v>1227</v>
      </c>
      <c r="Q442" t="s">
        <v>1227</v>
      </c>
      <c r="R442" t="s">
        <v>1227</v>
      </c>
      <c r="S442" t="s">
        <v>1227</v>
      </c>
      <c r="T442" s="54" t="s">
        <v>1227</v>
      </c>
      <c r="U442" t="s">
        <v>1227</v>
      </c>
    </row>
    <row r="443" spans="1:21" x14ac:dyDescent="0.25">
      <c r="A443" s="44" t="s">
        <v>766</v>
      </c>
      <c r="B443" s="44" t="s">
        <v>195</v>
      </c>
      <c r="C443" s="45">
        <v>78</v>
      </c>
      <c r="D443" s="45"/>
      <c r="E443" s="45">
        <v>8</v>
      </c>
      <c r="F443" s="45"/>
      <c r="G443" s="45">
        <v>6</v>
      </c>
      <c r="H443" s="45"/>
      <c r="I443" s="34">
        <v>14</v>
      </c>
      <c r="J443">
        <f>I443/(VLOOKUP(B443,'Team Stats'!$B$3:$K$18,5,0))</f>
        <v>2.1341463414634148E-2</v>
      </c>
      <c r="M443" t="s">
        <v>1227</v>
      </c>
      <c r="N443" t="s">
        <v>1227</v>
      </c>
      <c r="O443" t="s">
        <v>1227</v>
      </c>
      <c r="P443" t="s">
        <v>1227</v>
      </c>
      <c r="Q443" t="s">
        <v>1227</v>
      </c>
      <c r="R443" t="s">
        <v>1227</v>
      </c>
      <c r="S443" t="s">
        <v>1227</v>
      </c>
      <c r="T443" s="54" t="s">
        <v>1227</v>
      </c>
      <c r="U443" t="s">
        <v>1227</v>
      </c>
    </row>
    <row r="444" spans="1:21" x14ac:dyDescent="0.25">
      <c r="A444" s="44" t="s">
        <v>767</v>
      </c>
      <c r="B444" s="44" t="s">
        <v>205</v>
      </c>
      <c r="C444" s="45">
        <v>60</v>
      </c>
      <c r="D444" s="45"/>
      <c r="E444" s="45">
        <v>4</v>
      </c>
      <c r="F444" s="45"/>
      <c r="G444" s="45">
        <v>10</v>
      </c>
      <c r="H444" s="45"/>
      <c r="I444" s="34">
        <v>14</v>
      </c>
      <c r="J444">
        <f>I444/(VLOOKUP(B444,'Team Stats'!$B$3:$K$18,5,0))</f>
        <v>2.1806853582554516E-2</v>
      </c>
      <c r="M444" t="s">
        <v>1227</v>
      </c>
      <c r="N444" t="s">
        <v>1227</v>
      </c>
      <c r="O444" t="s">
        <v>1227</v>
      </c>
      <c r="P444" t="s">
        <v>1227</v>
      </c>
      <c r="Q444" t="s">
        <v>1227</v>
      </c>
      <c r="R444" t="s">
        <v>1227</v>
      </c>
      <c r="S444" t="s">
        <v>1227</v>
      </c>
      <c r="T444" s="54" t="s">
        <v>1227</v>
      </c>
      <c r="U444" t="s">
        <v>1227</v>
      </c>
    </row>
    <row r="445" spans="1:21" x14ac:dyDescent="0.25">
      <c r="A445" s="44" t="s">
        <v>768</v>
      </c>
      <c r="B445" s="44" t="s">
        <v>216</v>
      </c>
      <c r="C445" s="45">
        <v>82</v>
      </c>
      <c r="D445" s="45"/>
      <c r="E445" s="45">
        <v>3</v>
      </c>
      <c r="F445" s="45"/>
      <c r="G445" s="45">
        <v>11</v>
      </c>
      <c r="H445" s="45"/>
      <c r="I445" s="34">
        <v>14</v>
      </c>
      <c r="J445" t="e">
        <f>I445/(VLOOKUP(B445,'Team Stats'!$B$3:$K$18,5,0))</f>
        <v>#N/A</v>
      </c>
      <c r="M445" t="s">
        <v>1227</v>
      </c>
      <c r="N445" t="s">
        <v>1227</v>
      </c>
      <c r="O445" t="s">
        <v>1227</v>
      </c>
      <c r="P445" t="s">
        <v>1227</v>
      </c>
      <c r="Q445" t="s">
        <v>1227</v>
      </c>
      <c r="R445" t="s">
        <v>1227</v>
      </c>
      <c r="S445" t="s">
        <v>1227</v>
      </c>
      <c r="T445" s="54" t="s">
        <v>1227</v>
      </c>
      <c r="U445" t="s">
        <v>1227</v>
      </c>
    </row>
    <row r="446" spans="1:21" x14ac:dyDescent="0.25">
      <c r="A446" s="44" t="s">
        <v>769</v>
      </c>
      <c r="B446" s="44" t="s">
        <v>209</v>
      </c>
      <c r="C446" s="45">
        <v>70</v>
      </c>
      <c r="D446" s="45"/>
      <c r="E446" s="45">
        <v>2</v>
      </c>
      <c r="F446" s="45"/>
      <c r="G446" s="45">
        <v>12</v>
      </c>
      <c r="H446" s="45"/>
      <c r="I446" s="34">
        <v>14</v>
      </c>
      <c r="J446">
        <f>I446/(VLOOKUP(B446,'Team Stats'!$B$3:$K$18,5,0))</f>
        <v>2.3569023569023569E-2</v>
      </c>
      <c r="M446" t="s">
        <v>1227</v>
      </c>
      <c r="N446" t="s">
        <v>1227</v>
      </c>
      <c r="O446" t="s">
        <v>1227</v>
      </c>
      <c r="P446" t="s">
        <v>1227</v>
      </c>
      <c r="Q446" t="s">
        <v>1227</v>
      </c>
      <c r="R446" t="s">
        <v>1227</v>
      </c>
      <c r="S446" t="s">
        <v>1227</v>
      </c>
      <c r="T446" s="54" t="s">
        <v>1227</v>
      </c>
      <c r="U446" t="s">
        <v>1227</v>
      </c>
    </row>
    <row r="447" spans="1:21" x14ac:dyDescent="0.25">
      <c r="A447" s="44" t="s">
        <v>770</v>
      </c>
      <c r="B447" s="44" t="s">
        <v>330</v>
      </c>
      <c r="C447" s="45">
        <v>51</v>
      </c>
      <c r="D447" s="45"/>
      <c r="E447" s="45">
        <v>6</v>
      </c>
      <c r="F447" s="45"/>
      <c r="G447" s="45">
        <v>8</v>
      </c>
      <c r="H447" s="45"/>
      <c r="I447" s="34">
        <v>14</v>
      </c>
      <c r="J447" t="e">
        <f>I447/(VLOOKUP(B447,'Team Stats'!$B$3:$K$18,5,0))</f>
        <v>#N/A</v>
      </c>
      <c r="M447" t="s">
        <v>1227</v>
      </c>
      <c r="N447" t="s">
        <v>1227</v>
      </c>
      <c r="O447" t="s">
        <v>1227</v>
      </c>
      <c r="P447" t="s">
        <v>1227</v>
      </c>
      <c r="Q447" t="s">
        <v>1227</v>
      </c>
      <c r="R447" t="s">
        <v>1227</v>
      </c>
      <c r="S447" t="s">
        <v>1227</v>
      </c>
      <c r="T447" s="54" t="s">
        <v>1227</v>
      </c>
      <c r="U447" t="s">
        <v>1227</v>
      </c>
    </row>
    <row r="448" spans="1:21" x14ac:dyDescent="0.25">
      <c r="A448" s="44" t="s">
        <v>771</v>
      </c>
      <c r="B448" s="44" t="s">
        <v>198</v>
      </c>
      <c r="C448" s="45">
        <v>68</v>
      </c>
      <c r="D448" s="45"/>
      <c r="E448" s="45">
        <v>5</v>
      </c>
      <c r="F448" s="45"/>
      <c r="G448" s="45">
        <v>9</v>
      </c>
      <c r="H448" s="45"/>
      <c r="I448" s="34">
        <v>14</v>
      </c>
      <c r="J448" t="e">
        <f>I448/(VLOOKUP(B448,'Team Stats'!$B$3:$K$18,5,0))</f>
        <v>#N/A</v>
      </c>
      <c r="M448" t="s">
        <v>1227</v>
      </c>
      <c r="N448" t="s">
        <v>1227</v>
      </c>
      <c r="O448" t="s">
        <v>1227</v>
      </c>
      <c r="P448" t="s">
        <v>1227</v>
      </c>
      <c r="Q448" t="s">
        <v>1227</v>
      </c>
      <c r="R448" t="s">
        <v>1227</v>
      </c>
      <c r="S448" t="s">
        <v>1227</v>
      </c>
      <c r="T448" s="54" t="s">
        <v>1227</v>
      </c>
      <c r="U448" t="s">
        <v>1227</v>
      </c>
    </row>
    <row r="449" spans="1:21" x14ac:dyDescent="0.25">
      <c r="A449" s="44" t="s">
        <v>772</v>
      </c>
      <c r="B449" s="44" t="s">
        <v>214</v>
      </c>
      <c r="C449" s="45">
        <v>70</v>
      </c>
      <c r="D449" s="45"/>
      <c r="E449" s="45">
        <v>3</v>
      </c>
      <c r="F449" s="45"/>
      <c r="G449" s="45">
        <v>11</v>
      </c>
      <c r="H449" s="45"/>
      <c r="I449" s="34">
        <v>14</v>
      </c>
      <c r="J449" t="e">
        <f>I449/(VLOOKUP(B449,'Team Stats'!$B$3:$K$18,5,0))</f>
        <v>#N/A</v>
      </c>
      <c r="M449" t="s">
        <v>1227</v>
      </c>
      <c r="N449" t="s">
        <v>1227</v>
      </c>
      <c r="O449" t="s">
        <v>1227</v>
      </c>
      <c r="P449" t="s">
        <v>1227</v>
      </c>
      <c r="Q449" t="s">
        <v>1227</v>
      </c>
      <c r="R449" t="s">
        <v>1227</v>
      </c>
      <c r="S449" t="s">
        <v>1227</v>
      </c>
      <c r="T449" s="54" t="s">
        <v>1227</v>
      </c>
      <c r="U449" t="s">
        <v>1227</v>
      </c>
    </row>
    <row r="450" spans="1:21" x14ac:dyDescent="0.25">
      <c r="A450" s="44" t="s">
        <v>773</v>
      </c>
      <c r="B450" s="44" t="s">
        <v>198</v>
      </c>
      <c r="C450" s="45">
        <v>58</v>
      </c>
      <c r="D450" s="45"/>
      <c r="E450" s="45">
        <v>3</v>
      </c>
      <c r="F450" s="45"/>
      <c r="G450" s="45">
        <v>11</v>
      </c>
      <c r="H450" s="45"/>
      <c r="I450" s="34">
        <v>14</v>
      </c>
      <c r="J450" t="e">
        <f>I450/(VLOOKUP(B450,'Team Stats'!$B$3:$K$18,5,0))</f>
        <v>#N/A</v>
      </c>
      <c r="M450" t="s">
        <v>1227</v>
      </c>
      <c r="N450" t="s">
        <v>1227</v>
      </c>
      <c r="O450" t="s">
        <v>1227</v>
      </c>
      <c r="P450" t="s">
        <v>1227</v>
      </c>
      <c r="Q450" t="s">
        <v>1227</v>
      </c>
      <c r="R450" t="s">
        <v>1227</v>
      </c>
      <c r="S450" t="s">
        <v>1227</v>
      </c>
      <c r="T450" s="54" t="s">
        <v>1227</v>
      </c>
      <c r="U450" t="s">
        <v>1227</v>
      </c>
    </row>
    <row r="451" spans="1:21" x14ac:dyDescent="0.25">
      <c r="A451" s="44" t="s">
        <v>774</v>
      </c>
      <c r="B451" s="44" t="s">
        <v>344</v>
      </c>
      <c r="C451" s="45">
        <v>65</v>
      </c>
      <c r="D451" s="45"/>
      <c r="E451" s="45">
        <v>6</v>
      </c>
      <c r="F451" s="45"/>
      <c r="G451" s="45">
        <v>8</v>
      </c>
      <c r="H451" s="45"/>
      <c r="I451" s="34">
        <v>14</v>
      </c>
      <c r="J451" t="e">
        <f>I451/(VLOOKUP(B451,'Team Stats'!$B$3:$K$18,5,0))</f>
        <v>#N/A</v>
      </c>
      <c r="M451" t="s">
        <v>1227</v>
      </c>
      <c r="N451" t="s">
        <v>1227</v>
      </c>
      <c r="O451" t="s">
        <v>1227</v>
      </c>
      <c r="P451" t="s">
        <v>1227</v>
      </c>
      <c r="Q451" t="s">
        <v>1227</v>
      </c>
      <c r="R451" t="s">
        <v>1227</v>
      </c>
      <c r="S451" t="s">
        <v>1227</v>
      </c>
      <c r="T451" s="54" t="s">
        <v>1227</v>
      </c>
      <c r="U451" t="s">
        <v>1227</v>
      </c>
    </row>
    <row r="452" spans="1:21" x14ac:dyDescent="0.25">
      <c r="A452" s="44" t="s">
        <v>775</v>
      </c>
      <c r="B452" s="44" t="s">
        <v>202</v>
      </c>
      <c r="C452" s="45">
        <v>58</v>
      </c>
      <c r="D452" s="45"/>
      <c r="E452" s="45">
        <v>6</v>
      </c>
      <c r="F452" s="45"/>
      <c r="G452" s="45">
        <v>8</v>
      </c>
      <c r="H452" s="45"/>
      <c r="I452" s="34">
        <v>14</v>
      </c>
      <c r="J452">
        <f>I452/(VLOOKUP(B452,'Team Stats'!$B$3:$K$18,5,0))</f>
        <v>2.1244309559939303E-2</v>
      </c>
      <c r="M452" t="s">
        <v>1227</v>
      </c>
      <c r="N452" t="s">
        <v>1227</v>
      </c>
      <c r="O452" t="s">
        <v>1227</v>
      </c>
      <c r="P452" t="s">
        <v>1227</v>
      </c>
      <c r="Q452" t="s">
        <v>1227</v>
      </c>
      <c r="R452" t="s">
        <v>1227</v>
      </c>
      <c r="S452" t="s">
        <v>1227</v>
      </c>
      <c r="T452" s="54" t="s">
        <v>1227</v>
      </c>
      <c r="U452" t="s">
        <v>1227</v>
      </c>
    </row>
    <row r="453" spans="1:21" x14ac:dyDescent="0.25">
      <c r="A453" s="44" t="s">
        <v>776</v>
      </c>
      <c r="B453" s="44" t="s">
        <v>197</v>
      </c>
      <c r="C453" s="45">
        <v>49</v>
      </c>
      <c r="D453" s="45"/>
      <c r="E453" s="45">
        <v>3</v>
      </c>
      <c r="F453" s="45"/>
      <c r="G453" s="45">
        <v>11</v>
      </c>
      <c r="H453" s="45"/>
      <c r="I453" s="34">
        <v>14</v>
      </c>
      <c r="J453">
        <f>I453/(VLOOKUP(B453,'Team Stats'!$B$3:$K$18,5,0))</f>
        <v>2.3333333333333334E-2</v>
      </c>
      <c r="M453" t="s">
        <v>1227</v>
      </c>
      <c r="N453" t="s">
        <v>1227</v>
      </c>
      <c r="O453" t="s">
        <v>1227</v>
      </c>
      <c r="P453" t="s">
        <v>1227</v>
      </c>
      <c r="Q453" t="s">
        <v>1227</v>
      </c>
      <c r="R453" t="s">
        <v>1227</v>
      </c>
      <c r="S453" t="s">
        <v>1227</v>
      </c>
      <c r="T453" s="54" t="s">
        <v>1227</v>
      </c>
      <c r="U453" t="s">
        <v>1227</v>
      </c>
    </row>
    <row r="454" spans="1:21" x14ac:dyDescent="0.25">
      <c r="A454" s="44" t="s">
        <v>777</v>
      </c>
      <c r="B454" s="44" t="s">
        <v>219</v>
      </c>
      <c r="C454" s="45">
        <v>66</v>
      </c>
      <c r="D454" s="45"/>
      <c r="E454" s="45">
        <v>2</v>
      </c>
      <c r="F454" s="45"/>
      <c r="G454" s="45">
        <v>12</v>
      </c>
      <c r="H454" s="45"/>
      <c r="I454" s="34">
        <v>14</v>
      </c>
      <c r="J454" t="e">
        <f>I454/(VLOOKUP(B454,'Team Stats'!$B$3:$K$18,5,0))</f>
        <v>#N/A</v>
      </c>
      <c r="M454" t="s">
        <v>1227</v>
      </c>
      <c r="N454" t="s">
        <v>1227</v>
      </c>
      <c r="O454" t="s">
        <v>1227</v>
      </c>
      <c r="P454" t="s">
        <v>1227</v>
      </c>
      <c r="Q454" t="s">
        <v>1227</v>
      </c>
      <c r="R454" t="s">
        <v>1227</v>
      </c>
      <c r="S454" t="s">
        <v>1227</v>
      </c>
      <c r="T454" s="54" t="s">
        <v>1227</v>
      </c>
      <c r="U454" t="s">
        <v>1227</v>
      </c>
    </row>
    <row r="455" spans="1:21" x14ac:dyDescent="0.25">
      <c r="A455" s="44" t="s">
        <v>778</v>
      </c>
      <c r="B455" s="44" t="s">
        <v>344</v>
      </c>
      <c r="C455" s="45">
        <v>48</v>
      </c>
      <c r="D455" s="45"/>
      <c r="E455" s="45">
        <v>1</v>
      </c>
      <c r="F455" s="45"/>
      <c r="G455" s="45">
        <v>13</v>
      </c>
      <c r="H455" s="45"/>
      <c r="I455" s="34">
        <v>14</v>
      </c>
      <c r="J455" t="e">
        <f>I455/(VLOOKUP(B455,'Team Stats'!$B$3:$K$18,5,0))</f>
        <v>#N/A</v>
      </c>
      <c r="M455" t="s">
        <v>1227</v>
      </c>
      <c r="N455" t="s">
        <v>1227</v>
      </c>
      <c r="O455" t="s">
        <v>1227</v>
      </c>
      <c r="P455" t="s">
        <v>1227</v>
      </c>
      <c r="Q455" t="s">
        <v>1227</v>
      </c>
      <c r="R455" t="s">
        <v>1227</v>
      </c>
      <c r="S455" t="s">
        <v>1227</v>
      </c>
      <c r="T455" s="54" t="s">
        <v>1227</v>
      </c>
      <c r="U455" t="s">
        <v>1227</v>
      </c>
    </row>
    <row r="456" spans="1:21" x14ac:dyDescent="0.25">
      <c r="A456" s="44" t="s">
        <v>779</v>
      </c>
      <c r="B456" s="44" t="s">
        <v>195</v>
      </c>
      <c r="C456" s="45">
        <v>38</v>
      </c>
      <c r="D456" s="45"/>
      <c r="E456" s="45">
        <v>6</v>
      </c>
      <c r="F456" s="45"/>
      <c r="G456" s="45">
        <v>8</v>
      </c>
      <c r="H456" s="45"/>
      <c r="I456" s="34">
        <v>14</v>
      </c>
      <c r="J456">
        <f>I456/(VLOOKUP(B456,'Team Stats'!$B$3:$K$18,5,0))</f>
        <v>2.1341463414634148E-2</v>
      </c>
      <c r="M456" t="s">
        <v>1227</v>
      </c>
      <c r="N456" t="s">
        <v>1227</v>
      </c>
      <c r="O456" t="s">
        <v>1227</v>
      </c>
      <c r="P456" t="s">
        <v>1227</v>
      </c>
      <c r="Q456" t="s">
        <v>1227</v>
      </c>
      <c r="R456" t="s">
        <v>1227</v>
      </c>
      <c r="S456" t="s">
        <v>1227</v>
      </c>
      <c r="T456" s="54" t="s">
        <v>1227</v>
      </c>
      <c r="U456" t="s">
        <v>1227</v>
      </c>
    </row>
    <row r="457" spans="1:21" x14ac:dyDescent="0.25">
      <c r="A457" s="44" t="s">
        <v>780</v>
      </c>
      <c r="B457" s="44" t="s">
        <v>219</v>
      </c>
      <c r="C457" s="45">
        <v>40</v>
      </c>
      <c r="D457" s="45"/>
      <c r="E457" s="45">
        <v>5</v>
      </c>
      <c r="F457" s="45"/>
      <c r="G457" s="45">
        <v>9</v>
      </c>
      <c r="H457" s="45"/>
      <c r="I457" s="34">
        <v>14</v>
      </c>
      <c r="J457" t="e">
        <f>I457/(VLOOKUP(B457,'Team Stats'!$B$3:$K$18,5,0))</f>
        <v>#N/A</v>
      </c>
      <c r="M457" t="s">
        <v>1227</v>
      </c>
      <c r="N457" t="s">
        <v>1227</v>
      </c>
      <c r="O457" t="s">
        <v>1227</v>
      </c>
      <c r="P457" t="s">
        <v>1227</v>
      </c>
      <c r="Q457" t="s">
        <v>1227</v>
      </c>
      <c r="R457" t="s">
        <v>1227</v>
      </c>
      <c r="S457" t="s">
        <v>1227</v>
      </c>
      <c r="T457" s="54" t="s">
        <v>1227</v>
      </c>
      <c r="U457" t="s">
        <v>1227</v>
      </c>
    </row>
    <row r="458" spans="1:21" x14ac:dyDescent="0.25">
      <c r="A458" s="44" t="s">
        <v>781</v>
      </c>
      <c r="B458" s="44" t="s">
        <v>197</v>
      </c>
      <c r="C458" s="45">
        <v>60</v>
      </c>
      <c r="D458" s="45"/>
      <c r="E458" s="45">
        <v>2</v>
      </c>
      <c r="F458" s="45"/>
      <c r="G458" s="45">
        <v>12</v>
      </c>
      <c r="H458" s="45"/>
      <c r="I458" s="34">
        <v>14</v>
      </c>
      <c r="J458">
        <f>I458/(VLOOKUP(B458,'Team Stats'!$B$3:$K$18,5,0))</f>
        <v>2.3333333333333334E-2</v>
      </c>
      <c r="M458" t="s">
        <v>1227</v>
      </c>
      <c r="N458" t="s">
        <v>1227</v>
      </c>
      <c r="O458" t="s">
        <v>1227</v>
      </c>
      <c r="P458" t="s">
        <v>1227</v>
      </c>
      <c r="Q458" t="s">
        <v>1227</v>
      </c>
      <c r="R458" t="s">
        <v>1227</v>
      </c>
      <c r="S458" t="s">
        <v>1227</v>
      </c>
      <c r="T458" s="54" t="s">
        <v>1227</v>
      </c>
      <c r="U458" t="s">
        <v>1227</v>
      </c>
    </row>
    <row r="459" spans="1:21" x14ac:dyDescent="0.25">
      <c r="A459" s="44" t="s">
        <v>782</v>
      </c>
      <c r="B459" s="44" t="s">
        <v>213</v>
      </c>
      <c r="C459" s="45">
        <v>56</v>
      </c>
      <c r="D459" s="45"/>
      <c r="E459" s="45">
        <v>3</v>
      </c>
      <c r="F459" s="45"/>
      <c r="G459" s="45">
        <v>10</v>
      </c>
      <c r="H459" s="45"/>
      <c r="I459" s="34">
        <v>13</v>
      </c>
      <c r="J459">
        <f>I459/(VLOOKUP(B459,'Team Stats'!$B$3:$K$18,5,0))</f>
        <v>2.10016155088853E-2</v>
      </c>
      <c r="M459" t="s">
        <v>1227</v>
      </c>
      <c r="N459" t="s">
        <v>1227</v>
      </c>
      <c r="O459" t="s">
        <v>1227</v>
      </c>
      <c r="P459" t="s">
        <v>1227</v>
      </c>
      <c r="Q459" t="s">
        <v>1227</v>
      </c>
      <c r="R459" t="s">
        <v>1227</v>
      </c>
      <c r="S459" t="s">
        <v>1227</v>
      </c>
      <c r="T459" s="54" t="s">
        <v>1227</v>
      </c>
      <c r="U459" t="s">
        <v>1227</v>
      </c>
    </row>
    <row r="460" spans="1:21" x14ac:dyDescent="0.25">
      <c r="A460" s="44" t="s">
        <v>783</v>
      </c>
      <c r="B460" s="44" t="s">
        <v>335</v>
      </c>
      <c r="C460" s="45">
        <v>72</v>
      </c>
      <c r="D460" s="45"/>
      <c r="E460" s="45">
        <v>0</v>
      </c>
      <c r="F460" s="45"/>
      <c r="G460" s="45">
        <v>13</v>
      </c>
      <c r="H460" s="45"/>
      <c r="I460" s="34">
        <v>13</v>
      </c>
      <c r="J460" t="e">
        <f>I460/(VLOOKUP(B460,'Team Stats'!$B$3:$K$18,5,0))</f>
        <v>#N/A</v>
      </c>
      <c r="M460" t="s">
        <v>1227</v>
      </c>
      <c r="N460" t="s">
        <v>1227</v>
      </c>
      <c r="O460" t="s">
        <v>1227</v>
      </c>
      <c r="P460" t="s">
        <v>1227</v>
      </c>
      <c r="Q460" t="s">
        <v>1227</v>
      </c>
      <c r="R460" t="s">
        <v>1227</v>
      </c>
      <c r="S460" t="s">
        <v>1227</v>
      </c>
      <c r="T460" s="54" t="s">
        <v>1227</v>
      </c>
      <c r="U460" t="s">
        <v>1227</v>
      </c>
    </row>
    <row r="461" spans="1:21" x14ac:dyDescent="0.25">
      <c r="A461" s="44" t="s">
        <v>784</v>
      </c>
      <c r="B461" s="44" t="s">
        <v>364</v>
      </c>
      <c r="C461" s="45">
        <v>69</v>
      </c>
      <c r="D461" s="45"/>
      <c r="E461" s="45">
        <v>3</v>
      </c>
      <c r="F461" s="45"/>
      <c r="G461" s="45">
        <v>10</v>
      </c>
      <c r="H461" s="45"/>
      <c r="I461" s="34">
        <v>13</v>
      </c>
      <c r="J461" t="e">
        <f>I461/(VLOOKUP(B461,'Team Stats'!$B$3:$K$18,5,0))</f>
        <v>#N/A</v>
      </c>
      <c r="M461" t="s">
        <v>1227</v>
      </c>
      <c r="N461" t="s">
        <v>1227</v>
      </c>
      <c r="O461" t="s">
        <v>1227</v>
      </c>
      <c r="P461" t="s">
        <v>1227</v>
      </c>
      <c r="Q461" t="s">
        <v>1227</v>
      </c>
      <c r="R461" t="s">
        <v>1227</v>
      </c>
      <c r="S461" t="s">
        <v>1227</v>
      </c>
      <c r="T461" s="54" t="s">
        <v>1227</v>
      </c>
      <c r="U461" t="s">
        <v>1227</v>
      </c>
    </row>
    <row r="462" spans="1:21" x14ac:dyDescent="0.25">
      <c r="A462" s="44" t="s">
        <v>785</v>
      </c>
      <c r="B462" s="44" t="s">
        <v>219</v>
      </c>
      <c r="C462" s="45">
        <v>77</v>
      </c>
      <c r="D462" s="45"/>
      <c r="E462" s="45">
        <v>7</v>
      </c>
      <c r="F462" s="45"/>
      <c r="G462" s="45">
        <v>6</v>
      </c>
      <c r="H462" s="45"/>
      <c r="I462" s="34">
        <v>13</v>
      </c>
      <c r="J462" t="e">
        <f>I462/(VLOOKUP(B462,'Team Stats'!$B$3:$K$18,5,0))</f>
        <v>#N/A</v>
      </c>
      <c r="M462" t="s">
        <v>1227</v>
      </c>
      <c r="N462" t="s">
        <v>1227</v>
      </c>
      <c r="O462" t="s">
        <v>1227</v>
      </c>
      <c r="P462" t="s">
        <v>1227</v>
      </c>
      <c r="Q462" t="s">
        <v>1227</v>
      </c>
      <c r="R462" t="s">
        <v>1227</v>
      </c>
      <c r="S462" t="s">
        <v>1227</v>
      </c>
      <c r="T462" s="54" t="s">
        <v>1227</v>
      </c>
      <c r="U462" t="s">
        <v>1227</v>
      </c>
    </row>
    <row r="463" spans="1:21" x14ac:dyDescent="0.25">
      <c r="A463" s="44" t="s">
        <v>786</v>
      </c>
      <c r="B463" s="44" t="s">
        <v>215</v>
      </c>
      <c r="C463" s="45">
        <v>81</v>
      </c>
      <c r="D463" s="45"/>
      <c r="E463" s="45">
        <v>1</v>
      </c>
      <c r="F463" s="45"/>
      <c r="G463" s="45">
        <v>12</v>
      </c>
      <c r="H463" s="45"/>
      <c r="I463" s="34">
        <v>13</v>
      </c>
      <c r="J463" t="e">
        <f>I463/(VLOOKUP(B463,'Team Stats'!$B$3:$K$18,5,0))</f>
        <v>#N/A</v>
      </c>
      <c r="M463" t="s">
        <v>1227</v>
      </c>
      <c r="N463" t="s">
        <v>1227</v>
      </c>
      <c r="O463" t="s">
        <v>1227</v>
      </c>
      <c r="P463" t="s">
        <v>1227</v>
      </c>
      <c r="Q463" t="s">
        <v>1227</v>
      </c>
      <c r="R463" t="s">
        <v>1227</v>
      </c>
      <c r="S463" t="s">
        <v>1227</v>
      </c>
      <c r="T463" s="54" t="s">
        <v>1227</v>
      </c>
      <c r="U463" t="s">
        <v>1227</v>
      </c>
    </row>
    <row r="464" spans="1:21" x14ac:dyDescent="0.25">
      <c r="A464" s="44" t="s">
        <v>787</v>
      </c>
      <c r="B464" s="44" t="s">
        <v>219</v>
      </c>
      <c r="C464" s="45">
        <v>61</v>
      </c>
      <c r="D464" s="45"/>
      <c r="E464" s="45">
        <v>5</v>
      </c>
      <c r="F464" s="45"/>
      <c r="G464" s="45">
        <v>8</v>
      </c>
      <c r="H464" s="45"/>
      <c r="I464" s="34">
        <v>13</v>
      </c>
      <c r="J464" t="e">
        <f>I464/(VLOOKUP(B464,'Team Stats'!$B$3:$K$18,5,0))</f>
        <v>#N/A</v>
      </c>
      <c r="M464" t="s">
        <v>1227</v>
      </c>
      <c r="N464" t="s">
        <v>1227</v>
      </c>
      <c r="O464" t="s">
        <v>1227</v>
      </c>
      <c r="P464" t="s">
        <v>1227</v>
      </c>
      <c r="Q464" t="s">
        <v>1227</v>
      </c>
      <c r="R464" t="s">
        <v>1227</v>
      </c>
      <c r="S464" t="s">
        <v>1227</v>
      </c>
      <c r="T464" s="54" t="s">
        <v>1227</v>
      </c>
      <c r="U464" t="s">
        <v>1227</v>
      </c>
    </row>
    <row r="465" spans="1:21" x14ac:dyDescent="0.25">
      <c r="A465" s="44" t="s">
        <v>788</v>
      </c>
      <c r="B465" s="44" t="s">
        <v>330</v>
      </c>
      <c r="C465" s="45">
        <v>54</v>
      </c>
      <c r="D465" s="45"/>
      <c r="E465" s="45">
        <v>7</v>
      </c>
      <c r="F465" s="45"/>
      <c r="G465" s="45">
        <v>6</v>
      </c>
      <c r="H465" s="45"/>
      <c r="I465" s="34">
        <v>13</v>
      </c>
      <c r="J465" t="e">
        <f>I465/(VLOOKUP(B465,'Team Stats'!$B$3:$K$18,5,0))</f>
        <v>#N/A</v>
      </c>
      <c r="M465" t="s">
        <v>1227</v>
      </c>
      <c r="N465" t="s">
        <v>1227</v>
      </c>
      <c r="O465" t="s">
        <v>1227</v>
      </c>
      <c r="P465" t="s">
        <v>1227</v>
      </c>
      <c r="Q465" t="s">
        <v>1227</v>
      </c>
      <c r="R465" t="s">
        <v>1227</v>
      </c>
      <c r="S465" t="s">
        <v>1227</v>
      </c>
      <c r="T465" s="54" t="s">
        <v>1227</v>
      </c>
      <c r="U465" t="s">
        <v>1227</v>
      </c>
    </row>
    <row r="466" spans="1:21" x14ac:dyDescent="0.25">
      <c r="A466" s="44" t="s">
        <v>789</v>
      </c>
      <c r="B466" s="44" t="s">
        <v>218</v>
      </c>
      <c r="C466" s="45">
        <v>76</v>
      </c>
      <c r="D466" s="45"/>
      <c r="E466" s="45">
        <v>4</v>
      </c>
      <c r="F466" s="45"/>
      <c r="G466" s="45">
        <v>9</v>
      </c>
      <c r="H466" s="45"/>
      <c r="I466" s="34">
        <v>13</v>
      </c>
      <c r="J466" t="e">
        <f>I466/(VLOOKUP(B466,'Team Stats'!$B$3:$K$18,5,0))</f>
        <v>#N/A</v>
      </c>
      <c r="M466" t="s">
        <v>1227</v>
      </c>
      <c r="N466" t="s">
        <v>1227</v>
      </c>
      <c r="O466" t="s">
        <v>1227</v>
      </c>
      <c r="P466" t="s">
        <v>1227</v>
      </c>
      <c r="Q466" t="s">
        <v>1227</v>
      </c>
      <c r="R466" t="s">
        <v>1227</v>
      </c>
      <c r="S466" t="s">
        <v>1227</v>
      </c>
      <c r="T466" s="54" t="s">
        <v>1227</v>
      </c>
      <c r="U466" t="s">
        <v>1227</v>
      </c>
    </row>
    <row r="467" spans="1:21" x14ac:dyDescent="0.25">
      <c r="A467" s="44" t="s">
        <v>790</v>
      </c>
      <c r="B467" s="44" t="s">
        <v>208</v>
      </c>
      <c r="C467" s="45">
        <v>35</v>
      </c>
      <c r="D467" s="45"/>
      <c r="E467" s="45">
        <v>5</v>
      </c>
      <c r="F467" s="45"/>
      <c r="G467" s="45">
        <v>8</v>
      </c>
      <c r="H467" s="45"/>
      <c r="I467" s="34">
        <v>13</v>
      </c>
      <c r="J467">
        <f>I467/(VLOOKUP(B467,'Team Stats'!$B$3:$K$18,5,0))</f>
        <v>2.0634920634920634E-2</v>
      </c>
      <c r="M467" t="s">
        <v>1227</v>
      </c>
      <c r="N467" t="s">
        <v>1227</v>
      </c>
      <c r="O467" t="s">
        <v>1227</v>
      </c>
      <c r="P467" t="s">
        <v>1227</v>
      </c>
      <c r="Q467" t="s">
        <v>1227</v>
      </c>
      <c r="R467" t="s">
        <v>1227</v>
      </c>
      <c r="S467" t="s">
        <v>1227</v>
      </c>
      <c r="T467" s="54" t="s">
        <v>1227</v>
      </c>
      <c r="U467" t="s">
        <v>1227</v>
      </c>
    </row>
    <row r="468" spans="1:21" x14ac:dyDescent="0.25">
      <c r="A468" s="44" t="s">
        <v>791</v>
      </c>
      <c r="B468" s="44" t="s">
        <v>356</v>
      </c>
      <c r="C468" s="45">
        <v>67</v>
      </c>
      <c r="D468" s="45"/>
      <c r="E468" s="45">
        <v>3</v>
      </c>
      <c r="F468" s="45"/>
      <c r="G468" s="45">
        <v>10</v>
      </c>
      <c r="H468" s="45"/>
      <c r="I468" s="34">
        <v>13</v>
      </c>
      <c r="J468" t="e">
        <f>I468/(VLOOKUP(B468,'Team Stats'!$B$3:$K$18,5,0))</f>
        <v>#N/A</v>
      </c>
      <c r="M468" t="s">
        <v>1227</v>
      </c>
      <c r="N468" t="s">
        <v>1227</v>
      </c>
      <c r="O468" t="s">
        <v>1227</v>
      </c>
      <c r="P468" t="s">
        <v>1227</v>
      </c>
      <c r="Q468" t="s">
        <v>1227</v>
      </c>
      <c r="R468" t="s">
        <v>1227</v>
      </c>
      <c r="S468" t="s">
        <v>1227</v>
      </c>
      <c r="T468" s="54" t="s">
        <v>1227</v>
      </c>
      <c r="U468" t="s">
        <v>1227</v>
      </c>
    </row>
    <row r="469" spans="1:21" x14ac:dyDescent="0.25">
      <c r="A469" s="44" t="s">
        <v>792</v>
      </c>
      <c r="B469" s="44" t="s">
        <v>212</v>
      </c>
      <c r="C469" s="45">
        <v>59</v>
      </c>
      <c r="D469" s="45"/>
      <c r="E469" s="45">
        <v>7</v>
      </c>
      <c r="F469" s="45"/>
      <c r="G469" s="45">
        <v>6</v>
      </c>
      <c r="H469" s="45"/>
      <c r="I469" s="34">
        <v>13</v>
      </c>
      <c r="J469" t="e">
        <f>I469/(VLOOKUP(B469,'Team Stats'!$B$3:$K$18,5,0))</f>
        <v>#N/A</v>
      </c>
      <c r="M469" t="s">
        <v>1227</v>
      </c>
      <c r="N469" t="s">
        <v>1227</v>
      </c>
      <c r="O469" t="s">
        <v>1227</v>
      </c>
      <c r="P469" t="s">
        <v>1227</v>
      </c>
      <c r="Q469" t="s">
        <v>1227</v>
      </c>
      <c r="R469" t="s">
        <v>1227</v>
      </c>
      <c r="S469" t="s">
        <v>1227</v>
      </c>
      <c r="T469" s="54" t="s">
        <v>1227</v>
      </c>
      <c r="U469" t="s">
        <v>1227</v>
      </c>
    </row>
    <row r="470" spans="1:21" x14ac:dyDescent="0.25">
      <c r="A470" s="44" t="s">
        <v>793</v>
      </c>
      <c r="B470" s="44" t="s">
        <v>208</v>
      </c>
      <c r="C470" s="45">
        <v>82</v>
      </c>
      <c r="D470" s="45"/>
      <c r="E470" s="45">
        <v>5</v>
      </c>
      <c r="F470" s="45"/>
      <c r="G470" s="45">
        <v>8</v>
      </c>
      <c r="H470" s="45"/>
      <c r="I470" s="34">
        <v>13</v>
      </c>
      <c r="J470">
        <f>I470/(VLOOKUP(B470,'Team Stats'!$B$3:$K$18,5,0))</f>
        <v>2.0634920634920634E-2</v>
      </c>
      <c r="M470" t="s">
        <v>1227</v>
      </c>
      <c r="N470" t="s">
        <v>1227</v>
      </c>
      <c r="O470" t="s">
        <v>1227</v>
      </c>
      <c r="P470" t="s">
        <v>1227</v>
      </c>
      <c r="Q470" t="s">
        <v>1227</v>
      </c>
      <c r="R470" t="s">
        <v>1227</v>
      </c>
      <c r="S470" t="s">
        <v>1227</v>
      </c>
      <c r="T470" s="54" t="s">
        <v>1227</v>
      </c>
      <c r="U470" t="s">
        <v>1227</v>
      </c>
    </row>
    <row r="471" spans="1:21" x14ac:dyDescent="0.25">
      <c r="A471" s="44" t="s">
        <v>794</v>
      </c>
      <c r="B471" s="44" t="s">
        <v>220</v>
      </c>
      <c r="C471" s="45">
        <v>78</v>
      </c>
      <c r="D471" s="45"/>
      <c r="E471" s="45">
        <v>6</v>
      </c>
      <c r="F471" s="45"/>
      <c r="G471" s="45">
        <v>7</v>
      </c>
      <c r="H471" s="45"/>
      <c r="I471" s="34">
        <v>13</v>
      </c>
      <c r="J471" t="e">
        <f>I471/(VLOOKUP(B471,'Team Stats'!$B$3:$K$18,5,0))</f>
        <v>#N/A</v>
      </c>
      <c r="M471" t="s">
        <v>1227</v>
      </c>
      <c r="N471" t="s">
        <v>1227</v>
      </c>
      <c r="O471" t="s">
        <v>1227</v>
      </c>
      <c r="P471" t="s">
        <v>1227</v>
      </c>
      <c r="Q471" t="s">
        <v>1227</v>
      </c>
      <c r="R471" t="s">
        <v>1227</v>
      </c>
      <c r="S471" t="s">
        <v>1227</v>
      </c>
      <c r="T471" s="54" t="s">
        <v>1227</v>
      </c>
      <c r="U471" t="s">
        <v>1227</v>
      </c>
    </row>
    <row r="472" spans="1:21" x14ac:dyDescent="0.25">
      <c r="A472" s="44" t="s">
        <v>795</v>
      </c>
      <c r="B472" s="44" t="s">
        <v>214</v>
      </c>
      <c r="C472" s="45">
        <v>68</v>
      </c>
      <c r="D472" s="45"/>
      <c r="E472" s="45">
        <v>6</v>
      </c>
      <c r="F472" s="45"/>
      <c r="G472" s="45">
        <v>7</v>
      </c>
      <c r="H472" s="45"/>
      <c r="I472" s="34">
        <v>13</v>
      </c>
      <c r="J472" t="e">
        <f>I472/(VLOOKUP(B472,'Team Stats'!$B$3:$K$18,5,0))</f>
        <v>#N/A</v>
      </c>
      <c r="M472" t="s">
        <v>1227</v>
      </c>
      <c r="N472" t="s">
        <v>1227</v>
      </c>
      <c r="O472" t="s">
        <v>1227</v>
      </c>
      <c r="P472" t="s">
        <v>1227</v>
      </c>
      <c r="Q472" t="s">
        <v>1227</v>
      </c>
      <c r="R472" t="s">
        <v>1227</v>
      </c>
      <c r="S472" t="s">
        <v>1227</v>
      </c>
      <c r="T472" s="54" t="s">
        <v>1227</v>
      </c>
      <c r="U472" t="s">
        <v>1227</v>
      </c>
    </row>
    <row r="473" spans="1:21" x14ac:dyDescent="0.25">
      <c r="A473" s="44" t="s">
        <v>796</v>
      </c>
      <c r="B473" s="44" t="s">
        <v>217</v>
      </c>
      <c r="C473" s="45">
        <v>37</v>
      </c>
      <c r="D473" s="45"/>
      <c r="E473" s="45">
        <v>4</v>
      </c>
      <c r="F473" s="45"/>
      <c r="G473" s="45">
        <v>9</v>
      </c>
      <c r="H473" s="45"/>
      <c r="I473" s="34">
        <v>13</v>
      </c>
      <c r="J473" t="e">
        <f>I473/(VLOOKUP(B473,'Team Stats'!$B$3:$K$18,5,0))</f>
        <v>#N/A</v>
      </c>
      <c r="M473" t="s">
        <v>1227</v>
      </c>
      <c r="N473" t="s">
        <v>1227</v>
      </c>
      <c r="O473" t="s">
        <v>1227</v>
      </c>
      <c r="P473" t="s">
        <v>1227</v>
      </c>
      <c r="Q473" t="s">
        <v>1227</v>
      </c>
      <c r="R473" t="s">
        <v>1227</v>
      </c>
      <c r="S473" t="s">
        <v>1227</v>
      </c>
      <c r="T473" s="54" t="s">
        <v>1227</v>
      </c>
      <c r="U473" t="s">
        <v>1227</v>
      </c>
    </row>
    <row r="474" spans="1:21" x14ac:dyDescent="0.25">
      <c r="A474" s="44" t="s">
        <v>797</v>
      </c>
      <c r="B474" s="44" t="s">
        <v>201</v>
      </c>
      <c r="C474" s="45">
        <v>65</v>
      </c>
      <c r="D474" s="45"/>
      <c r="E474" s="45">
        <v>1</v>
      </c>
      <c r="F474" s="45"/>
      <c r="G474" s="45">
        <v>12</v>
      </c>
      <c r="H474" s="45"/>
      <c r="I474" s="34">
        <v>13</v>
      </c>
      <c r="J474">
        <f>I474/(VLOOKUP(B474,'Team Stats'!$B$3:$K$18,5,0))</f>
        <v>2.1630615640599003E-2</v>
      </c>
      <c r="M474" t="s">
        <v>1227</v>
      </c>
      <c r="N474" t="s">
        <v>1227</v>
      </c>
      <c r="O474" t="s">
        <v>1227</v>
      </c>
      <c r="P474" t="s">
        <v>1227</v>
      </c>
      <c r="Q474" t="s">
        <v>1227</v>
      </c>
      <c r="R474" t="s">
        <v>1227</v>
      </c>
      <c r="S474" t="s">
        <v>1227</v>
      </c>
      <c r="T474" s="54" t="s">
        <v>1227</v>
      </c>
      <c r="U474" t="s">
        <v>1227</v>
      </c>
    </row>
    <row r="475" spans="1:21" x14ac:dyDescent="0.25">
      <c r="A475" s="44" t="s">
        <v>798</v>
      </c>
      <c r="B475" s="44" t="s">
        <v>211</v>
      </c>
      <c r="C475" s="45">
        <v>53</v>
      </c>
      <c r="D475" s="45"/>
      <c r="E475" s="45">
        <v>3</v>
      </c>
      <c r="F475" s="45"/>
      <c r="G475" s="45">
        <v>10</v>
      </c>
      <c r="H475" s="45"/>
      <c r="I475" s="34">
        <v>13</v>
      </c>
      <c r="J475">
        <f>I475/(VLOOKUP(B475,'Team Stats'!$B$3:$K$18,5,0))</f>
        <v>2.1381578947368422E-2</v>
      </c>
      <c r="M475" t="s">
        <v>1227</v>
      </c>
      <c r="N475" t="s">
        <v>1227</v>
      </c>
      <c r="O475" t="s">
        <v>1227</v>
      </c>
      <c r="P475" t="s">
        <v>1227</v>
      </c>
      <c r="Q475" t="s">
        <v>1227</v>
      </c>
      <c r="R475" t="s">
        <v>1227</v>
      </c>
      <c r="S475" t="s">
        <v>1227</v>
      </c>
      <c r="T475" s="54" t="s">
        <v>1227</v>
      </c>
      <c r="U475" t="s">
        <v>1227</v>
      </c>
    </row>
    <row r="476" spans="1:21" x14ac:dyDescent="0.25">
      <c r="A476" s="44" t="s">
        <v>799</v>
      </c>
      <c r="B476" s="44" t="s">
        <v>195</v>
      </c>
      <c r="C476" s="45">
        <v>34</v>
      </c>
      <c r="D476" s="45"/>
      <c r="E476" s="45">
        <v>8</v>
      </c>
      <c r="F476" s="45"/>
      <c r="G476" s="45">
        <v>5</v>
      </c>
      <c r="H476" s="45"/>
      <c r="I476" s="34">
        <v>13</v>
      </c>
      <c r="J476">
        <f>I476/(VLOOKUP(B476,'Team Stats'!$B$3:$K$18,5,0))</f>
        <v>1.9817073170731708E-2</v>
      </c>
      <c r="M476" t="s">
        <v>1227</v>
      </c>
      <c r="N476" t="s">
        <v>1227</v>
      </c>
      <c r="O476" t="s">
        <v>1227</v>
      </c>
      <c r="P476" t="s">
        <v>1227</v>
      </c>
      <c r="Q476" t="s">
        <v>1227</v>
      </c>
      <c r="R476" t="s">
        <v>1227</v>
      </c>
      <c r="S476" t="s">
        <v>1227</v>
      </c>
      <c r="T476" s="54" t="s">
        <v>1227</v>
      </c>
      <c r="U476" t="s">
        <v>1227</v>
      </c>
    </row>
    <row r="477" spans="1:21" x14ac:dyDescent="0.25">
      <c r="A477" s="44" t="s">
        <v>800</v>
      </c>
      <c r="B477" s="44" t="s">
        <v>209</v>
      </c>
      <c r="C477" s="45">
        <v>82</v>
      </c>
      <c r="D477" s="45"/>
      <c r="E477" s="45">
        <v>5</v>
      </c>
      <c r="F477" s="45"/>
      <c r="G477" s="45">
        <v>8</v>
      </c>
      <c r="H477" s="45"/>
      <c r="I477" s="34">
        <v>13</v>
      </c>
      <c r="J477">
        <f>I477/(VLOOKUP(B477,'Team Stats'!$B$3:$K$18,5,0))</f>
        <v>2.1885521885521887E-2</v>
      </c>
      <c r="M477" t="s">
        <v>1227</v>
      </c>
      <c r="N477" t="s">
        <v>1227</v>
      </c>
      <c r="O477" t="s">
        <v>1227</v>
      </c>
      <c r="P477" t="s">
        <v>1227</v>
      </c>
      <c r="Q477" t="s">
        <v>1227</v>
      </c>
      <c r="R477" t="s">
        <v>1227</v>
      </c>
      <c r="S477" t="s">
        <v>1227</v>
      </c>
      <c r="T477" s="54" t="s">
        <v>1227</v>
      </c>
      <c r="U477" t="s">
        <v>1227</v>
      </c>
    </row>
    <row r="478" spans="1:21" x14ac:dyDescent="0.25">
      <c r="A478" s="44" t="s">
        <v>801</v>
      </c>
      <c r="B478" s="44" t="s">
        <v>215</v>
      </c>
      <c r="C478" s="45">
        <v>65</v>
      </c>
      <c r="D478" s="45"/>
      <c r="E478" s="45">
        <v>3</v>
      </c>
      <c r="F478" s="45"/>
      <c r="G478" s="45">
        <v>10</v>
      </c>
      <c r="H478" s="45"/>
      <c r="I478" s="34">
        <v>13</v>
      </c>
      <c r="J478" t="e">
        <f>I478/(VLOOKUP(B478,'Team Stats'!$B$3:$K$18,5,0))</f>
        <v>#N/A</v>
      </c>
      <c r="M478" t="s">
        <v>1227</v>
      </c>
      <c r="N478" t="s">
        <v>1227</v>
      </c>
      <c r="O478" t="s">
        <v>1227</v>
      </c>
      <c r="P478" t="s">
        <v>1227</v>
      </c>
      <c r="Q478" t="s">
        <v>1227</v>
      </c>
      <c r="R478" t="s">
        <v>1227</v>
      </c>
      <c r="S478" t="s">
        <v>1227</v>
      </c>
      <c r="T478" s="54" t="s">
        <v>1227</v>
      </c>
      <c r="U478" t="s">
        <v>1227</v>
      </c>
    </row>
    <row r="479" spans="1:21" x14ac:dyDescent="0.25">
      <c r="A479" s="44" t="s">
        <v>802</v>
      </c>
      <c r="B479" s="44" t="s">
        <v>216</v>
      </c>
      <c r="C479" s="45">
        <v>71</v>
      </c>
      <c r="D479" s="45"/>
      <c r="E479" s="45">
        <v>6</v>
      </c>
      <c r="F479" s="45"/>
      <c r="G479" s="45">
        <v>7</v>
      </c>
      <c r="H479" s="45"/>
      <c r="I479" s="34">
        <v>13</v>
      </c>
      <c r="J479" t="e">
        <f>I479/(VLOOKUP(B479,'Team Stats'!$B$3:$K$18,5,0))</f>
        <v>#N/A</v>
      </c>
      <c r="M479" t="s">
        <v>1227</v>
      </c>
      <c r="N479" t="s">
        <v>1227</v>
      </c>
      <c r="O479" t="s">
        <v>1227</v>
      </c>
      <c r="P479" t="s">
        <v>1227</v>
      </c>
      <c r="Q479" t="s">
        <v>1227</v>
      </c>
      <c r="R479" t="s">
        <v>1227</v>
      </c>
      <c r="S479" t="s">
        <v>1227</v>
      </c>
      <c r="T479" s="54" t="s">
        <v>1227</v>
      </c>
      <c r="U479" t="s">
        <v>1227</v>
      </c>
    </row>
    <row r="480" spans="1:21" x14ac:dyDescent="0.25">
      <c r="A480" s="44" t="s">
        <v>803</v>
      </c>
      <c r="B480" s="44" t="s">
        <v>199</v>
      </c>
      <c r="C480" s="45">
        <v>72</v>
      </c>
      <c r="D480" s="45"/>
      <c r="E480" s="45">
        <v>2</v>
      </c>
      <c r="F480" s="45"/>
      <c r="G480" s="45">
        <v>11</v>
      </c>
      <c r="H480" s="45"/>
      <c r="I480" s="34">
        <v>13</v>
      </c>
      <c r="J480">
        <f>I480/(VLOOKUP(B480,'Team Stats'!$B$3:$K$18,5,0))</f>
        <v>1.9696969696969695E-2</v>
      </c>
      <c r="M480" t="s">
        <v>1227</v>
      </c>
      <c r="N480" t="s">
        <v>1227</v>
      </c>
      <c r="O480" t="s">
        <v>1227</v>
      </c>
      <c r="P480" t="s">
        <v>1227</v>
      </c>
      <c r="Q480" t="s">
        <v>1227</v>
      </c>
      <c r="R480" t="s">
        <v>1227</v>
      </c>
      <c r="S480" t="s">
        <v>1227</v>
      </c>
      <c r="T480" s="54" t="s">
        <v>1227</v>
      </c>
      <c r="U480" t="s">
        <v>1227</v>
      </c>
    </row>
    <row r="481" spans="1:21" x14ac:dyDescent="0.25">
      <c r="A481" s="44" t="s">
        <v>804</v>
      </c>
      <c r="B481" s="44" t="s">
        <v>208</v>
      </c>
      <c r="C481" s="45">
        <v>76</v>
      </c>
      <c r="D481" s="45"/>
      <c r="E481" s="45">
        <v>4</v>
      </c>
      <c r="F481" s="45"/>
      <c r="G481" s="45">
        <v>9</v>
      </c>
      <c r="H481" s="45"/>
      <c r="I481" s="34">
        <v>13</v>
      </c>
      <c r="J481">
        <f>I481/(VLOOKUP(B481,'Team Stats'!$B$3:$K$18,5,0))</f>
        <v>2.0634920634920634E-2</v>
      </c>
      <c r="M481" t="s">
        <v>1227</v>
      </c>
      <c r="N481" t="s">
        <v>1227</v>
      </c>
      <c r="O481" t="s">
        <v>1227</v>
      </c>
      <c r="P481" t="s">
        <v>1227</v>
      </c>
      <c r="Q481" t="s">
        <v>1227</v>
      </c>
      <c r="R481" t="s">
        <v>1227</v>
      </c>
      <c r="S481" t="s">
        <v>1227</v>
      </c>
      <c r="T481" s="54" t="s">
        <v>1227</v>
      </c>
      <c r="U481" t="s">
        <v>1227</v>
      </c>
    </row>
    <row r="482" spans="1:21" ht="30" x14ac:dyDescent="0.25">
      <c r="A482" s="44" t="s">
        <v>805</v>
      </c>
      <c r="B482" s="44" t="s">
        <v>198</v>
      </c>
      <c r="C482" s="45">
        <v>81</v>
      </c>
      <c r="D482" s="45"/>
      <c r="E482" s="45">
        <v>6</v>
      </c>
      <c r="F482" s="45"/>
      <c r="G482" s="45">
        <v>6</v>
      </c>
      <c r="H482" s="45"/>
      <c r="I482" s="34">
        <v>12</v>
      </c>
      <c r="J482" t="e">
        <f>I482/(VLOOKUP(B482,'Team Stats'!$B$3:$K$18,5,0))</f>
        <v>#N/A</v>
      </c>
      <c r="M482" t="s">
        <v>1227</v>
      </c>
      <c r="N482" t="s">
        <v>1227</v>
      </c>
      <c r="O482" t="s">
        <v>1227</v>
      </c>
      <c r="P482" t="s">
        <v>1227</v>
      </c>
      <c r="Q482" t="s">
        <v>1227</v>
      </c>
      <c r="R482" t="s">
        <v>1227</v>
      </c>
      <c r="S482" t="s">
        <v>1227</v>
      </c>
      <c r="T482" s="54" t="s">
        <v>1227</v>
      </c>
      <c r="U482" t="s">
        <v>1227</v>
      </c>
    </row>
    <row r="483" spans="1:21" x14ac:dyDescent="0.25">
      <c r="A483" s="44" t="s">
        <v>806</v>
      </c>
      <c r="B483" s="44" t="s">
        <v>213</v>
      </c>
      <c r="C483" s="45">
        <v>75</v>
      </c>
      <c r="D483" s="45"/>
      <c r="E483" s="45">
        <v>0</v>
      </c>
      <c r="F483" s="45"/>
      <c r="G483" s="45">
        <v>12</v>
      </c>
      <c r="H483" s="45"/>
      <c r="I483" s="34">
        <v>12</v>
      </c>
      <c r="J483">
        <f>I483/(VLOOKUP(B483,'Team Stats'!$B$3:$K$18,5,0))</f>
        <v>1.9386106623586429E-2</v>
      </c>
      <c r="M483" t="s">
        <v>1227</v>
      </c>
      <c r="N483" t="s">
        <v>1227</v>
      </c>
      <c r="O483" t="s">
        <v>1227</v>
      </c>
      <c r="P483" t="s">
        <v>1227</v>
      </c>
      <c r="Q483" t="s">
        <v>1227</v>
      </c>
      <c r="R483" t="s">
        <v>1227</v>
      </c>
      <c r="S483" t="s">
        <v>1227</v>
      </c>
      <c r="T483" s="54" t="s">
        <v>1227</v>
      </c>
      <c r="U483" t="s">
        <v>1227</v>
      </c>
    </row>
    <row r="484" spans="1:21" x14ac:dyDescent="0.25">
      <c r="A484" s="44" t="s">
        <v>807</v>
      </c>
      <c r="B484" s="44" t="s">
        <v>215</v>
      </c>
      <c r="C484" s="45">
        <v>82</v>
      </c>
      <c r="D484" s="45"/>
      <c r="E484" s="45">
        <v>7</v>
      </c>
      <c r="F484" s="45"/>
      <c r="G484" s="45">
        <v>5</v>
      </c>
      <c r="H484" s="45"/>
      <c r="I484" s="34">
        <v>12</v>
      </c>
      <c r="J484" t="e">
        <f>I484/(VLOOKUP(B484,'Team Stats'!$B$3:$K$18,5,0))</f>
        <v>#N/A</v>
      </c>
      <c r="M484" t="s">
        <v>1227</v>
      </c>
      <c r="N484" t="s">
        <v>1227</v>
      </c>
      <c r="O484" t="s">
        <v>1227</v>
      </c>
      <c r="P484" t="s">
        <v>1227</v>
      </c>
      <c r="Q484" t="s">
        <v>1227</v>
      </c>
      <c r="R484" t="s">
        <v>1227</v>
      </c>
      <c r="S484" t="s">
        <v>1227</v>
      </c>
      <c r="T484" s="54" t="s">
        <v>1227</v>
      </c>
      <c r="U484" t="s">
        <v>1227</v>
      </c>
    </row>
    <row r="485" spans="1:21" x14ac:dyDescent="0.25">
      <c r="A485" s="44" t="s">
        <v>808</v>
      </c>
      <c r="B485" s="44" t="s">
        <v>215</v>
      </c>
      <c r="C485" s="45">
        <v>55</v>
      </c>
      <c r="D485" s="45"/>
      <c r="E485" s="45">
        <v>3</v>
      </c>
      <c r="F485" s="45"/>
      <c r="G485" s="45">
        <v>9</v>
      </c>
      <c r="H485" s="45"/>
      <c r="I485" s="34">
        <v>12</v>
      </c>
      <c r="J485" t="e">
        <f>I485/(VLOOKUP(B485,'Team Stats'!$B$3:$K$18,5,0))</f>
        <v>#N/A</v>
      </c>
      <c r="M485" t="s">
        <v>1227</v>
      </c>
      <c r="N485" t="s">
        <v>1227</v>
      </c>
      <c r="O485" t="s">
        <v>1227</v>
      </c>
      <c r="P485" t="s">
        <v>1227</v>
      </c>
      <c r="Q485" t="s">
        <v>1227</v>
      </c>
      <c r="R485" t="s">
        <v>1227</v>
      </c>
      <c r="S485" t="s">
        <v>1227</v>
      </c>
      <c r="T485" s="54" t="s">
        <v>1227</v>
      </c>
      <c r="U485" t="s">
        <v>1227</v>
      </c>
    </row>
    <row r="486" spans="1:21" x14ac:dyDescent="0.25">
      <c r="A486" s="44" t="s">
        <v>809</v>
      </c>
      <c r="B486" s="44" t="s">
        <v>217</v>
      </c>
      <c r="C486" s="45">
        <v>71</v>
      </c>
      <c r="D486" s="45"/>
      <c r="E486" s="45">
        <v>5</v>
      </c>
      <c r="F486" s="45"/>
      <c r="G486" s="45">
        <v>7</v>
      </c>
      <c r="H486" s="45"/>
      <c r="I486" s="34">
        <v>12</v>
      </c>
      <c r="J486" t="e">
        <f>I486/(VLOOKUP(B486,'Team Stats'!$B$3:$K$18,5,0))</f>
        <v>#N/A</v>
      </c>
      <c r="M486" t="s">
        <v>1227</v>
      </c>
      <c r="N486" t="s">
        <v>1227</v>
      </c>
      <c r="O486" t="s">
        <v>1227</v>
      </c>
      <c r="P486" t="s">
        <v>1227</v>
      </c>
      <c r="Q486" t="s">
        <v>1227</v>
      </c>
      <c r="R486" t="s">
        <v>1227</v>
      </c>
      <c r="S486" t="s">
        <v>1227</v>
      </c>
      <c r="T486" s="54" t="s">
        <v>1227</v>
      </c>
      <c r="U486" t="s">
        <v>1227</v>
      </c>
    </row>
    <row r="487" spans="1:21" x14ac:dyDescent="0.25">
      <c r="A487" s="44" t="s">
        <v>810</v>
      </c>
      <c r="B487" s="44" t="s">
        <v>205</v>
      </c>
      <c r="C487" s="45">
        <v>30</v>
      </c>
      <c r="D487" s="45"/>
      <c r="E487" s="45">
        <v>4</v>
      </c>
      <c r="F487" s="45"/>
      <c r="G487" s="45">
        <v>8</v>
      </c>
      <c r="H487" s="45"/>
      <c r="I487" s="34">
        <v>12</v>
      </c>
      <c r="J487">
        <f>I487/(VLOOKUP(B487,'Team Stats'!$B$3:$K$18,5,0))</f>
        <v>1.8691588785046728E-2</v>
      </c>
      <c r="M487" t="s">
        <v>1227</v>
      </c>
      <c r="N487" t="s">
        <v>1227</v>
      </c>
      <c r="O487" t="s">
        <v>1227</v>
      </c>
      <c r="P487" t="s">
        <v>1227</v>
      </c>
      <c r="Q487" t="s">
        <v>1227</v>
      </c>
      <c r="R487" t="s">
        <v>1227</v>
      </c>
      <c r="S487" t="s">
        <v>1227</v>
      </c>
      <c r="T487" s="54" t="s">
        <v>1227</v>
      </c>
      <c r="U487" t="s">
        <v>1227</v>
      </c>
    </row>
    <row r="488" spans="1:21" x14ac:dyDescent="0.25">
      <c r="A488" s="44" t="s">
        <v>811</v>
      </c>
      <c r="B488" s="44" t="s">
        <v>214</v>
      </c>
      <c r="C488" s="45">
        <v>60</v>
      </c>
      <c r="D488" s="45"/>
      <c r="E488" s="45">
        <v>8</v>
      </c>
      <c r="F488" s="45"/>
      <c r="G488" s="45">
        <v>4</v>
      </c>
      <c r="H488" s="45"/>
      <c r="I488" s="34">
        <v>12</v>
      </c>
      <c r="J488" t="e">
        <f>I488/(VLOOKUP(B488,'Team Stats'!$B$3:$K$18,5,0))</f>
        <v>#N/A</v>
      </c>
      <c r="M488" t="s">
        <v>1227</v>
      </c>
      <c r="N488" t="s">
        <v>1227</v>
      </c>
      <c r="O488" t="s">
        <v>1227</v>
      </c>
      <c r="P488" t="s">
        <v>1227</v>
      </c>
      <c r="Q488" t="s">
        <v>1227</v>
      </c>
      <c r="R488" t="s">
        <v>1227</v>
      </c>
      <c r="S488" t="s">
        <v>1227</v>
      </c>
      <c r="T488" s="54" t="s">
        <v>1227</v>
      </c>
      <c r="U488" t="s">
        <v>1227</v>
      </c>
    </row>
    <row r="489" spans="1:21" x14ac:dyDescent="0.25">
      <c r="A489" s="44" t="s">
        <v>812</v>
      </c>
      <c r="B489" s="44" t="s">
        <v>221</v>
      </c>
      <c r="C489" s="45">
        <v>60</v>
      </c>
      <c r="D489" s="45"/>
      <c r="E489" s="45">
        <v>4</v>
      </c>
      <c r="F489" s="45"/>
      <c r="G489" s="45">
        <v>8</v>
      </c>
      <c r="H489" s="45"/>
      <c r="I489" s="34">
        <v>12</v>
      </c>
      <c r="J489" t="e">
        <f>I489/(VLOOKUP(B489,'Team Stats'!$B$3:$K$18,5,0))</f>
        <v>#N/A</v>
      </c>
      <c r="M489" t="s">
        <v>1227</v>
      </c>
      <c r="N489" t="s">
        <v>1227</v>
      </c>
      <c r="O489" t="s">
        <v>1227</v>
      </c>
      <c r="P489" t="s">
        <v>1227</v>
      </c>
      <c r="Q489" t="s">
        <v>1227</v>
      </c>
      <c r="R489" t="s">
        <v>1227</v>
      </c>
      <c r="S489" t="s">
        <v>1227</v>
      </c>
      <c r="T489" s="54" t="s">
        <v>1227</v>
      </c>
      <c r="U489" t="s">
        <v>1227</v>
      </c>
    </row>
    <row r="490" spans="1:21" x14ac:dyDescent="0.25">
      <c r="A490" s="44" t="s">
        <v>813</v>
      </c>
      <c r="B490" s="44" t="s">
        <v>199</v>
      </c>
      <c r="C490" s="45">
        <v>68</v>
      </c>
      <c r="D490" s="45"/>
      <c r="E490" s="45">
        <v>4</v>
      </c>
      <c r="F490" s="45"/>
      <c r="G490" s="45">
        <v>8</v>
      </c>
      <c r="H490" s="45"/>
      <c r="I490" s="34">
        <v>12</v>
      </c>
      <c r="J490">
        <f>I490/(VLOOKUP(B490,'Team Stats'!$B$3:$K$18,5,0))</f>
        <v>1.8181818181818181E-2</v>
      </c>
      <c r="M490" t="s">
        <v>1227</v>
      </c>
      <c r="N490" t="s">
        <v>1227</v>
      </c>
      <c r="O490" t="s">
        <v>1227</v>
      </c>
      <c r="P490" t="s">
        <v>1227</v>
      </c>
      <c r="Q490" t="s">
        <v>1227</v>
      </c>
      <c r="R490" t="s">
        <v>1227</v>
      </c>
      <c r="S490" t="s">
        <v>1227</v>
      </c>
      <c r="T490" s="54" t="s">
        <v>1227</v>
      </c>
      <c r="U490" t="s">
        <v>1227</v>
      </c>
    </row>
    <row r="491" spans="1:21" x14ac:dyDescent="0.25">
      <c r="A491" s="44" t="s">
        <v>814</v>
      </c>
      <c r="B491" s="44" t="s">
        <v>344</v>
      </c>
      <c r="C491" s="45">
        <v>72</v>
      </c>
      <c r="D491" s="45"/>
      <c r="E491" s="45">
        <v>4</v>
      </c>
      <c r="F491" s="45"/>
      <c r="G491" s="45">
        <v>8</v>
      </c>
      <c r="H491" s="45"/>
      <c r="I491" s="34">
        <v>12</v>
      </c>
      <c r="J491" t="e">
        <f>I491/(VLOOKUP(B491,'Team Stats'!$B$3:$K$18,5,0))</f>
        <v>#N/A</v>
      </c>
      <c r="M491" t="s">
        <v>1227</v>
      </c>
      <c r="N491" t="s">
        <v>1227</v>
      </c>
      <c r="O491" t="s">
        <v>1227</v>
      </c>
      <c r="P491" t="s">
        <v>1227</v>
      </c>
      <c r="Q491" t="s">
        <v>1227</v>
      </c>
      <c r="R491" t="s">
        <v>1227</v>
      </c>
      <c r="S491" t="s">
        <v>1227</v>
      </c>
      <c r="T491" s="54" t="s">
        <v>1227</v>
      </c>
      <c r="U491" t="s">
        <v>1227</v>
      </c>
    </row>
    <row r="492" spans="1:21" x14ac:dyDescent="0.25">
      <c r="A492" s="44" t="s">
        <v>815</v>
      </c>
      <c r="B492" s="44" t="s">
        <v>216</v>
      </c>
      <c r="C492" s="45">
        <v>70</v>
      </c>
      <c r="D492" s="45"/>
      <c r="E492" s="45">
        <v>6</v>
      </c>
      <c r="F492" s="45"/>
      <c r="G492" s="45">
        <v>6</v>
      </c>
      <c r="H492" s="45"/>
      <c r="I492" s="34">
        <v>12</v>
      </c>
      <c r="J492" t="e">
        <f>I492/(VLOOKUP(B492,'Team Stats'!$B$3:$K$18,5,0))</f>
        <v>#N/A</v>
      </c>
      <c r="M492" t="s">
        <v>1227</v>
      </c>
      <c r="N492" t="s">
        <v>1227</v>
      </c>
      <c r="O492" t="s">
        <v>1227</v>
      </c>
      <c r="P492" t="s">
        <v>1227</v>
      </c>
      <c r="Q492" t="s">
        <v>1227</v>
      </c>
      <c r="R492" t="s">
        <v>1227</v>
      </c>
      <c r="S492" t="s">
        <v>1227</v>
      </c>
      <c r="T492" s="54" t="s">
        <v>1227</v>
      </c>
      <c r="U492" t="s">
        <v>1227</v>
      </c>
    </row>
    <row r="493" spans="1:21" x14ac:dyDescent="0.25">
      <c r="A493" s="44" t="s">
        <v>816</v>
      </c>
      <c r="B493" s="44" t="s">
        <v>197</v>
      </c>
      <c r="C493" s="45">
        <v>49</v>
      </c>
      <c r="D493" s="45"/>
      <c r="E493" s="45">
        <v>4</v>
      </c>
      <c r="F493" s="45"/>
      <c r="G493" s="45">
        <v>8</v>
      </c>
      <c r="H493" s="45"/>
      <c r="I493" s="34">
        <v>12</v>
      </c>
      <c r="J493">
        <f>I493/(VLOOKUP(B493,'Team Stats'!$B$3:$K$18,5,0))</f>
        <v>0.02</v>
      </c>
      <c r="M493" t="s">
        <v>1227</v>
      </c>
      <c r="N493" t="s">
        <v>1227</v>
      </c>
      <c r="O493" t="s">
        <v>1227</v>
      </c>
      <c r="P493" t="s">
        <v>1227</v>
      </c>
      <c r="Q493" t="s">
        <v>1227</v>
      </c>
      <c r="R493" t="s">
        <v>1227</v>
      </c>
      <c r="S493" t="s">
        <v>1227</v>
      </c>
      <c r="T493" s="54" t="s">
        <v>1227</v>
      </c>
      <c r="U493" t="s">
        <v>1227</v>
      </c>
    </row>
    <row r="494" spans="1:21" x14ac:dyDescent="0.25">
      <c r="A494" s="44" t="s">
        <v>817</v>
      </c>
      <c r="B494" s="44" t="s">
        <v>215</v>
      </c>
      <c r="C494" s="45">
        <v>57</v>
      </c>
      <c r="D494" s="45"/>
      <c r="E494" s="45">
        <v>8</v>
      </c>
      <c r="F494" s="45"/>
      <c r="G494" s="45">
        <v>4</v>
      </c>
      <c r="H494" s="45"/>
      <c r="I494" s="34">
        <v>12</v>
      </c>
      <c r="J494" t="e">
        <f>I494/(VLOOKUP(B494,'Team Stats'!$B$3:$K$18,5,0))</f>
        <v>#N/A</v>
      </c>
      <c r="M494" t="s">
        <v>1227</v>
      </c>
      <c r="N494" t="s">
        <v>1227</v>
      </c>
      <c r="O494" t="s">
        <v>1227</v>
      </c>
      <c r="P494" t="s">
        <v>1227</v>
      </c>
      <c r="Q494" t="s">
        <v>1227</v>
      </c>
      <c r="R494" t="s">
        <v>1227</v>
      </c>
      <c r="S494" t="s">
        <v>1227</v>
      </c>
      <c r="T494" s="54" t="s">
        <v>1227</v>
      </c>
      <c r="U494" t="s">
        <v>1227</v>
      </c>
    </row>
    <row r="495" spans="1:21" x14ac:dyDescent="0.25">
      <c r="A495" s="44" t="s">
        <v>818</v>
      </c>
      <c r="B495" s="44" t="s">
        <v>364</v>
      </c>
      <c r="C495" s="45">
        <v>60</v>
      </c>
      <c r="D495" s="45"/>
      <c r="E495" s="45">
        <v>7</v>
      </c>
      <c r="F495" s="45"/>
      <c r="G495" s="45">
        <v>5</v>
      </c>
      <c r="H495" s="45"/>
      <c r="I495" s="34">
        <v>12</v>
      </c>
      <c r="J495" t="e">
        <f>I495/(VLOOKUP(B495,'Team Stats'!$B$3:$K$18,5,0))</f>
        <v>#N/A</v>
      </c>
      <c r="M495" t="s">
        <v>1227</v>
      </c>
      <c r="N495" t="s">
        <v>1227</v>
      </c>
      <c r="O495" t="s">
        <v>1227</v>
      </c>
      <c r="P495" t="s">
        <v>1227</v>
      </c>
      <c r="Q495" t="s">
        <v>1227</v>
      </c>
      <c r="R495" t="s">
        <v>1227</v>
      </c>
      <c r="S495" t="s">
        <v>1227</v>
      </c>
      <c r="T495" s="54" t="s">
        <v>1227</v>
      </c>
      <c r="U495" t="s">
        <v>1227</v>
      </c>
    </row>
    <row r="496" spans="1:21" x14ac:dyDescent="0.25">
      <c r="A496" s="44" t="s">
        <v>819</v>
      </c>
      <c r="B496" s="44" t="s">
        <v>198</v>
      </c>
      <c r="C496" s="45">
        <v>34</v>
      </c>
      <c r="D496" s="45"/>
      <c r="E496" s="45">
        <v>6</v>
      </c>
      <c r="F496" s="45"/>
      <c r="G496" s="45">
        <v>6</v>
      </c>
      <c r="H496" s="45"/>
      <c r="I496" s="34">
        <v>12</v>
      </c>
      <c r="J496" t="e">
        <f>I496/(VLOOKUP(B496,'Team Stats'!$B$3:$K$18,5,0))</f>
        <v>#N/A</v>
      </c>
      <c r="M496" t="s">
        <v>1227</v>
      </c>
      <c r="N496" t="s">
        <v>1227</v>
      </c>
      <c r="O496" t="s">
        <v>1227</v>
      </c>
      <c r="P496" t="s">
        <v>1227</v>
      </c>
      <c r="Q496" t="s">
        <v>1227</v>
      </c>
      <c r="R496" t="s">
        <v>1227</v>
      </c>
      <c r="S496" t="s">
        <v>1227</v>
      </c>
      <c r="T496" s="54" t="s">
        <v>1227</v>
      </c>
      <c r="U496" t="s">
        <v>1227</v>
      </c>
    </row>
    <row r="497" spans="1:21" x14ac:dyDescent="0.25">
      <c r="A497" s="44" t="s">
        <v>820</v>
      </c>
      <c r="B497" s="44" t="s">
        <v>339</v>
      </c>
      <c r="C497" s="45">
        <v>60</v>
      </c>
      <c r="D497" s="45"/>
      <c r="E497" s="45">
        <v>4</v>
      </c>
      <c r="F497" s="45"/>
      <c r="G497" s="45">
        <v>8</v>
      </c>
      <c r="H497" s="45"/>
      <c r="I497" s="34">
        <v>12</v>
      </c>
      <c r="J497" t="e">
        <f>I497/(VLOOKUP(B497,'Team Stats'!$B$3:$K$18,5,0))</f>
        <v>#N/A</v>
      </c>
      <c r="M497" t="s">
        <v>1227</v>
      </c>
      <c r="N497" t="s">
        <v>1227</v>
      </c>
      <c r="O497" t="s">
        <v>1227</v>
      </c>
      <c r="P497" t="s">
        <v>1227</v>
      </c>
      <c r="Q497" t="s">
        <v>1227</v>
      </c>
      <c r="R497" t="s">
        <v>1227</v>
      </c>
      <c r="S497" t="s">
        <v>1227</v>
      </c>
      <c r="T497" s="54" t="s">
        <v>1227</v>
      </c>
      <c r="U497" t="s">
        <v>1227</v>
      </c>
    </row>
    <row r="498" spans="1:21" x14ac:dyDescent="0.25">
      <c r="A498" s="44" t="s">
        <v>821</v>
      </c>
      <c r="B498" s="44" t="s">
        <v>195</v>
      </c>
      <c r="C498" s="45">
        <v>65</v>
      </c>
      <c r="D498" s="45"/>
      <c r="E498" s="45">
        <v>1</v>
      </c>
      <c r="F498" s="45"/>
      <c r="G498" s="45">
        <v>11</v>
      </c>
      <c r="H498" s="45"/>
      <c r="I498" s="34">
        <v>12</v>
      </c>
      <c r="J498">
        <f>I498/(VLOOKUP(B498,'Team Stats'!$B$3:$K$18,5,0))</f>
        <v>1.8292682926829267E-2</v>
      </c>
      <c r="M498" t="s">
        <v>1227</v>
      </c>
      <c r="N498" t="s">
        <v>1227</v>
      </c>
      <c r="O498" t="s">
        <v>1227</v>
      </c>
      <c r="P498" t="s">
        <v>1227</v>
      </c>
      <c r="Q498" t="s">
        <v>1227</v>
      </c>
      <c r="R498" t="s">
        <v>1227</v>
      </c>
      <c r="S498" t="s">
        <v>1227</v>
      </c>
      <c r="T498" s="54" t="s">
        <v>1227</v>
      </c>
      <c r="U498" t="s">
        <v>1227</v>
      </c>
    </row>
    <row r="499" spans="1:21" x14ac:dyDescent="0.25">
      <c r="A499" s="44" t="s">
        <v>822</v>
      </c>
      <c r="B499" s="44" t="s">
        <v>199</v>
      </c>
      <c r="C499" s="45">
        <v>81</v>
      </c>
      <c r="D499" s="45"/>
      <c r="E499" s="45">
        <v>6</v>
      </c>
      <c r="F499" s="45"/>
      <c r="G499" s="45">
        <v>6</v>
      </c>
      <c r="H499" s="45"/>
      <c r="I499" s="34">
        <v>12</v>
      </c>
      <c r="J499">
        <f>I499/(VLOOKUP(B499,'Team Stats'!$B$3:$K$18,5,0))</f>
        <v>1.8181818181818181E-2</v>
      </c>
      <c r="M499" t="s">
        <v>1227</v>
      </c>
      <c r="N499" t="s">
        <v>1227</v>
      </c>
      <c r="O499" t="s">
        <v>1227</v>
      </c>
      <c r="P499" t="s">
        <v>1227</v>
      </c>
      <c r="Q499" t="s">
        <v>1227</v>
      </c>
      <c r="R499" t="s">
        <v>1227</v>
      </c>
      <c r="S499" t="s">
        <v>1227</v>
      </c>
      <c r="T499" s="54" t="s">
        <v>1227</v>
      </c>
      <c r="U499" t="s">
        <v>1227</v>
      </c>
    </row>
    <row r="500" spans="1:21" x14ac:dyDescent="0.25">
      <c r="A500" s="44" t="s">
        <v>823</v>
      </c>
      <c r="B500" s="44" t="s">
        <v>198</v>
      </c>
      <c r="C500" s="45">
        <v>58</v>
      </c>
      <c r="D500" s="45"/>
      <c r="E500" s="45">
        <v>2</v>
      </c>
      <c r="F500" s="45"/>
      <c r="G500" s="45">
        <v>10</v>
      </c>
      <c r="H500" s="45"/>
      <c r="I500" s="34">
        <v>12</v>
      </c>
      <c r="J500" t="e">
        <f>I500/(VLOOKUP(B500,'Team Stats'!$B$3:$K$18,5,0))</f>
        <v>#N/A</v>
      </c>
      <c r="M500" t="s">
        <v>1227</v>
      </c>
      <c r="N500" t="s">
        <v>1227</v>
      </c>
      <c r="O500" t="s">
        <v>1227</v>
      </c>
      <c r="P500" t="s">
        <v>1227</v>
      </c>
      <c r="Q500" t="s">
        <v>1227</v>
      </c>
      <c r="R500" t="s">
        <v>1227</v>
      </c>
      <c r="S500" t="s">
        <v>1227</v>
      </c>
      <c r="T500" s="54" t="s">
        <v>1227</v>
      </c>
      <c r="U500" t="s">
        <v>1227</v>
      </c>
    </row>
    <row r="501" spans="1:21" x14ac:dyDescent="0.25">
      <c r="A501" s="44" t="s">
        <v>824</v>
      </c>
      <c r="B501" s="44" t="s">
        <v>199</v>
      </c>
      <c r="C501" s="45">
        <v>78</v>
      </c>
      <c r="D501" s="45"/>
      <c r="E501" s="45">
        <v>3</v>
      </c>
      <c r="F501" s="45"/>
      <c r="G501" s="45">
        <v>9</v>
      </c>
      <c r="H501" s="45"/>
      <c r="I501" s="34">
        <v>12</v>
      </c>
      <c r="J501">
        <f>I501/(VLOOKUP(B501,'Team Stats'!$B$3:$K$18,5,0))</f>
        <v>1.8181818181818181E-2</v>
      </c>
      <c r="M501" t="s">
        <v>1227</v>
      </c>
      <c r="N501" t="s">
        <v>1227</v>
      </c>
      <c r="O501" t="s">
        <v>1227</v>
      </c>
      <c r="P501" t="s">
        <v>1227</v>
      </c>
      <c r="Q501" t="s">
        <v>1227</v>
      </c>
      <c r="R501" t="s">
        <v>1227</v>
      </c>
      <c r="S501" t="s">
        <v>1227</v>
      </c>
      <c r="T501" s="54" t="s">
        <v>1227</v>
      </c>
      <c r="U501" t="s">
        <v>1227</v>
      </c>
    </row>
    <row r="502" spans="1:21" x14ac:dyDescent="0.25">
      <c r="A502" s="44" t="s">
        <v>825</v>
      </c>
      <c r="B502" s="44" t="s">
        <v>199</v>
      </c>
      <c r="C502" s="45">
        <v>61</v>
      </c>
      <c r="D502" s="45"/>
      <c r="E502" s="45">
        <v>2</v>
      </c>
      <c r="F502" s="45"/>
      <c r="G502" s="45">
        <v>10</v>
      </c>
      <c r="H502" s="45"/>
      <c r="I502" s="34">
        <v>12</v>
      </c>
      <c r="J502">
        <f>I502/(VLOOKUP(B502,'Team Stats'!$B$3:$K$18,5,0))</f>
        <v>1.8181818181818181E-2</v>
      </c>
      <c r="M502" t="s">
        <v>1227</v>
      </c>
      <c r="N502" t="s">
        <v>1227</v>
      </c>
      <c r="O502" t="s">
        <v>1227</v>
      </c>
      <c r="P502" t="s">
        <v>1227</v>
      </c>
      <c r="Q502" t="s">
        <v>1227</v>
      </c>
      <c r="R502" t="s">
        <v>1227</v>
      </c>
      <c r="S502" t="s">
        <v>1227</v>
      </c>
      <c r="T502" s="54" t="s">
        <v>1227</v>
      </c>
      <c r="U502" t="s">
        <v>1227</v>
      </c>
    </row>
    <row r="503" spans="1:21" x14ac:dyDescent="0.25">
      <c r="A503" s="44" t="s">
        <v>826</v>
      </c>
      <c r="B503" s="44" t="s">
        <v>213</v>
      </c>
      <c r="C503" s="45">
        <v>63</v>
      </c>
      <c r="D503" s="45"/>
      <c r="E503" s="45">
        <v>1</v>
      </c>
      <c r="F503" s="45"/>
      <c r="G503" s="45">
        <v>10</v>
      </c>
      <c r="H503" s="45"/>
      <c r="I503" s="34">
        <v>11</v>
      </c>
      <c r="J503">
        <f>I503/(VLOOKUP(B503,'Team Stats'!$B$3:$K$18,5,0))</f>
        <v>1.7770597738287562E-2</v>
      </c>
      <c r="M503" t="s">
        <v>1227</v>
      </c>
      <c r="N503" t="s">
        <v>1227</v>
      </c>
      <c r="O503" t="s">
        <v>1227</v>
      </c>
      <c r="P503" t="s">
        <v>1227</v>
      </c>
      <c r="Q503" t="s">
        <v>1227</v>
      </c>
      <c r="R503" t="s">
        <v>1227</v>
      </c>
      <c r="S503" t="s">
        <v>1227</v>
      </c>
      <c r="T503" s="54" t="s">
        <v>1227</v>
      </c>
      <c r="U503" t="s">
        <v>1227</v>
      </c>
    </row>
    <row r="504" spans="1:21" x14ac:dyDescent="0.25">
      <c r="A504" s="44" t="s">
        <v>827</v>
      </c>
      <c r="B504" s="44" t="s">
        <v>212</v>
      </c>
      <c r="C504" s="45">
        <v>44</v>
      </c>
      <c r="D504" s="45"/>
      <c r="E504" s="45">
        <v>3</v>
      </c>
      <c r="F504" s="45"/>
      <c r="G504" s="45">
        <v>8</v>
      </c>
      <c r="H504" s="45"/>
      <c r="I504" s="34">
        <v>11</v>
      </c>
      <c r="J504" t="e">
        <f>I504/(VLOOKUP(B504,'Team Stats'!$B$3:$K$18,5,0))</f>
        <v>#N/A</v>
      </c>
      <c r="M504" t="s">
        <v>1227</v>
      </c>
      <c r="N504" t="s">
        <v>1227</v>
      </c>
      <c r="O504" t="s">
        <v>1227</v>
      </c>
      <c r="P504" t="s">
        <v>1227</v>
      </c>
      <c r="Q504" t="s">
        <v>1227</v>
      </c>
      <c r="R504" t="s">
        <v>1227</v>
      </c>
      <c r="S504" t="s">
        <v>1227</v>
      </c>
      <c r="T504" s="54" t="s">
        <v>1227</v>
      </c>
      <c r="U504" t="s">
        <v>1227</v>
      </c>
    </row>
    <row r="505" spans="1:21" x14ac:dyDescent="0.25">
      <c r="A505" s="44" t="s">
        <v>828</v>
      </c>
      <c r="B505" s="44" t="s">
        <v>202</v>
      </c>
      <c r="C505" s="45">
        <v>55</v>
      </c>
      <c r="D505" s="45"/>
      <c r="E505" s="45">
        <v>2</v>
      </c>
      <c r="F505" s="45"/>
      <c r="G505" s="45">
        <v>9</v>
      </c>
      <c r="H505" s="45"/>
      <c r="I505" s="34">
        <v>11</v>
      </c>
      <c r="J505">
        <f>I505/(VLOOKUP(B505,'Team Stats'!$B$3:$K$18,5,0))</f>
        <v>1.6691957511380879E-2</v>
      </c>
      <c r="M505" t="s">
        <v>1227</v>
      </c>
      <c r="N505" t="s">
        <v>1227</v>
      </c>
      <c r="O505" t="s">
        <v>1227</v>
      </c>
      <c r="P505" t="s">
        <v>1227</v>
      </c>
      <c r="Q505" t="s">
        <v>1227</v>
      </c>
      <c r="R505" t="s">
        <v>1227</v>
      </c>
      <c r="S505" t="s">
        <v>1227</v>
      </c>
      <c r="T505" s="54" t="s">
        <v>1227</v>
      </c>
      <c r="U505" t="s">
        <v>1227</v>
      </c>
    </row>
    <row r="506" spans="1:21" x14ac:dyDescent="0.25">
      <c r="A506" s="44" t="s">
        <v>829</v>
      </c>
      <c r="B506" s="44" t="s">
        <v>197</v>
      </c>
      <c r="C506" s="45">
        <v>80</v>
      </c>
      <c r="D506" s="45"/>
      <c r="E506" s="45">
        <v>2</v>
      </c>
      <c r="F506" s="45"/>
      <c r="G506" s="45">
        <v>9</v>
      </c>
      <c r="H506" s="45"/>
      <c r="I506" s="34">
        <v>11</v>
      </c>
      <c r="J506">
        <f>I506/(VLOOKUP(B506,'Team Stats'!$B$3:$K$18,5,0))</f>
        <v>1.8333333333333333E-2</v>
      </c>
      <c r="M506" t="s">
        <v>1227</v>
      </c>
      <c r="N506" t="s">
        <v>1227</v>
      </c>
      <c r="O506" t="s">
        <v>1227</v>
      </c>
      <c r="P506" t="s">
        <v>1227</v>
      </c>
      <c r="Q506" t="s">
        <v>1227</v>
      </c>
      <c r="R506" t="s">
        <v>1227</v>
      </c>
      <c r="S506" t="s">
        <v>1227</v>
      </c>
      <c r="T506" s="54" t="s">
        <v>1227</v>
      </c>
      <c r="U506" t="s">
        <v>1227</v>
      </c>
    </row>
    <row r="507" spans="1:21" x14ac:dyDescent="0.25">
      <c r="A507" s="44" t="s">
        <v>830</v>
      </c>
      <c r="B507" s="44" t="s">
        <v>207</v>
      </c>
      <c r="C507" s="45">
        <v>76</v>
      </c>
      <c r="D507" s="45"/>
      <c r="E507" s="45">
        <v>2</v>
      </c>
      <c r="F507" s="45"/>
      <c r="G507" s="45">
        <v>9</v>
      </c>
      <c r="H507" s="45"/>
      <c r="I507" s="34">
        <v>11</v>
      </c>
      <c r="J507">
        <f>I507/(VLOOKUP(B507,'Team Stats'!$B$3:$K$18,5,0))</f>
        <v>1.6566265060240965E-2</v>
      </c>
      <c r="M507" t="s">
        <v>1227</v>
      </c>
      <c r="N507" t="s">
        <v>1227</v>
      </c>
      <c r="O507" t="s">
        <v>1227</v>
      </c>
      <c r="P507" t="s">
        <v>1227</v>
      </c>
      <c r="Q507" t="s">
        <v>1227</v>
      </c>
      <c r="R507" t="s">
        <v>1227</v>
      </c>
      <c r="S507" t="s">
        <v>1227</v>
      </c>
      <c r="T507" s="54" t="s">
        <v>1227</v>
      </c>
      <c r="U507" t="s">
        <v>1227</v>
      </c>
    </row>
    <row r="508" spans="1:21" x14ac:dyDescent="0.25">
      <c r="A508" s="44" t="s">
        <v>831</v>
      </c>
      <c r="B508" s="44" t="s">
        <v>221</v>
      </c>
      <c r="C508" s="45">
        <v>57</v>
      </c>
      <c r="D508" s="45"/>
      <c r="E508" s="45">
        <v>2</v>
      </c>
      <c r="F508" s="45"/>
      <c r="G508" s="45">
        <v>9</v>
      </c>
      <c r="H508" s="45"/>
      <c r="I508" s="34">
        <v>11</v>
      </c>
      <c r="J508" t="e">
        <f>I508/(VLOOKUP(B508,'Team Stats'!$B$3:$K$18,5,0))</f>
        <v>#N/A</v>
      </c>
      <c r="M508" t="s">
        <v>1227</v>
      </c>
      <c r="N508" t="s">
        <v>1227</v>
      </c>
      <c r="O508" t="s">
        <v>1227</v>
      </c>
      <c r="P508" t="s">
        <v>1227</v>
      </c>
      <c r="Q508" t="s">
        <v>1227</v>
      </c>
      <c r="R508" t="s">
        <v>1227</v>
      </c>
      <c r="S508" t="s">
        <v>1227</v>
      </c>
      <c r="T508" s="54" t="s">
        <v>1227</v>
      </c>
      <c r="U508" t="s">
        <v>1227</v>
      </c>
    </row>
    <row r="509" spans="1:21" x14ac:dyDescent="0.25">
      <c r="A509" s="44" t="s">
        <v>832</v>
      </c>
      <c r="B509" s="44" t="s">
        <v>219</v>
      </c>
      <c r="C509" s="45">
        <v>62</v>
      </c>
      <c r="D509" s="45"/>
      <c r="E509" s="45">
        <v>6</v>
      </c>
      <c r="F509" s="45"/>
      <c r="G509" s="45">
        <v>5</v>
      </c>
      <c r="H509" s="45"/>
      <c r="I509" s="34">
        <v>11</v>
      </c>
      <c r="J509" t="e">
        <f>I509/(VLOOKUP(B509,'Team Stats'!$B$3:$K$18,5,0))</f>
        <v>#N/A</v>
      </c>
      <c r="M509" t="s">
        <v>1227</v>
      </c>
      <c r="N509" t="s">
        <v>1227</v>
      </c>
      <c r="O509" t="s">
        <v>1227</v>
      </c>
      <c r="P509" t="s">
        <v>1227</v>
      </c>
      <c r="Q509" t="s">
        <v>1227</v>
      </c>
      <c r="R509" t="s">
        <v>1227</v>
      </c>
      <c r="S509" t="s">
        <v>1227</v>
      </c>
      <c r="T509" s="54" t="s">
        <v>1227</v>
      </c>
      <c r="U509" t="s">
        <v>1227</v>
      </c>
    </row>
    <row r="510" spans="1:21" x14ac:dyDescent="0.25">
      <c r="A510" s="44" t="s">
        <v>833</v>
      </c>
      <c r="B510" s="44" t="s">
        <v>335</v>
      </c>
      <c r="C510" s="45">
        <v>43</v>
      </c>
      <c r="D510" s="45"/>
      <c r="E510" s="45">
        <v>1</v>
      </c>
      <c r="F510" s="45"/>
      <c r="G510" s="45">
        <v>10</v>
      </c>
      <c r="H510" s="45"/>
      <c r="I510" s="34">
        <v>11</v>
      </c>
      <c r="J510" t="e">
        <f>I510/(VLOOKUP(B510,'Team Stats'!$B$3:$K$18,5,0))</f>
        <v>#N/A</v>
      </c>
      <c r="M510" t="s">
        <v>1227</v>
      </c>
      <c r="N510" t="s">
        <v>1227</v>
      </c>
      <c r="O510" t="s">
        <v>1227</v>
      </c>
      <c r="P510" t="s">
        <v>1227</v>
      </c>
      <c r="Q510" t="s">
        <v>1227</v>
      </c>
      <c r="R510" t="s">
        <v>1227</v>
      </c>
      <c r="S510" t="s">
        <v>1227</v>
      </c>
      <c r="T510" s="54" t="s">
        <v>1227</v>
      </c>
      <c r="U510" t="s">
        <v>1227</v>
      </c>
    </row>
    <row r="511" spans="1:21" x14ac:dyDescent="0.25">
      <c r="A511" s="44" t="s">
        <v>834</v>
      </c>
      <c r="B511" s="44" t="s">
        <v>205</v>
      </c>
      <c r="C511" s="45">
        <v>76</v>
      </c>
      <c r="D511" s="45"/>
      <c r="E511" s="45">
        <v>3</v>
      </c>
      <c r="F511" s="45"/>
      <c r="G511" s="45">
        <v>8</v>
      </c>
      <c r="H511" s="45"/>
      <c r="I511" s="34">
        <v>11</v>
      </c>
      <c r="J511">
        <f>I511/(VLOOKUP(B511,'Team Stats'!$B$3:$K$18,5,0))</f>
        <v>1.7133956386292833E-2</v>
      </c>
      <c r="M511" t="s">
        <v>1227</v>
      </c>
      <c r="N511" t="s">
        <v>1227</v>
      </c>
      <c r="O511" t="s">
        <v>1227</v>
      </c>
      <c r="P511" t="s">
        <v>1227</v>
      </c>
      <c r="Q511" t="s">
        <v>1227</v>
      </c>
      <c r="R511" t="s">
        <v>1227</v>
      </c>
      <c r="S511" t="s">
        <v>1227</v>
      </c>
      <c r="T511" s="54" t="s">
        <v>1227</v>
      </c>
      <c r="U511" t="s">
        <v>1227</v>
      </c>
    </row>
    <row r="512" spans="1:21" x14ac:dyDescent="0.25">
      <c r="A512" s="44" t="s">
        <v>835</v>
      </c>
      <c r="B512" s="44" t="s">
        <v>197</v>
      </c>
      <c r="C512" s="45">
        <v>16</v>
      </c>
      <c r="D512" s="45"/>
      <c r="E512" s="45">
        <v>6</v>
      </c>
      <c r="F512" s="45"/>
      <c r="G512" s="45">
        <v>5</v>
      </c>
      <c r="H512" s="45"/>
      <c r="I512" s="34">
        <v>11</v>
      </c>
      <c r="J512">
        <f>I512/(VLOOKUP(B512,'Team Stats'!$B$3:$K$18,5,0))</f>
        <v>1.8333333333333333E-2</v>
      </c>
      <c r="M512" t="s">
        <v>1227</v>
      </c>
      <c r="N512" t="s">
        <v>1227</v>
      </c>
      <c r="O512" t="s">
        <v>1227</v>
      </c>
      <c r="P512" t="s">
        <v>1227</v>
      </c>
      <c r="Q512" t="s">
        <v>1227</v>
      </c>
      <c r="R512" t="s">
        <v>1227</v>
      </c>
      <c r="S512" t="s">
        <v>1227</v>
      </c>
      <c r="T512" s="54" t="s">
        <v>1227</v>
      </c>
      <c r="U512" t="s">
        <v>1227</v>
      </c>
    </row>
    <row r="513" spans="1:21" x14ac:dyDescent="0.25">
      <c r="A513" s="44" t="s">
        <v>836</v>
      </c>
      <c r="B513" s="44" t="s">
        <v>213</v>
      </c>
      <c r="C513" s="45">
        <v>45</v>
      </c>
      <c r="D513" s="45"/>
      <c r="E513" s="45">
        <v>1</v>
      </c>
      <c r="F513" s="45"/>
      <c r="G513" s="45">
        <v>10</v>
      </c>
      <c r="H513" s="45"/>
      <c r="I513" s="34">
        <v>11</v>
      </c>
      <c r="J513">
        <f>I513/(VLOOKUP(B513,'Team Stats'!$B$3:$K$18,5,0))</f>
        <v>1.7770597738287562E-2</v>
      </c>
      <c r="M513" t="s">
        <v>1227</v>
      </c>
      <c r="N513" t="s">
        <v>1227</v>
      </c>
      <c r="O513" t="s">
        <v>1227</v>
      </c>
      <c r="P513" t="s">
        <v>1227</v>
      </c>
      <c r="Q513" t="s">
        <v>1227</v>
      </c>
      <c r="R513" t="s">
        <v>1227</v>
      </c>
      <c r="S513" t="s">
        <v>1227</v>
      </c>
      <c r="T513" s="54" t="s">
        <v>1227</v>
      </c>
      <c r="U513" t="s">
        <v>1227</v>
      </c>
    </row>
    <row r="514" spans="1:21" x14ac:dyDescent="0.25">
      <c r="A514" s="44" t="s">
        <v>837</v>
      </c>
      <c r="B514" s="44" t="s">
        <v>218</v>
      </c>
      <c r="C514" s="45">
        <v>82</v>
      </c>
      <c r="D514" s="45"/>
      <c r="E514" s="45">
        <v>5</v>
      </c>
      <c r="F514" s="45"/>
      <c r="G514" s="45">
        <v>6</v>
      </c>
      <c r="H514" s="45"/>
      <c r="I514" s="34">
        <v>11</v>
      </c>
      <c r="J514" t="e">
        <f>I514/(VLOOKUP(B514,'Team Stats'!$B$3:$K$18,5,0))</f>
        <v>#N/A</v>
      </c>
      <c r="M514" t="s">
        <v>1227</v>
      </c>
      <c r="N514" t="s">
        <v>1227</v>
      </c>
      <c r="O514" t="s">
        <v>1227</v>
      </c>
      <c r="P514" t="s">
        <v>1227</v>
      </c>
      <c r="Q514" t="s">
        <v>1227</v>
      </c>
      <c r="R514" t="s">
        <v>1227</v>
      </c>
      <c r="S514" t="s">
        <v>1227</v>
      </c>
      <c r="T514" s="54" t="s">
        <v>1227</v>
      </c>
      <c r="U514" t="s">
        <v>1227</v>
      </c>
    </row>
    <row r="515" spans="1:21" x14ac:dyDescent="0.25">
      <c r="A515" s="44" t="s">
        <v>838</v>
      </c>
      <c r="B515" s="44" t="s">
        <v>205</v>
      </c>
      <c r="C515" s="45">
        <v>54</v>
      </c>
      <c r="D515" s="45"/>
      <c r="E515" s="45">
        <v>3</v>
      </c>
      <c r="F515" s="45"/>
      <c r="G515" s="45">
        <v>8</v>
      </c>
      <c r="H515" s="45"/>
      <c r="I515" s="34">
        <v>11</v>
      </c>
      <c r="J515">
        <f>I515/(VLOOKUP(B515,'Team Stats'!$B$3:$K$18,5,0))</f>
        <v>1.7133956386292833E-2</v>
      </c>
      <c r="M515" t="s">
        <v>1227</v>
      </c>
      <c r="N515" t="s">
        <v>1227</v>
      </c>
      <c r="O515" t="s">
        <v>1227</v>
      </c>
      <c r="P515" t="s">
        <v>1227</v>
      </c>
      <c r="Q515" t="s">
        <v>1227</v>
      </c>
      <c r="R515" t="s">
        <v>1227</v>
      </c>
      <c r="S515" t="s">
        <v>1227</v>
      </c>
      <c r="T515" s="54" t="s">
        <v>1227</v>
      </c>
      <c r="U515" t="s">
        <v>1227</v>
      </c>
    </row>
    <row r="516" spans="1:21" x14ac:dyDescent="0.25">
      <c r="A516" s="44" t="s">
        <v>839</v>
      </c>
      <c r="B516" s="44" t="s">
        <v>203</v>
      </c>
      <c r="C516" s="45">
        <v>51</v>
      </c>
      <c r="D516" s="45"/>
      <c r="E516" s="45">
        <v>0</v>
      </c>
      <c r="F516" s="45"/>
      <c r="G516" s="45">
        <v>10</v>
      </c>
      <c r="H516" s="45"/>
      <c r="I516" s="34">
        <v>10</v>
      </c>
      <c r="J516" t="e">
        <f>I516/(VLOOKUP(B516,'Team Stats'!$B$3:$K$18,5,0))</f>
        <v>#N/A</v>
      </c>
      <c r="M516" t="s">
        <v>1227</v>
      </c>
      <c r="N516" t="s">
        <v>1227</v>
      </c>
      <c r="O516" t="s">
        <v>1227</v>
      </c>
      <c r="P516" t="s">
        <v>1227</v>
      </c>
      <c r="Q516" t="s">
        <v>1227</v>
      </c>
      <c r="R516" t="s">
        <v>1227</v>
      </c>
      <c r="S516" t="s">
        <v>1227</v>
      </c>
      <c r="T516" s="54" t="s">
        <v>1227</v>
      </c>
      <c r="U516" t="s">
        <v>1227</v>
      </c>
    </row>
    <row r="517" spans="1:21" x14ac:dyDescent="0.25">
      <c r="A517" s="44" t="s">
        <v>840</v>
      </c>
      <c r="B517" s="44" t="s">
        <v>219</v>
      </c>
      <c r="C517" s="45">
        <v>74</v>
      </c>
      <c r="D517" s="45"/>
      <c r="E517" s="45">
        <v>4</v>
      </c>
      <c r="F517" s="45"/>
      <c r="G517" s="45">
        <v>6</v>
      </c>
      <c r="H517" s="45"/>
      <c r="I517" s="34">
        <v>10</v>
      </c>
      <c r="J517" t="e">
        <f>I517/(VLOOKUP(B517,'Team Stats'!$B$3:$K$18,5,0))</f>
        <v>#N/A</v>
      </c>
      <c r="M517" t="s">
        <v>1227</v>
      </c>
      <c r="N517" t="s">
        <v>1227</v>
      </c>
      <c r="O517" t="s">
        <v>1227</v>
      </c>
      <c r="P517" t="s">
        <v>1227</v>
      </c>
      <c r="Q517" t="s">
        <v>1227</v>
      </c>
      <c r="R517" t="s">
        <v>1227</v>
      </c>
      <c r="S517" t="s">
        <v>1227</v>
      </c>
      <c r="T517" s="54" t="s">
        <v>1227</v>
      </c>
      <c r="U517" t="s">
        <v>1227</v>
      </c>
    </row>
    <row r="518" spans="1:21" x14ac:dyDescent="0.25">
      <c r="A518" s="44" t="s">
        <v>841</v>
      </c>
      <c r="B518" s="44" t="s">
        <v>364</v>
      </c>
      <c r="C518" s="45">
        <v>37</v>
      </c>
      <c r="D518" s="45"/>
      <c r="E518" s="45">
        <v>0</v>
      </c>
      <c r="F518" s="45"/>
      <c r="G518" s="45">
        <v>10</v>
      </c>
      <c r="H518" s="45"/>
      <c r="I518" s="34">
        <v>10</v>
      </c>
      <c r="J518" t="e">
        <f>I518/(VLOOKUP(B518,'Team Stats'!$B$3:$K$18,5,0))</f>
        <v>#N/A</v>
      </c>
      <c r="M518" t="s">
        <v>1227</v>
      </c>
      <c r="N518" t="s">
        <v>1227</v>
      </c>
      <c r="O518" t="s">
        <v>1227</v>
      </c>
      <c r="P518" t="s">
        <v>1227</v>
      </c>
      <c r="Q518" t="s">
        <v>1227</v>
      </c>
      <c r="R518" t="s">
        <v>1227</v>
      </c>
      <c r="S518" t="s">
        <v>1227</v>
      </c>
      <c r="T518" s="54" t="s">
        <v>1227</v>
      </c>
      <c r="U518" t="s">
        <v>1227</v>
      </c>
    </row>
    <row r="519" spans="1:21" x14ac:dyDescent="0.25">
      <c r="A519" s="44" t="s">
        <v>842</v>
      </c>
      <c r="B519" s="44" t="s">
        <v>199</v>
      </c>
      <c r="C519" s="45">
        <v>62</v>
      </c>
      <c r="D519" s="45"/>
      <c r="E519" s="45">
        <v>4</v>
      </c>
      <c r="F519" s="45"/>
      <c r="G519" s="45">
        <v>6</v>
      </c>
      <c r="H519" s="45"/>
      <c r="I519" s="34">
        <v>10</v>
      </c>
      <c r="J519">
        <f>I519/(VLOOKUP(B519,'Team Stats'!$B$3:$K$18,5,0))</f>
        <v>1.5151515151515152E-2</v>
      </c>
      <c r="M519" t="s">
        <v>1227</v>
      </c>
      <c r="N519" t="s">
        <v>1227</v>
      </c>
      <c r="O519" t="s">
        <v>1227</v>
      </c>
      <c r="P519" t="s">
        <v>1227</v>
      </c>
      <c r="Q519" t="s">
        <v>1227</v>
      </c>
      <c r="R519" t="s">
        <v>1227</v>
      </c>
      <c r="S519" t="s">
        <v>1227</v>
      </c>
      <c r="T519" s="54" t="s">
        <v>1227</v>
      </c>
      <c r="U519" t="s">
        <v>1227</v>
      </c>
    </row>
    <row r="520" spans="1:21" x14ac:dyDescent="0.25">
      <c r="A520" s="44" t="s">
        <v>843</v>
      </c>
      <c r="B520" s="44" t="s">
        <v>216</v>
      </c>
      <c r="C520" s="45">
        <v>30</v>
      </c>
      <c r="D520" s="45"/>
      <c r="E520" s="45">
        <v>6</v>
      </c>
      <c r="F520" s="45"/>
      <c r="G520" s="45">
        <v>4</v>
      </c>
      <c r="H520" s="45"/>
      <c r="I520" s="34">
        <v>10</v>
      </c>
      <c r="J520" t="e">
        <f>I520/(VLOOKUP(B520,'Team Stats'!$B$3:$K$18,5,0))</f>
        <v>#N/A</v>
      </c>
      <c r="M520" t="s">
        <v>1227</v>
      </c>
      <c r="N520" t="s">
        <v>1227</v>
      </c>
      <c r="O520" t="s">
        <v>1227</v>
      </c>
      <c r="P520" t="s">
        <v>1227</v>
      </c>
      <c r="Q520" t="s">
        <v>1227</v>
      </c>
      <c r="R520" t="s">
        <v>1227</v>
      </c>
      <c r="S520" t="s">
        <v>1227</v>
      </c>
      <c r="T520" s="54" t="s">
        <v>1227</v>
      </c>
      <c r="U520" t="s">
        <v>1227</v>
      </c>
    </row>
    <row r="521" spans="1:21" x14ac:dyDescent="0.25">
      <c r="A521" s="44" t="s">
        <v>844</v>
      </c>
      <c r="B521" s="44" t="s">
        <v>217</v>
      </c>
      <c r="C521" s="45">
        <v>49</v>
      </c>
      <c r="D521" s="45"/>
      <c r="E521" s="45">
        <v>2</v>
      </c>
      <c r="F521" s="45"/>
      <c r="G521" s="45">
        <v>8</v>
      </c>
      <c r="H521" s="45"/>
      <c r="I521" s="34">
        <v>10</v>
      </c>
      <c r="J521" t="e">
        <f>I521/(VLOOKUP(B521,'Team Stats'!$B$3:$K$18,5,0))</f>
        <v>#N/A</v>
      </c>
      <c r="M521" t="s">
        <v>1227</v>
      </c>
      <c r="N521" t="s">
        <v>1227</v>
      </c>
      <c r="O521" t="s">
        <v>1227</v>
      </c>
      <c r="P521" t="s">
        <v>1227</v>
      </c>
      <c r="Q521" t="s">
        <v>1227</v>
      </c>
      <c r="R521" t="s">
        <v>1227</v>
      </c>
      <c r="S521" t="s">
        <v>1227</v>
      </c>
      <c r="T521" s="54" t="s">
        <v>1227</v>
      </c>
      <c r="U521" t="s">
        <v>1227</v>
      </c>
    </row>
    <row r="522" spans="1:21" x14ac:dyDescent="0.25">
      <c r="A522" s="44" t="s">
        <v>845</v>
      </c>
      <c r="B522" s="44" t="s">
        <v>211</v>
      </c>
      <c r="C522" s="45">
        <v>29</v>
      </c>
      <c r="D522" s="45"/>
      <c r="E522" s="45">
        <v>4</v>
      </c>
      <c r="F522" s="45"/>
      <c r="G522" s="45">
        <v>6</v>
      </c>
      <c r="H522" s="45"/>
      <c r="I522" s="34">
        <v>10</v>
      </c>
      <c r="J522">
        <f>I522/(VLOOKUP(B522,'Team Stats'!$B$3:$K$18,5,0))</f>
        <v>1.6447368421052631E-2</v>
      </c>
      <c r="M522" t="s">
        <v>1227</v>
      </c>
      <c r="N522" t="s">
        <v>1227</v>
      </c>
      <c r="O522" t="s">
        <v>1227</v>
      </c>
      <c r="P522" t="s">
        <v>1227</v>
      </c>
      <c r="Q522" t="s">
        <v>1227</v>
      </c>
      <c r="R522" t="s">
        <v>1227</v>
      </c>
      <c r="S522" t="s">
        <v>1227</v>
      </c>
      <c r="T522" s="54" t="s">
        <v>1227</v>
      </c>
      <c r="U522" t="s">
        <v>1227</v>
      </c>
    </row>
    <row r="523" spans="1:21" x14ac:dyDescent="0.25">
      <c r="A523" s="44" t="s">
        <v>846</v>
      </c>
      <c r="B523" s="44" t="s">
        <v>201</v>
      </c>
      <c r="C523" s="45">
        <v>76</v>
      </c>
      <c r="D523" s="45"/>
      <c r="E523" s="45">
        <v>2</v>
      </c>
      <c r="F523" s="45"/>
      <c r="G523" s="45">
        <v>8</v>
      </c>
      <c r="H523" s="45"/>
      <c r="I523" s="34">
        <v>10</v>
      </c>
      <c r="J523">
        <f>I523/(VLOOKUP(B523,'Team Stats'!$B$3:$K$18,5,0))</f>
        <v>1.6638935108153077E-2</v>
      </c>
      <c r="M523" t="s">
        <v>1227</v>
      </c>
      <c r="N523" t="s">
        <v>1227</v>
      </c>
      <c r="O523" t="s">
        <v>1227</v>
      </c>
      <c r="P523" t="s">
        <v>1227</v>
      </c>
      <c r="Q523" t="s">
        <v>1227</v>
      </c>
      <c r="R523" t="s">
        <v>1227</v>
      </c>
      <c r="S523" t="s">
        <v>1227</v>
      </c>
      <c r="T523" s="54" t="s">
        <v>1227</v>
      </c>
      <c r="U523" t="s">
        <v>1227</v>
      </c>
    </row>
    <row r="524" spans="1:21" x14ac:dyDescent="0.25">
      <c r="A524" s="44" t="s">
        <v>847</v>
      </c>
      <c r="B524" s="44" t="s">
        <v>217</v>
      </c>
      <c r="C524" s="45">
        <v>81</v>
      </c>
      <c r="D524" s="45"/>
      <c r="E524" s="45">
        <v>2</v>
      </c>
      <c r="F524" s="45"/>
      <c r="G524" s="45">
        <v>8</v>
      </c>
      <c r="H524" s="45"/>
      <c r="I524" s="34">
        <v>10</v>
      </c>
      <c r="J524" t="e">
        <f>I524/(VLOOKUP(B524,'Team Stats'!$B$3:$K$18,5,0))</f>
        <v>#N/A</v>
      </c>
      <c r="M524" t="s">
        <v>1227</v>
      </c>
      <c r="N524" t="s">
        <v>1227</v>
      </c>
      <c r="O524" t="s">
        <v>1227</v>
      </c>
      <c r="P524" t="s">
        <v>1227</v>
      </c>
      <c r="Q524" t="s">
        <v>1227</v>
      </c>
      <c r="R524" t="s">
        <v>1227</v>
      </c>
      <c r="S524" t="s">
        <v>1227</v>
      </c>
      <c r="T524" s="54" t="s">
        <v>1227</v>
      </c>
      <c r="U524" t="s">
        <v>1227</v>
      </c>
    </row>
    <row r="525" spans="1:21" x14ac:dyDescent="0.25">
      <c r="A525" s="44" t="s">
        <v>848</v>
      </c>
      <c r="B525" s="44" t="s">
        <v>197</v>
      </c>
      <c r="C525" s="45">
        <v>82</v>
      </c>
      <c r="D525" s="45"/>
      <c r="E525" s="45">
        <v>1</v>
      </c>
      <c r="F525" s="45"/>
      <c r="G525" s="45">
        <v>9</v>
      </c>
      <c r="H525" s="45"/>
      <c r="I525" s="34">
        <v>10</v>
      </c>
      <c r="J525">
        <f>I525/(VLOOKUP(B525,'Team Stats'!$B$3:$K$18,5,0))</f>
        <v>1.6666666666666666E-2</v>
      </c>
      <c r="M525" t="s">
        <v>1227</v>
      </c>
      <c r="N525" t="s">
        <v>1227</v>
      </c>
      <c r="O525" t="s">
        <v>1227</v>
      </c>
      <c r="P525" t="s">
        <v>1227</v>
      </c>
      <c r="Q525" t="s">
        <v>1227</v>
      </c>
      <c r="R525" t="s">
        <v>1227</v>
      </c>
      <c r="S525" t="s">
        <v>1227</v>
      </c>
      <c r="T525" s="54" t="s">
        <v>1227</v>
      </c>
      <c r="U525" t="s">
        <v>1227</v>
      </c>
    </row>
    <row r="526" spans="1:21" x14ac:dyDescent="0.25">
      <c r="A526" s="44" t="s">
        <v>849</v>
      </c>
      <c r="B526" s="44" t="s">
        <v>339</v>
      </c>
      <c r="C526" s="45">
        <v>80</v>
      </c>
      <c r="D526" s="45"/>
      <c r="E526" s="45">
        <v>2</v>
      </c>
      <c r="F526" s="45"/>
      <c r="G526" s="45">
        <v>8</v>
      </c>
      <c r="H526" s="45"/>
      <c r="I526" s="34">
        <v>10</v>
      </c>
      <c r="J526" t="e">
        <f>I526/(VLOOKUP(B526,'Team Stats'!$B$3:$K$18,5,0))</f>
        <v>#N/A</v>
      </c>
      <c r="M526" t="s">
        <v>1227</v>
      </c>
      <c r="N526" t="s">
        <v>1227</v>
      </c>
      <c r="O526" t="s">
        <v>1227</v>
      </c>
      <c r="P526" t="s">
        <v>1227</v>
      </c>
      <c r="Q526" t="s">
        <v>1227</v>
      </c>
      <c r="R526" t="s">
        <v>1227</v>
      </c>
      <c r="S526" t="s">
        <v>1227</v>
      </c>
      <c r="T526" s="54" t="s">
        <v>1227</v>
      </c>
      <c r="U526" t="s">
        <v>1227</v>
      </c>
    </row>
    <row r="527" spans="1:21" x14ac:dyDescent="0.25">
      <c r="A527" s="44" t="s">
        <v>850</v>
      </c>
      <c r="B527" s="44" t="s">
        <v>204</v>
      </c>
      <c r="C527" s="45">
        <v>45</v>
      </c>
      <c r="D527" s="45"/>
      <c r="E527" s="45">
        <v>5</v>
      </c>
      <c r="F527" s="45"/>
      <c r="G527" s="45">
        <v>5</v>
      </c>
      <c r="H527" s="45"/>
      <c r="I527" s="34">
        <v>10</v>
      </c>
      <c r="J527">
        <f>I527/(VLOOKUP(B527,'Team Stats'!$B$3:$K$18,5,0))</f>
        <v>1.6313213703099509E-2</v>
      </c>
      <c r="M527" t="s">
        <v>1227</v>
      </c>
      <c r="N527" t="s">
        <v>1227</v>
      </c>
      <c r="O527" t="s">
        <v>1227</v>
      </c>
      <c r="P527" t="s">
        <v>1227</v>
      </c>
      <c r="Q527" t="s">
        <v>1227</v>
      </c>
      <c r="R527" t="s">
        <v>1227</v>
      </c>
      <c r="S527" t="s">
        <v>1227</v>
      </c>
      <c r="T527" s="54" t="s">
        <v>1227</v>
      </c>
      <c r="U527" t="s">
        <v>1227</v>
      </c>
    </row>
    <row r="528" spans="1:21" x14ac:dyDescent="0.25">
      <c r="A528" s="44" t="s">
        <v>851</v>
      </c>
      <c r="B528" s="44" t="s">
        <v>214</v>
      </c>
      <c r="C528" s="45">
        <v>42</v>
      </c>
      <c r="D528" s="45"/>
      <c r="E528" s="45">
        <v>4</v>
      </c>
      <c r="F528" s="45"/>
      <c r="G528" s="45">
        <v>6</v>
      </c>
      <c r="H528" s="45"/>
      <c r="I528" s="34">
        <v>10</v>
      </c>
      <c r="J528" t="e">
        <f>I528/(VLOOKUP(B528,'Team Stats'!$B$3:$K$18,5,0))</f>
        <v>#N/A</v>
      </c>
      <c r="M528" t="s">
        <v>1227</v>
      </c>
      <c r="N528" t="s">
        <v>1227</v>
      </c>
      <c r="O528" t="s">
        <v>1227</v>
      </c>
      <c r="P528" t="s">
        <v>1227</v>
      </c>
      <c r="Q528" t="s">
        <v>1227</v>
      </c>
      <c r="R528" t="s">
        <v>1227</v>
      </c>
      <c r="S528" t="s">
        <v>1227</v>
      </c>
      <c r="T528" s="54" t="s">
        <v>1227</v>
      </c>
      <c r="U528" t="s">
        <v>1227</v>
      </c>
    </row>
    <row r="529" spans="1:21" x14ac:dyDescent="0.25">
      <c r="A529" s="44" t="s">
        <v>852</v>
      </c>
      <c r="B529" s="44" t="s">
        <v>211</v>
      </c>
      <c r="C529" s="45">
        <v>40</v>
      </c>
      <c r="D529" s="45"/>
      <c r="E529" s="45">
        <v>2</v>
      </c>
      <c r="F529" s="45"/>
      <c r="G529" s="45">
        <v>8</v>
      </c>
      <c r="H529" s="45"/>
      <c r="I529" s="34">
        <v>10</v>
      </c>
      <c r="J529">
        <f>I529/(VLOOKUP(B529,'Team Stats'!$B$3:$K$18,5,0))</f>
        <v>1.6447368421052631E-2</v>
      </c>
      <c r="M529" t="s">
        <v>1227</v>
      </c>
      <c r="N529" t="s">
        <v>1227</v>
      </c>
      <c r="O529" t="s">
        <v>1227</v>
      </c>
      <c r="P529" t="s">
        <v>1227</v>
      </c>
      <c r="Q529" t="s">
        <v>1227</v>
      </c>
      <c r="R529" t="s">
        <v>1227</v>
      </c>
      <c r="S529" t="s">
        <v>1227</v>
      </c>
      <c r="T529" s="54" t="s">
        <v>1227</v>
      </c>
      <c r="U529" t="s">
        <v>1227</v>
      </c>
    </row>
    <row r="530" spans="1:21" x14ac:dyDescent="0.25">
      <c r="A530" s="44" t="s">
        <v>853</v>
      </c>
      <c r="B530" s="44" t="s">
        <v>364</v>
      </c>
      <c r="C530" s="45">
        <v>25</v>
      </c>
      <c r="D530" s="45"/>
      <c r="E530" s="45">
        <v>2</v>
      </c>
      <c r="F530" s="45"/>
      <c r="G530" s="45">
        <v>8</v>
      </c>
      <c r="H530" s="45"/>
      <c r="I530" s="34">
        <v>10</v>
      </c>
      <c r="J530" t="e">
        <f>I530/(VLOOKUP(B530,'Team Stats'!$B$3:$K$18,5,0))</f>
        <v>#N/A</v>
      </c>
      <c r="M530" t="s">
        <v>1227</v>
      </c>
      <c r="N530" t="s">
        <v>1227</v>
      </c>
      <c r="O530" t="s">
        <v>1227</v>
      </c>
      <c r="P530" t="s">
        <v>1227</v>
      </c>
      <c r="Q530" t="s">
        <v>1227</v>
      </c>
      <c r="R530" t="s">
        <v>1227</v>
      </c>
      <c r="S530" t="s">
        <v>1227</v>
      </c>
      <c r="T530" s="54" t="s">
        <v>1227</v>
      </c>
      <c r="U530" t="s">
        <v>1227</v>
      </c>
    </row>
    <row r="531" spans="1:21" x14ac:dyDescent="0.25">
      <c r="A531" s="44" t="s">
        <v>854</v>
      </c>
      <c r="B531" s="44" t="s">
        <v>212</v>
      </c>
      <c r="C531" s="45">
        <v>53</v>
      </c>
      <c r="D531" s="45"/>
      <c r="E531" s="45">
        <v>4</v>
      </c>
      <c r="F531" s="45"/>
      <c r="G531" s="45">
        <v>6</v>
      </c>
      <c r="H531" s="45"/>
      <c r="I531" s="34">
        <v>10</v>
      </c>
      <c r="J531" t="e">
        <f>I531/(VLOOKUP(B531,'Team Stats'!$B$3:$K$18,5,0))</f>
        <v>#N/A</v>
      </c>
      <c r="M531" t="s">
        <v>1227</v>
      </c>
      <c r="N531" t="s">
        <v>1227</v>
      </c>
      <c r="O531" t="s">
        <v>1227</v>
      </c>
      <c r="P531" t="s">
        <v>1227</v>
      </c>
      <c r="Q531" t="s">
        <v>1227</v>
      </c>
      <c r="R531" t="s">
        <v>1227</v>
      </c>
      <c r="S531" t="s">
        <v>1227</v>
      </c>
      <c r="T531" s="54" t="s">
        <v>1227</v>
      </c>
      <c r="U531" t="s">
        <v>1227</v>
      </c>
    </row>
    <row r="532" spans="1:21" x14ac:dyDescent="0.25">
      <c r="A532" s="44" t="s">
        <v>855</v>
      </c>
      <c r="B532" s="44" t="s">
        <v>201</v>
      </c>
      <c r="C532" s="45">
        <v>69</v>
      </c>
      <c r="D532" s="45"/>
      <c r="E532" s="45">
        <v>5</v>
      </c>
      <c r="F532" s="45"/>
      <c r="G532" s="45">
        <v>5</v>
      </c>
      <c r="H532" s="45"/>
      <c r="I532" s="34">
        <v>10</v>
      </c>
      <c r="J532">
        <f>I532/(VLOOKUP(B532,'Team Stats'!$B$3:$K$18,5,0))</f>
        <v>1.6638935108153077E-2</v>
      </c>
      <c r="M532" t="s">
        <v>1227</v>
      </c>
      <c r="N532" t="s">
        <v>1227</v>
      </c>
      <c r="O532" t="s">
        <v>1227</v>
      </c>
      <c r="P532" t="s">
        <v>1227</v>
      </c>
      <c r="Q532" t="s">
        <v>1227</v>
      </c>
      <c r="R532" t="s">
        <v>1227</v>
      </c>
      <c r="S532" t="s">
        <v>1227</v>
      </c>
      <c r="T532" s="54" t="s">
        <v>1227</v>
      </c>
      <c r="U532" t="s">
        <v>1227</v>
      </c>
    </row>
    <row r="533" spans="1:21" x14ac:dyDescent="0.25">
      <c r="A533" s="44" t="s">
        <v>856</v>
      </c>
      <c r="B533" s="44" t="s">
        <v>199</v>
      </c>
      <c r="C533" s="45">
        <v>74</v>
      </c>
      <c r="D533" s="45"/>
      <c r="E533" s="45">
        <v>3</v>
      </c>
      <c r="F533" s="45"/>
      <c r="G533" s="45">
        <v>6</v>
      </c>
      <c r="H533" s="45"/>
      <c r="I533" s="34">
        <v>9</v>
      </c>
      <c r="J533">
        <f>I533/(VLOOKUP(B533,'Team Stats'!$B$3:$K$18,5,0))</f>
        <v>1.3636363636363636E-2</v>
      </c>
      <c r="M533" t="s">
        <v>1227</v>
      </c>
      <c r="N533" t="s">
        <v>1227</v>
      </c>
      <c r="O533" t="s">
        <v>1227</v>
      </c>
      <c r="P533" t="s">
        <v>1227</v>
      </c>
      <c r="Q533" t="s">
        <v>1227</v>
      </c>
      <c r="R533" t="s">
        <v>1227</v>
      </c>
      <c r="S533" t="s">
        <v>1227</v>
      </c>
      <c r="T533" s="54" t="s">
        <v>1227</v>
      </c>
      <c r="U533" t="s">
        <v>1227</v>
      </c>
    </row>
    <row r="534" spans="1:21" x14ac:dyDescent="0.25">
      <c r="A534" s="44" t="s">
        <v>857</v>
      </c>
      <c r="B534" s="44" t="s">
        <v>356</v>
      </c>
      <c r="C534" s="45">
        <v>82</v>
      </c>
      <c r="D534" s="45"/>
      <c r="E534" s="45">
        <v>3</v>
      </c>
      <c r="F534" s="45"/>
      <c r="G534" s="45">
        <v>6</v>
      </c>
      <c r="H534" s="45"/>
      <c r="I534" s="34">
        <v>9</v>
      </c>
      <c r="J534" t="e">
        <f>I534/(VLOOKUP(B534,'Team Stats'!$B$3:$K$18,5,0))</f>
        <v>#N/A</v>
      </c>
      <c r="M534" t="s">
        <v>1227</v>
      </c>
      <c r="N534" t="s">
        <v>1227</v>
      </c>
      <c r="O534" t="s">
        <v>1227</v>
      </c>
      <c r="P534" t="s">
        <v>1227</v>
      </c>
      <c r="Q534" t="s">
        <v>1227</v>
      </c>
      <c r="R534" t="s">
        <v>1227</v>
      </c>
      <c r="S534" t="s">
        <v>1227</v>
      </c>
      <c r="T534" s="54" t="s">
        <v>1227</v>
      </c>
      <c r="U534" t="s">
        <v>1227</v>
      </c>
    </row>
    <row r="535" spans="1:21" x14ac:dyDescent="0.25">
      <c r="A535" s="44" t="s">
        <v>858</v>
      </c>
      <c r="B535" s="44" t="s">
        <v>356</v>
      </c>
      <c r="C535" s="45">
        <v>60</v>
      </c>
      <c r="D535" s="45"/>
      <c r="E535" s="45">
        <v>6</v>
      </c>
      <c r="F535" s="45"/>
      <c r="G535" s="45">
        <v>3</v>
      </c>
      <c r="H535" s="45"/>
      <c r="I535" s="34">
        <v>9</v>
      </c>
      <c r="J535" t="e">
        <f>I535/(VLOOKUP(B535,'Team Stats'!$B$3:$K$18,5,0))</f>
        <v>#N/A</v>
      </c>
      <c r="M535" t="s">
        <v>1227</v>
      </c>
      <c r="N535" t="s">
        <v>1227</v>
      </c>
      <c r="O535" t="s">
        <v>1227</v>
      </c>
      <c r="P535" t="s">
        <v>1227</v>
      </c>
      <c r="Q535" t="s">
        <v>1227</v>
      </c>
      <c r="R535" t="s">
        <v>1227</v>
      </c>
      <c r="S535" t="s">
        <v>1227</v>
      </c>
      <c r="T535" s="54" t="s">
        <v>1227</v>
      </c>
      <c r="U535" t="s">
        <v>1227</v>
      </c>
    </row>
    <row r="536" spans="1:21" x14ac:dyDescent="0.25">
      <c r="A536" s="44" t="s">
        <v>859</v>
      </c>
      <c r="B536" s="44" t="s">
        <v>214</v>
      </c>
      <c r="C536" s="45">
        <v>37</v>
      </c>
      <c r="D536" s="45"/>
      <c r="E536" s="45">
        <v>2</v>
      </c>
      <c r="F536" s="45"/>
      <c r="G536" s="45">
        <v>7</v>
      </c>
      <c r="H536" s="45"/>
      <c r="I536" s="34">
        <v>9</v>
      </c>
      <c r="J536" t="e">
        <f>I536/(VLOOKUP(B536,'Team Stats'!$B$3:$K$18,5,0))</f>
        <v>#N/A</v>
      </c>
      <c r="M536" t="s">
        <v>1227</v>
      </c>
      <c r="N536" t="s">
        <v>1227</v>
      </c>
      <c r="O536" t="s">
        <v>1227</v>
      </c>
      <c r="P536" t="s">
        <v>1227</v>
      </c>
      <c r="Q536" t="s">
        <v>1227</v>
      </c>
      <c r="R536" t="s">
        <v>1227</v>
      </c>
      <c r="S536" t="s">
        <v>1227</v>
      </c>
      <c r="T536" s="54" t="s">
        <v>1227</v>
      </c>
      <c r="U536" t="s">
        <v>1227</v>
      </c>
    </row>
    <row r="537" spans="1:21" x14ac:dyDescent="0.25">
      <c r="A537" s="44" t="s">
        <v>860</v>
      </c>
      <c r="B537" s="44" t="s">
        <v>335</v>
      </c>
      <c r="C537" s="45">
        <v>52</v>
      </c>
      <c r="D537" s="45"/>
      <c r="E537" s="45">
        <v>3</v>
      </c>
      <c r="F537" s="45"/>
      <c r="G537" s="45">
        <v>6</v>
      </c>
      <c r="H537" s="45"/>
      <c r="I537" s="34">
        <v>9</v>
      </c>
      <c r="J537" t="e">
        <f>I537/(VLOOKUP(B537,'Team Stats'!$B$3:$K$18,5,0))</f>
        <v>#N/A</v>
      </c>
      <c r="M537" t="s">
        <v>1227</v>
      </c>
      <c r="N537" t="s">
        <v>1227</v>
      </c>
      <c r="O537" t="s">
        <v>1227</v>
      </c>
      <c r="P537" t="s">
        <v>1227</v>
      </c>
      <c r="Q537" t="s">
        <v>1227</v>
      </c>
      <c r="R537" t="s">
        <v>1227</v>
      </c>
      <c r="S537" t="s">
        <v>1227</v>
      </c>
      <c r="T537" s="54" t="s">
        <v>1227</v>
      </c>
      <c r="U537" t="s">
        <v>1227</v>
      </c>
    </row>
    <row r="538" spans="1:21" x14ac:dyDescent="0.25">
      <c r="A538" s="44" t="s">
        <v>861</v>
      </c>
      <c r="B538" s="44" t="s">
        <v>324</v>
      </c>
      <c r="C538" s="45">
        <v>72</v>
      </c>
      <c r="D538" s="45"/>
      <c r="E538" s="45">
        <v>1</v>
      </c>
      <c r="F538" s="45"/>
      <c r="G538" s="45">
        <v>8</v>
      </c>
      <c r="H538" s="45"/>
      <c r="I538" s="34">
        <v>9</v>
      </c>
      <c r="J538" t="e">
        <f>I538/(VLOOKUP(B538,'Team Stats'!$B$3:$K$18,5,0))</f>
        <v>#N/A</v>
      </c>
      <c r="M538" t="s">
        <v>1227</v>
      </c>
      <c r="N538" t="s">
        <v>1227</v>
      </c>
      <c r="O538" t="s">
        <v>1227</v>
      </c>
      <c r="P538" t="s">
        <v>1227</v>
      </c>
      <c r="Q538" t="s">
        <v>1227</v>
      </c>
      <c r="R538" t="s">
        <v>1227</v>
      </c>
      <c r="S538" t="s">
        <v>1227</v>
      </c>
      <c r="T538" s="54" t="s">
        <v>1227</v>
      </c>
      <c r="U538" t="s">
        <v>1227</v>
      </c>
    </row>
    <row r="539" spans="1:21" x14ac:dyDescent="0.25">
      <c r="A539" s="44" t="s">
        <v>862</v>
      </c>
      <c r="B539" s="44" t="s">
        <v>344</v>
      </c>
      <c r="C539" s="45">
        <v>64</v>
      </c>
      <c r="D539" s="45"/>
      <c r="E539" s="45">
        <v>1</v>
      </c>
      <c r="F539" s="45"/>
      <c r="G539" s="45">
        <v>8</v>
      </c>
      <c r="H539" s="45"/>
      <c r="I539" s="34">
        <v>9</v>
      </c>
      <c r="J539" t="e">
        <f>I539/(VLOOKUP(B539,'Team Stats'!$B$3:$K$18,5,0))</f>
        <v>#N/A</v>
      </c>
      <c r="M539" t="s">
        <v>1227</v>
      </c>
      <c r="N539" t="s">
        <v>1227</v>
      </c>
      <c r="O539" t="s">
        <v>1227</v>
      </c>
      <c r="P539" t="s">
        <v>1227</v>
      </c>
      <c r="Q539" t="s">
        <v>1227</v>
      </c>
      <c r="R539" t="s">
        <v>1227</v>
      </c>
      <c r="S539" t="s">
        <v>1227</v>
      </c>
      <c r="T539" s="54" t="s">
        <v>1227</v>
      </c>
      <c r="U539" t="s">
        <v>1227</v>
      </c>
    </row>
    <row r="540" spans="1:21" x14ac:dyDescent="0.25">
      <c r="A540" s="44" t="s">
        <v>863</v>
      </c>
      <c r="B540" s="44" t="s">
        <v>201</v>
      </c>
      <c r="C540" s="45">
        <v>34</v>
      </c>
      <c r="D540" s="45"/>
      <c r="E540" s="45">
        <v>4</v>
      </c>
      <c r="F540" s="45"/>
      <c r="G540" s="45">
        <v>5</v>
      </c>
      <c r="H540" s="45"/>
      <c r="I540" s="34">
        <v>9</v>
      </c>
      <c r="J540">
        <f>I540/(VLOOKUP(B540,'Team Stats'!$B$3:$K$18,5,0))</f>
        <v>1.4975041597337771E-2</v>
      </c>
      <c r="M540" t="s">
        <v>1227</v>
      </c>
      <c r="N540" t="s">
        <v>1227</v>
      </c>
      <c r="O540" t="s">
        <v>1227</v>
      </c>
      <c r="P540" t="s">
        <v>1227</v>
      </c>
      <c r="Q540" t="s">
        <v>1227</v>
      </c>
      <c r="R540" t="s">
        <v>1227</v>
      </c>
      <c r="S540" t="s">
        <v>1227</v>
      </c>
      <c r="T540" s="54" t="s">
        <v>1227</v>
      </c>
      <c r="U540" t="s">
        <v>1227</v>
      </c>
    </row>
    <row r="541" spans="1:21" x14ac:dyDescent="0.25">
      <c r="A541" s="44" t="s">
        <v>864</v>
      </c>
      <c r="B541" s="44" t="s">
        <v>209</v>
      </c>
      <c r="C541" s="45">
        <v>55</v>
      </c>
      <c r="D541" s="45"/>
      <c r="E541" s="45">
        <v>0</v>
      </c>
      <c r="F541" s="45"/>
      <c r="G541" s="45">
        <v>9</v>
      </c>
      <c r="H541" s="45"/>
      <c r="I541" s="34">
        <v>9</v>
      </c>
      <c r="J541">
        <f>I541/(VLOOKUP(B541,'Team Stats'!$B$3:$K$18,5,0))</f>
        <v>1.5151515151515152E-2</v>
      </c>
      <c r="M541" t="s">
        <v>1227</v>
      </c>
      <c r="N541" t="s">
        <v>1227</v>
      </c>
      <c r="O541" t="s">
        <v>1227</v>
      </c>
      <c r="P541" t="s">
        <v>1227</v>
      </c>
      <c r="Q541" t="s">
        <v>1227</v>
      </c>
      <c r="R541" t="s">
        <v>1227</v>
      </c>
      <c r="S541" t="s">
        <v>1227</v>
      </c>
      <c r="T541" s="54" t="s">
        <v>1227</v>
      </c>
      <c r="U541" t="s">
        <v>1227</v>
      </c>
    </row>
    <row r="542" spans="1:21" x14ac:dyDescent="0.25">
      <c r="A542" s="44" t="s">
        <v>865</v>
      </c>
      <c r="B542" s="44" t="s">
        <v>199</v>
      </c>
      <c r="C542" s="45">
        <v>33</v>
      </c>
      <c r="D542" s="45"/>
      <c r="E542" s="45">
        <v>3</v>
      </c>
      <c r="F542" s="45"/>
      <c r="G542" s="45">
        <v>6</v>
      </c>
      <c r="H542" s="45"/>
      <c r="I542" s="34">
        <v>9</v>
      </c>
      <c r="J542">
        <f>I542/(VLOOKUP(B542,'Team Stats'!$B$3:$K$18,5,0))</f>
        <v>1.3636363636363636E-2</v>
      </c>
      <c r="M542" t="s">
        <v>1227</v>
      </c>
      <c r="N542" t="s">
        <v>1227</v>
      </c>
      <c r="O542" t="s">
        <v>1227</v>
      </c>
      <c r="P542" t="s">
        <v>1227</v>
      </c>
      <c r="Q542" t="s">
        <v>1227</v>
      </c>
      <c r="R542" t="s">
        <v>1227</v>
      </c>
      <c r="S542" t="s">
        <v>1227</v>
      </c>
      <c r="T542" s="54" t="s">
        <v>1227</v>
      </c>
      <c r="U542" t="s">
        <v>1227</v>
      </c>
    </row>
    <row r="543" spans="1:21" x14ac:dyDescent="0.25">
      <c r="A543" s="44" t="s">
        <v>866</v>
      </c>
      <c r="B543" s="44" t="s">
        <v>197</v>
      </c>
      <c r="C543" s="45">
        <v>20</v>
      </c>
      <c r="D543" s="45"/>
      <c r="E543" s="45">
        <v>1</v>
      </c>
      <c r="F543" s="45"/>
      <c r="G543" s="45">
        <v>8</v>
      </c>
      <c r="H543" s="45"/>
      <c r="I543" s="34">
        <v>9</v>
      </c>
      <c r="J543">
        <f>I543/(VLOOKUP(B543,'Team Stats'!$B$3:$K$18,5,0))</f>
        <v>1.4999999999999999E-2</v>
      </c>
      <c r="M543" t="s">
        <v>1227</v>
      </c>
      <c r="N543" t="s">
        <v>1227</v>
      </c>
      <c r="O543" t="s">
        <v>1227</v>
      </c>
      <c r="P543" t="s">
        <v>1227</v>
      </c>
      <c r="Q543" t="s">
        <v>1227</v>
      </c>
      <c r="R543" t="s">
        <v>1227</v>
      </c>
      <c r="S543" t="s">
        <v>1227</v>
      </c>
      <c r="T543" s="54" t="s">
        <v>1227</v>
      </c>
      <c r="U543" t="s">
        <v>1227</v>
      </c>
    </row>
    <row r="544" spans="1:21" x14ac:dyDescent="0.25">
      <c r="A544" s="44" t="s">
        <v>867</v>
      </c>
      <c r="B544" s="44" t="s">
        <v>356</v>
      </c>
      <c r="C544" s="45">
        <v>26</v>
      </c>
      <c r="D544" s="45"/>
      <c r="E544" s="45">
        <v>3</v>
      </c>
      <c r="F544" s="45"/>
      <c r="G544" s="45">
        <v>6</v>
      </c>
      <c r="H544" s="45"/>
      <c r="I544" s="34">
        <v>9</v>
      </c>
      <c r="J544" t="e">
        <f>I544/(VLOOKUP(B544,'Team Stats'!$B$3:$K$18,5,0))</f>
        <v>#N/A</v>
      </c>
      <c r="M544" t="s">
        <v>1227</v>
      </c>
      <c r="N544" t="s">
        <v>1227</v>
      </c>
      <c r="O544" t="s">
        <v>1227</v>
      </c>
      <c r="P544" t="s">
        <v>1227</v>
      </c>
      <c r="Q544" t="s">
        <v>1227</v>
      </c>
      <c r="R544" t="s">
        <v>1227</v>
      </c>
      <c r="S544" t="s">
        <v>1227</v>
      </c>
      <c r="T544" s="54" t="s">
        <v>1227</v>
      </c>
      <c r="U544" t="s">
        <v>1227</v>
      </c>
    </row>
    <row r="545" spans="1:21" x14ac:dyDescent="0.25">
      <c r="A545" s="44" t="s">
        <v>868</v>
      </c>
      <c r="B545" s="44" t="s">
        <v>203</v>
      </c>
      <c r="C545" s="45">
        <v>44</v>
      </c>
      <c r="D545" s="45"/>
      <c r="E545" s="45">
        <v>3</v>
      </c>
      <c r="F545" s="45"/>
      <c r="G545" s="45">
        <v>6</v>
      </c>
      <c r="H545" s="45"/>
      <c r="I545" s="34">
        <v>9</v>
      </c>
      <c r="J545" t="e">
        <f>I545/(VLOOKUP(B545,'Team Stats'!$B$3:$K$18,5,0))</f>
        <v>#N/A</v>
      </c>
      <c r="M545" t="s">
        <v>1227</v>
      </c>
      <c r="N545" t="s">
        <v>1227</v>
      </c>
      <c r="O545" t="s">
        <v>1227</v>
      </c>
      <c r="P545" t="s">
        <v>1227</v>
      </c>
      <c r="Q545" t="s">
        <v>1227</v>
      </c>
      <c r="R545" t="s">
        <v>1227</v>
      </c>
      <c r="S545" t="s">
        <v>1227</v>
      </c>
      <c r="T545" s="54" t="s">
        <v>1227</v>
      </c>
      <c r="U545" t="s">
        <v>1227</v>
      </c>
    </row>
    <row r="546" spans="1:21" x14ac:dyDescent="0.25">
      <c r="A546" s="44" t="s">
        <v>869</v>
      </c>
      <c r="B546" s="44" t="s">
        <v>330</v>
      </c>
      <c r="C546" s="45">
        <v>36</v>
      </c>
      <c r="D546" s="45"/>
      <c r="E546" s="45">
        <v>0</v>
      </c>
      <c r="F546" s="45"/>
      <c r="G546" s="45">
        <v>9</v>
      </c>
      <c r="H546" s="45"/>
      <c r="I546" s="34">
        <v>9</v>
      </c>
      <c r="J546" t="e">
        <f>I546/(VLOOKUP(B546,'Team Stats'!$B$3:$K$18,5,0))</f>
        <v>#N/A</v>
      </c>
      <c r="M546" t="s">
        <v>1227</v>
      </c>
      <c r="N546" t="s">
        <v>1227</v>
      </c>
      <c r="O546" t="s">
        <v>1227</v>
      </c>
      <c r="P546" t="s">
        <v>1227</v>
      </c>
      <c r="Q546" t="s">
        <v>1227</v>
      </c>
      <c r="R546" t="s">
        <v>1227</v>
      </c>
      <c r="S546" t="s">
        <v>1227</v>
      </c>
      <c r="T546" s="54" t="s">
        <v>1227</v>
      </c>
      <c r="U546" t="s">
        <v>1227</v>
      </c>
    </row>
    <row r="547" spans="1:21" x14ac:dyDescent="0.25">
      <c r="A547" s="44" t="s">
        <v>870</v>
      </c>
      <c r="B547" s="44" t="s">
        <v>203</v>
      </c>
      <c r="C547" s="45">
        <v>31</v>
      </c>
      <c r="D547" s="45"/>
      <c r="E547" s="45">
        <v>6</v>
      </c>
      <c r="F547" s="45"/>
      <c r="G547" s="45">
        <v>3</v>
      </c>
      <c r="H547" s="45"/>
      <c r="I547" s="34">
        <v>9</v>
      </c>
      <c r="J547" t="e">
        <f>I547/(VLOOKUP(B547,'Team Stats'!$B$3:$K$18,5,0))</f>
        <v>#N/A</v>
      </c>
      <c r="M547" t="s">
        <v>1227</v>
      </c>
      <c r="N547" t="s">
        <v>1227</v>
      </c>
      <c r="O547" t="s">
        <v>1227</v>
      </c>
      <c r="P547" t="s">
        <v>1227</v>
      </c>
      <c r="Q547" t="s">
        <v>1227</v>
      </c>
      <c r="R547" t="s">
        <v>1227</v>
      </c>
      <c r="S547" t="s">
        <v>1227</v>
      </c>
      <c r="T547" s="54" t="s">
        <v>1227</v>
      </c>
      <c r="U547" t="s">
        <v>1227</v>
      </c>
    </row>
    <row r="548" spans="1:21" x14ac:dyDescent="0.25">
      <c r="A548" s="44" t="s">
        <v>871</v>
      </c>
      <c r="B548" s="44" t="s">
        <v>220</v>
      </c>
      <c r="C548" s="45">
        <v>59</v>
      </c>
      <c r="D548" s="45"/>
      <c r="E548" s="45">
        <v>1</v>
      </c>
      <c r="F548" s="45"/>
      <c r="G548" s="45">
        <v>8</v>
      </c>
      <c r="H548" s="45"/>
      <c r="I548" s="34">
        <v>9</v>
      </c>
      <c r="J548" t="e">
        <f>I548/(VLOOKUP(B548,'Team Stats'!$B$3:$K$18,5,0))</f>
        <v>#N/A</v>
      </c>
      <c r="M548" t="s">
        <v>1227</v>
      </c>
      <c r="N548" t="s">
        <v>1227</v>
      </c>
      <c r="O548" t="s">
        <v>1227</v>
      </c>
      <c r="P548" t="s">
        <v>1227</v>
      </c>
      <c r="Q548" t="s">
        <v>1227</v>
      </c>
      <c r="R548" t="s">
        <v>1227</v>
      </c>
      <c r="S548" t="s">
        <v>1227</v>
      </c>
      <c r="T548" s="54" t="s">
        <v>1227</v>
      </c>
      <c r="U548" t="s">
        <v>1227</v>
      </c>
    </row>
    <row r="549" spans="1:21" x14ac:dyDescent="0.25">
      <c r="A549" s="44" t="s">
        <v>872</v>
      </c>
      <c r="B549" s="44" t="s">
        <v>209</v>
      </c>
      <c r="C549" s="45">
        <v>55</v>
      </c>
      <c r="D549" s="45"/>
      <c r="E549" s="45">
        <v>3</v>
      </c>
      <c r="F549" s="45"/>
      <c r="G549" s="45">
        <v>6</v>
      </c>
      <c r="H549" s="45"/>
      <c r="I549" s="34">
        <v>9</v>
      </c>
      <c r="J549">
        <f>I549/(VLOOKUP(B549,'Team Stats'!$B$3:$K$18,5,0))</f>
        <v>1.5151515151515152E-2</v>
      </c>
      <c r="M549" t="s">
        <v>1227</v>
      </c>
      <c r="N549" t="s">
        <v>1227</v>
      </c>
      <c r="O549" t="s">
        <v>1227</v>
      </c>
      <c r="P549" t="s">
        <v>1227</v>
      </c>
      <c r="Q549" t="s">
        <v>1227</v>
      </c>
      <c r="R549" t="s">
        <v>1227</v>
      </c>
      <c r="S549" t="s">
        <v>1227</v>
      </c>
      <c r="T549" s="54" t="s">
        <v>1227</v>
      </c>
      <c r="U549" t="s">
        <v>1227</v>
      </c>
    </row>
    <row r="550" spans="1:21" x14ac:dyDescent="0.25">
      <c r="A550" s="44" t="s">
        <v>873</v>
      </c>
      <c r="B550" s="44" t="s">
        <v>221</v>
      </c>
      <c r="C550" s="45">
        <v>70</v>
      </c>
      <c r="D550" s="45"/>
      <c r="E550" s="45">
        <v>3</v>
      </c>
      <c r="F550" s="45"/>
      <c r="G550" s="45">
        <v>6</v>
      </c>
      <c r="H550" s="45"/>
      <c r="I550" s="34">
        <v>9</v>
      </c>
      <c r="J550" t="e">
        <f>I550/(VLOOKUP(B550,'Team Stats'!$B$3:$K$18,5,0))</f>
        <v>#N/A</v>
      </c>
      <c r="M550" t="s">
        <v>1227</v>
      </c>
      <c r="N550" t="s">
        <v>1227</v>
      </c>
      <c r="O550" t="s">
        <v>1227</v>
      </c>
      <c r="P550" t="s">
        <v>1227</v>
      </c>
      <c r="Q550" t="s">
        <v>1227</v>
      </c>
      <c r="R550" t="s">
        <v>1227</v>
      </c>
      <c r="S550" t="s">
        <v>1227</v>
      </c>
      <c r="T550" s="54" t="s">
        <v>1227</v>
      </c>
      <c r="U550" t="s">
        <v>1227</v>
      </c>
    </row>
    <row r="551" spans="1:21" x14ac:dyDescent="0.25">
      <c r="A551" s="44" t="s">
        <v>874</v>
      </c>
      <c r="B551" s="44" t="s">
        <v>212</v>
      </c>
      <c r="C551" s="45">
        <v>56</v>
      </c>
      <c r="D551" s="45"/>
      <c r="E551" s="45">
        <v>5</v>
      </c>
      <c r="F551" s="45"/>
      <c r="G551" s="45">
        <v>4</v>
      </c>
      <c r="H551" s="45"/>
      <c r="I551" s="34">
        <v>9</v>
      </c>
      <c r="J551" t="e">
        <f>I551/(VLOOKUP(B551,'Team Stats'!$B$3:$K$18,5,0))</f>
        <v>#N/A</v>
      </c>
      <c r="M551" t="s">
        <v>1227</v>
      </c>
      <c r="N551" t="s">
        <v>1227</v>
      </c>
      <c r="O551" t="s">
        <v>1227</v>
      </c>
      <c r="P551" t="s">
        <v>1227</v>
      </c>
      <c r="Q551" t="s">
        <v>1227</v>
      </c>
      <c r="R551" t="s">
        <v>1227</v>
      </c>
      <c r="S551" t="s">
        <v>1227</v>
      </c>
      <c r="T551" s="54" t="s">
        <v>1227</v>
      </c>
      <c r="U551" t="s">
        <v>1227</v>
      </c>
    </row>
    <row r="552" spans="1:21" x14ac:dyDescent="0.25">
      <c r="A552" s="44" t="s">
        <v>875</v>
      </c>
      <c r="B552" s="44" t="s">
        <v>214</v>
      </c>
      <c r="C552" s="45">
        <v>69</v>
      </c>
      <c r="D552" s="45"/>
      <c r="E552" s="45">
        <v>5</v>
      </c>
      <c r="F552" s="45"/>
      <c r="G552" s="45">
        <v>4</v>
      </c>
      <c r="H552" s="45"/>
      <c r="I552" s="34">
        <v>9</v>
      </c>
      <c r="J552" t="e">
        <f>I552/(VLOOKUP(B552,'Team Stats'!$B$3:$K$18,5,0))</f>
        <v>#N/A</v>
      </c>
      <c r="M552" t="s">
        <v>1227</v>
      </c>
      <c r="N552" t="s">
        <v>1227</v>
      </c>
      <c r="O552" t="s">
        <v>1227</v>
      </c>
      <c r="P552" t="s">
        <v>1227</v>
      </c>
      <c r="Q552" t="s">
        <v>1227</v>
      </c>
      <c r="R552" t="s">
        <v>1227</v>
      </c>
      <c r="S552" t="s">
        <v>1227</v>
      </c>
      <c r="T552" s="54" t="s">
        <v>1227</v>
      </c>
      <c r="U552" t="s">
        <v>1227</v>
      </c>
    </row>
    <row r="553" spans="1:21" x14ac:dyDescent="0.25">
      <c r="A553" s="44" t="s">
        <v>876</v>
      </c>
      <c r="B553" s="44" t="s">
        <v>213</v>
      </c>
      <c r="C553" s="45">
        <v>54</v>
      </c>
      <c r="D553" s="45"/>
      <c r="E553" s="45">
        <v>3</v>
      </c>
      <c r="F553" s="45"/>
      <c r="G553" s="45">
        <v>6</v>
      </c>
      <c r="H553" s="45"/>
      <c r="I553" s="34">
        <v>9</v>
      </c>
      <c r="J553">
        <f>I553/(VLOOKUP(B553,'Team Stats'!$B$3:$K$18,5,0))</f>
        <v>1.4539579967689823E-2</v>
      </c>
      <c r="M553" t="s">
        <v>1227</v>
      </c>
      <c r="N553" t="s">
        <v>1227</v>
      </c>
      <c r="O553" t="s">
        <v>1227</v>
      </c>
      <c r="P553" t="s">
        <v>1227</v>
      </c>
      <c r="Q553" t="s">
        <v>1227</v>
      </c>
      <c r="R553" t="s">
        <v>1227</v>
      </c>
      <c r="S553" t="s">
        <v>1227</v>
      </c>
      <c r="T553" s="54" t="s">
        <v>1227</v>
      </c>
      <c r="U553" t="s">
        <v>1227</v>
      </c>
    </row>
    <row r="554" spans="1:21" x14ac:dyDescent="0.25">
      <c r="A554" s="44" t="s">
        <v>877</v>
      </c>
      <c r="B554" s="44" t="s">
        <v>204</v>
      </c>
      <c r="C554" s="45">
        <v>69</v>
      </c>
      <c r="D554" s="45"/>
      <c r="E554" s="45">
        <v>1</v>
      </c>
      <c r="F554" s="45"/>
      <c r="G554" s="45">
        <v>7</v>
      </c>
      <c r="H554" s="45"/>
      <c r="I554" s="34">
        <v>8</v>
      </c>
      <c r="J554">
        <f>I554/(VLOOKUP(B554,'Team Stats'!$B$3:$K$18,5,0))</f>
        <v>1.3050570962479609E-2</v>
      </c>
      <c r="M554" t="s">
        <v>1227</v>
      </c>
      <c r="N554" t="s">
        <v>1227</v>
      </c>
      <c r="O554" t="s">
        <v>1227</v>
      </c>
      <c r="P554" t="s">
        <v>1227</v>
      </c>
      <c r="Q554" t="s">
        <v>1227</v>
      </c>
      <c r="R554" t="s">
        <v>1227</v>
      </c>
      <c r="S554" t="s">
        <v>1227</v>
      </c>
      <c r="T554" s="54" t="s">
        <v>1227</v>
      </c>
      <c r="U554" t="s">
        <v>1227</v>
      </c>
    </row>
    <row r="555" spans="1:21" x14ac:dyDescent="0.25">
      <c r="A555" s="44" t="s">
        <v>878</v>
      </c>
      <c r="B555" s="44" t="s">
        <v>198</v>
      </c>
      <c r="C555" s="45">
        <v>33</v>
      </c>
      <c r="D555" s="45"/>
      <c r="E555" s="45">
        <v>2</v>
      </c>
      <c r="F555" s="45"/>
      <c r="G555" s="45">
        <v>6</v>
      </c>
      <c r="H555" s="45"/>
      <c r="I555" s="34">
        <v>8</v>
      </c>
      <c r="J555" t="e">
        <f>I555/(VLOOKUP(B555,'Team Stats'!$B$3:$K$18,5,0))</f>
        <v>#N/A</v>
      </c>
      <c r="M555" t="s">
        <v>1227</v>
      </c>
      <c r="N555" t="s">
        <v>1227</v>
      </c>
      <c r="O555" t="s">
        <v>1227</v>
      </c>
      <c r="P555" t="s">
        <v>1227</v>
      </c>
      <c r="Q555" t="s">
        <v>1227</v>
      </c>
      <c r="R555" t="s">
        <v>1227</v>
      </c>
      <c r="S555" t="s">
        <v>1227</v>
      </c>
      <c r="T555" s="54" t="s">
        <v>1227</v>
      </c>
      <c r="U555" t="s">
        <v>1227</v>
      </c>
    </row>
    <row r="556" spans="1:21" x14ac:dyDescent="0.25">
      <c r="A556" s="44" t="s">
        <v>879</v>
      </c>
      <c r="B556" s="44" t="s">
        <v>203</v>
      </c>
      <c r="C556" s="45">
        <v>36</v>
      </c>
      <c r="D556" s="45"/>
      <c r="E556" s="45">
        <v>1</v>
      </c>
      <c r="F556" s="45"/>
      <c r="G556" s="45">
        <v>7</v>
      </c>
      <c r="H556" s="45"/>
      <c r="I556" s="34">
        <v>8</v>
      </c>
      <c r="J556" t="e">
        <f>I556/(VLOOKUP(B556,'Team Stats'!$B$3:$K$18,5,0))</f>
        <v>#N/A</v>
      </c>
      <c r="M556" t="s">
        <v>1227</v>
      </c>
      <c r="N556" t="s">
        <v>1227</v>
      </c>
      <c r="O556" t="s">
        <v>1227</v>
      </c>
      <c r="P556" t="s">
        <v>1227</v>
      </c>
      <c r="Q556" t="s">
        <v>1227</v>
      </c>
      <c r="R556" t="s">
        <v>1227</v>
      </c>
      <c r="S556" t="s">
        <v>1227</v>
      </c>
      <c r="T556" s="54" t="s">
        <v>1227</v>
      </c>
      <c r="U556" t="s">
        <v>1227</v>
      </c>
    </row>
    <row r="557" spans="1:21" x14ac:dyDescent="0.25">
      <c r="A557" s="44" t="s">
        <v>880</v>
      </c>
      <c r="B557" s="44" t="s">
        <v>330</v>
      </c>
      <c r="C557" s="45">
        <v>61</v>
      </c>
      <c r="D557" s="45"/>
      <c r="E557" s="45">
        <v>1</v>
      </c>
      <c r="F557" s="45"/>
      <c r="G557" s="45">
        <v>7</v>
      </c>
      <c r="H557" s="45"/>
      <c r="I557" s="34">
        <v>8</v>
      </c>
      <c r="J557" t="e">
        <f>I557/(VLOOKUP(B557,'Team Stats'!$B$3:$K$18,5,0))</f>
        <v>#N/A</v>
      </c>
      <c r="M557" t="s">
        <v>1227</v>
      </c>
      <c r="N557" t="s">
        <v>1227</v>
      </c>
      <c r="O557" t="s">
        <v>1227</v>
      </c>
      <c r="P557" t="s">
        <v>1227</v>
      </c>
      <c r="Q557" t="s">
        <v>1227</v>
      </c>
      <c r="R557" t="s">
        <v>1227</v>
      </c>
      <c r="S557" t="s">
        <v>1227</v>
      </c>
      <c r="T557" s="54" t="s">
        <v>1227</v>
      </c>
      <c r="U557" t="s">
        <v>1227</v>
      </c>
    </row>
    <row r="558" spans="1:21" x14ac:dyDescent="0.25">
      <c r="A558" s="44" t="s">
        <v>881</v>
      </c>
      <c r="B558" s="44" t="s">
        <v>330</v>
      </c>
      <c r="C558" s="45">
        <v>45</v>
      </c>
      <c r="D558" s="45"/>
      <c r="E558" s="45">
        <v>6</v>
      </c>
      <c r="F558" s="45"/>
      <c r="G558" s="45">
        <v>2</v>
      </c>
      <c r="H558" s="45"/>
      <c r="I558" s="34">
        <v>8</v>
      </c>
      <c r="J558" t="e">
        <f>I558/(VLOOKUP(B558,'Team Stats'!$B$3:$K$18,5,0))</f>
        <v>#N/A</v>
      </c>
      <c r="M558" t="s">
        <v>1227</v>
      </c>
      <c r="N558" t="s">
        <v>1227</v>
      </c>
      <c r="O558" t="s">
        <v>1227</v>
      </c>
      <c r="P558" t="s">
        <v>1227</v>
      </c>
      <c r="Q558" t="s">
        <v>1227</v>
      </c>
      <c r="R558" t="s">
        <v>1227</v>
      </c>
      <c r="S558" t="s">
        <v>1227</v>
      </c>
      <c r="T558" s="54" t="s">
        <v>1227</v>
      </c>
      <c r="U558" t="s">
        <v>1227</v>
      </c>
    </row>
    <row r="559" spans="1:21" x14ac:dyDescent="0.25">
      <c r="A559" s="44" t="s">
        <v>882</v>
      </c>
      <c r="B559" s="44" t="s">
        <v>209</v>
      </c>
      <c r="C559" s="45">
        <v>40</v>
      </c>
      <c r="D559" s="45"/>
      <c r="E559" s="45">
        <v>2</v>
      </c>
      <c r="F559" s="45"/>
      <c r="G559" s="45">
        <v>6</v>
      </c>
      <c r="H559" s="45"/>
      <c r="I559" s="34">
        <v>8</v>
      </c>
      <c r="J559">
        <f>I559/(VLOOKUP(B559,'Team Stats'!$B$3:$K$18,5,0))</f>
        <v>1.3468013468013467E-2</v>
      </c>
      <c r="M559" t="s">
        <v>1227</v>
      </c>
      <c r="N559" t="s">
        <v>1227</v>
      </c>
      <c r="O559" t="s">
        <v>1227</v>
      </c>
      <c r="P559" t="s">
        <v>1227</v>
      </c>
      <c r="Q559" t="s">
        <v>1227</v>
      </c>
      <c r="R559" t="s">
        <v>1227</v>
      </c>
      <c r="S559" t="s">
        <v>1227</v>
      </c>
      <c r="T559" s="54" t="s">
        <v>1227</v>
      </c>
      <c r="U559" t="s">
        <v>1227</v>
      </c>
    </row>
    <row r="560" spans="1:21" x14ac:dyDescent="0.25">
      <c r="A560" s="44" t="s">
        <v>883</v>
      </c>
      <c r="B560" s="44" t="s">
        <v>199</v>
      </c>
      <c r="C560" s="45">
        <v>51</v>
      </c>
      <c r="D560" s="45"/>
      <c r="E560" s="45">
        <v>3</v>
      </c>
      <c r="F560" s="45"/>
      <c r="G560" s="45">
        <v>5</v>
      </c>
      <c r="H560" s="45"/>
      <c r="I560" s="34">
        <v>8</v>
      </c>
      <c r="J560">
        <f>I560/(VLOOKUP(B560,'Team Stats'!$B$3:$K$18,5,0))</f>
        <v>1.2121212121212121E-2</v>
      </c>
      <c r="M560" t="s">
        <v>1227</v>
      </c>
      <c r="N560" t="s">
        <v>1227</v>
      </c>
      <c r="O560" t="s">
        <v>1227</v>
      </c>
      <c r="P560" t="s">
        <v>1227</v>
      </c>
      <c r="Q560" t="s">
        <v>1227</v>
      </c>
      <c r="R560" t="s">
        <v>1227</v>
      </c>
      <c r="S560" t="s">
        <v>1227</v>
      </c>
      <c r="T560" s="54" t="s">
        <v>1227</v>
      </c>
      <c r="U560" t="s">
        <v>1227</v>
      </c>
    </row>
    <row r="561" spans="1:21" x14ac:dyDescent="0.25">
      <c r="A561" s="44" t="s">
        <v>884</v>
      </c>
      <c r="B561" s="44" t="s">
        <v>330</v>
      </c>
      <c r="C561" s="45">
        <v>63</v>
      </c>
      <c r="D561" s="45"/>
      <c r="E561" s="45">
        <v>0</v>
      </c>
      <c r="F561" s="45"/>
      <c r="G561" s="45">
        <v>8</v>
      </c>
      <c r="H561" s="45"/>
      <c r="I561" s="34">
        <v>8</v>
      </c>
      <c r="J561" t="e">
        <f>I561/(VLOOKUP(B561,'Team Stats'!$B$3:$K$18,5,0))</f>
        <v>#N/A</v>
      </c>
      <c r="M561" t="s">
        <v>1227</v>
      </c>
      <c r="N561" t="s">
        <v>1227</v>
      </c>
      <c r="O561" t="s">
        <v>1227</v>
      </c>
      <c r="P561" t="s">
        <v>1227</v>
      </c>
      <c r="Q561" t="s">
        <v>1227</v>
      </c>
      <c r="R561" t="s">
        <v>1227</v>
      </c>
      <c r="S561" t="s">
        <v>1227</v>
      </c>
      <c r="T561" s="54" t="s">
        <v>1227</v>
      </c>
      <c r="U561" t="s">
        <v>1227</v>
      </c>
    </row>
    <row r="562" spans="1:21" x14ac:dyDescent="0.25">
      <c r="A562" s="44" t="s">
        <v>885</v>
      </c>
      <c r="B562" s="44" t="s">
        <v>209</v>
      </c>
      <c r="C562" s="45">
        <v>47</v>
      </c>
      <c r="D562" s="45"/>
      <c r="E562" s="45">
        <v>3</v>
      </c>
      <c r="F562" s="45"/>
      <c r="G562" s="45">
        <v>5</v>
      </c>
      <c r="H562" s="45"/>
      <c r="I562" s="34">
        <v>8</v>
      </c>
      <c r="J562">
        <f>I562/(VLOOKUP(B562,'Team Stats'!$B$3:$K$18,5,0))</f>
        <v>1.3468013468013467E-2</v>
      </c>
      <c r="M562" t="s">
        <v>1227</v>
      </c>
      <c r="N562" t="s">
        <v>1227</v>
      </c>
      <c r="O562" t="s">
        <v>1227</v>
      </c>
      <c r="P562" t="s">
        <v>1227</v>
      </c>
      <c r="Q562" t="s">
        <v>1227</v>
      </c>
      <c r="R562" t="s">
        <v>1227</v>
      </c>
      <c r="S562" t="s">
        <v>1227</v>
      </c>
      <c r="T562" s="54" t="s">
        <v>1227</v>
      </c>
      <c r="U562" t="s">
        <v>1227</v>
      </c>
    </row>
    <row r="563" spans="1:21" x14ac:dyDescent="0.25">
      <c r="A563" s="44" t="s">
        <v>886</v>
      </c>
      <c r="B563" s="44" t="s">
        <v>211</v>
      </c>
      <c r="C563" s="45">
        <v>25</v>
      </c>
      <c r="D563" s="45"/>
      <c r="E563" s="45">
        <v>3</v>
      </c>
      <c r="F563" s="45"/>
      <c r="G563" s="45">
        <v>5</v>
      </c>
      <c r="H563" s="45"/>
      <c r="I563" s="34">
        <v>8</v>
      </c>
      <c r="J563">
        <f>I563/(VLOOKUP(B563,'Team Stats'!$B$3:$K$18,5,0))</f>
        <v>1.3157894736842105E-2</v>
      </c>
      <c r="M563" t="s">
        <v>1227</v>
      </c>
      <c r="N563" t="s">
        <v>1227</v>
      </c>
      <c r="O563" t="s">
        <v>1227</v>
      </c>
      <c r="P563" t="s">
        <v>1227</v>
      </c>
      <c r="Q563" t="s">
        <v>1227</v>
      </c>
      <c r="R563" t="s">
        <v>1227</v>
      </c>
      <c r="S563" t="s">
        <v>1227</v>
      </c>
      <c r="T563" s="54" t="s">
        <v>1227</v>
      </c>
      <c r="U563" t="s">
        <v>1227</v>
      </c>
    </row>
    <row r="564" spans="1:21" x14ac:dyDescent="0.25">
      <c r="A564" s="44" t="s">
        <v>887</v>
      </c>
      <c r="B564" s="44" t="s">
        <v>218</v>
      </c>
      <c r="C564" s="45">
        <v>66</v>
      </c>
      <c r="D564" s="45"/>
      <c r="E564" s="45">
        <v>3</v>
      </c>
      <c r="F564" s="45"/>
      <c r="G564" s="45">
        <v>5</v>
      </c>
      <c r="H564" s="45"/>
      <c r="I564" s="34">
        <v>8</v>
      </c>
      <c r="J564" t="e">
        <f>I564/(VLOOKUP(B564,'Team Stats'!$B$3:$K$18,5,0))</f>
        <v>#N/A</v>
      </c>
      <c r="M564" t="s">
        <v>1227</v>
      </c>
      <c r="N564" t="s">
        <v>1227</v>
      </c>
      <c r="O564" t="s">
        <v>1227</v>
      </c>
      <c r="P564" t="s">
        <v>1227</v>
      </c>
      <c r="Q564" t="s">
        <v>1227</v>
      </c>
      <c r="R564" t="s">
        <v>1227</v>
      </c>
      <c r="S564" t="s">
        <v>1227</v>
      </c>
      <c r="T564" s="54" t="s">
        <v>1227</v>
      </c>
      <c r="U564" t="s">
        <v>1227</v>
      </c>
    </row>
    <row r="565" spans="1:21" x14ac:dyDescent="0.25">
      <c r="A565" s="44" t="s">
        <v>888</v>
      </c>
      <c r="B565" s="44" t="s">
        <v>214</v>
      </c>
      <c r="C565" s="45">
        <v>74</v>
      </c>
      <c r="D565" s="45"/>
      <c r="E565" s="45">
        <v>2</v>
      </c>
      <c r="F565" s="45"/>
      <c r="G565" s="45">
        <v>6</v>
      </c>
      <c r="H565" s="45"/>
      <c r="I565" s="34">
        <v>8</v>
      </c>
      <c r="J565" t="e">
        <f>I565/(VLOOKUP(B565,'Team Stats'!$B$3:$K$18,5,0))</f>
        <v>#N/A</v>
      </c>
      <c r="M565" t="s">
        <v>1227</v>
      </c>
      <c r="N565" t="s">
        <v>1227</v>
      </c>
      <c r="O565" t="s">
        <v>1227</v>
      </c>
      <c r="P565" t="s">
        <v>1227</v>
      </c>
      <c r="Q565" t="s">
        <v>1227</v>
      </c>
      <c r="R565" t="s">
        <v>1227</v>
      </c>
      <c r="S565" t="s">
        <v>1227</v>
      </c>
      <c r="T565" s="54" t="s">
        <v>1227</v>
      </c>
      <c r="U565" t="s">
        <v>1227</v>
      </c>
    </row>
    <row r="566" spans="1:21" x14ac:dyDescent="0.25">
      <c r="A566" s="44" t="s">
        <v>889</v>
      </c>
      <c r="B566" s="44" t="s">
        <v>335</v>
      </c>
      <c r="C566" s="45">
        <v>70</v>
      </c>
      <c r="D566" s="45"/>
      <c r="E566" s="45">
        <v>3</v>
      </c>
      <c r="F566" s="45"/>
      <c r="G566" s="45">
        <v>5</v>
      </c>
      <c r="H566" s="45"/>
      <c r="I566" s="34">
        <v>8</v>
      </c>
      <c r="J566" t="e">
        <f>I566/(VLOOKUP(B566,'Team Stats'!$B$3:$K$18,5,0))</f>
        <v>#N/A</v>
      </c>
      <c r="M566" t="s">
        <v>1227</v>
      </c>
      <c r="N566" t="s">
        <v>1227</v>
      </c>
      <c r="O566" t="s">
        <v>1227</v>
      </c>
      <c r="P566" t="s">
        <v>1227</v>
      </c>
      <c r="Q566" t="s">
        <v>1227</v>
      </c>
      <c r="R566" t="s">
        <v>1227</v>
      </c>
      <c r="S566" t="s">
        <v>1227</v>
      </c>
      <c r="T566" s="54" t="s">
        <v>1227</v>
      </c>
      <c r="U566" t="s">
        <v>1227</v>
      </c>
    </row>
    <row r="567" spans="1:21" x14ac:dyDescent="0.25">
      <c r="A567" s="44" t="s">
        <v>890</v>
      </c>
      <c r="B567" s="44" t="s">
        <v>208</v>
      </c>
      <c r="C567" s="45">
        <v>31</v>
      </c>
      <c r="D567" s="45"/>
      <c r="E567" s="45">
        <v>5</v>
      </c>
      <c r="F567" s="45"/>
      <c r="G567" s="45">
        <v>3</v>
      </c>
      <c r="H567" s="45"/>
      <c r="I567" s="34">
        <v>8</v>
      </c>
      <c r="J567">
        <f>I567/(VLOOKUP(B567,'Team Stats'!$B$3:$K$18,5,0))</f>
        <v>1.2698412698412698E-2</v>
      </c>
      <c r="M567" t="s">
        <v>1227</v>
      </c>
      <c r="N567" t="s">
        <v>1227</v>
      </c>
      <c r="O567" t="s">
        <v>1227</v>
      </c>
      <c r="P567" t="s">
        <v>1227</v>
      </c>
      <c r="Q567" t="s">
        <v>1227</v>
      </c>
      <c r="R567" t="s">
        <v>1227</v>
      </c>
      <c r="S567" t="s">
        <v>1227</v>
      </c>
      <c r="T567" s="54" t="s">
        <v>1227</v>
      </c>
      <c r="U567" t="s">
        <v>1227</v>
      </c>
    </row>
    <row r="568" spans="1:21" x14ac:dyDescent="0.25">
      <c r="A568" s="44" t="s">
        <v>891</v>
      </c>
      <c r="B568" s="44" t="s">
        <v>195</v>
      </c>
      <c r="C568" s="45">
        <v>18</v>
      </c>
      <c r="D568" s="45"/>
      <c r="E568" s="45">
        <v>2</v>
      </c>
      <c r="F568" s="45"/>
      <c r="G568" s="45">
        <v>6</v>
      </c>
      <c r="H568" s="45"/>
      <c r="I568" s="34">
        <v>8</v>
      </c>
      <c r="J568">
        <f>I568/(VLOOKUP(B568,'Team Stats'!$B$3:$K$18,5,0))</f>
        <v>1.2195121951219513E-2</v>
      </c>
      <c r="M568" t="s">
        <v>1227</v>
      </c>
      <c r="N568" t="s">
        <v>1227</v>
      </c>
      <c r="O568" t="s">
        <v>1227</v>
      </c>
      <c r="P568" t="s">
        <v>1227</v>
      </c>
      <c r="Q568" t="s">
        <v>1227</v>
      </c>
      <c r="R568" t="s">
        <v>1227</v>
      </c>
      <c r="S568" t="s">
        <v>1227</v>
      </c>
      <c r="T568" s="54" t="s">
        <v>1227</v>
      </c>
      <c r="U568" t="s">
        <v>1227</v>
      </c>
    </row>
    <row r="569" spans="1:21" x14ac:dyDescent="0.25">
      <c r="A569" s="44" t="s">
        <v>892</v>
      </c>
      <c r="B569" s="44" t="s">
        <v>218</v>
      </c>
      <c r="C569" s="45">
        <v>64</v>
      </c>
      <c r="D569" s="45"/>
      <c r="E569" s="45">
        <v>2</v>
      </c>
      <c r="F569" s="45"/>
      <c r="G569" s="45">
        <v>6</v>
      </c>
      <c r="H569" s="45"/>
      <c r="I569" s="34">
        <v>8</v>
      </c>
      <c r="J569" t="e">
        <f>I569/(VLOOKUP(B569,'Team Stats'!$B$3:$K$18,5,0))</f>
        <v>#N/A</v>
      </c>
      <c r="M569" t="s">
        <v>1227</v>
      </c>
      <c r="N569" t="s">
        <v>1227</v>
      </c>
      <c r="O569" t="s">
        <v>1227</v>
      </c>
      <c r="P569" t="s">
        <v>1227</v>
      </c>
      <c r="Q569" t="s">
        <v>1227</v>
      </c>
      <c r="R569" t="s">
        <v>1227</v>
      </c>
      <c r="S569" t="s">
        <v>1227</v>
      </c>
      <c r="T569" s="54" t="s">
        <v>1227</v>
      </c>
      <c r="U569" t="s">
        <v>1227</v>
      </c>
    </row>
    <row r="570" spans="1:21" x14ac:dyDescent="0.25">
      <c r="A570" s="44" t="s">
        <v>893</v>
      </c>
      <c r="B570" s="44" t="s">
        <v>208</v>
      </c>
      <c r="C570" s="45">
        <v>68</v>
      </c>
      <c r="D570" s="45"/>
      <c r="E570" s="45">
        <v>3</v>
      </c>
      <c r="F570" s="45"/>
      <c r="G570" s="45">
        <v>5</v>
      </c>
      <c r="H570" s="45"/>
      <c r="I570" s="34">
        <v>8</v>
      </c>
      <c r="J570">
        <f>I570/(VLOOKUP(B570,'Team Stats'!$B$3:$K$18,5,0))</f>
        <v>1.2698412698412698E-2</v>
      </c>
      <c r="M570" t="s">
        <v>1227</v>
      </c>
      <c r="N570" t="s">
        <v>1227</v>
      </c>
      <c r="O570" t="s">
        <v>1227</v>
      </c>
      <c r="P570" t="s">
        <v>1227</v>
      </c>
      <c r="Q570" t="s">
        <v>1227</v>
      </c>
      <c r="R570" t="s">
        <v>1227</v>
      </c>
      <c r="S570" t="s">
        <v>1227</v>
      </c>
      <c r="T570" s="54" t="s">
        <v>1227</v>
      </c>
      <c r="U570" t="s">
        <v>1227</v>
      </c>
    </row>
    <row r="571" spans="1:21" x14ac:dyDescent="0.25">
      <c r="A571" s="44" t="s">
        <v>894</v>
      </c>
      <c r="B571" s="44" t="s">
        <v>339</v>
      </c>
      <c r="C571" s="45">
        <v>27</v>
      </c>
      <c r="D571" s="45"/>
      <c r="E571" s="45">
        <v>2</v>
      </c>
      <c r="F571" s="45"/>
      <c r="G571" s="45">
        <v>6</v>
      </c>
      <c r="H571" s="45"/>
      <c r="I571" s="34">
        <v>8</v>
      </c>
      <c r="J571" t="e">
        <f>I571/(VLOOKUP(B571,'Team Stats'!$B$3:$K$18,5,0))</f>
        <v>#N/A</v>
      </c>
      <c r="M571" t="s">
        <v>1227</v>
      </c>
      <c r="N571" t="s">
        <v>1227</v>
      </c>
      <c r="O571" t="s">
        <v>1227</v>
      </c>
      <c r="P571" t="s">
        <v>1227</v>
      </c>
      <c r="Q571" t="s">
        <v>1227</v>
      </c>
      <c r="R571" t="s">
        <v>1227</v>
      </c>
      <c r="S571" t="s">
        <v>1227</v>
      </c>
      <c r="T571" s="54" t="s">
        <v>1227</v>
      </c>
      <c r="U571" t="s">
        <v>1227</v>
      </c>
    </row>
    <row r="572" spans="1:21" x14ac:dyDescent="0.25">
      <c r="A572" s="44" t="s">
        <v>895</v>
      </c>
      <c r="B572" s="44" t="s">
        <v>201</v>
      </c>
      <c r="C572" s="45">
        <v>39</v>
      </c>
      <c r="D572" s="45"/>
      <c r="E572" s="45">
        <v>4</v>
      </c>
      <c r="F572" s="45"/>
      <c r="G572" s="45">
        <v>4</v>
      </c>
      <c r="H572" s="45"/>
      <c r="I572" s="34">
        <v>8</v>
      </c>
      <c r="J572">
        <f>I572/(VLOOKUP(B572,'Team Stats'!$B$3:$K$18,5,0))</f>
        <v>1.3311148086522463E-2</v>
      </c>
      <c r="M572" t="s">
        <v>1227</v>
      </c>
      <c r="N572" t="s">
        <v>1227</v>
      </c>
      <c r="O572" t="s">
        <v>1227</v>
      </c>
      <c r="P572" t="s">
        <v>1227</v>
      </c>
      <c r="Q572" t="s">
        <v>1227</v>
      </c>
      <c r="R572" t="s">
        <v>1227</v>
      </c>
      <c r="S572" t="s">
        <v>1227</v>
      </c>
      <c r="T572" s="54" t="s">
        <v>1227</v>
      </c>
      <c r="U572" t="s">
        <v>1227</v>
      </c>
    </row>
    <row r="573" spans="1:21" x14ac:dyDescent="0.25">
      <c r="A573" s="44" t="s">
        <v>896</v>
      </c>
      <c r="B573" s="44" t="s">
        <v>218</v>
      </c>
      <c r="C573" s="45">
        <v>44</v>
      </c>
      <c r="D573" s="45"/>
      <c r="E573" s="45">
        <v>2</v>
      </c>
      <c r="F573" s="45"/>
      <c r="G573" s="45">
        <v>6</v>
      </c>
      <c r="H573" s="45"/>
      <c r="I573" s="34">
        <v>8</v>
      </c>
      <c r="J573" t="e">
        <f>I573/(VLOOKUP(B573,'Team Stats'!$B$3:$K$18,5,0))</f>
        <v>#N/A</v>
      </c>
      <c r="M573" t="s">
        <v>1227</v>
      </c>
      <c r="N573" t="s">
        <v>1227</v>
      </c>
      <c r="O573" t="s">
        <v>1227</v>
      </c>
      <c r="P573" t="s">
        <v>1227</v>
      </c>
      <c r="Q573" t="s">
        <v>1227</v>
      </c>
      <c r="R573" t="s">
        <v>1227</v>
      </c>
      <c r="S573" t="s">
        <v>1227</v>
      </c>
      <c r="T573" s="54" t="s">
        <v>1227</v>
      </c>
      <c r="U573" t="s">
        <v>1227</v>
      </c>
    </row>
    <row r="574" spans="1:21" x14ac:dyDescent="0.25">
      <c r="A574" s="44" t="s">
        <v>897</v>
      </c>
      <c r="B574" s="44" t="s">
        <v>221</v>
      </c>
      <c r="C574" s="45">
        <v>51</v>
      </c>
      <c r="D574" s="45"/>
      <c r="E574" s="45">
        <v>3</v>
      </c>
      <c r="F574" s="45"/>
      <c r="G574" s="45">
        <v>4</v>
      </c>
      <c r="H574" s="45"/>
      <c r="I574" s="34">
        <v>7</v>
      </c>
      <c r="J574" t="e">
        <f>I574/(VLOOKUP(B574,'Team Stats'!$B$3:$K$18,5,0))</f>
        <v>#N/A</v>
      </c>
      <c r="M574" t="s">
        <v>1227</v>
      </c>
      <c r="N574" t="s">
        <v>1227</v>
      </c>
      <c r="O574" t="s">
        <v>1227</v>
      </c>
      <c r="P574" t="s">
        <v>1227</v>
      </c>
      <c r="Q574" t="s">
        <v>1227</v>
      </c>
      <c r="R574" t="s">
        <v>1227</v>
      </c>
      <c r="S574" t="s">
        <v>1227</v>
      </c>
      <c r="T574" s="54" t="s">
        <v>1227</v>
      </c>
      <c r="U574" t="s">
        <v>1227</v>
      </c>
    </row>
    <row r="575" spans="1:21" x14ac:dyDescent="0.25">
      <c r="A575" s="44" t="s">
        <v>898</v>
      </c>
      <c r="B575" s="44" t="s">
        <v>221</v>
      </c>
      <c r="C575" s="45">
        <v>51</v>
      </c>
      <c r="D575" s="45"/>
      <c r="E575" s="45">
        <v>2</v>
      </c>
      <c r="F575" s="45"/>
      <c r="G575" s="45">
        <v>5</v>
      </c>
      <c r="H575" s="45"/>
      <c r="I575" s="34">
        <v>7</v>
      </c>
      <c r="J575" t="e">
        <f>I575/(VLOOKUP(B575,'Team Stats'!$B$3:$K$18,5,0))</f>
        <v>#N/A</v>
      </c>
      <c r="M575" t="s">
        <v>1227</v>
      </c>
      <c r="N575" t="s">
        <v>1227</v>
      </c>
      <c r="O575" t="s">
        <v>1227</v>
      </c>
      <c r="P575" t="s">
        <v>1227</v>
      </c>
      <c r="Q575" t="s">
        <v>1227</v>
      </c>
      <c r="R575" t="s">
        <v>1227</v>
      </c>
      <c r="S575" t="s">
        <v>1227</v>
      </c>
      <c r="T575" s="54" t="s">
        <v>1227</v>
      </c>
      <c r="U575" t="s">
        <v>1227</v>
      </c>
    </row>
    <row r="576" spans="1:21" x14ac:dyDescent="0.25">
      <c r="A576" s="44" t="s">
        <v>899</v>
      </c>
      <c r="B576" s="44" t="s">
        <v>204</v>
      </c>
      <c r="C576" s="45">
        <v>55</v>
      </c>
      <c r="D576" s="45"/>
      <c r="E576" s="45">
        <v>5</v>
      </c>
      <c r="F576" s="45"/>
      <c r="G576" s="45">
        <v>2</v>
      </c>
      <c r="H576" s="45"/>
      <c r="I576" s="34">
        <v>7</v>
      </c>
      <c r="J576">
        <f>I576/(VLOOKUP(B576,'Team Stats'!$B$3:$K$18,5,0))</f>
        <v>1.1419249592169658E-2</v>
      </c>
      <c r="M576" t="s">
        <v>1227</v>
      </c>
      <c r="N576" t="s">
        <v>1227</v>
      </c>
      <c r="O576" t="s">
        <v>1227</v>
      </c>
      <c r="P576" t="s">
        <v>1227</v>
      </c>
      <c r="Q576" t="s">
        <v>1227</v>
      </c>
      <c r="R576" t="s">
        <v>1227</v>
      </c>
      <c r="S576" t="s">
        <v>1227</v>
      </c>
      <c r="T576" s="54" t="s">
        <v>1227</v>
      </c>
      <c r="U576" t="s">
        <v>1227</v>
      </c>
    </row>
    <row r="577" spans="1:21" x14ac:dyDescent="0.25">
      <c r="A577" s="44" t="s">
        <v>900</v>
      </c>
      <c r="B577" s="44" t="s">
        <v>197</v>
      </c>
      <c r="C577" s="45">
        <v>34</v>
      </c>
      <c r="D577" s="45"/>
      <c r="E577" s="45">
        <v>2</v>
      </c>
      <c r="F577" s="45"/>
      <c r="G577" s="45">
        <v>5</v>
      </c>
      <c r="H577" s="45"/>
      <c r="I577" s="34">
        <v>7</v>
      </c>
      <c r="J577">
        <f>I577/(VLOOKUP(B577,'Team Stats'!$B$3:$K$18,5,0))</f>
        <v>1.1666666666666667E-2</v>
      </c>
      <c r="M577" t="s">
        <v>1227</v>
      </c>
      <c r="N577" t="s">
        <v>1227</v>
      </c>
      <c r="O577" t="s">
        <v>1227</v>
      </c>
      <c r="P577" t="s">
        <v>1227</v>
      </c>
      <c r="Q577" t="s">
        <v>1227</v>
      </c>
      <c r="R577" t="s">
        <v>1227</v>
      </c>
      <c r="S577" t="s">
        <v>1227</v>
      </c>
      <c r="T577" s="54" t="s">
        <v>1227</v>
      </c>
      <c r="U577" t="s">
        <v>1227</v>
      </c>
    </row>
    <row r="578" spans="1:21" x14ac:dyDescent="0.25">
      <c r="A578" s="44" t="s">
        <v>901</v>
      </c>
      <c r="B578" s="44" t="s">
        <v>213</v>
      </c>
      <c r="C578" s="45">
        <v>38</v>
      </c>
      <c r="D578" s="45"/>
      <c r="E578" s="45">
        <v>4</v>
      </c>
      <c r="F578" s="45"/>
      <c r="G578" s="45">
        <v>3</v>
      </c>
      <c r="H578" s="45"/>
      <c r="I578" s="34">
        <v>7</v>
      </c>
      <c r="J578">
        <f>I578/(VLOOKUP(B578,'Team Stats'!$B$3:$K$18,5,0))</f>
        <v>1.1308562197092083E-2</v>
      </c>
      <c r="M578" t="s">
        <v>1227</v>
      </c>
      <c r="N578" t="s">
        <v>1227</v>
      </c>
      <c r="O578" t="s">
        <v>1227</v>
      </c>
      <c r="P578" t="s">
        <v>1227</v>
      </c>
      <c r="Q578" t="s">
        <v>1227</v>
      </c>
      <c r="R578" t="s">
        <v>1227</v>
      </c>
      <c r="S578" t="s">
        <v>1227</v>
      </c>
      <c r="T578" s="54" t="s">
        <v>1227</v>
      </c>
      <c r="U578" t="s">
        <v>1227</v>
      </c>
    </row>
    <row r="579" spans="1:21" x14ac:dyDescent="0.25">
      <c r="A579" s="44" t="s">
        <v>902</v>
      </c>
      <c r="B579" s="44" t="s">
        <v>356</v>
      </c>
      <c r="C579" s="45">
        <v>34</v>
      </c>
      <c r="D579" s="45"/>
      <c r="E579" s="45">
        <v>1</v>
      </c>
      <c r="F579" s="45"/>
      <c r="G579" s="45">
        <v>6</v>
      </c>
      <c r="H579" s="45"/>
      <c r="I579" s="34">
        <v>7</v>
      </c>
      <c r="J579" t="e">
        <f>I579/(VLOOKUP(B579,'Team Stats'!$B$3:$K$18,5,0))</f>
        <v>#N/A</v>
      </c>
      <c r="M579" t="s">
        <v>1227</v>
      </c>
      <c r="N579" t="s">
        <v>1227</v>
      </c>
      <c r="O579" t="s">
        <v>1227</v>
      </c>
      <c r="P579" t="s">
        <v>1227</v>
      </c>
      <c r="Q579" t="s">
        <v>1227</v>
      </c>
      <c r="R579" t="s">
        <v>1227</v>
      </c>
      <c r="S579" t="s">
        <v>1227</v>
      </c>
      <c r="T579" s="54" t="s">
        <v>1227</v>
      </c>
      <c r="U579" t="s">
        <v>1227</v>
      </c>
    </row>
    <row r="580" spans="1:21" x14ac:dyDescent="0.25">
      <c r="A580" s="44" t="s">
        <v>903</v>
      </c>
      <c r="B580" s="44" t="s">
        <v>335</v>
      </c>
      <c r="C580" s="45">
        <v>27</v>
      </c>
      <c r="D580" s="45"/>
      <c r="E580" s="45">
        <v>3</v>
      </c>
      <c r="F580" s="45"/>
      <c r="G580" s="45">
        <v>4</v>
      </c>
      <c r="H580" s="45"/>
      <c r="I580" s="34">
        <v>7</v>
      </c>
      <c r="J580" t="e">
        <f>I580/(VLOOKUP(B580,'Team Stats'!$B$3:$K$18,5,0))</f>
        <v>#N/A</v>
      </c>
      <c r="M580" t="s">
        <v>1227</v>
      </c>
      <c r="N580" t="s">
        <v>1227</v>
      </c>
      <c r="O580" t="s">
        <v>1227</v>
      </c>
      <c r="P580" t="s">
        <v>1227</v>
      </c>
      <c r="Q580" t="s">
        <v>1227</v>
      </c>
      <c r="R580" t="s">
        <v>1227</v>
      </c>
      <c r="S580" t="s">
        <v>1227</v>
      </c>
      <c r="T580" s="54" t="s">
        <v>1227</v>
      </c>
      <c r="U580" t="s">
        <v>1227</v>
      </c>
    </row>
    <row r="581" spans="1:21" x14ac:dyDescent="0.25">
      <c r="A581" s="44" t="s">
        <v>904</v>
      </c>
      <c r="B581" s="44" t="s">
        <v>197</v>
      </c>
      <c r="C581" s="45">
        <v>70</v>
      </c>
      <c r="D581" s="45"/>
      <c r="E581" s="45">
        <v>1</v>
      </c>
      <c r="F581" s="45"/>
      <c r="G581" s="45">
        <v>6</v>
      </c>
      <c r="H581" s="45"/>
      <c r="I581" s="34">
        <v>7</v>
      </c>
      <c r="J581">
        <f>I581/(VLOOKUP(B581,'Team Stats'!$B$3:$K$18,5,0))</f>
        <v>1.1666666666666667E-2</v>
      </c>
      <c r="M581" t="s">
        <v>1227</v>
      </c>
      <c r="N581" t="s">
        <v>1227</v>
      </c>
      <c r="O581" t="s">
        <v>1227</v>
      </c>
      <c r="P581" t="s">
        <v>1227</v>
      </c>
      <c r="Q581" t="s">
        <v>1227</v>
      </c>
      <c r="R581" t="s">
        <v>1227</v>
      </c>
      <c r="S581" t="s">
        <v>1227</v>
      </c>
      <c r="T581" s="54" t="s">
        <v>1227</v>
      </c>
      <c r="U581" t="s">
        <v>1227</v>
      </c>
    </row>
    <row r="582" spans="1:21" x14ac:dyDescent="0.25">
      <c r="A582" s="44" t="s">
        <v>905</v>
      </c>
      <c r="B582" s="44" t="s">
        <v>335</v>
      </c>
      <c r="C582" s="45">
        <v>52</v>
      </c>
      <c r="D582" s="45"/>
      <c r="E582" s="45">
        <v>1</v>
      </c>
      <c r="F582" s="45"/>
      <c r="G582" s="45">
        <v>6</v>
      </c>
      <c r="H582" s="45"/>
      <c r="I582" s="34">
        <v>7</v>
      </c>
      <c r="J582" t="e">
        <f>I582/(VLOOKUP(B582,'Team Stats'!$B$3:$K$18,5,0))</f>
        <v>#N/A</v>
      </c>
      <c r="M582" t="s">
        <v>1227</v>
      </c>
      <c r="N582" t="s">
        <v>1227</v>
      </c>
      <c r="O582" t="s">
        <v>1227</v>
      </c>
      <c r="P582" t="s">
        <v>1227</v>
      </c>
      <c r="Q582" t="s">
        <v>1227</v>
      </c>
      <c r="R582" t="s">
        <v>1227</v>
      </c>
      <c r="S582" t="s">
        <v>1227</v>
      </c>
      <c r="T582" s="54" t="s">
        <v>1227</v>
      </c>
      <c r="U582" t="s">
        <v>1227</v>
      </c>
    </row>
    <row r="583" spans="1:21" x14ac:dyDescent="0.25">
      <c r="A583" s="44" t="s">
        <v>906</v>
      </c>
      <c r="B583" s="44" t="s">
        <v>212</v>
      </c>
      <c r="C583" s="45">
        <v>42</v>
      </c>
      <c r="D583" s="45"/>
      <c r="E583" s="45">
        <v>2</v>
      </c>
      <c r="F583" s="45"/>
      <c r="G583" s="45">
        <v>5</v>
      </c>
      <c r="H583" s="45"/>
      <c r="I583" s="34">
        <v>7</v>
      </c>
      <c r="J583" t="e">
        <f>I583/(VLOOKUP(B583,'Team Stats'!$B$3:$K$18,5,0))</f>
        <v>#N/A</v>
      </c>
      <c r="M583" t="s">
        <v>1227</v>
      </c>
      <c r="N583" t="s">
        <v>1227</v>
      </c>
      <c r="O583" t="s">
        <v>1227</v>
      </c>
      <c r="P583" t="s">
        <v>1227</v>
      </c>
      <c r="Q583" t="s">
        <v>1227</v>
      </c>
      <c r="R583" t="s">
        <v>1227</v>
      </c>
      <c r="S583" t="s">
        <v>1227</v>
      </c>
      <c r="T583" s="54" t="s">
        <v>1227</v>
      </c>
      <c r="U583" t="s">
        <v>1227</v>
      </c>
    </row>
    <row r="584" spans="1:21" x14ac:dyDescent="0.25">
      <c r="A584" s="44" t="s">
        <v>907</v>
      </c>
      <c r="B584" s="44" t="s">
        <v>211</v>
      </c>
      <c r="C584" s="45">
        <v>63</v>
      </c>
      <c r="D584" s="45"/>
      <c r="E584" s="45">
        <v>2</v>
      </c>
      <c r="F584" s="45"/>
      <c r="G584" s="45">
        <v>5</v>
      </c>
      <c r="H584" s="45"/>
      <c r="I584" s="34">
        <v>7</v>
      </c>
      <c r="J584">
        <f>I584/(VLOOKUP(B584,'Team Stats'!$B$3:$K$18,5,0))</f>
        <v>1.1513157894736841E-2</v>
      </c>
      <c r="M584" t="s">
        <v>1227</v>
      </c>
      <c r="N584" t="s">
        <v>1227</v>
      </c>
      <c r="O584" t="s">
        <v>1227</v>
      </c>
      <c r="P584" t="s">
        <v>1227</v>
      </c>
      <c r="Q584" t="s">
        <v>1227</v>
      </c>
      <c r="R584" t="s">
        <v>1227</v>
      </c>
      <c r="S584" t="s">
        <v>1227</v>
      </c>
      <c r="T584" s="54" t="s">
        <v>1227</v>
      </c>
      <c r="U584" t="s">
        <v>1227</v>
      </c>
    </row>
    <row r="585" spans="1:21" x14ac:dyDescent="0.25">
      <c r="A585" s="44" t="s">
        <v>908</v>
      </c>
      <c r="B585" s="44" t="s">
        <v>339</v>
      </c>
      <c r="C585" s="45">
        <v>58</v>
      </c>
      <c r="D585" s="45"/>
      <c r="E585" s="45">
        <v>2</v>
      </c>
      <c r="F585" s="45"/>
      <c r="G585" s="45">
        <v>5</v>
      </c>
      <c r="H585" s="45"/>
      <c r="I585" s="34">
        <v>7</v>
      </c>
      <c r="J585" t="e">
        <f>I585/(VLOOKUP(B585,'Team Stats'!$B$3:$K$18,5,0))</f>
        <v>#N/A</v>
      </c>
      <c r="M585" t="s">
        <v>1227</v>
      </c>
      <c r="N585" t="s">
        <v>1227</v>
      </c>
      <c r="O585" t="s">
        <v>1227</v>
      </c>
      <c r="P585" t="s">
        <v>1227</v>
      </c>
      <c r="Q585" t="s">
        <v>1227</v>
      </c>
      <c r="R585" t="s">
        <v>1227</v>
      </c>
      <c r="S585" t="s">
        <v>1227</v>
      </c>
      <c r="T585" s="54" t="s">
        <v>1227</v>
      </c>
      <c r="U585" t="s">
        <v>1227</v>
      </c>
    </row>
    <row r="586" spans="1:21" x14ac:dyDescent="0.25">
      <c r="A586" s="44" t="s">
        <v>909</v>
      </c>
      <c r="B586" s="44" t="s">
        <v>195</v>
      </c>
      <c r="C586" s="45">
        <v>52</v>
      </c>
      <c r="D586" s="45"/>
      <c r="E586" s="45">
        <v>2</v>
      </c>
      <c r="F586" s="45"/>
      <c r="G586" s="45">
        <v>5</v>
      </c>
      <c r="H586" s="45"/>
      <c r="I586" s="34">
        <v>7</v>
      </c>
      <c r="J586">
        <f>I586/(VLOOKUP(B586,'Team Stats'!$B$3:$K$18,5,0))</f>
        <v>1.0670731707317074E-2</v>
      </c>
      <c r="M586" t="s">
        <v>1227</v>
      </c>
      <c r="N586" t="s">
        <v>1227</v>
      </c>
      <c r="O586" t="s">
        <v>1227</v>
      </c>
      <c r="P586" t="s">
        <v>1227</v>
      </c>
      <c r="Q586" t="s">
        <v>1227</v>
      </c>
      <c r="R586" t="s">
        <v>1227</v>
      </c>
      <c r="S586" t="s">
        <v>1227</v>
      </c>
      <c r="T586" s="54" t="s">
        <v>1227</v>
      </c>
      <c r="U586" t="s">
        <v>1227</v>
      </c>
    </row>
    <row r="587" spans="1:21" x14ac:dyDescent="0.25">
      <c r="A587" s="44" t="s">
        <v>910</v>
      </c>
      <c r="B587" s="44" t="s">
        <v>221</v>
      </c>
      <c r="C587" s="45">
        <v>73</v>
      </c>
      <c r="D587" s="45"/>
      <c r="E587" s="45">
        <v>4</v>
      </c>
      <c r="F587" s="45"/>
      <c r="G587" s="45">
        <v>3</v>
      </c>
      <c r="H587" s="45"/>
      <c r="I587" s="34">
        <v>7</v>
      </c>
      <c r="J587" t="e">
        <f>I587/(VLOOKUP(B587,'Team Stats'!$B$3:$K$18,5,0))</f>
        <v>#N/A</v>
      </c>
      <c r="M587" t="s">
        <v>1227</v>
      </c>
      <c r="N587" t="s">
        <v>1227</v>
      </c>
      <c r="O587" t="s">
        <v>1227</v>
      </c>
      <c r="P587" t="s">
        <v>1227</v>
      </c>
      <c r="Q587" t="s">
        <v>1227</v>
      </c>
      <c r="R587" t="s">
        <v>1227</v>
      </c>
      <c r="S587" t="s">
        <v>1227</v>
      </c>
      <c r="T587" s="54" t="s">
        <v>1227</v>
      </c>
      <c r="U587" t="s">
        <v>1227</v>
      </c>
    </row>
    <row r="588" spans="1:21" x14ac:dyDescent="0.25">
      <c r="A588" s="44" t="s">
        <v>911</v>
      </c>
      <c r="B588" s="44" t="s">
        <v>216</v>
      </c>
      <c r="C588" s="45">
        <v>63</v>
      </c>
      <c r="D588" s="45"/>
      <c r="E588" s="45">
        <v>1</v>
      </c>
      <c r="F588" s="45"/>
      <c r="G588" s="45">
        <v>6</v>
      </c>
      <c r="H588" s="45"/>
      <c r="I588" s="34">
        <v>7</v>
      </c>
      <c r="J588" t="e">
        <f>I588/(VLOOKUP(B588,'Team Stats'!$B$3:$K$18,5,0))</f>
        <v>#N/A</v>
      </c>
      <c r="M588" t="s">
        <v>1227</v>
      </c>
      <c r="N588" t="s">
        <v>1227</v>
      </c>
      <c r="O588" t="s">
        <v>1227</v>
      </c>
      <c r="P588" t="s">
        <v>1227</v>
      </c>
      <c r="Q588" t="s">
        <v>1227</v>
      </c>
      <c r="R588" t="s">
        <v>1227</v>
      </c>
      <c r="S588" t="s">
        <v>1227</v>
      </c>
      <c r="T588" s="54" t="s">
        <v>1227</v>
      </c>
      <c r="U588" t="s">
        <v>1227</v>
      </c>
    </row>
    <row r="589" spans="1:21" x14ac:dyDescent="0.25">
      <c r="A589" s="44" t="s">
        <v>912</v>
      </c>
      <c r="B589" s="44" t="s">
        <v>216</v>
      </c>
      <c r="C589" s="45">
        <v>41</v>
      </c>
      <c r="D589" s="45"/>
      <c r="E589" s="45">
        <v>2</v>
      </c>
      <c r="F589" s="45"/>
      <c r="G589" s="45">
        <v>5</v>
      </c>
      <c r="H589" s="45"/>
      <c r="I589" s="34">
        <v>7</v>
      </c>
      <c r="J589" t="e">
        <f>I589/(VLOOKUP(B589,'Team Stats'!$B$3:$K$18,5,0))</f>
        <v>#N/A</v>
      </c>
      <c r="M589" t="s">
        <v>1227</v>
      </c>
      <c r="N589" t="s">
        <v>1227</v>
      </c>
      <c r="O589" t="s">
        <v>1227</v>
      </c>
      <c r="P589" t="s">
        <v>1227</v>
      </c>
      <c r="Q589" t="s">
        <v>1227</v>
      </c>
      <c r="R589" t="s">
        <v>1227</v>
      </c>
      <c r="S589" t="s">
        <v>1227</v>
      </c>
      <c r="T589" s="54" t="s">
        <v>1227</v>
      </c>
      <c r="U589" t="s">
        <v>1227</v>
      </c>
    </row>
    <row r="590" spans="1:21" x14ac:dyDescent="0.25">
      <c r="A590" s="44" t="s">
        <v>913</v>
      </c>
      <c r="B590" s="44" t="s">
        <v>215</v>
      </c>
      <c r="C590" s="45">
        <v>74</v>
      </c>
      <c r="D590" s="45"/>
      <c r="E590" s="45">
        <v>2</v>
      </c>
      <c r="F590" s="45"/>
      <c r="G590" s="45">
        <v>5</v>
      </c>
      <c r="H590" s="45"/>
      <c r="I590" s="34">
        <v>7</v>
      </c>
      <c r="J590" t="e">
        <f>I590/(VLOOKUP(B590,'Team Stats'!$B$3:$K$18,5,0))</f>
        <v>#N/A</v>
      </c>
      <c r="M590" t="s">
        <v>1227</v>
      </c>
      <c r="N590" t="s">
        <v>1227</v>
      </c>
      <c r="O590" t="s">
        <v>1227</v>
      </c>
      <c r="P590" t="s">
        <v>1227</v>
      </c>
      <c r="Q590" t="s">
        <v>1227</v>
      </c>
      <c r="R590" t="s">
        <v>1227</v>
      </c>
      <c r="S590" t="s">
        <v>1227</v>
      </c>
      <c r="T590" s="54" t="s">
        <v>1227</v>
      </c>
      <c r="U590" t="s">
        <v>1227</v>
      </c>
    </row>
    <row r="591" spans="1:21" x14ac:dyDescent="0.25">
      <c r="A591" s="44" t="s">
        <v>914</v>
      </c>
      <c r="B591" s="44" t="s">
        <v>220</v>
      </c>
      <c r="C591" s="45">
        <v>64</v>
      </c>
      <c r="D591" s="45"/>
      <c r="E591" s="45">
        <v>1</v>
      </c>
      <c r="F591" s="45"/>
      <c r="G591" s="45">
        <v>6</v>
      </c>
      <c r="H591" s="45"/>
      <c r="I591" s="34">
        <v>7</v>
      </c>
      <c r="J591" t="e">
        <f>I591/(VLOOKUP(B591,'Team Stats'!$B$3:$K$18,5,0))</f>
        <v>#N/A</v>
      </c>
      <c r="M591" t="s">
        <v>1227</v>
      </c>
      <c r="N591" t="s">
        <v>1227</v>
      </c>
      <c r="O591" t="s">
        <v>1227</v>
      </c>
      <c r="P591" t="s">
        <v>1227</v>
      </c>
      <c r="Q591" t="s">
        <v>1227</v>
      </c>
      <c r="R591" t="s">
        <v>1227</v>
      </c>
      <c r="S591" t="s">
        <v>1227</v>
      </c>
      <c r="T591" s="54" t="s">
        <v>1227</v>
      </c>
      <c r="U591" t="s">
        <v>1227</v>
      </c>
    </row>
    <row r="592" spans="1:21" x14ac:dyDescent="0.25">
      <c r="A592" s="44" t="s">
        <v>915</v>
      </c>
      <c r="B592" s="44" t="s">
        <v>221</v>
      </c>
      <c r="C592" s="45">
        <v>18</v>
      </c>
      <c r="D592" s="45"/>
      <c r="E592" s="45">
        <v>1</v>
      </c>
      <c r="F592" s="45"/>
      <c r="G592" s="45">
        <v>6</v>
      </c>
      <c r="H592" s="45"/>
      <c r="I592" s="34">
        <v>7</v>
      </c>
      <c r="J592" t="e">
        <f>I592/(VLOOKUP(B592,'Team Stats'!$B$3:$K$18,5,0))</f>
        <v>#N/A</v>
      </c>
      <c r="M592" t="s">
        <v>1227</v>
      </c>
      <c r="N592" t="s">
        <v>1227</v>
      </c>
      <c r="O592" t="s">
        <v>1227</v>
      </c>
      <c r="P592" t="s">
        <v>1227</v>
      </c>
      <c r="Q592" t="s">
        <v>1227</v>
      </c>
      <c r="R592" t="s">
        <v>1227</v>
      </c>
      <c r="S592" t="s">
        <v>1227</v>
      </c>
      <c r="T592" s="54" t="s">
        <v>1227</v>
      </c>
      <c r="U592" t="s">
        <v>1227</v>
      </c>
    </row>
    <row r="593" spans="1:21" x14ac:dyDescent="0.25">
      <c r="A593" s="44" t="s">
        <v>916</v>
      </c>
      <c r="B593" s="44" t="s">
        <v>219</v>
      </c>
      <c r="C593" s="45">
        <v>17</v>
      </c>
      <c r="D593" s="45"/>
      <c r="E593" s="45">
        <v>2</v>
      </c>
      <c r="F593" s="45"/>
      <c r="G593" s="45">
        <v>5</v>
      </c>
      <c r="H593" s="45"/>
      <c r="I593" s="34">
        <v>7</v>
      </c>
      <c r="J593" t="e">
        <f>I593/(VLOOKUP(B593,'Team Stats'!$B$3:$K$18,5,0))</f>
        <v>#N/A</v>
      </c>
      <c r="M593" t="s">
        <v>1227</v>
      </c>
      <c r="N593" t="s">
        <v>1227</v>
      </c>
      <c r="O593" t="s">
        <v>1227</v>
      </c>
      <c r="P593" t="s">
        <v>1227</v>
      </c>
      <c r="Q593" t="s">
        <v>1227</v>
      </c>
      <c r="R593" t="s">
        <v>1227</v>
      </c>
      <c r="S593" t="s">
        <v>1227</v>
      </c>
      <c r="T593" s="54" t="s">
        <v>1227</v>
      </c>
      <c r="U593" t="s">
        <v>1227</v>
      </c>
    </row>
    <row r="594" spans="1:21" x14ac:dyDescent="0.25">
      <c r="A594" s="44" t="s">
        <v>917</v>
      </c>
      <c r="B594" s="44" t="s">
        <v>212</v>
      </c>
      <c r="C594" s="45">
        <v>52</v>
      </c>
      <c r="D594" s="45"/>
      <c r="E594" s="45">
        <v>1</v>
      </c>
      <c r="F594" s="45"/>
      <c r="G594" s="45">
        <v>6</v>
      </c>
      <c r="H594" s="45"/>
      <c r="I594" s="34">
        <v>7</v>
      </c>
      <c r="J594" t="e">
        <f>I594/(VLOOKUP(B594,'Team Stats'!$B$3:$K$18,5,0))</f>
        <v>#N/A</v>
      </c>
      <c r="M594" t="s">
        <v>1227</v>
      </c>
      <c r="N594" t="s">
        <v>1227</v>
      </c>
      <c r="O594" t="s">
        <v>1227</v>
      </c>
      <c r="P594" t="s">
        <v>1227</v>
      </c>
      <c r="Q594" t="s">
        <v>1227</v>
      </c>
      <c r="R594" t="s">
        <v>1227</v>
      </c>
      <c r="S594" t="s">
        <v>1227</v>
      </c>
      <c r="T594" s="54" t="s">
        <v>1227</v>
      </c>
      <c r="U594" t="s">
        <v>1227</v>
      </c>
    </row>
    <row r="595" spans="1:21" x14ac:dyDescent="0.25">
      <c r="A595" s="44" t="s">
        <v>918</v>
      </c>
      <c r="B595" s="44" t="s">
        <v>364</v>
      </c>
      <c r="C595" s="45">
        <v>46</v>
      </c>
      <c r="D595" s="45"/>
      <c r="E595" s="45">
        <v>0</v>
      </c>
      <c r="F595" s="45"/>
      <c r="G595" s="45">
        <v>7</v>
      </c>
      <c r="H595" s="45"/>
      <c r="I595" s="34">
        <v>7</v>
      </c>
      <c r="J595" t="e">
        <f>I595/(VLOOKUP(B595,'Team Stats'!$B$3:$K$18,5,0))</f>
        <v>#N/A</v>
      </c>
      <c r="M595" t="s">
        <v>1227</v>
      </c>
      <c r="N595" t="s">
        <v>1227</v>
      </c>
      <c r="O595" t="s">
        <v>1227</v>
      </c>
      <c r="P595" t="s">
        <v>1227</v>
      </c>
      <c r="Q595" t="s">
        <v>1227</v>
      </c>
      <c r="R595" t="s">
        <v>1227</v>
      </c>
      <c r="S595" t="s">
        <v>1227</v>
      </c>
      <c r="T595" s="54" t="s">
        <v>1227</v>
      </c>
      <c r="U595" t="s">
        <v>1227</v>
      </c>
    </row>
    <row r="596" spans="1:21" x14ac:dyDescent="0.25">
      <c r="A596" s="44" t="s">
        <v>919</v>
      </c>
      <c r="B596" s="44" t="s">
        <v>205</v>
      </c>
      <c r="C596" s="45">
        <v>18</v>
      </c>
      <c r="D596" s="45"/>
      <c r="E596" s="45">
        <v>2</v>
      </c>
      <c r="F596" s="45"/>
      <c r="G596" s="45">
        <v>4</v>
      </c>
      <c r="H596" s="45"/>
      <c r="I596" s="34">
        <v>6</v>
      </c>
      <c r="J596">
        <f>I596/(VLOOKUP(B596,'Team Stats'!$B$3:$K$18,5,0))</f>
        <v>9.3457943925233638E-3</v>
      </c>
      <c r="M596" t="s">
        <v>1227</v>
      </c>
      <c r="N596" t="s">
        <v>1227</v>
      </c>
      <c r="O596" t="s">
        <v>1227</v>
      </c>
      <c r="P596" t="s">
        <v>1227</v>
      </c>
      <c r="Q596" t="s">
        <v>1227</v>
      </c>
      <c r="R596" t="s">
        <v>1227</v>
      </c>
      <c r="S596" t="s">
        <v>1227</v>
      </c>
      <c r="T596" s="54" t="s">
        <v>1227</v>
      </c>
      <c r="U596" t="s">
        <v>1227</v>
      </c>
    </row>
    <row r="597" spans="1:21" x14ac:dyDescent="0.25">
      <c r="A597" s="44" t="s">
        <v>920</v>
      </c>
      <c r="B597" s="44" t="s">
        <v>214</v>
      </c>
      <c r="C597" s="45">
        <v>9</v>
      </c>
      <c r="D597" s="45"/>
      <c r="E597" s="45">
        <v>1</v>
      </c>
      <c r="F597" s="45"/>
      <c r="G597" s="45">
        <v>5</v>
      </c>
      <c r="H597" s="45"/>
      <c r="I597" s="34">
        <v>6</v>
      </c>
      <c r="J597" t="e">
        <f>I597/(VLOOKUP(B597,'Team Stats'!$B$3:$K$18,5,0))</f>
        <v>#N/A</v>
      </c>
      <c r="M597" t="s">
        <v>1227</v>
      </c>
      <c r="N597" t="s">
        <v>1227</v>
      </c>
      <c r="O597" t="s">
        <v>1227</v>
      </c>
      <c r="P597" t="s">
        <v>1227</v>
      </c>
      <c r="Q597" t="s">
        <v>1227</v>
      </c>
      <c r="R597" t="s">
        <v>1227</v>
      </c>
      <c r="S597" t="s">
        <v>1227</v>
      </c>
      <c r="T597" s="54" t="s">
        <v>1227</v>
      </c>
      <c r="U597" t="s">
        <v>1227</v>
      </c>
    </row>
    <row r="598" spans="1:21" x14ac:dyDescent="0.25">
      <c r="A598" s="44" t="s">
        <v>921</v>
      </c>
      <c r="B598" s="44" t="s">
        <v>344</v>
      </c>
      <c r="C598" s="45">
        <v>33</v>
      </c>
      <c r="D598" s="45"/>
      <c r="E598" s="45">
        <v>4</v>
      </c>
      <c r="F598" s="45"/>
      <c r="G598" s="45">
        <v>2</v>
      </c>
      <c r="H598" s="45"/>
      <c r="I598" s="34">
        <v>6</v>
      </c>
      <c r="J598" t="e">
        <f>I598/(VLOOKUP(B598,'Team Stats'!$B$3:$K$18,5,0))</f>
        <v>#N/A</v>
      </c>
      <c r="M598" t="s">
        <v>1227</v>
      </c>
      <c r="N598" t="s">
        <v>1227</v>
      </c>
      <c r="O598" t="s">
        <v>1227</v>
      </c>
      <c r="P598" t="s">
        <v>1227</v>
      </c>
      <c r="Q598" t="s">
        <v>1227</v>
      </c>
      <c r="R598" t="s">
        <v>1227</v>
      </c>
      <c r="S598" t="s">
        <v>1227</v>
      </c>
      <c r="T598" s="54" t="s">
        <v>1227</v>
      </c>
      <c r="U598" t="s">
        <v>1227</v>
      </c>
    </row>
    <row r="599" spans="1:21" x14ac:dyDescent="0.25">
      <c r="A599" s="44" t="s">
        <v>922</v>
      </c>
      <c r="B599" s="44" t="s">
        <v>220</v>
      </c>
      <c r="C599" s="45">
        <v>25</v>
      </c>
      <c r="D599" s="45"/>
      <c r="E599" s="45">
        <v>3</v>
      </c>
      <c r="F599" s="45"/>
      <c r="G599" s="45">
        <v>3</v>
      </c>
      <c r="H599" s="45"/>
      <c r="I599" s="34">
        <v>6</v>
      </c>
      <c r="J599" t="e">
        <f>I599/(VLOOKUP(B599,'Team Stats'!$B$3:$K$18,5,0))</f>
        <v>#N/A</v>
      </c>
      <c r="M599" t="s">
        <v>1227</v>
      </c>
      <c r="N599" t="s">
        <v>1227</v>
      </c>
      <c r="O599" t="s">
        <v>1227</v>
      </c>
      <c r="P599" t="s">
        <v>1227</v>
      </c>
      <c r="Q599" t="s">
        <v>1227</v>
      </c>
      <c r="R599" t="s">
        <v>1227</v>
      </c>
      <c r="S599" t="s">
        <v>1227</v>
      </c>
      <c r="T599" s="54" t="s">
        <v>1227</v>
      </c>
      <c r="U599" t="s">
        <v>1227</v>
      </c>
    </row>
    <row r="600" spans="1:21" x14ac:dyDescent="0.25">
      <c r="A600" s="44" t="s">
        <v>923</v>
      </c>
      <c r="B600" s="44" t="s">
        <v>198</v>
      </c>
      <c r="C600" s="45">
        <v>31</v>
      </c>
      <c r="D600" s="45"/>
      <c r="E600" s="45">
        <v>2</v>
      </c>
      <c r="F600" s="45"/>
      <c r="G600" s="45">
        <v>4</v>
      </c>
      <c r="H600" s="45"/>
      <c r="I600" s="34">
        <v>6</v>
      </c>
      <c r="J600" t="e">
        <f>I600/(VLOOKUP(B600,'Team Stats'!$B$3:$K$18,5,0))</f>
        <v>#N/A</v>
      </c>
      <c r="M600" t="s">
        <v>1227</v>
      </c>
      <c r="N600" t="s">
        <v>1227</v>
      </c>
      <c r="O600" t="s">
        <v>1227</v>
      </c>
      <c r="P600" t="s">
        <v>1227</v>
      </c>
      <c r="Q600" t="s">
        <v>1227</v>
      </c>
      <c r="R600" t="s">
        <v>1227</v>
      </c>
      <c r="S600" t="s">
        <v>1227</v>
      </c>
      <c r="T600" s="54" t="s">
        <v>1227</v>
      </c>
      <c r="U600" t="s">
        <v>1227</v>
      </c>
    </row>
    <row r="601" spans="1:21" x14ac:dyDescent="0.25">
      <c r="A601" s="44" t="s">
        <v>924</v>
      </c>
      <c r="B601" s="44" t="s">
        <v>209</v>
      </c>
      <c r="C601" s="45">
        <v>42</v>
      </c>
      <c r="D601" s="45"/>
      <c r="E601" s="45">
        <v>2</v>
      </c>
      <c r="F601" s="45"/>
      <c r="G601" s="45">
        <v>4</v>
      </c>
      <c r="H601" s="45"/>
      <c r="I601" s="34">
        <v>6</v>
      </c>
      <c r="J601">
        <f>I601/(VLOOKUP(B601,'Team Stats'!$B$3:$K$18,5,0))</f>
        <v>1.0101010101010102E-2</v>
      </c>
      <c r="M601" t="s">
        <v>1227</v>
      </c>
      <c r="N601" t="s">
        <v>1227</v>
      </c>
      <c r="O601" t="s">
        <v>1227</v>
      </c>
      <c r="P601" t="s">
        <v>1227</v>
      </c>
      <c r="Q601" t="s">
        <v>1227</v>
      </c>
      <c r="R601" t="s">
        <v>1227</v>
      </c>
      <c r="S601" t="s">
        <v>1227</v>
      </c>
      <c r="T601" s="54" t="s">
        <v>1227</v>
      </c>
      <c r="U601" t="s">
        <v>1227</v>
      </c>
    </row>
    <row r="602" spans="1:21" x14ac:dyDescent="0.25">
      <c r="A602" s="44" t="s">
        <v>925</v>
      </c>
      <c r="B602" s="44" t="s">
        <v>197</v>
      </c>
      <c r="C602" s="45">
        <v>24</v>
      </c>
      <c r="D602" s="45"/>
      <c r="E602" s="45">
        <v>1</v>
      </c>
      <c r="F602" s="45"/>
      <c r="G602" s="45">
        <v>5</v>
      </c>
      <c r="H602" s="45"/>
      <c r="I602" s="34">
        <v>6</v>
      </c>
      <c r="J602">
        <f>I602/(VLOOKUP(B602,'Team Stats'!$B$3:$K$18,5,0))</f>
        <v>0.01</v>
      </c>
      <c r="M602" t="s">
        <v>1227</v>
      </c>
      <c r="N602" t="s">
        <v>1227</v>
      </c>
      <c r="O602" t="s">
        <v>1227</v>
      </c>
      <c r="P602" t="s">
        <v>1227</v>
      </c>
      <c r="Q602" t="s">
        <v>1227</v>
      </c>
      <c r="R602" t="s">
        <v>1227</v>
      </c>
      <c r="S602" t="s">
        <v>1227</v>
      </c>
      <c r="T602" s="54" t="s">
        <v>1227</v>
      </c>
      <c r="U602" t="s">
        <v>1227</v>
      </c>
    </row>
    <row r="603" spans="1:21" x14ac:dyDescent="0.25">
      <c r="A603" s="44" t="s">
        <v>926</v>
      </c>
      <c r="B603" s="44" t="s">
        <v>202</v>
      </c>
      <c r="C603" s="45">
        <v>66</v>
      </c>
      <c r="D603" s="45"/>
      <c r="E603" s="45">
        <v>1</v>
      </c>
      <c r="F603" s="45"/>
      <c r="G603" s="45">
        <v>5</v>
      </c>
      <c r="H603" s="45"/>
      <c r="I603" s="34">
        <v>6</v>
      </c>
      <c r="J603">
        <f>I603/(VLOOKUP(B603,'Team Stats'!$B$3:$K$18,5,0))</f>
        <v>9.104704097116844E-3</v>
      </c>
      <c r="M603" t="s">
        <v>1227</v>
      </c>
      <c r="N603" t="s">
        <v>1227</v>
      </c>
      <c r="O603" t="s">
        <v>1227</v>
      </c>
      <c r="P603" t="s">
        <v>1227</v>
      </c>
      <c r="Q603" t="s">
        <v>1227</v>
      </c>
      <c r="R603" t="s">
        <v>1227</v>
      </c>
      <c r="S603" t="s">
        <v>1227</v>
      </c>
      <c r="T603" s="54" t="s">
        <v>1227</v>
      </c>
      <c r="U603" t="s">
        <v>1227</v>
      </c>
    </row>
    <row r="604" spans="1:21" x14ac:dyDescent="0.25">
      <c r="A604" s="44" t="s">
        <v>927</v>
      </c>
      <c r="B604" s="44" t="s">
        <v>221</v>
      </c>
      <c r="C604" s="45">
        <v>58</v>
      </c>
      <c r="D604" s="45"/>
      <c r="E604" s="45">
        <v>3</v>
      </c>
      <c r="F604" s="45"/>
      <c r="G604" s="45">
        <v>3</v>
      </c>
      <c r="H604" s="45"/>
      <c r="I604" s="34">
        <v>6</v>
      </c>
      <c r="J604" t="e">
        <f>I604/(VLOOKUP(B604,'Team Stats'!$B$3:$K$18,5,0))</f>
        <v>#N/A</v>
      </c>
      <c r="M604" t="s">
        <v>1227</v>
      </c>
      <c r="N604" t="s">
        <v>1227</v>
      </c>
      <c r="O604" t="s">
        <v>1227</v>
      </c>
      <c r="P604" t="s">
        <v>1227</v>
      </c>
      <c r="Q604" t="s">
        <v>1227</v>
      </c>
      <c r="R604" t="s">
        <v>1227</v>
      </c>
      <c r="S604" t="s">
        <v>1227</v>
      </c>
      <c r="T604" s="54" t="s">
        <v>1227</v>
      </c>
      <c r="U604" t="s">
        <v>1227</v>
      </c>
    </row>
    <row r="605" spans="1:21" x14ac:dyDescent="0.25">
      <c r="A605" s="44" t="s">
        <v>928</v>
      </c>
      <c r="B605" s="44" t="s">
        <v>220</v>
      </c>
      <c r="C605" s="45">
        <v>46</v>
      </c>
      <c r="D605" s="45"/>
      <c r="E605" s="45">
        <v>0</v>
      </c>
      <c r="F605" s="45"/>
      <c r="G605" s="45">
        <v>6</v>
      </c>
      <c r="H605" s="45"/>
      <c r="I605" s="34">
        <v>6</v>
      </c>
      <c r="J605" t="e">
        <f>I605/(VLOOKUP(B605,'Team Stats'!$B$3:$K$18,5,0))</f>
        <v>#N/A</v>
      </c>
      <c r="M605" t="s">
        <v>1227</v>
      </c>
      <c r="N605" t="s">
        <v>1227</v>
      </c>
      <c r="O605" t="s">
        <v>1227</v>
      </c>
      <c r="P605" t="s">
        <v>1227</v>
      </c>
      <c r="Q605" t="s">
        <v>1227</v>
      </c>
      <c r="R605" t="s">
        <v>1227</v>
      </c>
      <c r="S605" t="s">
        <v>1227</v>
      </c>
      <c r="T605" s="54" t="s">
        <v>1227</v>
      </c>
      <c r="U605" t="s">
        <v>1227</v>
      </c>
    </row>
    <row r="606" spans="1:21" x14ac:dyDescent="0.25">
      <c r="A606" s="44" t="s">
        <v>929</v>
      </c>
      <c r="B606" s="44" t="s">
        <v>217</v>
      </c>
      <c r="C606" s="45">
        <v>31</v>
      </c>
      <c r="D606" s="45"/>
      <c r="E606" s="45">
        <v>3</v>
      </c>
      <c r="F606" s="45"/>
      <c r="G606" s="45">
        <v>3</v>
      </c>
      <c r="H606" s="45"/>
      <c r="I606" s="34">
        <v>6</v>
      </c>
      <c r="J606" t="e">
        <f>I606/(VLOOKUP(B606,'Team Stats'!$B$3:$K$18,5,0))</f>
        <v>#N/A</v>
      </c>
      <c r="M606" t="s">
        <v>1227</v>
      </c>
      <c r="N606" t="s">
        <v>1227</v>
      </c>
      <c r="O606" t="s">
        <v>1227</v>
      </c>
      <c r="P606" t="s">
        <v>1227</v>
      </c>
      <c r="Q606" t="s">
        <v>1227</v>
      </c>
      <c r="R606" t="s">
        <v>1227</v>
      </c>
      <c r="S606" t="s">
        <v>1227</v>
      </c>
      <c r="T606" s="54" t="s">
        <v>1227</v>
      </c>
      <c r="U606" t="s">
        <v>1227</v>
      </c>
    </row>
    <row r="607" spans="1:21" x14ac:dyDescent="0.25">
      <c r="A607" s="44" t="s">
        <v>930</v>
      </c>
      <c r="B607" s="44" t="s">
        <v>215</v>
      </c>
      <c r="C607" s="45">
        <v>19</v>
      </c>
      <c r="D607" s="45"/>
      <c r="E607" s="45">
        <v>4</v>
      </c>
      <c r="F607" s="45"/>
      <c r="G607" s="45">
        <v>2</v>
      </c>
      <c r="H607" s="45"/>
      <c r="I607" s="34">
        <v>6</v>
      </c>
      <c r="J607" t="e">
        <f>I607/(VLOOKUP(B607,'Team Stats'!$B$3:$K$18,5,0))</f>
        <v>#N/A</v>
      </c>
      <c r="M607" t="s">
        <v>1227</v>
      </c>
      <c r="N607" t="s">
        <v>1227</v>
      </c>
      <c r="O607" t="s">
        <v>1227</v>
      </c>
      <c r="P607" t="s">
        <v>1227</v>
      </c>
      <c r="Q607" t="s">
        <v>1227</v>
      </c>
      <c r="R607" t="s">
        <v>1227</v>
      </c>
      <c r="S607" t="s">
        <v>1227</v>
      </c>
      <c r="T607" s="54" t="s">
        <v>1227</v>
      </c>
      <c r="U607" t="s">
        <v>1227</v>
      </c>
    </row>
    <row r="608" spans="1:21" x14ac:dyDescent="0.25">
      <c r="A608" s="44" t="s">
        <v>931</v>
      </c>
      <c r="B608" s="44" t="s">
        <v>198</v>
      </c>
      <c r="C608" s="45">
        <v>58</v>
      </c>
      <c r="D608" s="45"/>
      <c r="E608" s="45">
        <v>1</v>
      </c>
      <c r="F608" s="45"/>
      <c r="G608" s="45">
        <v>5</v>
      </c>
      <c r="H608" s="45"/>
      <c r="I608" s="34">
        <v>6</v>
      </c>
      <c r="J608" t="e">
        <f>I608/(VLOOKUP(B608,'Team Stats'!$B$3:$K$18,5,0))</f>
        <v>#N/A</v>
      </c>
      <c r="M608" t="s">
        <v>1227</v>
      </c>
      <c r="N608" t="s">
        <v>1227</v>
      </c>
      <c r="O608" t="s">
        <v>1227</v>
      </c>
      <c r="P608" t="s">
        <v>1227</v>
      </c>
      <c r="Q608" t="s">
        <v>1227</v>
      </c>
      <c r="R608" t="s">
        <v>1227</v>
      </c>
      <c r="S608" t="s">
        <v>1227</v>
      </c>
      <c r="T608" s="54" t="s">
        <v>1227</v>
      </c>
      <c r="U608" t="s">
        <v>1227</v>
      </c>
    </row>
    <row r="609" spans="1:21" x14ac:dyDescent="0.25">
      <c r="A609" s="44" t="s">
        <v>932</v>
      </c>
      <c r="B609" s="44" t="s">
        <v>217</v>
      </c>
      <c r="C609" s="45">
        <v>38</v>
      </c>
      <c r="D609" s="45"/>
      <c r="E609" s="45">
        <v>2</v>
      </c>
      <c r="F609" s="45"/>
      <c r="G609" s="45">
        <v>4</v>
      </c>
      <c r="H609" s="45"/>
      <c r="I609" s="34">
        <v>6</v>
      </c>
      <c r="J609" t="e">
        <f>I609/(VLOOKUP(B609,'Team Stats'!$B$3:$K$18,5,0))</f>
        <v>#N/A</v>
      </c>
      <c r="M609" t="s">
        <v>1227</v>
      </c>
      <c r="N609" t="s">
        <v>1227</v>
      </c>
      <c r="O609" t="s">
        <v>1227</v>
      </c>
      <c r="P609" t="s">
        <v>1227</v>
      </c>
      <c r="Q609" t="s">
        <v>1227</v>
      </c>
      <c r="R609" t="s">
        <v>1227</v>
      </c>
      <c r="S609" t="s">
        <v>1227</v>
      </c>
      <c r="T609" s="54" t="s">
        <v>1227</v>
      </c>
      <c r="U609" t="s">
        <v>1227</v>
      </c>
    </row>
    <row r="610" spans="1:21" x14ac:dyDescent="0.25">
      <c r="A610" s="44" t="s">
        <v>933</v>
      </c>
      <c r="B610" s="44" t="s">
        <v>204</v>
      </c>
      <c r="C610" s="45">
        <v>34</v>
      </c>
      <c r="D610" s="45"/>
      <c r="E610" s="45">
        <v>0</v>
      </c>
      <c r="F610" s="45"/>
      <c r="G610" s="45">
        <v>6</v>
      </c>
      <c r="H610" s="45"/>
      <c r="I610" s="34">
        <v>6</v>
      </c>
      <c r="J610">
        <f>I610/(VLOOKUP(B610,'Team Stats'!$B$3:$K$18,5,0))</f>
        <v>9.7879282218597055E-3</v>
      </c>
      <c r="M610" t="s">
        <v>1227</v>
      </c>
      <c r="N610" t="s">
        <v>1227</v>
      </c>
      <c r="O610" t="s">
        <v>1227</v>
      </c>
      <c r="P610" t="s">
        <v>1227</v>
      </c>
      <c r="Q610" t="s">
        <v>1227</v>
      </c>
      <c r="R610" t="s">
        <v>1227</v>
      </c>
      <c r="S610" t="s">
        <v>1227</v>
      </c>
      <c r="T610" s="54" t="s">
        <v>1227</v>
      </c>
      <c r="U610" t="s">
        <v>1227</v>
      </c>
    </row>
    <row r="611" spans="1:21" x14ac:dyDescent="0.25">
      <c r="A611" s="44" t="s">
        <v>934</v>
      </c>
      <c r="B611" s="44" t="s">
        <v>324</v>
      </c>
      <c r="C611" s="45">
        <v>53</v>
      </c>
      <c r="D611" s="45"/>
      <c r="E611" s="45">
        <v>0</v>
      </c>
      <c r="F611" s="45"/>
      <c r="G611" s="45">
        <v>6</v>
      </c>
      <c r="H611" s="45"/>
      <c r="I611" s="34">
        <v>6</v>
      </c>
      <c r="J611" t="e">
        <f>I611/(VLOOKUP(B611,'Team Stats'!$B$3:$K$18,5,0))</f>
        <v>#N/A</v>
      </c>
      <c r="M611" t="s">
        <v>1227</v>
      </c>
      <c r="N611" t="s">
        <v>1227</v>
      </c>
      <c r="O611" t="s">
        <v>1227</v>
      </c>
      <c r="P611" t="s">
        <v>1227</v>
      </c>
      <c r="Q611" t="s">
        <v>1227</v>
      </c>
      <c r="R611" t="s">
        <v>1227</v>
      </c>
      <c r="S611" t="s">
        <v>1227</v>
      </c>
      <c r="T611" s="54" t="s">
        <v>1227</v>
      </c>
      <c r="U611" t="s">
        <v>1227</v>
      </c>
    </row>
    <row r="612" spans="1:21" x14ac:dyDescent="0.25">
      <c r="A612" s="44" t="s">
        <v>935</v>
      </c>
      <c r="B612" s="44" t="s">
        <v>330</v>
      </c>
      <c r="C612" s="45">
        <v>43</v>
      </c>
      <c r="D612" s="45"/>
      <c r="E612" s="45">
        <v>2</v>
      </c>
      <c r="F612" s="45"/>
      <c r="G612" s="45">
        <v>4</v>
      </c>
      <c r="H612" s="45"/>
      <c r="I612" s="34">
        <v>6</v>
      </c>
      <c r="J612" t="e">
        <f>I612/(VLOOKUP(B612,'Team Stats'!$B$3:$K$18,5,0))</f>
        <v>#N/A</v>
      </c>
      <c r="M612" t="s">
        <v>1227</v>
      </c>
      <c r="N612" t="s">
        <v>1227</v>
      </c>
      <c r="O612" t="s">
        <v>1227</v>
      </c>
      <c r="P612" t="s">
        <v>1227</v>
      </c>
      <c r="Q612" t="s">
        <v>1227</v>
      </c>
      <c r="R612" t="s">
        <v>1227</v>
      </c>
      <c r="S612" t="s">
        <v>1227</v>
      </c>
      <c r="T612" s="54" t="s">
        <v>1227</v>
      </c>
      <c r="U612" t="s">
        <v>1227</v>
      </c>
    </row>
    <row r="613" spans="1:21" x14ac:dyDescent="0.25">
      <c r="A613" s="44" t="s">
        <v>936</v>
      </c>
      <c r="B613" s="44" t="s">
        <v>220</v>
      </c>
      <c r="C613" s="45">
        <v>28</v>
      </c>
      <c r="D613" s="45"/>
      <c r="E613" s="45">
        <v>3</v>
      </c>
      <c r="F613" s="45"/>
      <c r="G613" s="45">
        <v>2</v>
      </c>
      <c r="H613" s="45"/>
      <c r="I613" s="34">
        <v>5</v>
      </c>
      <c r="J613" t="e">
        <f>I613/(VLOOKUP(B613,'Team Stats'!$B$3:$K$18,5,0))</f>
        <v>#N/A</v>
      </c>
      <c r="M613" t="s">
        <v>1227</v>
      </c>
      <c r="N613" t="s">
        <v>1227</v>
      </c>
      <c r="O613" t="s">
        <v>1227</v>
      </c>
      <c r="P613" t="s">
        <v>1227</v>
      </c>
      <c r="Q613" t="s">
        <v>1227</v>
      </c>
      <c r="R613" t="s">
        <v>1227</v>
      </c>
      <c r="S613" t="s">
        <v>1227</v>
      </c>
      <c r="T613" s="54" t="s">
        <v>1227</v>
      </c>
      <c r="U613" t="s">
        <v>1227</v>
      </c>
    </row>
    <row r="614" spans="1:21" x14ac:dyDescent="0.25">
      <c r="A614" s="44" t="s">
        <v>937</v>
      </c>
      <c r="B614" s="44" t="s">
        <v>212</v>
      </c>
      <c r="C614" s="45">
        <v>54</v>
      </c>
      <c r="D614" s="45"/>
      <c r="E614" s="45">
        <v>2</v>
      </c>
      <c r="F614" s="45"/>
      <c r="G614" s="45">
        <v>3</v>
      </c>
      <c r="H614" s="45"/>
      <c r="I614" s="34">
        <v>5</v>
      </c>
      <c r="J614" t="e">
        <f>I614/(VLOOKUP(B614,'Team Stats'!$B$3:$K$18,5,0))</f>
        <v>#N/A</v>
      </c>
      <c r="M614" t="s">
        <v>1227</v>
      </c>
      <c r="N614" t="s">
        <v>1227</v>
      </c>
      <c r="O614" t="s">
        <v>1227</v>
      </c>
      <c r="P614" t="s">
        <v>1227</v>
      </c>
      <c r="Q614" t="s">
        <v>1227</v>
      </c>
      <c r="R614" t="s">
        <v>1227</v>
      </c>
      <c r="S614" t="s">
        <v>1227</v>
      </c>
      <c r="T614" s="54" t="s">
        <v>1227</v>
      </c>
      <c r="U614" t="s">
        <v>1227</v>
      </c>
    </row>
    <row r="615" spans="1:21" x14ac:dyDescent="0.25">
      <c r="A615" s="44" t="s">
        <v>938</v>
      </c>
      <c r="B615" s="44" t="s">
        <v>214</v>
      </c>
      <c r="C615" s="45">
        <v>41</v>
      </c>
      <c r="D615" s="45"/>
      <c r="E615" s="45">
        <v>1</v>
      </c>
      <c r="F615" s="45"/>
      <c r="G615" s="45">
        <v>4</v>
      </c>
      <c r="H615" s="45"/>
      <c r="I615" s="34">
        <v>5</v>
      </c>
      <c r="J615" t="e">
        <f>I615/(VLOOKUP(B615,'Team Stats'!$B$3:$K$18,5,0))</f>
        <v>#N/A</v>
      </c>
      <c r="M615" t="s">
        <v>1227</v>
      </c>
      <c r="N615" t="s">
        <v>1227</v>
      </c>
      <c r="O615" t="s">
        <v>1227</v>
      </c>
      <c r="P615" t="s">
        <v>1227</v>
      </c>
      <c r="Q615" t="s">
        <v>1227</v>
      </c>
      <c r="R615" t="s">
        <v>1227</v>
      </c>
      <c r="S615" t="s">
        <v>1227</v>
      </c>
      <c r="T615" s="54" t="s">
        <v>1227</v>
      </c>
      <c r="U615" t="s">
        <v>1227</v>
      </c>
    </row>
    <row r="616" spans="1:21" x14ac:dyDescent="0.25">
      <c r="A616" s="44" t="s">
        <v>939</v>
      </c>
      <c r="B616" s="44" t="s">
        <v>221</v>
      </c>
      <c r="C616" s="45">
        <v>26</v>
      </c>
      <c r="D616" s="45"/>
      <c r="E616" s="45">
        <v>2</v>
      </c>
      <c r="F616" s="45"/>
      <c r="G616" s="45">
        <v>3</v>
      </c>
      <c r="H616" s="45"/>
      <c r="I616" s="34">
        <v>5</v>
      </c>
      <c r="J616" t="e">
        <f>I616/(VLOOKUP(B616,'Team Stats'!$B$3:$K$18,5,0))</f>
        <v>#N/A</v>
      </c>
      <c r="M616" t="s">
        <v>1227</v>
      </c>
      <c r="N616" t="s">
        <v>1227</v>
      </c>
      <c r="O616" t="s">
        <v>1227</v>
      </c>
      <c r="P616" t="s">
        <v>1227</v>
      </c>
      <c r="Q616" t="s">
        <v>1227</v>
      </c>
      <c r="R616" t="s">
        <v>1227</v>
      </c>
      <c r="S616" t="s">
        <v>1227</v>
      </c>
      <c r="T616" s="54" t="s">
        <v>1227</v>
      </c>
      <c r="U616" t="s">
        <v>1227</v>
      </c>
    </row>
    <row r="617" spans="1:21" x14ac:dyDescent="0.25">
      <c r="A617" s="44" t="s">
        <v>940</v>
      </c>
      <c r="B617" s="44" t="s">
        <v>330</v>
      </c>
      <c r="C617" s="45">
        <v>25</v>
      </c>
      <c r="D617" s="45"/>
      <c r="E617" s="45">
        <v>0</v>
      </c>
      <c r="F617" s="45"/>
      <c r="G617" s="45">
        <v>5</v>
      </c>
      <c r="H617" s="45"/>
      <c r="I617" s="34">
        <v>5</v>
      </c>
      <c r="J617" t="e">
        <f>I617/(VLOOKUP(B617,'Team Stats'!$B$3:$K$18,5,0))</f>
        <v>#N/A</v>
      </c>
      <c r="M617" t="s">
        <v>1227</v>
      </c>
      <c r="N617" t="s">
        <v>1227</v>
      </c>
      <c r="O617" t="s">
        <v>1227</v>
      </c>
      <c r="P617" t="s">
        <v>1227</v>
      </c>
      <c r="Q617" t="s">
        <v>1227</v>
      </c>
      <c r="R617" t="s">
        <v>1227</v>
      </c>
      <c r="S617" t="s">
        <v>1227</v>
      </c>
      <c r="T617" s="54" t="s">
        <v>1227</v>
      </c>
      <c r="U617" t="s">
        <v>1227</v>
      </c>
    </row>
    <row r="618" spans="1:21" x14ac:dyDescent="0.25">
      <c r="A618" s="44" t="s">
        <v>941</v>
      </c>
      <c r="B618" s="44" t="s">
        <v>207</v>
      </c>
      <c r="C618" s="45">
        <v>62</v>
      </c>
      <c r="D618" s="45"/>
      <c r="E618" s="45">
        <v>1</v>
      </c>
      <c r="F618" s="45"/>
      <c r="G618" s="45">
        <v>4</v>
      </c>
      <c r="H618" s="45"/>
      <c r="I618" s="34">
        <v>5</v>
      </c>
      <c r="J618">
        <f>I618/(VLOOKUP(B618,'Team Stats'!$B$3:$K$18,5,0))</f>
        <v>7.5301204819277108E-3</v>
      </c>
      <c r="M618" t="s">
        <v>1227</v>
      </c>
      <c r="N618" t="s">
        <v>1227</v>
      </c>
      <c r="O618" t="s">
        <v>1227</v>
      </c>
      <c r="P618" t="s">
        <v>1227</v>
      </c>
      <c r="Q618" t="s">
        <v>1227</v>
      </c>
      <c r="R618" t="s">
        <v>1227</v>
      </c>
      <c r="S618" t="s">
        <v>1227</v>
      </c>
      <c r="T618" s="54" t="s">
        <v>1227</v>
      </c>
      <c r="U618" t="s">
        <v>1227</v>
      </c>
    </row>
    <row r="619" spans="1:21" x14ac:dyDescent="0.25">
      <c r="A619" s="44" t="s">
        <v>942</v>
      </c>
      <c r="B619" s="44" t="s">
        <v>220</v>
      </c>
      <c r="C619" s="45">
        <v>46</v>
      </c>
      <c r="D619" s="45"/>
      <c r="E619" s="45">
        <v>0</v>
      </c>
      <c r="F619" s="45"/>
      <c r="G619" s="45">
        <v>5</v>
      </c>
      <c r="H619" s="45"/>
      <c r="I619" s="34">
        <v>5</v>
      </c>
      <c r="J619" t="e">
        <f>I619/(VLOOKUP(B619,'Team Stats'!$B$3:$K$18,5,0))</f>
        <v>#N/A</v>
      </c>
      <c r="M619" t="s">
        <v>1227</v>
      </c>
      <c r="N619" t="s">
        <v>1227</v>
      </c>
      <c r="O619" t="s">
        <v>1227</v>
      </c>
      <c r="P619" t="s">
        <v>1227</v>
      </c>
      <c r="Q619" t="s">
        <v>1227</v>
      </c>
      <c r="R619" t="s">
        <v>1227</v>
      </c>
      <c r="S619" t="s">
        <v>1227</v>
      </c>
      <c r="T619" s="54" t="s">
        <v>1227</v>
      </c>
      <c r="U619" t="s">
        <v>1227</v>
      </c>
    </row>
    <row r="620" spans="1:21" x14ac:dyDescent="0.25">
      <c r="A620" s="44" t="s">
        <v>943</v>
      </c>
      <c r="B620" s="44" t="s">
        <v>330</v>
      </c>
      <c r="C620" s="45">
        <v>21</v>
      </c>
      <c r="D620" s="45"/>
      <c r="E620" s="45">
        <v>3</v>
      </c>
      <c r="F620" s="45"/>
      <c r="G620" s="45">
        <v>2</v>
      </c>
      <c r="H620" s="45"/>
      <c r="I620" s="34">
        <v>5</v>
      </c>
      <c r="J620" t="e">
        <f>I620/(VLOOKUP(B620,'Team Stats'!$B$3:$K$18,5,0))</f>
        <v>#N/A</v>
      </c>
      <c r="M620" t="s">
        <v>1227</v>
      </c>
      <c r="N620" t="s">
        <v>1227</v>
      </c>
      <c r="O620" t="s">
        <v>1227</v>
      </c>
      <c r="P620" t="s">
        <v>1227</v>
      </c>
      <c r="Q620" t="s">
        <v>1227</v>
      </c>
      <c r="R620" t="s">
        <v>1227</v>
      </c>
      <c r="S620" t="s">
        <v>1227</v>
      </c>
      <c r="T620" s="54" t="s">
        <v>1227</v>
      </c>
      <c r="U620" t="s">
        <v>1227</v>
      </c>
    </row>
    <row r="621" spans="1:21" x14ac:dyDescent="0.25">
      <c r="A621" s="44" t="s">
        <v>944</v>
      </c>
      <c r="B621" s="44" t="s">
        <v>217</v>
      </c>
      <c r="C621" s="45">
        <v>38</v>
      </c>
      <c r="D621" s="45"/>
      <c r="E621" s="45">
        <v>0</v>
      </c>
      <c r="F621" s="45"/>
      <c r="G621" s="45">
        <v>5</v>
      </c>
      <c r="H621" s="45"/>
      <c r="I621" s="34">
        <v>5</v>
      </c>
      <c r="J621" t="e">
        <f>I621/(VLOOKUP(B621,'Team Stats'!$B$3:$K$18,5,0))</f>
        <v>#N/A</v>
      </c>
      <c r="M621" t="s">
        <v>1227</v>
      </c>
      <c r="N621" t="s">
        <v>1227</v>
      </c>
      <c r="O621" t="s">
        <v>1227</v>
      </c>
      <c r="P621" t="s">
        <v>1227</v>
      </c>
      <c r="Q621" t="s">
        <v>1227</v>
      </c>
      <c r="R621" t="s">
        <v>1227</v>
      </c>
      <c r="S621" t="s">
        <v>1227</v>
      </c>
      <c r="T621" s="54" t="s">
        <v>1227</v>
      </c>
      <c r="U621" t="s">
        <v>1227</v>
      </c>
    </row>
    <row r="622" spans="1:21" x14ac:dyDescent="0.25">
      <c r="A622" s="44" t="s">
        <v>945</v>
      </c>
      <c r="B622" s="44" t="s">
        <v>330</v>
      </c>
      <c r="C622" s="45">
        <v>72</v>
      </c>
      <c r="D622" s="45"/>
      <c r="E622" s="45">
        <v>1</v>
      </c>
      <c r="F622" s="45"/>
      <c r="G622" s="45">
        <v>4</v>
      </c>
      <c r="H622" s="45"/>
      <c r="I622" s="34">
        <v>5</v>
      </c>
      <c r="J622" t="e">
        <f>I622/(VLOOKUP(B622,'Team Stats'!$B$3:$K$18,5,0))</f>
        <v>#N/A</v>
      </c>
      <c r="M622" t="s">
        <v>1227</v>
      </c>
      <c r="N622" t="s">
        <v>1227</v>
      </c>
      <c r="O622" t="s">
        <v>1227</v>
      </c>
      <c r="P622" t="s">
        <v>1227</v>
      </c>
      <c r="Q622" t="s">
        <v>1227</v>
      </c>
      <c r="R622" t="s">
        <v>1227</v>
      </c>
      <c r="S622" t="s">
        <v>1227</v>
      </c>
      <c r="T622" s="54" t="s">
        <v>1227</v>
      </c>
      <c r="U622" t="s">
        <v>1227</v>
      </c>
    </row>
    <row r="623" spans="1:21" x14ac:dyDescent="0.25">
      <c r="A623" s="44" t="s">
        <v>946</v>
      </c>
      <c r="B623" s="44" t="s">
        <v>216</v>
      </c>
      <c r="C623" s="45">
        <v>27</v>
      </c>
      <c r="D623" s="45"/>
      <c r="E623" s="45">
        <v>1</v>
      </c>
      <c r="F623" s="45"/>
      <c r="G623" s="45">
        <v>4</v>
      </c>
      <c r="H623" s="45"/>
      <c r="I623" s="34">
        <v>5</v>
      </c>
      <c r="J623" t="e">
        <f>I623/(VLOOKUP(B623,'Team Stats'!$B$3:$K$18,5,0))</f>
        <v>#N/A</v>
      </c>
      <c r="M623" t="s">
        <v>1227</v>
      </c>
      <c r="N623" t="s">
        <v>1227</v>
      </c>
      <c r="O623" t="s">
        <v>1227</v>
      </c>
      <c r="P623" t="s">
        <v>1227</v>
      </c>
      <c r="Q623" t="s">
        <v>1227</v>
      </c>
      <c r="R623" t="s">
        <v>1227</v>
      </c>
      <c r="S623" t="s">
        <v>1227</v>
      </c>
      <c r="T623" s="54" t="s">
        <v>1227</v>
      </c>
      <c r="U623" t="s">
        <v>1227</v>
      </c>
    </row>
    <row r="624" spans="1:21" x14ac:dyDescent="0.25">
      <c r="A624" s="44" t="s">
        <v>947</v>
      </c>
      <c r="B624" s="44" t="s">
        <v>203</v>
      </c>
      <c r="C624" s="45">
        <v>36</v>
      </c>
      <c r="D624" s="45"/>
      <c r="E624" s="45">
        <v>4</v>
      </c>
      <c r="F624" s="45"/>
      <c r="G624" s="45">
        <v>1</v>
      </c>
      <c r="H624" s="45"/>
      <c r="I624" s="34">
        <v>5</v>
      </c>
      <c r="J624" t="e">
        <f>I624/(VLOOKUP(B624,'Team Stats'!$B$3:$K$18,5,0))</f>
        <v>#N/A</v>
      </c>
      <c r="M624" t="s">
        <v>1227</v>
      </c>
      <c r="N624" t="s">
        <v>1227</v>
      </c>
      <c r="O624" t="s">
        <v>1227</v>
      </c>
      <c r="P624" t="s">
        <v>1227</v>
      </c>
      <c r="Q624" t="s">
        <v>1227</v>
      </c>
      <c r="R624" t="s">
        <v>1227</v>
      </c>
      <c r="S624" t="s">
        <v>1227</v>
      </c>
      <c r="T624" s="54" t="s">
        <v>1227</v>
      </c>
      <c r="U624" t="s">
        <v>1227</v>
      </c>
    </row>
    <row r="625" spans="1:21" x14ac:dyDescent="0.25">
      <c r="A625" s="44" t="s">
        <v>948</v>
      </c>
      <c r="B625" s="44" t="s">
        <v>207</v>
      </c>
      <c r="C625" s="45">
        <v>26</v>
      </c>
      <c r="D625" s="45"/>
      <c r="E625" s="45">
        <v>2</v>
      </c>
      <c r="F625" s="45"/>
      <c r="G625" s="45">
        <v>3</v>
      </c>
      <c r="H625" s="45"/>
      <c r="I625" s="34">
        <v>5</v>
      </c>
      <c r="J625">
        <f>I625/(VLOOKUP(B625,'Team Stats'!$B$3:$K$18,5,0))</f>
        <v>7.5301204819277108E-3</v>
      </c>
      <c r="M625" t="s">
        <v>1227</v>
      </c>
      <c r="N625" t="s">
        <v>1227</v>
      </c>
      <c r="O625" t="s">
        <v>1227</v>
      </c>
      <c r="P625" t="s">
        <v>1227</v>
      </c>
      <c r="Q625" t="s">
        <v>1227</v>
      </c>
      <c r="R625" t="s">
        <v>1227</v>
      </c>
      <c r="S625" t="s">
        <v>1227</v>
      </c>
      <c r="T625" s="54" t="s">
        <v>1227</v>
      </c>
      <c r="U625" t="s">
        <v>1227</v>
      </c>
    </row>
    <row r="626" spans="1:21" x14ac:dyDescent="0.25">
      <c r="A626" s="44" t="s">
        <v>949</v>
      </c>
      <c r="B626" s="44" t="s">
        <v>218</v>
      </c>
      <c r="C626" s="45">
        <v>46</v>
      </c>
      <c r="D626" s="45"/>
      <c r="E626" s="45">
        <v>1</v>
      </c>
      <c r="F626" s="45"/>
      <c r="G626" s="45">
        <v>4</v>
      </c>
      <c r="H626" s="45"/>
      <c r="I626" s="34">
        <v>5</v>
      </c>
      <c r="J626" t="e">
        <f>I626/(VLOOKUP(B626,'Team Stats'!$B$3:$K$18,5,0))</f>
        <v>#N/A</v>
      </c>
      <c r="M626" t="s">
        <v>1227</v>
      </c>
      <c r="N626" t="s">
        <v>1227</v>
      </c>
      <c r="O626" t="s">
        <v>1227</v>
      </c>
      <c r="P626" t="s">
        <v>1227</v>
      </c>
      <c r="Q626" t="s">
        <v>1227</v>
      </c>
      <c r="R626" t="s">
        <v>1227</v>
      </c>
      <c r="S626" t="s">
        <v>1227</v>
      </c>
      <c r="T626" s="54" t="s">
        <v>1227</v>
      </c>
      <c r="U626" t="s">
        <v>1227</v>
      </c>
    </row>
    <row r="627" spans="1:21" x14ac:dyDescent="0.25">
      <c r="A627" s="44" t="s">
        <v>950</v>
      </c>
      <c r="B627" s="44" t="s">
        <v>344</v>
      </c>
      <c r="C627" s="45">
        <v>29</v>
      </c>
      <c r="D627" s="45"/>
      <c r="E627" s="45">
        <v>3</v>
      </c>
      <c r="F627" s="45"/>
      <c r="G627" s="45">
        <v>2</v>
      </c>
      <c r="H627" s="45"/>
      <c r="I627" s="34">
        <v>5</v>
      </c>
      <c r="J627" t="e">
        <f>I627/(VLOOKUP(B627,'Team Stats'!$B$3:$K$18,5,0))</f>
        <v>#N/A</v>
      </c>
      <c r="M627" t="s">
        <v>1227</v>
      </c>
      <c r="N627" t="s">
        <v>1227</v>
      </c>
      <c r="O627" t="s">
        <v>1227</v>
      </c>
      <c r="P627" t="s">
        <v>1227</v>
      </c>
      <c r="Q627" t="s">
        <v>1227</v>
      </c>
      <c r="R627" t="s">
        <v>1227</v>
      </c>
      <c r="S627" t="s">
        <v>1227</v>
      </c>
      <c r="T627" s="54" t="s">
        <v>1227</v>
      </c>
      <c r="U627" t="s">
        <v>1227</v>
      </c>
    </row>
    <row r="628" spans="1:21" x14ac:dyDescent="0.25">
      <c r="A628" s="44" t="s">
        <v>951</v>
      </c>
      <c r="B628" s="44" t="s">
        <v>330</v>
      </c>
      <c r="C628" s="45">
        <v>33</v>
      </c>
      <c r="D628" s="45"/>
      <c r="E628" s="45">
        <v>1</v>
      </c>
      <c r="F628" s="45"/>
      <c r="G628" s="45">
        <v>4</v>
      </c>
      <c r="H628" s="45"/>
      <c r="I628" s="34">
        <v>5</v>
      </c>
      <c r="J628" t="e">
        <f>I628/(VLOOKUP(B628,'Team Stats'!$B$3:$K$18,5,0))</f>
        <v>#N/A</v>
      </c>
      <c r="M628" t="s">
        <v>1227</v>
      </c>
      <c r="N628" t="s">
        <v>1227</v>
      </c>
      <c r="O628" t="s">
        <v>1227</v>
      </c>
      <c r="P628" t="s">
        <v>1227</v>
      </c>
      <c r="Q628" t="s">
        <v>1227</v>
      </c>
      <c r="R628" t="s">
        <v>1227</v>
      </c>
      <c r="S628" t="s">
        <v>1227</v>
      </c>
      <c r="T628" s="54" t="s">
        <v>1227</v>
      </c>
      <c r="U628" t="s">
        <v>1227</v>
      </c>
    </row>
    <row r="629" spans="1:21" x14ac:dyDescent="0.25">
      <c r="A629" s="44" t="s">
        <v>952</v>
      </c>
      <c r="B629" s="44" t="s">
        <v>198</v>
      </c>
      <c r="C629" s="45">
        <v>31</v>
      </c>
      <c r="D629" s="45"/>
      <c r="E629" s="45">
        <v>2</v>
      </c>
      <c r="F629" s="45"/>
      <c r="G629" s="45">
        <v>3</v>
      </c>
      <c r="H629" s="45"/>
      <c r="I629" s="34">
        <v>5</v>
      </c>
      <c r="J629" t="e">
        <f>I629/(VLOOKUP(B629,'Team Stats'!$B$3:$K$18,5,0))</f>
        <v>#N/A</v>
      </c>
      <c r="M629" t="s">
        <v>1227</v>
      </c>
      <c r="N629" t="s">
        <v>1227</v>
      </c>
      <c r="O629" t="s">
        <v>1227</v>
      </c>
      <c r="P629" t="s">
        <v>1227</v>
      </c>
      <c r="Q629" t="s">
        <v>1227</v>
      </c>
      <c r="R629" t="s">
        <v>1227</v>
      </c>
      <c r="S629" t="s">
        <v>1227</v>
      </c>
      <c r="T629" s="54" t="s">
        <v>1227</v>
      </c>
      <c r="U629" t="s">
        <v>1227</v>
      </c>
    </row>
    <row r="630" spans="1:21" x14ac:dyDescent="0.25">
      <c r="A630" s="44" t="s">
        <v>953</v>
      </c>
      <c r="B630" s="44" t="s">
        <v>219</v>
      </c>
      <c r="C630" s="45">
        <v>43</v>
      </c>
      <c r="D630" s="45"/>
      <c r="E630" s="45">
        <v>3</v>
      </c>
      <c r="F630" s="45"/>
      <c r="G630" s="45">
        <v>2</v>
      </c>
      <c r="H630" s="45"/>
      <c r="I630" s="34">
        <v>5</v>
      </c>
      <c r="J630" t="e">
        <f>I630/(VLOOKUP(B630,'Team Stats'!$B$3:$K$18,5,0))</f>
        <v>#N/A</v>
      </c>
      <c r="M630" t="s">
        <v>1227</v>
      </c>
      <c r="N630" t="s">
        <v>1227</v>
      </c>
      <c r="O630" t="s">
        <v>1227</v>
      </c>
      <c r="P630" t="s">
        <v>1227</v>
      </c>
      <c r="Q630" t="s">
        <v>1227</v>
      </c>
      <c r="R630" t="s">
        <v>1227</v>
      </c>
      <c r="S630" t="s">
        <v>1227</v>
      </c>
      <c r="T630" s="54" t="s">
        <v>1227</v>
      </c>
      <c r="U630" t="s">
        <v>1227</v>
      </c>
    </row>
    <row r="631" spans="1:21" x14ac:dyDescent="0.25">
      <c r="A631" s="44" t="s">
        <v>954</v>
      </c>
      <c r="B631" s="44" t="s">
        <v>214</v>
      </c>
      <c r="C631" s="45">
        <v>18</v>
      </c>
      <c r="D631" s="45"/>
      <c r="E631" s="45">
        <v>2</v>
      </c>
      <c r="F631" s="45"/>
      <c r="G631" s="45">
        <v>2</v>
      </c>
      <c r="H631" s="45"/>
      <c r="I631" s="34">
        <v>4</v>
      </c>
      <c r="J631" t="e">
        <f>I631/(VLOOKUP(B631,'Team Stats'!$B$3:$K$18,5,0))</f>
        <v>#N/A</v>
      </c>
      <c r="M631" t="s">
        <v>1227</v>
      </c>
      <c r="N631" t="s">
        <v>1227</v>
      </c>
      <c r="O631" t="s">
        <v>1227</v>
      </c>
      <c r="P631" t="s">
        <v>1227</v>
      </c>
      <c r="Q631" t="s">
        <v>1227</v>
      </c>
      <c r="R631" t="s">
        <v>1227</v>
      </c>
      <c r="S631" t="s">
        <v>1227</v>
      </c>
      <c r="T631" s="54" t="s">
        <v>1227</v>
      </c>
      <c r="U631" t="s">
        <v>1227</v>
      </c>
    </row>
    <row r="632" spans="1:21" x14ac:dyDescent="0.25">
      <c r="A632" s="44" t="s">
        <v>955</v>
      </c>
      <c r="B632" s="44" t="s">
        <v>212</v>
      </c>
      <c r="C632" s="45">
        <v>20</v>
      </c>
      <c r="D632" s="45"/>
      <c r="E632" s="45">
        <v>2</v>
      </c>
      <c r="F632" s="45"/>
      <c r="G632" s="45">
        <v>2</v>
      </c>
      <c r="H632" s="45"/>
      <c r="I632" s="34">
        <v>4</v>
      </c>
      <c r="J632" t="e">
        <f>I632/(VLOOKUP(B632,'Team Stats'!$B$3:$K$18,5,0))</f>
        <v>#N/A</v>
      </c>
      <c r="M632" t="s">
        <v>1227</v>
      </c>
      <c r="N632" t="s">
        <v>1227</v>
      </c>
      <c r="O632" t="s">
        <v>1227</v>
      </c>
      <c r="P632" t="s">
        <v>1227</v>
      </c>
      <c r="Q632" t="s">
        <v>1227</v>
      </c>
      <c r="R632" t="s">
        <v>1227</v>
      </c>
      <c r="S632" t="s">
        <v>1227</v>
      </c>
      <c r="T632" s="54" t="s">
        <v>1227</v>
      </c>
      <c r="U632" t="s">
        <v>1227</v>
      </c>
    </row>
    <row r="633" spans="1:21" x14ac:dyDescent="0.25">
      <c r="A633" s="44" t="s">
        <v>956</v>
      </c>
      <c r="B633" s="44" t="s">
        <v>218</v>
      </c>
      <c r="C633" s="45">
        <v>25</v>
      </c>
      <c r="D633" s="45"/>
      <c r="E633" s="45">
        <v>2</v>
      </c>
      <c r="F633" s="45"/>
      <c r="G633" s="45">
        <v>2</v>
      </c>
      <c r="H633" s="45"/>
      <c r="I633" s="34">
        <v>4</v>
      </c>
      <c r="J633" t="e">
        <f>I633/(VLOOKUP(B633,'Team Stats'!$B$3:$K$18,5,0))</f>
        <v>#N/A</v>
      </c>
      <c r="M633" t="s">
        <v>1227</v>
      </c>
      <c r="N633" t="s">
        <v>1227</v>
      </c>
      <c r="O633" t="s">
        <v>1227</v>
      </c>
      <c r="P633" t="s">
        <v>1227</v>
      </c>
      <c r="Q633" t="s">
        <v>1227</v>
      </c>
      <c r="R633" t="s">
        <v>1227</v>
      </c>
      <c r="S633" t="s">
        <v>1227</v>
      </c>
      <c r="T633" s="54" t="s">
        <v>1227</v>
      </c>
      <c r="U633" t="s">
        <v>1227</v>
      </c>
    </row>
    <row r="634" spans="1:21" x14ac:dyDescent="0.25">
      <c r="A634" s="44" t="s">
        <v>957</v>
      </c>
      <c r="B634" s="44" t="s">
        <v>211</v>
      </c>
      <c r="C634" s="45">
        <v>43</v>
      </c>
      <c r="D634" s="45"/>
      <c r="E634" s="45">
        <v>1</v>
      </c>
      <c r="F634" s="45"/>
      <c r="G634" s="45">
        <v>3</v>
      </c>
      <c r="H634" s="45"/>
      <c r="I634" s="34">
        <v>4</v>
      </c>
      <c r="J634">
        <f>I634/(VLOOKUP(B634,'Team Stats'!$B$3:$K$18,5,0))</f>
        <v>6.5789473684210523E-3</v>
      </c>
      <c r="M634" t="s">
        <v>1227</v>
      </c>
      <c r="N634" t="s">
        <v>1227</v>
      </c>
      <c r="O634" t="s">
        <v>1227</v>
      </c>
      <c r="P634" t="s">
        <v>1227</v>
      </c>
      <c r="Q634" t="s">
        <v>1227</v>
      </c>
      <c r="R634" t="s">
        <v>1227</v>
      </c>
      <c r="S634" t="s">
        <v>1227</v>
      </c>
      <c r="T634" s="54" t="s">
        <v>1227</v>
      </c>
      <c r="U634" t="s">
        <v>1227</v>
      </c>
    </row>
    <row r="635" spans="1:21" x14ac:dyDescent="0.25">
      <c r="A635" s="44" t="s">
        <v>958</v>
      </c>
      <c r="B635" s="44" t="s">
        <v>219</v>
      </c>
      <c r="C635" s="45">
        <v>34</v>
      </c>
      <c r="D635" s="45"/>
      <c r="E635" s="45">
        <v>0</v>
      </c>
      <c r="F635" s="45"/>
      <c r="G635" s="45">
        <v>4</v>
      </c>
      <c r="H635" s="45"/>
      <c r="I635" s="34">
        <v>4</v>
      </c>
      <c r="J635" t="e">
        <f>I635/(VLOOKUP(B635,'Team Stats'!$B$3:$K$18,5,0))</f>
        <v>#N/A</v>
      </c>
      <c r="M635" t="s">
        <v>1227</v>
      </c>
      <c r="N635" t="s">
        <v>1227</v>
      </c>
      <c r="O635" t="s">
        <v>1227</v>
      </c>
      <c r="P635" t="s">
        <v>1227</v>
      </c>
      <c r="Q635" t="s">
        <v>1227</v>
      </c>
      <c r="R635" t="s">
        <v>1227</v>
      </c>
      <c r="S635" t="s">
        <v>1227</v>
      </c>
      <c r="T635" s="54" t="s">
        <v>1227</v>
      </c>
      <c r="U635" t="s">
        <v>1227</v>
      </c>
    </row>
    <row r="636" spans="1:21" x14ac:dyDescent="0.25">
      <c r="A636" s="44" t="s">
        <v>959</v>
      </c>
      <c r="B636" s="44" t="s">
        <v>216</v>
      </c>
      <c r="C636" s="45">
        <v>47</v>
      </c>
      <c r="D636" s="45"/>
      <c r="E636" s="45">
        <v>0</v>
      </c>
      <c r="F636" s="45"/>
      <c r="G636" s="45">
        <v>4</v>
      </c>
      <c r="H636" s="45"/>
      <c r="I636" s="34">
        <v>4</v>
      </c>
      <c r="J636" t="e">
        <f>I636/(VLOOKUP(B636,'Team Stats'!$B$3:$K$18,5,0))</f>
        <v>#N/A</v>
      </c>
      <c r="M636" t="s">
        <v>1227</v>
      </c>
      <c r="N636" t="s">
        <v>1227</v>
      </c>
      <c r="O636" t="s">
        <v>1227</v>
      </c>
      <c r="P636" t="s">
        <v>1227</v>
      </c>
      <c r="Q636" t="s">
        <v>1227</v>
      </c>
      <c r="R636" t="s">
        <v>1227</v>
      </c>
      <c r="S636" t="s">
        <v>1227</v>
      </c>
      <c r="T636" s="54" t="s">
        <v>1227</v>
      </c>
      <c r="U636" t="s">
        <v>1227</v>
      </c>
    </row>
    <row r="637" spans="1:21" x14ac:dyDescent="0.25">
      <c r="A637" s="44" t="s">
        <v>960</v>
      </c>
      <c r="B637" s="44" t="s">
        <v>207</v>
      </c>
      <c r="C637" s="45">
        <v>56</v>
      </c>
      <c r="D637" s="45"/>
      <c r="E637" s="45">
        <v>2</v>
      </c>
      <c r="F637" s="45"/>
      <c r="G637" s="45">
        <v>2</v>
      </c>
      <c r="H637" s="45"/>
      <c r="I637" s="34">
        <v>4</v>
      </c>
      <c r="J637">
        <f>I637/(VLOOKUP(B637,'Team Stats'!$B$3:$K$18,5,0))</f>
        <v>6.024096385542169E-3</v>
      </c>
      <c r="M637" t="s">
        <v>1227</v>
      </c>
      <c r="N637" t="s">
        <v>1227</v>
      </c>
      <c r="O637" t="s">
        <v>1227</v>
      </c>
      <c r="P637" t="s">
        <v>1227</v>
      </c>
      <c r="Q637" t="s">
        <v>1227</v>
      </c>
      <c r="R637" t="s">
        <v>1227</v>
      </c>
      <c r="S637" t="s">
        <v>1227</v>
      </c>
      <c r="T637" s="54" t="s">
        <v>1227</v>
      </c>
      <c r="U637" t="s">
        <v>1227</v>
      </c>
    </row>
    <row r="638" spans="1:21" x14ac:dyDescent="0.25">
      <c r="A638" s="44" t="s">
        <v>961</v>
      </c>
      <c r="B638" s="44" t="s">
        <v>344</v>
      </c>
      <c r="C638" s="45">
        <v>58</v>
      </c>
      <c r="D638" s="45"/>
      <c r="E638" s="45">
        <v>1</v>
      </c>
      <c r="F638" s="45"/>
      <c r="G638" s="45">
        <v>3</v>
      </c>
      <c r="H638" s="45"/>
      <c r="I638" s="34">
        <v>4</v>
      </c>
      <c r="J638" t="e">
        <f>I638/(VLOOKUP(B638,'Team Stats'!$B$3:$K$18,5,0))</f>
        <v>#N/A</v>
      </c>
      <c r="M638" t="s">
        <v>1227</v>
      </c>
      <c r="N638" t="s">
        <v>1227</v>
      </c>
      <c r="O638" t="s">
        <v>1227</v>
      </c>
      <c r="P638" t="s">
        <v>1227</v>
      </c>
      <c r="Q638" t="s">
        <v>1227</v>
      </c>
      <c r="R638" t="s">
        <v>1227</v>
      </c>
      <c r="S638" t="s">
        <v>1227</v>
      </c>
      <c r="T638" s="54" t="s">
        <v>1227</v>
      </c>
      <c r="U638" t="s">
        <v>1227</v>
      </c>
    </row>
    <row r="639" spans="1:21" x14ac:dyDescent="0.25">
      <c r="A639" s="44" t="s">
        <v>962</v>
      </c>
      <c r="B639" s="44" t="s">
        <v>205</v>
      </c>
      <c r="C639" s="45">
        <v>58</v>
      </c>
      <c r="D639" s="45"/>
      <c r="E639" s="45">
        <v>1</v>
      </c>
      <c r="F639" s="45"/>
      <c r="G639" s="45">
        <v>3</v>
      </c>
      <c r="H639" s="45"/>
      <c r="I639" s="34">
        <v>4</v>
      </c>
      <c r="J639">
        <f>I639/(VLOOKUP(B639,'Team Stats'!$B$3:$K$18,5,0))</f>
        <v>6.2305295950155761E-3</v>
      </c>
      <c r="M639" t="s">
        <v>1227</v>
      </c>
      <c r="N639" t="s">
        <v>1227</v>
      </c>
      <c r="O639" t="s">
        <v>1227</v>
      </c>
      <c r="P639" t="s">
        <v>1227</v>
      </c>
      <c r="Q639" t="s">
        <v>1227</v>
      </c>
      <c r="R639" t="s">
        <v>1227</v>
      </c>
      <c r="S639" t="s">
        <v>1227</v>
      </c>
      <c r="T639" s="54" t="s">
        <v>1227</v>
      </c>
      <c r="U639" t="s">
        <v>1227</v>
      </c>
    </row>
    <row r="640" spans="1:21" x14ac:dyDescent="0.25">
      <c r="A640" s="44" t="s">
        <v>963</v>
      </c>
      <c r="B640" s="44" t="s">
        <v>216</v>
      </c>
      <c r="C640" s="45">
        <v>23</v>
      </c>
      <c r="D640" s="45"/>
      <c r="E640" s="45">
        <v>3</v>
      </c>
      <c r="F640" s="45"/>
      <c r="G640" s="45">
        <v>1</v>
      </c>
      <c r="H640" s="45"/>
      <c r="I640" s="34">
        <v>4</v>
      </c>
      <c r="J640" t="e">
        <f>I640/(VLOOKUP(B640,'Team Stats'!$B$3:$K$18,5,0))</f>
        <v>#N/A</v>
      </c>
      <c r="M640" t="s">
        <v>1227</v>
      </c>
      <c r="N640" t="s">
        <v>1227</v>
      </c>
      <c r="O640" t="s">
        <v>1227</v>
      </c>
      <c r="P640" t="s">
        <v>1227</v>
      </c>
      <c r="Q640" t="s">
        <v>1227</v>
      </c>
      <c r="R640" t="s">
        <v>1227</v>
      </c>
      <c r="S640" t="s">
        <v>1227</v>
      </c>
      <c r="T640" s="54" t="s">
        <v>1227</v>
      </c>
      <c r="U640" t="s">
        <v>1227</v>
      </c>
    </row>
    <row r="641" spans="1:21" x14ac:dyDescent="0.25">
      <c r="A641" s="44" t="s">
        <v>964</v>
      </c>
      <c r="B641" s="44" t="s">
        <v>344</v>
      </c>
      <c r="C641" s="45">
        <v>31</v>
      </c>
      <c r="D641" s="45"/>
      <c r="E641" s="45">
        <v>0</v>
      </c>
      <c r="F641" s="45"/>
      <c r="G641" s="45">
        <v>4</v>
      </c>
      <c r="H641" s="45"/>
      <c r="I641" s="34">
        <v>4</v>
      </c>
      <c r="J641" t="e">
        <f>I641/(VLOOKUP(B641,'Team Stats'!$B$3:$K$18,5,0))</f>
        <v>#N/A</v>
      </c>
      <c r="M641" t="s">
        <v>1227</v>
      </c>
      <c r="N641" t="s">
        <v>1227</v>
      </c>
      <c r="O641" t="s">
        <v>1227</v>
      </c>
      <c r="P641" t="s">
        <v>1227</v>
      </c>
      <c r="Q641" t="s">
        <v>1227</v>
      </c>
      <c r="R641" t="s">
        <v>1227</v>
      </c>
      <c r="S641" t="s">
        <v>1227</v>
      </c>
      <c r="T641" s="54" t="s">
        <v>1227</v>
      </c>
      <c r="U641" t="s">
        <v>1227</v>
      </c>
    </row>
    <row r="642" spans="1:21" x14ac:dyDescent="0.25">
      <c r="A642" s="44" t="s">
        <v>965</v>
      </c>
      <c r="B642" s="44" t="s">
        <v>221</v>
      </c>
      <c r="C642" s="45">
        <v>23</v>
      </c>
      <c r="D642" s="45"/>
      <c r="E642" s="45">
        <v>1</v>
      </c>
      <c r="F642" s="45"/>
      <c r="G642" s="45">
        <v>3</v>
      </c>
      <c r="H642" s="45"/>
      <c r="I642" s="34">
        <v>4</v>
      </c>
      <c r="J642" t="e">
        <f>I642/(VLOOKUP(B642,'Team Stats'!$B$3:$K$18,5,0))</f>
        <v>#N/A</v>
      </c>
      <c r="M642" t="s">
        <v>1227</v>
      </c>
      <c r="N642" t="s">
        <v>1227</v>
      </c>
      <c r="O642" t="s">
        <v>1227</v>
      </c>
      <c r="P642" t="s">
        <v>1227</v>
      </c>
      <c r="Q642" t="s">
        <v>1227</v>
      </c>
      <c r="R642" t="s">
        <v>1227</v>
      </c>
      <c r="S642" t="s">
        <v>1227</v>
      </c>
      <c r="T642" s="54" t="s">
        <v>1227</v>
      </c>
      <c r="U642" t="s">
        <v>1227</v>
      </c>
    </row>
    <row r="643" spans="1:21" x14ac:dyDescent="0.25">
      <c r="A643" s="44" t="s">
        <v>966</v>
      </c>
      <c r="B643" s="44" t="s">
        <v>219</v>
      </c>
      <c r="C643" s="45">
        <v>13</v>
      </c>
      <c r="D643" s="45"/>
      <c r="E643" s="45">
        <v>1</v>
      </c>
      <c r="F643" s="45"/>
      <c r="G643" s="45">
        <v>3</v>
      </c>
      <c r="H643" s="45"/>
      <c r="I643" s="34">
        <v>4</v>
      </c>
      <c r="J643" t="e">
        <f>I643/(VLOOKUP(B643,'Team Stats'!$B$3:$K$18,5,0))</f>
        <v>#N/A</v>
      </c>
      <c r="M643" t="s">
        <v>1227</v>
      </c>
      <c r="N643" t="s">
        <v>1227</v>
      </c>
      <c r="O643" t="s">
        <v>1227</v>
      </c>
      <c r="P643" t="s">
        <v>1227</v>
      </c>
      <c r="Q643" t="s">
        <v>1227</v>
      </c>
      <c r="R643" t="s">
        <v>1227</v>
      </c>
      <c r="S643" t="s">
        <v>1227</v>
      </c>
      <c r="T643" s="54" t="s">
        <v>1227</v>
      </c>
      <c r="U643" t="s">
        <v>1227</v>
      </c>
    </row>
    <row r="644" spans="1:21" x14ac:dyDescent="0.25">
      <c r="A644" s="44" t="s">
        <v>967</v>
      </c>
      <c r="B644" s="44" t="s">
        <v>214</v>
      </c>
      <c r="C644" s="45">
        <v>20</v>
      </c>
      <c r="D644" s="45"/>
      <c r="E644" s="45">
        <v>2</v>
      </c>
      <c r="F644" s="45"/>
      <c r="G644" s="45">
        <v>2</v>
      </c>
      <c r="H644" s="45"/>
      <c r="I644" s="34">
        <v>4</v>
      </c>
      <c r="J644" t="e">
        <f>I644/(VLOOKUP(B644,'Team Stats'!$B$3:$K$18,5,0))</f>
        <v>#N/A</v>
      </c>
      <c r="M644" t="s">
        <v>1227</v>
      </c>
      <c r="N644" t="s">
        <v>1227</v>
      </c>
      <c r="O644" t="s">
        <v>1227</v>
      </c>
      <c r="P644" t="s">
        <v>1227</v>
      </c>
      <c r="Q644" t="s">
        <v>1227</v>
      </c>
      <c r="R644" t="s">
        <v>1227</v>
      </c>
      <c r="S644" t="s">
        <v>1227</v>
      </c>
      <c r="T644" s="54" t="s">
        <v>1227</v>
      </c>
      <c r="U644" t="s">
        <v>1227</v>
      </c>
    </row>
    <row r="645" spans="1:21" x14ac:dyDescent="0.25">
      <c r="A645" s="44" t="s">
        <v>968</v>
      </c>
      <c r="B645" s="44" t="s">
        <v>324</v>
      </c>
      <c r="C645" s="45">
        <v>39</v>
      </c>
      <c r="D645" s="45"/>
      <c r="E645" s="45">
        <v>1</v>
      </c>
      <c r="F645" s="45"/>
      <c r="G645" s="45">
        <v>3</v>
      </c>
      <c r="H645" s="45"/>
      <c r="I645" s="34">
        <v>4</v>
      </c>
      <c r="J645" t="e">
        <f>I645/(VLOOKUP(B645,'Team Stats'!$B$3:$K$18,5,0))</f>
        <v>#N/A</v>
      </c>
      <c r="M645" t="s">
        <v>1227</v>
      </c>
      <c r="N645" t="s">
        <v>1227</v>
      </c>
      <c r="O645" t="s">
        <v>1227</v>
      </c>
      <c r="P645" t="s">
        <v>1227</v>
      </c>
      <c r="Q645" t="s">
        <v>1227</v>
      </c>
      <c r="R645" t="s">
        <v>1227</v>
      </c>
      <c r="S645" t="s">
        <v>1227</v>
      </c>
      <c r="T645" s="54" t="s">
        <v>1227</v>
      </c>
      <c r="U645" t="s">
        <v>1227</v>
      </c>
    </row>
    <row r="646" spans="1:21" x14ac:dyDescent="0.25">
      <c r="A646" s="44" t="s">
        <v>969</v>
      </c>
      <c r="B646" s="44" t="s">
        <v>220</v>
      </c>
      <c r="C646" s="45">
        <v>33</v>
      </c>
      <c r="D646" s="45"/>
      <c r="E646" s="45">
        <v>1</v>
      </c>
      <c r="F646" s="45"/>
      <c r="G646" s="45">
        <v>3</v>
      </c>
      <c r="H646" s="45"/>
      <c r="I646" s="34">
        <v>4</v>
      </c>
      <c r="J646" t="e">
        <f>I646/(VLOOKUP(B646,'Team Stats'!$B$3:$K$18,5,0))</f>
        <v>#N/A</v>
      </c>
      <c r="M646" t="s">
        <v>1227</v>
      </c>
      <c r="N646" t="s">
        <v>1227</v>
      </c>
      <c r="O646" t="s">
        <v>1227</v>
      </c>
      <c r="P646" t="s">
        <v>1227</v>
      </c>
      <c r="Q646" t="s">
        <v>1227</v>
      </c>
      <c r="R646" t="s">
        <v>1227</v>
      </c>
      <c r="S646" t="s">
        <v>1227</v>
      </c>
      <c r="T646" s="54" t="s">
        <v>1227</v>
      </c>
      <c r="U646" t="s">
        <v>1227</v>
      </c>
    </row>
    <row r="647" spans="1:21" x14ac:dyDescent="0.25">
      <c r="A647" s="44" t="s">
        <v>970</v>
      </c>
      <c r="B647" s="44" t="s">
        <v>339</v>
      </c>
      <c r="C647" s="45">
        <v>38</v>
      </c>
      <c r="D647" s="45"/>
      <c r="E647" s="45">
        <v>3</v>
      </c>
      <c r="F647" s="45"/>
      <c r="G647" s="45">
        <v>1</v>
      </c>
      <c r="H647" s="45"/>
      <c r="I647" s="34">
        <v>4</v>
      </c>
      <c r="J647" t="e">
        <f>I647/(VLOOKUP(B647,'Team Stats'!$B$3:$K$18,5,0))</f>
        <v>#N/A</v>
      </c>
      <c r="M647" t="s">
        <v>1227</v>
      </c>
      <c r="N647" t="s">
        <v>1227</v>
      </c>
      <c r="O647" t="s">
        <v>1227</v>
      </c>
      <c r="P647" t="s">
        <v>1227</v>
      </c>
      <c r="Q647" t="s">
        <v>1227</v>
      </c>
      <c r="R647" t="s">
        <v>1227</v>
      </c>
      <c r="S647" t="s">
        <v>1227</v>
      </c>
      <c r="T647" s="54" t="s">
        <v>1227</v>
      </c>
      <c r="U647" t="s">
        <v>1227</v>
      </c>
    </row>
    <row r="648" spans="1:21" x14ac:dyDescent="0.25">
      <c r="A648" s="44" t="s">
        <v>971</v>
      </c>
      <c r="B648" s="44" t="s">
        <v>207</v>
      </c>
      <c r="C648" s="45">
        <v>44</v>
      </c>
      <c r="D648" s="45"/>
      <c r="E648" s="45">
        <v>1</v>
      </c>
      <c r="F648" s="45"/>
      <c r="G648" s="45">
        <v>3</v>
      </c>
      <c r="H648" s="45"/>
      <c r="I648" s="34">
        <v>4</v>
      </c>
      <c r="J648">
        <f>I648/(VLOOKUP(B648,'Team Stats'!$B$3:$K$18,5,0))</f>
        <v>6.024096385542169E-3</v>
      </c>
      <c r="M648" t="s">
        <v>1227</v>
      </c>
      <c r="N648" t="s">
        <v>1227</v>
      </c>
      <c r="O648" t="s">
        <v>1227</v>
      </c>
      <c r="P648" t="s">
        <v>1227</v>
      </c>
      <c r="Q648" t="s">
        <v>1227</v>
      </c>
      <c r="R648" t="s">
        <v>1227</v>
      </c>
      <c r="S648" t="s">
        <v>1227</v>
      </c>
      <c r="T648" s="54" t="s">
        <v>1227</v>
      </c>
      <c r="U648" t="s">
        <v>1227</v>
      </c>
    </row>
    <row r="649" spans="1:21" x14ac:dyDescent="0.25">
      <c r="A649" s="44" t="s">
        <v>972</v>
      </c>
      <c r="B649" s="44" t="s">
        <v>205</v>
      </c>
      <c r="C649" s="45">
        <v>21</v>
      </c>
      <c r="D649" s="45"/>
      <c r="E649" s="45">
        <v>1</v>
      </c>
      <c r="F649" s="45"/>
      <c r="G649" s="45">
        <v>3</v>
      </c>
      <c r="H649" s="45"/>
      <c r="I649" s="34">
        <v>4</v>
      </c>
      <c r="J649">
        <f>I649/(VLOOKUP(B649,'Team Stats'!$B$3:$K$18,5,0))</f>
        <v>6.2305295950155761E-3</v>
      </c>
      <c r="M649" t="s">
        <v>1227</v>
      </c>
      <c r="N649" t="s">
        <v>1227</v>
      </c>
      <c r="O649" t="s">
        <v>1227</v>
      </c>
      <c r="P649" t="s">
        <v>1227</v>
      </c>
      <c r="Q649" t="s">
        <v>1227</v>
      </c>
      <c r="R649" t="s">
        <v>1227</v>
      </c>
      <c r="S649" t="s">
        <v>1227</v>
      </c>
      <c r="T649" s="54" t="s">
        <v>1227</v>
      </c>
      <c r="U649" t="s">
        <v>1227</v>
      </c>
    </row>
    <row r="650" spans="1:21" x14ac:dyDescent="0.25">
      <c r="A650" s="44" t="s">
        <v>973</v>
      </c>
      <c r="B650" s="44" t="s">
        <v>339</v>
      </c>
      <c r="C650" s="45">
        <v>39</v>
      </c>
      <c r="D650" s="45"/>
      <c r="E650" s="45">
        <v>1</v>
      </c>
      <c r="F650" s="45"/>
      <c r="G650" s="45">
        <v>3</v>
      </c>
      <c r="H650" s="45"/>
      <c r="I650" s="34">
        <v>4</v>
      </c>
      <c r="J650" t="e">
        <f>I650/(VLOOKUP(B650,'Team Stats'!$B$3:$K$18,5,0))</f>
        <v>#N/A</v>
      </c>
      <c r="M650" t="s">
        <v>1227</v>
      </c>
      <c r="N650" t="s">
        <v>1227</v>
      </c>
      <c r="O650" t="s">
        <v>1227</v>
      </c>
      <c r="P650" t="s">
        <v>1227</v>
      </c>
      <c r="Q650" t="s">
        <v>1227</v>
      </c>
      <c r="R650" t="s">
        <v>1227</v>
      </c>
      <c r="S650" t="s">
        <v>1227</v>
      </c>
      <c r="T650" s="54" t="s">
        <v>1227</v>
      </c>
      <c r="U650" t="s">
        <v>1227</v>
      </c>
    </row>
    <row r="651" spans="1:21" x14ac:dyDescent="0.25">
      <c r="A651" s="44" t="s">
        <v>974</v>
      </c>
      <c r="B651" s="44" t="s">
        <v>212</v>
      </c>
      <c r="C651" s="45">
        <v>63</v>
      </c>
      <c r="D651" s="45"/>
      <c r="E651" s="45">
        <v>1</v>
      </c>
      <c r="F651" s="45"/>
      <c r="G651" s="45">
        <v>3</v>
      </c>
      <c r="H651" s="45"/>
      <c r="I651" s="34">
        <v>4</v>
      </c>
      <c r="J651" t="e">
        <f>I651/(VLOOKUP(B651,'Team Stats'!$B$3:$K$18,5,0))</f>
        <v>#N/A</v>
      </c>
      <c r="M651" t="s">
        <v>1227</v>
      </c>
      <c r="N651" t="s">
        <v>1227</v>
      </c>
      <c r="O651" t="s">
        <v>1227</v>
      </c>
      <c r="P651" t="s">
        <v>1227</v>
      </c>
      <c r="Q651" t="s">
        <v>1227</v>
      </c>
      <c r="R651" t="s">
        <v>1227</v>
      </c>
      <c r="S651" t="s">
        <v>1227</v>
      </c>
      <c r="T651" s="54" t="s">
        <v>1227</v>
      </c>
      <c r="U651" t="s">
        <v>1227</v>
      </c>
    </row>
    <row r="652" spans="1:21" x14ac:dyDescent="0.25">
      <c r="A652" s="44" t="s">
        <v>975</v>
      </c>
      <c r="B652" s="44" t="s">
        <v>209</v>
      </c>
      <c r="C652" s="45">
        <v>24</v>
      </c>
      <c r="D652" s="45"/>
      <c r="E652" s="45">
        <v>0</v>
      </c>
      <c r="F652" s="45"/>
      <c r="G652" s="45">
        <v>4</v>
      </c>
      <c r="H652" s="45"/>
      <c r="I652" s="34">
        <v>4</v>
      </c>
      <c r="J652">
        <f>I652/(VLOOKUP(B652,'Team Stats'!$B$3:$K$18,5,0))</f>
        <v>6.7340067340067337E-3</v>
      </c>
      <c r="M652" t="s">
        <v>1227</v>
      </c>
      <c r="N652" t="s">
        <v>1227</v>
      </c>
      <c r="O652" t="s">
        <v>1227</v>
      </c>
      <c r="P652" t="s">
        <v>1227</v>
      </c>
      <c r="Q652" t="s">
        <v>1227</v>
      </c>
      <c r="R652" t="s">
        <v>1227</v>
      </c>
      <c r="S652" t="s">
        <v>1227</v>
      </c>
      <c r="T652" s="54" t="s">
        <v>1227</v>
      </c>
      <c r="U652" t="s">
        <v>1227</v>
      </c>
    </row>
    <row r="653" spans="1:21" x14ac:dyDescent="0.25">
      <c r="A653" s="44" t="s">
        <v>976</v>
      </c>
      <c r="B653" s="44" t="s">
        <v>339</v>
      </c>
      <c r="C653" s="45">
        <v>7</v>
      </c>
      <c r="D653" s="45"/>
      <c r="E653" s="45">
        <v>0</v>
      </c>
      <c r="F653" s="45"/>
      <c r="G653" s="45">
        <v>4</v>
      </c>
      <c r="H653" s="45"/>
      <c r="I653" s="34">
        <v>4</v>
      </c>
      <c r="J653" t="e">
        <f>I653/(VLOOKUP(B653,'Team Stats'!$B$3:$K$18,5,0))</f>
        <v>#N/A</v>
      </c>
      <c r="M653" t="s">
        <v>1227</v>
      </c>
      <c r="N653" t="s">
        <v>1227</v>
      </c>
      <c r="O653" t="s">
        <v>1227</v>
      </c>
      <c r="P653" t="s">
        <v>1227</v>
      </c>
      <c r="Q653" t="s">
        <v>1227</v>
      </c>
      <c r="R653" t="s">
        <v>1227</v>
      </c>
      <c r="S653" t="s">
        <v>1227</v>
      </c>
      <c r="T653" s="54" t="s">
        <v>1227</v>
      </c>
      <c r="U653" t="s">
        <v>1227</v>
      </c>
    </row>
    <row r="654" spans="1:21" x14ac:dyDescent="0.25">
      <c r="A654" s="44" t="s">
        <v>977</v>
      </c>
      <c r="B654" s="44" t="s">
        <v>221</v>
      </c>
      <c r="C654" s="45">
        <v>27</v>
      </c>
      <c r="D654" s="45"/>
      <c r="E654" s="45">
        <v>2</v>
      </c>
      <c r="F654" s="45"/>
      <c r="G654" s="45">
        <v>2</v>
      </c>
      <c r="H654" s="45"/>
      <c r="I654" s="34">
        <v>4</v>
      </c>
      <c r="J654" t="e">
        <f>I654/(VLOOKUP(B654,'Team Stats'!$B$3:$K$18,5,0))</f>
        <v>#N/A</v>
      </c>
      <c r="M654" t="s">
        <v>1227</v>
      </c>
      <c r="N654" t="s">
        <v>1227</v>
      </c>
      <c r="O654" t="s">
        <v>1227</v>
      </c>
      <c r="P654" t="s">
        <v>1227</v>
      </c>
      <c r="Q654" t="s">
        <v>1227</v>
      </c>
      <c r="R654" t="s">
        <v>1227</v>
      </c>
      <c r="S654" t="s">
        <v>1227</v>
      </c>
      <c r="T654" s="54" t="s">
        <v>1227</v>
      </c>
      <c r="U654" t="s">
        <v>1227</v>
      </c>
    </row>
    <row r="655" spans="1:21" x14ac:dyDescent="0.25">
      <c r="A655" s="44" t="s">
        <v>978</v>
      </c>
      <c r="B655" s="44" t="s">
        <v>211</v>
      </c>
      <c r="C655" s="45">
        <v>6</v>
      </c>
      <c r="D655" s="45"/>
      <c r="E655" s="45">
        <v>0</v>
      </c>
      <c r="F655" s="45"/>
      <c r="G655" s="45">
        <v>3</v>
      </c>
      <c r="H655" s="45"/>
      <c r="I655" s="34">
        <v>3</v>
      </c>
      <c r="J655">
        <f>I655/(VLOOKUP(B655,'Team Stats'!$B$3:$K$18,5,0))</f>
        <v>4.9342105263157892E-3</v>
      </c>
      <c r="M655" t="s">
        <v>1227</v>
      </c>
      <c r="N655" t="s">
        <v>1227</v>
      </c>
      <c r="O655" t="s">
        <v>1227</v>
      </c>
      <c r="P655" t="s">
        <v>1227</v>
      </c>
      <c r="Q655" t="s">
        <v>1227</v>
      </c>
      <c r="R655" t="s">
        <v>1227</v>
      </c>
      <c r="S655" t="s">
        <v>1227</v>
      </c>
      <c r="T655" s="54" t="s">
        <v>1227</v>
      </c>
      <c r="U655" t="s">
        <v>1227</v>
      </c>
    </row>
    <row r="656" spans="1:21" x14ac:dyDescent="0.25">
      <c r="A656" s="44" t="s">
        <v>979</v>
      </c>
      <c r="B656" s="44" t="s">
        <v>213</v>
      </c>
      <c r="C656" s="45">
        <v>13</v>
      </c>
      <c r="D656" s="45"/>
      <c r="E656" s="45">
        <v>2</v>
      </c>
      <c r="F656" s="45"/>
      <c r="G656" s="45">
        <v>1</v>
      </c>
      <c r="H656" s="45"/>
      <c r="I656" s="34">
        <v>3</v>
      </c>
      <c r="J656">
        <f>I656/(VLOOKUP(B656,'Team Stats'!$B$3:$K$18,5,0))</f>
        <v>4.8465266558966073E-3</v>
      </c>
      <c r="M656" t="s">
        <v>1227</v>
      </c>
      <c r="N656" t="s">
        <v>1227</v>
      </c>
      <c r="O656" t="s">
        <v>1227</v>
      </c>
      <c r="P656" t="s">
        <v>1227</v>
      </c>
      <c r="Q656" t="s">
        <v>1227</v>
      </c>
      <c r="R656" t="s">
        <v>1227</v>
      </c>
      <c r="S656" t="s">
        <v>1227</v>
      </c>
      <c r="T656" s="54" t="s">
        <v>1227</v>
      </c>
      <c r="U656" t="s">
        <v>1227</v>
      </c>
    </row>
    <row r="657" spans="1:21" x14ac:dyDescent="0.25">
      <c r="A657" s="44" t="s">
        <v>980</v>
      </c>
      <c r="B657" s="44" t="s">
        <v>212</v>
      </c>
      <c r="C657" s="45">
        <v>9</v>
      </c>
      <c r="D657" s="45"/>
      <c r="E657" s="45">
        <v>0</v>
      </c>
      <c r="F657" s="45"/>
      <c r="G657" s="45">
        <v>3</v>
      </c>
      <c r="H657" s="45"/>
      <c r="I657" s="34">
        <v>3</v>
      </c>
      <c r="J657" t="e">
        <f>I657/(VLOOKUP(B657,'Team Stats'!$B$3:$K$18,5,0))</f>
        <v>#N/A</v>
      </c>
      <c r="M657" t="s">
        <v>1227</v>
      </c>
      <c r="N657" t="s">
        <v>1227</v>
      </c>
      <c r="O657" t="s">
        <v>1227</v>
      </c>
      <c r="P657" t="s">
        <v>1227</v>
      </c>
      <c r="Q657" t="s">
        <v>1227</v>
      </c>
      <c r="R657" t="s">
        <v>1227</v>
      </c>
      <c r="S657" t="s">
        <v>1227</v>
      </c>
      <c r="T657" s="54" t="s">
        <v>1227</v>
      </c>
      <c r="U657" t="s">
        <v>1227</v>
      </c>
    </row>
    <row r="658" spans="1:21" x14ac:dyDescent="0.25">
      <c r="A658" s="44" t="s">
        <v>981</v>
      </c>
      <c r="B658" s="44" t="s">
        <v>330</v>
      </c>
      <c r="C658" s="45">
        <v>12</v>
      </c>
      <c r="D658" s="45"/>
      <c r="E658" s="45">
        <v>1</v>
      </c>
      <c r="F658" s="45"/>
      <c r="G658" s="45">
        <v>2</v>
      </c>
      <c r="H658" s="45"/>
      <c r="I658" s="34">
        <v>3</v>
      </c>
      <c r="J658" t="e">
        <f>I658/(VLOOKUP(B658,'Team Stats'!$B$3:$K$18,5,0))</f>
        <v>#N/A</v>
      </c>
      <c r="M658" t="s">
        <v>1227</v>
      </c>
      <c r="N658" t="s">
        <v>1227</v>
      </c>
      <c r="O658" t="s">
        <v>1227</v>
      </c>
      <c r="P658" t="s">
        <v>1227</v>
      </c>
      <c r="Q658" t="s">
        <v>1227</v>
      </c>
      <c r="R658" t="s">
        <v>1227</v>
      </c>
      <c r="S658" t="s">
        <v>1227</v>
      </c>
      <c r="T658" s="54" t="s">
        <v>1227</v>
      </c>
      <c r="U658" t="s">
        <v>1227</v>
      </c>
    </row>
    <row r="659" spans="1:21" x14ac:dyDescent="0.25">
      <c r="A659" s="44" t="s">
        <v>982</v>
      </c>
      <c r="B659" s="44" t="s">
        <v>202</v>
      </c>
      <c r="C659" s="45">
        <v>20</v>
      </c>
      <c r="D659" s="45"/>
      <c r="E659" s="45">
        <v>0</v>
      </c>
      <c r="F659" s="45"/>
      <c r="G659" s="45">
        <v>3</v>
      </c>
      <c r="H659" s="45"/>
      <c r="I659" s="34">
        <v>3</v>
      </c>
      <c r="J659">
        <f>I659/(VLOOKUP(B659,'Team Stats'!$B$3:$K$18,5,0))</f>
        <v>4.552352048558422E-3</v>
      </c>
      <c r="M659" t="s">
        <v>1227</v>
      </c>
      <c r="N659" t="s">
        <v>1227</v>
      </c>
      <c r="O659" t="s">
        <v>1227</v>
      </c>
      <c r="P659" t="s">
        <v>1227</v>
      </c>
      <c r="Q659" t="s">
        <v>1227</v>
      </c>
      <c r="R659" t="s">
        <v>1227</v>
      </c>
      <c r="S659" t="s">
        <v>1227</v>
      </c>
      <c r="T659" s="54" t="s">
        <v>1227</v>
      </c>
      <c r="U659" t="s">
        <v>1227</v>
      </c>
    </row>
    <row r="660" spans="1:21" x14ac:dyDescent="0.25">
      <c r="A660" s="44" t="s">
        <v>983</v>
      </c>
      <c r="B660" s="44" t="s">
        <v>218</v>
      </c>
      <c r="C660" s="45">
        <v>33</v>
      </c>
      <c r="D660" s="45"/>
      <c r="E660" s="45">
        <v>0</v>
      </c>
      <c r="F660" s="45"/>
      <c r="G660" s="45">
        <v>3</v>
      </c>
      <c r="H660" s="45"/>
      <c r="I660" s="34">
        <v>3</v>
      </c>
      <c r="J660" t="e">
        <f>I660/(VLOOKUP(B660,'Team Stats'!$B$3:$K$18,5,0))</f>
        <v>#N/A</v>
      </c>
      <c r="M660" t="s">
        <v>1227</v>
      </c>
      <c r="N660" t="s">
        <v>1227</v>
      </c>
      <c r="O660" t="s">
        <v>1227</v>
      </c>
      <c r="P660" t="s">
        <v>1227</v>
      </c>
      <c r="Q660" t="s">
        <v>1227</v>
      </c>
      <c r="R660" t="s">
        <v>1227</v>
      </c>
      <c r="S660" t="s">
        <v>1227</v>
      </c>
      <c r="T660" s="54" t="s">
        <v>1227</v>
      </c>
      <c r="U660" t="s">
        <v>1227</v>
      </c>
    </row>
    <row r="661" spans="1:21" x14ac:dyDescent="0.25">
      <c r="A661" s="44" t="s">
        <v>984</v>
      </c>
      <c r="B661" s="44" t="s">
        <v>339</v>
      </c>
      <c r="C661" s="45">
        <v>20</v>
      </c>
      <c r="D661" s="45"/>
      <c r="E661" s="45">
        <v>1</v>
      </c>
      <c r="F661" s="45"/>
      <c r="G661" s="45">
        <v>2</v>
      </c>
      <c r="H661" s="45"/>
      <c r="I661" s="34">
        <v>3</v>
      </c>
      <c r="J661" t="e">
        <f>I661/(VLOOKUP(B661,'Team Stats'!$B$3:$K$18,5,0))</f>
        <v>#N/A</v>
      </c>
      <c r="M661" t="s">
        <v>1227</v>
      </c>
      <c r="N661" t="s">
        <v>1227</v>
      </c>
      <c r="O661" t="s">
        <v>1227</v>
      </c>
      <c r="P661" t="s">
        <v>1227</v>
      </c>
      <c r="Q661" t="s">
        <v>1227</v>
      </c>
      <c r="R661" t="s">
        <v>1227</v>
      </c>
      <c r="S661" t="s">
        <v>1227</v>
      </c>
      <c r="T661" s="54" t="s">
        <v>1227</v>
      </c>
      <c r="U661" t="s">
        <v>1227</v>
      </c>
    </row>
    <row r="662" spans="1:21" x14ac:dyDescent="0.25">
      <c r="A662" s="44" t="s">
        <v>985</v>
      </c>
      <c r="B662" s="44" t="s">
        <v>220</v>
      </c>
      <c r="C662" s="45">
        <v>42</v>
      </c>
      <c r="D662" s="45"/>
      <c r="E662" s="45">
        <v>0</v>
      </c>
      <c r="F662" s="45"/>
      <c r="G662" s="45">
        <v>3</v>
      </c>
      <c r="H662" s="45"/>
      <c r="I662" s="34">
        <v>3</v>
      </c>
      <c r="J662" t="e">
        <f>I662/(VLOOKUP(B662,'Team Stats'!$B$3:$K$18,5,0))</f>
        <v>#N/A</v>
      </c>
      <c r="M662" t="s">
        <v>1227</v>
      </c>
      <c r="N662" t="s">
        <v>1227</v>
      </c>
      <c r="O662" t="s">
        <v>1227</v>
      </c>
      <c r="P662" t="s">
        <v>1227</v>
      </c>
      <c r="Q662" t="s">
        <v>1227</v>
      </c>
      <c r="R662" t="s">
        <v>1227</v>
      </c>
      <c r="S662" t="s">
        <v>1227</v>
      </c>
      <c r="T662" s="54" t="s">
        <v>1227</v>
      </c>
      <c r="U662" t="s">
        <v>1227</v>
      </c>
    </row>
    <row r="663" spans="1:21" x14ac:dyDescent="0.25">
      <c r="A663" s="44" t="s">
        <v>986</v>
      </c>
      <c r="B663" s="44" t="s">
        <v>207</v>
      </c>
      <c r="C663" s="45">
        <v>11</v>
      </c>
      <c r="D663" s="45"/>
      <c r="E663" s="45">
        <v>1</v>
      </c>
      <c r="F663" s="45"/>
      <c r="G663" s="45">
        <v>2</v>
      </c>
      <c r="H663" s="45"/>
      <c r="I663" s="34">
        <v>3</v>
      </c>
      <c r="J663">
        <f>I663/(VLOOKUP(B663,'Team Stats'!$B$3:$K$18,5,0))</f>
        <v>4.5180722891566263E-3</v>
      </c>
      <c r="M663" t="s">
        <v>1227</v>
      </c>
      <c r="N663" t="s">
        <v>1227</v>
      </c>
      <c r="O663" t="s">
        <v>1227</v>
      </c>
      <c r="P663" t="s">
        <v>1227</v>
      </c>
      <c r="Q663" t="s">
        <v>1227</v>
      </c>
      <c r="R663" t="s">
        <v>1227</v>
      </c>
      <c r="S663" t="s">
        <v>1227</v>
      </c>
      <c r="T663" s="54" t="s">
        <v>1227</v>
      </c>
      <c r="U663" t="s">
        <v>1227</v>
      </c>
    </row>
    <row r="664" spans="1:21" x14ac:dyDescent="0.25">
      <c r="A664" s="44" t="s">
        <v>987</v>
      </c>
      <c r="B664" s="44" t="s">
        <v>214</v>
      </c>
      <c r="C664" s="45">
        <v>40</v>
      </c>
      <c r="D664" s="45"/>
      <c r="E664" s="45">
        <v>2</v>
      </c>
      <c r="F664" s="45"/>
      <c r="G664" s="45">
        <v>1</v>
      </c>
      <c r="H664" s="45"/>
      <c r="I664" s="34">
        <v>3</v>
      </c>
      <c r="J664" t="e">
        <f>I664/(VLOOKUP(B664,'Team Stats'!$B$3:$K$18,5,0))</f>
        <v>#N/A</v>
      </c>
      <c r="M664" t="s">
        <v>1227</v>
      </c>
      <c r="N664" t="s">
        <v>1227</v>
      </c>
      <c r="O664" t="s">
        <v>1227</v>
      </c>
      <c r="P664" t="s">
        <v>1227</v>
      </c>
      <c r="Q664" t="s">
        <v>1227</v>
      </c>
      <c r="R664" t="s">
        <v>1227</v>
      </c>
      <c r="S664" t="s">
        <v>1227</v>
      </c>
      <c r="T664" s="54" t="s">
        <v>1227</v>
      </c>
      <c r="U664" t="s">
        <v>1227</v>
      </c>
    </row>
    <row r="665" spans="1:21" x14ac:dyDescent="0.25">
      <c r="A665" s="44" t="s">
        <v>988</v>
      </c>
      <c r="B665" s="44" t="s">
        <v>356</v>
      </c>
      <c r="C665" s="45">
        <v>18</v>
      </c>
      <c r="D665" s="45"/>
      <c r="E665" s="45">
        <v>2</v>
      </c>
      <c r="F665" s="45"/>
      <c r="G665" s="45">
        <v>1</v>
      </c>
      <c r="H665" s="45"/>
      <c r="I665" s="34">
        <v>3</v>
      </c>
      <c r="J665" t="e">
        <f>I665/(VLOOKUP(B665,'Team Stats'!$B$3:$K$18,5,0))</f>
        <v>#N/A</v>
      </c>
      <c r="M665" t="s">
        <v>1227</v>
      </c>
      <c r="N665" t="s">
        <v>1227</v>
      </c>
      <c r="O665" t="s">
        <v>1227</v>
      </c>
      <c r="P665" t="s">
        <v>1227</v>
      </c>
      <c r="Q665" t="s">
        <v>1227</v>
      </c>
      <c r="R665" t="s">
        <v>1227</v>
      </c>
      <c r="S665" t="s">
        <v>1227</v>
      </c>
      <c r="T665" s="54" t="s">
        <v>1227</v>
      </c>
      <c r="U665" t="s">
        <v>1227</v>
      </c>
    </row>
    <row r="666" spans="1:21" x14ac:dyDescent="0.25">
      <c r="A666" s="44" t="s">
        <v>989</v>
      </c>
      <c r="B666" s="44" t="s">
        <v>213</v>
      </c>
      <c r="C666" s="45">
        <v>37</v>
      </c>
      <c r="D666" s="45"/>
      <c r="E666" s="45">
        <v>2</v>
      </c>
      <c r="F666" s="45"/>
      <c r="G666" s="45">
        <v>1</v>
      </c>
      <c r="H666" s="45"/>
      <c r="I666" s="34">
        <v>3</v>
      </c>
      <c r="J666">
        <f>I666/(VLOOKUP(B666,'Team Stats'!$B$3:$K$18,5,0))</f>
        <v>4.8465266558966073E-3</v>
      </c>
      <c r="M666" t="s">
        <v>1227</v>
      </c>
      <c r="N666" t="s">
        <v>1227</v>
      </c>
      <c r="O666" t="s">
        <v>1227</v>
      </c>
      <c r="P666" t="s">
        <v>1227</v>
      </c>
      <c r="Q666" t="s">
        <v>1227</v>
      </c>
      <c r="R666" t="s">
        <v>1227</v>
      </c>
      <c r="S666" t="s">
        <v>1227</v>
      </c>
      <c r="T666" s="54" t="s">
        <v>1227</v>
      </c>
      <c r="U666" t="s">
        <v>1227</v>
      </c>
    </row>
    <row r="667" spans="1:21" x14ac:dyDescent="0.25">
      <c r="A667" s="44" t="s">
        <v>990</v>
      </c>
      <c r="B667" s="44" t="s">
        <v>208</v>
      </c>
      <c r="C667" s="45">
        <v>21</v>
      </c>
      <c r="D667" s="45"/>
      <c r="E667" s="45">
        <v>2</v>
      </c>
      <c r="F667" s="45"/>
      <c r="G667" s="45">
        <v>1</v>
      </c>
      <c r="H667" s="45"/>
      <c r="I667" s="34">
        <v>3</v>
      </c>
      <c r="J667">
        <f>I667/(VLOOKUP(B667,'Team Stats'!$B$3:$K$18,5,0))</f>
        <v>4.7619047619047623E-3</v>
      </c>
      <c r="M667" t="s">
        <v>1227</v>
      </c>
      <c r="N667" t="s">
        <v>1227</v>
      </c>
      <c r="O667" t="s">
        <v>1227</v>
      </c>
      <c r="P667" t="s">
        <v>1227</v>
      </c>
      <c r="Q667" t="s">
        <v>1227</v>
      </c>
      <c r="R667" t="s">
        <v>1227</v>
      </c>
      <c r="S667" t="s">
        <v>1227</v>
      </c>
      <c r="T667" s="54" t="s">
        <v>1227</v>
      </c>
      <c r="U667" t="s">
        <v>1227</v>
      </c>
    </row>
    <row r="668" spans="1:21" x14ac:dyDescent="0.25">
      <c r="A668" s="44" t="s">
        <v>991</v>
      </c>
      <c r="B668" s="44" t="s">
        <v>203</v>
      </c>
      <c r="C668" s="45">
        <v>22</v>
      </c>
      <c r="D668" s="45"/>
      <c r="E668" s="45">
        <v>0</v>
      </c>
      <c r="F668" s="45"/>
      <c r="G668" s="45">
        <v>3</v>
      </c>
      <c r="H668" s="45"/>
      <c r="I668" s="34">
        <v>3</v>
      </c>
      <c r="J668" t="e">
        <f>I668/(VLOOKUP(B668,'Team Stats'!$B$3:$K$18,5,0))</f>
        <v>#N/A</v>
      </c>
      <c r="M668" t="s">
        <v>1227</v>
      </c>
      <c r="N668" t="s">
        <v>1227</v>
      </c>
      <c r="O668" t="s">
        <v>1227</v>
      </c>
      <c r="P668" t="s">
        <v>1227</v>
      </c>
      <c r="Q668" t="s">
        <v>1227</v>
      </c>
      <c r="R668" t="s">
        <v>1227</v>
      </c>
      <c r="S668" t="s">
        <v>1227</v>
      </c>
      <c r="T668" s="54" t="s">
        <v>1227</v>
      </c>
      <c r="U668" t="s">
        <v>1227</v>
      </c>
    </row>
    <row r="669" spans="1:21" x14ac:dyDescent="0.25">
      <c r="A669" s="44" t="s">
        <v>992</v>
      </c>
      <c r="B669" s="44" t="s">
        <v>204</v>
      </c>
      <c r="C669" s="45">
        <v>28</v>
      </c>
      <c r="D669" s="45"/>
      <c r="E669" s="45">
        <v>0</v>
      </c>
      <c r="F669" s="45"/>
      <c r="G669" s="45">
        <v>3</v>
      </c>
      <c r="H669" s="45"/>
      <c r="I669" s="34">
        <v>3</v>
      </c>
      <c r="J669">
        <f>I669/(VLOOKUP(B669,'Team Stats'!$B$3:$K$18,5,0))</f>
        <v>4.8939641109298528E-3</v>
      </c>
      <c r="M669" t="s">
        <v>1227</v>
      </c>
      <c r="N669" t="s">
        <v>1227</v>
      </c>
      <c r="O669" t="s">
        <v>1227</v>
      </c>
      <c r="P669" t="s">
        <v>1227</v>
      </c>
      <c r="Q669" t="s">
        <v>1227</v>
      </c>
      <c r="R669" t="s">
        <v>1227</v>
      </c>
      <c r="S669" t="s">
        <v>1227</v>
      </c>
      <c r="T669" s="54" t="s">
        <v>1227</v>
      </c>
      <c r="U669" t="s">
        <v>1227</v>
      </c>
    </row>
    <row r="670" spans="1:21" x14ac:dyDescent="0.25">
      <c r="A670" s="44" t="s">
        <v>993</v>
      </c>
      <c r="B670" s="44" t="s">
        <v>214</v>
      </c>
      <c r="C670" s="45">
        <v>11</v>
      </c>
      <c r="D670" s="45"/>
      <c r="E670" s="45">
        <v>1</v>
      </c>
      <c r="F670" s="45"/>
      <c r="G670" s="45">
        <v>2</v>
      </c>
      <c r="H670" s="45"/>
      <c r="I670" s="34">
        <v>3</v>
      </c>
      <c r="J670" t="e">
        <f>I670/(VLOOKUP(B670,'Team Stats'!$B$3:$K$18,5,0))</f>
        <v>#N/A</v>
      </c>
      <c r="M670" t="s">
        <v>1227</v>
      </c>
      <c r="N670" t="s">
        <v>1227</v>
      </c>
      <c r="O670" t="s">
        <v>1227</v>
      </c>
      <c r="P670" t="s">
        <v>1227</v>
      </c>
      <c r="Q670" t="s">
        <v>1227</v>
      </c>
      <c r="R670" t="s">
        <v>1227</v>
      </c>
      <c r="S670" t="s">
        <v>1227</v>
      </c>
      <c r="T670" s="54" t="s">
        <v>1227</v>
      </c>
      <c r="U670" t="s">
        <v>1227</v>
      </c>
    </row>
    <row r="671" spans="1:21" x14ac:dyDescent="0.25">
      <c r="A671" s="44" t="s">
        <v>994</v>
      </c>
      <c r="B671" s="44" t="s">
        <v>205</v>
      </c>
      <c r="C671" s="45">
        <v>15</v>
      </c>
      <c r="D671" s="45"/>
      <c r="E671" s="45">
        <v>1</v>
      </c>
      <c r="F671" s="45"/>
      <c r="G671" s="45">
        <v>2</v>
      </c>
      <c r="H671" s="45"/>
      <c r="I671" s="34">
        <v>3</v>
      </c>
      <c r="J671">
        <f>I671/(VLOOKUP(B671,'Team Stats'!$B$3:$K$18,5,0))</f>
        <v>4.6728971962616819E-3</v>
      </c>
      <c r="M671" t="s">
        <v>1227</v>
      </c>
      <c r="N671" t="s">
        <v>1227</v>
      </c>
      <c r="O671" t="s">
        <v>1227</v>
      </c>
      <c r="P671" t="s">
        <v>1227</v>
      </c>
      <c r="Q671" t="s">
        <v>1227</v>
      </c>
      <c r="R671" t="s">
        <v>1227</v>
      </c>
      <c r="S671" t="s">
        <v>1227</v>
      </c>
      <c r="T671" s="54" t="s">
        <v>1227</v>
      </c>
      <c r="U671" t="s">
        <v>1227</v>
      </c>
    </row>
    <row r="672" spans="1:21" x14ac:dyDescent="0.25">
      <c r="A672" s="44" t="s">
        <v>995</v>
      </c>
      <c r="B672" s="44" t="s">
        <v>214</v>
      </c>
      <c r="C672" s="45">
        <v>17</v>
      </c>
      <c r="D672" s="45"/>
      <c r="E672" s="45">
        <v>1</v>
      </c>
      <c r="F672" s="45"/>
      <c r="G672" s="45">
        <v>2</v>
      </c>
      <c r="H672" s="45"/>
      <c r="I672" s="34">
        <v>3</v>
      </c>
      <c r="J672" t="e">
        <f>I672/(VLOOKUP(B672,'Team Stats'!$B$3:$K$18,5,0))</f>
        <v>#N/A</v>
      </c>
      <c r="M672" t="s">
        <v>1227</v>
      </c>
      <c r="N672" t="s">
        <v>1227</v>
      </c>
      <c r="O672" t="s">
        <v>1227</v>
      </c>
      <c r="P672" t="s">
        <v>1227</v>
      </c>
      <c r="Q672" t="s">
        <v>1227</v>
      </c>
      <c r="R672" t="s">
        <v>1227</v>
      </c>
      <c r="S672" t="s">
        <v>1227</v>
      </c>
      <c r="T672" s="54" t="s">
        <v>1227</v>
      </c>
      <c r="U672" t="s">
        <v>1227</v>
      </c>
    </row>
    <row r="673" spans="1:21" x14ac:dyDescent="0.25">
      <c r="A673" s="44" t="s">
        <v>996</v>
      </c>
      <c r="B673" s="44" t="s">
        <v>198</v>
      </c>
      <c r="C673" s="45">
        <v>11</v>
      </c>
      <c r="D673" s="45"/>
      <c r="E673" s="45">
        <v>0</v>
      </c>
      <c r="F673" s="45"/>
      <c r="G673" s="45">
        <v>3</v>
      </c>
      <c r="H673" s="45"/>
      <c r="I673" s="34">
        <v>3</v>
      </c>
      <c r="J673" t="e">
        <f>I673/(VLOOKUP(B673,'Team Stats'!$B$3:$K$18,5,0))</f>
        <v>#N/A</v>
      </c>
      <c r="M673" t="s">
        <v>1227</v>
      </c>
      <c r="N673" t="s">
        <v>1227</v>
      </c>
      <c r="O673" t="s">
        <v>1227</v>
      </c>
      <c r="P673" t="s">
        <v>1227</v>
      </c>
      <c r="Q673" t="s">
        <v>1227</v>
      </c>
      <c r="R673" t="s">
        <v>1227</v>
      </c>
      <c r="S673" t="s">
        <v>1227</v>
      </c>
      <c r="T673" s="54" t="s">
        <v>1227</v>
      </c>
      <c r="U673" t="s">
        <v>1227</v>
      </c>
    </row>
    <row r="674" spans="1:21" x14ac:dyDescent="0.25">
      <c r="A674" s="44" t="s">
        <v>997</v>
      </c>
      <c r="B674" s="44" t="s">
        <v>199</v>
      </c>
      <c r="C674" s="45">
        <v>23</v>
      </c>
      <c r="D674" s="45"/>
      <c r="E674" s="45">
        <v>2</v>
      </c>
      <c r="F674" s="45"/>
      <c r="G674" s="45">
        <v>1</v>
      </c>
      <c r="H674" s="45"/>
      <c r="I674" s="34">
        <v>3</v>
      </c>
      <c r="J674">
        <f>I674/(VLOOKUP(B674,'Team Stats'!$B$3:$K$18,5,0))</f>
        <v>4.5454545454545452E-3</v>
      </c>
      <c r="M674" t="s">
        <v>1227</v>
      </c>
      <c r="N674" t="s">
        <v>1227</v>
      </c>
      <c r="O674" t="s">
        <v>1227</v>
      </c>
      <c r="P674" t="s">
        <v>1227</v>
      </c>
      <c r="Q674" t="s">
        <v>1227</v>
      </c>
      <c r="R674" t="s">
        <v>1227</v>
      </c>
      <c r="S674" t="s">
        <v>1227</v>
      </c>
      <c r="T674" s="54" t="s">
        <v>1227</v>
      </c>
      <c r="U674" t="s">
        <v>1227</v>
      </c>
    </row>
    <row r="675" spans="1:21" x14ac:dyDescent="0.25">
      <c r="A675" s="44" t="s">
        <v>998</v>
      </c>
      <c r="B675" s="44" t="s">
        <v>201</v>
      </c>
      <c r="C675" s="45">
        <v>38</v>
      </c>
      <c r="D675" s="45"/>
      <c r="E675" s="45">
        <v>0</v>
      </c>
      <c r="F675" s="45"/>
      <c r="G675" s="45">
        <v>3</v>
      </c>
      <c r="H675" s="45"/>
      <c r="I675" s="34">
        <v>3</v>
      </c>
      <c r="J675">
        <f>I675/(VLOOKUP(B675,'Team Stats'!$B$3:$K$18,5,0))</f>
        <v>4.9916805324459234E-3</v>
      </c>
      <c r="M675" t="s">
        <v>1227</v>
      </c>
      <c r="N675" t="s">
        <v>1227</v>
      </c>
      <c r="O675" t="s">
        <v>1227</v>
      </c>
      <c r="P675" t="s">
        <v>1227</v>
      </c>
      <c r="Q675" t="s">
        <v>1227</v>
      </c>
      <c r="R675" t="s">
        <v>1227</v>
      </c>
      <c r="S675" t="s">
        <v>1227</v>
      </c>
      <c r="T675" s="54" t="s">
        <v>1227</v>
      </c>
      <c r="U675" t="s">
        <v>1227</v>
      </c>
    </row>
    <row r="676" spans="1:21" x14ac:dyDescent="0.25">
      <c r="A676" s="44" t="s">
        <v>999</v>
      </c>
      <c r="B676" s="44" t="s">
        <v>330</v>
      </c>
      <c r="C676" s="45">
        <v>5</v>
      </c>
      <c r="D676" s="45"/>
      <c r="E676" s="45">
        <v>0</v>
      </c>
      <c r="F676" s="45"/>
      <c r="G676" s="45">
        <v>3</v>
      </c>
      <c r="H676" s="45"/>
      <c r="I676" s="34">
        <v>3</v>
      </c>
      <c r="J676" t="e">
        <f>I676/(VLOOKUP(B676,'Team Stats'!$B$3:$K$18,5,0))</f>
        <v>#N/A</v>
      </c>
      <c r="M676" t="s">
        <v>1227</v>
      </c>
      <c r="N676" t="s">
        <v>1227</v>
      </c>
      <c r="O676" t="s">
        <v>1227</v>
      </c>
      <c r="P676" t="s">
        <v>1227</v>
      </c>
      <c r="Q676" t="s">
        <v>1227</v>
      </c>
      <c r="R676" t="s">
        <v>1227</v>
      </c>
      <c r="S676" t="s">
        <v>1227</v>
      </c>
      <c r="T676" s="54" t="s">
        <v>1227</v>
      </c>
      <c r="U676" t="s">
        <v>1227</v>
      </c>
    </row>
    <row r="677" spans="1:21" x14ac:dyDescent="0.25">
      <c r="A677" s="44" t="s">
        <v>1000</v>
      </c>
      <c r="B677" s="44" t="s">
        <v>195</v>
      </c>
      <c r="C677" s="45">
        <v>12</v>
      </c>
      <c r="D677" s="45"/>
      <c r="E677" s="45">
        <v>0</v>
      </c>
      <c r="F677" s="45"/>
      <c r="G677" s="45">
        <v>3</v>
      </c>
      <c r="H677" s="45"/>
      <c r="I677" s="34">
        <v>3</v>
      </c>
      <c r="J677">
        <f>I677/(VLOOKUP(B677,'Team Stats'!$B$3:$K$18,5,0))</f>
        <v>4.5731707317073168E-3</v>
      </c>
      <c r="M677" t="s">
        <v>1227</v>
      </c>
      <c r="N677" t="s">
        <v>1227</v>
      </c>
      <c r="O677" t="s">
        <v>1227</v>
      </c>
      <c r="P677" t="s">
        <v>1227</v>
      </c>
      <c r="Q677" t="s">
        <v>1227</v>
      </c>
      <c r="R677" t="s">
        <v>1227</v>
      </c>
      <c r="S677" t="s">
        <v>1227</v>
      </c>
      <c r="T677" s="54" t="s">
        <v>1227</v>
      </c>
      <c r="U677" t="s">
        <v>1227</v>
      </c>
    </row>
    <row r="678" spans="1:21" x14ac:dyDescent="0.25">
      <c r="A678" s="44" t="s">
        <v>1001</v>
      </c>
      <c r="B678" s="44" t="s">
        <v>213</v>
      </c>
      <c r="C678" s="45">
        <v>36</v>
      </c>
      <c r="D678" s="45"/>
      <c r="E678" s="45">
        <v>0</v>
      </c>
      <c r="F678" s="45"/>
      <c r="G678" s="45">
        <v>3</v>
      </c>
      <c r="H678" s="45"/>
      <c r="I678" s="34">
        <v>3</v>
      </c>
      <c r="J678">
        <f>I678/(VLOOKUP(B678,'Team Stats'!$B$3:$K$18,5,0))</f>
        <v>4.8465266558966073E-3</v>
      </c>
      <c r="M678" t="s">
        <v>1227</v>
      </c>
      <c r="N678" t="s">
        <v>1227</v>
      </c>
      <c r="O678" t="s">
        <v>1227</v>
      </c>
      <c r="P678" t="s">
        <v>1227</v>
      </c>
      <c r="Q678" t="s">
        <v>1227</v>
      </c>
      <c r="R678" t="s">
        <v>1227</v>
      </c>
      <c r="S678" t="s">
        <v>1227</v>
      </c>
      <c r="T678" s="54" t="s">
        <v>1227</v>
      </c>
      <c r="U678" t="s">
        <v>1227</v>
      </c>
    </row>
    <row r="679" spans="1:21" x14ac:dyDescent="0.25">
      <c r="A679" s="44" t="s">
        <v>1002</v>
      </c>
      <c r="B679" s="44" t="s">
        <v>220</v>
      </c>
      <c r="C679" s="45">
        <v>7</v>
      </c>
      <c r="D679" s="45"/>
      <c r="E679" s="45">
        <v>2</v>
      </c>
      <c r="F679" s="45"/>
      <c r="G679" s="45">
        <v>1</v>
      </c>
      <c r="H679" s="45"/>
      <c r="I679" s="34">
        <v>3</v>
      </c>
      <c r="J679" t="e">
        <f>I679/(VLOOKUP(B679,'Team Stats'!$B$3:$K$18,5,0))</f>
        <v>#N/A</v>
      </c>
      <c r="M679" t="s">
        <v>1227</v>
      </c>
      <c r="N679" t="s">
        <v>1227</v>
      </c>
      <c r="O679" t="s">
        <v>1227</v>
      </c>
      <c r="P679" t="s">
        <v>1227</v>
      </c>
      <c r="Q679" t="s">
        <v>1227</v>
      </c>
      <c r="R679" t="s">
        <v>1227</v>
      </c>
      <c r="S679" t="s">
        <v>1227</v>
      </c>
      <c r="T679" s="54" t="s">
        <v>1227</v>
      </c>
      <c r="U679" t="s">
        <v>1227</v>
      </c>
    </row>
    <row r="680" spans="1:21" x14ac:dyDescent="0.25">
      <c r="A680" s="44" t="s">
        <v>1003</v>
      </c>
      <c r="B680" s="44" t="s">
        <v>344</v>
      </c>
      <c r="C680" s="45">
        <v>12</v>
      </c>
      <c r="D680" s="45"/>
      <c r="E680" s="45">
        <v>2</v>
      </c>
      <c r="F680" s="45"/>
      <c r="G680" s="45">
        <v>1</v>
      </c>
      <c r="H680" s="45"/>
      <c r="I680" s="34">
        <v>3</v>
      </c>
      <c r="J680" t="e">
        <f>I680/(VLOOKUP(B680,'Team Stats'!$B$3:$K$18,5,0))</f>
        <v>#N/A</v>
      </c>
      <c r="M680" t="s">
        <v>1227</v>
      </c>
      <c r="N680" t="s">
        <v>1227</v>
      </c>
      <c r="O680" t="s">
        <v>1227</v>
      </c>
      <c r="P680" t="s">
        <v>1227</v>
      </c>
      <c r="Q680" t="s">
        <v>1227</v>
      </c>
      <c r="R680" t="s">
        <v>1227</v>
      </c>
      <c r="S680" t="s">
        <v>1227</v>
      </c>
      <c r="T680" s="54" t="s">
        <v>1227</v>
      </c>
      <c r="U680" t="s">
        <v>1227</v>
      </c>
    </row>
    <row r="681" spans="1:21" x14ac:dyDescent="0.25">
      <c r="A681" s="44" t="s">
        <v>1004</v>
      </c>
      <c r="B681" s="44" t="s">
        <v>220</v>
      </c>
      <c r="C681" s="45">
        <v>21</v>
      </c>
      <c r="D681" s="45"/>
      <c r="E681" s="45">
        <v>1</v>
      </c>
      <c r="F681" s="45"/>
      <c r="G681" s="45">
        <v>2</v>
      </c>
      <c r="H681" s="45"/>
      <c r="I681" s="34">
        <v>3</v>
      </c>
      <c r="J681" t="e">
        <f>I681/(VLOOKUP(B681,'Team Stats'!$B$3:$K$18,5,0))</f>
        <v>#N/A</v>
      </c>
      <c r="M681" t="s">
        <v>1227</v>
      </c>
      <c r="N681" t="s">
        <v>1227</v>
      </c>
      <c r="O681" t="s">
        <v>1227</v>
      </c>
      <c r="P681" t="s">
        <v>1227</v>
      </c>
      <c r="Q681" t="s">
        <v>1227</v>
      </c>
      <c r="R681" t="s">
        <v>1227</v>
      </c>
      <c r="S681" t="s">
        <v>1227</v>
      </c>
      <c r="T681" s="54" t="s">
        <v>1227</v>
      </c>
      <c r="U681" t="s">
        <v>1227</v>
      </c>
    </row>
    <row r="682" spans="1:21" x14ac:dyDescent="0.25">
      <c r="A682" s="44" t="s">
        <v>1005</v>
      </c>
      <c r="B682" s="44" t="s">
        <v>195</v>
      </c>
      <c r="C682" s="45">
        <v>6</v>
      </c>
      <c r="D682" s="45"/>
      <c r="E682" s="45">
        <v>1</v>
      </c>
      <c r="F682" s="45"/>
      <c r="G682" s="45">
        <v>1</v>
      </c>
      <c r="H682" s="45"/>
      <c r="I682" s="34">
        <v>2</v>
      </c>
      <c r="J682">
        <f>I682/(VLOOKUP(B682,'Team Stats'!$B$3:$K$18,5,0))</f>
        <v>3.0487804878048782E-3</v>
      </c>
      <c r="M682" t="s">
        <v>1227</v>
      </c>
      <c r="N682" t="s">
        <v>1227</v>
      </c>
      <c r="O682" t="s">
        <v>1227</v>
      </c>
      <c r="P682" t="s">
        <v>1227</v>
      </c>
      <c r="Q682" t="s">
        <v>1227</v>
      </c>
      <c r="R682" t="s">
        <v>1227</v>
      </c>
      <c r="S682" t="s">
        <v>1227</v>
      </c>
      <c r="T682" s="54" t="s">
        <v>1227</v>
      </c>
      <c r="U682" t="s">
        <v>1227</v>
      </c>
    </row>
    <row r="683" spans="1:21" x14ac:dyDescent="0.25">
      <c r="A683" s="44" t="s">
        <v>1006</v>
      </c>
      <c r="B683" s="44" t="s">
        <v>215</v>
      </c>
      <c r="C683" s="45">
        <v>11</v>
      </c>
      <c r="D683" s="45"/>
      <c r="E683" s="45">
        <v>1</v>
      </c>
      <c r="F683" s="45"/>
      <c r="G683" s="45">
        <v>1</v>
      </c>
      <c r="H683" s="45"/>
      <c r="I683" s="34">
        <v>2</v>
      </c>
      <c r="J683" t="e">
        <f>I683/(VLOOKUP(B683,'Team Stats'!$B$3:$K$18,5,0))</f>
        <v>#N/A</v>
      </c>
      <c r="M683" t="s">
        <v>1227</v>
      </c>
      <c r="N683" t="s">
        <v>1227</v>
      </c>
      <c r="O683" t="s">
        <v>1227</v>
      </c>
      <c r="P683" t="s">
        <v>1227</v>
      </c>
      <c r="Q683" t="s">
        <v>1227</v>
      </c>
      <c r="R683" t="s">
        <v>1227</v>
      </c>
      <c r="S683" t="s">
        <v>1227</v>
      </c>
      <c r="T683" s="54" t="s">
        <v>1227</v>
      </c>
      <c r="U683" t="s">
        <v>1227</v>
      </c>
    </row>
    <row r="684" spans="1:21" x14ac:dyDescent="0.25">
      <c r="A684" s="44" t="s">
        <v>1007</v>
      </c>
      <c r="B684" s="44" t="s">
        <v>208</v>
      </c>
      <c r="C684" s="45">
        <v>13</v>
      </c>
      <c r="D684" s="45"/>
      <c r="E684" s="45">
        <v>1</v>
      </c>
      <c r="F684" s="45"/>
      <c r="G684" s="45">
        <v>1</v>
      </c>
      <c r="H684" s="45"/>
      <c r="I684" s="34">
        <v>2</v>
      </c>
      <c r="J684">
        <f>I684/(VLOOKUP(B684,'Team Stats'!$B$3:$K$18,5,0))</f>
        <v>3.1746031746031746E-3</v>
      </c>
      <c r="M684" t="s">
        <v>1227</v>
      </c>
      <c r="N684" t="s">
        <v>1227</v>
      </c>
      <c r="O684" t="s">
        <v>1227</v>
      </c>
      <c r="P684" t="s">
        <v>1227</v>
      </c>
      <c r="Q684" t="s">
        <v>1227</v>
      </c>
      <c r="R684" t="s">
        <v>1227</v>
      </c>
      <c r="S684" t="s">
        <v>1227</v>
      </c>
      <c r="T684" s="54" t="s">
        <v>1227</v>
      </c>
      <c r="U684" t="s">
        <v>1227</v>
      </c>
    </row>
    <row r="685" spans="1:21" x14ac:dyDescent="0.25">
      <c r="A685" s="44" t="s">
        <v>1008</v>
      </c>
      <c r="B685" s="44" t="s">
        <v>219</v>
      </c>
      <c r="C685" s="45">
        <v>22</v>
      </c>
      <c r="D685" s="45"/>
      <c r="E685" s="45">
        <v>0</v>
      </c>
      <c r="F685" s="45"/>
      <c r="G685" s="45">
        <v>2</v>
      </c>
      <c r="H685" s="45"/>
      <c r="I685" s="34">
        <v>2</v>
      </c>
      <c r="J685" t="e">
        <f>I685/(VLOOKUP(B685,'Team Stats'!$B$3:$K$18,5,0))</f>
        <v>#N/A</v>
      </c>
      <c r="M685" t="s">
        <v>1227</v>
      </c>
      <c r="N685" t="s">
        <v>1227</v>
      </c>
      <c r="O685" t="s">
        <v>1227</v>
      </c>
      <c r="P685" t="s">
        <v>1227</v>
      </c>
      <c r="Q685" t="s">
        <v>1227</v>
      </c>
      <c r="R685" t="s">
        <v>1227</v>
      </c>
      <c r="S685" t="s">
        <v>1227</v>
      </c>
      <c r="T685" s="54" t="s">
        <v>1227</v>
      </c>
      <c r="U685" t="s">
        <v>1227</v>
      </c>
    </row>
    <row r="686" spans="1:21" x14ac:dyDescent="0.25">
      <c r="A686" s="44" t="s">
        <v>1009</v>
      </c>
      <c r="B686" s="44" t="s">
        <v>344</v>
      </c>
      <c r="C686" s="45">
        <v>11</v>
      </c>
      <c r="D686" s="45"/>
      <c r="E686" s="45">
        <v>0</v>
      </c>
      <c r="F686" s="45"/>
      <c r="G686" s="45">
        <v>2</v>
      </c>
      <c r="H686" s="45"/>
      <c r="I686" s="34">
        <v>2</v>
      </c>
      <c r="J686" t="e">
        <f>I686/(VLOOKUP(B686,'Team Stats'!$B$3:$K$18,5,0))</f>
        <v>#N/A</v>
      </c>
      <c r="M686" t="s">
        <v>1227</v>
      </c>
      <c r="N686" t="s">
        <v>1227</v>
      </c>
      <c r="O686" t="s">
        <v>1227</v>
      </c>
      <c r="P686" t="s">
        <v>1227</v>
      </c>
      <c r="Q686" t="s">
        <v>1227</v>
      </c>
      <c r="R686" t="s">
        <v>1227</v>
      </c>
      <c r="S686" t="s">
        <v>1227</v>
      </c>
      <c r="T686" s="54" t="s">
        <v>1227</v>
      </c>
      <c r="U686" t="s">
        <v>1227</v>
      </c>
    </row>
    <row r="687" spans="1:21" x14ac:dyDescent="0.25">
      <c r="A687" s="44" t="s">
        <v>1010</v>
      </c>
      <c r="B687" s="44" t="s">
        <v>356</v>
      </c>
      <c r="C687" s="45">
        <v>6</v>
      </c>
      <c r="D687" s="45"/>
      <c r="E687" s="45">
        <v>0</v>
      </c>
      <c r="F687" s="45"/>
      <c r="G687" s="45">
        <v>2</v>
      </c>
      <c r="H687" s="45"/>
      <c r="I687" s="34">
        <v>2</v>
      </c>
      <c r="J687" t="e">
        <f>I687/(VLOOKUP(B687,'Team Stats'!$B$3:$K$18,5,0))</f>
        <v>#N/A</v>
      </c>
      <c r="M687" t="s">
        <v>1227</v>
      </c>
      <c r="N687" t="s">
        <v>1227</v>
      </c>
      <c r="O687" t="s">
        <v>1227</v>
      </c>
      <c r="P687" t="s">
        <v>1227</v>
      </c>
      <c r="Q687" t="s">
        <v>1227</v>
      </c>
      <c r="R687" t="s">
        <v>1227</v>
      </c>
      <c r="S687" t="s">
        <v>1227</v>
      </c>
      <c r="T687" s="54" t="s">
        <v>1227</v>
      </c>
      <c r="U687" t="s">
        <v>1227</v>
      </c>
    </row>
    <row r="688" spans="1:21" x14ac:dyDescent="0.25">
      <c r="A688" s="44" t="s">
        <v>1011</v>
      </c>
      <c r="B688" s="44" t="s">
        <v>324</v>
      </c>
      <c r="C688" s="45">
        <v>13</v>
      </c>
      <c r="D688" s="45"/>
      <c r="E688" s="45">
        <v>1</v>
      </c>
      <c r="F688" s="45"/>
      <c r="G688" s="45">
        <v>1</v>
      </c>
      <c r="H688" s="45"/>
      <c r="I688" s="34">
        <v>2</v>
      </c>
      <c r="J688" t="e">
        <f>I688/(VLOOKUP(B688,'Team Stats'!$B$3:$K$18,5,0))</f>
        <v>#N/A</v>
      </c>
      <c r="M688" t="s">
        <v>1227</v>
      </c>
      <c r="N688" t="s">
        <v>1227</v>
      </c>
      <c r="O688" t="s">
        <v>1227</v>
      </c>
      <c r="P688" t="s">
        <v>1227</v>
      </c>
      <c r="Q688" t="s">
        <v>1227</v>
      </c>
      <c r="R688" t="s">
        <v>1227</v>
      </c>
      <c r="S688" t="s">
        <v>1227</v>
      </c>
      <c r="T688" s="54" t="s">
        <v>1227</v>
      </c>
      <c r="U688" t="s">
        <v>1227</v>
      </c>
    </row>
    <row r="689" spans="1:21" x14ac:dyDescent="0.25">
      <c r="A689" s="44" t="s">
        <v>1012</v>
      </c>
      <c r="B689" s="44" t="s">
        <v>208</v>
      </c>
      <c r="C689" s="45">
        <v>17</v>
      </c>
      <c r="D689" s="45"/>
      <c r="E689" s="45">
        <v>1</v>
      </c>
      <c r="F689" s="45"/>
      <c r="G689" s="45">
        <v>1</v>
      </c>
      <c r="H689" s="45"/>
      <c r="I689" s="34">
        <v>2</v>
      </c>
      <c r="J689">
        <f>I689/(VLOOKUP(B689,'Team Stats'!$B$3:$K$18,5,0))</f>
        <v>3.1746031746031746E-3</v>
      </c>
      <c r="M689" t="s">
        <v>1227</v>
      </c>
      <c r="N689" t="s">
        <v>1227</v>
      </c>
      <c r="O689" t="s">
        <v>1227</v>
      </c>
      <c r="P689" t="s">
        <v>1227</v>
      </c>
      <c r="Q689" t="s">
        <v>1227</v>
      </c>
      <c r="R689" t="s">
        <v>1227</v>
      </c>
      <c r="S689" t="s">
        <v>1227</v>
      </c>
      <c r="T689" s="54" t="s">
        <v>1227</v>
      </c>
      <c r="U689" t="s">
        <v>1227</v>
      </c>
    </row>
    <row r="690" spans="1:21" x14ac:dyDescent="0.25">
      <c r="A690" s="44" t="s">
        <v>1013</v>
      </c>
      <c r="B690" s="44" t="s">
        <v>219</v>
      </c>
      <c r="C690" s="45">
        <v>15</v>
      </c>
      <c r="D690" s="45"/>
      <c r="E690" s="45">
        <v>0</v>
      </c>
      <c r="F690" s="45"/>
      <c r="G690" s="45">
        <v>2</v>
      </c>
      <c r="H690" s="45"/>
      <c r="I690" s="34">
        <v>2</v>
      </c>
      <c r="J690" t="e">
        <f>I690/(VLOOKUP(B690,'Team Stats'!$B$3:$K$18,5,0))</f>
        <v>#N/A</v>
      </c>
      <c r="M690" t="s">
        <v>1227</v>
      </c>
      <c r="N690" t="s">
        <v>1227</v>
      </c>
      <c r="O690" t="s">
        <v>1227</v>
      </c>
      <c r="P690" t="s">
        <v>1227</v>
      </c>
      <c r="Q690" t="s">
        <v>1227</v>
      </c>
      <c r="R690" t="s">
        <v>1227</v>
      </c>
      <c r="S690" t="s">
        <v>1227</v>
      </c>
      <c r="T690" s="54" t="s">
        <v>1227</v>
      </c>
      <c r="U690" t="s">
        <v>1227</v>
      </c>
    </row>
    <row r="691" spans="1:21" x14ac:dyDescent="0.25">
      <c r="A691" s="44" t="s">
        <v>1014</v>
      </c>
      <c r="B691" s="44" t="s">
        <v>211</v>
      </c>
      <c r="C691" s="45">
        <v>12</v>
      </c>
      <c r="D691" s="45"/>
      <c r="E691" s="45">
        <v>1</v>
      </c>
      <c r="F691" s="45"/>
      <c r="G691" s="45">
        <v>1</v>
      </c>
      <c r="H691" s="45"/>
      <c r="I691" s="34">
        <v>2</v>
      </c>
      <c r="J691">
        <f>I691/(VLOOKUP(B691,'Team Stats'!$B$3:$K$18,5,0))</f>
        <v>3.2894736842105261E-3</v>
      </c>
      <c r="M691" t="s">
        <v>1227</v>
      </c>
      <c r="N691" t="s">
        <v>1227</v>
      </c>
      <c r="O691" t="s">
        <v>1227</v>
      </c>
      <c r="P691" t="s">
        <v>1227</v>
      </c>
      <c r="Q691" t="s">
        <v>1227</v>
      </c>
      <c r="R691" t="s">
        <v>1227</v>
      </c>
      <c r="S691" t="s">
        <v>1227</v>
      </c>
      <c r="T691" s="54" t="s">
        <v>1227</v>
      </c>
      <c r="U691" t="s">
        <v>1227</v>
      </c>
    </row>
    <row r="692" spans="1:21" x14ac:dyDescent="0.25">
      <c r="A692" s="44" t="s">
        <v>1015</v>
      </c>
      <c r="B692" s="44" t="s">
        <v>195</v>
      </c>
      <c r="C692" s="45">
        <v>10</v>
      </c>
      <c r="D692" s="45"/>
      <c r="E692" s="45">
        <v>2</v>
      </c>
      <c r="F692" s="45"/>
      <c r="G692" s="45">
        <v>0</v>
      </c>
      <c r="H692" s="45"/>
      <c r="I692" s="34">
        <v>2</v>
      </c>
      <c r="J692">
        <f>I692/(VLOOKUP(B692,'Team Stats'!$B$3:$K$18,5,0))</f>
        <v>3.0487804878048782E-3</v>
      </c>
      <c r="M692" t="s">
        <v>1227</v>
      </c>
      <c r="N692" t="s">
        <v>1227</v>
      </c>
      <c r="O692" t="s">
        <v>1227</v>
      </c>
      <c r="P692" t="s">
        <v>1227</v>
      </c>
      <c r="Q692" t="s">
        <v>1227</v>
      </c>
      <c r="R692" t="s">
        <v>1227</v>
      </c>
      <c r="S692" t="s">
        <v>1227</v>
      </c>
      <c r="T692" s="54" t="s">
        <v>1227</v>
      </c>
      <c r="U692" t="s">
        <v>1227</v>
      </c>
    </row>
    <row r="693" spans="1:21" x14ac:dyDescent="0.25">
      <c r="A693" s="44" t="s">
        <v>1016</v>
      </c>
      <c r="B693" s="44" t="s">
        <v>212</v>
      </c>
      <c r="C693" s="45">
        <v>16</v>
      </c>
      <c r="D693" s="45"/>
      <c r="E693" s="45">
        <v>1</v>
      </c>
      <c r="F693" s="45"/>
      <c r="G693" s="45">
        <v>1</v>
      </c>
      <c r="H693" s="45"/>
      <c r="I693" s="34">
        <v>2</v>
      </c>
      <c r="J693" t="e">
        <f>I693/(VLOOKUP(B693,'Team Stats'!$B$3:$K$18,5,0))</f>
        <v>#N/A</v>
      </c>
      <c r="M693" t="s">
        <v>1227</v>
      </c>
      <c r="N693" t="s">
        <v>1227</v>
      </c>
      <c r="O693" t="s">
        <v>1227</v>
      </c>
      <c r="P693" t="s">
        <v>1227</v>
      </c>
      <c r="Q693" t="s">
        <v>1227</v>
      </c>
      <c r="R693" t="s">
        <v>1227</v>
      </c>
      <c r="S693" t="s">
        <v>1227</v>
      </c>
      <c r="T693" s="54" t="s">
        <v>1227</v>
      </c>
      <c r="U693" t="s">
        <v>1227</v>
      </c>
    </row>
    <row r="694" spans="1:21" x14ac:dyDescent="0.25">
      <c r="A694" s="44" t="s">
        <v>1017</v>
      </c>
      <c r="B694" s="44" t="s">
        <v>214</v>
      </c>
      <c r="C694" s="45">
        <v>16</v>
      </c>
      <c r="D694" s="45"/>
      <c r="E694" s="45">
        <v>1</v>
      </c>
      <c r="F694" s="45"/>
      <c r="G694" s="45">
        <v>1</v>
      </c>
      <c r="H694" s="45"/>
      <c r="I694" s="34">
        <v>2</v>
      </c>
      <c r="J694" t="e">
        <f>I694/(VLOOKUP(B694,'Team Stats'!$B$3:$K$18,5,0))</f>
        <v>#N/A</v>
      </c>
      <c r="M694" t="s">
        <v>1227</v>
      </c>
      <c r="N694" t="s">
        <v>1227</v>
      </c>
      <c r="O694" t="s">
        <v>1227</v>
      </c>
      <c r="P694" t="s">
        <v>1227</v>
      </c>
      <c r="Q694" t="s">
        <v>1227</v>
      </c>
      <c r="R694" t="s">
        <v>1227</v>
      </c>
      <c r="S694" t="s">
        <v>1227</v>
      </c>
      <c r="T694" s="54" t="s">
        <v>1227</v>
      </c>
      <c r="U694" t="s">
        <v>1227</v>
      </c>
    </row>
    <row r="695" spans="1:21" x14ac:dyDescent="0.25">
      <c r="A695" s="44" t="s">
        <v>1018</v>
      </c>
      <c r="B695" s="44" t="s">
        <v>197</v>
      </c>
      <c r="C695" s="45">
        <v>14</v>
      </c>
      <c r="D695" s="45"/>
      <c r="E695" s="45">
        <v>1</v>
      </c>
      <c r="F695" s="45"/>
      <c r="G695" s="45">
        <v>1</v>
      </c>
      <c r="H695" s="45"/>
      <c r="I695" s="34">
        <v>2</v>
      </c>
      <c r="J695">
        <f>I695/(VLOOKUP(B695,'Team Stats'!$B$3:$K$18,5,0))</f>
        <v>3.3333333333333335E-3</v>
      </c>
      <c r="M695" t="s">
        <v>1227</v>
      </c>
      <c r="N695" t="s">
        <v>1227</v>
      </c>
      <c r="O695" t="s">
        <v>1227</v>
      </c>
      <c r="P695" t="s">
        <v>1227</v>
      </c>
      <c r="Q695" t="s">
        <v>1227</v>
      </c>
      <c r="R695" t="s">
        <v>1227</v>
      </c>
      <c r="S695" t="s">
        <v>1227</v>
      </c>
      <c r="T695" s="54" t="s">
        <v>1227</v>
      </c>
      <c r="U695" t="s">
        <v>1227</v>
      </c>
    </row>
    <row r="696" spans="1:21" x14ac:dyDescent="0.25">
      <c r="A696" s="44" t="s">
        <v>1019</v>
      </c>
      <c r="B696" s="44" t="s">
        <v>217</v>
      </c>
      <c r="C696" s="45">
        <v>10</v>
      </c>
      <c r="D696" s="45"/>
      <c r="E696" s="45">
        <v>0</v>
      </c>
      <c r="F696" s="45"/>
      <c r="G696" s="45">
        <v>2</v>
      </c>
      <c r="H696" s="45"/>
      <c r="I696" s="34">
        <v>2</v>
      </c>
      <c r="J696" t="e">
        <f>I696/(VLOOKUP(B696,'Team Stats'!$B$3:$K$18,5,0))</f>
        <v>#N/A</v>
      </c>
      <c r="M696" t="s">
        <v>1227</v>
      </c>
      <c r="N696" t="s">
        <v>1227</v>
      </c>
      <c r="O696" t="s">
        <v>1227</v>
      </c>
      <c r="P696" t="s">
        <v>1227</v>
      </c>
      <c r="Q696" t="s">
        <v>1227</v>
      </c>
      <c r="R696" t="s">
        <v>1227</v>
      </c>
      <c r="S696" t="s">
        <v>1227</v>
      </c>
      <c r="T696" s="54" t="s">
        <v>1227</v>
      </c>
      <c r="U696" t="s">
        <v>1227</v>
      </c>
    </row>
    <row r="697" spans="1:21" x14ac:dyDescent="0.25">
      <c r="A697" s="44" t="s">
        <v>1020</v>
      </c>
      <c r="B697" s="44" t="s">
        <v>220</v>
      </c>
      <c r="C697" s="45">
        <v>18</v>
      </c>
      <c r="D697" s="45"/>
      <c r="E697" s="45">
        <v>1</v>
      </c>
      <c r="F697" s="45"/>
      <c r="G697" s="45">
        <v>1</v>
      </c>
      <c r="H697" s="45"/>
      <c r="I697" s="34">
        <v>2</v>
      </c>
      <c r="J697" t="e">
        <f>I697/(VLOOKUP(B697,'Team Stats'!$B$3:$K$18,5,0))</f>
        <v>#N/A</v>
      </c>
      <c r="M697" t="s">
        <v>1227</v>
      </c>
      <c r="N697" t="s">
        <v>1227</v>
      </c>
      <c r="O697" t="s">
        <v>1227</v>
      </c>
      <c r="P697" t="s">
        <v>1227</v>
      </c>
      <c r="Q697" t="s">
        <v>1227</v>
      </c>
      <c r="R697" t="s">
        <v>1227</v>
      </c>
      <c r="S697" t="s">
        <v>1227</v>
      </c>
      <c r="T697" s="54" t="s">
        <v>1227</v>
      </c>
      <c r="U697" t="s">
        <v>1227</v>
      </c>
    </row>
    <row r="698" spans="1:21" ht="30" x14ac:dyDescent="0.25">
      <c r="A698" s="44" t="s">
        <v>1021</v>
      </c>
      <c r="B698" s="44" t="s">
        <v>335</v>
      </c>
      <c r="C698" s="45">
        <v>2</v>
      </c>
      <c r="D698" s="45"/>
      <c r="E698" s="45">
        <v>1</v>
      </c>
      <c r="F698" s="45"/>
      <c r="G698" s="45">
        <v>1</v>
      </c>
      <c r="H698" s="45"/>
      <c r="I698" s="34">
        <v>2</v>
      </c>
      <c r="J698" t="e">
        <f>I698/(VLOOKUP(B698,'Team Stats'!$B$3:$K$18,5,0))</f>
        <v>#N/A</v>
      </c>
      <c r="M698" t="s">
        <v>1227</v>
      </c>
      <c r="N698" t="s">
        <v>1227</v>
      </c>
      <c r="O698" t="s">
        <v>1227</v>
      </c>
      <c r="P698" t="s">
        <v>1227</v>
      </c>
      <c r="Q698" t="s">
        <v>1227</v>
      </c>
      <c r="R698" t="s">
        <v>1227</v>
      </c>
      <c r="S698" t="s">
        <v>1227</v>
      </c>
      <c r="T698" s="54" t="s">
        <v>1227</v>
      </c>
      <c r="U698" t="s">
        <v>1227</v>
      </c>
    </row>
    <row r="699" spans="1:21" x14ac:dyDescent="0.25">
      <c r="A699" s="44" t="s">
        <v>1022</v>
      </c>
      <c r="B699" s="44" t="s">
        <v>220</v>
      </c>
      <c r="C699" s="45">
        <v>39</v>
      </c>
      <c r="D699" s="45"/>
      <c r="E699" s="45">
        <v>1</v>
      </c>
      <c r="F699" s="45"/>
      <c r="G699" s="45">
        <v>1</v>
      </c>
      <c r="H699" s="45"/>
      <c r="I699" s="34">
        <v>2</v>
      </c>
      <c r="J699" t="e">
        <f>I699/(VLOOKUP(B699,'Team Stats'!$B$3:$K$18,5,0))</f>
        <v>#N/A</v>
      </c>
      <c r="M699" t="s">
        <v>1227</v>
      </c>
      <c r="N699" t="s">
        <v>1227</v>
      </c>
      <c r="O699" t="s">
        <v>1227</v>
      </c>
      <c r="P699" t="s">
        <v>1227</v>
      </c>
      <c r="Q699" t="s">
        <v>1227</v>
      </c>
      <c r="R699" t="s">
        <v>1227</v>
      </c>
      <c r="S699" t="s">
        <v>1227</v>
      </c>
      <c r="T699" s="54" t="s">
        <v>1227</v>
      </c>
      <c r="U699" t="s">
        <v>1227</v>
      </c>
    </row>
    <row r="700" spans="1:21" x14ac:dyDescent="0.25">
      <c r="A700" s="44" t="s">
        <v>1023</v>
      </c>
      <c r="B700" s="44" t="s">
        <v>199</v>
      </c>
      <c r="C700" s="45">
        <v>24</v>
      </c>
      <c r="D700" s="45"/>
      <c r="E700" s="45">
        <v>1</v>
      </c>
      <c r="F700" s="45"/>
      <c r="G700" s="45">
        <v>1</v>
      </c>
      <c r="H700" s="45"/>
      <c r="I700" s="34">
        <v>2</v>
      </c>
      <c r="J700">
        <f>I700/(VLOOKUP(B700,'Team Stats'!$B$3:$K$18,5,0))</f>
        <v>3.0303030303030303E-3</v>
      </c>
      <c r="M700" t="s">
        <v>1227</v>
      </c>
      <c r="N700" t="s">
        <v>1227</v>
      </c>
      <c r="O700" t="s">
        <v>1227</v>
      </c>
      <c r="P700" t="s">
        <v>1227</v>
      </c>
      <c r="Q700" t="s">
        <v>1227</v>
      </c>
      <c r="R700" t="s">
        <v>1227</v>
      </c>
      <c r="S700" t="s">
        <v>1227</v>
      </c>
      <c r="T700" s="54" t="s">
        <v>1227</v>
      </c>
      <c r="U700" t="s">
        <v>1227</v>
      </c>
    </row>
    <row r="701" spans="1:21" ht="30" x14ac:dyDescent="0.25">
      <c r="A701" s="44" t="s">
        <v>1024</v>
      </c>
      <c r="B701" s="44" t="s">
        <v>212</v>
      </c>
      <c r="C701" s="45">
        <v>12</v>
      </c>
      <c r="D701" s="45"/>
      <c r="E701" s="45">
        <v>0</v>
      </c>
      <c r="F701" s="45"/>
      <c r="G701" s="45">
        <v>2</v>
      </c>
      <c r="H701" s="45"/>
      <c r="I701" s="34">
        <v>2</v>
      </c>
      <c r="J701" t="e">
        <f>I701/(VLOOKUP(B701,'Team Stats'!$B$3:$K$18,5,0))</f>
        <v>#N/A</v>
      </c>
      <c r="M701" t="s">
        <v>1227</v>
      </c>
      <c r="N701" t="s">
        <v>1227</v>
      </c>
      <c r="O701" t="s">
        <v>1227</v>
      </c>
      <c r="P701" t="s">
        <v>1227</v>
      </c>
      <c r="Q701" t="s">
        <v>1227</v>
      </c>
      <c r="R701" t="s">
        <v>1227</v>
      </c>
      <c r="S701" t="s">
        <v>1227</v>
      </c>
      <c r="T701" s="54" t="s">
        <v>1227</v>
      </c>
      <c r="U701" t="s">
        <v>1227</v>
      </c>
    </row>
    <row r="702" spans="1:21" x14ac:dyDescent="0.25">
      <c r="A702" s="44" t="s">
        <v>1025</v>
      </c>
      <c r="B702" s="44" t="s">
        <v>330</v>
      </c>
      <c r="C702" s="45">
        <v>8</v>
      </c>
      <c r="D702" s="45"/>
      <c r="E702" s="45">
        <v>0</v>
      </c>
      <c r="F702" s="45"/>
      <c r="G702" s="45">
        <v>2</v>
      </c>
      <c r="H702" s="45"/>
      <c r="I702" s="34">
        <v>2</v>
      </c>
      <c r="J702" t="e">
        <f>I702/(VLOOKUP(B702,'Team Stats'!$B$3:$K$18,5,0))</f>
        <v>#N/A</v>
      </c>
      <c r="M702" t="s">
        <v>1227</v>
      </c>
      <c r="N702" t="s">
        <v>1227</v>
      </c>
      <c r="O702" t="s">
        <v>1227</v>
      </c>
      <c r="P702" t="s">
        <v>1227</v>
      </c>
      <c r="Q702" t="s">
        <v>1227</v>
      </c>
      <c r="R702" t="s">
        <v>1227</v>
      </c>
      <c r="S702" t="s">
        <v>1227</v>
      </c>
      <c r="T702" s="54" t="s">
        <v>1227</v>
      </c>
      <c r="U702" t="s">
        <v>1227</v>
      </c>
    </row>
    <row r="703" spans="1:21" x14ac:dyDescent="0.25">
      <c r="A703" s="44" t="s">
        <v>1026</v>
      </c>
      <c r="B703" s="44" t="s">
        <v>219</v>
      </c>
      <c r="C703" s="45">
        <v>15</v>
      </c>
      <c r="D703" s="45"/>
      <c r="E703" s="45">
        <v>0</v>
      </c>
      <c r="F703" s="45"/>
      <c r="G703" s="45">
        <v>2</v>
      </c>
      <c r="H703" s="45"/>
      <c r="I703" s="34">
        <v>2</v>
      </c>
      <c r="J703" t="e">
        <f>I703/(VLOOKUP(B703,'Team Stats'!$B$3:$K$18,5,0))</f>
        <v>#N/A</v>
      </c>
      <c r="M703" t="s">
        <v>1227</v>
      </c>
      <c r="N703" t="s">
        <v>1227</v>
      </c>
      <c r="O703" t="s">
        <v>1227</v>
      </c>
      <c r="P703" t="s">
        <v>1227</v>
      </c>
      <c r="Q703" t="s">
        <v>1227</v>
      </c>
      <c r="R703" t="s">
        <v>1227</v>
      </c>
      <c r="S703" t="s">
        <v>1227</v>
      </c>
      <c r="T703" s="54" t="s">
        <v>1227</v>
      </c>
      <c r="U703" t="s">
        <v>1227</v>
      </c>
    </row>
    <row r="704" spans="1:21" x14ac:dyDescent="0.25">
      <c r="A704" s="44" t="s">
        <v>1027</v>
      </c>
      <c r="B704" s="44" t="s">
        <v>202</v>
      </c>
      <c r="C704" s="45">
        <v>7</v>
      </c>
      <c r="D704" s="45"/>
      <c r="E704" s="45">
        <v>1</v>
      </c>
      <c r="F704" s="45"/>
      <c r="G704" s="45">
        <v>1</v>
      </c>
      <c r="H704" s="45"/>
      <c r="I704" s="34">
        <v>2</v>
      </c>
      <c r="J704">
        <f>I704/(VLOOKUP(B704,'Team Stats'!$B$3:$K$18,5,0))</f>
        <v>3.0349013657056147E-3</v>
      </c>
      <c r="M704" t="s">
        <v>1227</v>
      </c>
      <c r="N704" t="s">
        <v>1227</v>
      </c>
      <c r="O704" t="s">
        <v>1227</v>
      </c>
      <c r="P704" t="s">
        <v>1227</v>
      </c>
      <c r="Q704" t="s">
        <v>1227</v>
      </c>
      <c r="R704" t="s">
        <v>1227</v>
      </c>
      <c r="S704" t="s">
        <v>1227</v>
      </c>
      <c r="T704" s="54" t="s">
        <v>1227</v>
      </c>
      <c r="U704" t="s">
        <v>1227</v>
      </c>
    </row>
    <row r="705" spans="1:21" x14ac:dyDescent="0.25">
      <c r="A705" s="44" t="s">
        <v>1028</v>
      </c>
      <c r="B705" s="44" t="s">
        <v>198</v>
      </c>
      <c r="C705" s="45">
        <v>3</v>
      </c>
      <c r="D705" s="45"/>
      <c r="E705" s="45">
        <v>0</v>
      </c>
      <c r="F705" s="45"/>
      <c r="G705" s="45">
        <v>2</v>
      </c>
      <c r="H705" s="45"/>
      <c r="I705" s="34">
        <v>2</v>
      </c>
      <c r="J705" t="e">
        <f>I705/(VLOOKUP(B705,'Team Stats'!$B$3:$K$18,5,0))</f>
        <v>#N/A</v>
      </c>
      <c r="M705" t="s">
        <v>1227</v>
      </c>
      <c r="N705" t="s">
        <v>1227</v>
      </c>
      <c r="O705" t="s">
        <v>1227</v>
      </c>
      <c r="P705" t="s">
        <v>1227</v>
      </c>
      <c r="Q705" t="s">
        <v>1227</v>
      </c>
      <c r="R705" t="s">
        <v>1227</v>
      </c>
      <c r="S705" t="s">
        <v>1227</v>
      </c>
      <c r="T705" s="54" t="s">
        <v>1227</v>
      </c>
      <c r="U705" t="s">
        <v>1227</v>
      </c>
    </row>
    <row r="706" spans="1:21" x14ac:dyDescent="0.25">
      <c r="A706" s="44" t="s">
        <v>1029</v>
      </c>
      <c r="B706" s="44" t="s">
        <v>215</v>
      </c>
      <c r="C706" s="45">
        <v>13</v>
      </c>
      <c r="D706" s="45"/>
      <c r="E706" s="45">
        <v>1</v>
      </c>
      <c r="F706" s="45"/>
      <c r="G706" s="45">
        <v>1</v>
      </c>
      <c r="H706" s="45"/>
      <c r="I706" s="34">
        <v>2</v>
      </c>
      <c r="J706" t="e">
        <f>I706/(VLOOKUP(B706,'Team Stats'!$B$3:$K$18,5,0))</f>
        <v>#N/A</v>
      </c>
      <c r="M706" t="s">
        <v>1227</v>
      </c>
      <c r="N706" t="s">
        <v>1227</v>
      </c>
      <c r="O706" t="s">
        <v>1227</v>
      </c>
      <c r="P706" t="s">
        <v>1227</v>
      </c>
      <c r="Q706" t="s">
        <v>1227</v>
      </c>
      <c r="R706" t="s">
        <v>1227</v>
      </c>
      <c r="S706" t="s">
        <v>1227</v>
      </c>
      <c r="T706" s="54" t="s">
        <v>1227</v>
      </c>
      <c r="U706" t="s">
        <v>1227</v>
      </c>
    </row>
    <row r="707" spans="1:21" x14ac:dyDescent="0.25">
      <c r="A707" s="44" t="s">
        <v>1030</v>
      </c>
      <c r="B707" s="44" t="s">
        <v>214</v>
      </c>
      <c r="C707" s="45">
        <v>17</v>
      </c>
      <c r="D707" s="45"/>
      <c r="E707" s="45">
        <v>2</v>
      </c>
      <c r="F707" s="45"/>
      <c r="G707" s="45">
        <v>0</v>
      </c>
      <c r="H707" s="45"/>
      <c r="I707" s="34">
        <v>2</v>
      </c>
      <c r="J707" t="e">
        <f>I707/(VLOOKUP(B707,'Team Stats'!$B$3:$K$18,5,0))</f>
        <v>#N/A</v>
      </c>
      <c r="M707" t="s">
        <v>1227</v>
      </c>
      <c r="N707" t="s">
        <v>1227</v>
      </c>
      <c r="O707" t="s">
        <v>1227</v>
      </c>
      <c r="P707" t="s">
        <v>1227</v>
      </c>
      <c r="Q707" t="s">
        <v>1227</v>
      </c>
      <c r="R707" t="s">
        <v>1227</v>
      </c>
      <c r="S707" t="s">
        <v>1227</v>
      </c>
      <c r="T707" s="54" t="s">
        <v>1227</v>
      </c>
      <c r="U707" t="s">
        <v>1227</v>
      </c>
    </row>
    <row r="708" spans="1:21" x14ac:dyDescent="0.25">
      <c r="A708" s="44" t="s">
        <v>1031</v>
      </c>
      <c r="B708" s="44" t="s">
        <v>209</v>
      </c>
      <c r="C708" s="45">
        <v>49</v>
      </c>
      <c r="D708" s="45"/>
      <c r="E708" s="45">
        <v>1</v>
      </c>
      <c r="F708" s="45"/>
      <c r="G708" s="45">
        <v>1</v>
      </c>
      <c r="H708" s="45"/>
      <c r="I708" s="34">
        <v>2</v>
      </c>
      <c r="J708">
        <f>I708/(VLOOKUP(B708,'Team Stats'!$B$3:$K$18,5,0))</f>
        <v>3.3670033670033669E-3</v>
      </c>
      <c r="M708" t="s">
        <v>1227</v>
      </c>
      <c r="N708" t="s">
        <v>1227</v>
      </c>
      <c r="O708" t="s">
        <v>1227</v>
      </c>
      <c r="P708" t="s">
        <v>1227</v>
      </c>
      <c r="Q708" t="s">
        <v>1227</v>
      </c>
      <c r="R708" t="s">
        <v>1227</v>
      </c>
      <c r="S708" t="s">
        <v>1227</v>
      </c>
      <c r="T708" s="54" t="s">
        <v>1227</v>
      </c>
      <c r="U708" t="s">
        <v>1227</v>
      </c>
    </row>
    <row r="709" spans="1:21" x14ac:dyDescent="0.25">
      <c r="A709" s="44" t="s">
        <v>1032</v>
      </c>
      <c r="B709" s="44" t="s">
        <v>199</v>
      </c>
      <c r="C709" s="45">
        <v>11</v>
      </c>
      <c r="D709" s="45"/>
      <c r="E709" s="45">
        <v>0</v>
      </c>
      <c r="F709" s="45"/>
      <c r="G709" s="45">
        <v>2</v>
      </c>
      <c r="H709" s="45"/>
      <c r="I709" s="34">
        <v>2</v>
      </c>
      <c r="J709">
        <f>I709/(VLOOKUP(B709,'Team Stats'!$B$3:$K$18,5,0))</f>
        <v>3.0303030303030303E-3</v>
      </c>
      <c r="M709" t="s">
        <v>1227</v>
      </c>
      <c r="N709" t="s">
        <v>1227</v>
      </c>
      <c r="O709" t="s">
        <v>1227</v>
      </c>
      <c r="P709" t="s">
        <v>1227</v>
      </c>
      <c r="Q709" t="s">
        <v>1227</v>
      </c>
      <c r="R709" t="s">
        <v>1227</v>
      </c>
      <c r="S709" t="s">
        <v>1227</v>
      </c>
      <c r="T709" s="54" t="s">
        <v>1227</v>
      </c>
      <c r="U709" t="s">
        <v>1227</v>
      </c>
    </row>
    <row r="710" spans="1:21" x14ac:dyDescent="0.25">
      <c r="A710" s="44" t="s">
        <v>1033</v>
      </c>
      <c r="B710" s="44" t="s">
        <v>214</v>
      </c>
      <c r="C710" s="45">
        <v>4</v>
      </c>
      <c r="D710" s="45"/>
      <c r="E710" s="45">
        <v>0</v>
      </c>
      <c r="F710" s="45"/>
      <c r="G710" s="45">
        <v>2</v>
      </c>
      <c r="H710" s="45"/>
      <c r="I710" s="34">
        <v>2</v>
      </c>
      <c r="J710" t="e">
        <f>I710/(VLOOKUP(B710,'Team Stats'!$B$3:$K$18,5,0))</f>
        <v>#N/A</v>
      </c>
      <c r="M710" t="s">
        <v>1227</v>
      </c>
      <c r="N710" t="s">
        <v>1227</v>
      </c>
      <c r="O710" t="s">
        <v>1227</v>
      </c>
      <c r="P710" t="s">
        <v>1227</v>
      </c>
      <c r="Q710" t="s">
        <v>1227</v>
      </c>
      <c r="R710" t="s">
        <v>1227</v>
      </c>
      <c r="S710" t="s">
        <v>1227</v>
      </c>
      <c r="T710" s="54" t="s">
        <v>1227</v>
      </c>
      <c r="U710" t="s">
        <v>1227</v>
      </c>
    </row>
    <row r="711" spans="1:21" x14ac:dyDescent="0.25">
      <c r="A711" s="44" t="s">
        <v>1034</v>
      </c>
      <c r="B711" s="44" t="s">
        <v>208</v>
      </c>
      <c r="C711" s="45">
        <v>11</v>
      </c>
      <c r="D711" s="45"/>
      <c r="E711" s="45">
        <v>0</v>
      </c>
      <c r="F711" s="45"/>
      <c r="G711" s="45">
        <v>2</v>
      </c>
      <c r="H711" s="45"/>
      <c r="I711" s="34">
        <v>2</v>
      </c>
      <c r="J711">
        <f>I711/(VLOOKUP(B711,'Team Stats'!$B$3:$K$18,5,0))</f>
        <v>3.1746031746031746E-3</v>
      </c>
      <c r="M711" t="s">
        <v>1227</v>
      </c>
      <c r="N711" t="s">
        <v>1227</v>
      </c>
      <c r="O711" t="s">
        <v>1227</v>
      </c>
      <c r="P711" t="s">
        <v>1227</v>
      </c>
      <c r="Q711" t="s">
        <v>1227</v>
      </c>
      <c r="R711" t="s">
        <v>1227</v>
      </c>
      <c r="S711" t="s">
        <v>1227</v>
      </c>
      <c r="T711" s="54" t="s">
        <v>1227</v>
      </c>
      <c r="U711" t="s">
        <v>1227</v>
      </c>
    </row>
    <row r="712" spans="1:21" x14ac:dyDescent="0.25">
      <c r="A712" s="44" t="s">
        <v>1035</v>
      </c>
      <c r="B712" s="44" t="s">
        <v>344</v>
      </c>
      <c r="C712" s="45">
        <v>13</v>
      </c>
      <c r="D712" s="45"/>
      <c r="E712" s="45">
        <v>0</v>
      </c>
      <c r="F712" s="45"/>
      <c r="G712" s="45">
        <v>2</v>
      </c>
      <c r="H712" s="45"/>
      <c r="I712" s="34">
        <v>2</v>
      </c>
      <c r="J712" t="e">
        <f>I712/(VLOOKUP(B712,'Team Stats'!$B$3:$K$18,5,0))</f>
        <v>#N/A</v>
      </c>
      <c r="M712" t="s">
        <v>1227</v>
      </c>
      <c r="N712" t="s">
        <v>1227</v>
      </c>
      <c r="O712" t="s">
        <v>1227</v>
      </c>
      <c r="P712" t="s">
        <v>1227</v>
      </c>
      <c r="Q712" t="s">
        <v>1227</v>
      </c>
      <c r="R712" t="s">
        <v>1227</v>
      </c>
      <c r="S712" t="s">
        <v>1227</v>
      </c>
      <c r="T712" s="54" t="s">
        <v>1227</v>
      </c>
      <c r="U712" t="s">
        <v>1227</v>
      </c>
    </row>
    <row r="713" spans="1:21" x14ac:dyDescent="0.25">
      <c r="A713" s="44" t="s">
        <v>1036</v>
      </c>
      <c r="B713" s="44" t="s">
        <v>330</v>
      </c>
      <c r="C713" s="45">
        <v>18</v>
      </c>
      <c r="D713" s="45"/>
      <c r="E713" s="45">
        <v>1</v>
      </c>
      <c r="F713" s="45"/>
      <c r="G713" s="45">
        <v>1</v>
      </c>
      <c r="H713" s="45"/>
      <c r="I713" s="34">
        <v>2</v>
      </c>
      <c r="J713" t="e">
        <f>I713/(VLOOKUP(B713,'Team Stats'!$B$3:$K$18,5,0))</f>
        <v>#N/A</v>
      </c>
      <c r="M713" t="s">
        <v>1227</v>
      </c>
      <c r="N713" t="s">
        <v>1227</v>
      </c>
      <c r="O713" t="s">
        <v>1227</v>
      </c>
      <c r="P713" t="s">
        <v>1227</v>
      </c>
      <c r="Q713" t="s">
        <v>1227</v>
      </c>
      <c r="R713" t="s">
        <v>1227</v>
      </c>
      <c r="S713" t="s">
        <v>1227</v>
      </c>
      <c r="T713" s="54" t="s">
        <v>1227</v>
      </c>
      <c r="U713" t="s">
        <v>1227</v>
      </c>
    </row>
    <row r="714" spans="1:21" x14ac:dyDescent="0.25">
      <c r="A714" s="44" t="s">
        <v>1037</v>
      </c>
      <c r="B714" s="44" t="s">
        <v>216</v>
      </c>
      <c r="C714" s="45">
        <v>10</v>
      </c>
      <c r="D714" s="45"/>
      <c r="E714" s="45">
        <v>0</v>
      </c>
      <c r="F714" s="45"/>
      <c r="G714" s="45">
        <v>1</v>
      </c>
      <c r="H714" s="45"/>
      <c r="I714" s="34">
        <v>1</v>
      </c>
      <c r="J714" t="e">
        <f>I714/(VLOOKUP(B714,'Team Stats'!$B$3:$K$18,5,0))</f>
        <v>#N/A</v>
      </c>
      <c r="M714" t="s">
        <v>1227</v>
      </c>
      <c r="N714" t="s">
        <v>1227</v>
      </c>
      <c r="O714" t="s">
        <v>1227</v>
      </c>
      <c r="P714" t="s">
        <v>1227</v>
      </c>
      <c r="Q714" t="s">
        <v>1227</v>
      </c>
      <c r="R714" t="s">
        <v>1227</v>
      </c>
      <c r="S714" t="s">
        <v>1227</v>
      </c>
      <c r="T714" s="54" t="s">
        <v>1227</v>
      </c>
      <c r="U714" t="s">
        <v>1227</v>
      </c>
    </row>
    <row r="715" spans="1:21" x14ac:dyDescent="0.25">
      <c r="A715" s="44" t="s">
        <v>1038</v>
      </c>
      <c r="B715" s="44" t="s">
        <v>197</v>
      </c>
      <c r="C715" s="45">
        <v>8</v>
      </c>
      <c r="D715" s="45"/>
      <c r="E715" s="45">
        <v>1</v>
      </c>
      <c r="F715" s="45"/>
      <c r="G715" s="45">
        <v>0</v>
      </c>
      <c r="H715" s="45"/>
      <c r="I715" s="34">
        <v>1</v>
      </c>
      <c r="J715">
        <f>I715/(VLOOKUP(B715,'Team Stats'!$B$3:$K$18,5,0))</f>
        <v>1.6666666666666668E-3</v>
      </c>
      <c r="M715" t="s">
        <v>1227</v>
      </c>
      <c r="N715" t="s">
        <v>1227</v>
      </c>
      <c r="O715" t="s">
        <v>1227</v>
      </c>
      <c r="P715" t="s">
        <v>1227</v>
      </c>
      <c r="Q715" t="s">
        <v>1227</v>
      </c>
      <c r="R715" t="s">
        <v>1227</v>
      </c>
      <c r="S715" t="s">
        <v>1227</v>
      </c>
      <c r="T715" s="54" t="s">
        <v>1227</v>
      </c>
      <c r="U715" t="s">
        <v>1227</v>
      </c>
    </row>
    <row r="716" spans="1:21" x14ac:dyDescent="0.25">
      <c r="A716" s="44" t="s">
        <v>1039</v>
      </c>
      <c r="B716" s="44" t="s">
        <v>330</v>
      </c>
      <c r="C716" s="45">
        <v>4</v>
      </c>
      <c r="D716" s="45"/>
      <c r="E716" s="45">
        <v>0</v>
      </c>
      <c r="F716" s="45"/>
      <c r="G716" s="45">
        <v>1</v>
      </c>
      <c r="H716" s="45"/>
      <c r="I716" s="34">
        <v>1</v>
      </c>
      <c r="J716" t="e">
        <f>I716/(VLOOKUP(B716,'Team Stats'!$B$3:$K$18,5,0))</f>
        <v>#N/A</v>
      </c>
      <c r="M716" t="s">
        <v>1227</v>
      </c>
      <c r="N716" t="s">
        <v>1227</v>
      </c>
      <c r="O716" t="s">
        <v>1227</v>
      </c>
      <c r="P716" t="s">
        <v>1227</v>
      </c>
      <c r="Q716" t="s">
        <v>1227</v>
      </c>
      <c r="R716" t="s">
        <v>1227</v>
      </c>
      <c r="S716" t="s">
        <v>1227</v>
      </c>
      <c r="T716" s="54" t="s">
        <v>1227</v>
      </c>
      <c r="U716" t="s">
        <v>1227</v>
      </c>
    </row>
    <row r="717" spans="1:21" x14ac:dyDescent="0.25">
      <c r="A717" s="44" t="s">
        <v>1040</v>
      </c>
      <c r="B717" s="44" t="s">
        <v>209</v>
      </c>
      <c r="C717" s="45">
        <v>1</v>
      </c>
      <c r="D717" s="45"/>
      <c r="E717" s="45">
        <v>0</v>
      </c>
      <c r="F717" s="45"/>
      <c r="G717" s="45">
        <v>1</v>
      </c>
      <c r="H717" s="45"/>
      <c r="I717" s="34">
        <v>1</v>
      </c>
      <c r="J717">
        <f>I717/(VLOOKUP(B717,'Team Stats'!$B$3:$K$18,5,0))</f>
        <v>1.6835016835016834E-3</v>
      </c>
      <c r="M717" t="s">
        <v>1227</v>
      </c>
      <c r="N717" t="s">
        <v>1227</v>
      </c>
      <c r="O717" t="s">
        <v>1227</v>
      </c>
      <c r="P717" t="s">
        <v>1227</v>
      </c>
      <c r="Q717" t="s">
        <v>1227</v>
      </c>
      <c r="R717" t="s">
        <v>1227</v>
      </c>
      <c r="S717" t="s">
        <v>1227</v>
      </c>
      <c r="T717" s="54" t="s">
        <v>1227</v>
      </c>
      <c r="U717" t="s">
        <v>1227</v>
      </c>
    </row>
    <row r="718" spans="1:21" x14ac:dyDescent="0.25">
      <c r="A718" s="44" t="s">
        <v>1041</v>
      </c>
      <c r="B718" s="44" t="s">
        <v>209</v>
      </c>
      <c r="C718" s="45">
        <v>1</v>
      </c>
      <c r="D718" s="45"/>
      <c r="E718" s="45">
        <v>0</v>
      </c>
      <c r="F718" s="45"/>
      <c r="G718" s="45">
        <v>1</v>
      </c>
      <c r="H718" s="45"/>
      <c r="I718" s="34">
        <v>1</v>
      </c>
      <c r="J718">
        <f>I718/(VLOOKUP(B718,'Team Stats'!$B$3:$K$18,5,0))</f>
        <v>1.6835016835016834E-3</v>
      </c>
      <c r="M718" t="s">
        <v>1227</v>
      </c>
      <c r="N718" t="s">
        <v>1227</v>
      </c>
      <c r="O718" t="s">
        <v>1227</v>
      </c>
      <c r="P718" t="s">
        <v>1227</v>
      </c>
      <c r="Q718" t="s">
        <v>1227</v>
      </c>
      <c r="R718" t="s">
        <v>1227</v>
      </c>
      <c r="S718" t="s">
        <v>1227</v>
      </c>
      <c r="T718" s="54" t="s">
        <v>1227</v>
      </c>
      <c r="U718" t="s">
        <v>1227</v>
      </c>
    </row>
    <row r="719" spans="1:21" x14ac:dyDescent="0.25">
      <c r="A719" s="44" t="s">
        <v>1042</v>
      </c>
      <c r="B719" s="44" t="s">
        <v>205</v>
      </c>
      <c r="C719" s="45">
        <v>3</v>
      </c>
      <c r="D719" s="45"/>
      <c r="E719" s="45">
        <v>0</v>
      </c>
      <c r="F719" s="45"/>
      <c r="G719" s="45">
        <v>1</v>
      </c>
      <c r="H719" s="45"/>
      <c r="I719" s="34">
        <v>1</v>
      </c>
      <c r="J719">
        <f>I719/(VLOOKUP(B719,'Team Stats'!$B$3:$K$18,5,0))</f>
        <v>1.557632398753894E-3</v>
      </c>
      <c r="M719" t="s">
        <v>1227</v>
      </c>
      <c r="N719" t="s">
        <v>1227</v>
      </c>
      <c r="O719" t="s">
        <v>1227</v>
      </c>
      <c r="P719" t="s">
        <v>1227</v>
      </c>
      <c r="Q719" t="s">
        <v>1227</v>
      </c>
      <c r="R719" t="s">
        <v>1227</v>
      </c>
      <c r="S719" t="s">
        <v>1227</v>
      </c>
      <c r="T719" s="54" t="s">
        <v>1227</v>
      </c>
      <c r="U719" t="s">
        <v>1227</v>
      </c>
    </row>
    <row r="720" spans="1:21" x14ac:dyDescent="0.25">
      <c r="A720" s="44" t="s">
        <v>1043</v>
      </c>
      <c r="B720" s="44" t="s">
        <v>195</v>
      </c>
      <c r="C720" s="45">
        <v>8</v>
      </c>
      <c r="D720" s="45"/>
      <c r="E720" s="45">
        <v>0</v>
      </c>
      <c r="F720" s="45"/>
      <c r="G720" s="45">
        <v>1</v>
      </c>
      <c r="H720" s="45"/>
      <c r="I720" s="34">
        <v>1</v>
      </c>
      <c r="J720">
        <f>I720/(VLOOKUP(B720,'Team Stats'!$B$3:$K$18,5,0))</f>
        <v>1.5243902439024391E-3</v>
      </c>
      <c r="M720" t="s">
        <v>1227</v>
      </c>
      <c r="N720" t="s">
        <v>1227</v>
      </c>
      <c r="O720" t="s">
        <v>1227</v>
      </c>
      <c r="P720" t="s">
        <v>1227</v>
      </c>
      <c r="Q720" t="s">
        <v>1227</v>
      </c>
      <c r="R720" t="s">
        <v>1227</v>
      </c>
      <c r="S720" t="s">
        <v>1227</v>
      </c>
      <c r="T720" s="54" t="s">
        <v>1227</v>
      </c>
      <c r="U720" t="s">
        <v>1227</v>
      </c>
    </row>
    <row r="721" spans="1:21" x14ac:dyDescent="0.25">
      <c r="A721" s="44" t="s">
        <v>1044</v>
      </c>
      <c r="B721" s="44" t="s">
        <v>339</v>
      </c>
      <c r="C721" s="45">
        <v>5</v>
      </c>
      <c r="D721" s="45"/>
      <c r="E721" s="45">
        <v>0</v>
      </c>
      <c r="F721" s="45"/>
      <c r="G721" s="45">
        <v>1</v>
      </c>
      <c r="H721" s="45"/>
      <c r="I721" s="34">
        <v>1</v>
      </c>
      <c r="J721" t="e">
        <f>I721/(VLOOKUP(B721,'Team Stats'!$B$3:$K$18,5,0))</f>
        <v>#N/A</v>
      </c>
      <c r="M721" t="s">
        <v>1227</v>
      </c>
      <c r="N721" t="s">
        <v>1227</v>
      </c>
      <c r="O721" t="s">
        <v>1227</v>
      </c>
      <c r="P721" t="s">
        <v>1227</v>
      </c>
      <c r="Q721" t="s">
        <v>1227</v>
      </c>
      <c r="R721" t="s">
        <v>1227</v>
      </c>
      <c r="S721" t="s">
        <v>1227</v>
      </c>
      <c r="T721" s="54" t="s">
        <v>1227</v>
      </c>
      <c r="U721" t="s">
        <v>1227</v>
      </c>
    </row>
    <row r="722" spans="1:21" x14ac:dyDescent="0.25">
      <c r="A722" s="44" t="s">
        <v>1045</v>
      </c>
      <c r="B722" s="44" t="s">
        <v>211</v>
      </c>
      <c r="C722" s="45">
        <v>4</v>
      </c>
      <c r="D722" s="45"/>
      <c r="E722" s="45">
        <v>0</v>
      </c>
      <c r="F722" s="45"/>
      <c r="G722" s="45">
        <v>1</v>
      </c>
      <c r="H722" s="45"/>
      <c r="I722" s="34">
        <v>1</v>
      </c>
      <c r="J722">
        <f>I722/(VLOOKUP(B722,'Team Stats'!$B$3:$K$18,5,0))</f>
        <v>1.6447368421052631E-3</v>
      </c>
      <c r="M722" t="s">
        <v>1227</v>
      </c>
      <c r="N722" t="s">
        <v>1227</v>
      </c>
      <c r="O722" t="s">
        <v>1227</v>
      </c>
      <c r="P722" t="s">
        <v>1227</v>
      </c>
      <c r="Q722" t="s">
        <v>1227</v>
      </c>
      <c r="R722" t="s">
        <v>1227</v>
      </c>
      <c r="S722" t="s">
        <v>1227</v>
      </c>
      <c r="T722" s="54" t="s">
        <v>1227</v>
      </c>
      <c r="U722" t="s">
        <v>1227</v>
      </c>
    </row>
    <row r="723" spans="1:21" x14ac:dyDescent="0.25">
      <c r="A723" s="44" t="s">
        <v>1046</v>
      </c>
      <c r="B723" s="44" t="s">
        <v>213</v>
      </c>
      <c r="C723" s="45">
        <v>26</v>
      </c>
      <c r="D723" s="45"/>
      <c r="E723" s="45">
        <v>1</v>
      </c>
      <c r="F723" s="45"/>
      <c r="G723" s="45">
        <v>0</v>
      </c>
      <c r="H723" s="45"/>
      <c r="I723" s="34">
        <v>1</v>
      </c>
      <c r="J723">
        <f>I723/(VLOOKUP(B723,'Team Stats'!$B$3:$K$18,5,0))</f>
        <v>1.6155088852988692E-3</v>
      </c>
      <c r="M723" t="s">
        <v>1227</v>
      </c>
      <c r="N723" t="s">
        <v>1227</v>
      </c>
      <c r="O723" t="s">
        <v>1227</v>
      </c>
      <c r="P723" t="s">
        <v>1227</v>
      </c>
      <c r="Q723" t="s">
        <v>1227</v>
      </c>
      <c r="R723" t="s">
        <v>1227</v>
      </c>
      <c r="S723" t="s">
        <v>1227</v>
      </c>
      <c r="T723" s="54" t="s">
        <v>1227</v>
      </c>
      <c r="U723" t="s">
        <v>1227</v>
      </c>
    </row>
    <row r="724" spans="1:21" x14ac:dyDescent="0.25">
      <c r="A724" s="44" t="s">
        <v>1047</v>
      </c>
      <c r="B724" s="44" t="s">
        <v>215</v>
      </c>
      <c r="C724" s="45">
        <v>18</v>
      </c>
      <c r="D724" s="45"/>
      <c r="E724" s="45">
        <v>1</v>
      </c>
      <c r="F724" s="45"/>
      <c r="G724" s="45">
        <v>0</v>
      </c>
      <c r="H724" s="45"/>
      <c r="I724" s="34">
        <v>1</v>
      </c>
      <c r="J724" t="e">
        <f>I724/(VLOOKUP(B724,'Team Stats'!$B$3:$K$18,5,0))</f>
        <v>#N/A</v>
      </c>
      <c r="M724" t="s">
        <v>1227</v>
      </c>
      <c r="N724" t="s">
        <v>1227</v>
      </c>
      <c r="O724" t="s">
        <v>1227</v>
      </c>
      <c r="P724" t="s">
        <v>1227</v>
      </c>
      <c r="Q724" t="s">
        <v>1227</v>
      </c>
      <c r="R724" t="s">
        <v>1227</v>
      </c>
      <c r="S724" t="s">
        <v>1227</v>
      </c>
      <c r="T724" s="54" t="s">
        <v>1227</v>
      </c>
      <c r="U724" t="s">
        <v>1227</v>
      </c>
    </row>
    <row r="725" spans="1:21" x14ac:dyDescent="0.25">
      <c r="A725" s="44" t="s">
        <v>1048</v>
      </c>
      <c r="B725" s="44" t="s">
        <v>221</v>
      </c>
      <c r="C725" s="45">
        <v>12</v>
      </c>
      <c r="D725" s="45"/>
      <c r="E725" s="45">
        <v>0</v>
      </c>
      <c r="F725" s="45"/>
      <c r="G725" s="45">
        <v>1</v>
      </c>
      <c r="H725" s="45"/>
      <c r="I725" s="34">
        <v>1</v>
      </c>
      <c r="J725" t="e">
        <f>I725/(VLOOKUP(B725,'Team Stats'!$B$3:$K$18,5,0))</f>
        <v>#N/A</v>
      </c>
      <c r="M725" t="s">
        <v>1227</v>
      </c>
      <c r="N725" t="s">
        <v>1227</v>
      </c>
      <c r="O725" t="s">
        <v>1227</v>
      </c>
      <c r="P725" t="s">
        <v>1227</v>
      </c>
      <c r="Q725" t="s">
        <v>1227</v>
      </c>
      <c r="R725" t="s">
        <v>1227</v>
      </c>
      <c r="S725" t="s">
        <v>1227</v>
      </c>
      <c r="T725" s="54" t="s">
        <v>1227</v>
      </c>
      <c r="U725" t="s">
        <v>1227</v>
      </c>
    </row>
    <row r="726" spans="1:21" x14ac:dyDescent="0.25">
      <c r="A726" s="44" t="s">
        <v>1049</v>
      </c>
      <c r="B726" s="44" t="s">
        <v>199</v>
      </c>
      <c r="C726" s="45">
        <v>10</v>
      </c>
      <c r="D726" s="45"/>
      <c r="E726" s="45">
        <v>0</v>
      </c>
      <c r="F726" s="45"/>
      <c r="G726" s="45">
        <v>1</v>
      </c>
      <c r="H726" s="45"/>
      <c r="I726" s="34">
        <v>1</v>
      </c>
      <c r="J726">
        <f>I726/(VLOOKUP(B726,'Team Stats'!$B$3:$K$18,5,0))</f>
        <v>1.5151515151515152E-3</v>
      </c>
      <c r="M726" t="s">
        <v>1227</v>
      </c>
      <c r="N726" t="s">
        <v>1227</v>
      </c>
      <c r="O726" t="s">
        <v>1227</v>
      </c>
      <c r="P726" t="s">
        <v>1227</v>
      </c>
      <c r="Q726" t="s">
        <v>1227</v>
      </c>
      <c r="R726" t="s">
        <v>1227</v>
      </c>
      <c r="S726" t="s">
        <v>1227</v>
      </c>
      <c r="T726" s="54" t="s">
        <v>1227</v>
      </c>
      <c r="U726" t="s">
        <v>1227</v>
      </c>
    </row>
    <row r="727" spans="1:21" x14ac:dyDescent="0.25">
      <c r="A727" s="44" t="s">
        <v>1050</v>
      </c>
      <c r="B727" s="44" t="s">
        <v>215</v>
      </c>
      <c r="C727" s="45">
        <v>1</v>
      </c>
      <c r="D727" s="45"/>
      <c r="E727" s="45">
        <v>0</v>
      </c>
      <c r="F727" s="45"/>
      <c r="G727" s="45">
        <v>1</v>
      </c>
      <c r="H727" s="45"/>
      <c r="I727" s="34">
        <v>1</v>
      </c>
      <c r="J727" t="e">
        <f>I727/(VLOOKUP(B727,'Team Stats'!$B$3:$K$18,5,0))</f>
        <v>#N/A</v>
      </c>
      <c r="M727" t="s">
        <v>1227</v>
      </c>
      <c r="N727" t="s">
        <v>1227</v>
      </c>
      <c r="O727" t="s">
        <v>1227</v>
      </c>
      <c r="P727" t="s">
        <v>1227</v>
      </c>
      <c r="Q727" t="s">
        <v>1227</v>
      </c>
      <c r="R727" t="s">
        <v>1227</v>
      </c>
      <c r="S727" t="s">
        <v>1227</v>
      </c>
      <c r="T727" s="54" t="s">
        <v>1227</v>
      </c>
      <c r="U727" t="s">
        <v>1227</v>
      </c>
    </row>
    <row r="728" spans="1:21" x14ac:dyDescent="0.25">
      <c r="A728" s="44" t="s">
        <v>1051</v>
      </c>
      <c r="B728" s="44" t="s">
        <v>324</v>
      </c>
      <c r="C728" s="45">
        <v>5</v>
      </c>
      <c r="D728" s="45"/>
      <c r="E728" s="45">
        <v>1</v>
      </c>
      <c r="F728" s="45"/>
      <c r="G728" s="45">
        <v>0</v>
      </c>
      <c r="H728" s="45"/>
      <c r="I728" s="34">
        <v>1</v>
      </c>
      <c r="J728" t="e">
        <f>I728/(VLOOKUP(B728,'Team Stats'!$B$3:$K$18,5,0))</f>
        <v>#N/A</v>
      </c>
      <c r="M728" t="s">
        <v>1227</v>
      </c>
      <c r="N728" t="s">
        <v>1227</v>
      </c>
      <c r="O728" t="s">
        <v>1227</v>
      </c>
      <c r="P728" t="s">
        <v>1227</v>
      </c>
      <c r="Q728" t="s">
        <v>1227</v>
      </c>
      <c r="R728" t="s">
        <v>1227</v>
      </c>
      <c r="S728" t="s">
        <v>1227</v>
      </c>
      <c r="T728" s="54" t="s">
        <v>1227</v>
      </c>
      <c r="U728" t="s">
        <v>1227</v>
      </c>
    </row>
    <row r="729" spans="1:21" x14ac:dyDescent="0.25">
      <c r="A729" s="44" t="s">
        <v>1052</v>
      </c>
      <c r="B729" s="44" t="s">
        <v>215</v>
      </c>
      <c r="C729" s="45">
        <v>7</v>
      </c>
      <c r="D729" s="45"/>
      <c r="E729" s="45">
        <v>0</v>
      </c>
      <c r="F729" s="45"/>
      <c r="G729" s="45">
        <v>1</v>
      </c>
      <c r="H729" s="45"/>
      <c r="I729" s="34">
        <v>1</v>
      </c>
      <c r="J729" t="e">
        <f>I729/(VLOOKUP(B729,'Team Stats'!$B$3:$K$18,5,0))</f>
        <v>#N/A</v>
      </c>
      <c r="M729" t="s">
        <v>1227</v>
      </c>
      <c r="N729" t="s">
        <v>1227</v>
      </c>
      <c r="O729" t="s">
        <v>1227</v>
      </c>
      <c r="P729" t="s">
        <v>1227</v>
      </c>
      <c r="Q729" t="s">
        <v>1227</v>
      </c>
      <c r="R729" t="s">
        <v>1227</v>
      </c>
      <c r="S729" t="s">
        <v>1227</v>
      </c>
      <c r="T729" s="54" t="s">
        <v>1227</v>
      </c>
      <c r="U729" t="s">
        <v>1227</v>
      </c>
    </row>
    <row r="730" spans="1:21" x14ac:dyDescent="0.25">
      <c r="A730" s="44" t="s">
        <v>1053</v>
      </c>
      <c r="B730" s="44" t="s">
        <v>208</v>
      </c>
      <c r="C730" s="45">
        <v>3</v>
      </c>
      <c r="D730" s="45"/>
      <c r="E730" s="45">
        <v>1</v>
      </c>
      <c r="F730" s="45"/>
      <c r="G730" s="45">
        <v>0</v>
      </c>
      <c r="H730" s="45"/>
      <c r="I730" s="34">
        <v>1</v>
      </c>
      <c r="J730">
        <f>I730/(VLOOKUP(B730,'Team Stats'!$B$3:$K$18,5,0))</f>
        <v>1.5873015873015873E-3</v>
      </c>
      <c r="M730" t="s">
        <v>1227</v>
      </c>
      <c r="N730" t="s">
        <v>1227</v>
      </c>
      <c r="O730" t="s">
        <v>1227</v>
      </c>
      <c r="P730" t="s">
        <v>1227</v>
      </c>
      <c r="Q730" t="s">
        <v>1227</v>
      </c>
      <c r="R730" t="s">
        <v>1227</v>
      </c>
      <c r="S730" t="s">
        <v>1227</v>
      </c>
      <c r="T730" s="54" t="s">
        <v>1227</v>
      </c>
      <c r="U730" t="s">
        <v>1227</v>
      </c>
    </row>
    <row r="731" spans="1:21" x14ac:dyDescent="0.25">
      <c r="A731" s="44" t="s">
        <v>1054</v>
      </c>
      <c r="B731" s="44" t="s">
        <v>221</v>
      </c>
      <c r="C731" s="45">
        <v>9</v>
      </c>
      <c r="D731" s="45"/>
      <c r="E731" s="45">
        <v>1</v>
      </c>
      <c r="F731" s="45"/>
      <c r="G731" s="45">
        <v>0</v>
      </c>
      <c r="H731" s="45"/>
      <c r="I731" s="34">
        <v>1</v>
      </c>
      <c r="J731" t="e">
        <f>I731/(VLOOKUP(B731,'Team Stats'!$B$3:$K$18,5,0))</f>
        <v>#N/A</v>
      </c>
      <c r="M731" t="s">
        <v>1227</v>
      </c>
      <c r="N731" t="s">
        <v>1227</v>
      </c>
      <c r="O731" t="s">
        <v>1227</v>
      </c>
      <c r="P731" t="s">
        <v>1227</v>
      </c>
      <c r="Q731" t="s">
        <v>1227</v>
      </c>
      <c r="R731" t="s">
        <v>1227</v>
      </c>
      <c r="S731" t="s">
        <v>1227</v>
      </c>
      <c r="T731" s="54" t="s">
        <v>1227</v>
      </c>
      <c r="U731" t="s">
        <v>1227</v>
      </c>
    </row>
    <row r="732" spans="1:21" x14ac:dyDescent="0.25">
      <c r="A732" s="44" t="s">
        <v>1055</v>
      </c>
      <c r="B732" s="44" t="s">
        <v>207</v>
      </c>
      <c r="C732" s="45">
        <v>6</v>
      </c>
      <c r="D732" s="45"/>
      <c r="E732" s="45">
        <v>0</v>
      </c>
      <c r="F732" s="45"/>
      <c r="G732" s="45">
        <v>1</v>
      </c>
      <c r="H732" s="45"/>
      <c r="I732" s="34">
        <v>1</v>
      </c>
      <c r="J732">
        <f>I732/(VLOOKUP(B732,'Team Stats'!$B$3:$K$18,5,0))</f>
        <v>1.5060240963855422E-3</v>
      </c>
      <c r="M732" t="s">
        <v>1227</v>
      </c>
      <c r="N732" t="s">
        <v>1227</v>
      </c>
      <c r="O732" t="s">
        <v>1227</v>
      </c>
      <c r="P732" t="s">
        <v>1227</v>
      </c>
      <c r="Q732" t="s">
        <v>1227</v>
      </c>
      <c r="R732" t="s">
        <v>1227</v>
      </c>
      <c r="S732" t="s">
        <v>1227</v>
      </c>
      <c r="T732" s="54" t="s">
        <v>1227</v>
      </c>
      <c r="U732" t="s">
        <v>1227</v>
      </c>
    </row>
    <row r="733" spans="1:21" x14ac:dyDescent="0.25">
      <c r="A733" s="44" t="s">
        <v>1056</v>
      </c>
      <c r="B733" s="44" t="s">
        <v>221</v>
      </c>
      <c r="C733" s="45">
        <v>8</v>
      </c>
      <c r="D733" s="45"/>
      <c r="E733" s="45">
        <v>0</v>
      </c>
      <c r="F733" s="45"/>
      <c r="G733" s="45">
        <v>1</v>
      </c>
      <c r="H733" s="45"/>
      <c r="I733" s="34">
        <v>1</v>
      </c>
      <c r="J733" t="e">
        <f>I733/(VLOOKUP(B733,'Team Stats'!$B$3:$K$18,5,0))</f>
        <v>#N/A</v>
      </c>
      <c r="M733" t="s">
        <v>1227</v>
      </c>
      <c r="N733" t="s">
        <v>1227</v>
      </c>
      <c r="O733" t="s">
        <v>1227</v>
      </c>
      <c r="P733" t="s">
        <v>1227</v>
      </c>
      <c r="Q733" t="s">
        <v>1227</v>
      </c>
      <c r="R733" t="s">
        <v>1227</v>
      </c>
      <c r="S733" t="s">
        <v>1227</v>
      </c>
      <c r="T733" s="54" t="s">
        <v>1227</v>
      </c>
      <c r="U733" t="s">
        <v>1227</v>
      </c>
    </row>
    <row r="734" spans="1:21" x14ac:dyDescent="0.25">
      <c r="A734" s="44" t="s">
        <v>1057</v>
      </c>
      <c r="B734" s="44" t="s">
        <v>204</v>
      </c>
      <c r="C734" s="45">
        <v>3</v>
      </c>
      <c r="D734" s="45"/>
      <c r="E734" s="45">
        <v>0</v>
      </c>
      <c r="F734" s="45"/>
      <c r="G734" s="45">
        <v>1</v>
      </c>
      <c r="H734" s="45"/>
      <c r="I734" s="34">
        <v>1</v>
      </c>
      <c r="J734">
        <f>I734/(VLOOKUP(B734,'Team Stats'!$B$3:$K$18,5,0))</f>
        <v>1.6313213703099511E-3</v>
      </c>
      <c r="M734" t="s">
        <v>1227</v>
      </c>
      <c r="N734" t="s">
        <v>1227</v>
      </c>
      <c r="O734" t="s">
        <v>1227</v>
      </c>
      <c r="P734" t="s">
        <v>1227</v>
      </c>
      <c r="Q734" t="s">
        <v>1227</v>
      </c>
      <c r="R734" t="s">
        <v>1227</v>
      </c>
      <c r="S734" t="s">
        <v>1227</v>
      </c>
      <c r="T734" s="54" t="s">
        <v>1227</v>
      </c>
      <c r="U734" t="s">
        <v>1227</v>
      </c>
    </row>
    <row r="735" spans="1:21" x14ac:dyDescent="0.25">
      <c r="A735" s="44" t="s">
        <v>1058</v>
      </c>
      <c r="B735" s="44" t="s">
        <v>197</v>
      </c>
      <c r="C735" s="45">
        <v>12</v>
      </c>
      <c r="D735" s="45"/>
      <c r="E735" s="45">
        <v>0</v>
      </c>
      <c r="F735" s="45"/>
      <c r="G735" s="45">
        <v>1</v>
      </c>
      <c r="H735" s="45"/>
      <c r="I735" s="34">
        <v>1</v>
      </c>
      <c r="J735">
        <f>I735/(VLOOKUP(B735,'Team Stats'!$B$3:$K$18,5,0))</f>
        <v>1.6666666666666668E-3</v>
      </c>
      <c r="M735" t="s">
        <v>1227</v>
      </c>
      <c r="N735" t="s">
        <v>1227</v>
      </c>
      <c r="O735" t="s">
        <v>1227</v>
      </c>
      <c r="P735" t="s">
        <v>1227</v>
      </c>
      <c r="Q735" t="s">
        <v>1227</v>
      </c>
      <c r="R735" t="s">
        <v>1227</v>
      </c>
      <c r="S735" t="s">
        <v>1227</v>
      </c>
      <c r="T735" s="54" t="s">
        <v>1227</v>
      </c>
      <c r="U735" t="s">
        <v>1227</v>
      </c>
    </row>
    <row r="736" spans="1:21" x14ac:dyDescent="0.25">
      <c r="A736" s="44" t="s">
        <v>1059</v>
      </c>
      <c r="B736" s="44" t="s">
        <v>207</v>
      </c>
      <c r="C736" s="45">
        <v>31</v>
      </c>
      <c r="D736" s="45"/>
      <c r="E736" s="45">
        <v>0</v>
      </c>
      <c r="F736" s="45"/>
      <c r="G736" s="45">
        <v>1</v>
      </c>
      <c r="H736" s="45"/>
      <c r="I736" s="34">
        <v>1</v>
      </c>
      <c r="J736">
        <f>I736/(VLOOKUP(B736,'Team Stats'!$B$3:$K$18,5,0))</f>
        <v>1.5060240963855422E-3</v>
      </c>
      <c r="M736" t="s">
        <v>1227</v>
      </c>
      <c r="N736" t="s">
        <v>1227</v>
      </c>
      <c r="O736" t="s">
        <v>1227</v>
      </c>
      <c r="P736" t="s">
        <v>1227</v>
      </c>
      <c r="Q736" t="s">
        <v>1227</v>
      </c>
      <c r="R736" t="s">
        <v>1227</v>
      </c>
      <c r="S736" t="s">
        <v>1227</v>
      </c>
      <c r="T736" s="54" t="s">
        <v>1227</v>
      </c>
      <c r="U736" t="s">
        <v>1227</v>
      </c>
    </row>
    <row r="737" spans="1:21" x14ac:dyDescent="0.25">
      <c r="A737" s="44" t="s">
        <v>1060</v>
      </c>
      <c r="B737" s="44" t="s">
        <v>204</v>
      </c>
      <c r="C737" s="45">
        <v>12</v>
      </c>
      <c r="D737" s="45"/>
      <c r="E737" s="45">
        <v>0</v>
      </c>
      <c r="F737" s="45"/>
      <c r="G737" s="45">
        <v>1</v>
      </c>
      <c r="H737" s="45"/>
      <c r="I737" s="34">
        <v>1</v>
      </c>
      <c r="J737">
        <f>I737/(VLOOKUP(B737,'Team Stats'!$B$3:$K$18,5,0))</f>
        <v>1.6313213703099511E-3</v>
      </c>
      <c r="M737" t="s">
        <v>1227</v>
      </c>
      <c r="N737" t="s">
        <v>1227</v>
      </c>
      <c r="O737" t="s">
        <v>1227</v>
      </c>
      <c r="P737" t="s">
        <v>1227</v>
      </c>
      <c r="Q737" t="s">
        <v>1227</v>
      </c>
      <c r="R737" t="s">
        <v>1227</v>
      </c>
      <c r="S737" t="s">
        <v>1227</v>
      </c>
      <c r="T737" s="54" t="s">
        <v>1227</v>
      </c>
      <c r="U737" t="s">
        <v>1227</v>
      </c>
    </row>
    <row r="738" spans="1:21" x14ac:dyDescent="0.25">
      <c r="A738" s="44" t="s">
        <v>1061</v>
      </c>
      <c r="B738" s="44" t="s">
        <v>356</v>
      </c>
      <c r="C738" s="45">
        <v>9</v>
      </c>
      <c r="D738" s="45"/>
      <c r="E738" s="45">
        <v>0</v>
      </c>
      <c r="F738" s="45"/>
      <c r="G738" s="45">
        <v>1</v>
      </c>
      <c r="H738" s="45"/>
      <c r="I738" s="34">
        <v>1</v>
      </c>
      <c r="J738" t="e">
        <f>I738/(VLOOKUP(B738,'Team Stats'!$B$3:$K$18,5,0))</f>
        <v>#N/A</v>
      </c>
      <c r="M738" t="s">
        <v>1227</v>
      </c>
      <c r="N738" t="s">
        <v>1227</v>
      </c>
      <c r="O738" t="s">
        <v>1227</v>
      </c>
      <c r="P738" t="s">
        <v>1227</v>
      </c>
      <c r="Q738" t="s">
        <v>1227</v>
      </c>
      <c r="R738" t="s">
        <v>1227</v>
      </c>
      <c r="S738" t="s">
        <v>1227</v>
      </c>
      <c r="T738" s="54" t="s">
        <v>1227</v>
      </c>
      <c r="U738" t="s">
        <v>1227</v>
      </c>
    </row>
    <row r="739" spans="1:21" x14ac:dyDescent="0.25">
      <c r="A739" s="44" t="s">
        <v>1062</v>
      </c>
      <c r="B739" s="44" t="s">
        <v>330</v>
      </c>
      <c r="C739" s="45">
        <v>6</v>
      </c>
      <c r="D739" s="45"/>
      <c r="E739" s="45">
        <v>0</v>
      </c>
      <c r="F739" s="45"/>
      <c r="G739" s="45">
        <v>1</v>
      </c>
      <c r="H739" s="45"/>
      <c r="I739" s="34">
        <v>1</v>
      </c>
      <c r="J739" t="e">
        <f>I739/(VLOOKUP(B739,'Team Stats'!$B$3:$K$18,5,0))</f>
        <v>#N/A</v>
      </c>
      <c r="M739" t="s">
        <v>1227</v>
      </c>
      <c r="N739" t="s">
        <v>1227</v>
      </c>
      <c r="O739" t="s">
        <v>1227</v>
      </c>
      <c r="P739" t="s">
        <v>1227</v>
      </c>
      <c r="Q739" t="s">
        <v>1227</v>
      </c>
      <c r="R739" t="s">
        <v>1227</v>
      </c>
      <c r="S739" t="s">
        <v>1227</v>
      </c>
      <c r="T739" s="54" t="s">
        <v>1227</v>
      </c>
      <c r="U739" t="s">
        <v>1227</v>
      </c>
    </row>
    <row r="740" spans="1:21" x14ac:dyDescent="0.25">
      <c r="A740" s="44" t="s">
        <v>1063</v>
      </c>
      <c r="B740" s="44" t="s">
        <v>220</v>
      </c>
      <c r="C740" s="45">
        <v>4</v>
      </c>
      <c r="D740" s="45"/>
      <c r="E740" s="45">
        <v>0</v>
      </c>
      <c r="F740" s="45"/>
      <c r="G740" s="45">
        <v>1</v>
      </c>
      <c r="H740" s="45"/>
      <c r="I740" s="34">
        <v>1</v>
      </c>
      <c r="J740" t="e">
        <f>I740/(VLOOKUP(B740,'Team Stats'!$B$3:$K$18,5,0))</f>
        <v>#N/A</v>
      </c>
      <c r="M740" t="s">
        <v>1227</v>
      </c>
      <c r="N740" t="s">
        <v>1227</v>
      </c>
      <c r="O740" t="s">
        <v>1227</v>
      </c>
      <c r="P740" t="s">
        <v>1227</v>
      </c>
      <c r="Q740" t="s">
        <v>1227</v>
      </c>
      <c r="R740" t="s">
        <v>1227</v>
      </c>
      <c r="S740" t="s">
        <v>1227</v>
      </c>
      <c r="T740" s="54" t="s">
        <v>1227</v>
      </c>
      <c r="U740" t="s">
        <v>1227</v>
      </c>
    </row>
    <row r="741" spans="1:21" x14ac:dyDescent="0.25">
      <c r="A741" s="44" t="s">
        <v>1064</v>
      </c>
      <c r="B741" s="44" t="s">
        <v>218</v>
      </c>
      <c r="C741" s="45">
        <v>9</v>
      </c>
      <c r="D741" s="45"/>
      <c r="E741" s="45">
        <v>0</v>
      </c>
      <c r="F741" s="45"/>
      <c r="G741" s="45">
        <v>1</v>
      </c>
      <c r="H741" s="45"/>
      <c r="I741" s="34">
        <v>1</v>
      </c>
      <c r="J741" t="e">
        <f>I741/(VLOOKUP(B741,'Team Stats'!$B$3:$K$18,5,0))</f>
        <v>#N/A</v>
      </c>
      <c r="M741" t="s">
        <v>1227</v>
      </c>
      <c r="N741" t="s">
        <v>1227</v>
      </c>
      <c r="O741" t="s">
        <v>1227</v>
      </c>
      <c r="P741" t="s">
        <v>1227</v>
      </c>
      <c r="Q741" t="s">
        <v>1227</v>
      </c>
      <c r="R741" t="s">
        <v>1227</v>
      </c>
      <c r="S741" t="s">
        <v>1227</v>
      </c>
      <c r="T741" s="54" t="s">
        <v>1227</v>
      </c>
      <c r="U741" t="s">
        <v>1227</v>
      </c>
    </row>
    <row r="742" spans="1:21" x14ac:dyDescent="0.25">
      <c r="A742" s="44" t="s">
        <v>1065</v>
      </c>
      <c r="B742" s="44" t="s">
        <v>219</v>
      </c>
      <c r="C742" s="45">
        <v>4</v>
      </c>
      <c r="D742" s="45"/>
      <c r="E742" s="45">
        <v>1</v>
      </c>
      <c r="F742" s="45"/>
      <c r="G742" s="45">
        <v>0</v>
      </c>
      <c r="H742" s="45"/>
      <c r="I742" s="34">
        <v>1</v>
      </c>
      <c r="J742" t="e">
        <f>I742/(VLOOKUP(B742,'Team Stats'!$B$3:$K$18,5,0))</f>
        <v>#N/A</v>
      </c>
      <c r="M742" t="s">
        <v>1227</v>
      </c>
      <c r="N742" t="s">
        <v>1227</v>
      </c>
      <c r="O742" t="s">
        <v>1227</v>
      </c>
      <c r="P742" t="s">
        <v>1227</v>
      </c>
      <c r="Q742" t="s">
        <v>1227</v>
      </c>
      <c r="R742" t="s">
        <v>1227</v>
      </c>
      <c r="S742" t="s">
        <v>1227</v>
      </c>
      <c r="T742" s="54" t="s">
        <v>1227</v>
      </c>
      <c r="U742" t="s">
        <v>1227</v>
      </c>
    </row>
    <row r="743" spans="1:21" x14ac:dyDescent="0.25">
      <c r="A743" s="44" t="s">
        <v>1066</v>
      </c>
      <c r="B743" s="44" t="s">
        <v>211</v>
      </c>
      <c r="C743" s="45">
        <v>14</v>
      </c>
      <c r="D743" s="45"/>
      <c r="E743" s="45">
        <v>0</v>
      </c>
      <c r="F743" s="45"/>
      <c r="G743" s="45">
        <v>1</v>
      </c>
      <c r="H743" s="45"/>
      <c r="I743" s="34">
        <v>1</v>
      </c>
      <c r="J743">
        <f>I743/(VLOOKUP(B743,'Team Stats'!$B$3:$K$18,5,0))</f>
        <v>1.6447368421052631E-3</v>
      </c>
      <c r="M743" t="s">
        <v>1227</v>
      </c>
      <c r="N743" t="s">
        <v>1227</v>
      </c>
      <c r="O743" t="s">
        <v>1227</v>
      </c>
      <c r="P743" t="s">
        <v>1227</v>
      </c>
      <c r="Q743" t="s">
        <v>1227</v>
      </c>
      <c r="R743" t="s">
        <v>1227</v>
      </c>
      <c r="S743" t="s">
        <v>1227</v>
      </c>
      <c r="T743" s="54" t="s">
        <v>1227</v>
      </c>
      <c r="U743" t="s">
        <v>1227</v>
      </c>
    </row>
    <row r="744" spans="1:21" x14ac:dyDescent="0.25">
      <c r="A744" s="44" t="s">
        <v>1067</v>
      </c>
      <c r="B744" s="44" t="s">
        <v>199</v>
      </c>
      <c r="C744" s="45">
        <v>17</v>
      </c>
      <c r="D744" s="45"/>
      <c r="E744" s="45">
        <v>0</v>
      </c>
      <c r="F744" s="45"/>
      <c r="G744" s="45">
        <v>1</v>
      </c>
      <c r="H744" s="45"/>
      <c r="I744" s="34">
        <v>1</v>
      </c>
      <c r="J744">
        <f>I744/(VLOOKUP(B744,'Team Stats'!$B$3:$K$18,5,0))</f>
        <v>1.5151515151515152E-3</v>
      </c>
      <c r="M744" t="s">
        <v>1227</v>
      </c>
      <c r="N744" t="s">
        <v>1227</v>
      </c>
      <c r="O744" t="s">
        <v>1227</v>
      </c>
      <c r="P744" t="s">
        <v>1227</v>
      </c>
      <c r="Q744" t="s">
        <v>1227</v>
      </c>
      <c r="R744" t="s">
        <v>1227</v>
      </c>
      <c r="S744" t="s">
        <v>1227</v>
      </c>
      <c r="T744" s="54" t="s">
        <v>1227</v>
      </c>
      <c r="U744" t="s">
        <v>1227</v>
      </c>
    </row>
    <row r="745" spans="1:21" x14ac:dyDescent="0.25">
      <c r="A745" s="44" t="s">
        <v>1068</v>
      </c>
      <c r="B745" s="44" t="s">
        <v>203</v>
      </c>
      <c r="C745" s="45">
        <v>8</v>
      </c>
      <c r="D745" s="45"/>
      <c r="E745" s="45">
        <v>0</v>
      </c>
      <c r="F745" s="45"/>
      <c r="G745" s="45">
        <v>1</v>
      </c>
      <c r="H745" s="45"/>
      <c r="I745" s="34">
        <v>1</v>
      </c>
      <c r="J745" t="e">
        <f>I745/(VLOOKUP(B745,'Team Stats'!$B$3:$K$18,5,0))</f>
        <v>#N/A</v>
      </c>
      <c r="M745" t="s">
        <v>1227</v>
      </c>
      <c r="N745" t="s">
        <v>1227</v>
      </c>
      <c r="O745" t="s">
        <v>1227</v>
      </c>
      <c r="P745" t="s">
        <v>1227</v>
      </c>
      <c r="Q745" t="s">
        <v>1227</v>
      </c>
      <c r="R745" t="s">
        <v>1227</v>
      </c>
      <c r="S745" t="s">
        <v>1227</v>
      </c>
      <c r="T745" s="54" t="s">
        <v>1227</v>
      </c>
      <c r="U745" t="s">
        <v>1227</v>
      </c>
    </row>
    <row r="746" spans="1:21" x14ac:dyDescent="0.25">
      <c r="A746" s="44" t="s">
        <v>1069</v>
      </c>
      <c r="B746" s="44" t="s">
        <v>324</v>
      </c>
      <c r="C746" s="45">
        <v>2</v>
      </c>
      <c r="D746" s="45"/>
      <c r="E746" s="45">
        <v>1</v>
      </c>
      <c r="F746" s="45"/>
      <c r="G746" s="45">
        <v>0</v>
      </c>
      <c r="H746" s="45"/>
      <c r="I746" s="34">
        <v>1</v>
      </c>
      <c r="J746" t="e">
        <f>I746/(VLOOKUP(B746,'Team Stats'!$B$3:$K$18,5,0))</f>
        <v>#N/A</v>
      </c>
      <c r="M746" t="s">
        <v>1227</v>
      </c>
      <c r="N746" t="s">
        <v>1227</v>
      </c>
      <c r="O746" t="s">
        <v>1227</v>
      </c>
      <c r="P746" t="s">
        <v>1227</v>
      </c>
      <c r="Q746" t="s">
        <v>1227</v>
      </c>
      <c r="R746" t="s">
        <v>1227</v>
      </c>
      <c r="S746" t="s">
        <v>1227</v>
      </c>
      <c r="T746" s="54" t="s">
        <v>1227</v>
      </c>
      <c r="U746" t="s">
        <v>1227</v>
      </c>
    </row>
    <row r="747" spans="1:21" x14ac:dyDescent="0.25">
      <c r="A747" s="44" t="s">
        <v>1070</v>
      </c>
      <c r="B747" s="44" t="s">
        <v>214</v>
      </c>
      <c r="C747" s="45">
        <v>12</v>
      </c>
      <c r="D747" s="45"/>
      <c r="E747" s="45">
        <v>1</v>
      </c>
      <c r="F747" s="45"/>
      <c r="G747" s="45">
        <v>0</v>
      </c>
      <c r="H747" s="45"/>
      <c r="I747" s="34">
        <v>1</v>
      </c>
      <c r="J747" t="e">
        <f>I747/(VLOOKUP(B747,'Team Stats'!$B$3:$K$18,5,0))</f>
        <v>#N/A</v>
      </c>
      <c r="M747" t="s">
        <v>1227</v>
      </c>
      <c r="N747" t="s">
        <v>1227</v>
      </c>
      <c r="O747" t="s">
        <v>1227</v>
      </c>
      <c r="P747" t="s">
        <v>1227</v>
      </c>
      <c r="Q747" t="s">
        <v>1227</v>
      </c>
      <c r="R747" t="s">
        <v>1227</v>
      </c>
      <c r="S747" t="s">
        <v>1227</v>
      </c>
      <c r="T747" s="54" t="s">
        <v>1227</v>
      </c>
      <c r="U747" t="s">
        <v>1227</v>
      </c>
    </row>
    <row r="748" spans="1:21" x14ac:dyDescent="0.25">
      <c r="A748" s="44" t="s">
        <v>1071</v>
      </c>
      <c r="B748" s="44" t="s">
        <v>219</v>
      </c>
      <c r="C748" s="45">
        <v>7</v>
      </c>
      <c r="D748" s="45"/>
      <c r="E748" s="45">
        <v>1</v>
      </c>
      <c r="F748" s="45"/>
      <c r="G748" s="45">
        <v>0</v>
      </c>
      <c r="H748" s="45"/>
      <c r="I748" s="34">
        <v>1</v>
      </c>
      <c r="J748" t="e">
        <f>I748/(VLOOKUP(B748,'Team Stats'!$B$3:$K$18,5,0))</f>
        <v>#N/A</v>
      </c>
      <c r="M748" t="s">
        <v>1227</v>
      </c>
      <c r="N748" t="s">
        <v>1227</v>
      </c>
      <c r="O748" t="s">
        <v>1227</v>
      </c>
      <c r="P748" t="s">
        <v>1227</v>
      </c>
      <c r="Q748" t="s">
        <v>1227</v>
      </c>
      <c r="R748" t="s">
        <v>1227</v>
      </c>
      <c r="S748" t="s">
        <v>1227</v>
      </c>
      <c r="T748" s="54" t="s">
        <v>1227</v>
      </c>
      <c r="U748" t="s">
        <v>1227</v>
      </c>
    </row>
    <row r="749" spans="1:21" x14ac:dyDescent="0.25">
      <c r="A749" s="44" t="s">
        <v>1072</v>
      </c>
      <c r="B749" s="44" t="s">
        <v>215</v>
      </c>
      <c r="C749" s="45">
        <v>7</v>
      </c>
      <c r="D749" s="45"/>
      <c r="E749" s="45">
        <v>0</v>
      </c>
      <c r="F749" s="45"/>
      <c r="G749" s="45">
        <v>1</v>
      </c>
      <c r="H749" s="45"/>
      <c r="I749" s="34">
        <v>1</v>
      </c>
      <c r="J749" t="e">
        <f>I749/(VLOOKUP(B749,'Team Stats'!$B$3:$K$18,5,0))</f>
        <v>#N/A</v>
      </c>
      <c r="M749" t="s">
        <v>1227</v>
      </c>
      <c r="N749" t="s">
        <v>1227</v>
      </c>
      <c r="O749" t="s">
        <v>1227</v>
      </c>
      <c r="P749" t="s">
        <v>1227</v>
      </c>
      <c r="Q749" t="s">
        <v>1227</v>
      </c>
      <c r="R749" t="s">
        <v>1227</v>
      </c>
      <c r="S749" t="s">
        <v>1227</v>
      </c>
      <c r="T749" s="54" t="s">
        <v>1227</v>
      </c>
      <c r="U749" t="s">
        <v>1227</v>
      </c>
    </row>
    <row r="750" spans="1:21" x14ac:dyDescent="0.25">
      <c r="A750" s="44" t="s">
        <v>1073</v>
      </c>
      <c r="B750" s="44" t="s">
        <v>216</v>
      </c>
      <c r="C750" s="45">
        <v>15</v>
      </c>
      <c r="D750" s="45"/>
      <c r="E750" s="45">
        <v>1</v>
      </c>
      <c r="F750" s="45"/>
      <c r="G750" s="45">
        <v>0</v>
      </c>
      <c r="H750" s="45"/>
      <c r="I750" s="34">
        <v>1</v>
      </c>
      <c r="J750" t="e">
        <f>I750/(VLOOKUP(B750,'Team Stats'!$B$3:$K$18,5,0))</f>
        <v>#N/A</v>
      </c>
      <c r="M750" t="s">
        <v>1227</v>
      </c>
      <c r="N750" t="s">
        <v>1227</v>
      </c>
      <c r="O750" t="s">
        <v>1227</v>
      </c>
      <c r="P750" t="s">
        <v>1227</v>
      </c>
      <c r="Q750" t="s">
        <v>1227</v>
      </c>
      <c r="R750" t="s">
        <v>1227</v>
      </c>
      <c r="S750" t="s">
        <v>1227</v>
      </c>
      <c r="T750" s="54" t="s">
        <v>1227</v>
      </c>
      <c r="U750" t="s">
        <v>1227</v>
      </c>
    </row>
    <row r="751" spans="1:21" x14ac:dyDescent="0.25">
      <c r="A751" s="44" t="s">
        <v>1074</v>
      </c>
      <c r="B751" s="44" t="s">
        <v>212</v>
      </c>
      <c r="C751" s="45">
        <v>9</v>
      </c>
      <c r="D751" s="45"/>
      <c r="E751" s="45">
        <v>1</v>
      </c>
      <c r="F751" s="45"/>
      <c r="G751" s="45">
        <v>0</v>
      </c>
      <c r="H751" s="45"/>
      <c r="I751" s="34">
        <v>1</v>
      </c>
      <c r="J751" t="e">
        <f>I751/(VLOOKUP(B751,'Team Stats'!$B$3:$K$18,5,0))</f>
        <v>#N/A</v>
      </c>
      <c r="M751" t="s">
        <v>1227</v>
      </c>
      <c r="N751" t="s">
        <v>1227</v>
      </c>
      <c r="O751" t="s">
        <v>1227</v>
      </c>
      <c r="P751" t="s">
        <v>1227</v>
      </c>
      <c r="Q751" t="s">
        <v>1227</v>
      </c>
      <c r="R751" t="s">
        <v>1227</v>
      </c>
      <c r="S751" t="s">
        <v>1227</v>
      </c>
      <c r="T751" s="54" t="s">
        <v>1227</v>
      </c>
      <c r="U751" t="s">
        <v>1227</v>
      </c>
    </row>
    <row r="752" spans="1:21" x14ac:dyDescent="0.25">
      <c r="A752" s="44" t="s">
        <v>1075</v>
      </c>
      <c r="B752" s="44" t="s">
        <v>207</v>
      </c>
      <c r="C752" s="45">
        <v>1</v>
      </c>
      <c r="D752" s="45"/>
      <c r="E752" s="45">
        <v>0</v>
      </c>
      <c r="F752" s="45"/>
      <c r="G752" s="45">
        <v>1</v>
      </c>
      <c r="H752" s="45"/>
      <c r="I752" s="34">
        <v>1</v>
      </c>
      <c r="J752">
        <f>I752/(VLOOKUP(B752,'Team Stats'!$B$3:$K$18,5,0))</f>
        <v>1.5060240963855422E-3</v>
      </c>
      <c r="M752" t="s">
        <v>1227</v>
      </c>
      <c r="N752" t="s">
        <v>1227</v>
      </c>
      <c r="O752" t="s">
        <v>1227</v>
      </c>
      <c r="P752" t="s">
        <v>1227</v>
      </c>
      <c r="Q752" t="s">
        <v>1227</v>
      </c>
      <c r="R752" t="s">
        <v>1227</v>
      </c>
      <c r="S752" t="s">
        <v>1227</v>
      </c>
      <c r="T752" s="54" t="s">
        <v>1227</v>
      </c>
      <c r="U752" t="s">
        <v>1227</v>
      </c>
    </row>
    <row r="753" spans="1:21" x14ac:dyDescent="0.25">
      <c r="A753" s="44" t="s">
        <v>1076</v>
      </c>
      <c r="B753" s="44" t="s">
        <v>214</v>
      </c>
      <c r="C753" s="45">
        <v>31</v>
      </c>
      <c r="D753" s="45"/>
      <c r="E753" s="45">
        <v>0</v>
      </c>
      <c r="F753" s="45"/>
      <c r="G753" s="45">
        <v>1</v>
      </c>
      <c r="H753" s="45"/>
      <c r="I753" s="34">
        <v>1</v>
      </c>
      <c r="J753" t="e">
        <f>I753/(VLOOKUP(B753,'Team Stats'!$B$3:$K$18,5,0))</f>
        <v>#N/A</v>
      </c>
      <c r="M753" t="s">
        <v>1227</v>
      </c>
      <c r="N753" t="s">
        <v>1227</v>
      </c>
      <c r="O753" t="s">
        <v>1227</v>
      </c>
      <c r="P753" t="s">
        <v>1227</v>
      </c>
      <c r="Q753" t="s">
        <v>1227</v>
      </c>
      <c r="R753" t="s">
        <v>1227</v>
      </c>
      <c r="S753" t="s">
        <v>1227</v>
      </c>
      <c r="T753" s="54" t="s">
        <v>1227</v>
      </c>
      <c r="U753" t="s">
        <v>1227</v>
      </c>
    </row>
    <row r="754" spans="1:21" x14ac:dyDescent="0.25">
      <c r="A754" s="44" t="s">
        <v>1077</v>
      </c>
      <c r="B754" s="44" t="s">
        <v>219</v>
      </c>
      <c r="C754" s="45">
        <v>11</v>
      </c>
      <c r="D754" s="45"/>
      <c r="E754" s="45">
        <v>1</v>
      </c>
      <c r="F754" s="45"/>
      <c r="G754" s="45">
        <v>0</v>
      </c>
      <c r="H754" s="45"/>
      <c r="I754" s="34">
        <v>1</v>
      </c>
      <c r="J754" t="e">
        <f>I754/(VLOOKUP(B754,'Team Stats'!$B$3:$K$18,5,0))</f>
        <v>#N/A</v>
      </c>
      <c r="M754" t="s">
        <v>1227</v>
      </c>
      <c r="N754" t="s">
        <v>1227</v>
      </c>
      <c r="O754" t="s">
        <v>1227</v>
      </c>
      <c r="P754" t="s">
        <v>1227</v>
      </c>
      <c r="Q754" t="s">
        <v>1227</v>
      </c>
      <c r="R754" t="s">
        <v>1227</v>
      </c>
      <c r="S754" t="s">
        <v>1227</v>
      </c>
      <c r="T754" s="54" t="s">
        <v>1227</v>
      </c>
      <c r="U754" t="s">
        <v>1227</v>
      </c>
    </row>
    <row r="755" spans="1:21" x14ac:dyDescent="0.25">
      <c r="A755" s="44" t="s">
        <v>1078</v>
      </c>
      <c r="B755" s="44" t="s">
        <v>212</v>
      </c>
      <c r="C755" s="45">
        <v>6</v>
      </c>
      <c r="D755" s="45"/>
      <c r="E755" s="45">
        <v>0</v>
      </c>
      <c r="F755" s="45"/>
      <c r="G755" s="45">
        <v>1</v>
      </c>
      <c r="H755" s="45"/>
      <c r="I755" s="34">
        <v>1</v>
      </c>
      <c r="J755" t="e">
        <f>I755/(VLOOKUP(B755,'Team Stats'!$B$3:$K$18,5,0))</f>
        <v>#N/A</v>
      </c>
      <c r="M755" t="s">
        <v>1227</v>
      </c>
      <c r="N755" t="s">
        <v>1227</v>
      </c>
      <c r="O755" t="s">
        <v>1227</v>
      </c>
      <c r="P755" t="s">
        <v>1227</v>
      </c>
      <c r="Q755" t="s">
        <v>1227</v>
      </c>
      <c r="R755" t="s">
        <v>1227</v>
      </c>
      <c r="S755" t="s">
        <v>1227</v>
      </c>
      <c r="T755" s="54" t="s">
        <v>1227</v>
      </c>
      <c r="U755" t="s">
        <v>1227</v>
      </c>
    </row>
    <row r="756" spans="1:21" x14ac:dyDescent="0.25">
      <c r="A756" s="44" t="s">
        <v>1079</v>
      </c>
      <c r="B756" s="44" t="s">
        <v>219</v>
      </c>
      <c r="C756" s="45">
        <v>10</v>
      </c>
      <c r="D756" s="45"/>
      <c r="E756" s="45">
        <v>0</v>
      </c>
      <c r="F756" s="45"/>
      <c r="G756" s="45">
        <v>1</v>
      </c>
      <c r="H756" s="45"/>
      <c r="I756" s="34">
        <v>1</v>
      </c>
      <c r="J756" t="e">
        <f>I756/(VLOOKUP(B756,'Team Stats'!$B$3:$K$18,5,0))</f>
        <v>#N/A</v>
      </c>
      <c r="M756" t="s">
        <v>1227</v>
      </c>
      <c r="N756" t="s">
        <v>1227</v>
      </c>
      <c r="O756" t="s">
        <v>1227</v>
      </c>
      <c r="P756" t="s">
        <v>1227</v>
      </c>
      <c r="Q756" t="s">
        <v>1227</v>
      </c>
      <c r="R756" t="s">
        <v>1227</v>
      </c>
      <c r="S756" t="s">
        <v>1227</v>
      </c>
      <c r="T756" s="54" t="s">
        <v>1227</v>
      </c>
      <c r="U756" t="s">
        <v>1227</v>
      </c>
    </row>
    <row r="757" spans="1:21" x14ac:dyDescent="0.25">
      <c r="A757" s="44" t="s">
        <v>1080</v>
      </c>
      <c r="B757" s="44" t="s">
        <v>216</v>
      </c>
      <c r="C757" s="45">
        <v>7</v>
      </c>
      <c r="D757" s="45"/>
      <c r="E757" s="45">
        <v>0</v>
      </c>
      <c r="F757" s="45"/>
      <c r="G757" s="45">
        <v>1</v>
      </c>
      <c r="H757" s="45"/>
      <c r="I757" s="34">
        <v>1</v>
      </c>
      <c r="J757" t="e">
        <f>I757/(VLOOKUP(B757,'Team Stats'!$B$3:$K$18,5,0))</f>
        <v>#N/A</v>
      </c>
      <c r="M757" t="s">
        <v>1227</v>
      </c>
      <c r="N757" t="s">
        <v>1227</v>
      </c>
      <c r="O757" t="s">
        <v>1227</v>
      </c>
      <c r="P757" t="s">
        <v>1227</v>
      </c>
      <c r="Q757" t="s">
        <v>1227</v>
      </c>
      <c r="R757" t="s">
        <v>1227</v>
      </c>
      <c r="S757" t="s">
        <v>1227</v>
      </c>
      <c r="T757" s="54" t="s">
        <v>1227</v>
      </c>
      <c r="U757" t="s">
        <v>1227</v>
      </c>
    </row>
    <row r="758" spans="1:21" x14ac:dyDescent="0.25">
      <c r="A758" s="44" t="s">
        <v>1081</v>
      </c>
      <c r="B758" s="44" t="s">
        <v>211</v>
      </c>
      <c r="C758" s="45">
        <v>9</v>
      </c>
      <c r="D758" s="45"/>
      <c r="E758" s="45">
        <v>0</v>
      </c>
      <c r="F758" s="45"/>
      <c r="G758" s="45">
        <v>1</v>
      </c>
      <c r="H758" s="45"/>
      <c r="I758" s="34">
        <v>1</v>
      </c>
      <c r="J758">
        <f>I758/(VLOOKUP(B758,'Team Stats'!$B$3:$K$18,5,0))</f>
        <v>1.6447368421052631E-3</v>
      </c>
      <c r="M758" t="s">
        <v>1227</v>
      </c>
      <c r="N758" t="s">
        <v>1227</v>
      </c>
      <c r="O758" t="s">
        <v>1227</v>
      </c>
      <c r="P758" t="s">
        <v>1227</v>
      </c>
      <c r="Q758" t="s">
        <v>1227</v>
      </c>
      <c r="R758" t="s">
        <v>1227</v>
      </c>
      <c r="S758" t="s">
        <v>1227</v>
      </c>
      <c r="T758" s="54" t="s">
        <v>1227</v>
      </c>
      <c r="U758" t="s">
        <v>1227</v>
      </c>
    </row>
    <row r="759" spans="1:21" x14ac:dyDescent="0.25">
      <c r="A759" s="44" t="s">
        <v>1082</v>
      </c>
      <c r="B759" s="44" t="s">
        <v>201</v>
      </c>
      <c r="C759" s="45">
        <v>1</v>
      </c>
      <c r="D759" s="45"/>
      <c r="E759" s="45">
        <v>0</v>
      </c>
      <c r="F759" s="45"/>
      <c r="G759" s="45">
        <v>1</v>
      </c>
      <c r="H759" s="45"/>
      <c r="I759" s="34">
        <v>1</v>
      </c>
      <c r="J759">
        <f>I759/(VLOOKUP(B759,'Team Stats'!$B$3:$K$18,5,0))</f>
        <v>1.6638935108153079E-3</v>
      </c>
      <c r="M759" t="s">
        <v>1227</v>
      </c>
      <c r="N759" t="s">
        <v>1227</v>
      </c>
      <c r="O759" t="s">
        <v>1227</v>
      </c>
      <c r="P759" t="s">
        <v>1227</v>
      </c>
      <c r="Q759" t="s">
        <v>1227</v>
      </c>
      <c r="R759" t="s">
        <v>1227</v>
      </c>
      <c r="S759" t="s">
        <v>1227</v>
      </c>
      <c r="T759" s="54" t="s">
        <v>1227</v>
      </c>
      <c r="U759" t="s">
        <v>1227</v>
      </c>
    </row>
    <row r="760" spans="1:21" x14ac:dyDescent="0.25">
      <c r="A760" s="44" t="s">
        <v>1083</v>
      </c>
      <c r="B760" s="44" t="s">
        <v>221</v>
      </c>
      <c r="C760" s="45">
        <v>5</v>
      </c>
      <c r="D760" s="45"/>
      <c r="E760" s="45">
        <v>1</v>
      </c>
      <c r="F760" s="45"/>
      <c r="G760" s="45">
        <v>0</v>
      </c>
      <c r="H760" s="45"/>
      <c r="I760" s="34">
        <v>1</v>
      </c>
      <c r="J760" t="e">
        <f>I760/(VLOOKUP(B760,'Team Stats'!$B$3:$K$18,5,0))</f>
        <v>#N/A</v>
      </c>
      <c r="M760" t="s">
        <v>1227</v>
      </c>
      <c r="N760" t="s">
        <v>1227</v>
      </c>
      <c r="O760" t="s">
        <v>1227</v>
      </c>
      <c r="P760" t="s">
        <v>1227</v>
      </c>
      <c r="Q760" t="s">
        <v>1227</v>
      </c>
      <c r="R760" t="s">
        <v>1227</v>
      </c>
      <c r="S760" t="s">
        <v>1227</v>
      </c>
      <c r="T760" s="54" t="s">
        <v>1227</v>
      </c>
      <c r="U760" t="s">
        <v>1227</v>
      </c>
    </row>
    <row r="761" spans="1:21" x14ac:dyDescent="0.25">
      <c r="A761" s="44" t="s">
        <v>1084</v>
      </c>
      <c r="B761" s="44" t="s">
        <v>344</v>
      </c>
      <c r="C761" s="45">
        <v>18</v>
      </c>
      <c r="D761" s="45"/>
      <c r="E761" s="45">
        <v>1</v>
      </c>
      <c r="F761" s="45"/>
      <c r="G761" s="45">
        <v>0</v>
      </c>
      <c r="H761" s="45"/>
      <c r="I761" s="34">
        <v>1</v>
      </c>
      <c r="J761" t="e">
        <f>I761/(VLOOKUP(B761,'Team Stats'!$B$3:$K$18,5,0))</f>
        <v>#N/A</v>
      </c>
      <c r="M761" t="s">
        <v>1227</v>
      </c>
      <c r="N761" t="s">
        <v>1227</v>
      </c>
      <c r="O761" t="s">
        <v>1227</v>
      </c>
      <c r="P761" t="s">
        <v>1227</v>
      </c>
      <c r="Q761" t="s">
        <v>1227</v>
      </c>
      <c r="R761" t="s">
        <v>1227</v>
      </c>
      <c r="S761" t="s">
        <v>1227</v>
      </c>
      <c r="T761" s="54" t="s">
        <v>1227</v>
      </c>
      <c r="U761" t="s">
        <v>1227</v>
      </c>
    </row>
    <row r="762" spans="1:21" x14ac:dyDescent="0.25">
      <c r="A762" s="44" t="s">
        <v>1085</v>
      </c>
      <c r="B762" s="44" t="s">
        <v>364</v>
      </c>
      <c r="C762" s="45">
        <v>1</v>
      </c>
      <c r="D762" s="45"/>
      <c r="E762" s="45">
        <v>1</v>
      </c>
      <c r="F762" s="45"/>
      <c r="G762" s="45">
        <v>0</v>
      </c>
      <c r="H762" s="45"/>
      <c r="I762" s="34">
        <v>1</v>
      </c>
      <c r="J762" t="e">
        <f>I762/(VLOOKUP(B762,'Team Stats'!$B$3:$K$18,5,0))</f>
        <v>#N/A</v>
      </c>
      <c r="M762" t="s">
        <v>1227</v>
      </c>
      <c r="N762" t="s">
        <v>1227</v>
      </c>
      <c r="O762" t="s">
        <v>1227</v>
      </c>
      <c r="P762" t="s">
        <v>1227</v>
      </c>
      <c r="Q762" t="s">
        <v>1227</v>
      </c>
      <c r="R762" t="s">
        <v>1227</v>
      </c>
      <c r="S762" t="s">
        <v>1227</v>
      </c>
      <c r="T762" s="54" t="s">
        <v>1227</v>
      </c>
      <c r="U762" t="s">
        <v>1227</v>
      </c>
    </row>
    <row r="763" spans="1:21" x14ac:dyDescent="0.25">
      <c r="A763" s="44" t="s">
        <v>1086</v>
      </c>
      <c r="B763" s="44" t="s">
        <v>212</v>
      </c>
      <c r="C763" s="45">
        <v>6</v>
      </c>
      <c r="D763" s="45"/>
      <c r="E763" s="45">
        <v>1</v>
      </c>
      <c r="F763" s="45"/>
      <c r="G763" s="45">
        <v>0</v>
      </c>
      <c r="H763" s="45"/>
      <c r="I763" s="34">
        <v>1</v>
      </c>
      <c r="J763" t="e">
        <f>I763/(VLOOKUP(B763,'Team Stats'!$B$3:$K$18,5,0))</f>
        <v>#N/A</v>
      </c>
      <c r="M763" t="s">
        <v>1227</v>
      </c>
      <c r="N763" t="s">
        <v>1227</v>
      </c>
      <c r="O763" t="s">
        <v>1227</v>
      </c>
      <c r="P763" t="s">
        <v>1227</v>
      </c>
      <c r="Q763" t="s">
        <v>1227</v>
      </c>
      <c r="R763" t="s">
        <v>1227</v>
      </c>
      <c r="S763" t="s">
        <v>1227</v>
      </c>
      <c r="T763" s="54" t="s">
        <v>1227</v>
      </c>
      <c r="U763" t="s">
        <v>1227</v>
      </c>
    </row>
    <row r="764" spans="1:21" x14ac:dyDescent="0.25">
      <c r="A764" s="44" t="s">
        <v>1087</v>
      </c>
      <c r="B764" s="44" t="s">
        <v>216</v>
      </c>
      <c r="C764" s="45">
        <v>4</v>
      </c>
      <c r="D764" s="45"/>
      <c r="E764" s="45">
        <v>0</v>
      </c>
      <c r="F764" s="45"/>
      <c r="G764" s="45">
        <v>1</v>
      </c>
      <c r="H764" s="45"/>
      <c r="I764" s="34">
        <v>1</v>
      </c>
      <c r="J764" t="e">
        <f>I764/(VLOOKUP(B764,'Team Stats'!$B$3:$K$18,5,0))</f>
        <v>#N/A</v>
      </c>
      <c r="M764" t="s">
        <v>1227</v>
      </c>
      <c r="N764" t="s">
        <v>1227</v>
      </c>
      <c r="O764" t="s">
        <v>1227</v>
      </c>
      <c r="P764" t="s">
        <v>1227</v>
      </c>
      <c r="Q764" t="s">
        <v>1227</v>
      </c>
      <c r="R764" t="s">
        <v>1227</v>
      </c>
      <c r="S764" t="s">
        <v>1227</v>
      </c>
      <c r="T764" s="54" t="s">
        <v>1227</v>
      </c>
      <c r="U764" t="s">
        <v>1227</v>
      </c>
    </row>
    <row r="765" spans="1:21" x14ac:dyDescent="0.25">
      <c r="A765" s="44" t="s">
        <v>1088</v>
      </c>
      <c r="B765" s="44" t="s">
        <v>209</v>
      </c>
      <c r="C765" s="45">
        <v>11</v>
      </c>
      <c r="D765" s="45"/>
      <c r="E765" s="45">
        <v>0</v>
      </c>
      <c r="F765" s="45"/>
      <c r="G765" s="45">
        <v>1</v>
      </c>
      <c r="H765" s="45"/>
      <c r="I765" s="34">
        <v>1</v>
      </c>
      <c r="J765">
        <f>I765/(VLOOKUP(B765,'Team Stats'!$B$3:$K$18,5,0))</f>
        <v>1.6835016835016834E-3</v>
      </c>
      <c r="M765" t="s">
        <v>1227</v>
      </c>
      <c r="N765" t="s">
        <v>1227</v>
      </c>
      <c r="O765" t="s">
        <v>1227</v>
      </c>
      <c r="P765" t="s">
        <v>1227</v>
      </c>
      <c r="Q765" t="s">
        <v>1227</v>
      </c>
      <c r="R765" t="s">
        <v>1227</v>
      </c>
      <c r="S765" t="s">
        <v>1227</v>
      </c>
      <c r="T765" s="54" t="s">
        <v>1227</v>
      </c>
      <c r="U765" t="s">
        <v>1227</v>
      </c>
    </row>
    <row r="766" spans="1:21" x14ac:dyDescent="0.25">
      <c r="A766" s="44" t="s">
        <v>1089</v>
      </c>
      <c r="B766" s="44" t="s">
        <v>213</v>
      </c>
      <c r="C766" s="45">
        <v>2</v>
      </c>
      <c r="D766" s="45"/>
      <c r="E766" s="45">
        <v>0</v>
      </c>
      <c r="F766" s="45"/>
      <c r="G766" s="45">
        <v>1</v>
      </c>
      <c r="H766" s="45"/>
      <c r="I766" s="34">
        <v>1</v>
      </c>
      <c r="J766">
        <f>I766/(VLOOKUP(B766,'Team Stats'!$B$3:$K$18,5,0))</f>
        <v>1.6155088852988692E-3</v>
      </c>
      <c r="M766" t="s">
        <v>1227</v>
      </c>
      <c r="N766" t="s">
        <v>1227</v>
      </c>
      <c r="O766" t="s">
        <v>1227</v>
      </c>
      <c r="P766" t="s">
        <v>1227</v>
      </c>
      <c r="Q766" t="s">
        <v>1227</v>
      </c>
      <c r="R766" t="s">
        <v>1227</v>
      </c>
      <c r="S766" t="s">
        <v>1227</v>
      </c>
      <c r="T766" s="54" t="s">
        <v>1227</v>
      </c>
      <c r="U766" t="s">
        <v>1227</v>
      </c>
    </row>
    <row r="767" spans="1:21" x14ac:dyDescent="0.25">
      <c r="A767" s="44" t="s">
        <v>1090</v>
      </c>
      <c r="B767" s="44" t="s">
        <v>221</v>
      </c>
      <c r="C767" s="45">
        <v>33</v>
      </c>
      <c r="D767" s="45"/>
      <c r="E767" s="45">
        <v>0</v>
      </c>
      <c r="F767" s="45"/>
      <c r="G767" s="45">
        <v>1</v>
      </c>
      <c r="H767" s="45"/>
      <c r="I767" s="34">
        <v>1</v>
      </c>
      <c r="J767" t="e">
        <f>I767/(VLOOKUP(B767,'Team Stats'!$B$3:$K$18,5,0))</f>
        <v>#N/A</v>
      </c>
      <c r="M767" t="s">
        <v>1227</v>
      </c>
      <c r="N767" t="s">
        <v>1227</v>
      </c>
      <c r="O767" t="s">
        <v>1227</v>
      </c>
      <c r="P767" t="s">
        <v>1227</v>
      </c>
      <c r="Q767" t="s">
        <v>1227</v>
      </c>
      <c r="R767" t="s">
        <v>1227</v>
      </c>
      <c r="S767" t="s">
        <v>1227</v>
      </c>
      <c r="T767" s="54" t="s">
        <v>1227</v>
      </c>
      <c r="U767" t="s">
        <v>1227</v>
      </c>
    </row>
    <row r="768" spans="1:21" x14ac:dyDescent="0.25">
      <c r="A768" s="44" t="s">
        <v>1091</v>
      </c>
      <c r="B768" s="44" t="s">
        <v>205</v>
      </c>
      <c r="C768" s="45">
        <v>10</v>
      </c>
      <c r="D768" s="45"/>
      <c r="E768" s="45">
        <v>1</v>
      </c>
      <c r="F768" s="45"/>
      <c r="G768" s="45">
        <v>0</v>
      </c>
      <c r="H768" s="45"/>
      <c r="I768" s="34">
        <v>1</v>
      </c>
      <c r="J768">
        <f>I768/(VLOOKUP(B768,'Team Stats'!$B$3:$K$18,5,0))</f>
        <v>1.557632398753894E-3</v>
      </c>
      <c r="M768" t="s">
        <v>1227</v>
      </c>
      <c r="N768" t="s">
        <v>1227</v>
      </c>
      <c r="O768" t="s">
        <v>1227</v>
      </c>
      <c r="P768" t="s">
        <v>1227</v>
      </c>
      <c r="Q768" t="s">
        <v>1227</v>
      </c>
      <c r="R768" t="s">
        <v>1227</v>
      </c>
      <c r="S768" t="s">
        <v>1227</v>
      </c>
      <c r="T768" s="54" t="s">
        <v>1227</v>
      </c>
      <c r="U768" t="s">
        <v>1227</v>
      </c>
    </row>
    <row r="769" spans="1:21" x14ac:dyDescent="0.25">
      <c r="A769" s="44" t="s">
        <v>1092</v>
      </c>
      <c r="B769" s="44" t="s">
        <v>220</v>
      </c>
      <c r="C769" s="45">
        <v>9</v>
      </c>
      <c r="D769" s="45"/>
      <c r="E769" s="45">
        <v>0</v>
      </c>
      <c r="F769" s="45"/>
      <c r="G769" s="45">
        <v>1</v>
      </c>
      <c r="H769" s="45"/>
      <c r="I769" s="34">
        <v>1</v>
      </c>
      <c r="J769" t="e">
        <f>I769/(VLOOKUP(B769,'Team Stats'!$B$3:$K$18,5,0))</f>
        <v>#N/A</v>
      </c>
      <c r="M769" t="s">
        <v>1227</v>
      </c>
      <c r="N769" t="s">
        <v>1227</v>
      </c>
      <c r="O769" t="s">
        <v>1227</v>
      </c>
      <c r="P769" t="s">
        <v>1227</v>
      </c>
      <c r="Q769" t="s">
        <v>1227</v>
      </c>
      <c r="R769" t="s">
        <v>1227</v>
      </c>
      <c r="S769" t="s">
        <v>1227</v>
      </c>
      <c r="T769" s="54" t="s">
        <v>1227</v>
      </c>
      <c r="U769" t="s">
        <v>1227</v>
      </c>
    </row>
    <row r="770" spans="1:21" x14ac:dyDescent="0.25">
      <c r="A770" s="44" t="s">
        <v>1093</v>
      </c>
      <c r="B770" s="44" t="s">
        <v>201</v>
      </c>
      <c r="C770" s="45">
        <v>4</v>
      </c>
      <c r="D770" s="45"/>
      <c r="E770" s="45">
        <v>0</v>
      </c>
      <c r="F770" s="45"/>
      <c r="G770" s="45">
        <v>1</v>
      </c>
      <c r="H770" s="45"/>
      <c r="I770" s="34">
        <v>1</v>
      </c>
      <c r="J770">
        <f>I770/(VLOOKUP(B770,'Team Stats'!$B$3:$K$18,5,0))</f>
        <v>1.6638935108153079E-3</v>
      </c>
      <c r="M770" t="s">
        <v>1227</v>
      </c>
      <c r="N770" t="s">
        <v>1227</v>
      </c>
      <c r="O770" t="s">
        <v>1227</v>
      </c>
      <c r="P770" t="s">
        <v>1227</v>
      </c>
      <c r="Q770" t="s">
        <v>1227</v>
      </c>
      <c r="R770" t="s">
        <v>1227</v>
      </c>
      <c r="S770" t="s">
        <v>1227</v>
      </c>
      <c r="T770" s="54" t="s">
        <v>1227</v>
      </c>
      <c r="U770" t="s">
        <v>1227</v>
      </c>
    </row>
    <row r="771" spans="1:21" ht="30" x14ac:dyDescent="0.25">
      <c r="A771" s="44" t="s">
        <v>1094</v>
      </c>
      <c r="B771" s="44" t="s">
        <v>201</v>
      </c>
      <c r="C771" s="45">
        <v>18</v>
      </c>
      <c r="D771" s="45"/>
      <c r="E771" s="45">
        <v>0</v>
      </c>
      <c r="F771" s="45"/>
      <c r="G771" s="45">
        <v>1</v>
      </c>
      <c r="H771" s="45"/>
      <c r="I771" s="34">
        <v>1</v>
      </c>
      <c r="J771">
        <f>I771/(VLOOKUP(B771,'Team Stats'!$B$3:$K$18,5,0))</f>
        <v>1.6638935108153079E-3</v>
      </c>
      <c r="M771" t="s">
        <v>1227</v>
      </c>
      <c r="N771" t="s">
        <v>1227</v>
      </c>
      <c r="O771" t="s">
        <v>1227</v>
      </c>
      <c r="P771" t="s">
        <v>1227</v>
      </c>
      <c r="Q771" t="s">
        <v>1227</v>
      </c>
      <c r="R771" t="s">
        <v>1227</v>
      </c>
      <c r="S771" t="s">
        <v>1227</v>
      </c>
      <c r="T771" s="54" t="s">
        <v>1227</v>
      </c>
      <c r="U771" t="s">
        <v>1227</v>
      </c>
    </row>
    <row r="772" spans="1:21" x14ac:dyDescent="0.25">
      <c r="A772" s="44" t="s">
        <v>1095</v>
      </c>
      <c r="B772" s="44" t="s">
        <v>209</v>
      </c>
      <c r="C772" s="45">
        <v>38</v>
      </c>
      <c r="D772" s="45"/>
      <c r="E772" s="45">
        <v>1</v>
      </c>
      <c r="F772" s="45"/>
      <c r="G772" s="45">
        <v>0</v>
      </c>
      <c r="H772" s="45"/>
      <c r="I772" s="34">
        <v>1</v>
      </c>
      <c r="J772">
        <f>I772/(VLOOKUP(B772,'Team Stats'!$B$3:$K$18,5,0))</f>
        <v>1.6835016835016834E-3</v>
      </c>
      <c r="M772" t="s">
        <v>1227</v>
      </c>
      <c r="N772" t="s">
        <v>1227</v>
      </c>
      <c r="O772" t="s">
        <v>1227</v>
      </c>
      <c r="P772" t="s">
        <v>1227</v>
      </c>
      <c r="Q772" t="s">
        <v>1227</v>
      </c>
      <c r="R772" t="s">
        <v>1227</v>
      </c>
      <c r="S772" t="s">
        <v>1227</v>
      </c>
      <c r="T772" s="54" t="s">
        <v>1227</v>
      </c>
      <c r="U772" t="s">
        <v>1227</v>
      </c>
    </row>
    <row r="773" spans="1:21" x14ac:dyDescent="0.25">
      <c r="A773" s="44" t="s">
        <v>1096</v>
      </c>
      <c r="B773" s="44" t="s">
        <v>339</v>
      </c>
      <c r="C773" s="45">
        <v>2</v>
      </c>
      <c r="D773" s="45"/>
      <c r="E773" s="45">
        <v>1</v>
      </c>
      <c r="F773" s="45"/>
      <c r="G773" s="45">
        <v>0</v>
      </c>
      <c r="H773" s="45"/>
      <c r="I773" s="34">
        <v>1</v>
      </c>
      <c r="J773" t="e">
        <f>I773/(VLOOKUP(B773,'Team Stats'!$B$3:$K$18,5,0))</f>
        <v>#N/A</v>
      </c>
      <c r="M773" t="s">
        <v>1227</v>
      </c>
      <c r="N773" t="s">
        <v>1227</v>
      </c>
      <c r="O773" t="s">
        <v>1227</v>
      </c>
      <c r="P773" t="s">
        <v>1227</v>
      </c>
      <c r="Q773" t="s">
        <v>1227</v>
      </c>
      <c r="R773" t="s">
        <v>1227</v>
      </c>
      <c r="S773" t="s">
        <v>1227</v>
      </c>
      <c r="T773" s="54" t="s">
        <v>1227</v>
      </c>
      <c r="U773" t="s">
        <v>1227</v>
      </c>
    </row>
    <row r="774" spans="1:21" x14ac:dyDescent="0.25">
      <c r="A774" s="44" t="s">
        <v>1097</v>
      </c>
      <c r="B774" s="44" t="s">
        <v>214</v>
      </c>
      <c r="C774" s="45">
        <v>6</v>
      </c>
      <c r="D774" s="45"/>
      <c r="E774" s="45">
        <v>0</v>
      </c>
      <c r="F774" s="45"/>
      <c r="G774" s="45">
        <v>1</v>
      </c>
      <c r="H774" s="45"/>
      <c r="I774" s="34">
        <v>1</v>
      </c>
      <c r="J774" t="e">
        <f>I774/(VLOOKUP(B774,'Team Stats'!$B$3:$K$18,5,0))</f>
        <v>#N/A</v>
      </c>
      <c r="M774" t="s">
        <v>1227</v>
      </c>
      <c r="N774" t="s">
        <v>1227</v>
      </c>
      <c r="O774" t="s">
        <v>1227</v>
      </c>
      <c r="P774" t="s">
        <v>1227</v>
      </c>
      <c r="Q774" t="s">
        <v>1227</v>
      </c>
      <c r="R774" t="s">
        <v>1227</v>
      </c>
      <c r="S774" t="s">
        <v>1227</v>
      </c>
      <c r="T774" s="54" t="s">
        <v>1227</v>
      </c>
      <c r="U774" t="s">
        <v>1227</v>
      </c>
    </row>
    <row r="775" spans="1:21" x14ac:dyDescent="0.25">
      <c r="A775" s="44" t="s">
        <v>1098</v>
      </c>
      <c r="B775" s="44" t="s">
        <v>202</v>
      </c>
      <c r="C775" s="45">
        <v>7</v>
      </c>
      <c r="D775" s="45"/>
      <c r="E775" s="45">
        <v>0</v>
      </c>
      <c r="F775" s="45"/>
      <c r="G775" s="45">
        <v>1</v>
      </c>
      <c r="H775" s="45"/>
      <c r="I775" s="34">
        <v>1</v>
      </c>
      <c r="J775">
        <f>I775/(VLOOKUP(B775,'Team Stats'!$B$3:$K$18,5,0))</f>
        <v>1.5174506828528073E-3</v>
      </c>
      <c r="M775" t="s">
        <v>1227</v>
      </c>
      <c r="N775" t="s">
        <v>1227</v>
      </c>
      <c r="O775" t="s">
        <v>1227</v>
      </c>
      <c r="P775" t="s">
        <v>1227</v>
      </c>
      <c r="Q775" t="s">
        <v>1227</v>
      </c>
      <c r="R775" t="s">
        <v>1227</v>
      </c>
      <c r="S775" t="s">
        <v>1227</v>
      </c>
      <c r="T775" s="54" t="s">
        <v>1227</v>
      </c>
      <c r="U775" t="s">
        <v>1227</v>
      </c>
    </row>
    <row r="776" spans="1:21" x14ac:dyDescent="0.25">
      <c r="A776" s="44" t="s">
        <v>1099</v>
      </c>
      <c r="B776" s="44" t="s">
        <v>205</v>
      </c>
      <c r="C776" s="45">
        <v>7</v>
      </c>
      <c r="D776" s="45"/>
      <c r="E776" s="45">
        <v>1</v>
      </c>
      <c r="F776" s="45"/>
      <c r="G776" s="45">
        <v>0</v>
      </c>
      <c r="H776" s="45"/>
      <c r="I776" s="34">
        <v>1</v>
      </c>
      <c r="J776">
        <f>I776/(VLOOKUP(B776,'Team Stats'!$B$3:$K$18,5,0))</f>
        <v>1.557632398753894E-3</v>
      </c>
      <c r="M776" t="s">
        <v>1227</v>
      </c>
      <c r="N776" t="s">
        <v>1227</v>
      </c>
      <c r="O776" t="s">
        <v>1227</v>
      </c>
      <c r="P776" t="s">
        <v>1227</v>
      </c>
      <c r="Q776" t="s">
        <v>1227</v>
      </c>
      <c r="R776" t="s">
        <v>1227</v>
      </c>
      <c r="S776" t="s">
        <v>1227</v>
      </c>
      <c r="T776" s="54" t="s">
        <v>1227</v>
      </c>
      <c r="U776" t="s">
        <v>1227</v>
      </c>
    </row>
    <row r="777" spans="1:21" x14ac:dyDescent="0.25">
      <c r="A777" s="44" t="s">
        <v>1100</v>
      </c>
      <c r="B777" s="44" t="s">
        <v>218</v>
      </c>
      <c r="C777" s="45">
        <v>7</v>
      </c>
      <c r="D777" s="45"/>
      <c r="E777" s="45">
        <v>1</v>
      </c>
      <c r="F777" s="45"/>
      <c r="G777" s="45">
        <v>0</v>
      </c>
      <c r="H777" s="45"/>
      <c r="I777" s="34">
        <v>1</v>
      </c>
      <c r="J777" t="e">
        <f>I777/(VLOOKUP(B777,'Team Stats'!$B$3:$K$18,5,0))</f>
        <v>#N/A</v>
      </c>
      <c r="M777" t="s">
        <v>1227</v>
      </c>
      <c r="N777" t="s">
        <v>1227</v>
      </c>
      <c r="O777" t="s">
        <v>1227</v>
      </c>
      <c r="P777" t="s">
        <v>1227</v>
      </c>
      <c r="Q777" t="s">
        <v>1227</v>
      </c>
      <c r="R777" t="s">
        <v>1227</v>
      </c>
      <c r="S777" t="s">
        <v>1227</v>
      </c>
      <c r="T777" s="54" t="s">
        <v>1227</v>
      </c>
      <c r="U777" t="s">
        <v>1227</v>
      </c>
    </row>
    <row r="778" spans="1:21" x14ac:dyDescent="0.25">
      <c r="A778" s="44" t="s">
        <v>1101</v>
      </c>
      <c r="B778" s="44" t="s">
        <v>216</v>
      </c>
      <c r="C778" s="45">
        <v>2</v>
      </c>
      <c r="D778" s="45"/>
      <c r="E778" s="45">
        <v>0</v>
      </c>
      <c r="F778" s="45"/>
      <c r="G778" s="45">
        <v>0</v>
      </c>
      <c r="H778" s="45"/>
      <c r="I778" s="34">
        <v>0</v>
      </c>
      <c r="J778" t="e">
        <f>I778/(VLOOKUP(B778,'Team Stats'!$B$3:$K$18,5,0))</f>
        <v>#N/A</v>
      </c>
      <c r="M778" t="s">
        <v>1227</v>
      </c>
      <c r="N778" t="s">
        <v>1227</v>
      </c>
      <c r="O778" t="s">
        <v>1227</v>
      </c>
      <c r="P778" t="s">
        <v>1227</v>
      </c>
      <c r="Q778" t="s">
        <v>1227</v>
      </c>
      <c r="R778" t="s">
        <v>1227</v>
      </c>
      <c r="S778" t="s">
        <v>1227</v>
      </c>
      <c r="T778" s="54" t="s">
        <v>1227</v>
      </c>
      <c r="U778" t="s">
        <v>1227</v>
      </c>
    </row>
    <row r="779" spans="1:21" x14ac:dyDescent="0.25">
      <c r="A779" s="44" t="s">
        <v>1102</v>
      </c>
      <c r="B779" s="44" t="s">
        <v>205</v>
      </c>
      <c r="C779" s="45">
        <v>3</v>
      </c>
      <c r="D779" s="45"/>
      <c r="E779" s="45">
        <v>0</v>
      </c>
      <c r="F779" s="45"/>
      <c r="G779" s="45">
        <v>0</v>
      </c>
      <c r="H779" s="45"/>
      <c r="I779" s="34">
        <v>0</v>
      </c>
      <c r="J779">
        <f>I779/(VLOOKUP(B779,'Team Stats'!$B$3:$K$18,5,0))</f>
        <v>0</v>
      </c>
      <c r="M779" t="s">
        <v>1227</v>
      </c>
      <c r="N779" t="s">
        <v>1227</v>
      </c>
      <c r="O779" t="s">
        <v>1227</v>
      </c>
      <c r="P779" t="s">
        <v>1227</v>
      </c>
      <c r="Q779" t="s">
        <v>1227</v>
      </c>
      <c r="R779" t="s">
        <v>1227</v>
      </c>
      <c r="S779" t="s">
        <v>1227</v>
      </c>
      <c r="T779" s="54" t="s">
        <v>1227</v>
      </c>
      <c r="U779" t="s">
        <v>1227</v>
      </c>
    </row>
    <row r="780" spans="1:21" x14ac:dyDescent="0.25">
      <c r="A780" s="44" t="s">
        <v>1103</v>
      </c>
      <c r="B780" s="44" t="s">
        <v>197</v>
      </c>
      <c r="C780" s="45">
        <v>11</v>
      </c>
      <c r="D780" s="45"/>
      <c r="E780" s="45">
        <v>0</v>
      </c>
      <c r="F780" s="45"/>
      <c r="G780" s="45">
        <v>0</v>
      </c>
      <c r="H780" s="45"/>
      <c r="I780" s="34">
        <v>0</v>
      </c>
      <c r="J780">
        <f>I780/(VLOOKUP(B780,'Team Stats'!$B$3:$K$18,5,0))</f>
        <v>0</v>
      </c>
      <c r="M780" t="s">
        <v>1227</v>
      </c>
      <c r="N780" t="s">
        <v>1227</v>
      </c>
      <c r="O780" t="s">
        <v>1227</v>
      </c>
      <c r="P780" t="s">
        <v>1227</v>
      </c>
      <c r="Q780" t="s">
        <v>1227</v>
      </c>
      <c r="R780" t="s">
        <v>1227</v>
      </c>
      <c r="S780" t="s">
        <v>1227</v>
      </c>
      <c r="T780" s="54" t="s">
        <v>1227</v>
      </c>
      <c r="U780" t="s">
        <v>1227</v>
      </c>
    </row>
    <row r="781" spans="1:21" x14ac:dyDescent="0.25">
      <c r="A781" s="44" t="s">
        <v>1104</v>
      </c>
      <c r="B781" s="44" t="s">
        <v>219</v>
      </c>
      <c r="C781" s="45">
        <v>1</v>
      </c>
      <c r="D781" s="45"/>
      <c r="E781" s="45">
        <v>0</v>
      </c>
      <c r="F781" s="45"/>
      <c r="G781" s="45">
        <v>0</v>
      </c>
      <c r="H781" s="45"/>
      <c r="I781" s="34">
        <v>0</v>
      </c>
      <c r="J781" t="e">
        <f>I781/(VLOOKUP(B781,'Team Stats'!$B$3:$K$18,5,0))</f>
        <v>#N/A</v>
      </c>
      <c r="M781" t="s">
        <v>1227</v>
      </c>
      <c r="N781" t="s">
        <v>1227</v>
      </c>
      <c r="O781" t="s">
        <v>1227</v>
      </c>
      <c r="P781" t="s">
        <v>1227</v>
      </c>
      <c r="Q781" t="s">
        <v>1227</v>
      </c>
      <c r="R781" t="s">
        <v>1227</v>
      </c>
      <c r="S781" t="s">
        <v>1227</v>
      </c>
      <c r="T781" s="54" t="s">
        <v>1227</v>
      </c>
      <c r="U781" t="s">
        <v>1227</v>
      </c>
    </row>
    <row r="782" spans="1:21" x14ac:dyDescent="0.25">
      <c r="A782" s="44" t="s">
        <v>1105</v>
      </c>
      <c r="B782" s="44" t="s">
        <v>201</v>
      </c>
      <c r="C782" s="45">
        <v>3</v>
      </c>
      <c r="D782" s="45"/>
      <c r="E782" s="45">
        <v>0</v>
      </c>
      <c r="F782" s="45"/>
      <c r="G782" s="45">
        <v>0</v>
      </c>
      <c r="H782" s="45"/>
      <c r="I782" s="34">
        <v>0</v>
      </c>
      <c r="J782">
        <f>I782/(VLOOKUP(B782,'Team Stats'!$B$3:$K$18,5,0))</f>
        <v>0</v>
      </c>
      <c r="M782" t="s">
        <v>1227</v>
      </c>
      <c r="N782" t="s">
        <v>1227</v>
      </c>
      <c r="O782" t="s">
        <v>1227</v>
      </c>
      <c r="P782" t="s">
        <v>1227</v>
      </c>
      <c r="Q782" t="s">
        <v>1227</v>
      </c>
      <c r="R782" t="s">
        <v>1227</v>
      </c>
      <c r="S782" t="s">
        <v>1227</v>
      </c>
      <c r="T782" s="54" t="s">
        <v>1227</v>
      </c>
      <c r="U782" t="s">
        <v>1227</v>
      </c>
    </row>
    <row r="783" spans="1:21" x14ac:dyDescent="0.25">
      <c r="A783" s="44" t="s">
        <v>1106</v>
      </c>
      <c r="B783" s="44" t="s">
        <v>221</v>
      </c>
      <c r="C783" s="45">
        <v>4</v>
      </c>
      <c r="D783" s="45"/>
      <c r="E783" s="45">
        <v>0</v>
      </c>
      <c r="F783" s="45"/>
      <c r="G783" s="45">
        <v>0</v>
      </c>
      <c r="H783" s="45"/>
      <c r="I783" s="34">
        <v>0</v>
      </c>
      <c r="J783" t="e">
        <f>I783/(VLOOKUP(B783,'Team Stats'!$B$3:$K$18,5,0))</f>
        <v>#N/A</v>
      </c>
      <c r="M783" t="s">
        <v>1227</v>
      </c>
      <c r="N783" t="s">
        <v>1227</v>
      </c>
      <c r="O783" t="s">
        <v>1227</v>
      </c>
      <c r="P783" t="s">
        <v>1227</v>
      </c>
      <c r="Q783" t="s">
        <v>1227</v>
      </c>
      <c r="R783" t="s">
        <v>1227</v>
      </c>
      <c r="S783" t="s">
        <v>1227</v>
      </c>
      <c r="T783" s="54" t="s">
        <v>1227</v>
      </c>
      <c r="U783" t="s">
        <v>1227</v>
      </c>
    </row>
    <row r="784" spans="1:21" x14ac:dyDescent="0.25">
      <c r="A784" s="44" t="s">
        <v>1107</v>
      </c>
      <c r="B784" s="44" t="s">
        <v>364</v>
      </c>
      <c r="C784" s="45">
        <v>6</v>
      </c>
      <c r="D784" s="45"/>
      <c r="E784" s="45">
        <v>0</v>
      </c>
      <c r="F784" s="45"/>
      <c r="G784" s="45">
        <v>0</v>
      </c>
      <c r="H784" s="45"/>
      <c r="I784" s="34">
        <v>0</v>
      </c>
      <c r="J784" t="e">
        <f>I784/(VLOOKUP(B784,'Team Stats'!$B$3:$K$18,5,0))</f>
        <v>#N/A</v>
      </c>
      <c r="M784" t="s">
        <v>1227</v>
      </c>
      <c r="N784" t="s">
        <v>1227</v>
      </c>
      <c r="O784" t="s">
        <v>1227</v>
      </c>
      <c r="P784" t="s">
        <v>1227</v>
      </c>
      <c r="Q784" t="s">
        <v>1227</v>
      </c>
      <c r="R784" t="s">
        <v>1227</v>
      </c>
      <c r="S784" t="s">
        <v>1227</v>
      </c>
      <c r="T784" s="54" t="s">
        <v>1227</v>
      </c>
      <c r="U784" t="s">
        <v>1227</v>
      </c>
    </row>
    <row r="785" spans="1:21" x14ac:dyDescent="0.25">
      <c r="A785" s="44" t="s">
        <v>1108</v>
      </c>
      <c r="B785" s="44" t="s">
        <v>339</v>
      </c>
      <c r="C785" s="45">
        <v>10</v>
      </c>
      <c r="D785" s="45"/>
      <c r="E785" s="45">
        <v>0</v>
      </c>
      <c r="F785" s="45"/>
      <c r="G785" s="45">
        <v>0</v>
      </c>
      <c r="H785" s="45"/>
      <c r="I785" s="34">
        <v>0</v>
      </c>
      <c r="J785" t="e">
        <f>I785/(VLOOKUP(B785,'Team Stats'!$B$3:$K$18,5,0))</f>
        <v>#N/A</v>
      </c>
      <c r="M785" t="s">
        <v>1227</v>
      </c>
      <c r="N785" t="s">
        <v>1227</v>
      </c>
      <c r="O785" t="s">
        <v>1227</v>
      </c>
      <c r="P785" t="s">
        <v>1227</v>
      </c>
      <c r="Q785" t="s">
        <v>1227</v>
      </c>
      <c r="R785" t="s">
        <v>1227</v>
      </c>
      <c r="S785" t="s">
        <v>1227</v>
      </c>
      <c r="T785" s="54" t="s">
        <v>1227</v>
      </c>
      <c r="U785" t="s">
        <v>1227</v>
      </c>
    </row>
    <row r="786" spans="1:21" x14ac:dyDescent="0.25">
      <c r="A786" s="44" t="s">
        <v>1109</v>
      </c>
      <c r="B786" s="44" t="s">
        <v>218</v>
      </c>
      <c r="C786" s="45">
        <v>2</v>
      </c>
      <c r="D786" s="45"/>
      <c r="E786" s="45">
        <v>0</v>
      </c>
      <c r="F786" s="45"/>
      <c r="G786" s="45">
        <v>0</v>
      </c>
      <c r="H786" s="45"/>
      <c r="I786" s="34">
        <v>0</v>
      </c>
      <c r="J786" t="e">
        <f>I786/(VLOOKUP(B786,'Team Stats'!$B$3:$K$18,5,0))</f>
        <v>#N/A</v>
      </c>
      <c r="M786" t="s">
        <v>1227</v>
      </c>
      <c r="N786" t="s">
        <v>1227</v>
      </c>
      <c r="O786" t="s">
        <v>1227</v>
      </c>
      <c r="P786" t="s">
        <v>1227</v>
      </c>
      <c r="Q786" t="s">
        <v>1227</v>
      </c>
      <c r="R786" t="s">
        <v>1227</v>
      </c>
      <c r="S786" t="s">
        <v>1227</v>
      </c>
      <c r="T786" s="54" t="s">
        <v>1227</v>
      </c>
      <c r="U786" t="s">
        <v>1227</v>
      </c>
    </row>
    <row r="787" spans="1:21" x14ac:dyDescent="0.25">
      <c r="A787" s="44" t="s">
        <v>1110</v>
      </c>
      <c r="B787" s="44" t="s">
        <v>212</v>
      </c>
      <c r="C787" s="45">
        <v>5</v>
      </c>
      <c r="D787" s="45"/>
      <c r="E787" s="45">
        <v>0</v>
      </c>
      <c r="F787" s="45"/>
      <c r="G787" s="45">
        <v>0</v>
      </c>
      <c r="H787" s="45"/>
      <c r="I787" s="34">
        <v>0</v>
      </c>
      <c r="J787" t="e">
        <f>I787/(VLOOKUP(B787,'Team Stats'!$B$3:$K$18,5,0))</f>
        <v>#N/A</v>
      </c>
      <c r="M787" t="s">
        <v>1227</v>
      </c>
      <c r="N787" t="s">
        <v>1227</v>
      </c>
      <c r="O787" t="s">
        <v>1227</v>
      </c>
      <c r="P787" t="s">
        <v>1227</v>
      </c>
      <c r="Q787" t="s">
        <v>1227</v>
      </c>
      <c r="R787" t="s">
        <v>1227</v>
      </c>
      <c r="S787" t="s">
        <v>1227</v>
      </c>
      <c r="T787" s="54" t="s">
        <v>1227</v>
      </c>
      <c r="U787" t="s">
        <v>1227</v>
      </c>
    </row>
    <row r="788" spans="1:21" x14ac:dyDescent="0.25">
      <c r="A788" s="44" t="s">
        <v>1111</v>
      </c>
      <c r="B788" s="44" t="s">
        <v>221</v>
      </c>
      <c r="C788" s="45">
        <v>2</v>
      </c>
      <c r="D788" s="45"/>
      <c r="E788" s="45">
        <v>0</v>
      </c>
      <c r="F788" s="45"/>
      <c r="G788" s="45">
        <v>0</v>
      </c>
      <c r="H788" s="45"/>
      <c r="I788" s="34">
        <v>0</v>
      </c>
      <c r="J788" t="e">
        <f>I788/(VLOOKUP(B788,'Team Stats'!$B$3:$K$18,5,0))</f>
        <v>#N/A</v>
      </c>
      <c r="M788" t="s">
        <v>1227</v>
      </c>
      <c r="N788" t="s">
        <v>1227</v>
      </c>
      <c r="O788" t="s">
        <v>1227</v>
      </c>
      <c r="P788" t="s">
        <v>1227</v>
      </c>
      <c r="Q788" t="s">
        <v>1227</v>
      </c>
      <c r="R788" t="s">
        <v>1227</v>
      </c>
      <c r="S788" t="s">
        <v>1227</v>
      </c>
      <c r="T788" s="54" t="s">
        <v>1227</v>
      </c>
      <c r="U788" t="s">
        <v>1227</v>
      </c>
    </row>
    <row r="789" spans="1:21" x14ac:dyDescent="0.25">
      <c r="A789" s="44" t="s">
        <v>1112</v>
      </c>
      <c r="B789" s="44" t="s">
        <v>203</v>
      </c>
      <c r="C789" s="45">
        <v>1</v>
      </c>
      <c r="D789" s="45"/>
      <c r="E789" s="45">
        <v>0</v>
      </c>
      <c r="F789" s="45"/>
      <c r="G789" s="45">
        <v>0</v>
      </c>
      <c r="H789" s="45"/>
      <c r="I789" s="34">
        <v>0</v>
      </c>
      <c r="J789" t="e">
        <f>I789/(VLOOKUP(B789,'Team Stats'!$B$3:$K$18,5,0))</f>
        <v>#N/A</v>
      </c>
      <c r="M789" t="s">
        <v>1227</v>
      </c>
      <c r="N789" t="s">
        <v>1227</v>
      </c>
      <c r="O789" t="s">
        <v>1227</v>
      </c>
      <c r="P789" t="s">
        <v>1227</v>
      </c>
      <c r="Q789" t="s">
        <v>1227</v>
      </c>
      <c r="R789" t="s">
        <v>1227</v>
      </c>
      <c r="S789" t="s">
        <v>1227</v>
      </c>
      <c r="T789" s="54" t="s">
        <v>1227</v>
      </c>
      <c r="U789" t="s">
        <v>1227</v>
      </c>
    </row>
    <row r="790" spans="1:21" x14ac:dyDescent="0.25">
      <c r="A790" s="44" t="s">
        <v>1113</v>
      </c>
      <c r="B790" s="44" t="s">
        <v>339</v>
      </c>
      <c r="C790" s="45">
        <v>4</v>
      </c>
      <c r="D790" s="45"/>
      <c r="E790" s="45">
        <v>0</v>
      </c>
      <c r="F790" s="45"/>
      <c r="G790" s="45">
        <v>0</v>
      </c>
      <c r="H790" s="45"/>
      <c r="I790" s="34">
        <v>0</v>
      </c>
      <c r="J790" t="e">
        <f>I790/(VLOOKUP(B790,'Team Stats'!$B$3:$K$18,5,0))</f>
        <v>#N/A</v>
      </c>
      <c r="M790" t="s">
        <v>1227</v>
      </c>
      <c r="N790" t="s">
        <v>1227</v>
      </c>
      <c r="O790" t="s">
        <v>1227</v>
      </c>
      <c r="P790" t="s">
        <v>1227</v>
      </c>
      <c r="Q790" t="s">
        <v>1227</v>
      </c>
      <c r="R790" t="s">
        <v>1227</v>
      </c>
      <c r="S790" t="s">
        <v>1227</v>
      </c>
      <c r="T790" s="54" t="s">
        <v>1227</v>
      </c>
      <c r="U790" t="s">
        <v>1227</v>
      </c>
    </row>
    <row r="791" spans="1:21" x14ac:dyDescent="0.25">
      <c r="A791" s="44" t="s">
        <v>1114</v>
      </c>
      <c r="B791" s="44" t="s">
        <v>218</v>
      </c>
      <c r="C791" s="45">
        <v>6</v>
      </c>
      <c r="D791" s="45"/>
      <c r="E791" s="45">
        <v>0</v>
      </c>
      <c r="F791" s="45"/>
      <c r="G791" s="45">
        <v>0</v>
      </c>
      <c r="H791" s="45"/>
      <c r="I791" s="34">
        <v>0</v>
      </c>
      <c r="J791" t="e">
        <f>I791/(VLOOKUP(B791,'Team Stats'!$B$3:$K$18,5,0))</f>
        <v>#N/A</v>
      </c>
      <c r="M791" t="s">
        <v>1227</v>
      </c>
      <c r="N791" t="s">
        <v>1227</v>
      </c>
      <c r="O791" t="s">
        <v>1227</v>
      </c>
      <c r="P791" t="s">
        <v>1227</v>
      </c>
      <c r="Q791" t="s">
        <v>1227</v>
      </c>
      <c r="R791" t="s">
        <v>1227</v>
      </c>
      <c r="S791" t="s">
        <v>1227</v>
      </c>
      <c r="T791" s="54" t="s">
        <v>1227</v>
      </c>
      <c r="U791" t="s">
        <v>1227</v>
      </c>
    </row>
    <row r="792" spans="1:21" x14ac:dyDescent="0.25">
      <c r="A792" s="44" t="s">
        <v>1115</v>
      </c>
      <c r="B792" s="44" t="s">
        <v>344</v>
      </c>
      <c r="C792" s="45">
        <v>3</v>
      </c>
      <c r="D792" s="45"/>
      <c r="E792" s="45">
        <v>0</v>
      </c>
      <c r="F792" s="45"/>
      <c r="G792" s="45">
        <v>0</v>
      </c>
      <c r="H792" s="45"/>
      <c r="I792" s="34">
        <v>0</v>
      </c>
      <c r="J792" t="e">
        <f>I792/(VLOOKUP(B792,'Team Stats'!$B$3:$K$18,5,0))</f>
        <v>#N/A</v>
      </c>
      <c r="M792" t="s">
        <v>1227</v>
      </c>
      <c r="N792" t="s">
        <v>1227</v>
      </c>
      <c r="O792" t="s">
        <v>1227</v>
      </c>
      <c r="P792" t="s">
        <v>1227</v>
      </c>
      <c r="Q792" t="s">
        <v>1227</v>
      </c>
      <c r="R792" t="s">
        <v>1227</v>
      </c>
      <c r="S792" t="s">
        <v>1227</v>
      </c>
      <c r="T792" s="54" t="s">
        <v>1227</v>
      </c>
      <c r="U792" t="s">
        <v>1227</v>
      </c>
    </row>
    <row r="793" spans="1:21" x14ac:dyDescent="0.25">
      <c r="A793" s="44" t="s">
        <v>1116</v>
      </c>
      <c r="B793" s="44" t="s">
        <v>204</v>
      </c>
      <c r="C793" s="45">
        <v>9</v>
      </c>
      <c r="D793" s="45"/>
      <c r="E793" s="45">
        <v>0</v>
      </c>
      <c r="F793" s="45"/>
      <c r="G793" s="45">
        <v>0</v>
      </c>
      <c r="H793" s="45"/>
      <c r="I793" s="34">
        <v>0</v>
      </c>
      <c r="J793">
        <f>I793/(VLOOKUP(B793,'Team Stats'!$B$3:$K$18,5,0))</f>
        <v>0</v>
      </c>
      <c r="M793" t="s">
        <v>1227</v>
      </c>
      <c r="N793" t="s">
        <v>1227</v>
      </c>
      <c r="O793" t="s">
        <v>1227</v>
      </c>
      <c r="P793" t="s">
        <v>1227</v>
      </c>
      <c r="Q793" t="s">
        <v>1227</v>
      </c>
      <c r="R793" t="s">
        <v>1227</v>
      </c>
      <c r="S793" t="s">
        <v>1227</v>
      </c>
      <c r="T793" s="54" t="s">
        <v>1227</v>
      </c>
      <c r="U793" t="s">
        <v>1227</v>
      </c>
    </row>
    <row r="794" spans="1:21" x14ac:dyDescent="0.25">
      <c r="A794" s="44" t="s">
        <v>1117</v>
      </c>
      <c r="B794" s="44" t="s">
        <v>207</v>
      </c>
      <c r="C794" s="45">
        <v>12</v>
      </c>
      <c r="D794" s="45"/>
      <c r="E794" s="45">
        <v>0</v>
      </c>
      <c r="F794" s="45"/>
      <c r="G794" s="45">
        <v>0</v>
      </c>
      <c r="H794" s="45"/>
      <c r="I794" s="34">
        <v>0</v>
      </c>
      <c r="J794">
        <f>I794/(VLOOKUP(B794,'Team Stats'!$B$3:$K$18,5,0))</f>
        <v>0</v>
      </c>
      <c r="M794" t="s">
        <v>1227</v>
      </c>
      <c r="N794" t="s">
        <v>1227</v>
      </c>
      <c r="O794" t="s">
        <v>1227</v>
      </c>
      <c r="P794" t="s">
        <v>1227</v>
      </c>
      <c r="Q794" t="s">
        <v>1227</v>
      </c>
      <c r="R794" t="s">
        <v>1227</v>
      </c>
      <c r="S794" t="s">
        <v>1227</v>
      </c>
      <c r="T794" s="54" t="s">
        <v>1227</v>
      </c>
      <c r="U794" t="s">
        <v>1227</v>
      </c>
    </row>
    <row r="795" spans="1:21" x14ac:dyDescent="0.25">
      <c r="A795" s="44" t="s">
        <v>1118</v>
      </c>
      <c r="B795" s="44" t="s">
        <v>324</v>
      </c>
      <c r="C795" s="45">
        <v>2</v>
      </c>
      <c r="D795" s="45"/>
      <c r="E795" s="45">
        <v>0</v>
      </c>
      <c r="F795" s="45"/>
      <c r="G795" s="45">
        <v>0</v>
      </c>
      <c r="H795" s="45"/>
      <c r="I795" s="34">
        <v>0</v>
      </c>
      <c r="J795" t="e">
        <f>I795/(VLOOKUP(B795,'Team Stats'!$B$3:$K$18,5,0))</f>
        <v>#N/A</v>
      </c>
      <c r="M795" t="s">
        <v>1227</v>
      </c>
      <c r="N795" t="s">
        <v>1227</v>
      </c>
      <c r="O795" t="s">
        <v>1227</v>
      </c>
      <c r="P795" t="s">
        <v>1227</v>
      </c>
      <c r="Q795" t="s">
        <v>1227</v>
      </c>
      <c r="R795" t="s">
        <v>1227</v>
      </c>
      <c r="S795" t="s">
        <v>1227</v>
      </c>
      <c r="T795" s="54" t="s">
        <v>1227</v>
      </c>
      <c r="U795" t="s">
        <v>1227</v>
      </c>
    </row>
    <row r="796" spans="1:21" x14ac:dyDescent="0.25">
      <c r="A796" s="44" t="s">
        <v>1119</v>
      </c>
      <c r="B796" s="44" t="s">
        <v>218</v>
      </c>
      <c r="C796" s="45">
        <v>2</v>
      </c>
      <c r="D796" s="45"/>
      <c r="E796" s="45">
        <v>0</v>
      </c>
      <c r="F796" s="45"/>
      <c r="G796" s="45">
        <v>0</v>
      </c>
      <c r="H796" s="45"/>
      <c r="I796" s="34">
        <v>0</v>
      </c>
      <c r="J796" t="e">
        <f>I796/(VLOOKUP(B796,'Team Stats'!$B$3:$K$18,5,0))</f>
        <v>#N/A</v>
      </c>
      <c r="M796" t="s">
        <v>1227</v>
      </c>
      <c r="N796" t="s">
        <v>1227</v>
      </c>
      <c r="O796" t="s">
        <v>1227</v>
      </c>
      <c r="P796" t="s">
        <v>1227</v>
      </c>
      <c r="Q796" t="s">
        <v>1227</v>
      </c>
      <c r="R796" t="s">
        <v>1227</v>
      </c>
      <c r="S796" t="s">
        <v>1227</v>
      </c>
      <c r="T796" s="54" t="s">
        <v>1227</v>
      </c>
      <c r="U796" t="s">
        <v>1227</v>
      </c>
    </row>
    <row r="797" spans="1:21" x14ac:dyDescent="0.25">
      <c r="A797" s="44" t="s">
        <v>1120</v>
      </c>
      <c r="B797" s="44" t="s">
        <v>202</v>
      </c>
      <c r="C797" s="45">
        <v>2</v>
      </c>
      <c r="D797" s="45"/>
      <c r="E797" s="45">
        <v>0</v>
      </c>
      <c r="F797" s="45"/>
      <c r="G797" s="45">
        <v>0</v>
      </c>
      <c r="H797" s="45"/>
      <c r="I797" s="34">
        <v>0</v>
      </c>
      <c r="J797">
        <f>I797/(VLOOKUP(B797,'Team Stats'!$B$3:$K$18,5,0))</f>
        <v>0</v>
      </c>
      <c r="M797" t="s">
        <v>1227</v>
      </c>
      <c r="N797" t="s">
        <v>1227</v>
      </c>
      <c r="O797" t="s">
        <v>1227</v>
      </c>
      <c r="P797" t="s">
        <v>1227</v>
      </c>
      <c r="Q797" t="s">
        <v>1227</v>
      </c>
      <c r="R797" t="s">
        <v>1227</v>
      </c>
      <c r="S797" t="s">
        <v>1227</v>
      </c>
      <c r="T797" s="54" t="s">
        <v>1227</v>
      </c>
      <c r="U797" t="s">
        <v>1227</v>
      </c>
    </row>
    <row r="798" spans="1:21" x14ac:dyDescent="0.25">
      <c r="A798" s="44" t="s">
        <v>1121</v>
      </c>
      <c r="B798" s="44" t="s">
        <v>207</v>
      </c>
      <c r="C798" s="45">
        <v>1</v>
      </c>
      <c r="D798" s="45"/>
      <c r="E798" s="45">
        <v>0</v>
      </c>
      <c r="F798" s="45"/>
      <c r="G798" s="45">
        <v>0</v>
      </c>
      <c r="H798" s="45"/>
      <c r="I798" s="34">
        <v>0</v>
      </c>
      <c r="J798">
        <f>I798/(VLOOKUP(B798,'Team Stats'!$B$3:$K$18,5,0))</f>
        <v>0</v>
      </c>
      <c r="M798" t="s">
        <v>1227</v>
      </c>
      <c r="N798" t="s">
        <v>1227</v>
      </c>
      <c r="O798" t="s">
        <v>1227</v>
      </c>
      <c r="P798" t="s">
        <v>1227</v>
      </c>
      <c r="Q798" t="s">
        <v>1227</v>
      </c>
      <c r="R798" t="s">
        <v>1227</v>
      </c>
      <c r="S798" t="s">
        <v>1227</v>
      </c>
      <c r="T798" s="54" t="s">
        <v>1227</v>
      </c>
      <c r="U798" t="s">
        <v>1227</v>
      </c>
    </row>
    <row r="799" spans="1:21" x14ac:dyDescent="0.25">
      <c r="A799" s="44" t="s">
        <v>1122</v>
      </c>
      <c r="B799" s="44" t="s">
        <v>330</v>
      </c>
      <c r="C799" s="45">
        <v>3</v>
      </c>
      <c r="D799" s="45"/>
      <c r="E799" s="45">
        <v>0</v>
      </c>
      <c r="F799" s="45"/>
      <c r="G799" s="45">
        <v>0</v>
      </c>
      <c r="H799" s="45"/>
      <c r="I799" s="34">
        <v>0</v>
      </c>
      <c r="J799" t="e">
        <f>I799/(VLOOKUP(B799,'Team Stats'!$B$3:$K$18,5,0))</f>
        <v>#N/A</v>
      </c>
      <c r="M799" t="s">
        <v>1227</v>
      </c>
      <c r="N799" t="s">
        <v>1227</v>
      </c>
      <c r="O799" t="s">
        <v>1227</v>
      </c>
      <c r="P799" t="s">
        <v>1227</v>
      </c>
      <c r="Q799" t="s">
        <v>1227</v>
      </c>
      <c r="R799" t="s">
        <v>1227</v>
      </c>
      <c r="S799" t="s">
        <v>1227</v>
      </c>
      <c r="T799" s="54" t="s">
        <v>1227</v>
      </c>
      <c r="U799" t="s">
        <v>1227</v>
      </c>
    </row>
    <row r="800" spans="1:21" x14ac:dyDescent="0.25">
      <c r="A800" s="44" t="s">
        <v>1123</v>
      </c>
      <c r="B800" s="44" t="s">
        <v>212</v>
      </c>
      <c r="C800" s="45">
        <v>1</v>
      </c>
      <c r="D800" s="45"/>
      <c r="E800" s="45">
        <v>0</v>
      </c>
      <c r="F800" s="45"/>
      <c r="G800" s="45">
        <v>0</v>
      </c>
      <c r="H800" s="45"/>
      <c r="I800" s="34">
        <v>0</v>
      </c>
      <c r="J800" t="e">
        <f>I800/(VLOOKUP(B800,'Team Stats'!$B$3:$K$18,5,0))</f>
        <v>#N/A</v>
      </c>
      <c r="M800" t="s">
        <v>1227</v>
      </c>
      <c r="N800" t="s">
        <v>1227</v>
      </c>
      <c r="O800" t="s">
        <v>1227</v>
      </c>
      <c r="P800" t="s">
        <v>1227</v>
      </c>
      <c r="Q800" t="s">
        <v>1227</v>
      </c>
      <c r="R800" t="s">
        <v>1227</v>
      </c>
      <c r="S800" t="s">
        <v>1227</v>
      </c>
      <c r="T800" s="54" t="s">
        <v>1227</v>
      </c>
      <c r="U800" t="s">
        <v>1227</v>
      </c>
    </row>
    <row r="801" spans="1:21" x14ac:dyDescent="0.25">
      <c r="A801" s="44" t="s">
        <v>1124</v>
      </c>
      <c r="B801" s="44" t="s">
        <v>201</v>
      </c>
      <c r="C801" s="45">
        <v>5</v>
      </c>
      <c r="D801" s="45"/>
      <c r="E801" s="45">
        <v>0</v>
      </c>
      <c r="F801" s="45"/>
      <c r="G801" s="45">
        <v>0</v>
      </c>
      <c r="H801" s="45"/>
      <c r="I801" s="34">
        <v>0</v>
      </c>
      <c r="J801">
        <f>I801/(VLOOKUP(B801,'Team Stats'!$B$3:$K$18,5,0))</f>
        <v>0</v>
      </c>
      <c r="M801" t="s">
        <v>1227</v>
      </c>
      <c r="N801" t="s">
        <v>1227</v>
      </c>
      <c r="O801" t="s">
        <v>1227</v>
      </c>
      <c r="P801" t="s">
        <v>1227</v>
      </c>
      <c r="Q801" t="s">
        <v>1227</v>
      </c>
      <c r="R801" t="s">
        <v>1227</v>
      </c>
      <c r="S801" t="s">
        <v>1227</v>
      </c>
      <c r="T801" s="54" t="s">
        <v>1227</v>
      </c>
      <c r="U801" t="s">
        <v>1227</v>
      </c>
    </row>
    <row r="802" spans="1:21" x14ac:dyDescent="0.25">
      <c r="A802" s="44" t="s">
        <v>1125</v>
      </c>
      <c r="B802" s="44" t="s">
        <v>214</v>
      </c>
      <c r="C802" s="45">
        <v>1</v>
      </c>
      <c r="D802" s="45"/>
      <c r="E802" s="45">
        <v>0</v>
      </c>
      <c r="F802" s="45"/>
      <c r="G802" s="45">
        <v>0</v>
      </c>
      <c r="H802" s="45"/>
      <c r="I802" s="34">
        <v>0</v>
      </c>
      <c r="J802" t="e">
        <f>I802/(VLOOKUP(B802,'Team Stats'!$B$3:$K$18,5,0))</f>
        <v>#N/A</v>
      </c>
      <c r="M802" t="s">
        <v>1227</v>
      </c>
      <c r="N802" t="s">
        <v>1227</v>
      </c>
      <c r="O802" t="s">
        <v>1227</v>
      </c>
      <c r="P802" t="s">
        <v>1227</v>
      </c>
      <c r="Q802" t="s">
        <v>1227</v>
      </c>
      <c r="R802" t="s">
        <v>1227</v>
      </c>
      <c r="S802" t="s">
        <v>1227</v>
      </c>
      <c r="T802" s="54" t="s">
        <v>1227</v>
      </c>
      <c r="U802" t="s">
        <v>1227</v>
      </c>
    </row>
    <row r="803" spans="1:21" x14ac:dyDescent="0.25">
      <c r="A803" s="44" t="s">
        <v>1126</v>
      </c>
      <c r="B803" s="44" t="s">
        <v>217</v>
      </c>
      <c r="C803" s="45">
        <v>6</v>
      </c>
      <c r="D803" s="45"/>
      <c r="E803" s="45">
        <v>0</v>
      </c>
      <c r="F803" s="45"/>
      <c r="G803" s="45">
        <v>0</v>
      </c>
      <c r="H803" s="45"/>
      <c r="I803" s="34">
        <v>0</v>
      </c>
      <c r="J803" t="e">
        <f>I803/(VLOOKUP(B803,'Team Stats'!$B$3:$K$18,5,0))</f>
        <v>#N/A</v>
      </c>
      <c r="M803" t="s">
        <v>1227</v>
      </c>
      <c r="N803" t="s">
        <v>1227</v>
      </c>
      <c r="O803" t="s">
        <v>1227</v>
      </c>
      <c r="P803" t="s">
        <v>1227</v>
      </c>
      <c r="Q803" t="s">
        <v>1227</v>
      </c>
      <c r="R803" t="s">
        <v>1227</v>
      </c>
      <c r="S803" t="s">
        <v>1227</v>
      </c>
      <c r="T803" s="54" t="s">
        <v>1227</v>
      </c>
      <c r="U803" t="s">
        <v>1227</v>
      </c>
    </row>
    <row r="804" spans="1:21" x14ac:dyDescent="0.25">
      <c r="A804" s="44" t="s">
        <v>1127</v>
      </c>
      <c r="B804" s="44" t="s">
        <v>201</v>
      </c>
      <c r="C804" s="45">
        <v>16</v>
      </c>
      <c r="D804" s="45"/>
      <c r="E804" s="45">
        <v>0</v>
      </c>
      <c r="F804" s="45"/>
      <c r="G804" s="45">
        <v>0</v>
      </c>
      <c r="H804" s="45"/>
      <c r="I804" s="34">
        <v>0</v>
      </c>
      <c r="J804">
        <f>I804/(VLOOKUP(B804,'Team Stats'!$B$3:$K$18,5,0))</f>
        <v>0</v>
      </c>
      <c r="M804" t="s">
        <v>1227</v>
      </c>
      <c r="N804" t="s">
        <v>1227</v>
      </c>
      <c r="O804" t="s">
        <v>1227</v>
      </c>
      <c r="P804" t="s">
        <v>1227</v>
      </c>
      <c r="Q804" t="s">
        <v>1227</v>
      </c>
      <c r="R804" t="s">
        <v>1227</v>
      </c>
      <c r="S804" t="s">
        <v>1227</v>
      </c>
      <c r="T804" s="54" t="s">
        <v>1227</v>
      </c>
      <c r="U804" t="s">
        <v>1227</v>
      </c>
    </row>
    <row r="805" spans="1:21" x14ac:dyDescent="0.25">
      <c r="A805" s="44" t="s">
        <v>1128</v>
      </c>
      <c r="B805" s="44" t="s">
        <v>202</v>
      </c>
      <c r="C805" s="45">
        <v>6</v>
      </c>
      <c r="D805" s="45"/>
      <c r="E805" s="45">
        <v>0</v>
      </c>
      <c r="F805" s="45"/>
      <c r="G805" s="45">
        <v>0</v>
      </c>
      <c r="H805" s="45"/>
      <c r="I805" s="34">
        <v>0</v>
      </c>
      <c r="J805">
        <f>I805/(VLOOKUP(B805,'Team Stats'!$B$3:$K$18,5,0))</f>
        <v>0</v>
      </c>
      <c r="M805" t="s">
        <v>1227</v>
      </c>
      <c r="N805" t="s">
        <v>1227</v>
      </c>
      <c r="O805" t="s">
        <v>1227</v>
      </c>
      <c r="P805" t="s">
        <v>1227</v>
      </c>
      <c r="Q805" t="s">
        <v>1227</v>
      </c>
      <c r="R805" t="s">
        <v>1227</v>
      </c>
      <c r="S805" t="s">
        <v>1227</v>
      </c>
      <c r="T805" s="54" t="s">
        <v>1227</v>
      </c>
      <c r="U805" t="s">
        <v>1227</v>
      </c>
    </row>
    <row r="806" spans="1:21" x14ac:dyDescent="0.25">
      <c r="A806" s="44" t="s">
        <v>1129</v>
      </c>
      <c r="B806" s="44" t="s">
        <v>207</v>
      </c>
      <c r="C806" s="45">
        <v>3</v>
      </c>
      <c r="D806" s="45"/>
      <c r="E806" s="45">
        <v>0</v>
      </c>
      <c r="F806" s="45"/>
      <c r="G806" s="45">
        <v>0</v>
      </c>
      <c r="H806" s="45"/>
      <c r="I806" s="34">
        <v>0</v>
      </c>
      <c r="J806">
        <f>I806/(VLOOKUP(B806,'Team Stats'!$B$3:$K$18,5,0))</f>
        <v>0</v>
      </c>
      <c r="M806" t="s">
        <v>1227</v>
      </c>
      <c r="N806" t="s">
        <v>1227</v>
      </c>
      <c r="O806" t="s">
        <v>1227</v>
      </c>
      <c r="P806" t="s">
        <v>1227</v>
      </c>
      <c r="Q806" t="s">
        <v>1227</v>
      </c>
      <c r="R806" t="s">
        <v>1227</v>
      </c>
      <c r="S806" t="s">
        <v>1227</v>
      </c>
      <c r="T806" s="54" t="s">
        <v>1227</v>
      </c>
      <c r="U806" t="s">
        <v>1227</v>
      </c>
    </row>
    <row r="807" spans="1:21" x14ac:dyDescent="0.25">
      <c r="A807" s="44" t="s">
        <v>1130</v>
      </c>
      <c r="B807" s="44" t="s">
        <v>364</v>
      </c>
      <c r="C807" s="45">
        <v>7</v>
      </c>
      <c r="D807" s="45"/>
      <c r="E807" s="45">
        <v>0</v>
      </c>
      <c r="F807" s="45"/>
      <c r="G807" s="45">
        <v>0</v>
      </c>
      <c r="H807" s="45"/>
      <c r="I807" s="34">
        <v>0</v>
      </c>
      <c r="J807" t="e">
        <f>I807/(VLOOKUP(B807,'Team Stats'!$B$3:$K$18,5,0))</f>
        <v>#N/A</v>
      </c>
      <c r="M807" t="s">
        <v>1227</v>
      </c>
      <c r="N807" t="s">
        <v>1227</v>
      </c>
      <c r="O807" t="s">
        <v>1227</v>
      </c>
      <c r="P807" t="s">
        <v>1227</v>
      </c>
      <c r="Q807" t="s">
        <v>1227</v>
      </c>
      <c r="R807" t="s">
        <v>1227</v>
      </c>
      <c r="S807" t="s">
        <v>1227</v>
      </c>
      <c r="T807" s="54" t="s">
        <v>1227</v>
      </c>
      <c r="U807" t="s">
        <v>1227</v>
      </c>
    </row>
    <row r="808" spans="1:21" x14ac:dyDescent="0.25">
      <c r="A808" s="44" t="s">
        <v>1131</v>
      </c>
      <c r="B808" s="44" t="s">
        <v>204</v>
      </c>
      <c r="C808" s="45">
        <v>9</v>
      </c>
      <c r="D808" s="45"/>
      <c r="E808" s="45">
        <v>0</v>
      </c>
      <c r="F808" s="45"/>
      <c r="G808" s="45">
        <v>0</v>
      </c>
      <c r="H808" s="45"/>
      <c r="I808" s="34">
        <v>0</v>
      </c>
      <c r="J808">
        <f>I808/(VLOOKUP(B808,'Team Stats'!$B$3:$K$18,5,0))</f>
        <v>0</v>
      </c>
      <c r="M808" t="s">
        <v>1227</v>
      </c>
      <c r="N808" t="s">
        <v>1227</v>
      </c>
      <c r="O808" t="s">
        <v>1227</v>
      </c>
      <c r="P808" t="s">
        <v>1227</v>
      </c>
      <c r="Q808" t="s">
        <v>1227</v>
      </c>
      <c r="R808" t="s">
        <v>1227</v>
      </c>
      <c r="S808" t="s">
        <v>1227</v>
      </c>
      <c r="T808" s="54" t="s">
        <v>1227</v>
      </c>
      <c r="U808" t="s">
        <v>1227</v>
      </c>
    </row>
    <row r="809" spans="1:21" x14ac:dyDescent="0.25">
      <c r="A809" s="44" t="s">
        <v>1132</v>
      </c>
      <c r="B809" s="44" t="s">
        <v>207</v>
      </c>
      <c r="C809" s="45">
        <v>8</v>
      </c>
      <c r="D809" s="45"/>
      <c r="E809" s="45">
        <v>0</v>
      </c>
      <c r="F809" s="45"/>
      <c r="G809" s="45">
        <v>0</v>
      </c>
      <c r="H809" s="45"/>
      <c r="I809" s="34">
        <v>0</v>
      </c>
      <c r="J809">
        <f>I809/(VLOOKUP(B809,'Team Stats'!$B$3:$K$18,5,0))</f>
        <v>0</v>
      </c>
      <c r="M809" t="s">
        <v>1227</v>
      </c>
      <c r="N809" t="s">
        <v>1227</v>
      </c>
      <c r="O809" t="s">
        <v>1227</v>
      </c>
      <c r="P809" t="s">
        <v>1227</v>
      </c>
      <c r="Q809" t="s">
        <v>1227</v>
      </c>
      <c r="R809" t="s">
        <v>1227</v>
      </c>
      <c r="S809" t="s">
        <v>1227</v>
      </c>
      <c r="T809" s="54" t="s">
        <v>1227</v>
      </c>
      <c r="U809" t="s">
        <v>1227</v>
      </c>
    </row>
    <row r="810" spans="1:21" x14ac:dyDescent="0.25">
      <c r="A810" s="44" t="s">
        <v>1133</v>
      </c>
      <c r="B810" s="44" t="s">
        <v>199</v>
      </c>
      <c r="C810" s="45">
        <v>1</v>
      </c>
      <c r="D810" s="45"/>
      <c r="E810" s="45">
        <v>0</v>
      </c>
      <c r="F810" s="45"/>
      <c r="G810" s="45">
        <v>0</v>
      </c>
      <c r="H810" s="45"/>
      <c r="I810" s="34">
        <v>0</v>
      </c>
      <c r="J810">
        <f>I810/(VLOOKUP(B810,'Team Stats'!$B$3:$K$18,5,0))</f>
        <v>0</v>
      </c>
      <c r="M810" t="s">
        <v>1227</v>
      </c>
      <c r="N810" t="s">
        <v>1227</v>
      </c>
      <c r="O810" t="s">
        <v>1227</v>
      </c>
      <c r="P810" t="s">
        <v>1227</v>
      </c>
      <c r="Q810" t="s">
        <v>1227</v>
      </c>
      <c r="R810" t="s">
        <v>1227</v>
      </c>
      <c r="S810" t="s">
        <v>1227</v>
      </c>
      <c r="T810" s="54" t="s">
        <v>1227</v>
      </c>
      <c r="U810" t="s">
        <v>1227</v>
      </c>
    </row>
    <row r="811" spans="1:21" x14ac:dyDescent="0.25">
      <c r="A811" s="44" t="s">
        <v>1134</v>
      </c>
      <c r="B811" s="44" t="s">
        <v>364</v>
      </c>
      <c r="C811" s="45">
        <v>1</v>
      </c>
      <c r="D811" s="45"/>
      <c r="E811" s="45">
        <v>0</v>
      </c>
      <c r="F811" s="45"/>
      <c r="G811" s="45">
        <v>0</v>
      </c>
      <c r="H811" s="45"/>
      <c r="I811" s="34">
        <v>0</v>
      </c>
      <c r="J811" t="e">
        <f>I811/(VLOOKUP(B811,'Team Stats'!$B$3:$K$18,5,0))</f>
        <v>#N/A</v>
      </c>
      <c r="M811" t="s">
        <v>1227</v>
      </c>
      <c r="N811" t="s">
        <v>1227</v>
      </c>
      <c r="O811" t="s">
        <v>1227</v>
      </c>
      <c r="P811" t="s">
        <v>1227</v>
      </c>
      <c r="Q811" t="s">
        <v>1227</v>
      </c>
      <c r="R811" t="s">
        <v>1227</v>
      </c>
      <c r="S811" t="s">
        <v>1227</v>
      </c>
      <c r="T811" s="54" t="s">
        <v>1227</v>
      </c>
      <c r="U811" t="s">
        <v>1227</v>
      </c>
    </row>
    <row r="812" spans="1:21" x14ac:dyDescent="0.25">
      <c r="A812" s="44" t="s">
        <v>1135</v>
      </c>
      <c r="B812" s="44" t="s">
        <v>217</v>
      </c>
      <c r="C812" s="45">
        <v>7</v>
      </c>
      <c r="D812" s="45"/>
      <c r="E812" s="45">
        <v>0</v>
      </c>
      <c r="F812" s="45"/>
      <c r="G812" s="45">
        <v>0</v>
      </c>
      <c r="H812" s="45"/>
      <c r="I812" s="34">
        <v>0</v>
      </c>
      <c r="J812" t="e">
        <f>I812/(VLOOKUP(B812,'Team Stats'!$B$3:$K$18,5,0))</f>
        <v>#N/A</v>
      </c>
      <c r="M812" t="s">
        <v>1227</v>
      </c>
      <c r="N812" t="s">
        <v>1227</v>
      </c>
      <c r="O812" t="s">
        <v>1227</v>
      </c>
      <c r="P812" t="s">
        <v>1227</v>
      </c>
      <c r="Q812" t="s">
        <v>1227</v>
      </c>
      <c r="R812" t="s">
        <v>1227</v>
      </c>
      <c r="S812" t="s">
        <v>1227</v>
      </c>
      <c r="T812" s="54" t="s">
        <v>1227</v>
      </c>
      <c r="U812" t="s">
        <v>1227</v>
      </c>
    </row>
    <row r="813" spans="1:21" x14ac:dyDescent="0.25">
      <c r="A813" s="44" t="s">
        <v>1136</v>
      </c>
      <c r="B813" s="44" t="s">
        <v>217</v>
      </c>
      <c r="C813" s="45">
        <v>3</v>
      </c>
      <c r="D813" s="45"/>
      <c r="E813" s="45">
        <v>0</v>
      </c>
      <c r="F813" s="45"/>
      <c r="G813" s="45">
        <v>0</v>
      </c>
      <c r="H813" s="45"/>
      <c r="I813" s="34">
        <v>0</v>
      </c>
      <c r="J813" t="e">
        <f>I813/(VLOOKUP(B813,'Team Stats'!$B$3:$K$18,5,0))</f>
        <v>#N/A</v>
      </c>
      <c r="M813" t="s">
        <v>1227</v>
      </c>
      <c r="N813" t="s">
        <v>1227</v>
      </c>
      <c r="O813" t="s">
        <v>1227</v>
      </c>
      <c r="P813" t="s">
        <v>1227</v>
      </c>
      <c r="Q813" t="s">
        <v>1227</v>
      </c>
      <c r="R813" t="s">
        <v>1227</v>
      </c>
      <c r="S813" t="s">
        <v>1227</v>
      </c>
      <c r="T813" s="54" t="s">
        <v>1227</v>
      </c>
      <c r="U813" t="s">
        <v>1227</v>
      </c>
    </row>
    <row r="814" spans="1:21" x14ac:dyDescent="0.25">
      <c r="A814" s="44" t="s">
        <v>1137</v>
      </c>
      <c r="B814" s="44" t="s">
        <v>330</v>
      </c>
      <c r="C814" s="45">
        <v>2</v>
      </c>
      <c r="D814" s="45"/>
      <c r="E814" s="45">
        <v>0</v>
      </c>
      <c r="F814" s="45"/>
      <c r="G814" s="45">
        <v>0</v>
      </c>
      <c r="H814" s="45"/>
      <c r="I814" s="34">
        <v>0</v>
      </c>
      <c r="J814" t="e">
        <f>I814/(VLOOKUP(B814,'Team Stats'!$B$3:$K$18,5,0))</f>
        <v>#N/A</v>
      </c>
      <c r="M814" t="s">
        <v>1227</v>
      </c>
      <c r="N814" t="s">
        <v>1227</v>
      </c>
      <c r="O814" t="s">
        <v>1227</v>
      </c>
      <c r="P814" t="s">
        <v>1227</v>
      </c>
      <c r="Q814" t="s">
        <v>1227</v>
      </c>
      <c r="R814" t="s">
        <v>1227</v>
      </c>
      <c r="S814" t="s">
        <v>1227</v>
      </c>
      <c r="T814" s="54" t="s">
        <v>1227</v>
      </c>
      <c r="U814" t="s">
        <v>1227</v>
      </c>
    </row>
    <row r="815" spans="1:21" x14ac:dyDescent="0.25">
      <c r="A815" s="44" t="s">
        <v>1138</v>
      </c>
      <c r="B815" s="44" t="s">
        <v>214</v>
      </c>
      <c r="C815" s="45">
        <v>2</v>
      </c>
      <c r="D815" s="45"/>
      <c r="E815" s="45">
        <v>0</v>
      </c>
      <c r="F815" s="45"/>
      <c r="G815" s="45">
        <v>0</v>
      </c>
      <c r="H815" s="45"/>
      <c r="I815" s="34">
        <v>0</v>
      </c>
      <c r="J815" t="e">
        <f>I815/(VLOOKUP(B815,'Team Stats'!$B$3:$K$18,5,0))</f>
        <v>#N/A</v>
      </c>
      <c r="M815" t="s">
        <v>1227</v>
      </c>
      <c r="N815" t="s">
        <v>1227</v>
      </c>
      <c r="O815" t="s">
        <v>1227</v>
      </c>
      <c r="P815" t="s">
        <v>1227</v>
      </c>
      <c r="Q815" t="s">
        <v>1227</v>
      </c>
      <c r="R815" t="s">
        <v>1227</v>
      </c>
      <c r="S815" t="s">
        <v>1227</v>
      </c>
      <c r="T815" s="54" t="s">
        <v>1227</v>
      </c>
      <c r="U815" t="s">
        <v>1227</v>
      </c>
    </row>
    <row r="816" spans="1:21" x14ac:dyDescent="0.25">
      <c r="A816" s="44" t="s">
        <v>1139</v>
      </c>
      <c r="B816" s="44" t="s">
        <v>212</v>
      </c>
      <c r="C816" s="45">
        <v>9</v>
      </c>
      <c r="D816" s="45"/>
      <c r="E816" s="45">
        <v>0</v>
      </c>
      <c r="F816" s="45"/>
      <c r="G816" s="45">
        <v>0</v>
      </c>
      <c r="H816" s="45"/>
      <c r="I816" s="34">
        <v>0</v>
      </c>
      <c r="J816" t="e">
        <f>I816/(VLOOKUP(B816,'Team Stats'!$B$3:$K$18,5,0))</f>
        <v>#N/A</v>
      </c>
      <c r="M816" t="s">
        <v>1227</v>
      </c>
      <c r="N816" t="s">
        <v>1227</v>
      </c>
      <c r="O816" t="s">
        <v>1227</v>
      </c>
      <c r="P816" t="s">
        <v>1227</v>
      </c>
      <c r="Q816" t="s">
        <v>1227</v>
      </c>
      <c r="R816" t="s">
        <v>1227</v>
      </c>
      <c r="S816" t="s">
        <v>1227</v>
      </c>
      <c r="T816" s="54" t="s">
        <v>1227</v>
      </c>
      <c r="U816" t="s">
        <v>1227</v>
      </c>
    </row>
    <row r="817" spans="1:21" x14ac:dyDescent="0.25">
      <c r="A817" s="44" t="s">
        <v>1140</v>
      </c>
      <c r="B817" s="44" t="s">
        <v>220</v>
      </c>
      <c r="C817" s="45">
        <v>2</v>
      </c>
      <c r="D817" s="45"/>
      <c r="E817" s="45">
        <v>0</v>
      </c>
      <c r="F817" s="45"/>
      <c r="G817" s="45">
        <v>0</v>
      </c>
      <c r="H817" s="45"/>
      <c r="I817" s="34">
        <v>0</v>
      </c>
      <c r="J817" t="e">
        <f>I817/(VLOOKUP(B817,'Team Stats'!$B$3:$K$18,5,0))</f>
        <v>#N/A</v>
      </c>
      <c r="M817" t="s">
        <v>1227</v>
      </c>
      <c r="N817" t="s">
        <v>1227</v>
      </c>
      <c r="O817" t="s">
        <v>1227</v>
      </c>
      <c r="P817" t="s">
        <v>1227</v>
      </c>
      <c r="Q817" t="s">
        <v>1227</v>
      </c>
      <c r="R817" t="s">
        <v>1227</v>
      </c>
      <c r="S817" t="s">
        <v>1227</v>
      </c>
      <c r="T817" s="54" t="s">
        <v>1227</v>
      </c>
      <c r="U817" t="s">
        <v>1227</v>
      </c>
    </row>
    <row r="818" spans="1:21" x14ac:dyDescent="0.25">
      <c r="A818" s="44" t="s">
        <v>1141</v>
      </c>
      <c r="B818" s="44" t="s">
        <v>198</v>
      </c>
      <c r="C818" s="45">
        <v>13</v>
      </c>
      <c r="D818" s="45"/>
      <c r="E818" s="45">
        <v>0</v>
      </c>
      <c r="F818" s="45"/>
      <c r="G818" s="45">
        <v>0</v>
      </c>
      <c r="H818" s="45"/>
      <c r="I818" s="34">
        <v>0</v>
      </c>
      <c r="J818" t="e">
        <f>I818/(VLOOKUP(B818,'Team Stats'!$B$3:$K$18,5,0))</f>
        <v>#N/A</v>
      </c>
      <c r="M818" t="s">
        <v>1227</v>
      </c>
      <c r="N818" t="s">
        <v>1227</v>
      </c>
      <c r="O818" t="s">
        <v>1227</v>
      </c>
      <c r="P818" t="s">
        <v>1227</v>
      </c>
      <c r="Q818" t="s">
        <v>1227</v>
      </c>
      <c r="R818" t="s">
        <v>1227</v>
      </c>
      <c r="S818" t="s">
        <v>1227</v>
      </c>
      <c r="T818" s="54" t="s">
        <v>1227</v>
      </c>
      <c r="U818" t="s">
        <v>1227</v>
      </c>
    </row>
    <row r="819" spans="1:21" x14ac:dyDescent="0.25">
      <c r="A819" s="44" t="s">
        <v>1142</v>
      </c>
      <c r="B819" s="44" t="s">
        <v>205</v>
      </c>
      <c r="C819" s="45">
        <v>5</v>
      </c>
      <c r="D819" s="45"/>
      <c r="E819" s="45">
        <v>0</v>
      </c>
      <c r="F819" s="45"/>
      <c r="G819" s="45">
        <v>0</v>
      </c>
      <c r="H819" s="45"/>
      <c r="I819" s="34">
        <v>0</v>
      </c>
      <c r="J819">
        <f>I819/(VLOOKUP(B819,'Team Stats'!$B$3:$K$18,5,0))</f>
        <v>0</v>
      </c>
      <c r="M819" t="s">
        <v>1227</v>
      </c>
      <c r="N819" t="s">
        <v>1227</v>
      </c>
      <c r="O819" t="s">
        <v>1227</v>
      </c>
      <c r="P819" t="s">
        <v>1227</v>
      </c>
      <c r="Q819" t="s">
        <v>1227</v>
      </c>
      <c r="R819" t="s">
        <v>1227</v>
      </c>
      <c r="S819" t="s">
        <v>1227</v>
      </c>
      <c r="T819" s="54" t="s">
        <v>1227</v>
      </c>
      <c r="U819" t="s">
        <v>1227</v>
      </c>
    </row>
    <row r="820" spans="1:21" x14ac:dyDescent="0.25">
      <c r="A820" s="44" t="s">
        <v>1143</v>
      </c>
      <c r="B820" s="44" t="s">
        <v>207</v>
      </c>
      <c r="C820" s="45">
        <v>6</v>
      </c>
      <c r="D820" s="45"/>
      <c r="E820" s="45">
        <v>0</v>
      </c>
      <c r="F820" s="45"/>
      <c r="G820" s="45">
        <v>0</v>
      </c>
      <c r="H820" s="45"/>
      <c r="I820" s="34">
        <v>0</v>
      </c>
      <c r="J820">
        <f>I820/(VLOOKUP(B820,'Team Stats'!$B$3:$K$18,5,0))</f>
        <v>0</v>
      </c>
      <c r="M820" t="s">
        <v>1227</v>
      </c>
      <c r="N820" t="s">
        <v>1227</v>
      </c>
      <c r="O820" t="s">
        <v>1227</v>
      </c>
      <c r="P820" t="s">
        <v>1227</v>
      </c>
      <c r="Q820" t="s">
        <v>1227</v>
      </c>
      <c r="R820" t="s">
        <v>1227</v>
      </c>
      <c r="S820" t="s">
        <v>1227</v>
      </c>
      <c r="T820" s="54" t="s">
        <v>1227</v>
      </c>
      <c r="U820" t="s">
        <v>1227</v>
      </c>
    </row>
    <row r="821" spans="1:21" x14ac:dyDescent="0.25">
      <c r="A821" s="44" t="s">
        <v>1144</v>
      </c>
      <c r="B821" s="44" t="s">
        <v>197</v>
      </c>
      <c r="C821" s="45">
        <v>10</v>
      </c>
      <c r="D821" s="45"/>
      <c r="E821" s="45">
        <v>0</v>
      </c>
      <c r="F821" s="45"/>
      <c r="G821" s="45">
        <v>0</v>
      </c>
      <c r="H821" s="45"/>
      <c r="I821" s="34">
        <v>0</v>
      </c>
      <c r="J821">
        <f>I821/(VLOOKUP(B821,'Team Stats'!$B$3:$K$18,5,0))</f>
        <v>0</v>
      </c>
      <c r="M821" t="s">
        <v>1227</v>
      </c>
      <c r="N821" t="s">
        <v>1227</v>
      </c>
      <c r="O821" t="s">
        <v>1227</v>
      </c>
      <c r="P821" t="s">
        <v>1227</v>
      </c>
      <c r="Q821" t="s">
        <v>1227</v>
      </c>
      <c r="R821" t="s">
        <v>1227</v>
      </c>
      <c r="S821" t="s">
        <v>1227</v>
      </c>
      <c r="T821" s="54" t="s">
        <v>1227</v>
      </c>
      <c r="U821" t="s">
        <v>1227</v>
      </c>
    </row>
    <row r="822" spans="1:21" x14ac:dyDescent="0.25">
      <c r="A822" s="44" t="s">
        <v>1145</v>
      </c>
      <c r="B822" s="44" t="s">
        <v>209</v>
      </c>
      <c r="C822" s="45">
        <v>1</v>
      </c>
      <c r="D822" s="45"/>
      <c r="E822" s="45">
        <v>0</v>
      </c>
      <c r="F822" s="45"/>
      <c r="G822" s="45">
        <v>0</v>
      </c>
      <c r="H822" s="45"/>
      <c r="I822" s="34">
        <v>0</v>
      </c>
      <c r="J822">
        <f>I822/(VLOOKUP(B822,'Team Stats'!$B$3:$K$18,5,0))</f>
        <v>0</v>
      </c>
      <c r="M822" t="s">
        <v>1227</v>
      </c>
      <c r="N822" t="s">
        <v>1227</v>
      </c>
      <c r="O822" t="s">
        <v>1227</v>
      </c>
      <c r="P822" t="s">
        <v>1227</v>
      </c>
      <c r="Q822" t="s">
        <v>1227</v>
      </c>
      <c r="R822" t="s">
        <v>1227</v>
      </c>
      <c r="S822" t="s">
        <v>1227</v>
      </c>
      <c r="T822" s="54" t="s">
        <v>1227</v>
      </c>
      <c r="U822" t="s">
        <v>1227</v>
      </c>
    </row>
    <row r="823" spans="1:21" x14ac:dyDescent="0.25">
      <c r="A823" s="44" t="s">
        <v>1146</v>
      </c>
      <c r="B823" s="44" t="s">
        <v>197</v>
      </c>
      <c r="C823" s="45">
        <v>1</v>
      </c>
      <c r="D823" s="45"/>
      <c r="E823" s="45">
        <v>0</v>
      </c>
      <c r="F823" s="45"/>
      <c r="G823" s="45">
        <v>0</v>
      </c>
      <c r="H823" s="45"/>
      <c r="I823" s="34">
        <v>0</v>
      </c>
      <c r="J823">
        <f>I823/(VLOOKUP(B823,'Team Stats'!$B$3:$K$18,5,0))</f>
        <v>0</v>
      </c>
      <c r="M823" t="s">
        <v>1227</v>
      </c>
      <c r="N823" t="s">
        <v>1227</v>
      </c>
      <c r="O823" t="s">
        <v>1227</v>
      </c>
      <c r="P823" t="s">
        <v>1227</v>
      </c>
      <c r="Q823" t="s">
        <v>1227</v>
      </c>
      <c r="R823" t="s">
        <v>1227</v>
      </c>
      <c r="S823" t="s">
        <v>1227</v>
      </c>
      <c r="T823" s="54" t="s">
        <v>1227</v>
      </c>
      <c r="U823" t="s">
        <v>1227</v>
      </c>
    </row>
    <row r="824" spans="1:21" x14ac:dyDescent="0.25">
      <c r="A824" s="44" t="s">
        <v>1147</v>
      </c>
      <c r="B824" s="44" t="s">
        <v>212</v>
      </c>
      <c r="C824" s="45">
        <v>7</v>
      </c>
      <c r="D824" s="45"/>
      <c r="E824" s="45">
        <v>0</v>
      </c>
      <c r="F824" s="45"/>
      <c r="G824" s="45">
        <v>0</v>
      </c>
      <c r="H824" s="45"/>
      <c r="I824" s="34">
        <v>0</v>
      </c>
      <c r="J824" t="e">
        <f>I824/(VLOOKUP(B824,'Team Stats'!$B$3:$K$18,5,0))</f>
        <v>#N/A</v>
      </c>
      <c r="M824" t="s">
        <v>1227</v>
      </c>
      <c r="N824" t="s">
        <v>1227</v>
      </c>
      <c r="O824" t="s">
        <v>1227</v>
      </c>
      <c r="P824" t="s">
        <v>1227</v>
      </c>
      <c r="Q824" t="s">
        <v>1227</v>
      </c>
      <c r="R824" t="s">
        <v>1227</v>
      </c>
      <c r="S824" t="s">
        <v>1227</v>
      </c>
      <c r="T824" s="54" t="s">
        <v>1227</v>
      </c>
      <c r="U824" t="s">
        <v>1227</v>
      </c>
    </row>
    <row r="825" spans="1:21" x14ac:dyDescent="0.25">
      <c r="A825" s="44" t="s">
        <v>1148</v>
      </c>
      <c r="B825" s="44" t="s">
        <v>214</v>
      </c>
      <c r="C825" s="45">
        <v>1</v>
      </c>
      <c r="D825" s="45"/>
      <c r="E825" s="45">
        <v>0</v>
      </c>
      <c r="F825" s="45"/>
      <c r="G825" s="45">
        <v>0</v>
      </c>
      <c r="H825" s="45"/>
      <c r="I825" s="34">
        <v>0</v>
      </c>
      <c r="J825" t="e">
        <f>I825/(VLOOKUP(B825,'Team Stats'!$B$3:$K$18,5,0))</f>
        <v>#N/A</v>
      </c>
      <c r="M825" t="s">
        <v>1227</v>
      </c>
      <c r="N825" t="s">
        <v>1227</v>
      </c>
      <c r="O825" t="s">
        <v>1227</v>
      </c>
      <c r="P825" t="s">
        <v>1227</v>
      </c>
      <c r="Q825" t="s">
        <v>1227</v>
      </c>
      <c r="R825" t="s">
        <v>1227</v>
      </c>
      <c r="S825" t="s">
        <v>1227</v>
      </c>
      <c r="T825" s="54" t="s">
        <v>1227</v>
      </c>
      <c r="U825" t="s">
        <v>1227</v>
      </c>
    </row>
    <row r="826" spans="1:21" x14ac:dyDescent="0.25">
      <c r="A826" s="44" t="s">
        <v>1149</v>
      </c>
      <c r="B826" s="44" t="s">
        <v>344</v>
      </c>
      <c r="C826" s="45">
        <v>7</v>
      </c>
      <c r="D826" s="45"/>
      <c r="E826" s="45">
        <v>0</v>
      </c>
      <c r="F826" s="45"/>
      <c r="G826" s="45">
        <v>0</v>
      </c>
      <c r="H826" s="45"/>
      <c r="I826" s="34">
        <v>0</v>
      </c>
      <c r="J826" t="e">
        <f>I826/(VLOOKUP(B826,'Team Stats'!$B$3:$K$18,5,0))</f>
        <v>#N/A</v>
      </c>
      <c r="M826" t="s">
        <v>1227</v>
      </c>
      <c r="N826" t="s">
        <v>1227</v>
      </c>
      <c r="O826" t="s">
        <v>1227</v>
      </c>
      <c r="P826" t="s">
        <v>1227</v>
      </c>
      <c r="Q826" t="s">
        <v>1227</v>
      </c>
      <c r="R826" t="s">
        <v>1227</v>
      </c>
      <c r="S826" t="s">
        <v>1227</v>
      </c>
      <c r="T826" s="54" t="s">
        <v>1227</v>
      </c>
      <c r="U826" t="s">
        <v>1227</v>
      </c>
    </row>
    <row r="827" spans="1:21" x14ac:dyDescent="0.25">
      <c r="A827" s="44" t="s">
        <v>1150</v>
      </c>
      <c r="B827" s="44" t="s">
        <v>204</v>
      </c>
      <c r="C827" s="45">
        <v>1</v>
      </c>
      <c r="D827" s="45"/>
      <c r="E827" s="45">
        <v>0</v>
      </c>
      <c r="F827" s="45"/>
      <c r="G827" s="45">
        <v>0</v>
      </c>
      <c r="H827" s="45"/>
      <c r="I827" s="34">
        <v>0</v>
      </c>
      <c r="J827">
        <f>I827/(VLOOKUP(B827,'Team Stats'!$B$3:$K$18,5,0))</f>
        <v>0</v>
      </c>
      <c r="M827" t="s">
        <v>1227</v>
      </c>
      <c r="N827" t="s">
        <v>1227</v>
      </c>
      <c r="O827" t="s">
        <v>1227</v>
      </c>
      <c r="P827" t="s">
        <v>1227</v>
      </c>
      <c r="Q827" t="s">
        <v>1227</v>
      </c>
      <c r="R827" t="s">
        <v>1227</v>
      </c>
      <c r="S827" t="s">
        <v>1227</v>
      </c>
      <c r="T827" s="54" t="s">
        <v>1227</v>
      </c>
      <c r="U827" t="s">
        <v>1227</v>
      </c>
    </row>
    <row r="828" spans="1:21" x14ac:dyDescent="0.25">
      <c r="A828" s="44" t="s">
        <v>1151</v>
      </c>
      <c r="B828" s="44" t="s">
        <v>202</v>
      </c>
      <c r="C828" s="45">
        <v>1</v>
      </c>
      <c r="D828" s="45"/>
      <c r="E828" s="45">
        <v>0</v>
      </c>
      <c r="F828" s="45"/>
      <c r="G828" s="45">
        <v>0</v>
      </c>
      <c r="H828" s="45"/>
      <c r="I828" s="34">
        <v>0</v>
      </c>
      <c r="J828">
        <f>I828/(VLOOKUP(B828,'Team Stats'!$B$3:$K$18,5,0))</f>
        <v>0</v>
      </c>
      <c r="M828" t="s">
        <v>1227</v>
      </c>
      <c r="N828" t="s">
        <v>1227</v>
      </c>
      <c r="O828" t="s">
        <v>1227</v>
      </c>
      <c r="P828" t="s">
        <v>1227</v>
      </c>
      <c r="Q828" t="s">
        <v>1227</v>
      </c>
      <c r="R828" t="s">
        <v>1227</v>
      </c>
      <c r="S828" t="s">
        <v>1227</v>
      </c>
      <c r="T828" s="54" t="s">
        <v>1227</v>
      </c>
      <c r="U828" t="s">
        <v>1227</v>
      </c>
    </row>
    <row r="829" spans="1:21" x14ac:dyDescent="0.25">
      <c r="A829" s="44" t="s">
        <v>1152</v>
      </c>
      <c r="B829" s="44" t="s">
        <v>198</v>
      </c>
      <c r="C829" s="45">
        <v>1</v>
      </c>
      <c r="D829" s="45"/>
      <c r="E829" s="45">
        <v>0</v>
      </c>
      <c r="F829" s="45"/>
      <c r="G829" s="45">
        <v>0</v>
      </c>
      <c r="H829" s="45"/>
      <c r="I829" s="34">
        <v>0</v>
      </c>
      <c r="J829" t="e">
        <f>I829/(VLOOKUP(B829,'Team Stats'!$B$3:$K$18,5,0))</f>
        <v>#N/A</v>
      </c>
      <c r="M829" t="s">
        <v>1227</v>
      </c>
      <c r="N829" t="s">
        <v>1227</v>
      </c>
      <c r="O829" t="s">
        <v>1227</v>
      </c>
      <c r="P829" t="s">
        <v>1227</v>
      </c>
      <c r="Q829" t="s">
        <v>1227</v>
      </c>
      <c r="R829" t="s">
        <v>1227</v>
      </c>
      <c r="S829" t="s">
        <v>1227</v>
      </c>
      <c r="T829" s="54" t="s">
        <v>1227</v>
      </c>
      <c r="U829" t="s">
        <v>1227</v>
      </c>
    </row>
    <row r="830" spans="1:21" x14ac:dyDescent="0.25">
      <c r="A830" s="44" t="s">
        <v>1153</v>
      </c>
      <c r="B830" s="44" t="s">
        <v>201</v>
      </c>
      <c r="C830" s="45">
        <v>2</v>
      </c>
      <c r="D830" s="45"/>
      <c r="E830" s="45">
        <v>0</v>
      </c>
      <c r="F830" s="45"/>
      <c r="G830" s="45">
        <v>0</v>
      </c>
      <c r="H830" s="45"/>
      <c r="I830" s="34">
        <v>0</v>
      </c>
      <c r="J830">
        <f>I830/(VLOOKUP(B830,'Team Stats'!$B$3:$K$18,5,0))</f>
        <v>0</v>
      </c>
      <c r="M830" t="s">
        <v>1227</v>
      </c>
      <c r="N830" t="s">
        <v>1227</v>
      </c>
      <c r="O830" t="s">
        <v>1227</v>
      </c>
      <c r="P830" t="s">
        <v>1227</v>
      </c>
      <c r="Q830" t="s">
        <v>1227</v>
      </c>
      <c r="R830" t="s">
        <v>1227</v>
      </c>
      <c r="S830" t="s">
        <v>1227</v>
      </c>
      <c r="T830" s="54" t="s">
        <v>1227</v>
      </c>
      <c r="U830" t="s">
        <v>1227</v>
      </c>
    </row>
    <row r="831" spans="1:21" x14ac:dyDescent="0.25">
      <c r="A831" s="44" t="s">
        <v>1154</v>
      </c>
      <c r="B831" s="44" t="s">
        <v>324</v>
      </c>
      <c r="C831" s="45">
        <v>4</v>
      </c>
      <c r="D831" s="45"/>
      <c r="E831" s="45">
        <v>0</v>
      </c>
      <c r="F831" s="45"/>
      <c r="G831" s="45">
        <v>0</v>
      </c>
      <c r="H831" s="45"/>
      <c r="I831" s="34">
        <v>0</v>
      </c>
      <c r="J831" t="e">
        <f>I831/(VLOOKUP(B831,'Team Stats'!$B$3:$K$18,5,0))</f>
        <v>#N/A</v>
      </c>
      <c r="M831" t="s">
        <v>1227</v>
      </c>
      <c r="N831" t="s">
        <v>1227</v>
      </c>
      <c r="O831" t="s">
        <v>1227</v>
      </c>
      <c r="P831" t="s">
        <v>1227</v>
      </c>
      <c r="Q831" t="s">
        <v>1227</v>
      </c>
      <c r="R831" t="s">
        <v>1227</v>
      </c>
      <c r="S831" t="s">
        <v>1227</v>
      </c>
      <c r="T831" s="54" t="s">
        <v>1227</v>
      </c>
      <c r="U831" t="s">
        <v>1227</v>
      </c>
    </row>
    <row r="832" spans="1:21" x14ac:dyDescent="0.25">
      <c r="A832" s="44" t="s">
        <v>1155</v>
      </c>
      <c r="B832" s="44" t="s">
        <v>344</v>
      </c>
      <c r="C832" s="45">
        <v>17</v>
      </c>
      <c r="D832" s="45"/>
      <c r="E832" s="45">
        <v>0</v>
      </c>
      <c r="F832" s="45"/>
      <c r="G832" s="45">
        <v>0</v>
      </c>
      <c r="H832" s="45"/>
      <c r="I832" s="34">
        <v>0</v>
      </c>
      <c r="J832" t="e">
        <f>I832/(VLOOKUP(B832,'Team Stats'!$B$3:$K$18,5,0))</f>
        <v>#N/A</v>
      </c>
      <c r="M832" t="s">
        <v>1227</v>
      </c>
      <c r="N832" t="s">
        <v>1227</v>
      </c>
      <c r="O832" t="s">
        <v>1227</v>
      </c>
      <c r="P832" t="s">
        <v>1227</v>
      </c>
      <c r="Q832" t="s">
        <v>1227</v>
      </c>
      <c r="R832" t="s">
        <v>1227</v>
      </c>
      <c r="S832" t="s">
        <v>1227</v>
      </c>
      <c r="T832" s="54" t="s">
        <v>1227</v>
      </c>
      <c r="U832" t="s">
        <v>1227</v>
      </c>
    </row>
    <row r="833" spans="1:21" x14ac:dyDescent="0.25">
      <c r="A833" s="44" t="s">
        <v>1156</v>
      </c>
      <c r="B833" s="44" t="s">
        <v>217</v>
      </c>
      <c r="C833" s="45">
        <v>4</v>
      </c>
      <c r="D833" s="45"/>
      <c r="E833" s="45">
        <v>0</v>
      </c>
      <c r="F833" s="45"/>
      <c r="G833" s="45">
        <v>0</v>
      </c>
      <c r="H833" s="45"/>
      <c r="I833" s="34">
        <v>0</v>
      </c>
      <c r="J833" t="e">
        <f>I833/(VLOOKUP(B833,'Team Stats'!$B$3:$K$18,5,0))</f>
        <v>#N/A</v>
      </c>
      <c r="M833" t="s">
        <v>1227</v>
      </c>
      <c r="N833" t="s">
        <v>1227</v>
      </c>
      <c r="O833" t="s">
        <v>1227</v>
      </c>
      <c r="P833" t="s">
        <v>1227</v>
      </c>
      <c r="Q833" t="s">
        <v>1227</v>
      </c>
      <c r="R833" t="s">
        <v>1227</v>
      </c>
      <c r="S833" t="s">
        <v>1227</v>
      </c>
      <c r="T833" s="54" t="s">
        <v>1227</v>
      </c>
      <c r="U833" t="s">
        <v>1227</v>
      </c>
    </row>
    <row r="834" spans="1:21" x14ac:dyDescent="0.25">
      <c r="A834" s="44" t="s">
        <v>1157</v>
      </c>
      <c r="B834" s="44" t="s">
        <v>211</v>
      </c>
      <c r="C834" s="45">
        <v>3</v>
      </c>
      <c r="D834" s="45"/>
      <c r="E834" s="45">
        <v>0</v>
      </c>
      <c r="F834" s="45"/>
      <c r="G834" s="45">
        <v>0</v>
      </c>
      <c r="H834" s="45"/>
      <c r="I834" s="34">
        <v>0</v>
      </c>
      <c r="J834">
        <f>I834/(VLOOKUP(B834,'Team Stats'!$B$3:$K$18,5,0))</f>
        <v>0</v>
      </c>
      <c r="M834" t="s">
        <v>1227</v>
      </c>
      <c r="N834" t="s">
        <v>1227</v>
      </c>
      <c r="O834" t="s">
        <v>1227</v>
      </c>
      <c r="P834" t="s">
        <v>1227</v>
      </c>
      <c r="Q834" t="s">
        <v>1227</v>
      </c>
      <c r="R834" t="s">
        <v>1227</v>
      </c>
      <c r="S834" t="s">
        <v>1227</v>
      </c>
      <c r="T834" s="54" t="s">
        <v>1227</v>
      </c>
      <c r="U834" t="s">
        <v>1227</v>
      </c>
    </row>
    <row r="835" spans="1:21" x14ac:dyDescent="0.25">
      <c r="A835" s="44" t="s">
        <v>1158</v>
      </c>
      <c r="B835" s="44" t="s">
        <v>330</v>
      </c>
      <c r="C835" s="45">
        <v>3</v>
      </c>
      <c r="D835" s="45"/>
      <c r="E835" s="45">
        <v>0</v>
      </c>
      <c r="F835" s="45"/>
      <c r="G835" s="45">
        <v>0</v>
      </c>
      <c r="H835" s="45"/>
      <c r="I835" s="34">
        <v>0</v>
      </c>
      <c r="J835" t="e">
        <f>I835/(VLOOKUP(B835,'Team Stats'!$B$3:$K$18,5,0))</f>
        <v>#N/A</v>
      </c>
      <c r="M835" t="s">
        <v>1227</v>
      </c>
      <c r="N835" t="s">
        <v>1227</v>
      </c>
      <c r="O835" t="s">
        <v>1227</v>
      </c>
      <c r="P835" t="s">
        <v>1227</v>
      </c>
      <c r="Q835" t="s">
        <v>1227</v>
      </c>
      <c r="R835" t="s">
        <v>1227</v>
      </c>
      <c r="S835" t="s">
        <v>1227</v>
      </c>
      <c r="T835" s="54" t="s">
        <v>1227</v>
      </c>
      <c r="U835" t="s">
        <v>1227</v>
      </c>
    </row>
    <row r="836" spans="1:21" x14ac:dyDescent="0.25">
      <c r="A836" s="44" t="s">
        <v>1159</v>
      </c>
      <c r="B836" s="44" t="s">
        <v>216</v>
      </c>
      <c r="C836" s="45">
        <v>3</v>
      </c>
      <c r="D836" s="45"/>
      <c r="E836" s="45">
        <v>0</v>
      </c>
      <c r="F836" s="45"/>
      <c r="G836" s="45">
        <v>0</v>
      </c>
      <c r="H836" s="45"/>
      <c r="I836" s="34">
        <v>0</v>
      </c>
      <c r="J836" t="e">
        <f>I836/(VLOOKUP(B836,'Team Stats'!$B$3:$K$18,5,0))</f>
        <v>#N/A</v>
      </c>
      <c r="M836" t="s">
        <v>1227</v>
      </c>
      <c r="N836" t="s">
        <v>1227</v>
      </c>
      <c r="O836" t="s">
        <v>1227</v>
      </c>
      <c r="P836" t="s">
        <v>1227</v>
      </c>
      <c r="Q836" t="s">
        <v>1227</v>
      </c>
      <c r="R836" t="s">
        <v>1227</v>
      </c>
      <c r="S836" t="s">
        <v>1227</v>
      </c>
      <c r="T836" s="54" t="s">
        <v>1227</v>
      </c>
      <c r="U836" t="s">
        <v>1227</v>
      </c>
    </row>
    <row r="837" spans="1:21" x14ac:dyDescent="0.25">
      <c r="A837" s="44" t="s">
        <v>1160</v>
      </c>
      <c r="B837" s="44" t="s">
        <v>198</v>
      </c>
      <c r="C837" s="45">
        <v>11</v>
      </c>
      <c r="D837" s="45"/>
      <c r="E837" s="45">
        <v>0</v>
      </c>
      <c r="F837" s="45"/>
      <c r="G837" s="45">
        <v>0</v>
      </c>
      <c r="H837" s="45"/>
      <c r="I837" s="34">
        <v>0</v>
      </c>
      <c r="J837" t="e">
        <f>I837/(VLOOKUP(B837,'Team Stats'!$B$3:$K$18,5,0))</f>
        <v>#N/A</v>
      </c>
      <c r="M837" t="s">
        <v>1227</v>
      </c>
      <c r="N837" t="s">
        <v>1227</v>
      </c>
      <c r="O837" t="s">
        <v>1227</v>
      </c>
      <c r="P837" t="s">
        <v>1227</v>
      </c>
      <c r="Q837" t="s">
        <v>1227</v>
      </c>
      <c r="R837" t="s">
        <v>1227</v>
      </c>
      <c r="S837" t="s">
        <v>1227</v>
      </c>
      <c r="T837" s="54" t="s">
        <v>1227</v>
      </c>
      <c r="U837" t="s">
        <v>1227</v>
      </c>
    </row>
    <row r="838" spans="1:21" x14ac:dyDescent="0.25">
      <c r="A838" s="44" t="s">
        <v>1161</v>
      </c>
      <c r="B838" s="44" t="s">
        <v>207</v>
      </c>
      <c r="C838" s="45">
        <v>1</v>
      </c>
      <c r="D838" s="45"/>
      <c r="E838" s="45">
        <v>0</v>
      </c>
      <c r="F838" s="45"/>
      <c r="G838" s="45">
        <v>0</v>
      </c>
      <c r="H838" s="45"/>
      <c r="I838" s="34">
        <v>0</v>
      </c>
      <c r="J838">
        <f>I838/(VLOOKUP(B838,'Team Stats'!$B$3:$K$18,5,0))</f>
        <v>0</v>
      </c>
      <c r="M838" t="s">
        <v>1227</v>
      </c>
      <c r="N838" t="s">
        <v>1227</v>
      </c>
      <c r="O838" t="s">
        <v>1227</v>
      </c>
      <c r="P838" t="s">
        <v>1227</v>
      </c>
      <c r="Q838" t="s">
        <v>1227</v>
      </c>
      <c r="R838" t="s">
        <v>1227</v>
      </c>
      <c r="S838" t="s">
        <v>1227</v>
      </c>
      <c r="T838" s="54" t="s">
        <v>1227</v>
      </c>
      <c r="U838" t="s">
        <v>1227</v>
      </c>
    </row>
    <row r="839" spans="1:21" x14ac:dyDescent="0.25">
      <c r="A839" s="44" t="s">
        <v>1162</v>
      </c>
      <c r="B839" s="44" t="s">
        <v>195</v>
      </c>
      <c r="C839" s="45">
        <v>2</v>
      </c>
      <c r="D839" s="45"/>
      <c r="E839" s="45">
        <v>0</v>
      </c>
      <c r="F839" s="45"/>
      <c r="G839" s="45">
        <v>0</v>
      </c>
      <c r="H839" s="45"/>
      <c r="I839" s="34">
        <v>0</v>
      </c>
      <c r="J839">
        <f>I839/(VLOOKUP(B839,'Team Stats'!$B$3:$K$18,5,0))</f>
        <v>0</v>
      </c>
      <c r="M839" t="s">
        <v>1227</v>
      </c>
      <c r="N839" t="s">
        <v>1227</v>
      </c>
      <c r="O839" t="s">
        <v>1227</v>
      </c>
      <c r="P839" t="s">
        <v>1227</v>
      </c>
      <c r="Q839" t="s">
        <v>1227</v>
      </c>
      <c r="R839" t="s">
        <v>1227</v>
      </c>
      <c r="S839" t="s">
        <v>1227</v>
      </c>
      <c r="T839" s="54" t="s">
        <v>1227</v>
      </c>
      <c r="U839" t="s">
        <v>1227</v>
      </c>
    </row>
    <row r="840" spans="1:21" x14ac:dyDescent="0.25">
      <c r="A840" s="44" t="s">
        <v>1163</v>
      </c>
      <c r="B840" s="44" t="s">
        <v>221</v>
      </c>
      <c r="C840" s="45">
        <v>1</v>
      </c>
      <c r="D840" s="45"/>
      <c r="E840" s="45">
        <v>0</v>
      </c>
      <c r="F840" s="45"/>
      <c r="G840" s="45">
        <v>0</v>
      </c>
      <c r="H840" s="45"/>
      <c r="I840" s="34">
        <v>0</v>
      </c>
      <c r="J840" t="e">
        <f>I840/(VLOOKUP(B840,'Team Stats'!$B$3:$K$18,5,0))</f>
        <v>#N/A</v>
      </c>
      <c r="M840" t="s">
        <v>1227</v>
      </c>
      <c r="N840" t="s">
        <v>1227</v>
      </c>
      <c r="O840" t="s">
        <v>1227</v>
      </c>
      <c r="P840" t="s">
        <v>1227</v>
      </c>
      <c r="Q840" t="s">
        <v>1227</v>
      </c>
      <c r="R840" t="s">
        <v>1227</v>
      </c>
      <c r="S840" t="s">
        <v>1227</v>
      </c>
      <c r="T840" s="54" t="s">
        <v>1227</v>
      </c>
      <c r="U840" t="s">
        <v>1227</v>
      </c>
    </row>
    <row r="841" spans="1:21" x14ac:dyDescent="0.25">
      <c r="A841" s="44" t="s">
        <v>1164</v>
      </c>
      <c r="B841" s="44" t="s">
        <v>339</v>
      </c>
      <c r="C841" s="45">
        <v>4</v>
      </c>
      <c r="D841" s="45"/>
      <c r="E841" s="45">
        <v>0</v>
      </c>
      <c r="F841" s="45"/>
      <c r="G841" s="45">
        <v>0</v>
      </c>
      <c r="H841" s="45"/>
      <c r="I841" s="34">
        <v>0</v>
      </c>
      <c r="J841" t="e">
        <f>I841/(VLOOKUP(B841,'Team Stats'!$B$3:$K$18,5,0))</f>
        <v>#N/A</v>
      </c>
      <c r="M841" t="s">
        <v>1227</v>
      </c>
      <c r="N841" t="s">
        <v>1227</v>
      </c>
      <c r="O841" t="s">
        <v>1227</v>
      </c>
      <c r="P841" t="s">
        <v>1227</v>
      </c>
      <c r="Q841" t="s">
        <v>1227</v>
      </c>
      <c r="R841" t="s">
        <v>1227</v>
      </c>
      <c r="S841" t="s">
        <v>1227</v>
      </c>
      <c r="T841" s="54" t="s">
        <v>1227</v>
      </c>
      <c r="U841" t="s">
        <v>1227</v>
      </c>
    </row>
    <row r="842" spans="1:21" x14ac:dyDescent="0.25">
      <c r="A842" s="44" t="s">
        <v>1165</v>
      </c>
      <c r="B842" s="44" t="s">
        <v>217</v>
      </c>
      <c r="C842" s="45">
        <v>2</v>
      </c>
      <c r="D842" s="45"/>
      <c r="E842" s="45">
        <v>0</v>
      </c>
      <c r="F842" s="45"/>
      <c r="G842" s="45">
        <v>0</v>
      </c>
      <c r="H842" s="45"/>
      <c r="I842" s="34">
        <v>0</v>
      </c>
      <c r="J842" t="e">
        <f>I842/(VLOOKUP(B842,'Team Stats'!$B$3:$K$18,5,0))</f>
        <v>#N/A</v>
      </c>
      <c r="M842" t="s">
        <v>1227</v>
      </c>
      <c r="N842" t="s">
        <v>1227</v>
      </c>
      <c r="O842" t="s">
        <v>1227</v>
      </c>
      <c r="P842" t="s">
        <v>1227</v>
      </c>
      <c r="Q842" t="s">
        <v>1227</v>
      </c>
      <c r="R842" t="s">
        <v>1227</v>
      </c>
      <c r="S842" t="s">
        <v>1227</v>
      </c>
      <c r="T842" s="54" t="s">
        <v>1227</v>
      </c>
      <c r="U842" t="s">
        <v>1227</v>
      </c>
    </row>
    <row r="843" spans="1:21" x14ac:dyDescent="0.25">
      <c r="A843" s="44" t="s">
        <v>1166</v>
      </c>
      <c r="B843" s="44" t="s">
        <v>198</v>
      </c>
      <c r="C843" s="45">
        <v>1</v>
      </c>
      <c r="D843" s="45"/>
      <c r="E843" s="45">
        <v>0</v>
      </c>
      <c r="F843" s="45"/>
      <c r="G843" s="45">
        <v>0</v>
      </c>
      <c r="H843" s="45"/>
      <c r="I843" s="34">
        <v>0</v>
      </c>
      <c r="J843" t="e">
        <f>I843/(VLOOKUP(B843,'Team Stats'!$B$3:$K$18,5,0))</f>
        <v>#N/A</v>
      </c>
      <c r="M843" t="s">
        <v>1227</v>
      </c>
      <c r="N843" t="s">
        <v>1227</v>
      </c>
      <c r="O843" t="s">
        <v>1227</v>
      </c>
      <c r="P843" t="s">
        <v>1227</v>
      </c>
      <c r="Q843" t="s">
        <v>1227</v>
      </c>
      <c r="R843" t="s">
        <v>1227</v>
      </c>
      <c r="S843" t="s">
        <v>1227</v>
      </c>
      <c r="T843" s="54" t="s">
        <v>1227</v>
      </c>
      <c r="U843" t="s">
        <v>1227</v>
      </c>
    </row>
    <row r="844" spans="1:21" x14ac:dyDescent="0.25">
      <c r="A844" s="44" t="s">
        <v>1167</v>
      </c>
      <c r="B844" s="44" t="s">
        <v>197</v>
      </c>
      <c r="C844" s="45">
        <v>2</v>
      </c>
      <c r="D844" s="45"/>
      <c r="E844" s="45">
        <v>0</v>
      </c>
      <c r="F844" s="45"/>
      <c r="G844" s="45">
        <v>0</v>
      </c>
      <c r="H844" s="45"/>
      <c r="I844" s="34">
        <v>0</v>
      </c>
      <c r="J844">
        <f>I844/(VLOOKUP(B844,'Team Stats'!$B$3:$K$18,5,0))</f>
        <v>0</v>
      </c>
      <c r="M844" t="s">
        <v>1227</v>
      </c>
      <c r="N844" t="s">
        <v>1227</v>
      </c>
      <c r="O844" t="s">
        <v>1227</v>
      </c>
      <c r="P844" t="s">
        <v>1227</v>
      </c>
      <c r="Q844" t="s">
        <v>1227</v>
      </c>
      <c r="R844" t="s">
        <v>1227</v>
      </c>
      <c r="S844" t="s">
        <v>1227</v>
      </c>
      <c r="T844" s="54" t="s">
        <v>1227</v>
      </c>
      <c r="U844" t="s">
        <v>1227</v>
      </c>
    </row>
    <row r="845" spans="1:21" x14ac:dyDescent="0.25">
      <c r="A845" s="44" t="s">
        <v>1168</v>
      </c>
      <c r="B845" s="44" t="s">
        <v>215</v>
      </c>
      <c r="C845" s="45">
        <v>3</v>
      </c>
      <c r="D845" s="45"/>
      <c r="E845" s="45">
        <v>0</v>
      </c>
      <c r="F845" s="45"/>
      <c r="G845" s="45">
        <v>0</v>
      </c>
      <c r="H845" s="45"/>
      <c r="I845" s="34">
        <v>0</v>
      </c>
      <c r="J845" t="e">
        <f>I845/(VLOOKUP(B845,'Team Stats'!$B$3:$K$18,5,0))</f>
        <v>#N/A</v>
      </c>
      <c r="M845" t="s">
        <v>1227</v>
      </c>
      <c r="N845" t="s">
        <v>1227</v>
      </c>
      <c r="O845" t="s">
        <v>1227</v>
      </c>
      <c r="P845" t="s">
        <v>1227</v>
      </c>
      <c r="Q845" t="s">
        <v>1227</v>
      </c>
      <c r="R845" t="s">
        <v>1227</v>
      </c>
      <c r="S845" t="s">
        <v>1227</v>
      </c>
      <c r="T845" s="54" t="s">
        <v>1227</v>
      </c>
      <c r="U845" t="s">
        <v>1227</v>
      </c>
    </row>
    <row r="846" spans="1:21" x14ac:dyDescent="0.25">
      <c r="A846" s="44" t="s">
        <v>1169</v>
      </c>
      <c r="B846" s="44" t="s">
        <v>204</v>
      </c>
      <c r="C846" s="45">
        <v>1</v>
      </c>
      <c r="D846" s="45"/>
      <c r="E846" s="45">
        <v>0</v>
      </c>
      <c r="F846" s="45"/>
      <c r="G846" s="45">
        <v>0</v>
      </c>
      <c r="H846" s="45"/>
      <c r="I846" s="34">
        <v>0</v>
      </c>
      <c r="J846">
        <f>I846/(VLOOKUP(B846,'Team Stats'!$B$3:$K$18,5,0))</f>
        <v>0</v>
      </c>
      <c r="M846" t="s">
        <v>1227</v>
      </c>
      <c r="N846" t="s">
        <v>1227</v>
      </c>
      <c r="O846" t="s">
        <v>1227</v>
      </c>
      <c r="P846" t="s">
        <v>1227</v>
      </c>
      <c r="Q846" t="s">
        <v>1227</v>
      </c>
      <c r="R846" t="s">
        <v>1227</v>
      </c>
      <c r="S846" t="s">
        <v>1227</v>
      </c>
      <c r="T846" s="54" t="s">
        <v>1227</v>
      </c>
      <c r="U846" t="s">
        <v>1227</v>
      </c>
    </row>
    <row r="847" spans="1:21" x14ac:dyDescent="0.25">
      <c r="A847" s="44" t="s">
        <v>1170</v>
      </c>
      <c r="B847" s="44" t="s">
        <v>221</v>
      </c>
      <c r="C847" s="45">
        <v>3</v>
      </c>
      <c r="D847" s="45"/>
      <c r="E847" s="45">
        <v>0</v>
      </c>
      <c r="F847" s="45"/>
      <c r="G847" s="45">
        <v>0</v>
      </c>
      <c r="H847" s="45"/>
      <c r="I847" s="34">
        <v>0</v>
      </c>
      <c r="J847" t="e">
        <f>I847/(VLOOKUP(B847,'Team Stats'!$B$3:$K$18,5,0))</f>
        <v>#N/A</v>
      </c>
      <c r="M847" t="s">
        <v>1227</v>
      </c>
      <c r="N847" t="s">
        <v>1227</v>
      </c>
      <c r="O847" t="s">
        <v>1227</v>
      </c>
      <c r="P847" t="s">
        <v>1227</v>
      </c>
      <c r="Q847" t="s">
        <v>1227</v>
      </c>
      <c r="R847" t="s">
        <v>1227</v>
      </c>
      <c r="S847" t="s">
        <v>1227</v>
      </c>
      <c r="T847" s="54" t="s">
        <v>1227</v>
      </c>
      <c r="U847" t="s">
        <v>1227</v>
      </c>
    </row>
    <row r="848" spans="1:21" x14ac:dyDescent="0.25">
      <c r="A848" s="44" t="s">
        <v>1171</v>
      </c>
      <c r="B848" s="44" t="s">
        <v>344</v>
      </c>
      <c r="C848" s="45">
        <v>3</v>
      </c>
      <c r="D848" s="45"/>
      <c r="E848" s="45">
        <v>0</v>
      </c>
      <c r="F848" s="45"/>
      <c r="G848" s="45">
        <v>0</v>
      </c>
      <c r="H848" s="45"/>
      <c r="I848" s="34">
        <v>0</v>
      </c>
      <c r="J848" t="e">
        <f>I848/(VLOOKUP(B848,'Team Stats'!$B$3:$K$18,5,0))</f>
        <v>#N/A</v>
      </c>
      <c r="M848" t="s">
        <v>1227</v>
      </c>
      <c r="N848" t="s">
        <v>1227</v>
      </c>
      <c r="O848" t="s">
        <v>1227</v>
      </c>
      <c r="P848" t="s">
        <v>1227</v>
      </c>
      <c r="Q848" t="s">
        <v>1227</v>
      </c>
      <c r="R848" t="s">
        <v>1227</v>
      </c>
      <c r="S848" t="s">
        <v>1227</v>
      </c>
      <c r="T848" s="54" t="s">
        <v>1227</v>
      </c>
      <c r="U848" t="s">
        <v>1227</v>
      </c>
    </row>
    <row r="849" spans="1:21" x14ac:dyDescent="0.25">
      <c r="A849" s="44" t="s">
        <v>1172</v>
      </c>
      <c r="B849" s="44" t="s">
        <v>197</v>
      </c>
      <c r="C849" s="45">
        <v>7</v>
      </c>
      <c r="D849" s="45"/>
      <c r="E849" s="45">
        <v>0</v>
      </c>
      <c r="F849" s="45"/>
      <c r="G849" s="45">
        <v>0</v>
      </c>
      <c r="H849" s="45"/>
      <c r="I849" s="34">
        <v>0</v>
      </c>
      <c r="J849">
        <f>I849/(VLOOKUP(B849,'Team Stats'!$B$3:$K$18,5,0))</f>
        <v>0</v>
      </c>
      <c r="M849" t="s">
        <v>1227</v>
      </c>
      <c r="N849" t="s">
        <v>1227</v>
      </c>
      <c r="O849" t="s">
        <v>1227</v>
      </c>
      <c r="P849" t="s">
        <v>1227</v>
      </c>
      <c r="Q849" t="s">
        <v>1227</v>
      </c>
      <c r="R849" t="s">
        <v>1227</v>
      </c>
      <c r="S849" t="s">
        <v>1227</v>
      </c>
      <c r="T849" s="54" t="s">
        <v>1227</v>
      </c>
      <c r="U849" t="s">
        <v>1227</v>
      </c>
    </row>
    <row r="850" spans="1:21" x14ac:dyDescent="0.25">
      <c r="A850" s="44" t="s">
        <v>1173</v>
      </c>
      <c r="B850" s="44" t="s">
        <v>215</v>
      </c>
      <c r="C850" s="45">
        <v>30</v>
      </c>
      <c r="D850" s="45"/>
      <c r="E850" s="45">
        <v>0</v>
      </c>
      <c r="F850" s="45"/>
      <c r="G850" s="45">
        <v>0</v>
      </c>
      <c r="H850" s="45"/>
      <c r="I850" s="34">
        <v>0</v>
      </c>
      <c r="J850" t="e">
        <f>I850/(VLOOKUP(B850,'Team Stats'!$B$3:$K$18,5,0))</f>
        <v>#N/A</v>
      </c>
      <c r="M850" t="s">
        <v>1227</v>
      </c>
      <c r="N850" t="s">
        <v>1227</v>
      </c>
      <c r="O850" t="s">
        <v>1227</v>
      </c>
      <c r="P850" t="s">
        <v>1227</v>
      </c>
      <c r="Q850" t="s">
        <v>1227</v>
      </c>
      <c r="R850" t="s">
        <v>1227</v>
      </c>
      <c r="S850" t="s">
        <v>1227</v>
      </c>
      <c r="T850" s="54" t="s">
        <v>1227</v>
      </c>
      <c r="U850" t="s">
        <v>1227</v>
      </c>
    </row>
    <row r="851" spans="1:21" x14ac:dyDescent="0.25">
      <c r="A851" s="44" t="s">
        <v>1174</v>
      </c>
      <c r="B851" s="44" t="s">
        <v>202</v>
      </c>
      <c r="C851" s="45">
        <v>1</v>
      </c>
      <c r="D851" s="45"/>
      <c r="E851" s="45">
        <v>0</v>
      </c>
      <c r="F851" s="45"/>
      <c r="G851" s="45">
        <v>0</v>
      </c>
      <c r="H851" s="45"/>
      <c r="I851" s="34">
        <v>0</v>
      </c>
      <c r="J851">
        <f>I851/(VLOOKUP(B851,'Team Stats'!$B$3:$K$18,5,0))</f>
        <v>0</v>
      </c>
      <c r="M851" t="s">
        <v>1227</v>
      </c>
      <c r="N851" t="s">
        <v>1227</v>
      </c>
      <c r="O851" t="s">
        <v>1227</v>
      </c>
      <c r="P851" t="s">
        <v>1227</v>
      </c>
      <c r="Q851" t="s">
        <v>1227</v>
      </c>
      <c r="R851" t="s">
        <v>1227</v>
      </c>
      <c r="S851" t="s">
        <v>1227</v>
      </c>
      <c r="T851" s="54" t="s">
        <v>1227</v>
      </c>
      <c r="U851" t="s">
        <v>1227</v>
      </c>
    </row>
    <row r="852" spans="1:21" ht="30" x14ac:dyDescent="0.25">
      <c r="A852" s="44" t="s">
        <v>1175</v>
      </c>
      <c r="B852" s="44" t="s">
        <v>198</v>
      </c>
      <c r="C852" s="45">
        <v>2</v>
      </c>
      <c r="D852" s="45"/>
      <c r="E852" s="45">
        <v>0</v>
      </c>
      <c r="F852" s="45"/>
      <c r="G852" s="45">
        <v>0</v>
      </c>
      <c r="H852" s="45"/>
      <c r="I852" s="34">
        <v>0</v>
      </c>
      <c r="J852" t="e">
        <f>I852/(VLOOKUP(B852,'Team Stats'!$B$3:$K$18,5,0))</f>
        <v>#N/A</v>
      </c>
      <c r="M852" t="s">
        <v>1227</v>
      </c>
      <c r="N852" t="s">
        <v>1227</v>
      </c>
      <c r="O852" t="s">
        <v>1227</v>
      </c>
      <c r="P852" t="s">
        <v>1227</v>
      </c>
      <c r="Q852" t="s">
        <v>1227</v>
      </c>
      <c r="R852" t="s">
        <v>1227</v>
      </c>
      <c r="S852" t="s">
        <v>1227</v>
      </c>
      <c r="T852" s="54" t="s">
        <v>1227</v>
      </c>
      <c r="U852" t="s">
        <v>1227</v>
      </c>
    </row>
    <row r="853" spans="1:21" x14ac:dyDescent="0.25">
      <c r="A853" s="44" t="s">
        <v>1176</v>
      </c>
      <c r="B853" s="44" t="s">
        <v>335</v>
      </c>
      <c r="C853" s="45">
        <v>2</v>
      </c>
      <c r="D853" s="45"/>
      <c r="E853" s="45">
        <v>0</v>
      </c>
      <c r="F853" s="45"/>
      <c r="G853" s="45">
        <v>0</v>
      </c>
      <c r="H853" s="45"/>
      <c r="I853" s="34">
        <v>0</v>
      </c>
      <c r="J853" t="e">
        <f>I853/(VLOOKUP(B853,'Team Stats'!$B$3:$K$18,5,0))</f>
        <v>#N/A</v>
      </c>
      <c r="M853" t="s">
        <v>1227</v>
      </c>
      <c r="N853" t="s">
        <v>1227</v>
      </c>
      <c r="O853" t="s">
        <v>1227</v>
      </c>
      <c r="P853" t="s">
        <v>1227</v>
      </c>
      <c r="Q853" t="s">
        <v>1227</v>
      </c>
      <c r="R853" t="s">
        <v>1227</v>
      </c>
      <c r="S853" t="s">
        <v>1227</v>
      </c>
      <c r="T853" s="54" t="s">
        <v>1227</v>
      </c>
      <c r="U853" t="s">
        <v>1227</v>
      </c>
    </row>
    <row r="854" spans="1:21" x14ac:dyDescent="0.25">
      <c r="A854" s="44" t="s">
        <v>1177</v>
      </c>
      <c r="B854" s="44" t="s">
        <v>207</v>
      </c>
      <c r="C854" s="45">
        <v>1</v>
      </c>
      <c r="D854" s="45"/>
      <c r="E854" s="45">
        <v>0</v>
      </c>
      <c r="F854" s="45"/>
      <c r="G854" s="45">
        <v>0</v>
      </c>
      <c r="H854" s="45"/>
      <c r="I854" s="34">
        <v>0</v>
      </c>
      <c r="J854">
        <f>I854/(VLOOKUP(B854,'Team Stats'!$B$3:$K$18,5,0))</f>
        <v>0</v>
      </c>
      <c r="M854" t="s">
        <v>1227</v>
      </c>
      <c r="N854" t="s">
        <v>1227</v>
      </c>
      <c r="O854" t="s">
        <v>1227</v>
      </c>
      <c r="P854" t="s">
        <v>1227</v>
      </c>
      <c r="Q854" t="s">
        <v>1227</v>
      </c>
      <c r="R854" t="s">
        <v>1227</v>
      </c>
      <c r="S854" t="s">
        <v>1227</v>
      </c>
      <c r="T854" s="54" t="s">
        <v>1227</v>
      </c>
      <c r="U854" t="s">
        <v>1227</v>
      </c>
    </row>
    <row r="855" spans="1:21" x14ac:dyDescent="0.25">
      <c r="A855" s="44" t="s">
        <v>1178</v>
      </c>
      <c r="B855" s="44" t="s">
        <v>209</v>
      </c>
      <c r="C855" s="45">
        <v>1</v>
      </c>
      <c r="D855" s="45"/>
      <c r="E855" s="45">
        <v>0</v>
      </c>
      <c r="F855" s="45"/>
      <c r="G855" s="45">
        <v>0</v>
      </c>
      <c r="H855" s="45"/>
      <c r="I855" s="34">
        <v>0</v>
      </c>
      <c r="J855">
        <f>I855/(VLOOKUP(B855,'Team Stats'!$B$3:$K$18,5,0))</f>
        <v>0</v>
      </c>
      <c r="M855" t="s">
        <v>1227</v>
      </c>
      <c r="N855" t="s">
        <v>1227</v>
      </c>
      <c r="O855" t="s">
        <v>1227</v>
      </c>
      <c r="P855" t="s">
        <v>1227</v>
      </c>
      <c r="Q855" t="s">
        <v>1227</v>
      </c>
      <c r="R855" t="s">
        <v>1227</v>
      </c>
      <c r="S855" t="s">
        <v>1227</v>
      </c>
      <c r="T855" s="54" t="s">
        <v>1227</v>
      </c>
      <c r="U855" t="s">
        <v>1227</v>
      </c>
    </row>
    <row r="856" spans="1:21" x14ac:dyDescent="0.25">
      <c r="A856" s="44" t="s">
        <v>1179</v>
      </c>
      <c r="B856" s="44" t="s">
        <v>215</v>
      </c>
      <c r="C856" s="45">
        <v>3</v>
      </c>
      <c r="D856" s="45"/>
      <c r="E856" s="45">
        <v>0</v>
      </c>
      <c r="F856" s="45"/>
      <c r="G856" s="45">
        <v>0</v>
      </c>
      <c r="H856" s="45"/>
      <c r="I856" s="34">
        <v>0</v>
      </c>
      <c r="J856" t="e">
        <f>I856/(VLOOKUP(B856,'Team Stats'!$B$3:$K$18,5,0))</f>
        <v>#N/A</v>
      </c>
      <c r="M856" t="s">
        <v>1227</v>
      </c>
      <c r="N856" t="s">
        <v>1227</v>
      </c>
      <c r="O856" t="s">
        <v>1227</v>
      </c>
      <c r="P856" t="s">
        <v>1227</v>
      </c>
      <c r="Q856" t="s">
        <v>1227</v>
      </c>
      <c r="R856" t="s">
        <v>1227</v>
      </c>
      <c r="S856" t="s">
        <v>1227</v>
      </c>
      <c r="T856" s="54" t="s">
        <v>1227</v>
      </c>
      <c r="U856" t="s">
        <v>1227</v>
      </c>
    </row>
    <row r="857" spans="1:21" x14ac:dyDescent="0.25">
      <c r="A857" s="44" t="s">
        <v>1180</v>
      </c>
      <c r="B857" s="44" t="s">
        <v>216</v>
      </c>
      <c r="C857" s="45">
        <v>3</v>
      </c>
      <c r="D857" s="45"/>
      <c r="E857" s="45">
        <v>0</v>
      </c>
      <c r="F857" s="45"/>
      <c r="G857" s="45">
        <v>0</v>
      </c>
      <c r="H857" s="45"/>
      <c r="I857" s="34">
        <v>0</v>
      </c>
      <c r="J857" t="e">
        <f>I857/(VLOOKUP(B857,'Team Stats'!$B$3:$K$18,5,0))</f>
        <v>#N/A</v>
      </c>
      <c r="M857" t="s">
        <v>1227</v>
      </c>
      <c r="N857" t="s">
        <v>1227</v>
      </c>
      <c r="O857" t="s">
        <v>1227</v>
      </c>
      <c r="P857" t="s">
        <v>1227</v>
      </c>
      <c r="Q857" t="s">
        <v>1227</v>
      </c>
      <c r="R857" t="s">
        <v>1227</v>
      </c>
      <c r="S857" t="s">
        <v>1227</v>
      </c>
      <c r="T857" s="54" t="s">
        <v>1227</v>
      </c>
      <c r="U857" t="s">
        <v>1227</v>
      </c>
    </row>
    <row r="858" spans="1:21" x14ac:dyDescent="0.25">
      <c r="A858" s="44" t="s">
        <v>1181</v>
      </c>
      <c r="B858" s="44" t="s">
        <v>205</v>
      </c>
      <c r="C858" s="45">
        <v>2</v>
      </c>
      <c r="D858" s="45"/>
      <c r="E858" s="45">
        <v>0</v>
      </c>
      <c r="F858" s="45"/>
      <c r="G858" s="45">
        <v>0</v>
      </c>
      <c r="H858" s="45"/>
      <c r="I858" s="34">
        <v>0</v>
      </c>
      <c r="J858">
        <f>I858/(VLOOKUP(B858,'Team Stats'!$B$3:$K$18,5,0))</f>
        <v>0</v>
      </c>
      <c r="M858" t="s">
        <v>1227</v>
      </c>
      <c r="N858" t="s">
        <v>1227</v>
      </c>
      <c r="O858" t="s">
        <v>1227</v>
      </c>
      <c r="P858" t="s">
        <v>1227</v>
      </c>
      <c r="Q858" t="s">
        <v>1227</v>
      </c>
      <c r="R858" t="s">
        <v>1227</v>
      </c>
      <c r="S858" t="s">
        <v>1227</v>
      </c>
      <c r="T858" s="54" t="s">
        <v>1227</v>
      </c>
      <c r="U858" t="s">
        <v>1227</v>
      </c>
    </row>
    <row r="859" spans="1:21" x14ac:dyDescent="0.25">
      <c r="A859" s="44" t="s">
        <v>1182</v>
      </c>
      <c r="B859" s="44" t="s">
        <v>217</v>
      </c>
      <c r="C859" s="45">
        <v>2</v>
      </c>
      <c r="D859" s="45"/>
      <c r="E859" s="45">
        <v>0</v>
      </c>
      <c r="F859" s="45"/>
      <c r="G859" s="45">
        <v>0</v>
      </c>
      <c r="H859" s="45"/>
      <c r="I859" s="34">
        <v>0</v>
      </c>
      <c r="J859" t="e">
        <f>I859/(VLOOKUP(B859,'Team Stats'!$B$3:$K$18,5,0))</f>
        <v>#N/A</v>
      </c>
      <c r="M859" t="s">
        <v>1227</v>
      </c>
      <c r="N859" t="s">
        <v>1227</v>
      </c>
      <c r="O859" t="s">
        <v>1227</v>
      </c>
      <c r="P859" t="s">
        <v>1227</v>
      </c>
      <c r="Q859" t="s">
        <v>1227</v>
      </c>
      <c r="R859" t="s">
        <v>1227</v>
      </c>
      <c r="S859" t="s">
        <v>1227</v>
      </c>
      <c r="T859" s="54" t="s">
        <v>1227</v>
      </c>
      <c r="U859" t="s">
        <v>1227</v>
      </c>
    </row>
    <row r="860" spans="1:21" x14ac:dyDescent="0.25">
      <c r="A860" s="44" t="s">
        <v>1183</v>
      </c>
      <c r="B860" s="44" t="s">
        <v>218</v>
      </c>
      <c r="C860" s="45">
        <v>1</v>
      </c>
      <c r="D860" s="45"/>
      <c r="E860" s="45">
        <v>0</v>
      </c>
      <c r="F860" s="45"/>
      <c r="G860" s="45">
        <v>0</v>
      </c>
      <c r="H860" s="45"/>
      <c r="I860" s="34">
        <v>0</v>
      </c>
      <c r="J860" t="e">
        <f>I860/(VLOOKUP(B860,'Team Stats'!$B$3:$K$18,5,0))</f>
        <v>#N/A</v>
      </c>
      <c r="M860" t="s">
        <v>1227</v>
      </c>
      <c r="N860" t="s">
        <v>1227</v>
      </c>
      <c r="O860" t="s">
        <v>1227</v>
      </c>
      <c r="P860" t="s">
        <v>1227</v>
      </c>
      <c r="Q860" t="s">
        <v>1227</v>
      </c>
      <c r="R860" t="s">
        <v>1227</v>
      </c>
      <c r="S860" t="s">
        <v>1227</v>
      </c>
      <c r="T860" s="54" t="s">
        <v>1227</v>
      </c>
      <c r="U860" t="s">
        <v>1227</v>
      </c>
    </row>
    <row r="861" spans="1:21" x14ac:dyDescent="0.25">
      <c r="A861" s="44" t="s">
        <v>1184</v>
      </c>
      <c r="B861" s="44" t="s">
        <v>215</v>
      </c>
      <c r="C861" s="45">
        <v>1</v>
      </c>
      <c r="D861" s="45"/>
      <c r="E861" s="45">
        <v>0</v>
      </c>
      <c r="F861" s="45"/>
      <c r="G861" s="45">
        <v>0</v>
      </c>
      <c r="H861" s="45"/>
      <c r="I861" s="34">
        <v>0</v>
      </c>
      <c r="J861" t="e">
        <f>I861/(VLOOKUP(B861,'Team Stats'!$B$3:$K$18,5,0))</f>
        <v>#N/A</v>
      </c>
      <c r="M861" t="s">
        <v>1227</v>
      </c>
      <c r="N861" t="s">
        <v>1227</v>
      </c>
      <c r="O861" t="s">
        <v>1227</v>
      </c>
      <c r="P861" t="s">
        <v>1227</v>
      </c>
      <c r="Q861" t="s">
        <v>1227</v>
      </c>
      <c r="R861" t="s">
        <v>1227</v>
      </c>
      <c r="S861" t="s">
        <v>1227</v>
      </c>
      <c r="T861" s="54" t="s">
        <v>1227</v>
      </c>
      <c r="U861" t="s">
        <v>1227</v>
      </c>
    </row>
    <row r="862" spans="1:21" x14ac:dyDescent="0.25">
      <c r="A862" s="44" t="s">
        <v>1185</v>
      </c>
      <c r="B862" s="44" t="s">
        <v>335</v>
      </c>
      <c r="C862" s="45">
        <v>16</v>
      </c>
      <c r="D862" s="45"/>
      <c r="E862" s="45">
        <v>0</v>
      </c>
      <c r="F862" s="45"/>
      <c r="G862" s="45">
        <v>0</v>
      </c>
      <c r="H862" s="45"/>
      <c r="I862" s="34">
        <v>0</v>
      </c>
      <c r="J862" t="e">
        <f>I862/(VLOOKUP(B862,'Team Stats'!$B$3:$K$18,5,0))</f>
        <v>#N/A</v>
      </c>
      <c r="M862" t="s">
        <v>1227</v>
      </c>
      <c r="N862" t="s">
        <v>1227</v>
      </c>
      <c r="O862" t="s">
        <v>1227</v>
      </c>
      <c r="P862" t="s">
        <v>1227</v>
      </c>
      <c r="Q862" t="s">
        <v>1227</v>
      </c>
      <c r="R862" t="s">
        <v>1227</v>
      </c>
      <c r="S862" t="s">
        <v>1227</v>
      </c>
      <c r="T862" s="54" t="s">
        <v>1227</v>
      </c>
      <c r="U862" t="s">
        <v>1227</v>
      </c>
    </row>
    <row r="863" spans="1:21" x14ac:dyDescent="0.25">
      <c r="A863" s="44" t="s">
        <v>1186</v>
      </c>
      <c r="B863" s="44" t="s">
        <v>202</v>
      </c>
      <c r="C863" s="45">
        <v>4</v>
      </c>
      <c r="D863" s="45"/>
      <c r="E863" s="45">
        <v>0</v>
      </c>
      <c r="F863" s="45"/>
      <c r="G863" s="45">
        <v>0</v>
      </c>
      <c r="H863" s="45"/>
      <c r="I863" s="34">
        <v>0</v>
      </c>
      <c r="J863">
        <f>I863/(VLOOKUP(B863,'Team Stats'!$B$3:$K$18,5,0))</f>
        <v>0</v>
      </c>
      <c r="M863" t="s">
        <v>1227</v>
      </c>
      <c r="N863" t="s">
        <v>1227</v>
      </c>
      <c r="O863" t="s">
        <v>1227</v>
      </c>
      <c r="P863" t="s">
        <v>1227</v>
      </c>
      <c r="Q863" t="s">
        <v>1227</v>
      </c>
      <c r="R863" t="s">
        <v>1227</v>
      </c>
      <c r="S863" t="s">
        <v>1227</v>
      </c>
      <c r="T863" s="54" t="s">
        <v>1227</v>
      </c>
      <c r="U863" t="s">
        <v>1227</v>
      </c>
    </row>
    <row r="864" spans="1:21" x14ac:dyDescent="0.25">
      <c r="A864" s="44" t="s">
        <v>1187</v>
      </c>
      <c r="B864" s="44" t="s">
        <v>356</v>
      </c>
      <c r="C864" s="45">
        <v>1</v>
      </c>
      <c r="D864" s="45"/>
      <c r="E864" s="45">
        <v>0</v>
      </c>
      <c r="F864" s="45"/>
      <c r="G864" s="45">
        <v>0</v>
      </c>
      <c r="H864" s="45"/>
      <c r="I864" s="34">
        <v>0</v>
      </c>
      <c r="J864" t="e">
        <f>I864/(VLOOKUP(B864,'Team Stats'!$B$3:$K$18,5,0))</f>
        <v>#N/A</v>
      </c>
      <c r="M864" t="s">
        <v>1227</v>
      </c>
      <c r="N864" t="s">
        <v>1227</v>
      </c>
      <c r="O864" t="s">
        <v>1227</v>
      </c>
      <c r="P864" t="s">
        <v>1227</v>
      </c>
      <c r="Q864" t="s">
        <v>1227</v>
      </c>
      <c r="R864" t="s">
        <v>1227</v>
      </c>
      <c r="S864" t="s">
        <v>1227</v>
      </c>
      <c r="T864" s="54" t="s">
        <v>1227</v>
      </c>
      <c r="U864" t="s">
        <v>1227</v>
      </c>
    </row>
    <row r="865" spans="1:21" x14ac:dyDescent="0.25">
      <c r="A865" s="44" t="s">
        <v>1188</v>
      </c>
      <c r="B865" s="44" t="s">
        <v>215</v>
      </c>
      <c r="C865" s="45">
        <v>1</v>
      </c>
      <c r="D865" s="45"/>
      <c r="E865" s="45">
        <v>0</v>
      </c>
      <c r="F865" s="45"/>
      <c r="G865" s="45">
        <v>0</v>
      </c>
      <c r="H865" s="45"/>
      <c r="I865" s="34">
        <v>0</v>
      </c>
      <c r="J865" t="e">
        <f>I865/(VLOOKUP(B865,'Team Stats'!$B$3:$K$18,5,0))</f>
        <v>#N/A</v>
      </c>
      <c r="M865" t="s">
        <v>1227</v>
      </c>
      <c r="N865" t="s">
        <v>1227</v>
      </c>
      <c r="O865" t="s">
        <v>1227</v>
      </c>
      <c r="P865" t="s">
        <v>1227</v>
      </c>
      <c r="Q865" t="s">
        <v>1227</v>
      </c>
      <c r="R865" t="s">
        <v>1227</v>
      </c>
      <c r="S865" t="s">
        <v>1227</v>
      </c>
      <c r="T865" s="54" t="s">
        <v>1227</v>
      </c>
      <c r="U865" t="s">
        <v>1227</v>
      </c>
    </row>
    <row r="866" spans="1:21" x14ac:dyDescent="0.25">
      <c r="A866" s="44" t="s">
        <v>1189</v>
      </c>
      <c r="B866" s="44" t="s">
        <v>324</v>
      </c>
      <c r="C866" s="45">
        <v>1</v>
      </c>
      <c r="D866" s="45"/>
      <c r="E866" s="45">
        <v>0</v>
      </c>
      <c r="F866" s="45"/>
      <c r="G866" s="45">
        <v>0</v>
      </c>
      <c r="H866" s="45"/>
      <c r="I866" s="34">
        <v>0</v>
      </c>
      <c r="J866" t="e">
        <f>I866/(VLOOKUP(B866,'Team Stats'!$B$3:$K$18,5,0))</f>
        <v>#N/A</v>
      </c>
      <c r="M866" t="s">
        <v>1227</v>
      </c>
      <c r="N866" t="s">
        <v>1227</v>
      </c>
      <c r="O866" t="s">
        <v>1227</v>
      </c>
      <c r="P866" t="s">
        <v>1227</v>
      </c>
      <c r="Q866" t="s">
        <v>1227</v>
      </c>
      <c r="R866" t="s">
        <v>1227</v>
      </c>
      <c r="S866" t="s">
        <v>1227</v>
      </c>
      <c r="T866" s="54" t="s">
        <v>1227</v>
      </c>
      <c r="U866" t="s">
        <v>1227</v>
      </c>
    </row>
    <row r="867" spans="1:21" x14ac:dyDescent="0.25">
      <c r="A867" s="44" t="s">
        <v>1190</v>
      </c>
      <c r="B867" s="44" t="s">
        <v>209</v>
      </c>
      <c r="C867" s="45">
        <v>1</v>
      </c>
      <c r="D867" s="45"/>
      <c r="E867" s="45">
        <v>0</v>
      </c>
      <c r="F867" s="45"/>
      <c r="G867" s="45">
        <v>0</v>
      </c>
      <c r="H867" s="45"/>
      <c r="I867" s="34">
        <v>0</v>
      </c>
      <c r="J867">
        <f>I867/(VLOOKUP(B867,'Team Stats'!$B$3:$K$18,5,0))</f>
        <v>0</v>
      </c>
      <c r="M867" t="s">
        <v>1227</v>
      </c>
      <c r="N867" t="s">
        <v>1227</v>
      </c>
      <c r="O867" t="s">
        <v>1227</v>
      </c>
      <c r="P867" t="s">
        <v>1227</v>
      </c>
      <c r="Q867" t="s">
        <v>1227</v>
      </c>
      <c r="R867" t="s">
        <v>1227</v>
      </c>
      <c r="S867" t="s">
        <v>1227</v>
      </c>
      <c r="T867" s="54" t="s">
        <v>1227</v>
      </c>
      <c r="U867" t="s">
        <v>1227</v>
      </c>
    </row>
    <row r="868" spans="1:21" x14ac:dyDescent="0.25">
      <c r="A868" s="44" t="s">
        <v>1191</v>
      </c>
      <c r="B868" s="44" t="s">
        <v>198</v>
      </c>
      <c r="C868" s="45">
        <v>4</v>
      </c>
      <c r="D868" s="45"/>
      <c r="E868" s="45">
        <v>0</v>
      </c>
      <c r="F868" s="45"/>
      <c r="G868" s="45">
        <v>0</v>
      </c>
      <c r="H868" s="45"/>
      <c r="I868" s="34">
        <v>0</v>
      </c>
      <c r="J868" t="e">
        <f>I868/(VLOOKUP(B868,'Team Stats'!$B$3:$K$18,5,0))</f>
        <v>#N/A</v>
      </c>
      <c r="M868" t="s">
        <v>1227</v>
      </c>
      <c r="N868" t="s">
        <v>1227</v>
      </c>
      <c r="O868" t="s">
        <v>1227</v>
      </c>
      <c r="P868" t="s">
        <v>1227</v>
      </c>
      <c r="Q868" t="s">
        <v>1227</v>
      </c>
      <c r="R868" t="s">
        <v>1227</v>
      </c>
      <c r="S868" t="s">
        <v>1227</v>
      </c>
      <c r="T868" s="54" t="s">
        <v>1227</v>
      </c>
      <c r="U868" t="s">
        <v>1227</v>
      </c>
    </row>
    <row r="869" spans="1:21" x14ac:dyDescent="0.25">
      <c r="A869" s="44" t="s">
        <v>1192</v>
      </c>
      <c r="B869" s="44" t="s">
        <v>335</v>
      </c>
      <c r="C869" s="45">
        <v>3</v>
      </c>
      <c r="D869" s="45"/>
      <c r="E869" s="45">
        <v>0</v>
      </c>
      <c r="F869" s="45"/>
      <c r="G869" s="45">
        <v>0</v>
      </c>
      <c r="H869" s="45"/>
      <c r="I869" s="34">
        <v>0</v>
      </c>
      <c r="J869" t="e">
        <f>I869/(VLOOKUP(B869,'Team Stats'!$B$3:$K$18,5,0))</f>
        <v>#N/A</v>
      </c>
      <c r="M869" t="s">
        <v>1227</v>
      </c>
      <c r="N869" t="s">
        <v>1227</v>
      </c>
      <c r="O869" t="s">
        <v>1227</v>
      </c>
      <c r="P869" t="s">
        <v>1227</v>
      </c>
      <c r="Q869" t="s">
        <v>1227</v>
      </c>
      <c r="R869" t="s">
        <v>1227</v>
      </c>
      <c r="S869" t="s">
        <v>1227</v>
      </c>
      <c r="T869" s="54" t="s">
        <v>1227</v>
      </c>
      <c r="U869" t="s">
        <v>1227</v>
      </c>
    </row>
    <row r="870" spans="1:21" x14ac:dyDescent="0.25">
      <c r="A870" s="44" t="s">
        <v>1193</v>
      </c>
      <c r="B870" s="44" t="s">
        <v>203</v>
      </c>
      <c r="C870" s="45">
        <v>6</v>
      </c>
      <c r="D870" s="45"/>
      <c r="E870" s="45">
        <v>0</v>
      </c>
      <c r="F870" s="45"/>
      <c r="G870" s="45">
        <v>0</v>
      </c>
      <c r="H870" s="45"/>
      <c r="I870" s="34">
        <v>0</v>
      </c>
      <c r="J870" t="e">
        <f>I870/(VLOOKUP(B870,'Team Stats'!$B$3:$K$18,5,0))</f>
        <v>#N/A</v>
      </c>
      <c r="M870" t="s">
        <v>1227</v>
      </c>
      <c r="N870" t="s">
        <v>1227</v>
      </c>
      <c r="O870" t="s">
        <v>1227</v>
      </c>
      <c r="P870" t="s">
        <v>1227</v>
      </c>
      <c r="Q870" t="s">
        <v>1227</v>
      </c>
      <c r="R870" t="s">
        <v>1227</v>
      </c>
      <c r="S870" t="s">
        <v>1227</v>
      </c>
      <c r="T870" s="54" t="s">
        <v>1227</v>
      </c>
      <c r="U870" t="s">
        <v>1227</v>
      </c>
    </row>
    <row r="871" spans="1:21" x14ac:dyDescent="0.25">
      <c r="A871" s="44" t="s">
        <v>1194</v>
      </c>
      <c r="B871" s="44" t="s">
        <v>215</v>
      </c>
      <c r="C871" s="45">
        <v>1</v>
      </c>
      <c r="D871" s="45"/>
      <c r="E871" s="45">
        <v>0</v>
      </c>
      <c r="F871" s="45"/>
      <c r="G871" s="45">
        <v>0</v>
      </c>
      <c r="H871" s="45"/>
      <c r="I871" s="34">
        <v>0</v>
      </c>
      <c r="J871" t="e">
        <f>I871/(VLOOKUP(B871,'Team Stats'!$B$3:$K$18,5,0))</f>
        <v>#N/A</v>
      </c>
      <c r="M871" t="s">
        <v>1227</v>
      </c>
      <c r="N871" t="s">
        <v>1227</v>
      </c>
      <c r="O871" t="s">
        <v>1227</v>
      </c>
      <c r="P871" t="s">
        <v>1227</v>
      </c>
      <c r="Q871" t="s">
        <v>1227</v>
      </c>
      <c r="R871" t="s">
        <v>1227</v>
      </c>
      <c r="S871" t="s">
        <v>1227</v>
      </c>
      <c r="T871" s="54" t="s">
        <v>1227</v>
      </c>
      <c r="U871" t="s">
        <v>1227</v>
      </c>
    </row>
    <row r="872" spans="1:21" x14ac:dyDescent="0.25">
      <c r="A872" s="44" t="s">
        <v>1195</v>
      </c>
      <c r="B872" s="44" t="s">
        <v>215</v>
      </c>
      <c r="C872" s="45">
        <v>5</v>
      </c>
      <c r="D872" s="45"/>
      <c r="E872" s="45">
        <v>0</v>
      </c>
      <c r="F872" s="45"/>
      <c r="G872" s="45">
        <v>0</v>
      </c>
      <c r="H872" s="45"/>
      <c r="I872" s="34">
        <v>0</v>
      </c>
      <c r="J872" t="e">
        <f>I872/(VLOOKUP(B872,'Team Stats'!$B$3:$K$18,5,0))</f>
        <v>#N/A</v>
      </c>
      <c r="M872" t="s">
        <v>1227</v>
      </c>
      <c r="N872" t="s">
        <v>1227</v>
      </c>
      <c r="O872" t="s">
        <v>1227</v>
      </c>
      <c r="P872" t="s">
        <v>1227</v>
      </c>
      <c r="Q872" t="s">
        <v>1227</v>
      </c>
      <c r="R872" t="s">
        <v>1227</v>
      </c>
      <c r="S872" t="s">
        <v>1227</v>
      </c>
      <c r="T872" s="54" t="s">
        <v>1227</v>
      </c>
      <c r="U872" t="s">
        <v>1227</v>
      </c>
    </row>
    <row r="873" spans="1:21" x14ac:dyDescent="0.25">
      <c r="A873" s="44" t="s">
        <v>1196</v>
      </c>
      <c r="B873" s="44" t="s">
        <v>364</v>
      </c>
      <c r="C873" s="45">
        <v>1</v>
      </c>
      <c r="D873" s="45"/>
      <c r="E873" s="45">
        <v>0</v>
      </c>
      <c r="F873" s="45"/>
      <c r="G873" s="45">
        <v>0</v>
      </c>
      <c r="H873" s="45"/>
      <c r="I873" s="34">
        <v>0</v>
      </c>
      <c r="J873" t="e">
        <f>I873/(VLOOKUP(B873,'Team Stats'!$B$3:$K$18,5,0))</f>
        <v>#N/A</v>
      </c>
      <c r="M873" t="s">
        <v>1227</v>
      </c>
      <c r="N873" t="s">
        <v>1227</v>
      </c>
      <c r="O873" t="s">
        <v>1227</v>
      </c>
      <c r="P873" t="s">
        <v>1227</v>
      </c>
      <c r="Q873" t="s">
        <v>1227</v>
      </c>
      <c r="R873" t="s">
        <v>1227</v>
      </c>
      <c r="S873" t="s">
        <v>1227</v>
      </c>
      <c r="T873" s="54" t="s">
        <v>1227</v>
      </c>
      <c r="U873" t="s">
        <v>1227</v>
      </c>
    </row>
    <row r="874" spans="1:21" x14ac:dyDescent="0.25">
      <c r="A874" s="44" t="s">
        <v>1197</v>
      </c>
      <c r="B874" s="44" t="s">
        <v>212</v>
      </c>
      <c r="C874" s="45">
        <v>3</v>
      </c>
      <c r="D874" s="45"/>
      <c r="E874" s="45">
        <v>0</v>
      </c>
      <c r="F874" s="45"/>
      <c r="G874" s="45">
        <v>0</v>
      </c>
      <c r="H874" s="45"/>
      <c r="I874" s="34">
        <v>0</v>
      </c>
      <c r="J874" t="e">
        <f>I874/(VLOOKUP(B874,'Team Stats'!$B$3:$K$18,5,0))</f>
        <v>#N/A</v>
      </c>
      <c r="M874" t="s">
        <v>1227</v>
      </c>
      <c r="N874" t="s">
        <v>1227</v>
      </c>
      <c r="O874" t="s">
        <v>1227</v>
      </c>
      <c r="P874" t="s">
        <v>1227</v>
      </c>
      <c r="Q874" t="s">
        <v>1227</v>
      </c>
      <c r="R874" t="s">
        <v>1227</v>
      </c>
      <c r="S874" t="s">
        <v>1227</v>
      </c>
      <c r="T874" s="54" t="s">
        <v>1227</v>
      </c>
      <c r="U874" t="s">
        <v>1227</v>
      </c>
    </row>
    <row r="875" spans="1:21" x14ac:dyDescent="0.25">
      <c r="A875" s="44" t="s">
        <v>1198</v>
      </c>
      <c r="B875" s="44" t="s">
        <v>364</v>
      </c>
      <c r="C875" s="45">
        <v>1</v>
      </c>
      <c r="D875" s="45"/>
      <c r="E875" s="45">
        <v>0</v>
      </c>
      <c r="F875" s="45"/>
      <c r="G875" s="45">
        <v>0</v>
      </c>
      <c r="H875" s="45"/>
      <c r="I875" s="34">
        <v>0</v>
      </c>
      <c r="J875" t="e">
        <f>I875/(VLOOKUP(B875,'Team Stats'!$B$3:$K$18,5,0))</f>
        <v>#N/A</v>
      </c>
      <c r="M875" t="s">
        <v>1227</v>
      </c>
      <c r="N875" t="s">
        <v>1227</v>
      </c>
      <c r="O875" t="s">
        <v>1227</v>
      </c>
      <c r="P875" t="s">
        <v>1227</v>
      </c>
      <c r="Q875" t="s">
        <v>1227</v>
      </c>
      <c r="R875" t="s">
        <v>1227</v>
      </c>
      <c r="S875" t="s">
        <v>1227</v>
      </c>
      <c r="T875" s="54" t="s">
        <v>1227</v>
      </c>
      <c r="U875" t="s">
        <v>1227</v>
      </c>
    </row>
    <row r="876" spans="1:21" x14ac:dyDescent="0.25">
      <c r="A876" s="44" t="s">
        <v>1199</v>
      </c>
      <c r="B876" s="44" t="s">
        <v>201</v>
      </c>
      <c r="C876" s="45">
        <v>7</v>
      </c>
      <c r="D876" s="45"/>
      <c r="E876" s="45">
        <v>0</v>
      </c>
      <c r="F876" s="45"/>
      <c r="G876" s="45">
        <v>0</v>
      </c>
      <c r="H876" s="45"/>
      <c r="I876" s="34">
        <v>0</v>
      </c>
      <c r="J876">
        <f>I876/(VLOOKUP(B876,'Team Stats'!$B$3:$K$18,5,0))</f>
        <v>0</v>
      </c>
      <c r="M876" t="s">
        <v>1227</v>
      </c>
      <c r="N876" t="s">
        <v>1227</v>
      </c>
      <c r="O876" t="s">
        <v>1227</v>
      </c>
      <c r="P876" t="s">
        <v>1227</v>
      </c>
      <c r="Q876" t="s">
        <v>1227</v>
      </c>
      <c r="R876" t="s">
        <v>1227</v>
      </c>
      <c r="S876" t="s">
        <v>1227</v>
      </c>
      <c r="T876" s="54" t="s">
        <v>1227</v>
      </c>
      <c r="U876" t="s">
        <v>1227</v>
      </c>
    </row>
    <row r="877" spans="1:21" x14ac:dyDescent="0.25">
      <c r="A877" s="44" t="s">
        <v>1200</v>
      </c>
      <c r="B877" s="44" t="s">
        <v>339</v>
      </c>
      <c r="C877" s="45">
        <v>12</v>
      </c>
      <c r="D877" s="45"/>
      <c r="E877" s="45">
        <v>0</v>
      </c>
      <c r="F877" s="45"/>
      <c r="G877" s="45">
        <v>0</v>
      </c>
      <c r="H877" s="45"/>
      <c r="I877" s="34">
        <v>0</v>
      </c>
      <c r="J877" t="e">
        <f>I877/(VLOOKUP(B877,'Team Stats'!$B$3:$K$18,5,0))</f>
        <v>#N/A</v>
      </c>
      <c r="M877" t="s">
        <v>1227</v>
      </c>
      <c r="N877" t="s">
        <v>1227</v>
      </c>
      <c r="O877" t="s">
        <v>1227</v>
      </c>
      <c r="P877" t="s">
        <v>1227</v>
      </c>
      <c r="Q877" t="s">
        <v>1227</v>
      </c>
      <c r="R877" t="s">
        <v>1227</v>
      </c>
      <c r="S877" t="s">
        <v>1227</v>
      </c>
      <c r="T877" s="54" t="s">
        <v>1227</v>
      </c>
      <c r="U877" t="s">
        <v>1227</v>
      </c>
    </row>
    <row r="878" spans="1:21" x14ac:dyDescent="0.25">
      <c r="A878" s="44" t="s">
        <v>1201</v>
      </c>
      <c r="B878" s="44" t="s">
        <v>324</v>
      </c>
      <c r="C878" s="45">
        <v>2</v>
      </c>
      <c r="D878" s="45"/>
      <c r="E878" s="45">
        <v>0</v>
      </c>
      <c r="F878" s="45"/>
      <c r="G878" s="45">
        <v>0</v>
      </c>
      <c r="H878" s="45"/>
      <c r="I878" s="34">
        <v>0</v>
      </c>
      <c r="J878" t="e">
        <f>I878/(VLOOKUP(B878,'Team Stats'!$B$3:$K$18,5,0))</f>
        <v>#N/A</v>
      </c>
      <c r="M878" t="s">
        <v>1227</v>
      </c>
      <c r="N878" t="s">
        <v>1227</v>
      </c>
      <c r="O878" t="s">
        <v>1227</v>
      </c>
      <c r="P878" t="s">
        <v>1227</v>
      </c>
      <c r="Q878" t="s">
        <v>1227</v>
      </c>
      <c r="R878" t="s">
        <v>1227</v>
      </c>
      <c r="S878" t="s">
        <v>1227</v>
      </c>
      <c r="T878" s="54" t="s">
        <v>1227</v>
      </c>
      <c r="U878" t="s">
        <v>1227</v>
      </c>
    </row>
    <row r="879" spans="1:21" x14ac:dyDescent="0.25">
      <c r="A879" s="44" t="s">
        <v>1202</v>
      </c>
      <c r="B879" s="44" t="s">
        <v>221</v>
      </c>
      <c r="C879" s="45">
        <v>3</v>
      </c>
      <c r="D879" s="45"/>
      <c r="E879" s="45">
        <v>0</v>
      </c>
      <c r="F879" s="45"/>
      <c r="G879" s="45">
        <v>0</v>
      </c>
      <c r="H879" s="45"/>
      <c r="I879" s="34">
        <v>0</v>
      </c>
      <c r="J879" t="e">
        <f>I879/(VLOOKUP(B879,'Team Stats'!$B$3:$K$18,5,0))</f>
        <v>#N/A</v>
      </c>
      <c r="M879" t="s">
        <v>1227</v>
      </c>
      <c r="N879" t="s">
        <v>1227</v>
      </c>
      <c r="O879" t="s">
        <v>1227</v>
      </c>
      <c r="P879" t="s">
        <v>1227</v>
      </c>
      <c r="Q879" t="s">
        <v>1227</v>
      </c>
      <c r="R879" t="s">
        <v>1227</v>
      </c>
      <c r="S879" t="s">
        <v>1227</v>
      </c>
      <c r="T879" s="54" t="s">
        <v>1227</v>
      </c>
      <c r="U879" t="s">
        <v>1227</v>
      </c>
    </row>
    <row r="880" spans="1:21" x14ac:dyDescent="0.25">
      <c r="A880" s="44" t="s">
        <v>1203</v>
      </c>
      <c r="B880" s="44" t="s">
        <v>202</v>
      </c>
      <c r="C880" s="45">
        <v>1</v>
      </c>
      <c r="D880" s="45"/>
      <c r="E880" s="45">
        <v>0</v>
      </c>
      <c r="F880" s="45"/>
      <c r="G880" s="45">
        <v>0</v>
      </c>
      <c r="H880" s="45"/>
      <c r="I880" s="34">
        <v>0</v>
      </c>
      <c r="J880">
        <f>I880/(VLOOKUP(B880,'Team Stats'!$B$3:$K$18,5,0))</f>
        <v>0</v>
      </c>
      <c r="M880" t="s">
        <v>1227</v>
      </c>
      <c r="N880" t="s">
        <v>1227</v>
      </c>
      <c r="O880" t="s">
        <v>1227</v>
      </c>
      <c r="P880" t="s">
        <v>1227</v>
      </c>
      <c r="Q880" t="s">
        <v>1227</v>
      </c>
      <c r="R880" t="s">
        <v>1227</v>
      </c>
      <c r="S880" t="s">
        <v>1227</v>
      </c>
      <c r="T880" s="54" t="s">
        <v>1227</v>
      </c>
      <c r="U880" t="s">
        <v>1227</v>
      </c>
    </row>
    <row r="881" spans="1:21" x14ac:dyDescent="0.25">
      <c r="A881" s="44" t="s">
        <v>1204</v>
      </c>
      <c r="B881" s="44" t="s">
        <v>207</v>
      </c>
      <c r="C881" s="45">
        <v>4</v>
      </c>
      <c r="D881" s="45"/>
      <c r="E881" s="45">
        <v>0</v>
      </c>
      <c r="F881" s="45"/>
      <c r="G881" s="45">
        <v>0</v>
      </c>
      <c r="H881" s="45"/>
      <c r="I881" s="34">
        <v>0</v>
      </c>
      <c r="J881">
        <f>I881/(VLOOKUP(B881,'Team Stats'!$B$3:$K$18,5,0))</f>
        <v>0</v>
      </c>
      <c r="M881" t="s">
        <v>1227</v>
      </c>
      <c r="N881" t="s">
        <v>1227</v>
      </c>
      <c r="O881" t="s">
        <v>1227</v>
      </c>
      <c r="P881" t="s">
        <v>1227</v>
      </c>
      <c r="Q881" t="s">
        <v>1227</v>
      </c>
      <c r="R881" t="s">
        <v>1227</v>
      </c>
      <c r="S881" t="s">
        <v>1227</v>
      </c>
      <c r="T881" s="54" t="s">
        <v>1227</v>
      </c>
      <c r="U881" t="s">
        <v>1227</v>
      </c>
    </row>
    <row r="882" spans="1:21" x14ac:dyDescent="0.25">
      <c r="A882" s="44" t="s">
        <v>1205</v>
      </c>
      <c r="B882" s="44" t="s">
        <v>335</v>
      </c>
      <c r="C882" s="45">
        <v>7</v>
      </c>
      <c r="D882" s="45"/>
      <c r="E882" s="45">
        <v>0</v>
      </c>
      <c r="F882" s="45"/>
      <c r="G882" s="45">
        <v>0</v>
      </c>
      <c r="H882" s="45"/>
      <c r="I882" s="34">
        <v>0</v>
      </c>
      <c r="J882" t="e">
        <f>I882/(VLOOKUP(B882,'Team Stats'!$B$3:$K$18,5,0))</f>
        <v>#N/A</v>
      </c>
      <c r="M882" t="s">
        <v>1227</v>
      </c>
      <c r="N882" t="s">
        <v>1227</v>
      </c>
      <c r="O882" t="s">
        <v>1227</v>
      </c>
      <c r="P882" t="s">
        <v>1227</v>
      </c>
      <c r="Q882" t="s">
        <v>1227</v>
      </c>
      <c r="R882" t="s">
        <v>1227</v>
      </c>
      <c r="S882" t="s">
        <v>1227</v>
      </c>
      <c r="T882" s="54" t="s">
        <v>1227</v>
      </c>
      <c r="U882" t="s">
        <v>1227</v>
      </c>
    </row>
    <row r="883" spans="1:21" x14ac:dyDescent="0.25">
      <c r="A883" s="44" t="s">
        <v>1206</v>
      </c>
      <c r="B883" s="44" t="s">
        <v>335</v>
      </c>
      <c r="C883" s="45">
        <v>3</v>
      </c>
      <c r="D883" s="45"/>
      <c r="E883" s="45">
        <v>0</v>
      </c>
      <c r="F883" s="45"/>
      <c r="G883" s="45">
        <v>0</v>
      </c>
      <c r="H883" s="45"/>
      <c r="I883" s="34">
        <v>0</v>
      </c>
      <c r="J883" t="e">
        <f>I883/(VLOOKUP(B883,'Team Stats'!$B$3:$K$18,5,0))</f>
        <v>#N/A</v>
      </c>
      <c r="M883" t="s">
        <v>1227</v>
      </c>
      <c r="N883" t="s">
        <v>1227</v>
      </c>
      <c r="O883" t="s">
        <v>1227</v>
      </c>
      <c r="P883" t="s">
        <v>1227</v>
      </c>
      <c r="Q883" t="s">
        <v>1227</v>
      </c>
      <c r="R883" t="s">
        <v>1227</v>
      </c>
      <c r="S883" t="s">
        <v>1227</v>
      </c>
      <c r="T883" s="54" t="s">
        <v>1227</v>
      </c>
      <c r="U883" t="s">
        <v>1227</v>
      </c>
    </row>
    <row r="884" spans="1:21" x14ac:dyDescent="0.25">
      <c r="A884" s="44" t="s">
        <v>1207</v>
      </c>
      <c r="B884" s="44" t="s">
        <v>220</v>
      </c>
      <c r="C884" s="45">
        <v>9</v>
      </c>
      <c r="D884" s="45"/>
      <c r="E884" s="45">
        <v>0</v>
      </c>
      <c r="F884" s="45"/>
      <c r="G884" s="45">
        <v>0</v>
      </c>
      <c r="H884" s="45"/>
      <c r="I884" s="34">
        <v>0</v>
      </c>
      <c r="J884" t="e">
        <f>I884/(VLOOKUP(B884,'Team Stats'!$B$3:$K$18,5,0))</f>
        <v>#N/A</v>
      </c>
      <c r="M884" t="s">
        <v>1227</v>
      </c>
      <c r="N884" t="s">
        <v>1227</v>
      </c>
      <c r="O884" t="s">
        <v>1227</v>
      </c>
      <c r="P884" t="s">
        <v>1227</v>
      </c>
      <c r="Q884" t="s">
        <v>1227</v>
      </c>
      <c r="R884" t="s">
        <v>1227</v>
      </c>
      <c r="S884" t="s">
        <v>1227</v>
      </c>
      <c r="T884" s="54" t="s">
        <v>1227</v>
      </c>
      <c r="U884" t="s">
        <v>1227</v>
      </c>
    </row>
  </sheetData>
  <sortState ref="M3:U318">
    <sortCondition ref="U3:U318"/>
  </sortState>
  <dataConsolidate/>
  <hyperlinks>
    <hyperlink ref="A2" r:id="rId1" display="http://sports.yahoo.com/nhl/stats/byposition?pos=C,RW,LW,D&amp;conference=NHL&amp;year=season_2014&amp;qualified=1&amp;sort=LAST_NAME"/>
    <hyperlink ref="B2" r:id="rId2" display="http://sports.yahoo.com/nhl/stats/byposition?pos=C,RW,LW,D&amp;conference=NHL&amp;year=season_2014&amp;qualified=1&amp;sort=TEAM_ABBR"/>
    <hyperlink ref="C2" r:id="rId3" display="http://sports.yahoo.com/nhl/stats/byposition?pos=C,RW,LW,D&amp;conference=NHL&amp;year=season_2014&amp;qualified=1&amp;sort=0"/>
    <hyperlink ref="E2" r:id="rId4" display="http://sports.yahoo.com/nhl/stats/byposition?pos=C,RW,LW,D&amp;conference=NHL&amp;year=season_2014&amp;qualified=1&amp;sort=1"/>
    <hyperlink ref="G2" r:id="rId5" display="http://sports.yahoo.com/nhl/stats/byposition?pos=C,RW,LW,D&amp;conference=NHL&amp;year=season_2014&amp;qualified=1&amp;sort=2"/>
    <hyperlink ref="A3" r:id="rId6" display="http://sports.yahoo.com/nhl/players/4519"/>
    <hyperlink ref="B3" r:id="rId7" display="http://sports.yahoo.com/nhl/teams/dal"/>
    <hyperlink ref="A4" r:id="rId8" display="http://sports.yahoo.com/nhl/players/4681"/>
    <hyperlink ref="B4" r:id="rId9" display="http://sports.yahoo.com/nhl/teams/nyi"/>
    <hyperlink ref="A5" r:id="rId10" display="http://sports.yahoo.com/nhl/players/3737"/>
    <hyperlink ref="B5" r:id="rId11" display="http://sports.yahoo.com/nhl/teams/pit"/>
    <hyperlink ref="A6" r:id="rId12" display="http://sports.yahoo.com/nhl/players/4246"/>
    <hyperlink ref="B6" r:id="rId13" display="http://sports.yahoo.com/nhl/teams/phi"/>
    <hyperlink ref="A7" r:id="rId14" display="http://sports.yahoo.com/nhl/players/3637"/>
    <hyperlink ref="B7" r:id="rId15" display="http://sports.yahoo.com/nhl/teams/was"/>
    <hyperlink ref="A8" r:id="rId16" display="http://sports.yahoo.com/nhl/players/3982"/>
    <hyperlink ref="B8" r:id="rId17" display="http://sports.yahoo.com/nhl/teams/was"/>
    <hyperlink ref="A9" r:id="rId18" display="http://sports.yahoo.com/nhl/players/4962"/>
    <hyperlink ref="B9" r:id="rId19" display="http://sports.yahoo.com/nhl/teams/dal"/>
    <hyperlink ref="A10" r:id="rId20" display="http://sports.yahoo.com/nhl/players/3174"/>
    <hyperlink ref="B10" r:id="rId21" display="http://sports.yahoo.com/nhl/teams/cgy"/>
    <hyperlink ref="A11" r:id="rId22" display="http://sports.yahoo.com/nhl/players/2102"/>
    <hyperlink ref="B11" r:id="rId23" display="http://sports.yahoo.com/nhl/teams/van"/>
    <hyperlink ref="A12" r:id="rId24" display="http://sports.yahoo.com/nhl/players/4008"/>
    <hyperlink ref="B12" r:id="rId25" display="http://sports.yahoo.com/nhl/teams/cob"/>
    <hyperlink ref="A13" r:id="rId26" display="http://sports.yahoo.com/nhl/players/4002"/>
    <hyperlink ref="B13" r:id="rId27" display="http://sports.yahoo.com/nhl/teams/phi"/>
    <hyperlink ref="A14" r:id="rId28" display="http://sports.yahoo.com/nhl/players/4976"/>
    <hyperlink ref="B14" r:id="rId29" display="http://sports.yahoo.com/nhl/teams/stl"/>
    <hyperlink ref="A15" r:id="rId30" display="http://sports.yahoo.com/nhl/players/2103"/>
    <hyperlink ref="B15" r:id="rId31" display="http://sports.yahoo.com/nhl/teams/van"/>
    <hyperlink ref="A16" r:id="rId32" display="http://sports.yahoo.com/nhl/players/4471"/>
    <hyperlink ref="B16" r:id="rId33" display="http://sports.yahoo.com/nhl/teams/tam"/>
    <hyperlink ref="A17" r:id="rId34" display="http://sports.yahoo.com/nhl/players/5256"/>
    <hyperlink ref="B17" r:id="rId35" display="http://sports.yahoo.com/nhl/teams/tam"/>
    <hyperlink ref="A18" r:id="rId36" display="http://sports.yahoo.com/nhl/players/4964"/>
    <hyperlink ref="B18" r:id="rId37" display="http://sports.yahoo.com/nhl/teams/cob"/>
    <hyperlink ref="A19" r:id="rId38" display="http://sports.yahoo.com/nhl/players/3985"/>
    <hyperlink ref="B19" r:id="rId39" display="http://sports.yahoo.com/nhl/teams/san"/>
    <hyperlink ref="A20" r:id="rId40" display="http://sports.yahoo.com/nhl/players/3638"/>
    <hyperlink ref="B20" r:id="rId41" display="http://sports.yahoo.com/nhl/teams/pit"/>
    <hyperlink ref="A21" r:id="rId42" display="http://sports.yahoo.com/nhl/players/3357"/>
    <hyperlink ref="B21" r:id="rId43" display="http://sports.yahoo.com/nhl/teams/ana"/>
    <hyperlink ref="A22" r:id="rId44" display="http://sports.yahoo.com/nhl/players/3153"/>
    <hyperlink ref="B22" r:id="rId45" display="http://sports.yahoo.com/nhl/teams/nyr"/>
    <hyperlink ref="A23" r:id="rId46" display="http://sports.yahoo.com/nhl/players/4261"/>
    <hyperlink ref="B23" r:id="rId47" display="http://sports.yahoo.com/nhl/teams/mon"/>
    <hyperlink ref="A24" r:id="rId48" display="http://sports.yahoo.com/nhl/players/4248"/>
    <hyperlink ref="B24" r:id="rId49" display="http://sports.yahoo.com/nhl/teams/san"/>
    <hyperlink ref="A25" r:id="rId50" display="http://sports.yahoo.com/nhl/players/2503"/>
    <hyperlink ref="B25" r:id="rId51" display="http://sports.yahoo.com/nhl/teams/det"/>
    <hyperlink ref="A26" r:id="rId52" display="http://sports.yahoo.com/nhl/players/3981"/>
    <hyperlink ref="B26" r:id="rId53" display="http://sports.yahoo.com/nhl/teams/chi"/>
    <hyperlink ref="A27" r:id="rId54" display="http://sports.yahoo.com/nhl/players/4491"/>
    <hyperlink ref="B27" r:id="rId55" display="http://sports.yahoo.com/nhl/teams/ott"/>
    <hyperlink ref="A28" r:id="rId56" display="http://sports.yahoo.com/nhl/players/1600"/>
    <hyperlink ref="B28" r:id="rId57" display="http://sports.yahoo.com/nhl/teams/san"/>
    <hyperlink ref="A29" r:id="rId58" display="http://sports.yahoo.com/nhl/players/2680"/>
    <hyperlink ref="B29" r:id="rId59" display="http://sports.yahoo.com/nhl/teams/det"/>
    <hyperlink ref="A30" r:id="rId60" display="http://sports.yahoo.com/nhl/players/5470"/>
    <hyperlink ref="B30" r:id="rId61" display="http://sports.yahoo.com/nhl/teams/cgy"/>
    <hyperlink ref="A31" r:id="rId62" display="http://sports.yahoo.com/nhl/players/5425"/>
    <hyperlink ref="B31" r:id="rId63" display="http://sports.yahoo.com/nhl/teams/tam"/>
    <hyperlink ref="A32" r:id="rId64" display="http://sports.yahoo.com/nhl/players/5152"/>
    <hyperlink ref="B32" r:id="rId65" display="http://sports.yahoo.com/nhl/teams/ott"/>
    <hyperlink ref="A33" r:id="rId66" display="http://sports.yahoo.com/nhl/players/3136"/>
    <hyperlink ref="B33" r:id="rId67" display="http://sports.yahoo.com/nhl/teams/stl"/>
    <hyperlink ref="A34" r:id="rId68" display="http://sports.yahoo.com/nhl/players/3788"/>
    <hyperlink ref="B34" r:id="rId69" display="http://sports.yahoo.com/nhl/teams/los"/>
    <hyperlink ref="A35" r:id="rId70" display="http://sports.yahoo.com/nhl/players/4240"/>
    <hyperlink ref="B35" r:id="rId71" display="http://sports.yahoo.com/nhl/teams/chi"/>
    <hyperlink ref="A36" r:id="rId72" display="http://sports.yahoo.com/nhl/players/4242"/>
    <hyperlink ref="B36" r:id="rId73" display="http://sports.yahoo.com/nhl/teams/ott"/>
    <hyperlink ref="A37" r:id="rId74" display="http://sports.yahoo.com/nhl/players/4498"/>
    <hyperlink ref="B37" r:id="rId75" display="http://sports.yahoo.com/nhl/teams/edm"/>
    <hyperlink ref="A38" r:id="rId76" display="http://sports.yahoo.com/nhl/players/4974"/>
    <hyperlink ref="B38" r:id="rId77" display="http://sports.yahoo.com/nhl/teams/stl"/>
    <hyperlink ref="A39" r:id="rId78" display="http://sports.yahoo.com/nhl/players/5573"/>
    <hyperlink ref="B39" r:id="rId79" display="http://sports.yahoo.com/nhl/teams/tam"/>
    <hyperlink ref="A40" r:id="rId80" display="http://sports.yahoo.com/nhl/players/2598"/>
    <hyperlink ref="B40" r:id="rId81" display="http://sports.yahoo.com/nhl/teams/van"/>
    <hyperlink ref="A41" r:id="rId82" display="http://sports.yahoo.com/nhl/players/5691"/>
    <hyperlink ref="B41" r:id="rId83" display="http://sports.yahoo.com/nhl/teams/nas"/>
    <hyperlink ref="A42" r:id="rId84" display="http://sports.yahoo.com/nhl/players/3640"/>
    <hyperlink ref="B42" r:id="rId85" display="http://sports.yahoo.com/nhl/teams/wpg"/>
    <hyperlink ref="A43" r:id="rId86" display="http://sports.yahoo.com/nhl/players/1933"/>
    <hyperlink ref="B43" r:id="rId87" display="http://sports.yahoo.com/nhl/teams/nas"/>
    <hyperlink ref="A44" r:id="rId88" display="http://sports.yahoo.com/nhl/players/5985"/>
    <hyperlink ref="B44" r:id="rId89" display="http://sports.yahoo.com/nhl/teams/cgy"/>
    <hyperlink ref="A45" r:id="rId90" display="http://sports.yahoo.com/nhl/players/3355"/>
    <hyperlink ref="B45" r:id="rId91" display="http://sports.yahoo.com/nhl/teams/min"/>
    <hyperlink ref="A46" r:id="rId92" display="http://sports.yahoo.com/nhl/players/2900"/>
    <hyperlink ref="B46" r:id="rId93" display="http://sports.yahoo.com/nhl/teams/dal"/>
    <hyperlink ref="A47" r:id="rId94" display="http://sports.yahoo.com/nhl/players/3349"/>
    <hyperlink ref="B47" r:id="rId95" display="http://sports.yahoo.com/nhl/teams/los"/>
    <hyperlink ref="A48" r:id="rId96" display="http://sports.yahoo.com/nhl/players/1640"/>
    <hyperlink ref="B48" r:id="rId97" display="http://sports.yahoo.com/nhl/teams/chi"/>
    <hyperlink ref="A49" r:id="rId98" display="http://sports.yahoo.com/nhl/players/3641"/>
    <hyperlink ref="B49" r:id="rId99" display="http://sports.yahoo.com/nhl/teams/wpg"/>
    <hyperlink ref="A50" r:id="rId100" display="http://sports.yahoo.com/nhl/players/3983"/>
    <hyperlink ref="B50" r:id="rId101" display="http://sports.yahoo.com/nhl/teams/tor"/>
    <hyperlink ref="A51" r:id="rId102" display="http://sports.yahoo.com/nhl/players/3987"/>
    <hyperlink ref="B51" r:id="rId103" display="http://sports.yahoo.com/nhl/teams/nyr"/>
    <hyperlink ref="A52" r:id="rId104" display="http://sports.yahoo.com/nhl/players/2418"/>
    <hyperlink ref="B52" r:id="rId105" display="http://sports.yahoo.com/nhl/teams/cob"/>
    <hyperlink ref="A53" r:id="rId106" display="http://sports.yahoo.com/nhl/players/4558"/>
    <hyperlink ref="B53" r:id="rId107" display="http://sports.yahoo.com/nhl/teams/mon"/>
    <hyperlink ref="A54" r:id="rId108" display="http://sports.yahoo.com/nhl/players/3005"/>
    <hyperlink ref="B54" r:id="rId109" display="http://sports.yahoo.com/nhl/teams/mon"/>
    <hyperlink ref="A55" r:id="rId110" display="http://sports.yahoo.com/nhl/players/3358"/>
    <hyperlink ref="B55" r:id="rId111" display="http://sports.yahoo.com/nhl/teams/san"/>
    <hyperlink ref="A56" r:id="rId112" display="http://sports.yahoo.com/nhl/players/5363"/>
    <hyperlink ref="B56" r:id="rId113" display="http://sports.yahoo.com/nhl/teams/col"/>
    <hyperlink ref="A57" r:id="rId114" display="http://sports.yahoo.com/nhl/players/1453"/>
    <hyperlink ref="B57" r:id="rId115" display="http://sports.yahoo.com/nhl/teams/col"/>
    <hyperlink ref="A58" r:id="rId116" display="http://sports.yahoo.com/nhl/players/3861"/>
    <hyperlink ref="B58" r:id="rId117" display="http://sports.yahoo.com/nhl/teams/stl"/>
    <hyperlink ref="A59" r:id="rId118" display="http://sports.yahoo.com/nhl/players/1644"/>
    <hyperlink ref="B59" r:id="rId119" display="http://sports.yahoo.com/nhl/teams/san"/>
    <hyperlink ref="A60" r:id="rId120" display="http://sports.yahoo.com/nhl/players/5362"/>
    <hyperlink ref="B60" r:id="rId121" display="http://sports.yahoo.com/nhl/teams/edm"/>
    <hyperlink ref="A61" r:id="rId122" display="http://sports.yahoo.com/nhl/players/4241"/>
    <hyperlink ref="B61" r:id="rId123" display="http://sports.yahoo.com/nhl/teams/tor"/>
    <hyperlink ref="A62" r:id="rId124" display="http://sports.yahoo.com/nhl/players/3508"/>
    <hyperlink ref="B62" r:id="rId125" display="http://sports.yahoo.com/nhl/teams/cgy"/>
    <hyperlink ref="A63" r:id="rId126" display="http://sports.yahoo.com/nhl/players/4792"/>
    <hyperlink ref="B63" r:id="rId127" display="http://sports.yahoo.com/nhl/teams/det"/>
    <hyperlink ref="A64" r:id="rId128" display="http://sports.yahoo.com/nhl/players/4683"/>
    <hyperlink ref="B64" r:id="rId129" display="http://sports.yahoo.com/nhl/teams/col"/>
    <hyperlink ref="A65" r:id="rId130" display="http://sports.yahoo.com/nhl/players/4503"/>
    <hyperlink ref="B65" r:id="rId131" display="http://sports.yahoo.com/nhl/teams/was"/>
    <hyperlink ref="A66" r:id="rId132" display="http://sports.yahoo.com/nhl/players/4786"/>
    <hyperlink ref="B66" r:id="rId133" display="http://sports.yahoo.com/nhl/teams/col"/>
    <hyperlink ref="A67" r:id="rId134" display="http://sports.yahoo.com/nhl/players/4930"/>
    <hyperlink ref="B67" r:id="rId135" display="http://sports.yahoo.com/nhl/teams/nas"/>
    <hyperlink ref="A68" r:id="rId136" display="http://sports.yahoo.com/nhl/players/3365"/>
    <hyperlink ref="B68" r:id="rId137" display="http://sports.yahoo.com/nhl/teams/ana"/>
    <hyperlink ref="A69" r:id="rId138" display="http://sports.yahoo.com/nhl/players/3801"/>
    <hyperlink ref="B69" r:id="rId139" display="http://sports.yahoo.com/nhl/teams/stl"/>
    <hyperlink ref="A70" r:id="rId140" display="http://sports.yahoo.com/nhl/players/3383"/>
    <hyperlink ref="B70" r:id="rId141" display="http://sports.yahoo.com/nhl/teams/bos"/>
    <hyperlink ref="A71" r:id="rId142" display="http://sports.yahoo.com/nhl/players/1763"/>
    <hyperlink ref="B71" r:id="rId143" display="http://sports.yahoo.com/nhl/teams/col"/>
    <hyperlink ref="A72" r:id="rId144" display="http://sports.yahoo.com/nhl/players/4992"/>
    <hyperlink ref="B72" r:id="rId145" display="http://sports.yahoo.com/nhl/teams/nyr"/>
    <hyperlink ref="A73" r:id="rId146" display="http://sports.yahoo.com/nhl/players/3342"/>
    <hyperlink ref="B73" r:id="rId147" display="http://sports.yahoo.com/nhl/teams/car"/>
    <hyperlink ref="A74" r:id="rId148" display="http://sports.yahoo.com/nhl/players/3776"/>
    <hyperlink ref="B74" r:id="rId149" display="http://sports.yahoo.com/nhl/teams/ott"/>
    <hyperlink ref="A75" r:id="rId150" display="http://sports.yahoo.com/nhl/players/2994"/>
    <hyperlink ref="B75" r:id="rId151" display="http://sports.yahoo.com/nhl/teams/min"/>
    <hyperlink ref="A76" r:id="rId152" display="http://sports.yahoo.com/nhl/players/3886"/>
    <hyperlink ref="B76" r:id="rId153" display="http://sports.yahoo.com/nhl/teams/tam"/>
    <hyperlink ref="A77" r:id="rId154" display="http://sports.yahoo.com/nhl/players/5364"/>
    <hyperlink ref="B77" r:id="rId155" display="http://sports.yahoo.com/nhl/teams/fla"/>
    <hyperlink ref="A78" r:id="rId156" display="http://sports.yahoo.com/nhl/players/5279"/>
    <hyperlink ref="B78" r:id="rId157" display="http://sports.yahoo.com/nhl/teams/det"/>
    <hyperlink ref="A79" r:id="rId158" display="http://sports.yahoo.com/nhl/players/4064"/>
    <hyperlink ref="B79" r:id="rId159" display="http://sports.yahoo.com/nhl/teams/pit"/>
    <hyperlink ref="A80" r:id="rId160" display="http://sports.yahoo.com/nhl/players/5281"/>
    <hyperlink ref="B80" r:id="rId161" display="http://sports.yahoo.com/nhl/teams/col"/>
    <hyperlink ref="A81" r:id="rId162" display="http://sports.yahoo.com/nhl/players/3833"/>
    <hyperlink ref="B81" r:id="rId163" display="http://sports.yahoo.com/nhl/teams/phi"/>
    <hyperlink ref="A82" r:id="rId164" display="http://sports.yahoo.com/nhl/players/5411"/>
    <hyperlink ref="B82" r:id="rId165" display="http://sports.yahoo.com/nhl/teams/chi"/>
    <hyperlink ref="A83" r:id="rId166" display="http://sports.yahoo.com/nhl/players/3885"/>
    <hyperlink ref="B83" r:id="rId167" display="http://sports.yahoo.com/nhl/teams/nyr"/>
    <hyperlink ref="A84" r:id="rId168" display="http://sports.yahoo.com/nhl/players/3994"/>
    <hyperlink ref="B84" r:id="rId169" display="http://sports.yahoo.com/nhl/teams/wpg"/>
    <hyperlink ref="A85" r:id="rId170" display="http://sports.yahoo.com/nhl/players/3344"/>
    <hyperlink ref="B85" r:id="rId171" display="http://sports.yahoo.com/nhl/teams/min"/>
    <hyperlink ref="A86" r:id="rId172" display="http://sports.yahoo.com/nhl/players/1772"/>
    <hyperlink ref="B86" r:id="rId173" display="http://sports.yahoo.com/nhl/teams/nyr"/>
    <hyperlink ref="A87" r:id="rId174" display="http://sports.yahoo.com/nhl/players/3988"/>
    <hyperlink ref="B87" r:id="rId175" display="http://sports.yahoo.com/nhl/teams/nyi"/>
    <hyperlink ref="A88" r:id="rId176" display="http://sports.yahoo.com/nhl/players/4207"/>
    <hyperlink ref="B88" r:id="rId177" display="http://sports.yahoo.com/nhl/teams/pit"/>
    <hyperlink ref="A89" r:id="rId178" display="http://sports.yahoo.com/nhl/players/2145"/>
    <hyperlink ref="B89" r:id="rId179" display="http://sports.yahoo.com/nhl/teams/mon"/>
    <hyperlink ref="A90" r:id="rId180" display="http://sports.yahoo.com/nhl/players/5366"/>
    <hyperlink ref="B90" r:id="rId181" display="http://sports.yahoo.com/nhl/teams/nyi"/>
    <hyperlink ref="A91" r:id="rId182" display="http://sports.yahoo.com/nhl/players/4328"/>
    <hyperlink ref="B91" r:id="rId183" display="http://sports.yahoo.com/nhl/teams/phi"/>
    <hyperlink ref="A92" r:id="rId184" display="http://sports.yahoo.com/nhl/players/4629"/>
    <hyperlink ref="B92" r:id="rId185" display="http://sports.yahoo.com/nhl/teams/tor"/>
    <hyperlink ref="A93" r:id="rId186" display="http://sports.yahoo.com/nhl/players/4921"/>
    <hyperlink ref="B93" r:id="rId187" display="http://sports.yahoo.com/nhl/teams/nyr"/>
    <hyperlink ref="A94" r:id="rId188" display="http://sports.yahoo.com/nhl/players/5368"/>
    <hyperlink ref="B94" r:id="rId189" display="http://sports.yahoo.com/nhl/teams/wpg"/>
    <hyperlink ref="A95" r:id="rId190" display="http://sports.yahoo.com/nhl/players/5010"/>
    <hyperlink ref="B95" r:id="rId191" display="http://sports.yahoo.com/nhl/teams/car"/>
    <hyperlink ref="A96" r:id="rId192" display="http://sports.yahoo.com/nhl/players/5020"/>
    <hyperlink ref="B96" r:id="rId193" display="http://sports.yahoo.com/nhl/teams/los"/>
    <hyperlink ref="A97" r:id="rId194" display="http://sports.yahoo.com/nhl/players/2842"/>
    <hyperlink ref="B97" r:id="rId195" display="http://sports.yahoo.com/nhl/teams/min"/>
    <hyperlink ref="A98" r:id="rId196" display="http://sports.yahoo.com/nhl/players/4805"/>
    <hyperlink ref="B98" r:id="rId197" display="http://sports.yahoo.com/nhl/teams/ott"/>
    <hyperlink ref="A99" r:id="rId198" display="http://sports.yahoo.com/nhl/players/3614"/>
    <hyperlink ref="B99" r:id="rId199" display="http://sports.yahoo.com/nhl/teams/cgy"/>
    <hyperlink ref="A100" r:id="rId200" display="http://sports.yahoo.com/nhl/players/3759"/>
    <hyperlink ref="B100" r:id="rId201" display="http://sports.yahoo.com/nhl/teams/tam"/>
    <hyperlink ref="A101" r:id="rId202" display="http://sports.yahoo.com/nhl/players/4554"/>
    <hyperlink ref="B101" r:id="rId203" display="http://sports.yahoo.com/nhl/teams/mon"/>
    <hyperlink ref="A102" r:id="rId204" display="http://sports.yahoo.com/nhl/players/5120"/>
    <hyperlink ref="B102" r:id="rId205" display="http://sports.yahoo.com/nhl/teams/mon"/>
    <hyperlink ref="A103" r:id="rId206" display="http://sports.yahoo.com/nhl/players/4685"/>
    <hyperlink ref="B103" r:id="rId207" display="http://sports.yahoo.com/nhl/teams/phi"/>
    <hyperlink ref="A104" r:id="rId208" display="http://sports.yahoo.com/nhl/players/3331"/>
    <hyperlink ref="B104" r:id="rId209" display="http://sports.yahoo.com/nhl/teams/ana"/>
    <hyperlink ref="A105" r:id="rId210" display="http://sports.yahoo.com/nhl/players/35"/>
    <hyperlink ref="B105" r:id="rId211" display="http://sports.yahoo.com/nhl/teams/fla"/>
    <hyperlink ref="A106" r:id="rId212" display="http://sports.yahoo.com/nhl/players/3371"/>
    <hyperlink ref="B106" r:id="rId213" display="http://sports.yahoo.com/nhl/teams/bos"/>
    <hyperlink ref="A107" r:id="rId214" display="http://sports.yahoo.com/nhl/players/2416"/>
    <hyperlink ref="B107" r:id="rId215" display="http://sports.yahoo.com/nhl/teams/los"/>
    <hyperlink ref="A108" r:id="rId216" display="http://sports.yahoo.com/nhl/players/4704"/>
    <hyperlink ref="B108" r:id="rId217" display="http://sports.yahoo.com/nhl/teams/was"/>
    <hyperlink ref="A109" r:id="rId218" display="http://sports.yahoo.com/nhl/players/4474"/>
    <hyperlink ref="B109" r:id="rId219" display="http://sports.yahoo.com/nhl/teams/stl"/>
    <hyperlink ref="A110" r:id="rId220" display="http://sports.yahoo.com/nhl/players/4472"/>
    <hyperlink ref="B110" r:id="rId221" display="http://sports.yahoo.com/nhl/teams/los"/>
    <hyperlink ref="A111" r:id="rId222" display="http://sports.yahoo.com/nhl/players/4502"/>
    <hyperlink ref="B111" r:id="rId223" display="http://sports.yahoo.com/nhl/teams/buf"/>
    <hyperlink ref="A112" r:id="rId224" display="http://sports.yahoo.com/nhl/players/5367"/>
    <hyperlink ref="B112" r:id="rId225" display="http://sports.yahoo.com/nhl/teams/ott"/>
    <hyperlink ref="A113" r:id="rId226" display="http://sports.yahoo.com/nhl/players/5683"/>
    <hyperlink ref="B113" r:id="rId227" display="http://sports.yahoo.com/nhl/teams/mon"/>
    <hyperlink ref="A114" r:id="rId228" display="http://sports.yahoo.com/nhl/players/4699"/>
    <hyperlink ref="B114" r:id="rId229" display="http://sports.yahoo.com/nhl/teams/nyr"/>
    <hyperlink ref="A115" r:id="rId230" display="http://sports.yahoo.com/nhl/players/4023"/>
    <hyperlink ref="B115" r:id="rId231" display="http://sports.yahoo.com/nhl/teams/stl"/>
    <hyperlink ref="A116" r:id="rId232" display="http://sports.yahoo.com/nhl/players/4984"/>
    <hyperlink ref="B116" r:id="rId233" display="http://sports.yahoo.com/nhl/teams/nyr"/>
    <hyperlink ref="A117" r:id="rId234" display="http://sports.yahoo.com/nhl/players/3667"/>
    <hyperlink ref="B117" r:id="rId235" display="http://sports.yahoo.com/nhl/teams/was"/>
    <hyperlink ref="A118" r:id="rId236" display="http://sports.yahoo.com/nhl/players/3266"/>
    <hyperlink ref="B118" r:id="rId237" display="http://sports.yahoo.com/nhl/teams/chi"/>
    <hyperlink ref="A119" r:id="rId238" display="http://sports.yahoo.com/nhl/players/3387"/>
    <hyperlink ref="B119" r:id="rId239" display="http://sports.yahoo.com/nhl/teams/nas"/>
    <hyperlink ref="A120" r:id="rId240" display="http://sports.yahoo.com/nhl/players/3705"/>
    <hyperlink ref="B120" r:id="rId241" display="http://sports.yahoo.com/nhl/teams/wpg"/>
    <hyperlink ref="A121" r:id="rId242" display="http://sports.yahoo.com/nhl/players/4396"/>
    <hyperlink ref="B121" r:id="rId243" display="http://sports.yahoo.com/nhl/teams/det"/>
    <hyperlink ref="A122" r:id="rId244" display="http://sports.yahoo.com/nhl/players/4939"/>
    <hyperlink ref="B122" r:id="rId245" display="http://sports.yahoo.com/nhl/teams/stl"/>
    <hyperlink ref="A123" r:id="rId246" display="http://sports.yahoo.com/nhl/players/2517"/>
    <hyperlink ref="B123" r:id="rId247" display="http://sports.yahoo.com/nhl/teams/det"/>
    <hyperlink ref="A124" r:id="rId248" display="http://sports.yahoo.com/nhl/players/5396"/>
    <hyperlink ref="B124" r:id="rId249" display="http://sports.yahoo.com/nhl/teams/nas"/>
    <hyperlink ref="A125" r:id="rId250" display="http://sports.yahoo.com/nhl/players/4253"/>
    <hyperlink ref="B125" r:id="rId251" display="http://sports.yahoo.com/nhl/teams/stl"/>
    <hyperlink ref="A126" r:id="rId252" display="http://sports.yahoo.com/nhl/players/4306"/>
    <hyperlink ref="B126" r:id="rId253" display="http://sports.yahoo.com/nhl/teams/bos"/>
    <hyperlink ref="A127" r:id="rId254" display="http://sports.yahoo.com/nhl/players/3021"/>
    <hyperlink ref="B127" r:id="rId255" display="http://sports.yahoo.com/nhl/teams/fla"/>
    <hyperlink ref="A128" r:id="rId256" display="http://sports.yahoo.com/nhl/players/3928"/>
    <hyperlink ref="B128" r:id="rId257" display="http://sports.yahoo.com/nhl/teams/bos"/>
    <hyperlink ref="A129" r:id="rId258" display="http://sports.yahoo.com/nhl/players/4979"/>
    <hyperlink ref="B129" r:id="rId259" display="http://sports.yahoo.com/nhl/teams/fla"/>
    <hyperlink ref="A130" r:id="rId260" display="http://sports.yahoo.com/nhl/players/3918"/>
    <hyperlink ref="B130" r:id="rId261" display="http://sports.yahoo.com/nhl/teams/nyi"/>
    <hyperlink ref="A131" r:id="rId262" display="http://sports.yahoo.com/nhl/players/5238"/>
    <hyperlink ref="B131" r:id="rId263" display="http://sports.yahoo.com/nhl/teams/njd"/>
    <hyperlink ref="A132" r:id="rId264" display="http://sports.yahoo.com/nhl/players/3649"/>
    <hyperlink ref="B132" r:id="rId265" display="http://sports.yahoo.com/nhl/teams/wpg"/>
    <hyperlink ref="A133" r:id="rId266" display="http://sports.yahoo.com/nhl/players/3041"/>
    <hyperlink ref="B133" r:id="rId267" display="http://sports.yahoo.com/nhl/teams/chi"/>
    <hyperlink ref="A134" r:id="rId268" display="http://sports.yahoo.com/nhl/players/3947"/>
    <hyperlink ref="B134" r:id="rId269" display="http://sports.yahoo.com/nhl/teams/was"/>
    <hyperlink ref="A135" r:id="rId270" display="http://sports.yahoo.com/nhl/players/4686"/>
    <hyperlink ref="B135" r:id="rId271" display="http://sports.yahoo.com/nhl/teams/ari"/>
    <hyperlink ref="A136" r:id="rId272" display="http://sports.yahoo.com/nhl/players/5370"/>
    <hyperlink ref="B136" r:id="rId273" display="http://sports.yahoo.com/nhl/teams/bos"/>
    <hyperlink ref="A137" r:id="rId274" display="http://sports.yahoo.com/nhl/players/4351"/>
    <hyperlink ref="B137" r:id="rId275" display="http://sports.yahoo.com/nhl/teams/bos"/>
    <hyperlink ref="A138" r:id="rId276" display="http://sports.yahoo.com/nhl/players/2991"/>
    <hyperlink ref="B138" r:id="rId277" display="http://sports.yahoo.com/nhl/teams/njd"/>
    <hyperlink ref="A139" r:id="rId278" display="http://sports.yahoo.com/nhl/players/4480"/>
    <hyperlink ref="B139" r:id="rId279" display="http://sports.yahoo.com/nhl/teams/nas"/>
    <hyperlink ref="A140" r:id="rId280" display="http://sports.yahoo.com/nhl/players/4990"/>
    <hyperlink ref="B140" r:id="rId281" display="http://sports.yahoo.com/nhl/teams/nyi"/>
    <hyperlink ref="A141" r:id="rId282" display="http://sports.yahoo.com/nhl/players/3992"/>
    <hyperlink ref="B141" r:id="rId283" display="http://sports.yahoo.com/nhl/teams/wpg"/>
    <hyperlink ref="A142" r:id="rId284" display="http://sports.yahoo.com/nhl/players/4245"/>
    <hyperlink ref="B142" r:id="rId285" display="http://sports.yahoo.com/nhl/teams/ari"/>
    <hyperlink ref="A143" r:id="rId286" display="http://sports.yahoo.com/nhl/players/4732"/>
    <hyperlink ref="B143" r:id="rId287" display="http://sports.yahoo.com/nhl/teams/cgy"/>
    <hyperlink ref="A144" r:id="rId288" display="http://sports.yahoo.com/nhl/players/4383"/>
    <hyperlink ref="B144" r:id="rId289" display="http://sports.yahoo.com/nhl/teams/wpg"/>
    <hyperlink ref="A145" r:id="rId290" display="http://sports.yahoo.com/nhl/players/5928"/>
    <hyperlink ref="B145" r:id="rId291" display="http://sports.yahoo.com/nhl/teams/nyi"/>
    <hyperlink ref="A146" r:id="rId292" display="http://sports.yahoo.com/nhl/players/4040"/>
    <hyperlink ref="B146" r:id="rId293" display="http://sports.yahoo.com/nhl/teams/buf"/>
    <hyperlink ref="A147" r:id="rId294" display="http://sports.yahoo.com/nhl/players/4819"/>
    <hyperlink ref="B147" r:id="rId295" display="http://sports.yahoo.com/nhl/teams/los"/>
    <hyperlink ref="A148" r:id="rId296" display="http://sports.yahoo.com/nhl/players/4482"/>
    <hyperlink ref="B148" r:id="rId297" display="http://sports.yahoo.com/nhl/teams/nyi"/>
    <hyperlink ref="A149" r:id="rId298" display="http://sports.yahoo.com/nhl/players/2468"/>
    <hyperlink ref="B149" r:id="rId299" display="http://sports.yahoo.com/nhl/teams/los"/>
    <hyperlink ref="A150" r:id="rId300" display="http://sports.yahoo.com/nhl/players/4265"/>
    <hyperlink ref="B150" r:id="rId301" display="http://sports.yahoo.com/nhl/teams/pit"/>
    <hyperlink ref="A151" r:id="rId302" display="http://sports.yahoo.com/nhl/players/3777"/>
    <hyperlink ref="B151" r:id="rId303" display="http://sports.yahoo.com/nhl/teams/cob"/>
    <hyperlink ref="A152" r:id="rId304" display="http://sports.yahoo.com/nhl/players/5639"/>
    <hyperlink ref="B152" r:id="rId305" display="http://sports.yahoo.com/nhl/teams/bos"/>
    <hyperlink ref="A153" r:id="rId306" display="http://sports.yahoo.com/nhl/players/5104"/>
    <hyperlink ref="B153" r:id="rId307" display="http://sports.yahoo.com/nhl/teams/dal"/>
    <hyperlink ref="A154" r:id="rId308" display="http://sports.yahoo.com/nhl/players/3340"/>
    <hyperlink ref="B154" r:id="rId309" display="http://sports.yahoo.com/nhl/teams/pit"/>
    <hyperlink ref="A155" r:id="rId310" display="http://sports.yahoo.com/nhl/players/5282"/>
    <hyperlink ref="B155" r:id="rId311" display="http://sports.yahoo.com/nhl/teams/cob"/>
    <hyperlink ref="A156" r:id="rId312" display="http://sports.yahoo.com/nhl/players/4817"/>
    <hyperlink ref="B156" r:id="rId313" display="http://sports.yahoo.com/nhl/teams/dal"/>
    <hyperlink ref="A157" r:id="rId314" display="http://sports.yahoo.com/nhl/players/4687"/>
    <hyperlink ref="B157" r:id="rId315" display="http://sports.yahoo.com/nhl/teams/tor"/>
    <hyperlink ref="A158" r:id="rId316" display="http://sports.yahoo.com/nhl/players/5632"/>
    <hyperlink ref="B158" r:id="rId317" display="http://sports.yahoo.com/nhl/teams/bos"/>
    <hyperlink ref="A159" r:id="rId318" display="http://sports.yahoo.com/nhl/players/1934"/>
    <hyperlink ref="B159" r:id="rId319" display="http://sports.yahoo.com/nhl/teams/nas"/>
    <hyperlink ref="A160" r:id="rId320" display="http://sports.yahoo.com/nhl/players/6367"/>
    <hyperlink ref="B160" r:id="rId321" display="http://sports.yahoo.com/nhl/teams/fla"/>
    <hyperlink ref="A161" r:id="rId322" display="http://sports.yahoo.com/nhl/players/4969"/>
    <hyperlink ref="B161" r:id="rId323" display="http://sports.yahoo.com/nhl/teams/min"/>
    <hyperlink ref="A162" r:id="rId324" display="http://sports.yahoo.com/nhl/players/4838"/>
    <hyperlink ref="B162" r:id="rId325" display="http://sports.yahoo.com/nhl/teams/van"/>
    <hyperlink ref="A163" r:id="rId326" display="http://sports.yahoo.com/nhl/players/5984"/>
    <hyperlink ref="B163" r:id="rId327" display="http://sports.yahoo.com/nhl/teams/car"/>
    <hyperlink ref="A164" r:id="rId328" display="http://sports.yahoo.com/nhl/players/2411"/>
    <hyperlink ref="B164" r:id="rId329" display="http://sports.yahoo.com/nhl/teams/det"/>
    <hyperlink ref="A165" r:id="rId330" display="http://sports.yahoo.com/nhl/players/5343"/>
    <hyperlink ref="B165" r:id="rId331" display="http://sports.yahoo.com/nhl/teams/ana"/>
    <hyperlink ref="A166" r:id="rId332" display="http://sports.yahoo.com/nhl/players/4174"/>
    <hyperlink ref="B166" r:id="rId333" display="http://sports.yahoo.com/nhl/teams/tam"/>
    <hyperlink ref="A167" r:id="rId334" display="http://sports.yahoo.com/nhl/players/5980"/>
    <hyperlink ref="B167" r:id="rId335" display="http://sports.yahoo.com/nhl/teams/col"/>
    <hyperlink ref="A168" r:id="rId336" display="http://sports.yahoo.com/nhl/players/2780"/>
    <hyperlink ref="B168" r:id="rId337" display="http://sports.yahoo.com/nhl/teams/chi"/>
    <hyperlink ref="A169" r:id="rId338" display="http://sports.yahoo.com/nhl/players/2525"/>
    <hyperlink ref="B169" r:id="rId339" display="http://sports.yahoo.com/nhl/teams/fla"/>
    <hyperlink ref="A170" r:id="rId340" display="http://sports.yahoo.com/nhl/players/5626"/>
    <hyperlink ref="B170" r:id="rId341" display="http://sports.yahoo.com/nhl/teams/tam"/>
    <hyperlink ref="A171" r:id="rId342" display="http://sports.yahoo.com/nhl/players/4961"/>
    <hyperlink ref="B171" r:id="rId343" display="http://sports.yahoo.com/nhl/teams/edm"/>
    <hyperlink ref="A172" r:id="rId344" display="http://sports.yahoo.com/nhl/players/3345"/>
    <hyperlink ref="B172" r:id="rId345" display="http://sports.yahoo.com/nhl/teams/min"/>
    <hyperlink ref="A173" r:id="rId346" display="http://sports.yahoo.com/nhl/players/4682"/>
    <hyperlink ref="B173" r:id="rId347" display="http://sports.yahoo.com/nhl/teams/tam"/>
    <hyperlink ref="A174" r:id="rId348" display="http://sports.yahoo.com/nhl/players/3184"/>
    <hyperlink ref="B174" r:id="rId349" display="http://sports.yahoo.com/nhl/teams/dal"/>
    <hyperlink ref="A175" r:id="rId350" display="http://sports.yahoo.com/nhl/players/4986"/>
    <hyperlink ref="B175" r:id="rId351" display="http://sports.yahoo.com/nhl/teams/was"/>
    <hyperlink ref="A176" r:id="rId352" display="http://sports.yahoo.com/nhl/players/2104"/>
    <hyperlink ref="B176" r:id="rId353" display="http://sports.yahoo.com/nhl/teams/chi"/>
    <hyperlink ref="A177" r:id="rId354" display="http://sports.yahoo.com/nhl/players/4696"/>
    <hyperlink ref="B177" r:id="rId355" display="http://sports.yahoo.com/nhl/teams/nyi"/>
    <hyperlink ref="A178" r:id="rId356" display="http://sports.yahoo.com/nhl/players/5369"/>
    <hyperlink ref="B178" r:id="rId357" display="http://sports.yahoo.com/nhl/teams/phi"/>
    <hyperlink ref="A179" r:id="rId358" display="http://sports.yahoo.com/nhl/players/5346"/>
    <hyperlink ref="B179" r:id="rId359" display="http://sports.yahoo.com/nhl/teams/ana"/>
    <hyperlink ref="A180" r:id="rId360" display="http://sports.yahoo.com/nhl/players/3818"/>
    <hyperlink ref="B180" r:id="rId361" display="http://sports.yahoo.com/nhl/teams/nas"/>
    <hyperlink ref="A181" r:id="rId362" display="http://sports.yahoo.com/nhl/players/4965"/>
    <hyperlink ref="B181" r:id="rId363" display="http://sports.yahoo.com/nhl/teams/min"/>
    <hyperlink ref="A182" r:id="rId364" display="http://sports.yahoo.com/nhl/players/4287"/>
    <hyperlink ref="B182" r:id="rId365" display="http://sports.yahoo.com/nhl/teams/dal"/>
    <hyperlink ref="A183" r:id="rId366" display="http://sports.yahoo.com/nhl/players/1354"/>
    <hyperlink ref="B183" r:id="rId367" display="http://sports.yahoo.com/nhl/teams/ari"/>
    <hyperlink ref="A184" r:id="rId368" display="http://sports.yahoo.com/nhl/players/4944"/>
    <hyperlink ref="B184" r:id="rId369" display="http://sports.yahoo.com/nhl/teams/san"/>
    <hyperlink ref="A185" r:id="rId370" display="http://sports.yahoo.com/nhl/players/3091"/>
    <hyperlink ref="B185" r:id="rId371" display="http://sports.yahoo.com/nhl/teams/van"/>
    <hyperlink ref="A186" r:id="rId372" display="http://sports.yahoo.com/nhl/players/4981"/>
    <hyperlink ref="B186" r:id="rId373" display="http://sports.yahoo.com/nhl/teams/det"/>
    <hyperlink ref="A187" r:id="rId374" display="http://sports.yahoo.com/nhl/players/4953"/>
    <hyperlink ref="B187" r:id="rId375" display="http://sports.yahoo.com/nhl/teams/cob"/>
    <hyperlink ref="A188" r:id="rId376" display="http://sports.yahoo.com/nhl/players/3998"/>
    <hyperlink ref="B188" r:id="rId377" display="http://sports.yahoo.com/nhl/teams/min"/>
    <hyperlink ref="A189" r:id="rId378" display="http://sports.yahoo.com/nhl/players/3952"/>
    <hyperlink ref="B189" r:id="rId379" display="http://sports.yahoo.com/nhl/teams/nas"/>
    <hyperlink ref="A190" r:id="rId380" display="http://sports.yahoo.com/nhl/players/5981"/>
    <hyperlink ref="B190" r:id="rId381" display="http://sports.yahoo.com/nhl/teams/fla"/>
    <hyperlink ref="A191" r:id="rId382" display="http://sports.yahoo.com/nhl/players/3701"/>
    <hyperlink ref="B191" r:id="rId383" display="http://sports.yahoo.com/nhl/teams/ott"/>
    <hyperlink ref="A192" r:id="rId384" display="http://sports.yahoo.com/nhl/players/3880"/>
    <hyperlink ref="B192" r:id="rId385" display="http://sports.yahoo.com/nhl/teams/cob"/>
    <hyperlink ref="A193" r:id="rId386" display="http://sports.yahoo.com/nhl/players/2144"/>
    <hyperlink ref="B193" r:id="rId387" display="http://sports.yahoo.com/nhl/teams/buf"/>
    <hyperlink ref="A194" r:id="rId388" display="http://sports.yahoo.com/nhl/players/4959"/>
    <hyperlink ref="B194" r:id="rId389" display="http://sports.yahoo.com/nhl/teams/fla"/>
    <hyperlink ref="A195" r:id="rId390" display="http://sports.yahoo.com/nhl/players/3577"/>
    <hyperlink ref="B195" r:id="rId391" display="http://sports.yahoo.com/nhl/teams/was"/>
    <hyperlink ref="A196" r:id="rId392" display="http://sports.yahoo.com/nhl/players/3162"/>
    <hyperlink ref="B196" r:id="rId393" display="http://sports.yahoo.com/nhl/teams/nyi"/>
    <hyperlink ref="A197" r:id="rId394" display="http://sports.yahoo.com/nhl/players/4988"/>
    <hyperlink ref="B197" r:id="rId395" display="http://sports.yahoo.com/nhl/teams/min"/>
    <hyperlink ref="A198" r:id="rId396" display="http://sports.yahoo.com/nhl/players/5598"/>
    <hyperlink ref="B198" r:id="rId397" display="http://sports.yahoo.com/nhl/teams/nyr"/>
    <hyperlink ref="A199" r:id="rId398" display="http://sports.yahoo.com/nhl/players/1389"/>
    <hyperlink ref="B199" r:id="rId399" display="http://sports.yahoo.com/nhl/teams/njd"/>
    <hyperlink ref="A200" r:id="rId400" display="http://sports.yahoo.com/nhl/players/3781"/>
    <hyperlink ref="B200" r:id="rId401" display="http://sports.yahoo.com/nhl/teams/edm"/>
    <hyperlink ref="A201" r:id="rId402" display="http://sports.yahoo.com/nhl/players/3938"/>
    <hyperlink ref="B201" r:id="rId403" display="http://sports.yahoo.com/nhl/teams/chi"/>
    <hyperlink ref="A202" r:id="rId404" display="http://sports.yahoo.com/nhl/players/3249"/>
    <hyperlink ref="B202" r:id="rId405" display="http://sports.yahoo.com/nhl/teams/det"/>
    <hyperlink ref="A203" r:id="rId406" display="http://sports.yahoo.com/nhl/players/3951"/>
    <hyperlink ref="B203" r:id="rId407" display="http://sports.yahoo.com/nhl/teams/cgy"/>
    <hyperlink ref="A204" r:id="rId408" display="http://sports.yahoo.com/nhl/players/1844"/>
    <hyperlink ref="B204" r:id="rId409" display="http://sports.yahoo.com/nhl/teams/njd"/>
    <hyperlink ref="A205" r:id="rId410" display="http://sports.yahoo.com/nhl/players/3329"/>
    <hyperlink ref="B205" r:id="rId411" display="http://sports.yahoo.com/nhl/teams/ott"/>
    <hyperlink ref="A206" r:id="rId412" display="http://sports.yahoo.com/nhl/players/5686"/>
    <hyperlink ref="B206" r:id="rId413" display="http://sports.yahoo.com/nhl/teams/ana"/>
    <hyperlink ref="A207" r:id="rId414" display="http://sports.yahoo.com/nhl/players/4972"/>
    <hyperlink ref="B207" r:id="rId415" display="http://sports.yahoo.com/nhl/teams/ana"/>
    <hyperlink ref="A208" r:id="rId416" display="http://sports.yahoo.com/nhl/players/3571"/>
    <hyperlink ref="B208" r:id="rId417" display="http://sports.yahoo.com/nhl/teams/ana"/>
    <hyperlink ref="A209" r:id="rId418" display="http://sports.yahoo.com/nhl/players/3867"/>
    <hyperlink ref="B209" r:id="rId419" display="http://sports.yahoo.com/nhl/teams/pit"/>
    <hyperlink ref="A210" r:id="rId420" display="http://sports.yahoo.com/nhl/players/5207"/>
    <hyperlink ref="B210" r:id="rId421" display="http://sports.yahoo.com/nhl/teams/cgy"/>
    <hyperlink ref="A211" r:id="rId422" display="http://sports.yahoo.com/nhl/players/4352"/>
    <hyperlink ref="B211" r:id="rId423" display="http://sports.yahoo.com/nhl/teams/ana"/>
    <hyperlink ref="A212" r:id="rId424" display="http://sports.yahoo.com/nhl/players/4079"/>
    <hyperlink ref="B212" r:id="rId425" display="http://sports.yahoo.com/nhl/teams/was"/>
    <hyperlink ref="A213" r:id="rId426" display="http://sports.yahoo.com/nhl/players/4162"/>
    <hyperlink ref="B213" r:id="rId427" display="http://sports.yahoo.com/nhl/teams/edm"/>
    <hyperlink ref="A214" r:id="rId428" display="http://sports.yahoo.com/nhl/players/4065"/>
    <hyperlink ref="B214" r:id="rId429" display="http://sports.yahoo.com/nhl/teams/det"/>
    <hyperlink ref="A215" r:id="rId430" display="http://sports.yahoo.com/nhl/players/4250"/>
    <hyperlink ref="B215" r:id="rId431" display="http://sports.yahoo.com/nhl/teams/pit"/>
    <hyperlink ref="A216" r:id="rId432" display="http://sports.yahoo.com/nhl/players/4771"/>
    <hyperlink ref="B216" r:id="rId433" display="http://sports.yahoo.com/nhl/teams/nyi"/>
    <hyperlink ref="A217" r:id="rId434" display="http://sports.yahoo.com/nhl/players/3356"/>
    <hyperlink ref="B217" r:id="rId435" display="http://sports.yahoo.com/nhl/teams/was"/>
    <hyperlink ref="A218" r:id="rId436" display="http://sports.yahoo.com/nhl/players/3838"/>
    <hyperlink ref="B218" r:id="rId437" display="http://sports.yahoo.com/nhl/teams/van"/>
    <hyperlink ref="A219" r:id="rId438" display="http://sports.yahoo.com/nhl/players/4275"/>
    <hyperlink ref="B219" r:id="rId439" display="http://sports.yahoo.com/nhl/teams/nas"/>
    <hyperlink ref="A220" r:id="rId440" display="http://sports.yahoo.com/nhl/players/5410"/>
    <hyperlink ref="B220" r:id="rId441" display="http://sports.yahoo.com/nhl/teams/car"/>
    <hyperlink ref="A221" r:id="rId442" display="http://sports.yahoo.com/nhl/players/5681"/>
    <hyperlink ref="B221" r:id="rId443" display="http://sports.yahoo.com/nhl/teams/edm"/>
    <hyperlink ref="A222" r:id="rId444" display="http://sports.yahoo.com/nhl/players/4251"/>
    <hyperlink ref="B222" r:id="rId445" display="http://sports.yahoo.com/nhl/teams/nyr"/>
    <hyperlink ref="A223" r:id="rId446" display="http://sports.yahoo.com/nhl/players/4021"/>
    <hyperlink ref="B223" r:id="rId447" display="http://sports.yahoo.com/nhl/teams/van"/>
    <hyperlink ref="A224" r:id="rId448" display="http://sports.yahoo.com/nhl/players/4496"/>
    <hyperlink ref="B224" r:id="rId449" display="http://sports.yahoo.com/nhl/teams/phi"/>
    <hyperlink ref="A225" r:id="rId450" display="http://sports.yahoo.com/nhl/players/5982"/>
    <hyperlink ref="B225" r:id="rId451" display="http://sports.yahoo.com/nhl/teams/tam"/>
    <hyperlink ref="A226" r:id="rId452" display="http://sports.yahoo.com/nhl/players/3354"/>
    <hyperlink ref="B226" r:id="rId453" display="http://sports.yahoo.com/nhl/teams/njd"/>
    <hyperlink ref="A227" r:id="rId454" display="http://sports.yahoo.com/nhl/players/2764"/>
    <hyperlink ref="B227" r:id="rId455" display="http://sports.yahoo.com/nhl/teams/ari"/>
    <hyperlink ref="A228" r:id="rId456" display="http://sports.yahoo.com/nhl/players/2937"/>
    <hyperlink ref="B228" r:id="rId457" display="http://sports.yahoo.com/nhl/teams/edm"/>
    <hyperlink ref="A229" r:id="rId458" display="http://sports.yahoo.com/nhl/players/2849"/>
    <hyperlink ref="B229" r:id="rId459" display="http://sports.yahoo.com/nhl/teams/dal"/>
    <hyperlink ref="A230" r:id="rId460" display="http://sports.yahoo.com/nhl/players/4426"/>
    <hyperlink ref="B230" r:id="rId461" display="http://sports.yahoo.com/nhl/teams/ana"/>
    <hyperlink ref="A231" r:id="rId462" display="http://sports.yahoo.com/nhl/players/3898"/>
    <hyperlink ref="B231" r:id="rId463" display="http://sports.yahoo.com/nhl/teams/bos"/>
    <hyperlink ref="A232" r:id="rId464" display="http://sports.yahoo.com/nhl/players/5927"/>
    <hyperlink ref="B232" r:id="rId465" display="http://sports.yahoo.com/nhl/teams/det"/>
    <hyperlink ref="A233" r:id="rId466" display="http://sports.yahoo.com/nhl/players/5697"/>
    <hyperlink ref="B233" r:id="rId467" display="http://sports.yahoo.com/nhl/teams/san"/>
    <hyperlink ref="A234" r:id="rId468" display="http://sports.yahoo.com/nhl/players/4188"/>
    <hyperlink ref="B234" r:id="rId469" display="http://sports.yahoo.com/nhl/teams/nyi"/>
    <hyperlink ref="A235" r:id="rId470" display="http://sports.yahoo.com/nhl/players/4967"/>
    <hyperlink ref="B235" r:id="rId471" display="http://sports.yahoo.com/nhl/teams/car"/>
    <hyperlink ref="A236" r:id="rId472" display="http://sports.yahoo.com/nhl/players/5319"/>
    <hyperlink ref="B236" r:id="rId473" display="http://sports.yahoo.com/nhl/teams/min"/>
    <hyperlink ref="A237" r:id="rId474" display="http://sports.yahoo.com/nhl/players/5291"/>
    <hyperlink ref="B237" r:id="rId475" display="http://sports.yahoo.com/nhl/teams/ari"/>
    <hyperlink ref="A238" r:id="rId476" display="http://sports.yahoo.com/nhl/players/5391"/>
    <hyperlink ref="B238" r:id="rId477" display="http://sports.yahoo.com/nhl/teams/ana"/>
    <hyperlink ref="A239" r:id="rId478" display="http://sports.yahoo.com/nhl/players/3978"/>
    <hyperlink ref="B239" r:id="rId479" display="http://sports.yahoo.com/nhl/teams/wpg"/>
    <hyperlink ref="A240" r:id="rId480" display="http://sports.yahoo.com/nhl/players/5714"/>
    <hyperlink ref="B240" r:id="rId481" display="http://sports.yahoo.com/nhl/teams/edm"/>
    <hyperlink ref="A241" r:id="rId482" display="http://sports.yahoo.com/nhl/players/4020"/>
    <hyperlink ref="B241" r:id="rId483" display="http://sports.yahoo.com/nhl/teams/van"/>
    <hyperlink ref="A242" r:id="rId484" display="http://sports.yahoo.com/nhl/players/3352"/>
    <hyperlink ref="B242" r:id="rId485" display="http://sports.yahoo.com/nhl/teams/chi"/>
    <hyperlink ref="A243" r:id="rId486" display="http://sports.yahoo.com/nhl/players/3805"/>
    <hyperlink ref="B243" r:id="rId487" display="http://sports.yahoo.com/nhl/teams/was"/>
    <hyperlink ref="A244" r:id="rId488" display="http://sports.yahoo.com/nhl/players/3835"/>
    <hyperlink ref="B244" r:id="rId489" display="http://sports.yahoo.com/nhl/teams/pit"/>
    <hyperlink ref="A245" r:id="rId490" display="http://sports.yahoo.com/nhl/players/5278"/>
    <hyperlink ref="B245" r:id="rId491" display="http://sports.yahoo.com/nhl/teams/phi"/>
    <hyperlink ref="A246" r:id="rId492" display="http://sports.yahoo.com/nhl/players/4183"/>
    <hyperlink ref="B246" r:id="rId493" display="http://sports.yahoo.com/nhl/teams/cgy"/>
    <hyperlink ref="A247" r:id="rId494" display="http://sports.yahoo.com/nhl/players/4575"/>
    <hyperlink ref="B247" r:id="rId495" display="http://sports.yahoo.com/nhl/teams/tam"/>
    <hyperlink ref="A248" r:id="rId496" display="http://sports.yahoo.com/nhl/players/5694"/>
    <hyperlink ref="B248" r:id="rId497" display="http://sports.yahoo.com/nhl/teams/buf"/>
    <hyperlink ref="A249" r:id="rId498" display="http://sports.yahoo.com/nhl/players/4706"/>
    <hyperlink ref="B249" r:id="rId499" display="http://sports.yahoo.com/nhl/teams/ana"/>
    <hyperlink ref="A250" r:id="rId500" display="http://sports.yahoo.com/nhl/players/3347"/>
    <hyperlink ref="B250" r:id="rId501" display="http://sports.yahoo.com/nhl/teams/tor"/>
    <hyperlink ref="A251" r:id="rId502" display="http://sports.yahoo.com/nhl/players/5685"/>
    <hyperlink ref="B251" r:id="rId503" display="http://sports.yahoo.com/nhl/teams/tor"/>
    <hyperlink ref="A252" r:id="rId504" display="http://sports.yahoo.com/nhl/players/3047"/>
    <hyperlink ref="B252" r:id="rId505" display="http://sports.yahoo.com/nhl/teams/dal"/>
    <hyperlink ref="A253" r:id="rId506" display="http://sports.yahoo.com/nhl/players/2185"/>
    <hyperlink ref="B253" r:id="rId507" display="http://sports.yahoo.com/nhl/teams/dal"/>
    <hyperlink ref="A254" r:id="rId508" display="http://sports.yahoo.com/nhl/players/3802"/>
    <hyperlink ref="B254" r:id="rId509" display="http://sports.yahoo.com/nhl/teams/ana"/>
    <hyperlink ref="A255" r:id="rId510" display="http://sports.yahoo.com/nhl/players/4544"/>
    <hyperlink ref="B255" r:id="rId511" display="http://sports.yahoo.com/nhl/teams/mon"/>
    <hyperlink ref="A256" r:id="rId512" display="http://sports.yahoo.com/nhl/players/3814"/>
    <hyperlink ref="B256" r:id="rId513" display="http://sports.yahoo.com/nhl/teams/chi"/>
    <hyperlink ref="A257" r:id="rId514" display="http://sports.yahoo.com/nhl/players/5966"/>
    <hyperlink ref="B257" r:id="rId515" display="http://sports.yahoo.com/nhl/teams/phi"/>
    <hyperlink ref="A258" r:id="rId516" display="http://sports.yahoo.com/nhl/players/4492"/>
    <hyperlink ref="B258" r:id="rId517" display="http://sports.yahoo.com/nhl/teams/cgy"/>
    <hyperlink ref="A259" r:id="rId518" display="http://sports.yahoo.com/nhl/players/3709"/>
    <hyperlink ref="B259" r:id="rId519" display="http://sports.yahoo.com/nhl/teams/wpg"/>
    <hyperlink ref="A260" r:id="rId520" display="http://sports.yahoo.com/nhl/players/4436"/>
    <hyperlink ref="B260" r:id="rId521" display="http://sports.yahoo.com/nhl/teams/car"/>
    <hyperlink ref="A261" r:id="rId522" display="http://sports.yahoo.com/nhl/players/4485"/>
    <hyperlink ref="B261" r:id="rId523" display="http://sports.yahoo.com/nhl/teams/wpg"/>
    <hyperlink ref="A262" r:id="rId524" display="http://sports.yahoo.com/nhl/players/2800"/>
    <hyperlink ref="B262" r:id="rId525" display="http://sports.yahoo.com/nhl/teams/bos"/>
    <hyperlink ref="A263" r:id="rId526" display="http://sports.yahoo.com/nhl/players/3806"/>
    <hyperlink ref="B263" r:id="rId527" display="http://sports.yahoo.com/nhl/teams/pit"/>
    <hyperlink ref="A264" r:id="rId528" display="http://sports.yahoo.com/nhl/players/4481"/>
    <hyperlink ref="B264" r:id="rId529" display="http://sports.yahoo.com/nhl/teams/ari"/>
    <hyperlink ref="A265" r:id="rId530" display="http://sports.yahoo.com/nhl/players/4118"/>
    <hyperlink ref="B265" r:id="rId531" display="http://sports.yahoo.com/nhl/teams/van"/>
    <hyperlink ref="A266" r:id="rId532" display="http://sports.yahoo.com/nhl/players/4691"/>
    <hyperlink ref="B266" r:id="rId533" display="http://sports.yahoo.com/nhl/teams/nas"/>
    <hyperlink ref="A267" r:id="rId534" display="http://sports.yahoo.com/nhl/players/1923"/>
    <hyperlink ref="B267" r:id="rId535" display="http://sports.yahoo.com/nhl/teams/fla"/>
    <hyperlink ref="A268" r:id="rId536" display="http://sports.yahoo.com/nhl/players/3176"/>
    <hyperlink ref="B268" r:id="rId537" display="http://sports.yahoo.com/nhl/teams/ana"/>
    <hyperlink ref="A269" r:id="rId538" display="http://sports.yahoo.com/nhl/players/2786"/>
    <hyperlink ref="B269" r:id="rId539" display="http://sports.yahoo.com/nhl/teams/nyr"/>
    <hyperlink ref="A270" r:id="rId540" display="http://sports.yahoo.com/nhl/players/4005"/>
    <hyperlink ref="B270" r:id="rId541" display="http://sports.yahoo.com/nhl/teams/stl"/>
    <hyperlink ref="A271" r:id="rId542" display="http://sports.yahoo.com/nhl/players/6391"/>
    <hyperlink ref="B271" r:id="rId543" display="http://sports.yahoo.com/nhl/teams/bos"/>
    <hyperlink ref="A272" r:id="rId544" display="http://sports.yahoo.com/nhl/players/3351"/>
    <hyperlink ref="B272" r:id="rId545" display="http://sports.yahoo.com/nhl/teams/los"/>
    <hyperlink ref="A273" r:id="rId546" display="http://sports.yahoo.com/nhl/players/4539"/>
    <hyperlink ref="B273" r:id="rId547" display="http://sports.yahoo.com/nhl/teams/pit"/>
    <hyperlink ref="A274" r:id="rId548" display="http://sports.yahoo.com/nhl/players/1796"/>
    <hyperlink ref="B274" r:id="rId549" display="http://sports.yahoo.com/nhl/teams/ott"/>
    <hyperlink ref="A275" r:id="rId550" display="http://sports.yahoo.com/nhl/players/5415"/>
    <hyperlink ref="B275" r:id="rId551" display="http://sports.yahoo.com/nhl/teams/san"/>
    <hyperlink ref="A276" r:id="rId552" display="http://sports.yahoo.com/nhl/players/3366"/>
    <hyperlink ref="B276" r:id="rId553" display="http://sports.yahoo.com/nhl/teams/dal"/>
    <hyperlink ref="A277" r:id="rId554" display="http://sports.yahoo.com/nhl/players/4252"/>
    <hyperlink ref="B277" r:id="rId555" display="http://sports.yahoo.com/nhl/teams/mon"/>
    <hyperlink ref="A278" r:id="rId556" display="http://sports.yahoo.com/nhl/players/4263"/>
    <hyperlink ref="B278" r:id="rId557" display="http://sports.yahoo.com/nhl/teams/cgy"/>
    <hyperlink ref="A279" r:id="rId558" display="http://sports.yahoo.com/nhl/players/5983"/>
    <hyperlink ref="B279" r:id="rId559" display="http://sports.yahoo.com/nhl/teams/nas"/>
    <hyperlink ref="A280" r:id="rId560" display="http://sports.yahoo.com/nhl/players/4289"/>
    <hyperlink ref="B280" r:id="rId561" display="http://sports.yahoo.com/nhl/teams/cob"/>
    <hyperlink ref="A281" r:id="rId562" display="http://sports.yahoo.com/nhl/players/3692"/>
    <hyperlink ref="B281" r:id="rId563" display="http://sports.yahoo.com/nhl/teams/col"/>
    <hyperlink ref="A282" r:id="rId564" display="http://sports.yahoo.com/nhl/players/5648"/>
    <hyperlink ref="B282" r:id="rId565" display="http://sports.yahoo.com/nhl/teams/ott"/>
    <hyperlink ref="A283" r:id="rId566" display="http://sports.yahoo.com/nhl/players/5032"/>
    <hyperlink ref="B283" r:id="rId567" display="http://sports.yahoo.com/nhl/teams/min"/>
    <hyperlink ref="A284" r:id="rId568" display="http://sports.yahoo.com/nhl/players/5672"/>
    <hyperlink ref="B284" r:id="rId569" display="http://sports.yahoo.com/nhl/teams/tor"/>
    <hyperlink ref="A285" r:id="rId570" display="http://sports.yahoo.com/nhl/players/5504"/>
    <hyperlink ref="B285" r:id="rId571" display="http://sports.yahoo.com/nhl/teams/chi"/>
    <hyperlink ref="A286" r:id="rId572" display="http://sports.yahoo.com/nhl/players/3375"/>
    <hyperlink ref="B286" r:id="rId573" display="http://sports.yahoo.com/nhl/teams/nyr"/>
    <hyperlink ref="A287" r:id="rId574" display="http://sports.yahoo.com/nhl/players/4599"/>
    <hyperlink ref="B287" r:id="rId575" display="http://sports.yahoo.com/nhl/teams/dal"/>
    <hyperlink ref="A288" r:id="rId576" display="http://sports.yahoo.com/nhl/players/4559"/>
    <hyperlink ref="B288" r:id="rId577" display="http://sports.yahoo.com/nhl/teams/los"/>
    <hyperlink ref="A289" r:id="rId578" display="http://sports.yahoo.com/nhl/players/4695"/>
    <hyperlink ref="B289" r:id="rId579" display="http://sports.yahoo.com/nhl/teams/tor"/>
    <hyperlink ref="A290" r:id="rId580" display="http://sports.yahoo.com/nhl/players/5232"/>
    <hyperlink ref="B290" r:id="rId581" display="http://sports.yahoo.com/nhl/teams/min"/>
    <hyperlink ref="A291" r:id="rId582" display="http://sports.yahoo.com/nhl/players/3657"/>
    <hyperlink ref="B291" r:id="rId583" display="http://sports.yahoo.com/nhl/teams/njd"/>
    <hyperlink ref="A292" r:id="rId584" display="http://sports.yahoo.com/nhl/players/4153"/>
    <hyperlink ref="B292" r:id="rId585" display="http://sports.yahoo.com/nhl/teams/van"/>
    <hyperlink ref="A293" r:id="rId586" display="http://sports.yahoo.com/nhl/players/5988"/>
    <hyperlink ref="B293" r:id="rId587" display="http://sports.yahoo.com/nhl/teams/van"/>
    <hyperlink ref="A294" r:id="rId588" display="http://sports.yahoo.com/nhl/players/5605"/>
    <hyperlink ref="B294" r:id="rId589" display="http://sports.yahoo.com/nhl/teams/dal"/>
    <hyperlink ref="A295" r:id="rId590" display="http://sports.yahoo.com/nhl/players/4578"/>
    <hyperlink ref="B295" r:id="rId591" display="http://sports.yahoo.com/nhl/teams/dal"/>
    <hyperlink ref="A296" r:id="rId592" display="http://sports.yahoo.com/nhl/players/4260"/>
    <hyperlink ref="B296" r:id="rId593" display="http://sports.yahoo.com/nhl/teams/car"/>
    <hyperlink ref="A297" r:id="rId594" display="http://sports.yahoo.com/nhl/players/3000"/>
    <hyperlink ref="B297" r:id="rId595" display="http://sports.yahoo.com/nhl/teams/det"/>
    <hyperlink ref="A298" r:id="rId596" display="http://sports.yahoo.com/nhl/players/5591"/>
    <hyperlink ref="B298" r:id="rId597" display="http://sports.yahoo.com/nhl/teams/dal"/>
    <hyperlink ref="A299" r:id="rId598" display="http://sports.yahoo.com/nhl/players/1657"/>
    <hyperlink ref="B299" r:id="rId599" display="http://sports.yahoo.com/nhl/teams/nas"/>
    <hyperlink ref="A300" r:id="rId600" display="http://sports.yahoo.com/nhl/players/3990"/>
    <hyperlink ref="B300" r:id="rId601" display="http://sports.yahoo.com/nhl/teams/los"/>
    <hyperlink ref="A301" r:id="rId602" display="http://sports.yahoo.com/nhl/players/5227"/>
    <hyperlink ref="B301" r:id="rId603" display="http://sports.yahoo.com/nhl/teams/los"/>
    <hyperlink ref="A302" r:id="rId604" display="http://sports.yahoo.com/nhl/players/3980"/>
    <hyperlink ref="B302" r:id="rId605" display="http://sports.yahoo.com/nhl/teams/car"/>
    <hyperlink ref="A303" r:id="rId606" display="http://sports.yahoo.com/nhl/players/6191"/>
    <hyperlink ref="B303" r:id="rId607" display="http://sports.yahoo.com/nhl/teams/cgy"/>
    <hyperlink ref="A304" r:id="rId608" display="http://sports.yahoo.com/nhl/players/4493"/>
    <hyperlink ref="B304" r:id="rId609" display="http://sports.yahoo.com/nhl/teams/tor"/>
    <hyperlink ref="A305" r:id="rId610" display="http://sports.yahoo.com/nhl/players/5193"/>
    <hyperlink ref="B305" r:id="rId611" display="http://sports.yahoo.com/nhl/teams/fla"/>
    <hyperlink ref="A306" r:id="rId612" display="http://sports.yahoo.com/nhl/players/3794"/>
    <hyperlink ref="B306" r:id="rId613" display="http://sports.yahoo.com/nhl/teams/ari"/>
    <hyperlink ref="A307" r:id="rId614" display="http://sports.yahoo.com/nhl/players/3363"/>
    <hyperlink ref="B307" r:id="rId615" display="http://sports.yahoo.com/nhl/teams/tam"/>
    <hyperlink ref="A308" r:id="rId616" display="http://sports.yahoo.com/nhl/players/6361"/>
    <hyperlink ref="B308" r:id="rId617" display="http://sports.yahoo.com/nhl/teams/san"/>
    <hyperlink ref="A309" r:id="rId618" display="http://sports.yahoo.com/nhl/players/5334"/>
    <hyperlink ref="B309" r:id="rId619" display="http://sports.yahoo.com/nhl/teams/van"/>
    <hyperlink ref="A310" r:id="rId620" display="http://sports.yahoo.com/nhl/players/5365"/>
    <hyperlink ref="B310" r:id="rId621" display="http://sports.yahoo.com/nhl/teams/njd"/>
    <hyperlink ref="A311" r:id="rId622" display="http://sports.yahoo.com/nhl/players/3812"/>
    <hyperlink ref="B311" r:id="rId623" display="http://sports.yahoo.com/nhl/teams/fla"/>
    <hyperlink ref="A312" r:id="rId624" display="http://sports.yahoo.com/nhl/players/4633"/>
    <hyperlink ref="B312" r:id="rId625" display="http://sports.yahoo.com/nhl/teams/min"/>
    <hyperlink ref="A313" r:id="rId626" display="http://sports.yahoo.com/nhl/players/4235"/>
    <hyperlink ref="B313" r:id="rId627" display="http://sports.yahoo.com/nhl/teams/wpg"/>
    <hyperlink ref="A314" r:id="rId628" display="http://sports.yahoo.com/nhl/players/2848"/>
    <hyperlink ref="B314" r:id="rId629" display="http://sports.yahoo.com/nhl/teams/van"/>
    <hyperlink ref="A315" r:id="rId630" display="http://sports.yahoo.com/nhl/players/4130"/>
    <hyperlink ref="B315" r:id="rId631" display="http://sports.yahoo.com/nhl/teams/cgy"/>
    <hyperlink ref="A316" r:id="rId632" display="http://sports.yahoo.com/nhl/players/3986"/>
    <hyperlink ref="B316" r:id="rId633" display="http://sports.yahoo.com/nhl/teams/los"/>
    <hyperlink ref="A317" r:id="rId634" display="http://sports.yahoo.com/nhl/players/3203"/>
    <hyperlink ref="B317" r:id="rId635" display="http://sports.yahoo.com/nhl/teams/ana"/>
    <hyperlink ref="A318" r:id="rId636" display="http://sports.yahoo.com/nhl/players/3979"/>
    <hyperlink ref="B318" r:id="rId637" display="http://sports.yahoo.com/nhl/teams/col"/>
    <hyperlink ref="A319" r:id="rId638" display="http://sports.yahoo.com/nhl/players/5376"/>
    <hyperlink ref="B319" r:id="rId639" display="http://sports.yahoo.com/nhl/teams/nyr"/>
    <hyperlink ref="A320" r:id="rId640" display="http://sports.yahoo.com/nhl/players/4710"/>
    <hyperlink ref="B320" r:id="rId641" display="http://sports.yahoo.com/nhl/teams/ana"/>
    <hyperlink ref="A321" r:id="rId642" display="http://sports.yahoo.com/nhl/players/4888"/>
    <hyperlink ref="B321" r:id="rId643" display="http://sports.yahoo.com/nhl/teams/san"/>
    <hyperlink ref="A322" r:id="rId644" display="http://sports.yahoo.com/nhl/players/3829"/>
    <hyperlink ref="B322" r:id="rId645" display="http://sports.yahoo.com/nhl/teams/san"/>
    <hyperlink ref="A323" r:id="rId646" display="http://sports.yahoo.com/nhl/players/4711"/>
    <hyperlink ref="B323" r:id="rId647" display="http://sports.yahoo.com/nhl/teams/ott"/>
    <hyperlink ref="A324" r:id="rId648" display="http://sports.yahoo.com/nhl/players/6399"/>
    <hyperlink ref="B324" r:id="rId649" display="http://sports.yahoo.com/nhl/teams/ana"/>
    <hyperlink ref="A325" r:id="rId650" display="http://sports.yahoo.com/nhl/players/5434"/>
    <hyperlink ref="B325" r:id="rId651" display="http://sports.yahoo.com/nhl/teams/wpg"/>
    <hyperlink ref="A326" r:id="rId652" display="http://sports.yahoo.com/nhl/players/4794"/>
    <hyperlink ref="B326" r:id="rId653" display="http://sports.yahoo.com/nhl/teams/cob"/>
    <hyperlink ref="A327" r:id="rId654" display="http://sports.yahoo.com/nhl/players/4424"/>
    <hyperlink ref="B327" r:id="rId655" display="http://sports.yahoo.com/nhl/teams/los"/>
    <hyperlink ref="A328" r:id="rId656" display="http://sports.yahoo.com/nhl/players/3417"/>
    <hyperlink ref="B328" r:id="rId657" display="http://sports.yahoo.com/nhl/teams/car"/>
    <hyperlink ref="A329" r:id="rId658" display="http://sports.yahoo.com/nhl/players/4243"/>
    <hyperlink ref="B329" r:id="rId659" display="http://sports.yahoo.com/nhl/teams/nyi"/>
    <hyperlink ref="A330" r:id="rId660" display="http://sports.yahoo.com/nhl/players/4849"/>
    <hyperlink ref="B330" r:id="rId661" display="http://sports.yahoo.com/nhl/teams/mon"/>
    <hyperlink ref="A331" r:id="rId662" display="http://sports.yahoo.com/nhl/players/3262"/>
    <hyperlink ref="B331" r:id="rId663" display="http://sports.yahoo.com/nhl/teams/mon"/>
    <hyperlink ref="A332" r:id="rId664" display="http://sports.yahoo.com/nhl/players/5431"/>
    <hyperlink ref="B332" r:id="rId665" display="http://sports.yahoo.com/nhl/teams/fla"/>
    <hyperlink ref="A333" r:id="rId666" display="http://sports.yahoo.com/nhl/players/5689"/>
    <hyperlink ref="B333" r:id="rId667" display="http://sports.yahoo.com/nhl/teams/wpg"/>
    <hyperlink ref="A334" r:id="rId668" display="http://sports.yahoo.com/nhl/players/4694"/>
    <hyperlink ref="B334" r:id="rId669" display="http://sports.yahoo.com/nhl/teams/fla"/>
    <hyperlink ref="A335" r:id="rId670" display="http://sports.yahoo.com/nhl/players/3871"/>
    <hyperlink ref="B335" r:id="rId671" display="http://sports.yahoo.com/nhl/teams/njd"/>
    <hyperlink ref="A336" r:id="rId672" display="http://sports.yahoo.com/nhl/players/6002"/>
    <hyperlink ref="B336" r:id="rId673" display="http://sports.yahoo.com/nhl/teams/was"/>
    <hyperlink ref="A337" r:id="rId674" display="http://sports.yahoo.com/nhl/players/4684"/>
    <hyperlink ref="B337" r:id="rId675" display="http://sports.yahoo.com/nhl/teams/buf"/>
    <hyperlink ref="A338" r:id="rId676" display="http://sports.yahoo.com/nhl/players/3722"/>
    <hyperlink ref="B338" r:id="rId677" display="http://sports.yahoo.com/nhl/teams/det"/>
    <hyperlink ref="A339" r:id="rId678" display="http://sports.yahoo.com/nhl/players/2939"/>
    <hyperlink ref="B339" r:id="rId679" display="http://sports.yahoo.com/nhl/teams/car"/>
    <hyperlink ref="A340" r:id="rId680" display="http://sports.yahoo.com/nhl/players/4537"/>
    <hyperlink ref="B340" r:id="rId681" display="http://sports.yahoo.com/nhl/teams/van"/>
    <hyperlink ref="A341" r:id="rId682" display="http://sports.yahoo.com/nhl/players/5480"/>
    <hyperlink ref="B341" r:id="rId683" display="http://sports.yahoo.com/nhl/teams/ari"/>
    <hyperlink ref="A342" r:id="rId684" display="http://sports.yahoo.com/nhl/players/5695"/>
    <hyperlink ref="B342" r:id="rId685" display="http://sports.yahoo.com/nhl/teams/ott"/>
    <hyperlink ref="A343" r:id="rId686" display="http://sports.yahoo.com/nhl/players/5744"/>
    <hyperlink ref="B343" r:id="rId687" display="http://sports.yahoo.com/nhl/teams/san"/>
    <hyperlink ref="A344" r:id="rId688" display="http://sports.yahoo.com/nhl/players/3656"/>
    <hyperlink ref="B344" r:id="rId689" display="http://sports.yahoo.com/nhl/teams/ari"/>
    <hyperlink ref="A345" r:id="rId690" display="http://sports.yahoo.com/nhl/players/4892"/>
    <hyperlink ref="B345" r:id="rId691" display="http://sports.yahoo.com/nhl/teams/cob"/>
    <hyperlink ref="A346" r:id="rId692" display="http://sports.yahoo.com/nhl/players/3704"/>
    <hyperlink ref="B346" r:id="rId693" display="http://sports.yahoo.com/nhl/teams/van"/>
    <hyperlink ref="A347" r:id="rId694" display="http://sports.yahoo.com/nhl/players/4244"/>
    <hyperlink ref="B347" r:id="rId695" display="http://sports.yahoo.com/nhl/teams/was"/>
    <hyperlink ref="A348" r:id="rId696" display="http://sports.yahoo.com/nhl/players/3110"/>
    <hyperlink ref="B348" r:id="rId697" display="http://sports.yahoo.com/nhl/teams/tor"/>
    <hyperlink ref="A349" r:id="rId698" display="http://sports.yahoo.com/nhl/players/6006"/>
    <hyperlink ref="B349" r:id="rId699" display="http://sports.yahoo.com/nhl/teams/cob"/>
    <hyperlink ref="A350" r:id="rId700" display="http://sports.yahoo.com/nhl/players/5380"/>
    <hyperlink ref="B350" r:id="rId701" display="http://sports.yahoo.com/nhl/teams/edm"/>
    <hyperlink ref="A351" r:id="rId702" display="http://sports.yahoo.com/nhl/players/3953"/>
    <hyperlink ref="B351" r:id="rId703" display="http://sports.yahoo.com/nhl/teams/nyr"/>
    <hyperlink ref="A352" r:id="rId704" display="http://sports.yahoo.com/nhl/players/4380"/>
    <hyperlink ref="B352" r:id="rId705" display="http://sports.yahoo.com/nhl/teams/was"/>
    <hyperlink ref="A353" r:id="rId706" display="http://sports.yahoo.com/nhl/players/1767"/>
    <hyperlink ref="B353" r:id="rId707" display="http://sports.yahoo.com/nhl/teams/phi"/>
    <hyperlink ref="A354" r:id="rId708" display="http://sports.yahoo.com/nhl/players/5015"/>
    <hyperlink ref="B354" r:id="rId709" display="http://sports.yahoo.com/nhl/teams/mon"/>
    <hyperlink ref="A355" r:id="rId710" display="http://sports.yahoo.com/nhl/players/3789"/>
    <hyperlink ref="B355" r:id="rId711" display="http://sports.yahoo.com/nhl/teams/nyr"/>
    <hyperlink ref="A356" r:id="rId712" display="http://sports.yahoo.com/nhl/players/3287"/>
    <hyperlink ref="B356" r:id="rId713" display="http://sports.yahoo.com/nhl/teams/was"/>
    <hyperlink ref="A357" r:id="rId714" display="http://sports.yahoo.com/nhl/players/5993"/>
    <hyperlink ref="B357" r:id="rId715" display="http://sports.yahoo.com/nhl/teams/cob"/>
    <hyperlink ref="A358" r:id="rId716" display="http://sports.yahoo.com/nhl/players/4935"/>
    <hyperlink ref="B358" r:id="rId717" display="http://sports.yahoo.com/nhl/teams/van"/>
    <hyperlink ref="A359" r:id="rId718" display="http://sports.yahoo.com/nhl/players/5323"/>
    <hyperlink ref="B359" r:id="rId719" display="http://sports.yahoo.com/nhl/teams/edm"/>
    <hyperlink ref="A360" r:id="rId720" display="http://sports.yahoo.com/nhl/players/4671"/>
    <hyperlink ref="B360" r:id="rId721" display="http://sports.yahoo.com/nhl/teams/car"/>
    <hyperlink ref="A361" r:id="rId722" display="http://sports.yahoo.com/nhl/players/5987"/>
    <hyperlink ref="B361" r:id="rId723" display="http://sports.yahoo.com/nhl/teams/buf"/>
    <hyperlink ref="A362" r:id="rId724" display="http://sports.yahoo.com/nhl/players/4473"/>
    <hyperlink ref="B362" r:id="rId725" display="http://sports.yahoo.com/nhl/teams/buf"/>
    <hyperlink ref="A363" r:id="rId726" display="http://sports.yahoo.com/nhl/players/5347"/>
    <hyperlink ref="B363" r:id="rId727" display="http://sports.yahoo.com/nhl/teams/car"/>
    <hyperlink ref="A364" r:id="rId728" display="http://sports.yahoo.com/nhl/players/2449"/>
    <hyperlink ref="B364" r:id="rId729" display="http://sports.yahoo.com/nhl/teams/nyi"/>
    <hyperlink ref="A365" r:id="rId730" display="http://sports.yahoo.com/nhl/players/3601"/>
    <hyperlink ref="B365" r:id="rId731" display="http://sports.yahoo.com/nhl/teams/min"/>
    <hyperlink ref="A366" r:id="rId732" display="http://sports.yahoo.com/nhl/players/2992"/>
    <hyperlink ref="B366" r:id="rId733" display="http://sports.yahoo.com/nhl/teams/pit"/>
    <hyperlink ref="A367" r:id="rId734" display="http://sports.yahoo.com/nhl/players/1868"/>
    <hyperlink ref="B367" r:id="rId735" display="http://sports.yahoo.com/nhl/teams/nyr"/>
    <hyperlink ref="A368" r:id="rId736" display="http://sports.yahoo.com/nhl/players/4779"/>
    <hyperlink ref="B368" r:id="rId737" display="http://sports.yahoo.com/nhl/teams/buf"/>
    <hyperlink ref="A369" r:id="rId738" display="http://sports.yahoo.com/nhl/players/5295"/>
    <hyperlink ref="B369" r:id="rId739" display="http://sports.yahoo.com/nhl/teams/col"/>
    <hyperlink ref="A370" r:id="rId740" display="http://sports.yahoo.com/nhl/players/1700"/>
    <hyperlink ref="B370" r:id="rId741" display="http://sports.yahoo.com/nhl/teams/bos"/>
    <hyperlink ref="A371" r:id="rId742" display="http://sports.yahoo.com/nhl/players/4677"/>
    <hyperlink ref="B371" r:id="rId743" display="http://sports.yahoo.com/nhl/teams/cgy"/>
    <hyperlink ref="A372" r:id="rId744" display="http://sports.yahoo.com/nhl/players/4917"/>
    <hyperlink ref="B372" r:id="rId745" display="http://sports.yahoo.com/nhl/teams/njd"/>
    <hyperlink ref="A373" r:id="rId746" display="http://sports.yahoo.com/nhl/players/2499"/>
    <hyperlink ref="B373" r:id="rId747" display="http://sports.yahoo.com/nhl/teams/njd"/>
    <hyperlink ref="A374" r:id="rId748" display="http://sports.yahoo.com/nhl/players/5791"/>
    <hyperlink ref="B374" r:id="rId749" display="http://sports.yahoo.com/nhl/teams/tam"/>
    <hyperlink ref="A375" r:id="rId750" display="http://sports.yahoo.com/nhl/players/3965"/>
    <hyperlink ref="B375" r:id="rId751" display="http://sports.yahoo.com/nhl/teams/nyi"/>
    <hyperlink ref="A376" r:id="rId752" display="http://sports.yahoo.com/nhl/players/3172"/>
    <hyperlink ref="B376" r:id="rId753" display="http://sports.yahoo.com/nhl/teams/min"/>
    <hyperlink ref="A377" r:id="rId754" display="http://sports.yahoo.com/nhl/players/5462"/>
    <hyperlink ref="B377" r:id="rId755" display="http://sports.yahoo.com/nhl/teams/ott"/>
    <hyperlink ref="A378" r:id="rId756" display="http://sports.yahoo.com/nhl/players/2530"/>
    <hyperlink ref="B378" r:id="rId757" display="http://sports.yahoo.com/nhl/teams/was"/>
    <hyperlink ref="A379" r:id="rId758" display="http://sports.yahoo.com/nhl/players/4206"/>
    <hyperlink ref="B379" r:id="rId759" display="http://sports.yahoo.com/nhl/teams/chi"/>
    <hyperlink ref="A380" r:id="rId760" display="http://sports.yahoo.com/nhl/players/3261"/>
    <hyperlink ref="B380" r:id="rId761" display="http://sports.yahoo.com/nhl/teams/car"/>
    <hyperlink ref="A381" r:id="rId762" display="http://sports.yahoo.com/nhl/players/2491"/>
    <hyperlink ref="B381" r:id="rId763" display="http://sports.yahoo.com/nhl/teams/was"/>
    <hyperlink ref="A382" r:id="rId764" display="http://sports.yahoo.com/nhl/players/4881"/>
    <hyperlink ref="B382" r:id="rId765" display="http://sports.yahoo.com/nhl/teams/san"/>
    <hyperlink ref="A383" r:id="rId766" display="http://sports.yahoo.com/nhl/players/3991"/>
    <hyperlink ref="B383" r:id="rId767" display="http://sports.yahoo.com/nhl/teams/nyr"/>
    <hyperlink ref="A384" r:id="rId768" display="http://sports.yahoo.com/nhl/players/5413"/>
    <hyperlink ref="B384" r:id="rId769" display="http://sports.yahoo.com/nhl/teams/cgy"/>
    <hyperlink ref="A385" r:id="rId770" display="http://sports.yahoo.com/nhl/players/5024"/>
    <hyperlink ref="B385" r:id="rId771" display="http://sports.yahoo.com/nhl/teams/nas"/>
    <hyperlink ref="A386" r:id="rId772" display="http://sports.yahoo.com/nhl/players/3698"/>
    <hyperlink ref="B386" r:id="rId773" display="http://sports.yahoo.com/nhl/teams/ana"/>
    <hyperlink ref="A387" r:id="rId774" display="http://sports.yahoo.com/nhl/players/3472"/>
    <hyperlink ref="B387" r:id="rId775" display="http://sports.yahoo.com/nhl/teams/bos"/>
    <hyperlink ref="A388" r:id="rId776" display="http://sports.yahoo.com/nhl/players/4568"/>
    <hyperlink ref="B388" r:id="rId777" display="http://sports.yahoo.com/nhl/teams/ari"/>
    <hyperlink ref="A389" r:id="rId778" display="http://sports.yahoo.com/nhl/players/5018"/>
    <hyperlink ref="B389" r:id="rId779" display="http://sports.yahoo.com/nhl/teams/bos"/>
    <hyperlink ref="A390" r:id="rId780" display="http://sports.yahoo.com/nhl/players/5976"/>
    <hyperlink ref="B390" r:id="rId781" display="http://sports.yahoo.com/nhl/teams/det"/>
    <hyperlink ref="A391" r:id="rId782" display="http://sports.yahoo.com/nhl/players/4773"/>
    <hyperlink ref="B391" r:id="rId783" display="http://sports.yahoo.com/nhl/teams/nyi"/>
    <hyperlink ref="A392" r:id="rId784" display="http://sports.yahoo.com/nhl/players/3385"/>
    <hyperlink ref="B392" r:id="rId785" display="http://sports.yahoo.com/nhl/teams/tam"/>
    <hyperlink ref="A393" r:id="rId786" display="http://sports.yahoo.com/nhl/players/5403"/>
    <hyperlink ref="B393" r:id="rId787" display="http://sports.yahoo.com/nhl/teams/det"/>
    <hyperlink ref="A394" r:id="rId788" display="http://sports.yahoo.com/nhl/players/3710"/>
    <hyperlink ref="B394" r:id="rId789" display="http://sports.yahoo.com/nhl/teams/det"/>
    <hyperlink ref="A395" r:id="rId790" display="http://sports.yahoo.com/nhl/players/5329"/>
    <hyperlink ref="B395" r:id="rId791" display="http://sports.yahoo.com/nhl/teams/nas"/>
    <hyperlink ref="A396" r:id="rId792" display="http://sports.yahoo.com/nhl/players/5409"/>
    <hyperlink ref="B396" r:id="rId793" display="http://sports.yahoo.com/nhl/teams/stl"/>
    <hyperlink ref="A397" r:id="rId794" display="http://sports.yahoo.com/nhl/players/3748"/>
    <hyperlink ref="B397" r:id="rId795" display="http://sports.yahoo.com/nhl/teams/mon"/>
    <hyperlink ref="A398" r:id="rId796" display="http://sports.yahoo.com/nhl/players/2528"/>
    <hyperlink ref="B398" r:id="rId797" display="http://sports.yahoo.com/nhl/teams/los"/>
    <hyperlink ref="A399" r:id="rId798" display="http://sports.yahoo.com/nhl/players/4257"/>
    <hyperlink ref="B399" r:id="rId799" display="http://sports.yahoo.com/nhl/teams/pit"/>
    <hyperlink ref="A400" r:id="rId800" display="http://sports.yahoo.com/nhl/players/5749"/>
    <hyperlink ref="B400" r:id="rId801" display="http://sports.yahoo.com/nhl/teams/njd"/>
    <hyperlink ref="A401" r:id="rId802" display="http://sports.yahoo.com/nhl/players/4966"/>
    <hyperlink ref="B401" r:id="rId803" display="http://sports.yahoo.com/nhl/teams/bos"/>
    <hyperlink ref="A402" r:id="rId804" display="http://sports.yahoo.com/nhl/players/5642"/>
    <hyperlink ref="B402" r:id="rId805" display="http://sports.yahoo.com/nhl/teams/mon"/>
    <hyperlink ref="A403" r:id="rId806" display="http://sports.yahoo.com/nhl/players/5696"/>
    <hyperlink ref="B403" r:id="rId807" display="http://sports.yahoo.com/nhl/teams/was"/>
    <hyperlink ref="A404" r:id="rId808" display="http://sports.yahoo.com/nhl/players/4766"/>
    <hyperlink ref="B404" r:id="rId809" display="http://sports.yahoo.com/nhl/teams/tor"/>
    <hyperlink ref="A405" r:id="rId810" display="http://sports.yahoo.com/nhl/players/3292"/>
    <hyperlink ref="B405" r:id="rId811" display="http://sports.yahoo.com/nhl/teams/cgy"/>
    <hyperlink ref="A406" r:id="rId812" display="http://sports.yahoo.com/nhl/players/5405"/>
    <hyperlink ref="B406" r:id="rId813" display="http://sports.yahoo.com/nhl/teams/cob"/>
    <hyperlink ref="A407" r:id="rId814" display="http://sports.yahoo.com/nhl/players/4958"/>
    <hyperlink ref="B407" r:id="rId815" display="http://sports.yahoo.com/nhl/teams/chi"/>
    <hyperlink ref="A408" r:id="rId816" display="http://sports.yahoo.com/nhl/players/5371"/>
    <hyperlink ref="B408" r:id="rId817" display="http://sports.yahoo.com/nhl/teams/min"/>
    <hyperlink ref="A409" r:id="rId818" display="http://sports.yahoo.com/nhl/players/4194"/>
    <hyperlink ref="B409" r:id="rId819" display="http://sports.yahoo.com/nhl/teams/nyi"/>
    <hyperlink ref="A410" r:id="rId820" display="http://sports.yahoo.com/nhl/players/4286"/>
    <hyperlink ref="B410" r:id="rId821" display="http://sports.yahoo.com/nhl/teams/edm"/>
    <hyperlink ref="A411" r:id="rId822" display="http://sports.yahoo.com/nhl/players/5189"/>
    <hyperlink ref="B411" r:id="rId823" display="http://sports.yahoo.com/nhl/teams/nas"/>
    <hyperlink ref="A412" r:id="rId824" display="http://sports.yahoo.com/nhl/players/3361"/>
    <hyperlink ref="B412" r:id="rId825" display="http://sports.yahoo.com/nhl/teams/los"/>
    <hyperlink ref="A413" r:id="rId826" display="http://sports.yahoo.com/nhl/players/5606"/>
    <hyperlink ref="B413" r:id="rId827" display="http://sports.yahoo.com/nhl/teams/dal"/>
    <hyperlink ref="A414" r:id="rId828" display="http://sports.yahoo.com/nhl/players/4693"/>
    <hyperlink ref="B414" r:id="rId829" display="http://sports.yahoo.com/nhl/teams/van"/>
    <hyperlink ref="A415" r:id="rId830" display="http://sports.yahoo.com/nhl/players/5388"/>
    <hyperlink ref="B415" r:id="rId831" display="http://sports.yahoo.com/nhl/teams/tam"/>
    <hyperlink ref="A416" r:id="rId832" display="http://sports.yahoo.com/nhl/players/5029"/>
    <hyperlink ref="B416" r:id="rId833" display="http://sports.yahoo.com/nhl/teams/buf"/>
    <hyperlink ref="A417" r:id="rId834" display="http://sports.yahoo.com/nhl/players/5710"/>
    <hyperlink ref="B417" r:id="rId835" display="http://sports.yahoo.com/nhl/teams/los"/>
    <hyperlink ref="A418" r:id="rId836" display="http://sports.yahoo.com/nhl/players/5687"/>
    <hyperlink ref="B418" r:id="rId837" display="http://sports.yahoo.com/nhl/teams/min"/>
    <hyperlink ref="A419" r:id="rId838" display="http://sports.yahoo.com/nhl/players/3741"/>
    <hyperlink ref="B419" r:id="rId839" display="http://sports.yahoo.com/nhl/teams/cob"/>
    <hyperlink ref="A420" r:id="rId840" display="http://sports.yahoo.com/nhl/players/3133"/>
    <hyperlink ref="B420" r:id="rId841" display="http://sports.yahoo.com/nhl/teams/njd"/>
    <hyperlink ref="A421" r:id="rId842" display="http://sports.yahoo.com/nhl/players/2852"/>
    <hyperlink ref="B421" r:id="rId843" display="http://sports.yahoo.com/nhl/teams/phi"/>
    <hyperlink ref="A422" r:id="rId844" display="http://sports.yahoo.com/nhl/players/4874"/>
    <hyperlink ref="B422" r:id="rId845" display="http://sports.yahoo.com/nhl/teams/phi"/>
    <hyperlink ref="A423" r:id="rId846" display="http://sports.yahoo.com/nhl/players/4765"/>
    <hyperlink ref="B423" r:id="rId847" display="http://sports.yahoo.com/nhl/teams/los"/>
    <hyperlink ref="A424" r:id="rId848" display="http://sports.yahoo.com/nhl/players/3132"/>
    <hyperlink ref="B424" r:id="rId849" display="http://sports.yahoo.com/nhl/teams/fla"/>
    <hyperlink ref="A425" r:id="rId850" display="http://sports.yahoo.com/nhl/players/2891"/>
    <hyperlink ref="B425" r:id="rId851" display="http://sports.yahoo.com/nhl/teams/cob"/>
    <hyperlink ref="A426" r:id="rId852" display="http://sports.yahoo.com/nhl/players/5345"/>
    <hyperlink ref="B426" r:id="rId853" display="http://sports.yahoo.com/nhl/teams/buf"/>
    <hyperlink ref="A427" r:id="rId854" display="http://sports.yahoo.com/nhl/players/5995"/>
    <hyperlink ref="B427" r:id="rId855" display="http://sports.yahoo.com/nhl/teams/buf"/>
    <hyperlink ref="A428" r:id="rId856" display="http://sports.yahoo.com/nhl/players/5312"/>
    <hyperlink ref="B428" r:id="rId857" display="http://sports.yahoo.com/nhl/teams/car"/>
    <hyperlink ref="A429" r:id="rId858" display="http://sports.yahoo.com/nhl/players/2026"/>
    <hyperlink ref="B429" r:id="rId859" display="http://sports.yahoo.com/nhl/teams/stl"/>
    <hyperlink ref="A430" r:id="rId860" display="http://sports.yahoo.com/nhl/players/3912"/>
    <hyperlink ref="B430" r:id="rId861" display="http://sports.yahoo.com/nhl/teams/det"/>
    <hyperlink ref="A431" r:id="rId862" display="http://sports.yahoo.com/nhl/players/5996"/>
    <hyperlink ref="B431" r:id="rId863" display="http://sports.yahoo.com/nhl/teams/ott"/>
    <hyperlink ref="A432" r:id="rId864" display="http://sports.yahoo.com/nhl/players/2529"/>
    <hyperlink ref="B432" r:id="rId865" display="http://sports.yahoo.com/nhl/teams/phi"/>
    <hyperlink ref="A433" r:id="rId866" display="http://sports.yahoo.com/nhl/players/3283"/>
    <hyperlink ref="B433" r:id="rId867" display="http://sports.yahoo.com/nhl/teams/col"/>
    <hyperlink ref="A434" r:id="rId868" display="http://sports.yahoo.com/nhl/players/5946"/>
    <hyperlink ref="B434" r:id="rId869" display="http://sports.yahoo.com/nhl/teams/min"/>
    <hyperlink ref="A435" r:id="rId870" display="http://sports.yahoo.com/nhl/players/4386"/>
    <hyperlink ref="B435" r:id="rId871" display="http://sports.yahoo.com/nhl/teams/col"/>
    <hyperlink ref="A436" r:id="rId872" display="http://sports.yahoo.com/nhl/players/4886"/>
    <hyperlink ref="B436" r:id="rId873" display="http://sports.yahoo.com/nhl/teams/san"/>
    <hyperlink ref="A437" r:id="rId874" display="http://sports.yahoo.com/nhl/players/4697"/>
    <hyperlink ref="B437" r:id="rId875" display="http://sports.yahoo.com/nhl/teams/chi"/>
    <hyperlink ref="A438" r:id="rId876" display="http://sports.yahoo.com/nhl/players/3055"/>
    <hyperlink ref="B438" r:id="rId877" display="http://sports.yahoo.com/nhl/teams/nas"/>
    <hyperlink ref="A439" r:id="rId878" display="http://sports.yahoo.com/nhl/players/3411"/>
    <hyperlink ref="B439" r:id="rId879" display="http://sports.yahoo.com/nhl/teams/wpg"/>
    <hyperlink ref="A440" r:id="rId880" display="http://sports.yahoo.com/nhl/players/3655"/>
    <hyperlink ref="B440" r:id="rId881" display="http://sports.yahoo.com/nhl/teams/ari"/>
    <hyperlink ref="A441" r:id="rId882" display="http://sports.yahoo.com/nhl/players/5349"/>
    <hyperlink ref="B441" r:id="rId883" display="http://sports.yahoo.com/nhl/teams/mon"/>
    <hyperlink ref="A442" r:id="rId884" display="http://sports.yahoo.com/nhl/players/3660"/>
    <hyperlink ref="B442" r:id="rId885" display="http://sports.yahoo.com/nhl/teams/buf"/>
    <hyperlink ref="A443" r:id="rId886" display="http://sports.yahoo.com/nhl/players/4754"/>
    <hyperlink ref="B443" r:id="rId887" display="http://sports.yahoo.com/nhl/teams/nyi"/>
    <hyperlink ref="A444" r:id="rId888" display="http://sports.yahoo.com/nhl/players/3843"/>
    <hyperlink ref="B444" r:id="rId889" display="http://sports.yahoo.com/nhl/teams/van"/>
    <hyperlink ref="A445" r:id="rId890" display="http://sports.yahoo.com/nhl/players/3123"/>
    <hyperlink ref="B445" r:id="rId891" display="http://sports.yahoo.com/nhl/teams/bos"/>
    <hyperlink ref="A446" r:id="rId892" display="http://sports.yahoo.com/nhl/players/3359"/>
    <hyperlink ref="B446" r:id="rId893" display="http://sports.yahoo.com/nhl/teams/wpg"/>
    <hyperlink ref="A447" r:id="rId894" display="http://sports.yahoo.com/nhl/players/3632"/>
    <hyperlink ref="B447" r:id="rId895" display="http://sports.yahoo.com/nhl/teams/cob"/>
    <hyperlink ref="A448" r:id="rId896" display="http://sports.yahoo.com/nhl/players/3768"/>
    <hyperlink ref="B448" r:id="rId897" display="http://sports.yahoo.com/nhl/teams/phi"/>
    <hyperlink ref="A449" r:id="rId898" display="http://sports.yahoo.com/nhl/players/1929"/>
    <hyperlink ref="B449" r:id="rId899" display="http://sports.yahoo.com/nhl/teams/edm"/>
    <hyperlink ref="A450" r:id="rId900" display="http://sports.yahoo.com/nhl/players/4475"/>
    <hyperlink ref="B450" r:id="rId901" display="http://sports.yahoo.com/nhl/teams/phi"/>
    <hyperlink ref="A451" r:id="rId902" display="http://sports.yahoo.com/nhl/players/4132"/>
    <hyperlink ref="B451" r:id="rId903" display="http://sports.yahoo.com/nhl/teams/mon"/>
    <hyperlink ref="A452" r:id="rId904" display="http://sports.yahoo.com/nhl/players/5130"/>
    <hyperlink ref="B452" r:id="rId905" display="http://sports.yahoo.com/nhl/teams/nyr"/>
    <hyperlink ref="A453" r:id="rId906" display="http://sports.yahoo.com/nhl/players/3233"/>
    <hyperlink ref="B453" r:id="rId907" display="http://sports.yahoo.com/nhl/teams/pit"/>
    <hyperlink ref="A454" r:id="rId908" display="http://sports.yahoo.com/nhl/players/5011"/>
    <hyperlink ref="B454" r:id="rId909" display="http://sports.yahoo.com/nhl/teams/njd"/>
    <hyperlink ref="A455" r:id="rId910" display="http://sports.yahoo.com/nhl/players/1189"/>
    <hyperlink ref="B455" r:id="rId911" display="http://sports.yahoo.com/nhl/teams/mon"/>
    <hyperlink ref="A456" r:id="rId912" display="http://sports.yahoo.com/nhl/players/3895"/>
    <hyperlink ref="B456" r:id="rId913" display="http://sports.yahoo.com/nhl/teams/nyi"/>
    <hyperlink ref="A457" r:id="rId914" display="http://sports.yahoo.com/nhl/players/2124"/>
    <hyperlink ref="B457" r:id="rId915" display="http://sports.yahoo.com/nhl/teams/njd"/>
    <hyperlink ref="A458" r:id="rId916" display="http://sports.yahoo.com/nhl/players/4517"/>
    <hyperlink ref="B458" r:id="rId917" display="http://sports.yahoo.com/nhl/teams/pit"/>
    <hyperlink ref="A459" r:id="rId918" display="http://sports.yahoo.com/nhl/players/4862"/>
    <hyperlink ref="B459" r:id="rId919" display="http://sports.yahoo.com/nhl/teams/ott"/>
    <hyperlink ref="A460" r:id="rId920" display="http://sports.yahoo.com/nhl/players/5922"/>
    <hyperlink ref="B460" r:id="rId921" display="http://sports.yahoo.com/nhl/teams/tam"/>
    <hyperlink ref="A461" r:id="rId922" display="http://sports.yahoo.com/nhl/players/4883"/>
    <hyperlink ref="B461" r:id="rId923" display="http://sports.yahoo.com/nhl/teams/nas"/>
    <hyperlink ref="A462" r:id="rId924" display="http://sports.yahoo.com/nhl/players/2845"/>
    <hyperlink ref="B462" r:id="rId925" display="http://sports.yahoo.com/nhl/teams/njd"/>
    <hyperlink ref="A463" r:id="rId926" display="http://sports.yahoo.com/nhl/players/3967"/>
    <hyperlink ref="B463" r:id="rId927" display="http://sports.yahoo.com/nhl/teams/col"/>
    <hyperlink ref="A464" r:id="rId928" display="http://sports.yahoo.com/nhl/players/4744"/>
    <hyperlink ref="B464" r:id="rId929" display="http://sports.yahoo.com/nhl/teams/njd"/>
    <hyperlink ref="A465" r:id="rId930" display="http://sports.yahoo.com/nhl/players/4138"/>
    <hyperlink ref="B465" r:id="rId931" display="http://sports.yahoo.com/nhl/teams/cob"/>
    <hyperlink ref="A466" r:id="rId932" display="http://sports.yahoo.com/nhl/players/4963"/>
    <hyperlink ref="B466" r:id="rId933" display="http://sports.yahoo.com/nhl/teams/fla"/>
    <hyperlink ref="A467" r:id="rId934" display="http://sports.yahoo.com/nhl/players/3796"/>
    <hyperlink ref="B467" r:id="rId935" display="http://sports.yahoo.com/nhl/teams/det"/>
    <hyperlink ref="A468" r:id="rId936" display="http://sports.yahoo.com/nhl/players/1963"/>
    <hyperlink ref="B468" r:id="rId937" display="http://sports.yahoo.com/nhl/teams/los"/>
    <hyperlink ref="A469" r:id="rId938" display="http://sports.yahoo.com/nhl/players/4017"/>
    <hyperlink ref="B469" r:id="rId939" display="http://sports.yahoo.com/nhl/teams/tor"/>
    <hyperlink ref="A470" r:id="rId940" display="http://sports.yahoo.com/nhl/players/3883"/>
    <hyperlink ref="B470" r:id="rId941" display="http://sports.yahoo.com/nhl/teams/det"/>
    <hyperlink ref="A471" r:id="rId942" display="http://sports.yahoo.com/nhl/players/4483"/>
    <hyperlink ref="B471" r:id="rId943" display="http://sports.yahoo.com/nhl/teams/buf"/>
    <hyperlink ref="A472" r:id="rId944" display="http://sports.yahoo.com/nhl/players/3170"/>
    <hyperlink ref="B472" r:id="rId945" display="http://sports.yahoo.com/nhl/teams/edm"/>
    <hyperlink ref="A473" r:id="rId946" display="http://sports.yahoo.com/nhl/players/5373"/>
    <hyperlink ref="B473" r:id="rId947" display="http://sports.yahoo.com/nhl/teams/car"/>
    <hyperlink ref="A474" r:id="rId948" display="http://sports.yahoo.com/nhl/players/1930"/>
    <hyperlink ref="B474" r:id="rId949" display="http://sports.yahoo.com/nhl/teams/chi"/>
    <hyperlink ref="A475" r:id="rId950" display="http://sports.yahoo.com/nhl/players/3972"/>
    <hyperlink ref="B475" r:id="rId951" display="http://sports.yahoo.com/nhl/teams/min"/>
    <hyperlink ref="A476" r:id="rId952" display="http://sports.yahoo.com/nhl/players/3995"/>
    <hyperlink ref="B476" r:id="rId953" display="http://sports.yahoo.com/nhl/teams/nyi"/>
    <hyperlink ref="A477" r:id="rId954" display="http://sports.yahoo.com/nhl/players/3081"/>
    <hyperlink ref="B477" r:id="rId955" display="http://sports.yahoo.com/nhl/teams/wpg"/>
    <hyperlink ref="A478" r:id="rId956" display="http://sports.yahoo.com/nhl/players/1949"/>
    <hyperlink ref="B478" r:id="rId957" display="http://sports.yahoo.com/nhl/teams/col"/>
    <hyperlink ref="A479" r:id="rId958" display="http://sports.yahoo.com/nhl/players/3109"/>
    <hyperlink ref="B479" r:id="rId959" display="http://sports.yahoo.com/nhl/teams/bos"/>
    <hyperlink ref="A480" r:id="rId960" display="http://sports.yahoo.com/nhl/players/3103"/>
    <hyperlink ref="B480" r:id="rId961" display="http://sports.yahoo.com/nhl/teams/stl"/>
    <hyperlink ref="A481" r:id="rId962" display="http://sports.yahoo.com/nhl/players/4266"/>
    <hyperlink ref="B481" r:id="rId963" display="http://sports.yahoo.com/nhl/teams/det"/>
    <hyperlink ref="A482" r:id="rId964" display="http://sports.yahoo.com/nhl/players/6365"/>
    <hyperlink ref="B482" r:id="rId965" display="http://sports.yahoo.com/nhl/teams/phi"/>
    <hyperlink ref="A483" r:id="rId966" display="http://sports.yahoo.com/nhl/players/4860"/>
    <hyperlink ref="B483" r:id="rId967" display="http://sports.yahoo.com/nhl/teams/ott"/>
    <hyperlink ref="A484" r:id="rId968" display="http://sports.yahoo.com/nhl/players/4071"/>
    <hyperlink ref="B484" r:id="rId969" display="http://sports.yahoo.com/nhl/teams/col"/>
    <hyperlink ref="A485" r:id="rId970" display="http://sports.yahoo.com/nhl/players/6578"/>
    <hyperlink ref="B485" r:id="rId971" display="http://sports.yahoo.com/nhl/teams/col"/>
    <hyperlink ref="A486" r:id="rId972" display="http://sports.yahoo.com/nhl/players/3961"/>
    <hyperlink ref="B486" r:id="rId973" display="http://sports.yahoo.com/nhl/teams/car"/>
    <hyperlink ref="A487" r:id="rId974" display="http://sports.yahoo.com/nhl/players/6190"/>
    <hyperlink ref="B487" r:id="rId975" display="http://sports.yahoo.com/nhl/teams/van"/>
    <hyperlink ref="A488" r:id="rId976" display="http://sports.yahoo.com/nhl/players/5241"/>
    <hyperlink ref="B488" r:id="rId977" display="http://sports.yahoo.com/nhl/teams/edm"/>
    <hyperlink ref="A489" r:id="rId978" display="http://sports.yahoo.com/nhl/players/3735"/>
    <hyperlink ref="B489" r:id="rId979" display="http://sports.yahoo.com/nhl/teams/ari"/>
    <hyperlink ref="A490" r:id="rId980" display="http://sports.yahoo.com/nhl/players/3217"/>
    <hyperlink ref="B490" r:id="rId981" display="http://sports.yahoo.com/nhl/teams/stl"/>
    <hyperlink ref="A491" r:id="rId982" display="http://sports.yahoo.com/nhl/players/3268"/>
    <hyperlink ref="B491" r:id="rId983" display="http://sports.yahoo.com/nhl/teams/mon"/>
    <hyperlink ref="A492" r:id="rId984" display="http://sports.yahoo.com/nhl/players/3274"/>
    <hyperlink ref="B492" r:id="rId985" display="http://sports.yahoo.com/nhl/teams/bos"/>
    <hyperlink ref="A493" r:id="rId986" display="http://sports.yahoo.com/nhl/players/4980"/>
    <hyperlink ref="B493" r:id="rId987" display="http://sports.yahoo.com/nhl/teams/pit"/>
    <hyperlink ref="A494" r:id="rId988" display="http://sports.yahoo.com/nhl/players/1737"/>
    <hyperlink ref="B494" r:id="rId989" display="http://sports.yahoo.com/nhl/teams/col"/>
    <hyperlink ref="A495" r:id="rId990" display="http://sports.yahoo.com/nhl/players/3120"/>
    <hyperlink ref="B495" r:id="rId991" display="http://sports.yahoo.com/nhl/teams/nas"/>
    <hyperlink ref="A496" r:id="rId992" display="http://sports.yahoo.com/nhl/players/4323"/>
    <hyperlink ref="B496" r:id="rId993" display="http://sports.yahoo.com/nhl/teams/phi"/>
    <hyperlink ref="A497" r:id="rId994" display="http://sports.yahoo.com/nhl/players/6290"/>
    <hyperlink ref="B497" r:id="rId995" display="http://sports.yahoo.com/nhl/teams/san"/>
    <hyperlink ref="A498" r:id="rId996" display="http://sports.yahoo.com/nhl/players/4692"/>
    <hyperlink ref="B498" r:id="rId997" display="http://sports.yahoo.com/nhl/teams/nyi"/>
    <hyperlink ref="A499" r:id="rId998" display="http://sports.yahoo.com/nhl/players/4186"/>
    <hyperlink ref="B499" r:id="rId999" display="http://sports.yahoo.com/nhl/teams/stl"/>
    <hyperlink ref="A500" r:id="rId1000" display="http://sports.yahoo.com/nhl/players/4094"/>
    <hyperlink ref="B500" r:id="rId1001" display="http://sports.yahoo.com/nhl/teams/phi"/>
    <hyperlink ref="A501" r:id="rId1002" display="http://sports.yahoo.com/nhl/players/2588"/>
    <hyperlink ref="B501" r:id="rId1003" display="http://sports.yahoo.com/nhl/teams/stl"/>
    <hyperlink ref="A502" r:id="rId1004" display="http://sports.yahoo.com/nhl/players/4675"/>
    <hyperlink ref="B502" r:id="rId1005" display="http://sports.yahoo.com/nhl/teams/stl"/>
    <hyperlink ref="A503" r:id="rId1006" display="http://sports.yahoo.com/nhl/players/5261"/>
    <hyperlink ref="B503" r:id="rId1007" display="http://sports.yahoo.com/nhl/teams/ott"/>
    <hyperlink ref="A504" r:id="rId1008" display="http://sports.yahoo.com/nhl/players/1792"/>
    <hyperlink ref="B504" r:id="rId1009" display="http://sports.yahoo.com/nhl/teams/tor"/>
    <hyperlink ref="A505" r:id="rId1010" display="http://sports.yahoo.com/nhl/players/4270"/>
    <hyperlink ref="B505" r:id="rId1011" display="http://sports.yahoo.com/nhl/teams/nyr"/>
    <hyperlink ref="A506" r:id="rId1012" display="http://sports.yahoo.com/nhl/players/3438"/>
    <hyperlink ref="B506" r:id="rId1013" display="http://sports.yahoo.com/nhl/teams/pit"/>
    <hyperlink ref="A507" r:id="rId1014" display="http://sports.yahoo.com/nhl/players/3487"/>
    <hyperlink ref="B507" r:id="rId1015" display="http://sports.yahoo.com/nhl/teams/cgy"/>
    <hyperlink ref="A508" r:id="rId1016" display="http://sports.yahoo.com/nhl/players/4701"/>
    <hyperlink ref="B508" r:id="rId1017" display="http://sports.yahoo.com/nhl/teams/ari"/>
    <hyperlink ref="A509" r:id="rId1018" display="http://sports.yahoo.com/nhl/players/4700"/>
    <hyperlink ref="B509" r:id="rId1019" display="http://sports.yahoo.com/nhl/teams/njd"/>
    <hyperlink ref="A510" r:id="rId1020" display="http://sports.yahoo.com/nhl/players/3346"/>
    <hyperlink ref="B510" r:id="rId1021" display="http://sports.yahoo.com/nhl/teams/tam"/>
    <hyperlink ref="A511" r:id="rId1022" display="http://sports.yahoo.com/nhl/players/4495"/>
    <hyperlink ref="B511" r:id="rId1023" display="http://sports.yahoo.com/nhl/teams/van"/>
    <hyperlink ref="A512" r:id="rId1024" display="http://sports.yahoo.com/nhl/players/2726"/>
    <hyperlink ref="B512" r:id="rId1025" display="http://sports.yahoo.com/nhl/teams/pit"/>
    <hyperlink ref="A513" r:id="rId1026" display="http://sports.yahoo.com/nhl/players/3526"/>
    <hyperlink ref="B513" r:id="rId1027" display="http://sports.yahoo.com/nhl/teams/ott"/>
    <hyperlink ref="A514" r:id="rId1028" display="http://sports.yahoo.com/nhl/players/2795"/>
    <hyperlink ref="B514" r:id="rId1029" display="http://sports.yahoo.com/nhl/teams/fla"/>
    <hyperlink ref="A515" r:id="rId1030" display="http://sports.yahoo.com/nhl/players/4828"/>
    <hyperlink ref="B515" r:id="rId1031" display="http://sports.yahoo.com/nhl/teams/van"/>
    <hyperlink ref="A516" r:id="rId1032" display="http://sports.yahoo.com/nhl/players/5560"/>
    <hyperlink ref="B516" r:id="rId1033" display="http://sports.yahoo.com/nhl/teams/dal"/>
    <hyperlink ref="A517" r:id="rId1034" display="http://sports.yahoo.com/nhl/players/1485"/>
    <hyperlink ref="B517" r:id="rId1035" display="http://sports.yahoo.com/nhl/teams/njd"/>
    <hyperlink ref="A518" r:id="rId1036" display="http://sports.yahoo.com/nhl/players/5335"/>
    <hyperlink ref="B518" r:id="rId1037" display="http://sports.yahoo.com/nhl/teams/nas"/>
    <hyperlink ref="A519" r:id="rId1038" display="http://sports.yahoo.com/nhl/players/1573"/>
    <hyperlink ref="B519" r:id="rId1039" display="http://sports.yahoo.com/nhl/teams/stl"/>
    <hyperlink ref="A520" r:id="rId1040" display="http://sports.yahoo.com/nhl/players/5821"/>
    <hyperlink ref="B520" r:id="rId1041" display="http://sports.yahoo.com/nhl/teams/bos"/>
    <hyperlink ref="A521" r:id="rId1042" display="http://sports.yahoo.com/nhl/players/4447"/>
    <hyperlink ref="B521" r:id="rId1043" display="http://sports.yahoo.com/nhl/teams/car"/>
    <hyperlink ref="A522" r:id="rId1044" display="http://sports.yahoo.com/nhl/players/1765"/>
    <hyperlink ref="B522" r:id="rId1045" display="http://sports.yahoo.com/nhl/teams/min"/>
    <hyperlink ref="A523" r:id="rId1046" display="http://sports.yahoo.com/nhl/players/4025"/>
    <hyperlink ref="B523" r:id="rId1047" display="http://sports.yahoo.com/nhl/teams/chi"/>
    <hyperlink ref="A524" r:id="rId1048" display="http://sports.yahoo.com/nhl/players/2571"/>
    <hyperlink ref="B524" r:id="rId1049" display="http://sports.yahoo.com/nhl/teams/car"/>
    <hyperlink ref="A525" r:id="rId1050" display="http://sports.yahoo.com/nhl/players/2837"/>
    <hyperlink ref="B525" r:id="rId1051" display="http://sports.yahoo.com/nhl/teams/pit"/>
    <hyperlink ref="A526" r:id="rId1052" display="http://sports.yahoo.com/nhl/players/5251"/>
    <hyperlink ref="B526" r:id="rId1053" display="http://sports.yahoo.com/nhl/teams/san"/>
    <hyperlink ref="A527" r:id="rId1054" display="http://sports.yahoo.com/nhl/players/4989"/>
    <hyperlink ref="B527" r:id="rId1055" display="http://sports.yahoo.com/nhl/teams/ana"/>
    <hyperlink ref="A528" r:id="rId1056" display="http://sports.yahoo.com/nhl/players/4954"/>
    <hyperlink ref="B528" r:id="rId1057" display="http://sports.yahoo.com/nhl/teams/edm"/>
    <hyperlink ref="A529" r:id="rId1058" display="http://sports.yahoo.com/nhl/players/6348"/>
    <hyperlink ref="B529" r:id="rId1059" display="http://sports.yahoo.com/nhl/teams/min"/>
    <hyperlink ref="A530" r:id="rId1060" display="http://sports.yahoo.com/nhl/players/4645"/>
    <hyperlink ref="B530" r:id="rId1061" display="http://sports.yahoo.com/nhl/teams/nas"/>
    <hyperlink ref="A531" r:id="rId1062" display="http://sports.yahoo.com/nhl/players/3269"/>
    <hyperlink ref="B531" r:id="rId1063" display="http://sports.yahoo.com/nhl/teams/tor"/>
    <hyperlink ref="A532" r:id="rId1064" display="http://sports.yahoo.com/nhl/players/4912"/>
    <hyperlink ref="B532" r:id="rId1065" display="http://sports.yahoo.com/nhl/teams/chi"/>
    <hyperlink ref="A533" r:id="rId1066" display="http://sports.yahoo.com/nhl/players/2856"/>
    <hyperlink ref="B533" r:id="rId1067" display="http://sports.yahoo.com/nhl/teams/stl"/>
    <hyperlink ref="A534" r:id="rId1068" display="http://sports.yahoo.com/nhl/players/3271"/>
    <hyperlink ref="B534" r:id="rId1069" display="http://sports.yahoo.com/nhl/teams/los"/>
    <hyperlink ref="A535" r:id="rId1070" display="http://sports.yahoo.com/nhl/players/5221"/>
    <hyperlink ref="B535" r:id="rId1071" display="http://sports.yahoo.com/nhl/teams/los"/>
    <hyperlink ref="A536" r:id="rId1072" display="http://sports.yahoo.com/nhl/players/6369"/>
    <hyperlink ref="B536" r:id="rId1073" display="http://sports.yahoo.com/nhl/teams/edm"/>
    <hyperlink ref="A537" r:id="rId1074" display="http://sports.yahoo.com/nhl/players/5641"/>
    <hyperlink ref="B537" r:id="rId1075" display="http://sports.yahoo.com/nhl/teams/tam"/>
    <hyperlink ref="A538" r:id="rId1076" display="http://sports.yahoo.com/nhl/players/2859"/>
    <hyperlink ref="B538" r:id="rId1077" display="http://sports.yahoo.com/nhl/teams/was"/>
    <hyperlink ref="A539" r:id="rId1078" display="http://sports.yahoo.com/nhl/players/5378"/>
    <hyperlink ref="B539" r:id="rId1079" display="http://sports.yahoo.com/nhl/teams/mon"/>
    <hyperlink ref="A540" r:id="rId1080" display="http://sports.yahoo.com/nhl/players/5698"/>
    <hyperlink ref="B540" r:id="rId1081" display="http://sports.yahoo.com/nhl/teams/chi"/>
    <hyperlink ref="A541" r:id="rId1082" display="http://sports.yahoo.com/nhl/players/4051"/>
    <hyperlink ref="B541" r:id="rId1083" display="http://sports.yahoo.com/nhl/teams/wpg"/>
    <hyperlink ref="A542" r:id="rId1084" display="http://sports.yahoo.com/nhl/players/4410"/>
    <hyperlink ref="B542" r:id="rId1085" display="http://sports.yahoo.com/nhl/teams/stl"/>
    <hyperlink ref="A543" r:id="rId1086" display="http://sports.yahoo.com/nhl/players/5702"/>
    <hyperlink ref="B543" r:id="rId1087" display="http://sports.yahoo.com/nhl/teams/pit"/>
    <hyperlink ref="A544" r:id="rId1088" display="http://sports.yahoo.com/nhl/players/4615"/>
    <hyperlink ref="B544" r:id="rId1089" display="http://sports.yahoo.com/nhl/teams/los"/>
    <hyperlink ref="A545" r:id="rId1090" display="http://sports.yahoo.com/nhl/players/3239"/>
    <hyperlink ref="B545" r:id="rId1091" display="http://sports.yahoo.com/nhl/teams/dal"/>
    <hyperlink ref="A546" r:id="rId1092" display="http://sports.yahoo.com/nhl/players/4895"/>
    <hyperlink ref="B546" r:id="rId1093" display="http://sports.yahoo.com/nhl/teams/cob"/>
    <hyperlink ref="A547" r:id="rId1094" display="http://sports.yahoo.com/nhl/players/5412"/>
    <hyperlink ref="B547" r:id="rId1095" display="http://sports.yahoo.com/nhl/teams/dal"/>
    <hyperlink ref="A548" r:id="rId1096" display="http://sports.yahoo.com/nhl/players/3824"/>
    <hyperlink ref="B548" r:id="rId1097" display="http://sports.yahoo.com/nhl/teams/buf"/>
    <hyperlink ref="A549" r:id="rId1098" display="http://sports.yahoo.com/nhl/players/3013"/>
    <hyperlink ref="B549" r:id="rId1099" display="http://sports.yahoo.com/nhl/teams/wpg"/>
    <hyperlink ref="A550" r:id="rId1100" display="http://sports.yahoo.com/nhl/players/4632"/>
    <hyperlink ref="B550" r:id="rId1101" display="http://sports.yahoo.com/nhl/teams/ari"/>
    <hyperlink ref="A551" r:id="rId1102" display="http://sports.yahoo.com/nhl/players/3926"/>
    <hyperlink ref="B551" r:id="rId1103" display="http://sports.yahoo.com/nhl/teams/tor"/>
    <hyperlink ref="A552" r:id="rId1104" display="http://sports.yahoo.com/nhl/players/4650"/>
    <hyperlink ref="B552" r:id="rId1105" display="http://sports.yahoo.com/nhl/teams/edm"/>
    <hyperlink ref="A553" r:id="rId1106" display="http://sports.yahoo.com/nhl/players/4689"/>
    <hyperlink ref="B553" r:id="rId1107" display="http://sports.yahoo.com/nhl/teams/ott"/>
    <hyperlink ref="A554" r:id="rId1108" display="http://sports.yahoo.com/nhl/players/3809"/>
    <hyperlink ref="B554" r:id="rId1109" display="http://sports.yahoo.com/nhl/teams/ana"/>
    <hyperlink ref="A555" r:id="rId1110" display="http://sports.yahoo.com/nhl/players/2853"/>
    <hyperlink ref="B555" r:id="rId1111" display="http://sports.yahoo.com/nhl/teams/phi"/>
    <hyperlink ref="A556" r:id="rId1112" display="http://sports.yahoo.com/nhl/players/5375"/>
    <hyperlink ref="B556" r:id="rId1113" display="http://sports.yahoo.com/nhl/teams/dal"/>
    <hyperlink ref="A557" r:id="rId1114" display="http://sports.yahoo.com/nhl/players/4996"/>
    <hyperlink ref="B557" r:id="rId1115" display="http://sports.yahoo.com/nhl/teams/cob"/>
    <hyperlink ref="A558" r:id="rId1116" display="http://sports.yahoo.com/nhl/players/3784"/>
    <hyperlink ref="B558" r:id="rId1117" display="http://sports.yahoo.com/nhl/teams/cob"/>
    <hyperlink ref="A559" r:id="rId1118" display="http://sports.yahoo.com/nhl/players/5263"/>
    <hyperlink ref="B559" r:id="rId1119" display="http://sports.yahoo.com/nhl/teams/wpg"/>
    <hyperlink ref="A560" r:id="rId1120" display="http://sports.yahoo.com/nhl/players/4758"/>
    <hyperlink ref="B560" r:id="rId1121" display="http://sports.yahoo.com/nhl/teams/stl"/>
    <hyperlink ref="A561" r:id="rId1122" display="http://sports.yahoo.com/nhl/players/5127"/>
    <hyperlink ref="B561" r:id="rId1123" display="http://sports.yahoo.com/nhl/teams/cob"/>
    <hyperlink ref="A562" r:id="rId1124" display="http://sports.yahoo.com/nhl/players/4478"/>
    <hyperlink ref="B562" r:id="rId1125" display="http://sports.yahoo.com/nhl/teams/wpg"/>
    <hyperlink ref="A563" r:id="rId1126" display="http://sports.yahoo.com/nhl/players/4702"/>
    <hyperlink ref="B563" r:id="rId1127" display="http://sports.yahoo.com/nhl/teams/min"/>
    <hyperlink ref="A564" r:id="rId1128" display="http://sports.yahoo.com/nhl/players/2121"/>
    <hyperlink ref="B564" r:id="rId1129" display="http://sports.yahoo.com/nhl/teams/fla"/>
    <hyperlink ref="A565" r:id="rId1130" display="http://sports.yahoo.com/nhl/players/5190"/>
    <hyperlink ref="B565" r:id="rId1131" display="http://sports.yahoo.com/nhl/teams/edm"/>
    <hyperlink ref="A566" r:id="rId1132" display="http://sports.yahoo.com/nhl/players/1979"/>
    <hyperlink ref="B566" r:id="rId1133" display="http://sports.yahoo.com/nhl/teams/tam"/>
    <hyperlink ref="A567" r:id="rId1134" display="http://sports.yahoo.com/nhl/players/5084"/>
    <hyperlink ref="B567" r:id="rId1135" display="http://sports.yahoo.com/nhl/teams/det"/>
    <hyperlink ref="A568" r:id="rId1136" display="http://sports.yahoo.com/nhl/players/3389"/>
    <hyperlink ref="B568" r:id="rId1137" display="http://sports.yahoo.com/nhl/teams/nyi"/>
    <hyperlink ref="A569" r:id="rId1138" display="http://sports.yahoo.com/nhl/players/2607"/>
    <hyperlink ref="B569" r:id="rId1139" display="http://sports.yahoo.com/nhl/teams/fla"/>
    <hyperlink ref="A570" r:id="rId1140" display="http://sports.yahoo.com/nhl/players/4877"/>
    <hyperlink ref="B570" r:id="rId1141" display="http://sports.yahoo.com/nhl/teams/det"/>
    <hyperlink ref="A571" r:id="rId1142" display="http://sports.yahoo.com/nhl/players/5647"/>
    <hyperlink ref="B571" r:id="rId1143" display="http://sports.yahoo.com/nhl/teams/san"/>
    <hyperlink ref="A572" r:id="rId1144" display="http://sports.yahoo.com/nhl/players/3689"/>
    <hyperlink ref="B572" r:id="rId1145" display="http://sports.yahoo.com/nhl/teams/chi"/>
    <hyperlink ref="A573" r:id="rId1146" display="http://sports.yahoo.com/nhl/players/4708"/>
    <hyperlink ref="B573" r:id="rId1147" display="http://sports.yahoo.com/nhl/teams/fla"/>
    <hyperlink ref="A574" r:id="rId1148" display="http://sports.yahoo.com/nhl/players/5070"/>
    <hyperlink ref="B574" r:id="rId1149" display="http://sports.yahoo.com/nhl/teams/ari"/>
    <hyperlink ref="A575" r:id="rId1150" display="http://sports.yahoo.com/nhl/players/5092"/>
    <hyperlink ref="B575" r:id="rId1151" display="http://sports.yahoo.com/nhl/teams/ari"/>
    <hyperlink ref="A576" r:id="rId1152" display="http://sports.yahoo.com/nhl/players/3024"/>
    <hyperlink ref="B576" r:id="rId1153" display="http://sports.yahoo.com/nhl/teams/ana"/>
    <hyperlink ref="A577" r:id="rId1154" display="http://sports.yahoo.com/nhl/players/5688"/>
    <hyperlink ref="B577" r:id="rId1155" display="http://sports.yahoo.com/nhl/teams/pit"/>
    <hyperlink ref="A578" r:id="rId1156" display="http://sports.yahoo.com/nhl/players/2112"/>
    <hyperlink ref="B578" r:id="rId1157" display="http://sports.yahoo.com/nhl/teams/ott"/>
    <hyperlink ref="A579" r:id="rId1158" display="http://sports.yahoo.com/nhl/players/5448"/>
    <hyperlink ref="B579" r:id="rId1159" display="http://sports.yahoo.com/nhl/teams/los"/>
    <hyperlink ref="A580" r:id="rId1160" display="http://sports.yahoo.com/nhl/players/5513"/>
    <hyperlink ref="B580" r:id="rId1161" display="http://sports.yahoo.com/nhl/teams/tam"/>
    <hyperlink ref="A581" r:id="rId1162" display="http://sports.yahoo.com/nhl/players/2475"/>
    <hyperlink ref="B581" r:id="rId1163" display="http://sports.yahoo.com/nhl/teams/pit"/>
    <hyperlink ref="A582" r:id="rId1164" display="http://sports.yahoo.com/nhl/players/4929"/>
    <hyperlink ref="B582" r:id="rId1165" display="http://sports.yahoo.com/nhl/teams/tam"/>
    <hyperlink ref="A583" r:id="rId1166" display="http://sports.yahoo.com/nhl/players/4703"/>
    <hyperlink ref="B583" r:id="rId1167" display="http://sports.yahoo.com/nhl/teams/tor"/>
    <hyperlink ref="A584" r:id="rId1168" display="http://sports.yahoo.com/nhl/players/4832"/>
    <hyperlink ref="B584" r:id="rId1169" display="http://sports.yahoo.com/nhl/teams/min"/>
    <hyperlink ref="A585" r:id="rId1170" display="http://sports.yahoo.com/nhl/players/1781"/>
    <hyperlink ref="B585" r:id="rId1171" display="http://sports.yahoo.com/nhl/teams/san"/>
    <hyperlink ref="A586" r:id="rId1172" display="http://sports.yahoo.com/nhl/players/4713"/>
    <hyperlink ref="B586" r:id="rId1173" display="http://sports.yahoo.com/nhl/teams/nyi"/>
    <hyperlink ref="A587" r:id="rId1174" display="http://sports.yahoo.com/nhl/players/5381"/>
    <hyperlink ref="B587" r:id="rId1175" display="http://sports.yahoo.com/nhl/teams/ari"/>
    <hyperlink ref="A588" r:id="rId1176" display="http://sports.yahoo.com/nhl/players/3816"/>
    <hyperlink ref="B588" r:id="rId1177" display="http://sports.yahoo.com/nhl/teams/bos"/>
    <hyperlink ref="A589" r:id="rId1178" display="http://sports.yahoo.com/nhl/players/5615"/>
    <hyperlink ref="B589" r:id="rId1179" display="http://sports.yahoo.com/nhl/teams/bos"/>
    <hyperlink ref="A590" r:id="rId1180" display="http://sports.yahoo.com/nhl/players/4114"/>
    <hyperlink ref="B590" r:id="rId1181" display="http://sports.yahoo.com/nhl/teams/col"/>
    <hyperlink ref="A591" r:id="rId1182" display="http://sports.yahoo.com/nhl/players/4309"/>
    <hyperlink ref="B591" r:id="rId1183" display="http://sports.yahoo.com/nhl/teams/buf"/>
    <hyperlink ref="A592" r:id="rId1184" display="http://sports.yahoo.com/nhl/players/6060"/>
    <hyperlink ref="B592" r:id="rId1185" display="http://sports.yahoo.com/nhl/teams/ari"/>
    <hyperlink ref="A593" r:id="rId1186" display="http://sports.yahoo.com/nhl/players/5713"/>
    <hyperlink ref="B593" r:id="rId1187" display="http://sports.yahoo.com/nhl/teams/njd"/>
    <hyperlink ref="A594" r:id="rId1188" display="http://sports.yahoo.com/nhl/players/1797"/>
    <hyperlink ref="B594" r:id="rId1189" display="http://sports.yahoo.com/nhl/teams/tor"/>
    <hyperlink ref="A595" r:id="rId1190" display="http://sports.yahoo.com/nhl/players/2564"/>
    <hyperlink ref="B595" r:id="rId1191" display="http://sports.yahoo.com/nhl/teams/nas"/>
    <hyperlink ref="A596" r:id="rId1192" display="http://sports.yahoo.com/nhl/players/5374"/>
    <hyperlink ref="B596" r:id="rId1193" display="http://sports.yahoo.com/nhl/teams/van"/>
    <hyperlink ref="A597" r:id="rId1194" display="http://sports.yahoo.com/nhl/players/5953"/>
    <hyperlink ref="B597" r:id="rId1195" display="http://sports.yahoo.com/nhl/teams/edm"/>
    <hyperlink ref="A598" r:id="rId1196" display="http://sports.yahoo.com/nhl/players/6014"/>
    <hyperlink ref="B598" r:id="rId1197" display="http://sports.yahoo.com/nhl/teams/mon"/>
    <hyperlink ref="A599" r:id="rId1198" display="http://sports.yahoo.com/nhl/players/5692"/>
    <hyperlink ref="B599" r:id="rId1199" display="http://sports.yahoo.com/nhl/teams/buf"/>
    <hyperlink ref="A600" r:id="rId1200" display="http://sports.yahoo.com/nhl/players/5700"/>
    <hyperlink ref="B600" r:id="rId1201" display="http://sports.yahoo.com/nhl/teams/phi"/>
    <hyperlink ref="A601" r:id="rId1202" display="http://sports.yahoo.com/nhl/players/4641"/>
    <hyperlink ref="B601" r:id="rId1203" display="http://sports.yahoo.com/nhl/teams/wpg"/>
    <hyperlink ref="A602" r:id="rId1204" display="http://sports.yahoo.com/nhl/players/4012"/>
    <hyperlink ref="B602" r:id="rId1205" display="http://sports.yahoo.com/nhl/teams/pit"/>
    <hyperlink ref="A603" r:id="rId1206" display="http://sports.yahoo.com/nhl/players/4310"/>
    <hyperlink ref="B603" r:id="rId1207" display="http://sports.yahoo.com/nhl/teams/nyr"/>
    <hyperlink ref="A604" r:id="rId1208" display="http://sports.yahoo.com/nhl/players/3392"/>
    <hyperlink ref="B604" r:id="rId1209" display="http://sports.yahoo.com/nhl/teams/ari"/>
    <hyperlink ref="A605" r:id="rId1210" display="http://sports.yahoo.com/nhl/players/3492"/>
    <hyperlink ref="B605" r:id="rId1211" display="http://sports.yahoo.com/nhl/teams/buf"/>
    <hyperlink ref="A606" r:id="rId1212" display="http://sports.yahoo.com/nhl/players/4490"/>
    <hyperlink ref="B606" r:id="rId1213" display="http://sports.yahoo.com/nhl/teams/car"/>
    <hyperlink ref="A607" r:id="rId1214" display="http://sports.yahoo.com/nhl/players/4160"/>
    <hyperlink ref="B607" r:id="rId1215" display="http://sports.yahoo.com/nhl/teams/col"/>
    <hyperlink ref="A608" r:id="rId1216" display="http://sports.yahoo.com/nhl/players/4748"/>
    <hyperlink ref="B608" r:id="rId1217" display="http://sports.yahoo.com/nhl/teams/phi"/>
    <hyperlink ref="A609" r:id="rId1218" display="http://sports.yahoo.com/nhl/players/4885"/>
    <hyperlink ref="B609" r:id="rId1219" display="http://sports.yahoo.com/nhl/teams/car"/>
    <hyperlink ref="A610" r:id="rId1220" display="http://sports.yahoo.com/nhl/players/4925"/>
    <hyperlink ref="B610" r:id="rId1221" display="http://sports.yahoo.com/nhl/teams/ana"/>
    <hyperlink ref="A611" r:id="rId1222" display="http://sports.yahoo.com/nhl/players/4882"/>
    <hyperlink ref="B611" r:id="rId1223" display="http://sports.yahoo.com/nhl/teams/was"/>
    <hyperlink ref="A612" r:id="rId1224" display="http://sports.yahoo.com/nhl/players/4945"/>
    <hyperlink ref="B612" r:id="rId1225" display="http://sports.yahoo.com/nhl/teams/cob"/>
    <hyperlink ref="A613" r:id="rId1226" display="http://sports.yahoo.com/nhl/players/5627"/>
    <hyperlink ref="B613" r:id="rId1227" display="http://sports.yahoo.com/nhl/teams/buf"/>
    <hyperlink ref="A614" r:id="rId1228" display="http://sports.yahoo.com/nhl/players/4148"/>
    <hyperlink ref="B614" r:id="rId1229" display="http://sports.yahoo.com/nhl/teams/tor"/>
    <hyperlink ref="A615" r:id="rId1230" display="http://sports.yahoo.com/nhl/players/5019"/>
    <hyperlink ref="B615" r:id="rId1231" display="http://sports.yahoo.com/nhl/teams/edm"/>
    <hyperlink ref="A616" r:id="rId1232" display="http://sports.yahoo.com/nhl/players/5423"/>
    <hyperlink ref="B616" r:id="rId1233" display="http://sports.yahoo.com/nhl/teams/ari"/>
    <hyperlink ref="A617" r:id="rId1234" display="http://sports.yahoo.com/nhl/players/5293"/>
    <hyperlink ref="B617" r:id="rId1235" display="http://sports.yahoo.com/nhl/teams/cob"/>
    <hyperlink ref="A618" r:id="rId1236" display="http://sports.yahoo.com/nhl/players/4866"/>
    <hyperlink ref="B618" r:id="rId1237" display="http://sports.yahoo.com/nhl/teams/cgy"/>
    <hyperlink ref="A619" r:id="rId1238" display="http://sports.yahoo.com/nhl/players/4574"/>
    <hyperlink ref="B619" r:id="rId1239" display="http://sports.yahoo.com/nhl/teams/buf"/>
    <hyperlink ref="A620" r:id="rId1240" display="http://sports.yahoo.com/nhl/players/5421"/>
    <hyperlink ref="B620" r:id="rId1241" display="http://sports.yahoo.com/nhl/teams/cob"/>
    <hyperlink ref="A621" r:id="rId1242" display="http://sports.yahoo.com/nhl/players/4391"/>
    <hyperlink ref="B621" r:id="rId1243" display="http://sports.yahoo.com/nhl/teams/car"/>
    <hyperlink ref="A622" r:id="rId1244" display="http://sports.yahoo.com/nhl/players/4152"/>
    <hyperlink ref="B622" r:id="rId1245" display="http://sports.yahoo.com/nhl/teams/cob"/>
    <hyperlink ref="A623" r:id="rId1246" display="http://sports.yahoo.com/nhl/players/5184"/>
    <hyperlink ref="B623" r:id="rId1247" display="http://sports.yahoo.com/nhl/teams/bos"/>
    <hyperlink ref="A624" r:id="rId1248" display="http://sports.yahoo.com/nhl/players/5949"/>
    <hyperlink ref="B624" r:id="rId1249" display="http://sports.yahoo.com/nhl/teams/dal"/>
    <hyperlink ref="A625" r:id="rId1250" display="http://sports.yahoo.com/nhl/players/5106"/>
    <hyperlink ref="B625" r:id="rId1251" display="http://sports.yahoo.com/nhl/teams/cgy"/>
    <hyperlink ref="A626" r:id="rId1252" display="http://sports.yahoo.com/nhl/players/2724"/>
    <hyperlink ref="B626" r:id="rId1253" display="http://sports.yahoo.com/nhl/teams/fla"/>
    <hyperlink ref="A627" r:id="rId1254" display="http://sports.yahoo.com/nhl/players/5044"/>
    <hyperlink ref="B627" r:id="rId1255" display="http://sports.yahoo.com/nhl/teams/mon"/>
    <hyperlink ref="A628" r:id="rId1256" display="http://sports.yahoo.com/nhl/players/5062"/>
    <hyperlink ref="B628" r:id="rId1257" display="http://sports.yahoo.com/nhl/teams/cob"/>
    <hyperlink ref="A629" r:id="rId1258" display="http://sports.yahoo.com/nhl/players/5039"/>
    <hyperlink ref="B629" r:id="rId1259" display="http://sports.yahoo.com/nhl/teams/phi"/>
    <hyperlink ref="A630" r:id="rId1260" display="http://sports.yahoo.com/nhl/players/3874"/>
    <hyperlink ref="B630" r:id="rId1261" display="http://sports.yahoo.com/nhl/teams/njd"/>
    <hyperlink ref="A631" r:id="rId1262" display="http://sports.yahoo.com/nhl/players/4128"/>
    <hyperlink ref="B631" r:id="rId1263" display="http://sports.yahoo.com/nhl/teams/edm"/>
    <hyperlink ref="A632" r:id="rId1264" display="http://sports.yahoo.com/nhl/players/4868"/>
    <hyperlink ref="B632" r:id="rId1265" display="http://sports.yahoo.com/nhl/teams/tor"/>
    <hyperlink ref="A633" r:id="rId1266" display="http://sports.yahoo.com/nhl/players/4858"/>
    <hyperlink ref="B633" r:id="rId1267" display="http://sports.yahoo.com/nhl/teams/fla"/>
    <hyperlink ref="A634" r:id="rId1268" display="http://sports.yahoo.com/nhl/players/2130"/>
    <hyperlink ref="B634" r:id="rId1269" display="http://sports.yahoo.com/nhl/teams/min"/>
    <hyperlink ref="A635" r:id="rId1270" display="http://sports.yahoo.com/nhl/players/3949"/>
    <hyperlink ref="B635" r:id="rId1271" display="http://sports.yahoo.com/nhl/teams/njd"/>
    <hyperlink ref="A636" r:id="rId1272" display="http://sports.yahoo.com/nhl/players/4894"/>
    <hyperlink ref="B636" r:id="rId1273" display="http://sports.yahoo.com/nhl/teams/bos"/>
    <hyperlink ref="A637" r:id="rId1274" display="http://sports.yahoo.com/nhl/players/5330"/>
    <hyperlink ref="B637" r:id="rId1275" display="http://sports.yahoo.com/nhl/teams/cgy"/>
    <hyperlink ref="A638" r:id="rId1276" display="http://sports.yahoo.com/nhl/players/1757"/>
    <hyperlink ref="B638" r:id="rId1277" display="http://sports.yahoo.com/nhl/teams/mon"/>
    <hyperlink ref="A639" r:id="rId1278" display="http://sports.yahoo.com/nhl/players/4782"/>
    <hyperlink ref="B639" r:id="rId1279" display="http://sports.yahoo.com/nhl/teams/van"/>
    <hyperlink ref="A640" r:id="rId1280" display="http://sports.yahoo.com/nhl/players/1920"/>
    <hyperlink ref="B640" r:id="rId1281" display="http://sports.yahoo.com/nhl/teams/bos"/>
    <hyperlink ref="A641" r:id="rId1282" display="http://sports.yahoo.com/nhl/players/2964"/>
    <hyperlink ref="B641" r:id="rId1283" display="http://sports.yahoo.com/nhl/teams/mon"/>
    <hyperlink ref="A642" r:id="rId1284" display="http://sports.yahoo.com/nhl/players/5445"/>
    <hyperlink ref="B642" r:id="rId1285" display="http://sports.yahoo.com/nhl/teams/ari"/>
    <hyperlink ref="A643" r:id="rId1286" display="http://sports.yahoo.com/nhl/players/3493"/>
    <hyperlink ref="B643" r:id="rId1287" display="http://sports.yahoo.com/nhl/teams/njd"/>
    <hyperlink ref="A644" r:id="rId1288" display="http://sports.yahoo.com/nhl/players/4363"/>
    <hyperlink ref="B644" r:id="rId1289" display="http://sports.yahoo.com/nhl/teams/edm"/>
    <hyperlink ref="A645" r:id="rId1290" display="http://sports.yahoo.com/nhl/players/5932"/>
    <hyperlink ref="B645" r:id="rId1291" display="http://sports.yahoo.com/nhl/teams/was"/>
    <hyperlink ref="A646" r:id="rId1292" display="http://sports.yahoo.com/nhl/players/3208"/>
    <hyperlink ref="B646" r:id="rId1293" display="http://sports.yahoo.com/nhl/teams/buf"/>
    <hyperlink ref="A647" r:id="rId1294" display="http://sports.yahoo.com/nhl/players/4110"/>
    <hyperlink ref="B647" r:id="rId1295" display="http://sports.yahoo.com/nhl/teams/san"/>
    <hyperlink ref="A648" r:id="rId1296" display="http://sports.yahoo.com/nhl/players/4301"/>
    <hyperlink ref="B648" r:id="rId1297" display="http://sports.yahoo.com/nhl/teams/cgy"/>
    <hyperlink ref="A649" r:id="rId1298" display="http://sports.yahoo.com/nhl/players/5404"/>
    <hyperlink ref="B649" r:id="rId1299" display="http://sports.yahoo.com/nhl/teams/van"/>
    <hyperlink ref="A650" r:id="rId1300" display="http://sports.yahoo.com/nhl/players/5997"/>
    <hyperlink ref="B650" r:id="rId1301" display="http://sports.yahoo.com/nhl/teams/san"/>
    <hyperlink ref="A651" r:id="rId1302" display="http://sports.yahoo.com/nhl/players/4759"/>
    <hyperlink ref="B651" r:id="rId1303" display="http://sports.yahoo.com/nhl/teams/tor"/>
    <hyperlink ref="A652" r:id="rId1304" display="http://sports.yahoo.com/nhl/players/4401"/>
    <hyperlink ref="B652" r:id="rId1305" display="http://sports.yahoo.com/nhl/teams/wpg"/>
    <hyperlink ref="A653" r:id="rId1306" display="http://sports.yahoo.com/nhl/players/5257"/>
    <hyperlink ref="B653" r:id="rId1307" display="http://sports.yahoo.com/nhl/teams/san"/>
    <hyperlink ref="A654" r:id="rId1308" display="http://sports.yahoo.com/nhl/players/4973"/>
    <hyperlink ref="B654" r:id="rId1309" display="http://sports.yahoo.com/nhl/teams/ari"/>
    <hyperlink ref="A655" r:id="rId1310" display="http://sports.yahoo.com/nhl/players/4181"/>
    <hyperlink ref="B655" r:id="rId1311" display="http://sports.yahoo.com/nhl/teams/min"/>
    <hyperlink ref="A656" r:id="rId1312" display="http://sports.yahoo.com/nhl/players/5385"/>
    <hyperlink ref="B656" r:id="rId1313" display="http://sports.yahoo.com/nhl/teams/ott"/>
    <hyperlink ref="A657" r:id="rId1314" display="http://sports.yahoo.com/nhl/players/5386"/>
    <hyperlink ref="B657" r:id="rId1315" display="http://sports.yahoo.com/nhl/teams/tor"/>
    <hyperlink ref="A658" r:id="rId1316" display="http://sports.yahoo.com/nhl/players/5682"/>
    <hyperlink ref="B658" r:id="rId1317" display="http://sports.yahoo.com/nhl/teams/cob"/>
    <hyperlink ref="A659" r:id="rId1318" display="http://sports.yahoo.com/nhl/players/4009"/>
    <hyperlink ref="B659" r:id="rId1319" display="http://sports.yahoo.com/nhl/teams/nyr"/>
    <hyperlink ref="A660" r:id="rId1320" display="http://sports.yahoo.com/nhl/players/5009"/>
    <hyperlink ref="B660" r:id="rId1321" display="http://sports.yahoo.com/nhl/teams/fla"/>
    <hyperlink ref="A661" r:id="rId1322" display="http://sports.yahoo.com/nhl/players/3892"/>
    <hyperlink ref="B661" r:id="rId1323" display="http://sports.yahoo.com/nhl/teams/san"/>
    <hyperlink ref="A662" r:id="rId1324" display="http://sports.yahoo.com/nhl/players/3944"/>
    <hyperlink ref="B662" r:id="rId1325" display="http://sports.yahoo.com/nhl/teams/buf"/>
    <hyperlink ref="A663" r:id="rId1326" display="http://sports.yahoo.com/nhl/players/5634"/>
    <hyperlink ref="B663" r:id="rId1327" display="http://sports.yahoo.com/nhl/teams/cgy"/>
    <hyperlink ref="A664" r:id="rId1328" display="http://sports.yahoo.com/nhl/players/4630"/>
    <hyperlink ref="B664" r:id="rId1329" display="http://sports.yahoo.com/nhl/teams/edm"/>
    <hyperlink ref="A665" r:id="rId1330" display="http://sports.yahoo.com/nhl/players/5446"/>
    <hyperlink ref="B665" r:id="rId1331" display="http://sports.yahoo.com/nhl/teams/los"/>
    <hyperlink ref="A666" r:id="rId1332" display="http://sports.yahoo.com/nhl/players/4536"/>
    <hyperlink ref="B666" r:id="rId1333" display="http://sports.yahoo.com/nhl/teams/ott"/>
    <hyperlink ref="A667" r:id="rId1334" display="http://sports.yahoo.com/nhl/players/5416"/>
    <hyperlink ref="B667" r:id="rId1335" display="http://sports.yahoo.com/nhl/teams/det"/>
    <hyperlink ref="A668" r:id="rId1336" display="http://sports.yahoo.com/nhl/players/5014"/>
    <hyperlink ref="B668" r:id="rId1337" display="http://sports.yahoo.com/nhl/teams/dal"/>
    <hyperlink ref="A669" r:id="rId1338" display="http://sports.yahoo.com/nhl/players/5525"/>
    <hyperlink ref="B669" r:id="rId1339" display="http://sports.yahoo.com/nhl/teams/ana"/>
    <hyperlink ref="A670" r:id="rId1340" display="http://sports.yahoo.com/nhl/players/5979"/>
    <hyperlink ref="B670" r:id="rId1341" display="http://sports.yahoo.com/nhl/teams/edm"/>
    <hyperlink ref="A671" r:id="rId1342" display="http://sports.yahoo.com/nhl/players/5601"/>
    <hyperlink ref="B671" r:id="rId1343" display="http://sports.yahoo.com/nhl/teams/van"/>
    <hyperlink ref="A672" r:id="rId1344" display="http://sports.yahoo.com/nhl/players/5549"/>
    <hyperlink ref="B672" r:id="rId1345" display="http://sports.yahoo.com/nhl/teams/edm"/>
    <hyperlink ref="A673" r:id="rId1346" display="http://sports.yahoo.com/nhl/players/5613"/>
    <hyperlink ref="B673" r:id="rId1347" display="http://sports.yahoo.com/nhl/teams/phi"/>
    <hyperlink ref="A674" r:id="rId1348" display="http://sports.yahoo.com/nhl/players/5865"/>
    <hyperlink ref="B674" r:id="rId1349" display="http://sports.yahoo.com/nhl/teams/stl"/>
    <hyperlink ref="A675" r:id="rId1350" display="http://sports.yahoo.com/nhl/players/5063"/>
    <hyperlink ref="B675" r:id="rId1351" display="http://sports.yahoo.com/nhl/teams/chi"/>
    <hyperlink ref="A676" r:id="rId1352" display="http://sports.yahoo.com/nhl/players/5998"/>
    <hyperlink ref="B676" r:id="rId1353" display="http://sports.yahoo.com/nhl/teams/cob"/>
    <hyperlink ref="A677" r:id="rId1354" display="http://sports.yahoo.com/nhl/players/5286"/>
    <hyperlink ref="B677" r:id="rId1355" display="http://sports.yahoo.com/nhl/teams/nyi"/>
    <hyperlink ref="A678" r:id="rId1356" display="http://sports.yahoo.com/nhl/players/1500"/>
    <hyperlink ref="B678" r:id="rId1357" display="http://sports.yahoo.com/nhl/teams/ott"/>
    <hyperlink ref="A679" r:id="rId1358" display="http://sports.yahoo.com/nhl/players/4983"/>
    <hyperlink ref="B679" r:id="rId1359" display="http://sports.yahoo.com/nhl/teams/buf"/>
    <hyperlink ref="A680" r:id="rId1360" display="http://sports.yahoo.com/nhl/players/6010"/>
    <hyperlink ref="B680" r:id="rId1361" display="http://sports.yahoo.com/nhl/teams/mon"/>
    <hyperlink ref="A681" r:id="rId1362" display="http://sports.yahoo.com/nhl/players/4834"/>
    <hyperlink ref="B681" r:id="rId1363" display="http://sports.yahoo.com/nhl/teams/buf"/>
    <hyperlink ref="A682" r:id="rId1364" display="http://sports.yahoo.com/nhl/players/6255"/>
    <hyperlink ref="B682" r:id="rId1365" display="http://sports.yahoo.com/nhl/teams/nyi"/>
    <hyperlink ref="A683" r:id="rId1366" display="http://sports.yahoo.com/nhl/players/6358"/>
    <hyperlink ref="B683" r:id="rId1367" display="http://sports.yahoo.com/nhl/teams/col"/>
    <hyperlink ref="A684" r:id="rId1368" display="http://sports.yahoo.com/nhl/players/5570"/>
    <hyperlink ref="B684" r:id="rId1369" display="http://sports.yahoo.com/nhl/teams/det"/>
    <hyperlink ref="A685" r:id="rId1370" display="http://sports.yahoo.com/nhl/players/6294"/>
    <hyperlink ref="B685" r:id="rId1371" display="http://sports.yahoo.com/nhl/teams/njd"/>
    <hyperlink ref="A686" r:id="rId1372" display="http://sports.yahoo.com/nhl/players/1764"/>
    <hyperlink ref="B686" r:id="rId1373" display="http://sports.yahoo.com/nhl/teams/mon"/>
    <hyperlink ref="A687" r:id="rId1374" display="http://sports.yahoo.com/nhl/players/4549"/>
    <hyperlink ref="B687" r:id="rId1375" display="http://sports.yahoo.com/nhl/teams/los"/>
    <hyperlink ref="A688" r:id="rId1376" display="http://sports.yahoo.com/nhl/players/6616"/>
    <hyperlink ref="B688" r:id="rId1377" display="http://sports.yahoo.com/nhl/teams/was"/>
    <hyperlink ref="A689" r:id="rId1378" display="http://sports.yahoo.com/nhl/players/1571"/>
    <hyperlink ref="B689" r:id="rId1379" display="http://sports.yahoo.com/nhl/teams/det"/>
    <hyperlink ref="A690" r:id="rId1380" display="http://sports.yahoo.com/nhl/players/1753"/>
    <hyperlink ref="B690" r:id="rId1381" display="http://sports.yahoo.com/nhl/teams/njd"/>
    <hyperlink ref="A691" r:id="rId1382" display="http://sports.yahoo.com/nhl/players/2953"/>
    <hyperlink ref="B691" r:id="rId1383" display="http://sports.yahoo.com/nhl/teams/min"/>
    <hyperlink ref="A692" r:id="rId1384" display="http://sports.yahoo.com/nhl/players/1907"/>
    <hyperlink ref="B692" r:id="rId1385" display="http://sports.yahoo.com/nhl/teams/nyi"/>
    <hyperlink ref="A693" r:id="rId1386" display="http://sports.yahoo.com/nhl/players/5117"/>
    <hyperlink ref="B693" r:id="rId1387" display="http://sports.yahoo.com/nhl/teams/tor"/>
    <hyperlink ref="A694" r:id="rId1388" display="http://sports.yahoo.com/nhl/players/3955"/>
    <hyperlink ref="B694" r:id="rId1389" display="http://sports.yahoo.com/nhl/teams/edm"/>
    <hyperlink ref="A695" r:id="rId1390" display="http://sports.yahoo.com/nhl/players/5053"/>
    <hyperlink ref="B695" r:id="rId1391" display="http://sports.yahoo.com/nhl/teams/pit"/>
    <hyperlink ref="A696" r:id="rId1392" display="http://sports.yahoo.com/nhl/players/5040"/>
    <hyperlink ref="B696" r:id="rId1393" display="http://sports.yahoo.com/nhl/teams/car"/>
    <hyperlink ref="A697" r:id="rId1394" display="http://sports.yahoo.com/nhl/players/5931"/>
    <hyperlink ref="B697" r:id="rId1395" display="http://sports.yahoo.com/nhl/teams/buf"/>
    <hyperlink ref="A698" r:id="rId1396" display="http://sports.yahoo.com/nhl/players/5712"/>
    <hyperlink ref="B698" r:id="rId1397" display="http://sports.yahoo.com/nhl/teams/tam"/>
    <hyperlink ref="A699" r:id="rId1398" display="http://sports.yahoo.com/nhl/players/3178"/>
    <hyperlink ref="B699" r:id="rId1399" display="http://sports.yahoo.com/nhl/teams/buf"/>
    <hyperlink ref="A700" r:id="rId1400" display="http://sports.yahoo.com/nhl/players/4313"/>
    <hyperlink ref="B700" r:id="rId1401" display="http://sports.yahoo.com/nhl/teams/stl"/>
    <hyperlink ref="A701" r:id="rId1402" display="http://sports.yahoo.com/nhl/players/5936"/>
    <hyperlink ref="B701" r:id="rId1403" display="http://sports.yahoo.com/nhl/teams/tor"/>
    <hyperlink ref="A702" r:id="rId1404" display="http://sports.yahoo.com/nhl/players/5643"/>
    <hyperlink ref="B702" r:id="rId1405" display="http://sports.yahoo.com/nhl/teams/cob"/>
    <hyperlink ref="A703" r:id="rId1406" display="http://sports.yahoo.com/nhl/players/4037"/>
    <hyperlink ref="B703" r:id="rId1407" display="http://sports.yahoo.com/nhl/teams/njd"/>
    <hyperlink ref="A704" r:id="rId1408" display="http://sports.yahoo.com/nhl/players/5247"/>
    <hyperlink ref="B704" r:id="rId1409" display="http://sports.yahoo.com/nhl/teams/nyr"/>
    <hyperlink ref="A705" r:id="rId1410" display="http://sports.yahoo.com/nhl/players/5028"/>
    <hyperlink ref="B705" r:id="rId1411" display="http://sports.yahoo.com/nhl/teams/phi"/>
    <hyperlink ref="A706" r:id="rId1412" display="http://sports.yahoo.com/nhl/players/4977"/>
    <hyperlink ref="B706" r:id="rId1413" display="http://sports.yahoo.com/nhl/teams/col"/>
    <hyperlink ref="A707" r:id="rId1414" display="http://sports.yahoo.com/nhl/players/5004"/>
    <hyperlink ref="B707" r:id="rId1415" display="http://sports.yahoo.com/nhl/teams/edm"/>
    <hyperlink ref="A708" r:id="rId1416" display="http://sports.yahoo.com/nhl/players/4606"/>
    <hyperlink ref="B708" r:id="rId1417" display="http://sports.yahoo.com/nhl/teams/wpg"/>
    <hyperlink ref="A709" r:id="rId1418" display="http://sports.yahoo.com/nhl/players/5400"/>
    <hyperlink ref="B709" r:id="rId1419" display="http://sports.yahoo.com/nhl/teams/stl"/>
    <hyperlink ref="A710" r:id="rId1420" display="http://sports.yahoo.com/nhl/players/5399"/>
    <hyperlink ref="B710" r:id="rId1421" display="http://sports.yahoo.com/nhl/teams/edm"/>
    <hyperlink ref="A711" r:id="rId1422" display="http://sports.yahoo.com/nhl/players/4580"/>
    <hyperlink ref="B711" r:id="rId1423" display="http://sports.yahoo.com/nhl/teams/det"/>
    <hyperlink ref="A712" r:id="rId1424" display="http://sports.yahoo.com/nhl/players/4982"/>
    <hyperlink ref="B712" r:id="rId1425" display="http://sports.yahoo.com/nhl/teams/mon"/>
    <hyperlink ref="A713" r:id="rId1426" display="http://sports.yahoo.com/nhl/players/4585"/>
    <hyperlink ref="B713" r:id="rId1427" display="http://sports.yahoo.com/nhl/teams/cob"/>
    <hyperlink ref="A714" r:id="rId1428" display="http://sports.yahoo.com/nhl/players/5660"/>
    <hyperlink ref="B714" r:id="rId1429" display="http://sports.yahoo.com/nhl/teams/bos"/>
    <hyperlink ref="A715" r:id="rId1430" display="http://sports.yahoo.com/nhl/players/5659"/>
    <hyperlink ref="B715" r:id="rId1431" display="http://sports.yahoo.com/nhl/teams/pit"/>
    <hyperlink ref="A716" r:id="rId1432" display="http://sports.yahoo.com/nhl/players/4994"/>
    <hyperlink ref="B716" r:id="rId1433" display="http://sports.yahoo.com/nhl/teams/cob"/>
    <hyperlink ref="A717" r:id="rId1434" display="http://sports.yahoo.com/nhl/players/4249"/>
    <hyperlink ref="B717" r:id="rId1435" display="http://sports.yahoo.com/nhl/teams/wpg"/>
    <hyperlink ref="A718" r:id="rId1436" display="http://sports.yahoo.com/nhl/players/6083"/>
    <hyperlink ref="B718" r:id="rId1437" display="http://sports.yahoo.com/nhl/teams/wpg"/>
    <hyperlink ref="A719" r:id="rId1438" display="http://sports.yahoo.com/nhl/players/4142"/>
    <hyperlink ref="B719" r:id="rId1439" display="http://sports.yahoo.com/nhl/teams/van"/>
    <hyperlink ref="A720" r:id="rId1440" display="http://sports.yahoo.com/nhl/players/5684"/>
    <hyperlink ref="B720" r:id="rId1441" display="http://sports.yahoo.com/nhl/teams/nyi"/>
    <hyperlink ref="A721" r:id="rId1442" display="http://sports.yahoo.com/nhl/players/5933"/>
    <hyperlink ref="B721" r:id="rId1443" display="http://sports.yahoo.com/nhl/teams/san"/>
    <hyperlink ref="A722" r:id="rId1444" display="http://sports.yahoo.com/nhl/players/4262"/>
    <hyperlink ref="B722" r:id="rId1445" display="http://sports.yahoo.com/nhl/teams/min"/>
    <hyperlink ref="A723" r:id="rId1446" display="http://sports.yahoo.com/nhl/players/4891"/>
    <hyperlink ref="B723" r:id="rId1447" display="http://sports.yahoo.com/nhl/teams/ott"/>
    <hyperlink ref="A724" r:id="rId1448" display="http://sports.yahoo.com/nhl/players/5102"/>
    <hyperlink ref="B724" r:id="rId1449" display="http://sports.yahoo.com/nhl/teams/col"/>
    <hyperlink ref="A725" r:id="rId1450" display="http://sports.yahoo.com/nhl/players/5617"/>
    <hyperlink ref="B725" r:id="rId1451" display="http://sports.yahoo.com/nhl/teams/ari"/>
    <hyperlink ref="A726" r:id="rId1452" display="http://sports.yahoo.com/nhl/players/4690"/>
    <hyperlink ref="B726" r:id="rId1453" display="http://sports.yahoo.com/nhl/teams/stl"/>
    <hyperlink ref="A727" r:id="rId1454" display="http://sports.yahoo.com/nhl/players/6197"/>
    <hyperlink ref="B727" r:id="rId1455" display="http://sports.yahoo.com/nhl/teams/col"/>
    <hyperlink ref="A728" r:id="rId1456" display="http://sports.yahoo.com/nhl/players/5644"/>
    <hyperlink ref="B728" r:id="rId1457" display="http://sports.yahoo.com/nhl/teams/was"/>
    <hyperlink ref="A729" r:id="rId1458" display="http://sports.yahoo.com/nhl/players/4783"/>
    <hyperlink ref="B729" r:id="rId1459" display="http://sports.yahoo.com/nhl/teams/col"/>
    <hyperlink ref="A730" r:id="rId1460" display="http://sports.yahoo.com/nhl/players/5240"/>
    <hyperlink ref="B730" r:id="rId1461" display="http://sports.yahoo.com/nhl/teams/det"/>
    <hyperlink ref="A731" r:id="rId1462" display="http://sports.yahoo.com/nhl/players/5353"/>
    <hyperlink ref="B731" r:id="rId1463" display="http://sports.yahoo.com/nhl/teams/ari"/>
    <hyperlink ref="A732" r:id="rId1464" display="http://sports.yahoo.com/nhl/players/6001"/>
    <hyperlink ref="B732" r:id="rId1465" display="http://sports.yahoo.com/nhl/teams/cgy"/>
    <hyperlink ref="A733" r:id="rId1466" display="http://sports.yahoo.com/nhl/players/5747"/>
    <hyperlink ref="B733" r:id="rId1467" display="http://sports.yahoo.com/nhl/teams/ari"/>
    <hyperlink ref="A734" r:id="rId1468" display="http://sports.yahoo.com/nhl/players/5203"/>
    <hyperlink ref="B734" r:id="rId1469" display="http://sports.yahoo.com/nhl/teams/ana"/>
    <hyperlink ref="A735" r:id="rId1470" display="http://sports.yahoo.com/nhl/players/5902"/>
    <hyperlink ref="B735" r:id="rId1471" display="http://sports.yahoo.com/nhl/teams/pit"/>
    <hyperlink ref="A736" r:id="rId1472" display="http://sports.yahoo.com/nhl/players/3645"/>
    <hyperlink ref="B736" r:id="rId1473" display="http://sports.yahoo.com/nhl/teams/cgy"/>
    <hyperlink ref="A737" r:id="rId1474" display="http://sports.yahoo.com/nhl/players/4802"/>
    <hyperlink ref="B737" r:id="rId1475" display="http://sports.yahoo.com/nhl/teams/ana"/>
    <hyperlink ref="A738" r:id="rId1476" display="http://sports.yahoo.com/nhl/players/3665"/>
    <hyperlink ref="B738" r:id="rId1477" display="http://sports.yahoo.com/nhl/teams/los"/>
    <hyperlink ref="A739" r:id="rId1478" display="http://sports.yahoo.com/nhl/players/5785"/>
    <hyperlink ref="B739" r:id="rId1479" display="http://sports.yahoo.com/nhl/teams/cob"/>
    <hyperlink ref="A740" r:id="rId1480" display="http://sports.yahoo.com/nhl/players/5950"/>
    <hyperlink ref="B740" r:id="rId1481" display="http://sports.yahoo.com/nhl/teams/buf"/>
    <hyperlink ref="A741" r:id="rId1482" display="http://sports.yahoo.com/nhl/players/3446"/>
    <hyperlink ref="B741" r:id="rId1483" display="http://sports.yahoo.com/nhl/teams/fla"/>
    <hyperlink ref="A742" r:id="rId1484" display="http://sports.yahoo.com/nhl/players/6297"/>
    <hyperlink ref="B742" r:id="rId1485" display="http://sports.yahoo.com/nhl/teams/njd"/>
    <hyperlink ref="A743" r:id="rId1486" display="http://sports.yahoo.com/nhl/players/3108"/>
    <hyperlink ref="B743" r:id="rId1487" display="http://sports.yahoo.com/nhl/teams/min"/>
    <hyperlink ref="A744" r:id="rId1488" display="http://sports.yahoo.com/nhl/players/3889"/>
    <hyperlink ref="B744" r:id="rId1489" display="http://sports.yahoo.com/nhl/teams/stl"/>
    <hyperlink ref="A745" r:id="rId1490" display="http://sports.yahoo.com/nhl/players/5989"/>
    <hyperlink ref="B745" r:id="rId1491" display="http://sports.yahoo.com/nhl/teams/dal"/>
    <hyperlink ref="A746" r:id="rId1492" display="http://sports.yahoo.com/nhl/players/5059"/>
    <hyperlink ref="B746" r:id="rId1493" display="http://sports.yahoo.com/nhl/teams/was"/>
    <hyperlink ref="A747" r:id="rId1494" display="http://sports.yahoo.com/nhl/players/5136"/>
    <hyperlink ref="B747" r:id="rId1495" display="http://sports.yahoo.com/nhl/teams/edm"/>
    <hyperlink ref="A748" r:id="rId1496" display="http://sports.yahoo.com/nhl/players/5709"/>
    <hyperlink ref="B748" r:id="rId1497" display="http://sports.yahoo.com/nhl/teams/njd"/>
    <hyperlink ref="A749" r:id="rId1498" display="http://sports.yahoo.com/nhl/players/4778"/>
    <hyperlink ref="B749" r:id="rId1499" display="http://sports.yahoo.com/nhl/teams/col"/>
    <hyperlink ref="A750" r:id="rId1500" display="http://sports.yahoo.com/nhl/players/5384"/>
    <hyperlink ref="B750" r:id="rId1501" display="http://sports.yahoo.com/nhl/teams/bos"/>
    <hyperlink ref="A751" r:id="rId1502" display="http://sports.yahoo.com/nhl/players/5452"/>
    <hyperlink ref="B751" r:id="rId1503" display="http://sports.yahoo.com/nhl/teams/tor"/>
    <hyperlink ref="A752" r:id="rId1504" display="http://sports.yahoo.com/nhl/players/6370"/>
    <hyperlink ref="B752" r:id="rId1505" display="http://sports.yahoo.com/nhl/teams/cgy"/>
    <hyperlink ref="A753" r:id="rId1506" display="http://sports.yahoo.com/nhl/players/4598"/>
    <hyperlink ref="B753" r:id="rId1507" display="http://sports.yahoo.com/nhl/teams/edm"/>
    <hyperlink ref="A754" r:id="rId1508" display="http://sports.yahoo.com/nhl/players/5465"/>
    <hyperlink ref="B754" r:id="rId1509" display="http://sports.yahoo.com/nhl/teams/njd"/>
    <hyperlink ref="A755" r:id="rId1510" display="http://sports.yahoo.com/nhl/players/4652"/>
    <hyperlink ref="B755" r:id="rId1511" display="http://sports.yahoo.com/nhl/teams/tor"/>
    <hyperlink ref="A756" r:id="rId1512" display="http://sports.yahoo.com/nhl/players/5296"/>
    <hyperlink ref="B756" r:id="rId1513" display="http://sports.yahoo.com/nhl/teams/njd"/>
    <hyperlink ref="A757" r:id="rId1514" display="http://sports.yahoo.com/nhl/players/5486"/>
    <hyperlink ref="B757" r:id="rId1515" display="http://sports.yahoo.com/nhl/teams/bos"/>
    <hyperlink ref="A758" r:id="rId1516" display="http://sports.yahoo.com/nhl/players/4506"/>
    <hyperlink ref="B758" r:id="rId1517" display="http://sports.yahoo.com/nhl/teams/min"/>
    <hyperlink ref="A759" r:id="rId1518" display="http://sports.yahoo.com/nhl/players/5436"/>
    <hyperlink ref="B759" r:id="rId1519" display="http://sports.yahoo.com/nhl/teams/chi"/>
    <hyperlink ref="A760" r:id="rId1520" display="http://sports.yahoo.com/nhl/players/6397"/>
    <hyperlink ref="B760" r:id="rId1521" display="http://sports.yahoo.com/nhl/teams/ari"/>
    <hyperlink ref="A761" r:id="rId1522" display="http://sports.yahoo.com/nhl/players/5013"/>
    <hyperlink ref="B761" r:id="rId1523" display="http://sports.yahoo.com/nhl/teams/mon"/>
    <hyperlink ref="A762" r:id="rId1524" display="http://sports.yahoo.com/nhl/players/5420"/>
    <hyperlink ref="B762" r:id="rId1525" display="http://sports.yahoo.com/nhl/teams/nas"/>
    <hyperlink ref="A763" r:id="rId1526" display="http://sports.yahoo.com/nhl/players/6714"/>
    <hyperlink ref="B763" r:id="rId1527" display="http://sports.yahoo.com/nhl/teams/tor"/>
    <hyperlink ref="A764" r:id="rId1528" display="http://sports.yahoo.com/nhl/players/4960"/>
    <hyperlink ref="B764" r:id="rId1529" display="http://sports.yahoo.com/nhl/teams/bos"/>
    <hyperlink ref="A765" r:id="rId1530" display="http://sports.yahoo.com/nhl/players/4946"/>
    <hyperlink ref="B765" r:id="rId1531" display="http://sports.yahoo.com/nhl/teams/wpg"/>
    <hyperlink ref="A766" r:id="rId1532" display="http://sports.yahoo.com/nhl/players/5428"/>
    <hyperlink ref="B766" r:id="rId1533" display="http://sports.yahoo.com/nhl/teams/ott"/>
    <hyperlink ref="A767" r:id="rId1534" display="http://sports.yahoo.com/nhl/players/4587"/>
    <hyperlink ref="B767" r:id="rId1535" display="http://sports.yahoo.com/nhl/teams/ari"/>
    <hyperlink ref="A768" r:id="rId1536" display="http://sports.yahoo.com/nhl/players/5515"/>
    <hyperlink ref="B768" r:id="rId1537" display="http://sports.yahoo.com/nhl/teams/van"/>
    <hyperlink ref="A769" r:id="rId1538" display="http://sports.yahoo.com/nhl/players/6368"/>
    <hyperlink ref="B769" r:id="rId1539" display="http://sports.yahoo.com/nhl/teams/buf"/>
    <hyperlink ref="A770" r:id="rId1540" display="http://sports.yahoo.com/nhl/players/4462"/>
    <hyperlink ref="B770" r:id="rId1541" display="http://sports.yahoo.com/nhl/teams/chi"/>
    <hyperlink ref="A771" r:id="rId1542" display="http://sports.yahoo.com/nhl/players/6340"/>
    <hyperlink ref="B771" r:id="rId1543" display="http://sports.yahoo.com/nhl/teams/chi"/>
    <hyperlink ref="A772" r:id="rId1544" display="http://sports.yahoo.com/nhl/players/4444"/>
    <hyperlink ref="B772" r:id="rId1545" display="http://sports.yahoo.com/nhl/teams/wpg"/>
    <hyperlink ref="A773" r:id="rId1546" display="http://sports.yahoo.com/nhl/players/4392"/>
    <hyperlink ref="B773" r:id="rId1547" display="http://sports.yahoo.com/nhl/teams/san"/>
    <hyperlink ref="A774" r:id="rId1548" display="http://sports.yahoo.com/nhl/players/6346"/>
    <hyperlink ref="B774" r:id="rId1549" display="http://sports.yahoo.com/nhl/teams/edm"/>
    <hyperlink ref="A775" r:id="rId1550" display="http://sports.yahoo.com/nhl/players/4379"/>
    <hyperlink ref="B775" r:id="rId1551" display="http://sports.yahoo.com/nhl/teams/nyr"/>
    <hyperlink ref="A776" r:id="rId1552" display="http://sports.yahoo.com/nhl/players/4920"/>
    <hyperlink ref="B776" r:id="rId1553" display="http://sports.yahoo.com/nhl/teams/van"/>
    <hyperlink ref="A777" r:id="rId1554" display="http://sports.yahoo.com/nhl/players/5401"/>
    <hyperlink ref="B777" r:id="rId1555" display="http://sports.yahoo.com/nhl/teams/fla"/>
    <hyperlink ref="A778" r:id="rId1556" display="http://sports.yahoo.com/nhl/players/5939"/>
    <hyperlink ref="B778" r:id="rId1557" display="http://sports.yahoo.com/nhl/teams/bos"/>
    <hyperlink ref="A779" r:id="rId1558" display="http://sports.yahoo.com/nhl/players/5973"/>
    <hyperlink ref="B779" r:id="rId1559" display="http://sports.yahoo.com/nhl/teams/van"/>
    <hyperlink ref="A780" r:id="rId1560" display="http://sports.yahoo.com/nhl/players/5977"/>
    <hyperlink ref="B780" r:id="rId1561" display="http://sports.yahoo.com/nhl/teams/pit"/>
    <hyperlink ref="A781" r:id="rId1562" display="http://sports.yahoo.com/nhl/players/6196"/>
    <hyperlink ref="B781" r:id="rId1563" display="http://sports.yahoo.com/nhl/teams/njd"/>
    <hyperlink ref="A782" r:id="rId1564" display="http://sports.yahoo.com/nhl/players/6718"/>
    <hyperlink ref="B782" r:id="rId1565" display="http://sports.yahoo.com/nhl/teams/chi"/>
    <hyperlink ref="A783" r:id="rId1566" display="http://sports.yahoo.com/nhl/players/5308"/>
    <hyperlink ref="B783" r:id="rId1567" display="http://sports.yahoo.com/nhl/teams/ari"/>
    <hyperlink ref="A784" r:id="rId1568" display="http://sports.yahoo.com/nhl/players/6480"/>
    <hyperlink ref="B784" r:id="rId1569" display="http://sports.yahoo.com/nhl/teams/nas"/>
    <hyperlink ref="A785" r:id="rId1570" display="http://sports.yahoo.com/nhl/players/6201"/>
    <hyperlink ref="B785" r:id="rId1571" display="http://sports.yahoo.com/nhl/teams/san"/>
    <hyperlink ref="A786" r:id="rId1572" display="http://sports.yahoo.com/nhl/players/5971"/>
    <hyperlink ref="B786" r:id="rId1573" display="http://sports.yahoo.com/nhl/teams/fla"/>
    <hyperlink ref="A787" r:id="rId1574" display="http://sports.yahoo.com/nhl/players/3703"/>
    <hyperlink ref="B787" r:id="rId1575" display="http://sports.yahoo.com/nhl/teams/tor"/>
    <hyperlink ref="A788" r:id="rId1576" display="http://sports.yahoo.com/nhl/players/6322"/>
    <hyperlink ref="B788" r:id="rId1577" display="http://sports.yahoo.com/nhl/teams/ari"/>
    <hyperlink ref="A789" r:id="rId1578" display="http://sports.yahoo.com/nhl/players/5183"/>
    <hyperlink ref="B789" r:id="rId1579" display="http://sports.yahoo.com/nhl/teams/dal"/>
    <hyperlink ref="A790" r:id="rId1580" display="http://sports.yahoo.com/nhl/players/5941"/>
    <hyperlink ref="B790" r:id="rId1581" display="http://sports.yahoo.com/nhl/teams/san"/>
    <hyperlink ref="A791" r:id="rId1582" display="http://sports.yahoo.com/nhl/players/2415"/>
    <hyperlink ref="B791" r:id="rId1583" display="http://sports.yahoo.com/nhl/teams/fla"/>
    <hyperlink ref="A792" r:id="rId1584" display="http://sports.yahoo.com/nhl/players/4896"/>
    <hyperlink ref="B792" r:id="rId1585" display="http://sports.yahoo.com/nhl/teams/mon"/>
    <hyperlink ref="A793" r:id="rId1586" display="http://sports.yahoo.com/nhl/players/3666"/>
    <hyperlink ref="B793" r:id="rId1587" display="http://sports.yahoo.com/nhl/teams/ana"/>
    <hyperlink ref="A794" r:id="rId1588" display="http://sports.yahoo.com/nhl/players/3785"/>
    <hyperlink ref="B794" r:id="rId1589" display="http://sports.yahoo.com/nhl/teams/cgy"/>
    <hyperlink ref="A795" r:id="rId1590" display="http://sports.yahoo.com/nhl/players/4842"/>
    <hyperlink ref="B795" r:id="rId1591" display="http://sports.yahoo.com/nhl/teams/was"/>
    <hyperlink ref="A796" r:id="rId1592" display="http://sports.yahoo.com/nhl/players/5358"/>
    <hyperlink ref="B796" r:id="rId1593" display="http://sports.yahoo.com/nhl/teams/fla"/>
    <hyperlink ref="A797" r:id="rId1594" display="http://sports.yahoo.com/nhl/players/4936"/>
    <hyperlink ref="B797" r:id="rId1595" display="http://sports.yahoo.com/nhl/teams/nyr"/>
    <hyperlink ref="A798" r:id="rId1596" display="http://sports.yahoo.com/nhl/players/5076"/>
    <hyperlink ref="B798" r:id="rId1597" display="http://sports.yahoo.com/nhl/teams/cgy"/>
    <hyperlink ref="A799" r:id="rId1598" display="http://sports.yahoo.com/nhl/players/4871"/>
    <hyperlink ref="B799" r:id="rId1599" display="http://sports.yahoo.com/nhl/teams/cob"/>
    <hyperlink ref="A800" r:id="rId1600" display="http://sports.yahoo.com/nhl/players/2955"/>
    <hyperlink ref="B800" r:id="rId1601" display="http://sports.yahoo.com/nhl/teams/tor"/>
    <hyperlink ref="A801" r:id="rId1602" display="http://sports.yahoo.com/nhl/players/6009"/>
    <hyperlink ref="B801" r:id="rId1603" display="http://sports.yahoo.com/nhl/teams/chi"/>
    <hyperlink ref="A802" r:id="rId1604" display="http://sports.yahoo.com/nhl/players/6063"/>
    <hyperlink ref="B802" r:id="rId1605" display="http://sports.yahoo.com/nhl/teams/edm"/>
    <hyperlink ref="A803" r:id="rId1606" display="http://sports.yahoo.com/nhl/players/5294"/>
    <hyperlink ref="B803" r:id="rId1607" display="http://sports.yahoo.com/nhl/teams/car"/>
    <hyperlink ref="A804" r:id="rId1608" display="http://sports.yahoo.com/nhl/players/1833"/>
    <hyperlink ref="B804" r:id="rId1609" display="http://sports.yahoo.com/nhl/teams/chi"/>
    <hyperlink ref="A805" r:id="rId1610" display="http://sports.yahoo.com/nhl/players/3011"/>
    <hyperlink ref="B805" r:id="rId1611" display="http://sports.yahoo.com/nhl/teams/nyr"/>
    <hyperlink ref="A806" r:id="rId1612" display="http://sports.yahoo.com/nhl/players/6357"/>
    <hyperlink ref="B806" r:id="rId1613" display="http://sports.yahoo.com/nhl/teams/cgy"/>
    <hyperlink ref="A807" r:id="rId1614" display="http://sports.yahoo.com/nhl/players/5142"/>
    <hyperlink ref="B807" r:id="rId1615" display="http://sports.yahoo.com/nhl/teams/nas"/>
    <hyperlink ref="A808" r:id="rId1616" display="http://sports.yahoo.com/nhl/players/5095"/>
    <hyperlink ref="B808" r:id="rId1617" display="http://sports.yahoo.com/nhl/teams/ana"/>
    <hyperlink ref="A809" r:id="rId1618" display="http://sports.yahoo.com/nhl/players/2753"/>
    <hyperlink ref="B809" r:id="rId1619" display="http://sports.yahoo.com/nhl/teams/cgy"/>
    <hyperlink ref="A810" r:id="rId1620" display="http://sports.yahoo.com/nhl/players/3565"/>
    <hyperlink ref="B810" r:id="rId1621" display="http://sports.yahoo.com/nhl/teams/stl"/>
    <hyperlink ref="A811" r:id="rId1622" display="http://sports.yahoo.com/nhl/players/6377"/>
    <hyperlink ref="B811" r:id="rId1623" display="http://sports.yahoo.com/nhl/teams/nas"/>
    <hyperlink ref="A812" r:id="rId1624" display="http://sports.yahoo.com/nhl/players/6353"/>
    <hyperlink ref="B812" r:id="rId1625" display="http://sports.yahoo.com/nhl/teams/car"/>
    <hyperlink ref="A813" r:id="rId1626" display="http://sports.yahoo.com/nhl/players/5078"/>
    <hyperlink ref="B813" r:id="rId1627" display="http://sports.yahoo.com/nhl/teams/car"/>
    <hyperlink ref="A814" r:id="rId1628" display="http://sports.yahoo.com/nhl/players/3291"/>
    <hyperlink ref="B814" r:id="rId1629" display="http://sports.yahoo.com/nhl/teams/cob"/>
    <hyperlink ref="A815" r:id="rId1630" display="http://sports.yahoo.com/nhl/players/5986"/>
    <hyperlink ref="B815" r:id="rId1631" display="http://sports.yahoo.com/nhl/teams/edm"/>
    <hyperlink ref="A816" r:id="rId1632" display="http://sports.yahoo.com/nhl/players/5304"/>
    <hyperlink ref="B816" r:id="rId1633" display="http://sports.yahoo.com/nhl/teams/tor"/>
    <hyperlink ref="A817" r:id="rId1634" display="http://sports.yahoo.com/nhl/players/5733"/>
    <hyperlink ref="B817" r:id="rId1635" display="http://sports.yahoo.com/nhl/teams/buf"/>
    <hyperlink ref="A818" r:id="rId1636" display="http://sports.yahoo.com/nhl/players/5252"/>
    <hyperlink ref="B818" r:id="rId1637" display="http://sports.yahoo.com/nhl/teams/phi"/>
    <hyperlink ref="A819" r:id="rId1638" display="http://sports.yahoo.com/nhl/players/5390"/>
    <hyperlink ref="B819" r:id="rId1639" display="http://sports.yahoo.com/nhl/teams/van"/>
    <hyperlink ref="A820" r:id="rId1640" display="http://sports.yahoo.com/nhl/players/4359"/>
    <hyperlink ref="B820" r:id="rId1641" display="http://sports.yahoo.com/nhl/teams/cgy"/>
    <hyperlink ref="A821" r:id="rId1642" display="http://sports.yahoo.com/nhl/players/5397"/>
    <hyperlink ref="B821" r:id="rId1643" display="http://sports.yahoo.com/nhl/teams/pit"/>
    <hyperlink ref="A822" r:id="rId1644" display="http://sports.yahoo.com/nhl/players/5596"/>
    <hyperlink ref="B822" r:id="rId1645" display="http://sports.yahoo.com/nhl/teams/wpg"/>
    <hyperlink ref="A823" r:id="rId1646" display="http://sports.yahoo.com/nhl/players/5574"/>
    <hyperlink ref="B823" r:id="rId1647" display="http://sports.yahoo.com/nhl/teams/pit"/>
    <hyperlink ref="A824" r:id="rId1648" display="http://sports.yahoo.com/nhl/players/5089"/>
    <hyperlink ref="B824" r:id="rId1649" display="http://sports.yahoo.com/nhl/teams/tor"/>
    <hyperlink ref="A825" r:id="rId1650" display="http://sports.yahoo.com/nhl/players/5021"/>
    <hyperlink ref="B825" r:id="rId1651" display="http://sports.yahoo.com/nhl/teams/edm"/>
    <hyperlink ref="A826" r:id="rId1652" display="http://sports.yahoo.com/nhl/players/4317"/>
    <hyperlink ref="B826" r:id="rId1653" display="http://sports.yahoo.com/nhl/teams/mon"/>
    <hyperlink ref="A827" r:id="rId1654" display="http://sports.yahoo.com/nhl/players/5382"/>
    <hyperlink ref="B827" r:id="rId1655" display="http://sports.yahoo.com/nhl/teams/ana"/>
    <hyperlink ref="A828" r:id="rId1656" display="http://sports.yahoo.com/nhl/players/4970"/>
    <hyperlink ref="B828" r:id="rId1657" display="http://sports.yahoo.com/nhl/teams/nyr"/>
    <hyperlink ref="A829" r:id="rId1658" display="http://sports.yahoo.com/nhl/players/5026"/>
    <hyperlink ref="B829" r:id="rId1659" display="http://sports.yahoo.com/nhl/teams/phi"/>
    <hyperlink ref="A830" r:id="rId1660" display="http://sports.yahoo.com/nhl/players/5387"/>
    <hyperlink ref="B830" r:id="rId1661" display="http://sports.yahoo.com/nhl/teams/chi"/>
    <hyperlink ref="A831" r:id="rId1662" display="http://sports.yahoo.com/nhl/players/5635"/>
    <hyperlink ref="B831" r:id="rId1663" display="http://sports.yahoo.com/nhl/teams/was"/>
    <hyperlink ref="A832" r:id="rId1664" display="http://sports.yahoo.com/nhl/players/5636"/>
    <hyperlink ref="B832" r:id="rId1665" display="http://sports.yahoo.com/nhl/teams/mon"/>
    <hyperlink ref="A833" r:id="rId1666" display="http://sports.yahoo.com/nhl/players/5558"/>
    <hyperlink ref="B833" r:id="rId1667" display="http://sports.yahoo.com/nhl/teams/car"/>
    <hyperlink ref="A834" r:id="rId1668" display="http://sports.yahoo.com/nhl/players/5556"/>
    <hyperlink ref="B834" r:id="rId1669" display="http://sports.yahoo.com/nhl/teams/min"/>
    <hyperlink ref="A835" r:id="rId1670" display="http://sports.yahoo.com/nhl/players/4546"/>
    <hyperlink ref="B835" r:id="rId1671" display="http://sports.yahoo.com/nhl/teams/cob"/>
    <hyperlink ref="A836" r:id="rId1672" display="http://sports.yahoo.com/nhl/players/5408"/>
    <hyperlink ref="B836" r:id="rId1673" display="http://sports.yahoo.com/nhl/teams/bos"/>
    <hyperlink ref="A837" r:id="rId1674" display="http://sports.yahoo.com/nhl/players/5435"/>
    <hyperlink ref="B837" r:id="rId1675" display="http://sports.yahoo.com/nhl/teams/phi"/>
    <hyperlink ref="A838" r:id="rId1676" display="http://sports.yahoo.com/nhl/players/5424"/>
    <hyperlink ref="B838" r:id="rId1677" display="http://sports.yahoo.com/nhl/teams/cgy"/>
    <hyperlink ref="A839" r:id="rId1678" display="http://sports.yahoo.com/nhl/players/5259"/>
    <hyperlink ref="B839" r:id="rId1679" display="http://sports.yahoo.com/nhl/teams/nyi"/>
    <hyperlink ref="A840" r:id="rId1680" display="http://sports.yahoo.com/nhl/players/4569"/>
    <hyperlink ref="B840" r:id="rId1681" display="http://sports.yahoo.com/nhl/teams/ari"/>
    <hyperlink ref="A841" r:id="rId1682" display="http://sports.yahoo.com/nhl/players/4567"/>
    <hyperlink ref="B841" r:id="rId1683" display="http://sports.yahoo.com/nhl/teams/san"/>
    <hyperlink ref="A842" r:id="rId1684" display="http://sports.yahoo.com/nhl/players/5439"/>
    <hyperlink ref="B842" r:id="rId1685" display="http://sports.yahoo.com/nhl/teams/car"/>
    <hyperlink ref="A843" r:id="rId1686" display="http://sports.yahoo.com/nhl/players/5264"/>
    <hyperlink ref="B843" r:id="rId1687" display="http://sports.yahoo.com/nhl/teams/phi"/>
    <hyperlink ref="A844" r:id="rId1688" display="http://sports.yahoo.com/nhl/players/5509"/>
    <hyperlink ref="B844" r:id="rId1689" display="http://sports.yahoo.com/nhl/teams/pit"/>
    <hyperlink ref="A845" r:id="rId1690" display="http://sports.yahoo.com/nhl/players/4489"/>
    <hyperlink ref="B845" r:id="rId1691" display="http://sports.yahoo.com/nhl/teams/col"/>
    <hyperlink ref="A846" r:id="rId1692" display="http://sports.yahoo.com/nhl/players/5508"/>
    <hyperlink ref="B846" r:id="rId1693" display="http://sports.yahoo.com/nhl/teams/ana"/>
    <hyperlink ref="A847" r:id="rId1694" display="http://sports.yahoo.com/nhl/players/4507"/>
    <hyperlink ref="B847" r:id="rId1695" display="http://sports.yahoo.com/nhl/teams/ari"/>
    <hyperlink ref="A848" r:id="rId1696" display="http://sports.yahoo.com/nhl/players/4530"/>
    <hyperlink ref="B848" r:id="rId1697" display="http://sports.yahoo.com/nhl/teams/mon"/>
    <hyperlink ref="A849" r:id="rId1698" display="http://sports.yahoo.com/nhl/players/4512"/>
    <hyperlink ref="B849" r:id="rId1699" display="http://sports.yahoo.com/nhl/teams/pit"/>
    <hyperlink ref="A850" r:id="rId1700" display="http://sports.yahoo.com/nhl/players/4705"/>
    <hyperlink ref="B850" r:id="rId1701" display="http://sports.yahoo.com/nhl/teams/col"/>
    <hyperlink ref="A851" r:id="rId1702" display="http://sports.yahoo.com/nhl/players/5030"/>
    <hyperlink ref="B851" r:id="rId1703" display="http://sports.yahoo.com/nhl/teams/nyr"/>
    <hyperlink ref="A852" r:id="rId1704" display="http://sports.yahoo.com/nhl/players/5769"/>
    <hyperlink ref="B852" r:id="rId1705" display="http://sports.yahoo.com/nhl/teams/phi"/>
    <hyperlink ref="A853" r:id="rId1706" display="http://sports.yahoo.com/nhl/players/3899"/>
    <hyperlink ref="B853" r:id="rId1707" display="http://sports.yahoo.com/nhl/teams/tam"/>
    <hyperlink ref="A854" r:id="rId1708" display="http://sports.yahoo.com/nhl/players/5795"/>
    <hyperlink ref="B854" r:id="rId1709" display="http://sports.yahoo.com/nhl/teams/cgy"/>
    <hyperlink ref="A855" r:id="rId1710" display="http://sports.yahoo.com/nhl/players/4777"/>
    <hyperlink ref="B855" r:id="rId1711" display="http://sports.yahoo.com/nhl/teams/wpg"/>
    <hyperlink ref="A856" r:id="rId1712" display="http://sports.yahoo.com/nhl/players/5716"/>
    <hyperlink ref="B856" r:id="rId1713" display="http://sports.yahoo.com/nhl/teams/col"/>
    <hyperlink ref="A857" r:id="rId1714" display="http://sports.yahoo.com/nhl/players/3974"/>
    <hyperlink ref="B857" r:id="rId1715" display="http://sports.yahoo.com/nhl/teams/bos"/>
    <hyperlink ref="A858" r:id="rId1716" display="http://sports.yahoo.com/nhl/players/5715"/>
    <hyperlink ref="B858" r:id="rId1717" display="http://sports.yahoo.com/nhl/teams/van"/>
    <hyperlink ref="A859" r:id="rId1718" display="http://sports.yahoo.com/nhl/players/5819"/>
    <hyperlink ref="B859" r:id="rId1719" display="http://sports.yahoo.com/nhl/teams/car"/>
    <hyperlink ref="A860" r:id="rId1720" display="http://sports.yahoo.com/nhl/players/4780"/>
    <hyperlink ref="B860" r:id="rId1721" display="http://sports.yahoo.com/nhl/teams/fla"/>
    <hyperlink ref="A861" r:id="rId1722" display="http://sports.yahoo.com/nhl/players/5372"/>
    <hyperlink ref="B861" r:id="rId1723" display="http://sports.yahoo.com/nhl/teams/col"/>
    <hyperlink ref="A862" r:id="rId1724" display="http://sports.yahoo.com/nhl/players/5929"/>
    <hyperlink ref="B862" r:id="rId1725" display="http://sports.yahoo.com/nhl/teams/tam"/>
    <hyperlink ref="A863" r:id="rId1726" display="http://sports.yahoo.com/nhl/players/5926"/>
    <hyperlink ref="B863" r:id="rId1727" display="http://sports.yahoo.com/nhl/teams/nyr"/>
    <hyperlink ref="A864" r:id="rId1728" display="http://sports.yahoo.com/nhl/players/3890"/>
    <hyperlink ref="B864" r:id="rId1729" display="http://sports.yahoo.com/nhl/teams/los"/>
    <hyperlink ref="A865" r:id="rId1730" display="http://sports.yahoo.com/nhl/players/5881"/>
    <hyperlink ref="B865" r:id="rId1731" display="http://sports.yahoo.com/nhl/teams/col"/>
    <hyperlink ref="A866" r:id="rId1732" display="http://sports.yahoo.com/nhl/players/5912"/>
    <hyperlink ref="B866" r:id="rId1733" display="http://sports.yahoo.com/nhl/teams/was"/>
    <hyperlink ref="A867" r:id="rId1734" display="http://sports.yahoo.com/nhl/players/5377"/>
    <hyperlink ref="B867" r:id="rId1735" display="http://sports.yahoo.com/nhl/teams/wpg"/>
    <hyperlink ref="A868" r:id="rId1736" display="http://sports.yahoo.com/nhl/players/3976"/>
    <hyperlink ref="B868" r:id="rId1737" display="http://sports.yahoo.com/nhl/teams/phi"/>
    <hyperlink ref="A869" r:id="rId1738" display="http://sports.yahoo.com/nhl/players/5690"/>
    <hyperlink ref="B869" r:id="rId1739" display="http://sports.yahoo.com/nhl/teams/tam"/>
    <hyperlink ref="A870" r:id="rId1740" display="http://sports.yahoo.com/nhl/players/4127"/>
    <hyperlink ref="B870" r:id="rId1741" display="http://sports.yahoo.com/nhl/teams/dal"/>
    <hyperlink ref="A871" r:id="rId1742" display="http://sports.yahoo.com/nhl/players/5213"/>
    <hyperlink ref="B871" r:id="rId1743" display="http://sports.yahoo.com/nhl/teams/col"/>
    <hyperlink ref="A872" r:id="rId1744" display="http://sports.yahoo.com/nhl/players/5220"/>
    <hyperlink ref="B872" r:id="rId1745" display="http://sports.yahoo.com/nhl/teams/col"/>
    <hyperlink ref="A873" r:id="rId1746" display="http://sports.yahoo.com/nhl/players/4134"/>
    <hyperlink ref="B873" r:id="rId1747" display="http://sports.yahoo.com/nhl/teams/nas"/>
    <hyperlink ref="A874" r:id="rId1748" display="http://sports.yahoo.com/nhl/players/5035"/>
    <hyperlink ref="B874" r:id="rId1749" display="http://sports.yahoo.com/nhl/teams/tor"/>
    <hyperlink ref="A875" r:id="rId1750" display="http://sports.yahoo.com/nhl/players/4137"/>
    <hyperlink ref="B875" r:id="rId1751" display="http://sports.yahoo.com/nhl/teams/nas"/>
    <hyperlink ref="A876" r:id="rId1752" display="http://sports.yahoo.com/nhl/players/4067"/>
    <hyperlink ref="B876" r:id="rId1753" display="http://sports.yahoo.com/nhl/teams/chi"/>
    <hyperlink ref="A877" r:id="rId1754" display="http://sports.yahoo.com/nhl/players/4057"/>
    <hyperlink ref="B877" r:id="rId1755" display="http://sports.yahoo.com/nhl/teams/san"/>
    <hyperlink ref="A878" r:id="rId1756" display="http://sports.yahoo.com/nhl/players/3977"/>
    <hyperlink ref="B878" r:id="rId1757" display="http://sports.yahoo.com/nhl/teams/was"/>
    <hyperlink ref="A879" r:id="rId1758" display="http://sports.yahoo.com/nhl/players/5707"/>
    <hyperlink ref="B879" r:id="rId1759" display="http://sports.yahoo.com/nhl/teams/ari"/>
    <hyperlink ref="A880" r:id="rId1760" display="http://sports.yahoo.com/nhl/players/5266"/>
    <hyperlink ref="B880" r:id="rId1761" display="http://sports.yahoo.com/nhl/teams/nyr"/>
    <hyperlink ref="A881" r:id="rId1762" display="http://sports.yahoo.com/nhl/players/5037"/>
    <hyperlink ref="B881" r:id="rId1763" display="http://sports.yahoo.com/nhl/teams/cgy"/>
    <hyperlink ref="A882" r:id="rId1764" display="http://sports.yahoo.com/nhl/players/4709"/>
    <hyperlink ref="B882" r:id="rId1765" display="http://sports.yahoo.com/nhl/teams/tam"/>
    <hyperlink ref="A883" r:id="rId1766" display="http://sports.yahoo.com/nhl/players/4018"/>
    <hyperlink ref="B883" r:id="rId1767" display="http://sports.yahoo.com/nhl/teams/tam"/>
    <hyperlink ref="A884" r:id="rId1768" display="http://sports.yahoo.com/nhl/players/5187"/>
    <hyperlink ref="B884" r:id="rId1769" display="http://sports.yahoo.com/nhl/teams/buf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V128"/>
  <sheetViews>
    <sheetView tabSelected="1" topLeftCell="G1" zoomScale="75" zoomScaleNormal="75" workbookViewId="0">
      <selection activeCell="G4" sqref="G4"/>
    </sheetView>
  </sheetViews>
  <sheetFormatPr defaultRowHeight="15" x14ac:dyDescent="0.25"/>
  <cols>
    <col min="1" max="1" width="9.140625" style="7"/>
    <col min="2" max="2" width="18.140625" style="7" bestFit="1" customWidth="1"/>
    <col min="3" max="5" width="9.140625" style="7"/>
    <col min="6" max="6" width="2.42578125" style="7" customWidth="1"/>
    <col min="7" max="10" width="9.140625" style="7"/>
    <col min="11" max="11" width="10.5703125" style="7" bestFit="1" customWidth="1"/>
    <col min="12" max="12" width="10.5703125" style="7" customWidth="1"/>
    <col min="13" max="13" width="10.140625" style="7" bestFit="1" customWidth="1"/>
    <col min="14" max="14" width="10.7109375" style="7" bestFit="1" customWidth="1"/>
    <col min="15" max="15" width="10.7109375" style="7" customWidth="1"/>
    <col min="16" max="16" width="7.5703125" style="7" bestFit="1" customWidth="1"/>
    <col min="17" max="17" width="9.140625" style="7"/>
    <col min="18" max="18" width="10.7109375" style="7" bestFit="1" customWidth="1"/>
    <col min="19" max="19" width="10.7109375" style="7" customWidth="1"/>
    <col min="20" max="20" width="7.5703125" style="7" bestFit="1" customWidth="1"/>
    <col min="21" max="21" width="7.5703125" style="7" customWidth="1"/>
    <col min="22" max="22" width="10.7109375" style="7" bestFit="1" customWidth="1"/>
    <col min="23" max="23" width="10.7109375" style="7" customWidth="1"/>
    <col min="24" max="24" width="7.5703125" style="7" bestFit="1" customWidth="1"/>
    <col min="25" max="25" width="7.5703125" style="7" customWidth="1"/>
    <col min="26" max="26" width="10.7109375" style="7" bestFit="1" customWidth="1"/>
    <col min="27" max="27" width="10.7109375" style="7" customWidth="1"/>
    <col min="28" max="28" width="7.5703125" style="7" bestFit="1" customWidth="1"/>
    <col min="29" max="29" width="7.5703125" style="7" customWidth="1"/>
    <col min="30" max="30" width="10.7109375" style="7" bestFit="1" customWidth="1"/>
    <col min="31" max="31" width="10.7109375" style="7" customWidth="1"/>
    <col min="32" max="32" width="7.5703125" style="7" bestFit="1" customWidth="1"/>
    <col min="33" max="33" width="7.5703125" style="7" customWidth="1"/>
    <col min="34" max="34" width="10.7109375" style="7" bestFit="1" customWidth="1"/>
    <col min="35" max="35" width="10.7109375" style="7" customWidth="1"/>
    <col min="36" max="36" width="7.5703125" style="7" bestFit="1" customWidth="1"/>
    <col min="37" max="37" width="7.5703125" style="7" customWidth="1"/>
    <col min="38" max="38" width="10.7109375" style="7" bestFit="1" customWidth="1"/>
    <col min="39" max="39" width="10.7109375" style="7" customWidth="1"/>
    <col min="40" max="41" width="7.5703125" style="7" bestFit="1" customWidth="1"/>
    <col min="42" max="42" width="11.85546875" style="7" bestFit="1" customWidth="1"/>
    <col min="43" max="43" width="15.7109375" style="7" bestFit="1" customWidth="1"/>
    <col min="44" max="59" width="11.85546875" style="7" customWidth="1"/>
    <col min="60" max="87" width="9.140625" style="7"/>
    <col min="88" max="88" width="7.5703125" style="7" bestFit="1" customWidth="1"/>
    <col min="89" max="89" width="12.5703125" style="7" customWidth="1"/>
    <col min="90" max="90" width="15.7109375" style="7" bestFit="1" customWidth="1"/>
    <col min="91" max="91" width="7.5703125" style="7" customWidth="1"/>
    <col min="92" max="92" width="12.28515625" style="7" bestFit="1" customWidth="1"/>
    <col min="93" max="93" width="12.140625" style="7" bestFit="1" customWidth="1"/>
    <col min="94" max="94" width="7.5703125" style="7" customWidth="1"/>
    <col min="95" max="95" width="11" style="7" bestFit="1" customWidth="1"/>
    <col min="96" max="96" width="10.85546875" style="7" bestFit="1" customWidth="1"/>
    <col min="97" max="98" width="9.85546875" style="7" customWidth="1"/>
    <col min="99" max="102" width="7.5703125" style="7" customWidth="1"/>
    <col min="103" max="131" width="9.140625" style="7"/>
    <col min="132" max="132" width="15.7109375" style="7" bestFit="1" customWidth="1"/>
    <col min="133" max="134" width="9.140625" style="7"/>
    <col min="135" max="135" width="12.28515625" style="7" bestFit="1" customWidth="1"/>
    <col min="136" max="136" width="11" style="7" bestFit="1" customWidth="1"/>
    <col min="137" max="137" width="11" style="7" customWidth="1"/>
    <col min="138" max="143" width="9.140625" style="7"/>
    <col min="144" max="144" width="13.85546875" style="7" bestFit="1" customWidth="1"/>
    <col min="145" max="149" width="9.140625" style="7"/>
    <col min="150" max="150" width="11.42578125" style="7" bestFit="1" customWidth="1"/>
    <col min="151" max="177" width="9.140625" style="7"/>
    <col min="178" max="178" width="18.5703125" style="7" bestFit="1" customWidth="1"/>
    <col min="179" max="16384" width="9.140625" style="7"/>
  </cols>
  <sheetData>
    <row r="1" spans="1:178" ht="15.75" thickBot="1" x14ac:dyDescent="0.3">
      <c r="G1" s="18" t="s">
        <v>191</v>
      </c>
      <c r="H1" s="19" t="s">
        <v>250</v>
      </c>
      <c r="I1" s="4" t="s">
        <v>265</v>
      </c>
      <c r="L1" s="14"/>
      <c r="M1" s="59" t="s">
        <v>259</v>
      </c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4"/>
      <c r="BD1" s="18"/>
      <c r="BE1" s="19"/>
      <c r="BF1" s="19"/>
      <c r="BG1" s="19"/>
      <c r="BH1" s="59" t="s">
        <v>260</v>
      </c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4"/>
      <c r="CU1" s="18"/>
      <c r="CV1" s="19"/>
      <c r="CW1" s="19"/>
      <c r="CX1" s="19"/>
      <c r="CY1" s="61" t="s">
        <v>261</v>
      </c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61"/>
      <c r="EA1" s="4"/>
      <c r="EH1" s="17"/>
      <c r="EI1" s="18"/>
      <c r="EJ1" s="19"/>
      <c r="EK1" s="19"/>
      <c r="EL1" s="19"/>
      <c r="EM1" s="19"/>
      <c r="EN1" s="19"/>
      <c r="EO1" s="61" t="s">
        <v>262</v>
      </c>
      <c r="EP1" s="61"/>
      <c r="EQ1" s="61"/>
      <c r="ER1" s="61"/>
      <c r="ES1" s="61"/>
      <c r="ET1" s="61"/>
      <c r="EU1" s="61"/>
      <c r="EV1" s="61"/>
      <c r="EW1" s="61"/>
      <c r="EX1" s="61"/>
      <c r="EY1" s="61"/>
      <c r="EZ1" s="61"/>
      <c r="FA1" s="61"/>
      <c r="FB1" s="61"/>
      <c r="FC1" s="61"/>
      <c r="FD1" s="61"/>
      <c r="FE1" s="61"/>
      <c r="FF1" s="61"/>
      <c r="FG1" s="61"/>
      <c r="FH1" s="61"/>
      <c r="FI1" s="61"/>
      <c r="FJ1" s="61"/>
      <c r="FK1" s="61"/>
      <c r="FL1" s="61"/>
      <c r="FM1" s="61"/>
      <c r="FN1" s="61"/>
      <c r="FO1" s="61"/>
      <c r="FP1" s="61"/>
      <c r="FQ1" s="61"/>
      <c r="FR1" s="19"/>
      <c r="FS1" s="4"/>
    </row>
    <row r="2" spans="1:178" ht="15.75" thickBot="1" x14ac:dyDescent="0.3">
      <c r="G2" s="5">
        <v>0.85</v>
      </c>
      <c r="H2" s="20">
        <v>0.05</v>
      </c>
      <c r="I2" s="11">
        <v>2.6656666666666666</v>
      </c>
      <c r="M2" s="63" t="s">
        <v>252</v>
      </c>
      <c r="N2" s="62"/>
      <c r="O2" s="62"/>
      <c r="P2" s="62"/>
      <c r="Q2" s="62" t="s">
        <v>253</v>
      </c>
      <c r="R2" s="62"/>
      <c r="S2" s="62"/>
      <c r="T2" s="62"/>
      <c r="U2" s="62" t="s">
        <v>254</v>
      </c>
      <c r="V2" s="62"/>
      <c r="W2" s="62"/>
      <c r="X2" s="62"/>
      <c r="Y2" s="62" t="s">
        <v>255</v>
      </c>
      <c r="Z2" s="62"/>
      <c r="AA2" s="62"/>
      <c r="AB2" s="62"/>
      <c r="AC2" s="62" t="s">
        <v>256</v>
      </c>
      <c r="AD2" s="62"/>
      <c r="AE2" s="62"/>
      <c r="AF2" s="62"/>
      <c r="AG2" s="62" t="s">
        <v>257</v>
      </c>
      <c r="AH2" s="62"/>
      <c r="AI2" s="62"/>
      <c r="AJ2" s="62"/>
      <c r="AK2" s="62" t="s">
        <v>258</v>
      </c>
      <c r="AL2" s="62"/>
      <c r="AM2" s="62"/>
      <c r="AN2" s="62"/>
      <c r="AO2" s="9" t="s">
        <v>251</v>
      </c>
      <c r="AR2" s="59" t="s">
        <v>302</v>
      </c>
      <c r="AS2" s="61"/>
      <c r="AT2" s="61"/>
      <c r="AU2" s="61"/>
      <c r="AV2" s="60"/>
      <c r="AW2" s="59" t="s">
        <v>303</v>
      </c>
      <c r="AX2" s="61"/>
      <c r="AY2" s="61"/>
      <c r="AZ2" s="61"/>
      <c r="BA2" s="60"/>
      <c r="BB2" s="58"/>
      <c r="BC2" s="42"/>
      <c r="BH2" s="63" t="s">
        <v>252</v>
      </c>
      <c r="BI2" s="62"/>
      <c r="BJ2" s="62"/>
      <c r="BK2" s="62"/>
      <c r="BL2" s="62" t="s">
        <v>253</v>
      </c>
      <c r="BM2" s="62"/>
      <c r="BN2" s="62"/>
      <c r="BO2" s="62"/>
      <c r="BP2" s="62" t="s">
        <v>254</v>
      </c>
      <c r="BQ2" s="62"/>
      <c r="BR2" s="62"/>
      <c r="BS2" s="62"/>
      <c r="BT2" s="62" t="s">
        <v>255</v>
      </c>
      <c r="BU2" s="62"/>
      <c r="BV2" s="62"/>
      <c r="BW2" s="62"/>
      <c r="BX2" s="62" t="s">
        <v>256</v>
      </c>
      <c r="BY2" s="62"/>
      <c r="BZ2" s="62"/>
      <c r="CA2" s="62"/>
      <c r="CB2" s="62" t="s">
        <v>257</v>
      </c>
      <c r="CC2" s="62"/>
      <c r="CD2" s="62"/>
      <c r="CE2" s="62"/>
      <c r="CF2" s="62" t="s">
        <v>258</v>
      </c>
      <c r="CG2" s="62"/>
      <c r="CH2" s="62"/>
      <c r="CI2" s="62"/>
      <c r="CJ2" s="9" t="s">
        <v>251</v>
      </c>
      <c r="CM2" s="59" t="s">
        <v>304</v>
      </c>
      <c r="CN2" s="61"/>
      <c r="CO2" s="60"/>
      <c r="CP2" s="59" t="s">
        <v>305</v>
      </c>
      <c r="CQ2" s="61"/>
      <c r="CR2" s="60"/>
      <c r="CS2" s="58"/>
      <c r="CT2" s="42"/>
      <c r="CU2" s="6"/>
      <c r="CY2" s="62" t="s">
        <v>252</v>
      </c>
      <c r="CZ2" s="62"/>
      <c r="DA2" s="62"/>
      <c r="DB2" s="62"/>
      <c r="DC2" s="62" t="s">
        <v>253</v>
      </c>
      <c r="DD2" s="62"/>
      <c r="DE2" s="62"/>
      <c r="DF2" s="62"/>
      <c r="DG2" s="62" t="s">
        <v>254</v>
      </c>
      <c r="DH2" s="62"/>
      <c r="DI2" s="62"/>
      <c r="DJ2" s="62"/>
      <c r="DK2" s="62" t="s">
        <v>255</v>
      </c>
      <c r="DL2" s="62"/>
      <c r="DM2" s="62"/>
      <c r="DN2" s="62"/>
      <c r="DO2" s="62" t="s">
        <v>256</v>
      </c>
      <c r="DP2" s="62"/>
      <c r="DQ2" s="62"/>
      <c r="DR2" s="62"/>
      <c r="DS2" s="62" t="s">
        <v>257</v>
      </c>
      <c r="DT2" s="62"/>
      <c r="DU2" s="62"/>
      <c r="DV2" s="62"/>
      <c r="DW2" s="62" t="s">
        <v>258</v>
      </c>
      <c r="DX2" s="62"/>
      <c r="DY2" s="62"/>
      <c r="DZ2" s="62"/>
      <c r="EA2" s="9" t="s">
        <v>251</v>
      </c>
      <c r="EB2" s="7" t="s">
        <v>311</v>
      </c>
      <c r="ED2" s="18"/>
      <c r="EE2" s="61" t="s">
        <v>263</v>
      </c>
      <c r="EF2" s="60"/>
      <c r="EG2" s="28"/>
      <c r="EI2" s="6"/>
      <c r="EO2" s="62" t="s">
        <v>252</v>
      </c>
      <c r="EP2" s="62"/>
      <c r="EQ2" s="62"/>
      <c r="ER2" s="62"/>
      <c r="ES2" s="62" t="s">
        <v>253</v>
      </c>
      <c r="ET2" s="62"/>
      <c r="EU2" s="62"/>
      <c r="EV2" s="62"/>
      <c r="EW2" s="62"/>
      <c r="EX2" s="62" t="s">
        <v>254</v>
      </c>
      <c r="EY2" s="62"/>
      <c r="EZ2" s="62"/>
      <c r="FA2" s="62"/>
      <c r="FB2" s="62" t="s">
        <v>255</v>
      </c>
      <c r="FC2" s="62"/>
      <c r="FD2" s="62"/>
      <c r="FE2" s="62"/>
      <c r="FF2" s="62" t="s">
        <v>256</v>
      </c>
      <c r="FG2" s="62"/>
      <c r="FH2" s="62"/>
      <c r="FI2" s="62"/>
      <c r="FJ2" s="62" t="s">
        <v>257</v>
      </c>
      <c r="FK2" s="62"/>
      <c r="FL2" s="62"/>
      <c r="FM2" s="62"/>
      <c r="FN2" s="62" t="s">
        <v>258</v>
      </c>
      <c r="FO2" s="62"/>
      <c r="FP2" s="62"/>
      <c r="FQ2" s="62"/>
      <c r="FR2" s="7" t="s">
        <v>251</v>
      </c>
      <c r="FS2" s="9"/>
      <c r="FT2" s="7" t="s">
        <v>311</v>
      </c>
      <c r="FV2" s="12" t="s">
        <v>301</v>
      </c>
    </row>
    <row r="3" spans="1:178" x14ac:dyDescent="0.25">
      <c r="A3" s="12" t="s">
        <v>227</v>
      </c>
      <c r="B3" s="12" t="s">
        <v>192</v>
      </c>
      <c r="C3" s="12" t="s">
        <v>175</v>
      </c>
      <c r="D3" s="12" t="s">
        <v>225</v>
      </c>
      <c r="E3" s="12" t="s">
        <v>226</v>
      </c>
      <c r="F3" s="8"/>
      <c r="G3" s="12" t="s">
        <v>244</v>
      </c>
      <c r="H3" s="12" t="s">
        <v>245</v>
      </c>
      <c r="I3" s="12" t="s">
        <v>246</v>
      </c>
      <c r="J3" s="12" t="s">
        <v>249</v>
      </c>
      <c r="K3" s="12" t="s">
        <v>264</v>
      </c>
      <c r="L3" s="12" t="s">
        <v>266</v>
      </c>
      <c r="M3" s="21" t="s">
        <v>268</v>
      </c>
      <c r="N3" s="12" t="s">
        <v>248</v>
      </c>
      <c r="O3" s="12" t="s">
        <v>267</v>
      </c>
      <c r="P3" s="25" t="s">
        <v>251</v>
      </c>
      <c r="Q3" s="12" t="s">
        <v>247</v>
      </c>
      <c r="R3" s="12" t="s">
        <v>248</v>
      </c>
      <c r="S3" s="12" t="s">
        <v>267</v>
      </c>
      <c r="T3" s="25" t="s">
        <v>251</v>
      </c>
      <c r="U3" s="12" t="s">
        <v>247</v>
      </c>
      <c r="V3" s="12" t="s">
        <v>248</v>
      </c>
      <c r="W3" s="12" t="s">
        <v>267</v>
      </c>
      <c r="X3" s="25" t="s">
        <v>251</v>
      </c>
      <c r="Y3" s="12" t="s">
        <v>247</v>
      </c>
      <c r="Z3" s="12" t="s">
        <v>248</v>
      </c>
      <c r="AA3" s="12" t="s">
        <v>267</v>
      </c>
      <c r="AB3" s="25" t="s">
        <v>251</v>
      </c>
      <c r="AC3" s="12" t="s">
        <v>247</v>
      </c>
      <c r="AD3" s="12" t="s">
        <v>248</v>
      </c>
      <c r="AE3" s="12" t="s">
        <v>267</v>
      </c>
      <c r="AF3" s="25" t="s">
        <v>251</v>
      </c>
      <c r="AG3" s="12" t="s">
        <v>247</v>
      </c>
      <c r="AH3" s="12" t="s">
        <v>248</v>
      </c>
      <c r="AI3" s="12" t="s">
        <v>267</v>
      </c>
      <c r="AJ3" s="25" t="s">
        <v>251</v>
      </c>
      <c r="AK3" s="12" t="s">
        <v>247</v>
      </c>
      <c r="AL3" s="12" t="s">
        <v>248</v>
      </c>
      <c r="AM3" s="12" t="s">
        <v>267</v>
      </c>
      <c r="AN3" s="25" t="s">
        <v>251</v>
      </c>
      <c r="AO3" s="9"/>
      <c r="AQ3" s="12" t="s">
        <v>311</v>
      </c>
      <c r="AR3" s="6"/>
      <c r="AS3" s="7" t="s">
        <v>252</v>
      </c>
      <c r="AT3" s="7" t="s">
        <v>253</v>
      </c>
      <c r="AU3" s="7" t="s">
        <v>254</v>
      </c>
      <c r="AV3" s="24" t="s">
        <v>255</v>
      </c>
      <c r="AW3" s="16"/>
      <c r="AX3" s="13" t="s">
        <v>252</v>
      </c>
      <c r="AY3" s="13" t="s">
        <v>253</v>
      </c>
      <c r="AZ3" s="13" t="s">
        <v>254</v>
      </c>
      <c r="BA3" s="24" t="s">
        <v>255</v>
      </c>
      <c r="BB3" s="13"/>
      <c r="BC3" s="13"/>
      <c r="BD3" s="12" t="s">
        <v>269</v>
      </c>
      <c r="BE3" s="12" t="s">
        <v>225</v>
      </c>
      <c r="BF3" s="12" t="s">
        <v>226</v>
      </c>
      <c r="BG3" s="12" t="s">
        <v>266</v>
      </c>
      <c r="BH3" s="21" t="s">
        <v>247</v>
      </c>
      <c r="BI3" s="12" t="s">
        <v>248</v>
      </c>
      <c r="BJ3" s="12" t="s">
        <v>267</v>
      </c>
      <c r="BK3" s="25" t="s">
        <v>251</v>
      </c>
      <c r="BL3" s="12" t="s">
        <v>247</v>
      </c>
      <c r="BM3" s="12" t="s">
        <v>248</v>
      </c>
      <c r="BN3" s="12" t="s">
        <v>267</v>
      </c>
      <c r="BO3" s="25" t="s">
        <v>251</v>
      </c>
      <c r="BP3" s="12" t="s">
        <v>247</v>
      </c>
      <c r="BQ3" s="12" t="s">
        <v>248</v>
      </c>
      <c r="BR3" s="12" t="s">
        <v>267</v>
      </c>
      <c r="BS3" s="25" t="s">
        <v>251</v>
      </c>
      <c r="BT3" s="12" t="s">
        <v>247</v>
      </c>
      <c r="BU3" s="12" t="s">
        <v>248</v>
      </c>
      <c r="BV3" s="12"/>
      <c r="BW3" s="25" t="s">
        <v>251</v>
      </c>
      <c r="BX3" s="12" t="s">
        <v>247</v>
      </c>
      <c r="BY3" s="12" t="s">
        <v>248</v>
      </c>
      <c r="BZ3" s="12" t="s">
        <v>267</v>
      </c>
      <c r="CA3" s="25" t="s">
        <v>251</v>
      </c>
      <c r="CB3" s="12" t="s">
        <v>247</v>
      </c>
      <c r="CC3" s="12" t="s">
        <v>248</v>
      </c>
      <c r="CD3" s="12" t="s">
        <v>267</v>
      </c>
      <c r="CE3" s="25" t="s">
        <v>251</v>
      </c>
      <c r="CF3" s="12" t="s">
        <v>247</v>
      </c>
      <c r="CG3" s="12" t="s">
        <v>248</v>
      </c>
      <c r="CH3" s="12" t="s">
        <v>267</v>
      </c>
      <c r="CI3" s="25" t="s">
        <v>251</v>
      </c>
      <c r="CJ3" s="9"/>
      <c r="CL3" s="12" t="s">
        <v>311</v>
      </c>
      <c r="CM3" s="6"/>
      <c r="CN3" s="7" t="s">
        <v>252</v>
      </c>
      <c r="CO3" s="9" t="s">
        <v>253</v>
      </c>
      <c r="CP3" s="6"/>
      <c r="CQ3" s="7" t="s">
        <v>252</v>
      </c>
      <c r="CR3" s="24" t="s">
        <v>253</v>
      </c>
      <c r="CS3" s="13"/>
      <c r="CT3" s="13"/>
      <c r="CU3" s="21" t="s">
        <v>269</v>
      </c>
      <c r="CV3" s="12" t="s">
        <v>225</v>
      </c>
      <c r="CW3" s="12" t="s">
        <v>226</v>
      </c>
      <c r="CX3" s="12" t="s">
        <v>266</v>
      </c>
      <c r="CY3" s="12" t="s">
        <v>247</v>
      </c>
      <c r="CZ3" s="12" t="s">
        <v>248</v>
      </c>
      <c r="DA3" s="12" t="s">
        <v>267</v>
      </c>
      <c r="DB3" s="25" t="s">
        <v>251</v>
      </c>
      <c r="DC3" s="12" t="s">
        <v>247</v>
      </c>
      <c r="DD3" s="12" t="s">
        <v>248</v>
      </c>
      <c r="DE3" s="12" t="s">
        <v>267</v>
      </c>
      <c r="DF3" s="25" t="s">
        <v>251</v>
      </c>
      <c r="DG3" s="12" t="s">
        <v>247</v>
      </c>
      <c r="DH3" s="12" t="s">
        <v>248</v>
      </c>
      <c r="DI3" s="12" t="s">
        <v>267</v>
      </c>
      <c r="DJ3" s="25" t="s">
        <v>251</v>
      </c>
      <c r="DK3" s="12" t="s">
        <v>247</v>
      </c>
      <c r="DL3" s="12" t="s">
        <v>248</v>
      </c>
      <c r="DM3" s="12" t="s">
        <v>267</v>
      </c>
      <c r="DN3" s="25" t="s">
        <v>251</v>
      </c>
      <c r="DO3" s="12" t="s">
        <v>247</v>
      </c>
      <c r="DP3" s="12" t="s">
        <v>248</v>
      </c>
      <c r="DQ3" s="12" t="s">
        <v>267</v>
      </c>
      <c r="DR3" s="25" t="s">
        <v>251</v>
      </c>
      <c r="DS3" s="12" t="s">
        <v>247</v>
      </c>
      <c r="DT3" s="12" t="s">
        <v>248</v>
      </c>
      <c r="DU3" s="12" t="s">
        <v>267</v>
      </c>
      <c r="DV3" s="25" t="s">
        <v>251</v>
      </c>
      <c r="DW3" s="12" t="s">
        <v>247</v>
      </c>
      <c r="DX3" s="12" t="s">
        <v>248</v>
      </c>
      <c r="DY3" s="12" t="s">
        <v>267</v>
      </c>
      <c r="DZ3" s="25" t="s">
        <v>251</v>
      </c>
      <c r="EA3" s="9"/>
      <c r="ED3" s="6"/>
      <c r="EE3" s="7" t="s">
        <v>227</v>
      </c>
      <c r="EF3" s="9" t="s">
        <v>228</v>
      </c>
      <c r="EI3" s="6"/>
      <c r="EK3" s="12" t="s">
        <v>269</v>
      </c>
      <c r="EL3" s="12" t="s">
        <v>225</v>
      </c>
      <c r="EM3" s="12" t="s">
        <v>226</v>
      </c>
      <c r="EN3" s="12" t="s">
        <v>266</v>
      </c>
      <c r="EO3" s="12" t="s">
        <v>247</v>
      </c>
      <c r="EP3" s="12" t="s">
        <v>248</v>
      </c>
      <c r="EQ3" s="12" t="s">
        <v>267</v>
      </c>
      <c r="ER3" s="25" t="s">
        <v>251</v>
      </c>
      <c r="ES3" s="12" t="s">
        <v>247</v>
      </c>
      <c r="ET3" s="12" t="s">
        <v>248</v>
      </c>
      <c r="EU3" s="12"/>
      <c r="EV3" s="12" t="s">
        <v>267</v>
      </c>
      <c r="EW3" s="25" t="s">
        <v>251</v>
      </c>
      <c r="EX3" s="12" t="s">
        <v>247</v>
      </c>
      <c r="EY3" s="12" t="s">
        <v>248</v>
      </c>
      <c r="EZ3" s="12" t="s">
        <v>267</v>
      </c>
      <c r="FA3" s="25" t="s">
        <v>251</v>
      </c>
      <c r="FB3" s="12" t="s">
        <v>247</v>
      </c>
      <c r="FC3" s="12" t="s">
        <v>248</v>
      </c>
      <c r="FD3" s="12" t="s">
        <v>267</v>
      </c>
      <c r="FE3" s="25" t="s">
        <v>251</v>
      </c>
      <c r="FF3" s="12" t="s">
        <v>247</v>
      </c>
      <c r="FG3" s="12" t="s">
        <v>248</v>
      </c>
      <c r="FH3" s="12" t="s">
        <v>267</v>
      </c>
      <c r="FI3" s="25" t="s">
        <v>251</v>
      </c>
      <c r="FJ3" s="12" t="s">
        <v>247</v>
      </c>
      <c r="FK3" s="12" t="s">
        <v>248</v>
      </c>
      <c r="FL3" s="12" t="s">
        <v>267</v>
      </c>
      <c r="FM3" s="25" t="s">
        <v>251</v>
      </c>
      <c r="FN3" s="12" t="s">
        <v>247</v>
      </c>
      <c r="FO3" s="12" t="s">
        <v>248</v>
      </c>
      <c r="FP3" s="12" t="s">
        <v>267</v>
      </c>
      <c r="FQ3" s="25" t="s">
        <v>251</v>
      </c>
      <c r="FS3" s="9"/>
      <c r="FT3" s="7">
        <f ca="1">7-(COUNTIF(ER4,"")+COUNTIF(EW4,"")+COUNTIF(EZ4,"")+COUNTIF(FD4,"")+COUNTIF(FI4,"")+COUNTIF(FM4,"")+COUNTIF(FQ4,""))</f>
        <v>7</v>
      </c>
      <c r="FU3" s="7">
        <v>1</v>
      </c>
      <c r="FV3" s="7" t="str">
        <f ca="1">FR4</f>
        <v>Tampa Bay</v>
      </c>
    </row>
    <row r="4" spans="1:178" x14ac:dyDescent="0.25">
      <c r="A4" s="7">
        <v>1</v>
      </c>
      <c r="B4" s="7" t="s">
        <v>229</v>
      </c>
      <c r="C4" s="7">
        <v>0.85356636710209888</v>
      </c>
      <c r="D4" s="7">
        <v>2.56</v>
      </c>
      <c r="E4" s="7">
        <v>2.2000000000000002</v>
      </c>
      <c r="F4" s="8"/>
      <c r="G4" s="7">
        <v>1</v>
      </c>
      <c r="H4" s="7">
        <v>1</v>
      </c>
      <c r="I4" s="7">
        <v>0.85356636710209888</v>
      </c>
      <c r="J4" s="7">
        <v>2.56</v>
      </c>
      <c r="K4" s="7">
        <v>2.2000000000000002</v>
      </c>
      <c r="L4" s="7">
        <v>2.3743333333333334</v>
      </c>
      <c r="M4" s="22">
        <v>0.82883032252359479</v>
      </c>
      <c r="N4" s="7">
        <v>3</v>
      </c>
      <c r="O4" s="7">
        <v>3.2448004906279326</v>
      </c>
      <c r="P4" s="26">
        <v>8</v>
      </c>
      <c r="Q4" s="7">
        <v>0.84457013270901504</v>
      </c>
      <c r="R4" s="7">
        <v>5</v>
      </c>
      <c r="S4" s="7">
        <v>5.2448004906279326</v>
      </c>
      <c r="T4" s="26">
        <v>1</v>
      </c>
      <c r="U4" s="7">
        <v>0.83676261384349415</v>
      </c>
      <c r="V4" s="7">
        <v>1</v>
      </c>
      <c r="W4" s="7">
        <v>1</v>
      </c>
      <c r="X4" s="26">
        <v>8</v>
      </c>
      <c r="Y4" s="7">
        <v>0.85591109238087659</v>
      </c>
      <c r="Z4" s="7">
        <v>3</v>
      </c>
      <c r="AA4" s="7">
        <v>3</v>
      </c>
      <c r="AB4" s="26">
        <v>8</v>
      </c>
      <c r="AC4" s="7">
        <v>0.82626546952770097</v>
      </c>
      <c r="AD4" s="7">
        <v>1</v>
      </c>
      <c r="AE4" s="7">
        <v>1.2448004906279326</v>
      </c>
      <c r="AF4" s="26">
        <v>1</v>
      </c>
      <c r="AG4" s="7">
        <v>0.86988834151652117</v>
      </c>
      <c r="AH4" s="7">
        <v>1</v>
      </c>
      <c r="AI4" s="7">
        <v>1</v>
      </c>
      <c r="AJ4" s="26">
        <v>1</v>
      </c>
      <c r="AK4" s="7">
        <v>0.91359045727139754</v>
      </c>
      <c r="AL4" s="7">
        <v>2</v>
      </c>
      <c r="AM4" s="7">
        <v>2.2448004906279326</v>
      </c>
      <c r="AN4" s="26">
        <v>8</v>
      </c>
      <c r="AO4" s="9">
        <v>8</v>
      </c>
      <c r="AP4" s="7" t="s">
        <v>317</v>
      </c>
      <c r="AQ4" s="7">
        <v>7</v>
      </c>
      <c r="AR4" s="6">
        <v>1</v>
      </c>
      <c r="AS4" s="7" t="s">
        <v>317</v>
      </c>
      <c r="AT4" s="7" t="s">
        <v>230</v>
      </c>
      <c r="AU4" s="7" t="s">
        <v>243</v>
      </c>
      <c r="AV4" s="9" t="s">
        <v>242</v>
      </c>
      <c r="AW4" s="6">
        <v>1</v>
      </c>
      <c r="AX4" s="7" t="s">
        <v>241</v>
      </c>
      <c r="AY4" s="7" t="s">
        <v>239</v>
      </c>
      <c r="AZ4" s="7" t="s">
        <v>238</v>
      </c>
      <c r="BA4" s="9" t="s">
        <v>240</v>
      </c>
      <c r="BB4" s="7">
        <v>8</v>
      </c>
      <c r="BC4" s="7" t="s">
        <v>317</v>
      </c>
      <c r="BD4" s="7">
        <v>0.85244480647711773</v>
      </c>
      <c r="BE4" s="7">
        <v>2.77</v>
      </c>
      <c r="BF4" s="7">
        <v>2.48</v>
      </c>
      <c r="BG4" s="7">
        <v>2.5843333333333334</v>
      </c>
      <c r="BH4" s="6">
        <v>0.84667947401647825</v>
      </c>
      <c r="BI4" s="7">
        <v>3</v>
      </c>
      <c r="BJ4" s="7">
        <v>3</v>
      </c>
      <c r="BK4" s="26">
        <v>4</v>
      </c>
      <c r="BL4" s="7">
        <v>0.83396196916419862</v>
      </c>
      <c r="BM4" s="7">
        <v>1</v>
      </c>
      <c r="BN4" s="7">
        <v>1</v>
      </c>
      <c r="BO4" s="26">
        <v>4</v>
      </c>
      <c r="BP4" s="7">
        <v>0.93626798995623517</v>
      </c>
      <c r="BQ4" s="7">
        <v>3</v>
      </c>
      <c r="BR4" s="7">
        <v>3.2448004906279326</v>
      </c>
      <c r="BS4" s="26">
        <v>4</v>
      </c>
      <c r="BT4" s="7">
        <v>0.84072404805931011</v>
      </c>
      <c r="BU4" s="7">
        <v>1</v>
      </c>
      <c r="BV4" s="7">
        <v>1.2448004906279326</v>
      </c>
      <c r="BW4" s="26">
        <v>8</v>
      </c>
      <c r="BX4" s="7">
        <v>0.87487817850258676</v>
      </c>
      <c r="BY4" s="7">
        <v>0</v>
      </c>
      <c r="BZ4" s="7">
        <v>0</v>
      </c>
      <c r="CA4" s="26">
        <v>4</v>
      </c>
      <c r="CB4" s="7">
        <v>0.87939295132619821</v>
      </c>
      <c r="CC4" s="7">
        <v>1</v>
      </c>
      <c r="CD4" s="7">
        <v>1.2448004906279326</v>
      </c>
      <c r="CE4" s="26" t="s">
        <v>1227</v>
      </c>
      <c r="CF4" s="7">
        <v>0.88529164948668448</v>
      </c>
      <c r="CG4" s="7">
        <v>7</v>
      </c>
      <c r="CH4" s="7">
        <v>6</v>
      </c>
      <c r="CI4" s="26" t="s">
        <v>1227</v>
      </c>
      <c r="CJ4" s="9">
        <v>4</v>
      </c>
      <c r="CK4" s="7" t="s">
        <v>230</v>
      </c>
      <c r="CL4" s="7">
        <v>5</v>
      </c>
      <c r="CM4" s="6">
        <v>1</v>
      </c>
      <c r="CN4" s="7" t="s">
        <v>230</v>
      </c>
      <c r="CO4" s="9" t="s">
        <v>242</v>
      </c>
      <c r="CP4" s="6">
        <v>1</v>
      </c>
      <c r="CQ4" s="7" t="s">
        <v>241</v>
      </c>
      <c r="CR4" s="9" t="s">
        <v>240</v>
      </c>
      <c r="CS4" s="7">
        <v>4</v>
      </c>
      <c r="CT4" s="7" t="s">
        <v>230</v>
      </c>
      <c r="CU4" s="6">
        <v>0.85565630099333079</v>
      </c>
      <c r="CV4" s="7">
        <v>3.12</v>
      </c>
      <c r="CW4" s="7">
        <v>2.48</v>
      </c>
      <c r="CX4" s="7">
        <v>2.7043333333333335</v>
      </c>
      <c r="CY4" s="7">
        <v>0.79354044424173664</v>
      </c>
      <c r="CZ4" s="7">
        <v>0</v>
      </c>
      <c r="DA4" s="7">
        <v>0</v>
      </c>
      <c r="DB4" s="26">
        <v>2</v>
      </c>
      <c r="DC4" s="7">
        <v>0.87663026990001303</v>
      </c>
      <c r="DD4" s="7">
        <v>4</v>
      </c>
      <c r="DE4" s="7">
        <v>4</v>
      </c>
      <c r="DF4" s="26">
        <v>4</v>
      </c>
      <c r="DG4" s="7">
        <v>0.77521108750246293</v>
      </c>
      <c r="DH4" s="7">
        <v>4</v>
      </c>
      <c r="DI4" s="7">
        <v>4.2448004906279326</v>
      </c>
      <c r="DJ4" s="26">
        <v>4</v>
      </c>
      <c r="DK4" s="7">
        <v>0.88858340665183633</v>
      </c>
      <c r="DL4" s="7">
        <v>0</v>
      </c>
      <c r="DM4" s="7">
        <v>0.24480049062793263</v>
      </c>
      <c r="DN4" s="26">
        <v>2</v>
      </c>
      <c r="DO4" s="7">
        <v>0.84707009637146136</v>
      </c>
      <c r="DP4" s="7">
        <v>5</v>
      </c>
      <c r="DQ4" s="7">
        <v>5.2448004906279326</v>
      </c>
      <c r="DR4" s="26">
        <v>4</v>
      </c>
      <c r="DS4" s="7">
        <v>0.85961945167696663</v>
      </c>
      <c r="DT4" s="7">
        <v>3</v>
      </c>
      <c r="DU4" s="7">
        <v>3.2448004906279326</v>
      </c>
      <c r="DV4" s="26">
        <v>4</v>
      </c>
      <c r="DW4" s="7">
        <v>0.87115285599284153</v>
      </c>
      <c r="DX4" s="7">
        <v>4</v>
      </c>
      <c r="DY4" s="7">
        <v>4</v>
      </c>
      <c r="DZ4" s="26" t="s">
        <v>1227</v>
      </c>
      <c r="EA4" s="9">
        <v>4</v>
      </c>
      <c r="EB4" s="7">
        <v>6</v>
      </c>
      <c r="ED4" s="6">
        <v>1</v>
      </c>
      <c r="EE4" s="7" t="str">
        <f>VLOOKUP(MAX(EA4:EA8),A4:E11,2,0)</f>
        <v>Tampa Bay</v>
      </c>
      <c r="EF4" s="9" t="str">
        <f>VLOOKUP(MAX(EA17:EA21),A17:E24,2,0)</f>
        <v>Minnesota</v>
      </c>
      <c r="EI4" s="6">
        <f>EA4</f>
        <v>4</v>
      </c>
      <c r="EJ4" s="7" t="str">
        <f>EE4</f>
        <v>Tampa Bay</v>
      </c>
      <c r="EK4" s="7">
        <f>VLOOKUP($EI$4,$A$4:$E$11,3,0)</f>
        <v>0.85565630099333079</v>
      </c>
      <c r="EL4" s="7">
        <f>VLOOKUP($EI$4,$A$4:$E$11,4,0)</f>
        <v>3.12</v>
      </c>
      <c r="EM4" s="7">
        <f>VLOOKUP($EI$4,$A$4:$E$11,5,0)</f>
        <v>2.48</v>
      </c>
      <c r="EN4" s="7">
        <f>EL4-(I2-EM8)</f>
        <v>2.8443333333333336</v>
      </c>
      <c r="EO4" s="7">
        <f ca="1">_xlfn.NORM.INV(RAND(),EK4,$G$2*$H$2)</f>
        <v>0.85698039050286234</v>
      </c>
      <c r="EP4" s="7">
        <f ca="1">ranpoi(EN4*EO4,(RAND()*EO4))</f>
        <v>3</v>
      </c>
      <c r="EQ4" s="7">
        <f ca="1">IF(EP4&gt;6,6,IF(EI4&lt;EI8,EP4+$C$27,EP4))</f>
        <v>3.2448004906279326</v>
      </c>
      <c r="ER4" s="26" t="str">
        <f ca="1">IF(EQ4&gt;EQ8,EJ4,EJ8)</f>
        <v>Tampa Bay</v>
      </c>
      <c r="ES4" s="7">
        <f ca="1">_xlfn.NORM.INV(RAND(),EK4,$G$2*$H$2)</f>
        <v>0.88075507560800004</v>
      </c>
      <c r="ET4" s="7">
        <f ca="1">ranpoi(EN4*ES4,(RAND()*ES4))</f>
        <v>5</v>
      </c>
      <c r="EV4" s="7">
        <f>IF(EU4&gt;6,6,IF(EI4&lt;EI8,EU4+$C$27,EU4))</f>
        <v>0.24480049062793263</v>
      </c>
      <c r="EW4" s="26" t="str">
        <f>IF(EV4&gt;EV8,EJ4,EJ8)</f>
        <v>Tampa Bay</v>
      </c>
      <c r="EX4" s="7">
        <f ca="1">_xlfn.NORM.INV(RAND(),EK4,$G$2*$H$2)</f>
        <v>0.89633249469378484</v>
      </c>
      <c r="EY4" s="7">
        <f ca="1">ranpoi(EN4*EX4,(RAND()*EX4))</f>
        <v>0</v>
      </c>
      <c r="EZ4" s="7">
        <f ca="1">IF(EY4&gt;6,6,IF(EI4&gt;EI8,EY4+$C$27,EY4))</f>
        <v>0</v>
      </c>
      <c r="FA4" s="26" t="str">
        <f ca="1">IF(EZ4&gt;EZ8,EJ4,EJ8)</f>
        <v>Minnesota</v>
      </c>
      <c r="FB4" s="7">
        <f ca="1">_xlfn.NORM.INV(RAND(),EK4,$G$2*$H$2)</f>
        <v>0.87910818794552781</v>
      </c>
      <c r="FC4" s="7">
        <f ca="1">ranpoi(EN4*FB4,(RAND()*FB4))</f>
        <v>1</v>
      </c>
      <c r="FD4" s="7">
        <f ca="1">IF(FC4&gt;6,6,IF(EI4&gt;EI8,FC4+$C$27,FC4))</f>
        <v>1</v>
      </c>
      <c r="FE4" s="26" t="str">
        <f ca="1">IF(FD4&gt;FD8,EJ4,EJ8)</f>
        <v>Minnesota</v>
      </c>
      <c r="FF4" s="7">
        <f ca="1">_xlfn.NORM.INV(RAND(),EK4,$G$2*$H$2)</f>
        <v>0.89353361553864996</v>
      </c>
      <c r="FG4" s="7">
        <f ca="1">ranpoi(EN4*FF4,(RAND()*FF4))</f>
        <v>8</v>
      </c>
      <c r="FH4" s="7">
        <f ca="1">IF(FG4&gt;6,6,IF(EI4&lt;EI8,FG4+$C$27,FG4))</f>
        <v>6</v>
      </c>
      <c r="FI4" s="26" t="str">
        <f ca="1">IF((COUNTIF(ER4:ER5,EJ4)+COUNTIF(EW4:EW5,EJ4)+COUNTIF(FA4:FA5,EJ4)+COUNTIF(FE4:FE5,EJ4))=4,"",IF((COUNTIF(ER4:ER5,EJ8)+COUNTIF(EW4:EW5,EJ8)+COUNTIF(FA4:FA5,EJ8)+COUNTIF(FE4:FE5,EJ8))=4,"",IF(FH4&gt;FH8,EJ4,EJ8)))</f>
        <v>Minnesota</v>
      </c>
      <c r="FJ4" s="7">
        <f ca="1">_xlfn.NORM.INV(RAND(),EK4,$G$2*$H$2)</f>
        <v>0.88324242933576658</v>
      </c>
      <c r="FK4" s="7">
        <f ca="1">ranpoi(EN4*FJ4,(RAND()*FJ4))</f>
        <v>1</v>
      </c>
      <c r="FL4" s="7">
        <f ca="1">IF(FK4&gt;6,6,IF(EI4&gt;EI8,FK4+$C$27,FK4))</f>
        <v>1</v>
      </c>
      <c r="FM4" s="26" t="str">
        <f ca="1">IF((COUNTIF(ER4:ER5,EJ4)+COUNTIF(EW4:EW5,EJ4)+COUNTIF(FA4:FA5,EJ4)+COUNTIF(FE4:FE5,EJ4)+COUNTIF(FI4:FI5,EJ4))=4,"",IF((COUNTIF(ER4:ER5,EJ8)+COUNTIF(EW4:EW5,EJ8)+COUNTIF(FA4:FA5,EJ8)+COUNTIF(FE4:FE5,EJ8)+COUNTIF(FI4:FI5,EJ8))=4,"",IF(FL4&gt;FL8,EJ4,EJ8)))</f>
        <v>Tampa Bay</v>
      </c>
      <c r="FN4" s="7">
        <f ca="1">_xlfn.NORM.INV(RAND(),EK4,$G$2*$H$2)</f>
        <v>0.77687513124180863</v>
      </c>
      <c r="FO4" s="7">
        <f ca="1">ranpoi(EN4*FN4,(RAND()*FN4))</f>
        <v>4</v>
      </c>
      <c r="FP4" s="7">
        <f ca="1">IF(FO4&gt;6,6,IF(EI4&lt;EI8,FO4+$C$27,FO4))</f>
        <v>4.2448004906279326</v>
      </c>
      <c r="FQ4" s="26" t="str">
        <f ca="1">IF((COUNTIF(ER4:ER5,EJ4)+COUNTIF(EW4:EW5,EJ4)+COUNTIF(FA4:FA5,EJ4)+COUNTIF(FE4:FE5,EJ4)+COUNTIF(FI4:FI5,EJ4)+COUNTIF(FM4:FM5,EJ4))=4,"",IF((COUNTIF(ER4:ER5,EJ8)+COUNTIF(EW4:EW5,EJ8)+COUNTIF(FA4:FA5,EJ8)+COUNTIF(FE4:FE5,EJ8)+COUNTIF(FI4:FI5,EJ8)+COUNTIF(FM4:FM5,EJ8))=4,"",IF(FP4&gt;FP8,EJ4,EJ8)))</f>
        <v>Tampa Bay</v>
      </c>
      <c r="FR4" s="7" t="str">
        <f ca="1">IF((COUNTIF(ER4:ER5,EJ4)+COUNTIF(EW4:EW5,EJ4)+COUNTIF(FA4:FA5,EJ4)+COUNTIF(FE4:FE5,EJ4)+COUNTIF(FI4:FI5,EJ4)+COUNTIF(FM4:FM5,EJ4)+COUNTIF(FQ4:FQ5,EJ4)&gt;COUNTIF(ER4:ER5,EJ8)+COUNTIF(EW4:EW5,EJ8)+COUNTIF(FA4:FA5,EJ8)+COUNTIF(FE4:FE5,EJ8)+COUNTIF(FI4:FI5,EJ8)+COUNTIF(FM4:FM5,EJ8)+COUNTIF(FQ4:FQ5,EJ8)),EJ4,EJ8)</f>
        <v>Tampa Bay</v>
      </c>
      <c r="FS4" s="9"/>
      <c r="FU4" s="7">
        <v>2</v>
      </c>
      <c r="FV4" s="7" t="str">
        <f t="dataTable" ref="FV4:FV102" dt2D="0" dtr="0" r1="FT11" ca="1"/>
        <v>Tampa Bay</v>
      </c>
    </row>
    <row r="5" spans="1:178" x14ac:dyDescent="0.25">
      <c r="A5" s="7">
        <v>2</v>
      </c>
      <c r="B5" s="7" t="s">
        <v>242</v>
      </c>
      <c r="C5" s="7">
        <v>0.85692546667350944</v>
      </c>
      <c r="D5" s="7">
        <v>2.99</v>
      </c>
      <c r="E5" s="7">
        <v>2.25</v>
      </c>
      <c r="F5" s="8"/>
      <c r="H5" s="7">
        <v>8</v>
      </c>
      <c r="I5" s="7">
        <v>0.85244480647711773</v>
      </c>
      <c r="J5" s="7">
        <v>2.77</v>
      </c>
      <c r="K5" s="7">
        <v>2.48</v>
      </c>
      <c r="L5" s="7">
        <v>2.3043333333333336</v>
      </c>
      <c r="M5" s="22">
        <v>0.89930268596777385</v>
      </c>
      <c r="N5" s="7">
        <v>15</v>
      </c>
      <c r="O5" s="7">
        <v>6</v>
      </c>
      <c r="P5" s="26"/>
      <c r="Q5" s="7">
        <v>0.87166996804046581</v>
      </c>
      <c r="R5" s="7">
        <v>1</v>
      </c>
      <c r="S5" s="7">
        <v>1</v>
      </c>
      <c r="T5" s="26"/>
      <c r="U5" s="7">
        <v>0.79406335627709124</v>
      </c>
      <c r="V5" s="7">
        <v>1</v>
      </c>
      <c r="W5" s="7">
        <v>1.2448004906279326</v>
      </c>
      <c r="X5" s="26"/>
      <c r="Y5" s="7">
        <v>0.80476829296791541</v>
      </c>
      <c r="Z5" s="7">
        <v>6</v>
      </c>
      <c r="AA5" s="7">
        <v>6.2448004906279326</v>
      </c>
      <c r="AB5" s="26"/>
      <c r="AC5" s="7">
        <v>0.92646206662268493</v>
      </c>
      <c r="AD5" s="7">
        <v>1</v>
      </c>
      <c r="AE5" s="7">
        <v>1</v>
      </c>
      <c r="AF5" s="26"/>
      <c r="AG5" s="7">
        <v>0.91061682040351366</v>
      </c>
      <c r="AH5" s="7">
        <v>0</v>
      </c>
      <c r="AI5" s="7">
        <v>0.24480049062793263</v>
      </c>
      <c r="AJ5" s="26"/>
      <c r="AK5" s="7">
        <v>0.79230856218875145</v>
      </c>
      <c r="AL5" s="7">
        <v>3</v>
      </c>
      <c r="AM5" s="7">
        <v>3</v>
      </c>
      <c r="AN5" s="26"/>
      <c r="AO5" s="9"/>
      <c r="AR5" s="6">
        <v>2</v>
      </c>
      <c r="AS5" s="7" t="s">
        <v>229</v>
      </c>
      <c r="AT5" s="7" t="s">
        <v>236</v>
      </c>
      <c r="AU5" s="7" t="s">
        <v>243</v>
      </c>
      <c r="AV5" s="9" t="s">
        <v>242</v>
      </c>
      <c r="AW5" s="6">
        <v>2</v>
      </c>
      <c r="AX5" s="7" t="s">
        <v>241</v>
      </c>
      <c r="AY5" s="7" t="s">
        <v>233</v>
      </c>
      <c r="AZ5" s="7" t="s">
        <v>237</v>
      </c>
      <c r="BA5" s="9" t="s">
        <v>240</v>
      </c>
      <c r="BH5" s="6"/>
      <c r="BK5" s="26"/>
      <c r="BO5" s="26"/>
      <c r="BS5" s="26"/>
      <c r="BW5" s="26"/>
      <c r="CA5" s="26"/>
      <c r="CE5" s="26"/>
      <c r="CI5" s="26"/>
      <c r="CJ5" s="9"/>
      <c r="CM5" s="6">
        <v>2</v>
      </c>
      <c r="CN5" s="7" t="s">
        <v>229</v>
      </c>
      <c r="CO5" s="9" t="s">
        <v>242</v>
      </c>
      <c r="CP5" s="6">
        <v>2</v>
      </c>
      <c r="CQ5" s="7" t="s">
        <v>239</v>
      </c>
      <c r="CR5" s="9" t="s">
        <v>240</v>
      </c>
      <c r="CU5" s="6"/>
      <c r="DB5" s="26"/>
      <c r="DF5" s="26"/>
      <c r="DJ5" s="26"/>
      <c r="DN5" s="26"/>
      <c r="DR5" s="26"/>
      <c r="DV5" s="26"/>
      <c r="DZ5" s="26"/>
      <c r="EA5" s="9"/>
      <c r="ED5" s="6">
        <v>2</v>
      </c>
      <c r="EE5" s="7" t="str">
        <f t="dataTable" ref="EE5:EF103" dt2D="0" dtr="0" r1="EC6"/>
        <v>Tampa Bay</v>
      </c>
      <c r="EF5" s="9" t="str">
        <v>Minnesota</v>
      </c>
      <c r="EI5" s="6"/>
      <c r="ER5" s="26"/>
      <c r="EW5" s="26"/>
      <c r="FA5" s="26"/>
      <c r="FE5" s="26"/>
      <c r="FI5" s="26"/>
      <c r="FM5" s="26"/>
      <c r="FQ5" s="26"/>
      <c r="FS5" s="9"/>
      <c r="FU5" s="7">
        <v>3</v>
      </c>
      <c r="FV5" s="7" t="str">
        <v>Tampa Bay</v>
      </c>
    </row>
    <row r="6" spans="1:178" x14ac:dyDescent="0.25">
      <c r="A6" s="7">
        <v>3</v>
      </c>
      <c r="B6" s="7" t="s">
        <v>232</v>
      </c>
      <c r="C6" s="7">
        <v>0.85443832764071237</v>
      </c>
      <c r="D6" s="7">
        <v>2.84</v>
      </c>
      <c r="E6" s="7">
        <v>2.39</v>
      </c>
      <c r="F6" s="8"/>
      <c r="G6" s="7">
        <v>2</v>
      </c>
      <c r="H6" s="7">
        <v>4</v>
      </c>
      <c r="I6" s="7">
        <v>0.85565630099333079</v>
      </c>
      <c r="J6" s="7">
        <v>3.12</v>
      </c>
      <c r="K6" s="7">
        <v>2.48</v>
      </c>
      <c r="L6" s="7">
        <v>2.9743333333333335</v>
      </c>
      <c r="M6" s="22">
        <v>0.8785195809877584</v>
      </c>
      <c r="N6" s="7">
        <v>5</v>
      </c>
      <c r="O6" s="7">
        <v>5.2448004906279326</v>
      </c>
      <c r="P6" s="26">
        <v>4</v>
      </c>
      <c r="Q6" s="7">
        <v>0.86020527787164591</v>
      </c>
      <c r="R6" s="7">
        <v>2</v>
      </c>
      <c r="S6" s="7">
        <v>2.2448004906279326</v>
      </c>
      <c r="T6" s="26">
        <v>5</v>
      </c>
      <c r="U6" s="7">
        <v>0.87872159544170192</v>
      </c>
      <c r="V6" s="7">
        <v>1</v>
      </c>
      <c r="W6" s="7">
        <v>1</v>
      </c>
      <c r="X6" s="26">
        <v>5</v>
      </c>
      <c r="Y6" s="7">
        <v>0.88029590377494038</v>
      </c>
      <c r="Z6" s="7">
        <v>3</v>
      </c>
      <c r="AA6" s="7">
        <v>3</v>
      </c>
      <c r="AB6" s="26">
        <v>4</v>
      </c>
      <c r="AC6" s="7">
        <v>0.79100220226818418</v>
      </c>
      <c r="AD6" s="7">
        <v>4</v>
      </c>
      <c r="AE6" s="7">
        <v>4.2448004906279326</v>
      </c>
      <c r="AF6" s="26">
        <v>4</v>
      </c>
      <c r="AG6" s="7">
        <v>0.76300727441778871</v>
      </c>
      <c r="AH6" s="7">
        <v>6</v>
      </c>
      <c r="AI6" s="7">
        <v>6</v>
      </c>
      <c r="AJ6" s="26">
        <v>4</v>
      </c>
      <c r="AK6" s="7">
        <v>0.77001519062260604</v>
      </c>
      <c r="AL6" s="7">
        <v>1</v>
      </c>
      <c r="AM6" s="7">
        <v>1.2448004906279326</v>
      </c>
      <c r="AN6" s="26" t="s">
        <v>1227</v>
      </c>
      <c r="AO6" s="9">
        <v>4</v>
      </c>
      <c r="AP6" s="7" t="s">
        <v>230</v>
      </c>
      <c r="AQ6" s="7">
        <v>6</v>
      </c>
      <c r="AR6" s="6">
        <v>3</v>
      </c>
      <c r="AS6" s="7" t="s">
        <v>229</v>
      </c>
      <c r="AT6" s="7" t="s">
        <v>230</v>
      </c>
      <c r="AU6" s="7" t="s">
        <v>243</v>
      </c>
      <c r="AV6" s="9" t="s">
        <v>231</v>
      </c>
      <c r="AW6" s="6">
        <v>3</v>
      </c>
      <c r="AX6" s="7" t="s">
        <v>235</v>
      </c>
      <c r="AY6" s="7" t="s">
        <v>239</v>
      </c>
      <c r="AZ6" s="7" t="s">
        <v>237</v>
      </c>
      <c r="BA6" s="9" t="s">
        <v>234</v>
      </c>
      <c r="BB6" s="7">
        <v>4</v>
      </c>
      <c r="BC6" s="7" t="s">
        <v>230</v>
      </c>
      <c r="BD6" s="7">
        <v>0.85565630099333079</v>
      </c>
      <c r="BE6" s="7">
        <v>3.12</v>
      </c>
      <c r="BF6" s="7">
        <v>2.48</v>
      </c>
      <c r="BG6" s="7">
        <v>2.9343333333333335</v>
      </c>
      <c r="BH6" s="6">
        <v>0.83726808954443399</v>
      </c>
      <c r="BI6" s="7">
        <v>3</v>
      </c>
      <c r="BJ6" s="7">
        <v>3.2448004906279326</v>
      </c>
      <c r="BK6" s="26"/>
      <c r="BL6" s="7">
        <v>0.92464340763167896</v>
      </c>
      <c r="BM6" s="7">
        <v>5</v>
      </c>
      <c r="BN6" s="7">
        <v>5.2448004906279326</v>
      </c>
      <c r="BO6" s="26"/>
      <c r="BP6" s="7">
        <v>0.90872068832613462</v>
      </c>
      <c r="BQ6" s="7">
        <v>16</v>
      </c>
      <c r="BR6" s="7">
        <v>6</v>
      </c>
      <c r="BS6" s="26"/>
      <c r="BT6" s="7">
        <v>0.82601249641502117</v>
      </c>
      <c r="BU6" s="7">
        <v>0</v>
      </c>
      <c r="BV6" s="7">
        <v>0</v>
      </c>
      <c r="BW6" s="26"/>
      <c r="BX6" s="7">
        <v>0.81590850901697776</v>
      </c>
      <c r="BY6" s="7">
        <v>11</v>
      </c>
      <c r="BZ6" s="7">
        <v>6</v>
      </c>
      <c r="CA6" s="26"/>
      <c r="CB6" s="7">
        <v>0.85941849039934093</v>
      </c>
      <c r="CC6" s="7">
        <v>3</v>
      </c>
      <c r="CD6" s="7">
        <v>3</v>
      </c>
      <c r="CE6" s="26"/>
      <c r="CF6" s="7">
        <v>0.87118413069199907</v>
      </c>
      <c r="CG6" s="7">
        <v>2</v>
      </c>
      <c r="CH6" s="7">
        <v>2.2448004906279326</v>
      </c>
      <c r="CI6" s="26"/>
      <c r="CJ6" s="9"/>
      <c r="CM6" s="6">
        <v>3</v>
      </c>
      <c r="CN6" s="7" t="s">
        <v>229</v>
      </c>
      <c r="CO6" s="9" t="s">
        <v>232</v>
      </c>
      <c r="CP6" s="6">
        <v>3</v>
      </c>
      <c r="CQ6" s="7" t="s">
        <v>241</v>
      </c>
      <c r="CR6" s="9" t="s">
        <v>237</v>
      </c>
      <c r="CU6" s="6"/>
      <c r="DB6" s="26"/>
      <c r="DF6" s="26"/>
      <c r="DJ6" s="26"/>
      <c r="DN6" s="26"/>
      <c r="DR6" s="26"/>
      <c r="DV6" s="26"/>
      <c r="DZ6" s="26"/>
      <c r="EA6" s="9"/>
      <c r="ED6" s="6">
        <v>3</v>
      </c>
      <c r="EE6" s="7" t="str">
        <v>Tampa Bay</v>
      </c>
      <c r="EF6" s="9" t="str">
        <v>Minnesota</v>
      </c>
      <c r="EI6" s="6"/>
      <c r="ER6" s="26"/>
      <c r="EW6" s="26"/>
      <c r="FA6" s="26"/>
      <c r="FE6" s="26"/>
      <c r="FI6" s="26"/>
      <c r="FM6" s="26"/>
      <c r="FQ6" s="26"/>
      <c r="FS6" s="9"/>
      <c r="FU6" s="7">
        <v>4</v>
      </c>
      <c r="FV6" s="7" t="str">
        <v>Minnesota</v>
      </c>
    </row>
    <row r="7" spans="1:178" x14ac:dyDescent="0.25">
      <c r="A7" s="7">
        <v>4</v>
      </c>
      <c r="B7" s="7" t="s">
        <v>230</v>
      </c>
      <c r="C7" s="7">
        <v>0.85565630099333079</v>
      </c>
      <c r="D7" s="7">
        <v>3.12</v>
      </c>
      <c r="E7" s="7">
        <v>2.48</v>
      </c>
      <c r="F7" s="8"/>
      <c r="H7" s="7">
        <v>5</v>
      </c>
      <c r="I7" s="7">
        <v>0.85139829919535248</v>
      </c>
      <c r="J7" s="7">
        <v>2.76</v>
      </c>
      <c r="K7" s="7">
        <v>2.52</v>
      </c>
      <c r="L7" s="7">
        <v>2.5743333333333331</v>
      </c>
      <c r="M7" s="22">
        <v>0.83442792427478296</v>
      </c>
      <c r="N7" s="7">
        <v>0</v>
      </c>
      <c r="O7" s="7">
        <v>0</v>
      </c>
      <c r="P7" s="26"/>
      <c r="Q7" s="7">
        <v>0.86298491621884887</v>
      </c>
      <c r="R7" s="7">
        <v>3</v>
      </c>
      <c r="S7" s="7">
        <v>3</v>
      </c>
      <c r="T7" s="26"/>
      <c r="U7" s="7">
        <v>0.82451904932296738</v>
      </c>
      <c r="V7" s="7">
        <v>8</v>
      </c>
      <c r="W7" s="7">
        <v>6</v>
      </c>
      <c r="X7" s="26"/>
      <c r="Y7" s="7">
        <v>0.78897538441962123</v>
      </c>
      <c r="Z7" s="7">
        <v>1</v>
      </c>
      <c r="AA7" s="7">
        <v>1.2448004906279326</v>
      </c>
      <c r="AB7" s="26"/>
      <c r="AC7" s="7">
        <v>0.93307240852497808</v>
      </c>
      <c r="AD7" s="7">
        <v>2</v>
      </c>
      <c r="AE7" s="7">
        <v>2</v>
      </c>
      <c r="AF7" s="26"/>
      <c r="AG7" s="7">
        <v>0.81075386381601455</v>
      </c>
      <c r="AH7" s="7">
        <v>0</v>
      </c>
      <c r="AI7" s="7">
        <v>0.24480049062793263</v>
      </c>
      <c r="AJ7" s="26"/>
      <c r="AK7" s="7">
        <v>0.83691562235623573</v>
      </c>
      <c r="AL7" s="7">
        <v>1</v>
      </c>
      <c r="AM7" s="7">
        <v>1</v>
      </c>
      <c r="AN7" s="26"/>
      <c r="AO7" s="9"/>
      <c r="AR7" s="6">
        <v>4</v>
      </c>
      <c r="AS7" s="7" t="s">
        <v>317</v>
      </c>
      <c r="AT7" s="7" t="s">
        <v>236</v>
      </c>
      <c r="AU7" s="7" t="s">
        <v>243</v>
      </c>
      <c r="AV7" s="9" t="s">
        <v>231</v>
      </c>
      <c r="AW7" s="6">
        <v>4</v>
      </c>
      <c r="AX7" s="7" t="s">
        <v>235</v>
      </c>
      <c r="AY7" s="7" t="s">
        <v>233</v>
      </c>
      <c r="AZ7" s="7" t="s">
        <v>238</v>
      </c>
      <c r="BA7" s="9" t="s">
        <v>240</v>
      </c>
      <c r="BH7" s="6"/>
      <c r="BK7" s="26"/>
      <c r="BO7" s="26"/>
      <c r="BS7" s="26"/>
      <c r="BW7" s="26"/>
      <c r="CA7" s="26"/>
      <c r="CE7" s="26"/>
      <c r="CI7" s="26"/>
      <c r="CJ7" s="9"/>
      <c r="CM7" s="6">
        <v>4</v>
      </c>
      <c r="CN7" s="7" t="s">
        <v>229</v>
      </c>
      <c r="CO7" s="9" t="s">
        <v>243</v>
      </c>
      <c r="CP7" s="6">
        <v>4</v>
      </c>
      <c r="CQ7" s="7" t="s">
        <v>235</v>
      </c>
      <c r="CR7" s="9" t="s">
        <v>234</v>
      </c>
      <c r="CU7" s="6"/>
      <c r="DB7" s="26"/>
      <c r="DF7" s="26"/>
      <c r="DJ7" s="26"/>
      <c r="DN7" s="26"/>
      <c r="DR7" s="26"/>
      <c r="DV7" s="26"/>
      <c r="DZ7" s="26"/>
      <c r="EA7" s="9"/>
      <c r="ED7" s="6">
        <v>4</v>
      </c>
      <c r="EE7" s="7" t="str">
        <v>Tampa Bay</v>
      </c>
      <c r="EF7" s="9" t="str">
        <v>Minnesota</v>
      </c>
      <c r="EI7" s="6"/>
      <c r="ER7" s="26"/>
      <c r="EW7" s="26"/>
      <c r="FA7" s="26"/>
      <c r="FE7" s="26"/>
      <c r="FI7" s="26"/>
      <c r="FM7" s="26"/>
      <c r="FQ7" s="26"/>
      <c r="FS7" s="9"/>
      <c r="FU7" s="7">
        <v>5</v>
      </c>
      <c r="FV7" s="7" t="str">
        <v>Tampa Bay</v>
      </c>
    </row>
    <row r="8" spans="1:178" ht="15.75" thickBot="1" x14ac:dyDescent="0.3">
      <c r="A8" s="7">
        <v>5</v>
      </c>
      <c r="B8" s="7" t="s">
        <v>236</v>
      </c>
      <c r="C8" s="7">
        <v>0.85139829919535248</v>
      </c>
      <c r="D8" s="7">
        <v>2.76</v>
      </c>
      <c r="E8" s="7">
        <v>2.52</v>
      </c>
      <c r="F8" s="8"/>
      <c r="G8" s="7">
        <v>3</v>
      </c>
      <c r="H8" s="7">
        <v>3</v>
      </c>
      <c r="I8" s="7">
        <v>0.85443832764071237</v>
      </c>
      <c r="J8" s="7">
        <v>2.84</v>
      </c>
      <c r="K8" s="7">
        <v>2.39</v>
      </c>
      <c r="L8" s="7">
        <v>2.8543333333333334</v>
      </c>
      <c r="M8" s="22">
        <v>0.8344281446816052</v>
      </c>
      <c r="N8" s="7">
        <v>1</v>
      </c>
      <c r="O8" s="7">
        <v>1.2448004906279326</v>
      </c>
      <c r="P8" s="26">
        <v>3</v>
      </c>
      <c r="Q8" s="7">
        <v>0.86481765041692249</v>
      </c>
      <c r="R8" s="7">
        <v>5</v>
      </c>
      <c r="S8" s="7">
        <v>5.2448004906279326</v>
      </c>
      <c r="T8" s="26">
        <v>6</v>
      </c>
      <c r="U8" s="7">
        <v>0.81949130110722879</v>
      </c>
      <c r="V8" s="7">
        <v>7</v>
      </c>
      <c r="W8" s="7">
        <v>6</v>
      </c>
      <c r="X8" s="26">
        <v>3</v>
      </c>
      <c r="Y8" s="7">
        <v>0.8803886554110234</v>
      </c>
      <c r="Z8" s="7">
        <v>2</v>
      </c>
      <c r="AA8" s="7">
        <v>2</v>
      </c>
      <c r="AB8" s="26">
        <v>3</v>
      </c>
      <c r="AC8" s="7">
        <v>0.92183002903063871</v>
      </c>
      <c r="AD8" s="7">
        <v>4</v>
      </c>
      <c r="AE8" s="7">
        <v>4.2448004906279326</v>
      </c>
      <c r="AF8" s="26">
        <v>6</v>
      </c>
      <c r="AG8" s="7">
        <v>0.81897342444045129</v>
      </c>
      <c r="AH8" s="7">
        <v>6</v>
      </c>
      <c r="AI8" s="7">
        <v>6</v>
      </c>
      <c r="AJ8" s="26">
        <v>3</v>
      </c>
      <c r="AK8" s="7">
        <v>0.81637474966350487</v>
      </c>
      <c r="AL8" s="7">
        <v>6</v>
      </c>
      <c r="AM8" s="7">
        <v>6.2448004906279326</v>
      </c>
      <c r="AN8" s="26" t="s">
        <v>1227</v>
      </c>
      <c r="AO8" s="9">
        <v>6</v>
      </c>
      <c r="AP8" s="7" t="s">
        <v>243</v>
      </c>
      <c r="AQ8" s="7">
        <v>6</v>
      </c>
      <c r="AR8" s="6">
        <v>5</v>
      </c>
      <c r="AS8" s="7" t="s">
        <v>229</v>
      </c>
      <c r="AT8" s="7" t="s">
        <v>236</v>
      </c>
      <c r="AU8" s="7" t="s">
        <v>232</v>
      </c>
      <c r="AV8" s="9" t="s">
        <v>242</v>
      </c>
      <c r="AW8" s="6">
        <v>5</v>
      </c>
      <c r="AX8" s="7" t="s">
        <v>241</v>
      </c>
      <c r="AY8" s="7" t="s">
        <v>239</v>
      </c>
      <c r="AZ8" s="7" t="s">
        <v>237</v>
      </c>
      <c r="BA8" s="9" t="s">
        <v>234</v>
      </c>
      <c r="BB8" s="7">
        <v>6</v>
      </c>
      <c r="BC8" s="7" t="s">
        <v>243</v>
      </c>
      <c r="BD8" s="7">
        <v>0.85262198663292521</v>
      </c>
      <c r="BE8" s="7">
        <v>2.94</v>
      </c>
      <c r="BF8" s="7">
        <v>2.68</v>
      </c>
      <c r="BG8" s="7">
        <v>2.5243333333333333</v>
      </c>
      <c r="BH8" s="6">
        <v>0.81117596818774862</v>
      </c>
      <c r="BI8" s="7">
        <v>3</v>
      </c>
      <c r="BJ8" s="7">
        <v>3</v>
      </c>
      <c r="BK8" s="26">
        <v>2</v>
      </c>
      <c r="BL8" s="7">
        <v>0.88924924111937009</v>
      </c>
      <c r="BM8" s="7">
        <v>6</v>
      </c>
      <c r="BN8" s="7">
        <v>6</v>
      </c>
      <c r="BO8" s="26">
        <v>6</v>
      </c>
      <c r="BP8" s="7">
        <v>0.81192308282325765</v>
      </c>
      <c r="BQ8" s="7">
        <v>6</v>
      </c>
      <c r="BR8" s="7">
        <v>6.2448004906279326</v>
      </c>
      <c r="BS8" s="26">
        <v>6</v>
      </c>
      <c r="BT8" s="7">
        <v>0.8317174863012412</v>
      </c>
      <c r="BU8" s="7">
        <v>0</v>
      </c>
      <c r="BV8" s="7">
        <v>0.24480049062793263</v>
      </c>
      <c r="BW8" s="26">
        <v>2</v>
      </c>
      <c r="BX8" s="7">
        <v>0.90629617963413556</v>
      </c>
      <c r="BY8" s="7">
        <v>3</v>
      </c>
      <c r="BZ8" s="7">
        <v>3</v>
      </c>
      <c r="CA8" s="26">
        <v>6</v>
      </c>
      <c r="CB8" s="7">
        <v>0.86554756227443164</v>
      </c>
      <c r="CC8" s="7">
        <v>2</v>
      </c>
      <c r="CD8" s="7">
        <v>2.2448004906279326</v>
      </c>
      <c r="CE8" s="26">
        <v>2</v>
      </c>
      <c r="CF8" s="7">
        <v>0.81274515710170059</v>
      </c>
      <c r="CG8" s="7">
        <v>1</v>
      </c>
      <c r="CH8" s="7">
        <v>1</v>
      </c>
      <c r="CI8" s="26">
        <v>2</v>
      </c>
      <c r="CJ8" s="9">
        <v>2</v>
      </c>
      <c r="CK8" s="7" t="s">
        <v>242</v>
      </c>
      <c r="CL8" s="7">
        <v>7</v>
      </c>
      <c r="CM8" s="6">
        <v>5</v>
      </c>
      <c r="CN8" s="7" t="s">
        <v>317</v>
      </c>
      <c r="CO8" s="9" t="s">
        <v>243</v>
      </c>
      <c r="CP8" s="6">
        <v>5</v>
      </c>
      <c r="CQ8" s="7" t="s">
        <v>233</v>
      </c>
      <c r="CR8" s="9" t="s">
        <v>240</v>
      </c>
      <c r="CS8" s="7">
        <v>2</v>
      </c>
      <c r="CT8" s="7" t="s">
        <v>242</v>
      </c>
      <c r="CU8" s="6">
        <v>0.85692546667350944</v>
      </c>
      <c r="CV8" s="7">
        <v>2.99</v>
      </c>
      <c r="CW8" s="7">
        <v>2.25</v>
      </c>
      <c r="CX8" s="7">
        <v>2.8043333333333336</v>
      </c>
      <c r="CY8" s="7">
        <v>0.88268946008230853</v>
      </c>
      <c r="CZ8" s="7">
        <v>1</v>
      </c>
      <c r="DA8" s="7">
        <v>1.2448004906279326</v>
      </c>
      <c r="DB8" s="26"/>
      <c r="DC8" s="7">
        <v>0.78159612111023469</v>
      </c>
      <c r="DD8" s="7">
        <v>2</v>
      </c>
      <c r="DE8" s="7">
        <v>2.2448004906279326</v>
      </c>
      <c r="DF8" s="26"/>
      <c r="DG8" s="7">
        <v>0.9039778866409931</v>
      </c>
      <c r="DH8" s="7">
        <v>0</v>
      </c>
      <c r="DI8" s="7">
        <v>0</v>
      </c>
      <c r="DJ8" s="26"/>
      <c r="DK8" s="7">
        <v>0.86737976815054785</v>
      </c>
      <c r="DL8" s="7">
        <v>2</v>
      </c>
      <c r="DM8" s="7">
        <v>2</v>
      </c>
      <c r="DN8" s="26"/>
      <c r="DO8" s="7">
        <v>0.86112746172096943</v>
      </c>
      <c r="DP8" s="7">
        <v>2</v>
      </c>
      <c r="DQ8" s="7">
        <v>2</v>
      </c>
      <c r="DR8" s="26"/>
      <c r="DS8" s="7">
        <v>0.81677014881529053</v>
      </c>
      <c r="DT8" s="7">
        <v>0</v>
      </c>
      <c r="DU8" s="7">
        <v>0</v>
      </c>
      <c r="DV8" s="26"/>
      <c r="DW8" s="7">
        <v>0.90124690623116799</v>
      </c>
      <c r="DX8" s="7">
        <v>13</v>
      </c>
      <c r="DY8" s="7">
        <v>6</v>
      </c>
      <c r="DZ8" s="26"/>
      <c r="EA8" s="9"/>
      <c r="ED8" s="6">
        <v>5</v>
      </c>
      <c r="EE8" s="7" t="str">
        <v>Tampa Bay</v>
      </c>
      <c r="EF8" s="9" t="str">
        <v>Minnesota</v>
      </c>
      <c r="EI8" s="5">
        <f>EA17</f>
        <v>8</v>
      </c>
      <c r="EJ8" s="10" t="str">
        <f>EF4</f>
        <v>Minnesota</v>
      </c>
      <c r="EK8" s="10">
        <f>VLOOKUP($EI$8,$A$17:$E$24,3,0)</f>
        <v>0.8539339014846371</v>
      </c>
      <c r="EL8" s="10">
        <f>VLOOKUP($EI$8,$A$17:$E$24,4,0)</f>
        <v>2.74</v>
      </c>
      <c r="EM8" s="10">
        <f>VLOOKUP($EI$8,$A$17:$E$24,5,0)</f>
        <v>2.39</v>
      </c>
      <c r="EN8" s="10">
        <f>EL8-(I2-EM4)</f>
        <v>2.5543333333333336</v>
      </c>
      <c r="EO8" s="10">
        <f t="shared" ref="EO8" ca="1" si="0">_xlfn.NORM.INV(RAND(),EK8,$G$2*$H$2)</f>
        <v>0.89364624271574555</v>
      </c>
      <c r="EP8" s="10">
        <f t="shared" ref="EP8" ca="1" si="1">ranpoi(EN8*EO8,(RAND()*EO8))</f>
        <v>2</v>
      </c>
      <c r="EQ8" s="7">
        <f ca="1">IF(EP8&gt;6,6,IF(EI8&lt;EI4,EP8+$C$27,EP8))</f>
        <v>2</v>
      </c>
      <c r="ER8" s="27"/>
      <c r="ES8" s="10">
        <f ca="1">_xlfn.NORM.INV(RAND(),EK8,$G$2*$H$2)</f>
        <v>0.79857947493823167</v>
      </c>
      <c r="ET8" s="10">
        <f t="shared" ref="ET8" ca="1" si="2">ranpoi(EN8*ES8,(RAND()*ES8))</f>
        <v>2</v>
      </c>
      <c r="EU8" s="10"/>
      <c r="EV8" s="7">
        <f>IF(EU8&gt;6,6,IF(EI8&lt;EI4,EU8+$C$27,EU8))</f>
        <v>0</v>
      </c>
      <c r="EW8" s="27"/>
      <c r="EX8" s="10">
        <f ca="1">_xlfn.NORM.INV(RAND(),EK8,$G$2*$H$2)</f>
        <v>0.79158950109714177</v>
      </c>
      <c r="EY8" s="10">
        <f t="shared" ref="EY8" ca="1" si="3">ranpoi(EN8*EX8,(RAND()*EX8))</f>
        <v>3</v>
      </c>
      <c r="EZ8" s="7">
        <f ca="1">IF(EY8&gt;6,6,IF(EI8&gt;EI4,EY8+$C$27,EY8))</f>
        <v>3.2448004906279326</v>
      </c>
      <c r="FA8" s="27"/>
      <c r="FB8" s="10">
        <f ca="1">_xlfn.NORM.INV(RAND(),EK8,$G$2*$H$2)</f>
        <v>0.90265167047926254</v>
      </c>
      <c r="FC8" s="10">
        <f t="shared" ref="FC8" ca="1" si="4">ranpoi(EN8*FB8,(RAND()*FB8))</f>
        <v>10</v>
      </c>
      <c r="FD8" s="7">
        <f ca="1">IF(FC8&gt;6,6,IF(EI8&gt;EI4,FC8+$C$27,FC8))</f>
        <v>6</v>
      </c>
      <c r="FE8" s="27"/>
      <c r="FF8" s="10">
        <f ca="1">_xlfn.NORM.INV(RAND(),EK8,$G$2*$H$2)</f>
        <v>0.84989362936438506</v>
      </c>
      <c r="FG8" s="10">
        <f t="shared" ref="FG8" ca="1" si="5">ranpoi(EN8*FF8,(RAND()*FF8))</f>
        <v>12</v>
      </c>
      <c r="FH8" s="7">
        <f ca="1">IF(FG8&gt;6,6,IF(EI8&lt;EI4,FG8+$C$27,FG8))</f>
        <v>6</v>
      </c>
      <c r="FI8" s="27"/>
      <c r="FJ8" s="10">
        <f ca="1">_xlfn.NORM.INV(RAND(),EK8,$G$2*$H$2)</f>
        <v>0.81288900157805932</v>
      </c>
      <c r="FK8" s="10">
        <f t="shared" ref="FK8" ca="1" si="6">ranpoi(EN8*FJ8,(RAND()*FJ8))</f>
        <v>0</v>
      </c>
      <c r="FL8" s="7">
        <f ca="1">IF(FK8&gt;6,6,IF(EI8&gt;EI4,FK8+$C$27,FK8))</f>
        <v>0.24480049062793263</v>
      </c>
      <c r="FM8" s="27"/>
      <c r="FN8" s="10">
        <f ca="1">_xlfn.NORM.INV(RAND(),EK8,$G$2*$H$2)</f>
        <v>0.89727468994289339</v>
      </c>
      <c r="FO8" s="10">
        <f t="shared" ref="FO8" ca="1" si="7">ranpoi(EN8*FN8,(RAND()*FN8))</f>
        <v>1</v>
      </c>
      <c r="FP8" s="7">
        <f ca="1">IF(FO8&gt;6,6,IF(EI8&lt;EI4,FO8+$C$27,FO8))</f>
        <v>1</v>
      </c>
      <c r="FQ8" s="27"/>
      <c r="FR8" s="10"/>
      <c r="FS8" s="11"/>
      <c r="FU8" s="7">
        <v>6</v>
      </c>
      <c r="FV8" s="7" t="str">
        <v>Tampa Bay</v>
      </c>
    </row>
    <row r="9" spans="1:178" ht="15.75" thickBot="1" x14ac:dyDescent="0.3">
      <c r="A9" s="7">
        <v>6</v>
      </c>
      <c r="B9" s="7" t="s">
        <v>243</v>
      </c>
      <c r="C9" s="7">
        <v>0.85262198663292521</v>
      </c>
      <c r="D9" s="7">
        <v>2.94</v>
      </c>
      <c r="E9" s="7">
        <v>2.68</v>
      </c>
      <c r="F9" s="8"/>
      <c r="H9" s="7">
        <v>6</v>
      </c>
      <c r="I9" s="7">
        <v>0.85262198663292521</v>
      </c>
      <c r="J9" s="7">
        <v>2.94</v>
      </c>
      <c r="K9" s="7">
        <v>2.68</v>
      </c>
      <c r="L9" s="7">
        <v>2.6643333333333334</v>
      </c>
      <c r="M9" s="22">
        <v>0.83743255471705325</v>
      </c>
      <c r="N9" s="7">
        <v>1</v>
      </c>
      <c r="O9" s="7">
        <v>1</v>
      </c>
      <c r="P9" s="26"/>
      <c r="Q9" s="7">
        <v>0.82614149360864542</v>
      </c>
      <c r="R9" s="7">
        <v>9</v>
      </c>
      <c r="S9" s="7">
        <v>6</v>
      </c>
      <c r="T9" s="26"/>
      <c r="U9" s="7">
        <v>0.86787318475129682</v>
      </c>
      <c r="V9" s="7">
        <v>1</v>
      </c>
      <c r="W9" s="7">
        <v>1.2448004906279326</v>
      </c>
      <c r="X9" s="26"/>
      <c r="Y9" s="7">
        <v>0.88561204661172355</v>
      </c>
      <c r="Z9" s="7">
        <v>0</v>
      </c>
      <c r="AA9" s="7">
        <v>0.24480049062793263</v>
      </c>
      <c r="AB9" s="26"/>
      <c r="AC9" s="7">
        <v>0.84042907288891044</v>
      </c>
      <c r="AD9" s="7">
        <v>6</v>
      </c>
      <c r="AE9" s="7">
        <v>6</v>
      </c>
      <c r="AF9" s="26"/>
      <c r="AG9" s="7">
        <v>0.87178033265822663</v>
      </c>
      <c r="AH9" s="7">
        <v>2</v>
      </c>
      <c r="AI9" s="7">
        <v>2.2448004906279326</v>
      </c>
      <c r="AJ9" s="26"/>
      <c r="AK9" s="7">
        <v>0.88027281329394547</v>
      </c>
      <c r="AL9" s="7">
        <v>1</v>
      </c>
      <c r="AM9" s="7">
        <v>1</v>
      </c>
      <c r="AN9" s="26"/>
      <c r="AO9" s="9"/>
      <c r="AR9" s="6">
        <v>6</v>
      </c>
      <c r="AS9" s="7" t="s">
        <v>229</v>
      </c>
      <c r="AT9" s="7" t="s">
        <v>230</v>
      </c>
      <c r="AU9" s="7" t="s">
        <v>243</v>
      </c>
      <c r="AV9" s="9" t="s">
        <v>231</v>
      </c>
      <c r="AW9" s="6">
        <v>6</v>
      </c>
      <c r="AX9" s="7" t="s">
        <v>235</v>
      </c>
      <c r="AY9" s="7" t="s">
        <v>239</v>
      </c>
      <c r="AZ9" s="7" t="s">
        <v>238</v>
      </c>
      <c r="BA9" s="9" t="s">
        <v>240</v>
      </c>
      <c r="BH9" s="6"/>
      <c r="BK9" s="26"/>
      <c r="BO9" s="26"/>
      <c r="BS9" s="26"/>
      <c r="BW9" s="26"/>
      <c r="CA9" s="26"/>
      <c r="CE9" s="26"/>
      <c r="CI9" s="26"/>
      <c r="CJ9" s="9"/>
      <c r="CM9" s="6">
        <v>6</v>
      </c>
      <c r="CN9" s="7" t="s">
        <v>229</v>
      </c>
      <c r="CO9" s="9" t="s">
        <v>232</v>
      </c>
      <c r="CP9" s="6">
        <v>6</v>
      </c>
      <c r="CQ9" s="7" t="s">
        <v>241</v>
      </c>
      <c r="CR9" s="9" t="s">
        <v>234</v>
      </c>
      <c r="CU9" s="5"/>
      <c r="CV9" s="10"/>
      <c r="CW9" s="10"/>
      <c r="CX9" s="10"/>
      <c r="CY9" s="10"/>
      <c r="CZ9" s="10"/>
      <c r="DA9" s="10"/>
      <c r="DB9" s="27"/>
      <c r="DC9" s="10"/>
      <c r="DD9" s="10"/>
      <c r="DE9" s="10"/>
      <c r="DF9" s="27"/>
      <c r="DG9" s="10"/>
      <c r="DH9" s="10"/>
      <c r="DI9" s="10"/>
      <c r="DJ9" s="27"/>
      <c r="DK9" s="10"/>
      <c r="DL9" s="10"/>
      <c r="DM9" s="10"/>
      <c r="DN9" s="27"/>
      <c r="DO9" s="10"/>
      <c r="DP9" s="10"/>
      <c r="DQ9" s="10"/>
      <c r="DR9" s="27"/>
      <c r="DS9" s="10"/>
      <c r="DT9" s="10"/>
      <c r="DU9" s="10"/>
      <c r="DV9" s="27"/>
      <c r="DW9" s="10"/>
      <c r="DX9" s="10"/>
      <c r="DY9" s="10"/>
      <c r="DZ9" s="27"/>
      <c r="EA9" s="11"/>
      <c r="ED9" s="6">
        <v>6</v>
      </c>
      <c r="EE9" s="7" t="str">
        <v>Tampa Bay</v>
      </c>
      <c r="EF9" s="9" t="str">
        <v>Minnesota</v>
      </c>
      <c r="FU9" s="7">
        <v>7</v>
      </c>
      <c r="FV9" s="7" t="str">
        <v>Tampa Bay</v>
      </c>
    </row>
    <row r="10" spans="1:178" ht="15.75" thickBot="1" x14ac:dyDescent="0.3">
      <c r="A10" s="7">
        <v>7</v>
      </c>
      <c r="B10" s="7" t="s">
        <v>231</v>
      </c>
      <c r="C10" s="7">
        <v>0.85123173596557156</v>
      </c>
      <c r="D10" s="7">
        <v>2.6</v>
      </c>
      <c r="E10" s="7">
        <v>2.4500000000000002</v>
      </c>
      <c r="F10" s="8"/>
      <c r="G10" s="7">
        <v>4</v>
      </c>
      <c r="H10" s="7">
        <v>2</v>
      </c>
      <c r="I10" s="7">
        <v>0.85692546667350944</v>
      </c>
      <c r="J10" s="7">
        <v>2.99</v>
      </c>
      <c r="K10" s="7">
        <v>2.25</v>
      </c>
      <c r="L10" s="7">
        <v>2.7743333333333338</v>
      </c>
      <c r="M10" s="22">
        <v>0.85256595271308711</v>
      </c>
      <c r="N10" s="7">
        <v>0</v>
      </c>
      <c r="O10" s="7">
        <v>0.24480049062793263</v>
      </c>
      <c r="P10" s="26">
        <v>7</v>
      </c>
      <c r="Q10" s="7">
        <v>0.879056305670746</v>
      </c>
      <c r="R10" s="7">
        <v>2</v>
      </c>
      <c r="S10" s="7">
        <v>2.2448004906279326</v>
      </c>
      <c r="T10" s="26">
        <v>2</v>
      </c>
      <c r="U10" s="7">
        <v>0.81258073339943104</v>
      </c>
      <c r="V10" s="7">
        <v>7</v>
      </c>
      <c r="W10" s="7">
        <v>6</v>
      </c>
      <c r="X10" s="26">
        <v>7</v>
      </c>
      <c r="Y10" s="7">
        <v>0.82569589374599739</v>
      </c>
      <c r="Z10" s="7">
        <v>4</v>
      </c>
      <c r="AA10" s="7">
        <v>4</v>
      </c>
      <c r="AB10" s="26">
        <v>7</v>
      </c>
      <c r="AC10" s="7">
        <v>0.82848341188432706</v>
      </c>
      <c r="AD10" s="7">
        <v>6</v>
      </c>
      <c r="AE10" s="7">
        <v>6.2448004906279326</v>
      </c>
      <c r="AF10" s="26">
        <v>2</v>
      </c>
      <c r="AG10" s="7">
        <v>0.79308339978618259</v>
      </c>
      <c r="AH10" s="7">
        <v>4</v>
      </c>
      <c r="AI10" s="7">
        <v>4</v>
      </c>
      <c r="AJ10" s="26">
        <v>2</v>
      </c>
      <c r="AK10" s="7">
        <v>0.83895490750119861</v>
      </c>
      <c r="AL10" s="7">
        <v>8</v>
      </c>
      <c r="AM10" s="7">
        <v>6</v>
      </c>
      <c r="AN10" s="26">
        <v>2</v>
      </c>
      <c r="AO10" s="9">
        <v>2</v>
      </c>
      <c r="AP10" s="7" t="s">
        <v>242</v>
      </c>
      <c r="AQ10" s="7">
        <v>7</v>
      </c>
      <c r="AR10" s="6">
        <v>7</v>
      </c>
      <c r="AS10" s="7" t="s">
        <v>229</v>
      </c>
      <c r="AT10" s="7" t="s">
        <v>230</v>
      </c>
      <c r="AU10" s="7" t="s">
        <v>232</v>
      </c>
      <c r="AV10" s="9" t="s">
        <v>242</v>
      </c>
      <c r="AW10" s="6">
        <v>7</v>
      </c>
      <c r="AX10" s="7" t="s">
        <v>235</v>
      </c>
      <c r="AY10" s="7" t="s">
        <v>233</v>
      </c>
      <c r="AZ10" s="7" t="s">
        <v>238</v>
      </c>
      <c r="BA10" s="9" t="s">
        <v>234</v>
      </c>
      <c r="BB10" s="7">
        <v>2</v>
      </c>
      <c r="BC10" s="7" t="s">
        <v>242</v>
      </c>
      <c r="BD10" s="10">
        <v>0.85692546667350944</v>
      </c>
      <c r="BE10" s="10">
        <v>2.99</v>
      </c>
      <c r="BF10" s="10">
        <v>2.25</v>
      </c>
      <c r="BG10" s="10">
        <v>3.0043333333333337</v>
      </c>
      <c r="BH10" s="5">
        <v>0.84046414983496309</v>
      </c>
      <c r="BI10" s="10">
        <v>9</v>
      </c>
      <c r="BJ10" s="7">
        <v>6</v>
      </c>
      <c r="BK10" s="27"/>
      <c r="BL10" s="10">
        <v>0.8494361159430095</v>
      </c>
      <c r="BM10" s="10">
        <v>1</v>
      </c>
      <c r="BN10" s="7">
        <v>1.2448004906279326</v>
      </c>
      <c r="BO10" s="27"/>
      <c r="BP10" s="10">
        <v>0.85267194695494664</v>
      </c>
      <c r="BQ10" s="10">
        <v>2</v>
      </c>
      <c r="BR10" s="7">
        <v>2</v>
      </c>
      <c r="BS10" s="27"/>
      <c r="BT10" s="10">
        <v>0.82877207712336187</v>
      </c>
      <c r="BU10" s="10">
        <v>5</v>
      </c>
      <c r="BV10" s="7">
        <v>5</v>
      </c>
      <c r="BW10" s="27"/>
      <c r="BX10" s="10">
        <v>0.86301768174517512</v>
      </c>
      <c r="BY10" s="10">
        <v>0</v>
      </c>
      <c r="BZ10" s="7">
        <v>0.24480049062793263</v>
      </c>
      <c r="CA10" s="27"/>
      <c r="CB10" s="10">
        <v>0.80806182085648193</v>
      </c>
      <c r="CC10" s="10">
        <v>5</v>
      </c>
      <c r="CD10" s="7">
        <v>5</v>
      </c>
      <c r="CE10" s="27"/>
      <c r="CF10" s="10">
        <v>0.82723387655830916</v>
      </c>
      <c r="CG10" s="10">
        <v>1</v>
      </c>
      <c r="CH10" s="7">
        <v>1.2448004906279326</v>
      </c>
      <c r="CI10" s="27"/>
      <c r="CJ10" s="11"/>
      <c r="CM10" s="6">
        <v>7</v>
      </c>
      <c r="CN10" s="7" t="s">
        <v>230</v>
      </c>
      <c r="CO10" s="9" t="s">
        <v>242</v>
      </c>
      <c r="CP10" s="6">
        <v>7</v>
      </c>
      <c r="CQ10" s="7" t="s">
        <v>239</v>
      </c>
      <c r="CR10" s="9" t="s">
        <v>238</v>
      </c>
      <c r="ED10" s="6">
        <v>7</v>
      </c>
      <c r="EE10" s="7" t="str">
        <v>Tampa Bay</v>
      </c>
      <c r="EF10" s="9" t="str">
        <v>Minnesota</v>
      </c>
      <c r="FU10" s="7">
        <v>8</v>
      </c>
      <c r="FV10" s="7" t="str">
        <v>Minnesota</v>
      </c>
    </row>
    <row r="11" spans="1:178" ht="15.75" thickBot="1" x14ac:dyDescent="0.3">
      <c r="A11" s="7">
        <v>8</v>
      </c>
      <c r="B11" s="7" t="s">
        <v>317</v>
      </c>
      <c r="C11" s="7">
        <v>0.85244480647711773</v>
      </c>
      <c r="D11" s="7">
        <v>2.77</v>
      </c>
      <c r="E11" s="7">
        <v>2.48</v>
      </c>
      <c r="F11" s="8"/>
      <c r="H11" s="7">
        <v>7</v>
      </c>
      <c r="I11" s="7">
        <v>0.85123173596557156</v>
      </c>
      <c r="J11" s="7">
        <v>2.6</v>
      </c>
      <c r="K11" s="7">
        <v>2.4500000000000002</v>
      </c>
      <c r="L11" s="7">
        <v>2.1843333333333335</v>
      </c>
      <c r="M11" s="23">
        <v>0.91598680577946534</v>
      </c>
      <c r="N11" s="10">
        <v>5</v>
      </c>
      <c r="O11" s="7">
        <v>5</v>
      </c>
      <c r="P11" s="27"/>
      <c r="Q11" s="10">
        <v>0.85017947820640682</v>
      </c>
      <c r="R11" s="10">
        <v>1</v>
      </c>
      <c r="S11" s="7">
        <v>1</v>
      </c>
      <c r="T11" s="27"/>
      <c r="U11" s="10">
        <v>0.85352578926154232</v>
      </c>
      <c r="V11" s="10">
        <v>16</v>
      </c>
      <c r="W11" s="7">
        <v>6</v>
      </c>
      <c r="X11" s="27"/>
      <c r="Y11" s="10">
        <v>0.83479194190853168</v>
      </c>
      <c r="Z11" s="10">
        <v>4</v>
      </c>
      <c r="AA11" s="7">
        <v>4.2448004906279326</v>
      </c>
      <c r="AB11" s="27"/>
      <c r="AC11" s="10">
        <v>0.7942461633666047</v>
      </c>
      <c r="AD11" s="10">
        <v>2</v>
      </c>
      <c r="AE11" s="7">
        <v>2</v>
      </c>
      <c r="AF11" s="27"/>
      <c r="AG11" s="10">
        <v>0.91086001654789261</v>
      </c>
      <c r="AH11" s="10">
        <v>1</v>
      </c>
      <c r="AI11" s="7">
        <v>1.2448004906279326</v>
      </c>
      <c r="AJ11" s="27"/>
      <c r="AK11" s="10">
        <v>0.87749548099777808</v>
      </c>
      <c r="AL11" s="10">
        <v>1</v>
      </c>
      <c r="AM11" s="7">
        <v>1</v>
      </c>
      <c r="AN11" s="27"/>
      <c r="AO11" s="11"/>
      <c r="AR11" s="6">
        <v>8</v>
      </c>
      <c r="AS11" s="7" t="s">
        <v>317</v>
      </c>
      <c r="AT11" s="7" t="s">
        <v>236</v>
      </c>
      <c r="AU11" s="7" t="s">
        <v>232</v>
      </c>
      <c r="AV11" s="9" t="s">
        <v>242</v>
      </c>
      <c r="AW11" s="6">
        <v>8</v>
      </c>
      <c r="AX11" s="7" t="s">
        <v>235</v>
      </c>
      <c r="AY11" s="7" t="s">
        <v>233</v>
      </c>
      <c r="AZ11" s="7" t="s">
        <v>237</v>
      </c>
      <c r="BA11" s="9" t="s">
        <v>234</v>
      </c>
      <c r="CM11" s="6">
        <v>8</v>
      </c>
      <c r="CN11" s="7" t="s">
        <v>317</v>
      </c>
      <c r="CO11" s="9" t="s">
        <v>232</v>
      </c>
      <c r="CP11" s="6">
        <v>8</v>
      </c>
      <c r="CQ11" s="7" t="s">
        <v>235</v>
      </c>
      <c r="CR11" s="9" t="s">
        <v>240</v>
      </c>
      <c r="ED11" s="6">
        <v>8</v>
      </c>
      <c r="EE11" s="7" t="str">
        <v>Tampa Bay</v>
      </c>
      <c r="EF11" s="9" t="str">
        <v>Minnesota</v>
      </c>
      <c r="EI11" s="64" t="s">
        <v>227</v>
      </c>
      <c r="EJ11" s="65"/>
      <c r="EK11" s="65"/>
      <c r="EL11" s="65"/>
      <c r="EM11" s="65"/>
      <c r="EN11" s="46"/>
      <c r="EO11" s="64" t="s">
        <v>228</v>
      </c>
      <c r="EP11" s="65"/>
      <c r="EQ11" s="65"/>
      <c r="ER11" s="65"/>
      <c r="ES11" s="65"/>
      <c r="ET11" s="47"/>
      <c r="EV11" s="29" t="s">
        <v>174</v>
      </c>
      <c r="EW11" s="30" t="s">
        <v>175</v>
      </c>
      <c r="EX11" s="18"/>
      <c r="EY11" s="19" t="str">
        <f>EJ12</f>
        <v>Montreal</v>
      </c>
      <c r="EZ11" s="19" t="str">
        <f>EJ15</f>
        <v>NY Rangers</v>
      </c>
      <c r="FA11" s="19" t="str">
        <f>EJ18</f>
        <v>Washington</v>
      </c>
      <c r="FB11" s="19" t="str">
        <f>EJ21</f>
        <v>Tampa Bay</v>
      </c>
      <c r="FC11" s="19" t="str">
        <f>EJ24</f>
        <v>Detroit</v>
      </c>
      <c r="FD11" s="19" t="str">
        <f>EJ27</f>
        <v>NY Islanders</v>
      </c>
      <c r="FE11" s="19" t="str">
        <f>EJ30</f>
        <v>Pittsburgh</v>
      </c>
      <c r="FF11" s="19" t="str">
        <f>EJ33</f>
        <v>Ottawa</v>
      </c>
      <c r="FG11" s="19" t="str">
        <f>EP12</f>
        <v>St. Louis</v>
      </c>
      <c r="FH11" s="19" t="str">
        <f>EP15</f>
        <v>Anaheim</v>
      </c>
      <c r="FI11" s="19" t="str">
        <f>EP18</f>
        <v>Vancouver</v>
      </c>
      <c r="FJ11" s="19" t="str">
        <f>EP21</f>
        <v>Nashville</v>
      </c>
      <c r="FK11" s="19" t="str">
        <f>EP24</f>
        <v>Chicago</v>
      </c>
      <c r="FL11" s="19" t="str">
        <f>EP27</f>
        <v>Calgary</v>
      </c>
      <c r="FM11" s="19" t="str">
        <f>EP30</f>
        <v>Winnipeg</v>
      </c>
      <c r="FN11" s="4" t="str">
        <f>EP33</f>
        <v>Minnesota</v>
      </c>
      <c r="FQ11" s="18">
        <v>1</v>
      </c>
      <c r="FR11" s="4">
        <f ca="1">FT3</f>
        <v>7</v>
      </c>
      <c r="FU11" s="7">
        <v>9</v>
      </c>
      <c r="FV11" s="7" t="str">
        <v>Tampa Bay</v>
      </c>
    </row>
    <row r="12" spans="1:178" x14ac:dyDescent="0.25">
      <c r="F12" s="8"/>
      <c r="M12" s="15"/>
      <c r="AE12" s="13"/>
      <c r="AR12" s="6">
        <v>9</v>
      </c>
      <c r="AS12" s="7" t="s">
        <v>229</v>
      </c>
      <c r="AT12" s="7" t="s">
        <v>230</v>
      </c>
      <c r="AU12" s="7" t="s">
        <v>232</v>
      </c>
      <c r="AV12" s="9" t="s">
        <v>242</v>
      </c>
      <c r="AW12" s="6">
        <v>9</v>
      </c>
      <c r="AX12" s="7" t="s">
        <v>235</v>
      </c>
      <c r="AY12" s="7" t="s">
        <v>233</v>
      </c>
      <c r="AZ12" s="7" t="s">
        <v>237</v>
      </c>
      <c r="BA12" s="9" t="s">
        <v>240</v>
      </c>
      <c r="CM12" s="6">
        <v>9</v>
      </c>
      <c r="CN12" s="7" t="s">
        <v>230</v>
      </c>
      <c r="CO12" s="9" t="s">
        <v>231</v>
      </c>
      <c r="CP12" s="6">
        <v>9</v>
      </c>
      <c r="CQ12" s="7" t="s">
        <v>235</v>
      </c>
      <c r="CR12" s="9" t="s">
        <v>238</v>
      </c>
      <c r="ED12" s="6">
        <v>9</v>
      </c>
      <c r="EE12" s="7" t="str">
        <v>Tampa Bay</v>
      </c>
      <c r="EF12" s="9" t="str">
        <v>Minnesota</v>
      </c>
      <c r="EI12" s="51">
        <v>1</v>
      </c>
      <c r="EJ12" s="52" t="s">
        <v>229</v>
      </c>
      <c r="EK12" s="52"/>
      <c r="EL12" s="52"/>
      <c r="EM12" s="52"/>
      <c r="EN12" s="52"/>
      <c r="EO12" s="51">
        <v>1</v>
      </c>
      <c r="EP12" s="52" t="s">
        <v>235</v>
      </c>
      <c r="EQ12" s="52"/>
      <c r="ER12" s="52"/>
      <c r="ES12" s="52"/>
      <c r="ET12" s="53"/>
      <c r="EV12" s="6" t="s">
        <v>8</v>
      </c>
      <c r="EW12" s="31">
        <v>86.328215151746576</v>
      </c>
      <c r="EX12" s="6">
        <v>1</v>
      </c>
      <c r="EY12" s="7">
        <f>EN14</f>
        <v>7</v>
      </c>
      <c r="EZ12" s="7">
        <f ca="1">EN17</f>
        <v>27</v>
      </c>
      <c r="FA12" s="7">
        <f>EN20</f>
        <v>6</v>
      </c>
      <c r="FB12" s="7">
        <f>EN23</f>
        <v>6</v>
      </c>
      <c r="FC12" s="7">
        <f>EN26</f>
        <v>6</v>
      </c>
      <c r="FD12" s="7">
        <f>EN29</f>
        <v>6</v>
      </c>
      <c r="FE12" s="7">
        <f>EN32</f>
        <v>7</v>
      </c>
      <c r="FF12" s="7">
        <f>EN35</f>
        <v>7</v>
      </c>
      <c r="FG12" s="7">
        <f>ET14</f>
        <v>26</v>
      </c>
      <c r="FH12" s="7">
        <f>ET17</f>
        <v>16</v>
      </c>
      <c r="FI12" s="7">
        <f>ET20</f>
        <v>7</v>
      </c>
      <c r="FJ12" s="7">
        <f>ET23</f>
        <v>12</v>
      </c>
      <c r="FK12" s="7">
        <f>ET26</f>
        <v>6</v>
      </c>
      <c r="FL12" s="7">
        <f>ET29</f>
        <v>12</v>
      </c>
      <c r="FM12" s="7">
        <f>ET32</f>
        <v>4</v>
      </c>
      <c r="FN12" s="9">
        <f>ET35</f>
        <v>6</v>
      </c>
      <c r="FQ12" s="6">
        <v>2</v>
      </c>
      <c r="FR12" s="9">
        <f t="dataTable" ref="FR12:FR110" dt2D="0" dtr="0" r1="FS10" ca="1"/>
        <v>6</v>
      </c>
      <c r="FU12" s="7">
        <v>10</v>
      </c>
      <c r="FV12" s="7" t="str">
        <v>Minnesota</v>
      </c>
    </row>
    <row r="13" spans="1:178" ht="15.75" thickBot="1" x14ac:dyDescent="0.3">
      <c r="F13" s="13"/>
      <c r="AR13" s="6">
        <v>10</v>
      </c>
      <c r="AS13" s="7" t="s">
        <v>229</v>
      </c>
      <c r="AT13" s="7" t="s">
        <v>230</v>
      </c>
      <c r="AU13" s="7" t="s">
        <v>232</v>
      </c>
      <c r="AV13" s="9" t="s">
        <v>242</v>
      </c>
      <c r="AW13" s="6">
        <v>10</v>
      </c>
      <c r="AX13" s="7" t="s">
        <v>235</v>
      </c>
      <c r="AY13" s="7" t="s">
        <v>239</v>
      </c>
      <c r="AZ13" s="7" t="s">
        <v>238</v>
      </c>
      <c r="BA13" s="9" t="s">
        <v>234</v>
      </c>
      <c r="CM13" s="6">
        <v>10</v>
      </c>
      <c r="CN13" s="7" t="s">
        <v>230</v>
      </c>
      <c r="CO13" s="9" t="s">
        <v>231</v>
      </c>
      <c r="CP13" s="6">
        <v>10</v>
      </c>
      <c r="CQ13" s="7" t="s">
        <v>235</v>
      </c>
      <c r="CR13" s="9" t="s">
        <v>238</v>
      </c>
      <c r="ED13" s="6">
        <v>10</v>
      </c>
      <c r="EE13" s="7" t="str">
        <v>Tampa Bay</v>
      </c>
      <c r="EF13" s="9" t="str">
        <v>Minnesota</v>
      </c>
      <c r="EI13" s="51"/>
      <c r="EJ13" s="52" t="s">
        <v>307</v>
      </c>
      <c r="EK13" s="52" t="s">
        <v>308</v>
      </c>
      <c r="EL13" s="52" t="s">
        <v>309</v>
      </c>
      <c r="EM13" s="52" t="s">
        <v>306</v>
      </c>
      <c r="EN13" s="52" t="s">
        <v>310</v>
      </c>
      <c r="EO13" s="51"/>
      <c r="EP13" s="52" t="s">
        <v>307</v>
      </c>
      <c r="EQ13" s="52" t="s">
        <v>308</v>
      </c>
      <c r="ER13" s="52" t="s">
        <v>309</v>
      </c>
      <c r="ES13" s="52" t="s">
        <v>306</v>
      </c>
      <c r="ET13" s="53" t="s">
        <v>310</v>
      </c>
      <c r="EV13" s="6" t="s">
        <v>24</v>
      </c>
      <c r="EW13" s="31">
        <v>85.861880801617573</v>
      </c>
      <c r="EX13" s="6">
        <v>2</v>
      </c>
      <c r="EY13" s="7">
        <f t="dataTable" ref="EY13:FN111" dt2D="0" dtr="0" r1="FA10" ca="1"/>
        <v>7</v>
      </c>
      <c r="EZ13" s="7">
        <v>26</v>
      </c>
      <c r="FA13" s="7">
        <v>6</v>
      </c>
      <c r="FB13" s="7">
        <v>6</v>
      </c>
      <c r="FC13" s="7">
        <v>6</v>
      </c>
      <c r="FD13" s="7">
        <v>6</v>
      </c>
      <c r="FE13" s="7">
        <v>7</v>
      </c>
      <c r="FF13" s="7">
        <v>7</v>
      </c>
      <c r="FG13" s="7">
        <v>26</v>
      </c>
      <c r="FH13" s="7">
        <v>16</v>
      </c>
      <c r="FI13" s="7">
        <v>7</v>
      </c>
      <c r="FJ13" s="7">
        <v>12</v>
      </c>
      <c r="FK13" s="7">
        <v>6</v>
      </c>
      <c r="FL13" s="7">
        <v>12</v>
      </c>
      <c r="FM13" s="7">
        <v>4</v>
      </c>
      <c r="FN13" s="9">
        <v>6</v>
      </c>
      <c r="FQ13" s="6">
        <v>3</v>
      </c>
      <c r="FR13" s="9">
        <v>4</v>
      </c>
      <c r="FU13" s="7">
        <v>11</v>
      </c>
      <c r="FV13" s="7" t="str">
        <v>Minnesota</v>
      </c>
    </row>
    <row r="14" spans="1:178" x14ac:dyDescent="0.25">
      <c r="F14" s="13"/>
      <c r="M14" s="59" t="s">
        <v>259</v>
      </c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4"/>
      <c r="AR14" s="6">
        <v>11</v>
      </c>
      <c r="AS14" s="7" t="s">
        <v>317</v>
      </c>
      <c r="AT14" s="7" t="s">
        <v>236</v>
      </c>
      <c r="AU14" s="7" t="s">
        <v>232</v>
      </c>
      <c r="AV14" s="9" t="s">
        <v>242</v>
      </c>
      <c r="AW14" s="6">
        <v>11</v>
      </c>
      <c r="AX14" s="7" t="s">
        <v>241</v>
      </c>
      <c r="AY14" s="7" t="s">
        <v>233</v>
      </c>
      <c r="AZ14" s="7" t="s">
        <v>238</v>
      </c>
      <c r="BA14" s="9" t="s">
        <v>240</v>
      </c>
      <c r="BD14" s="19"/>
      <c r="BE14" s="19"/>
      <c r="BF14" s="19"/>
      <c r="BG14" s="19"/>
      <c r="BH14" s="61" t="s">
        <v>260</v>
      </c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4"/>
      <c r="CM14" s="6">
        <v>11</v>
      </c>
      <c r="CN14" s="7" t="s">
        <v>230</v>
      </c>
      <c r="CO14" s="9" t="s">
        <v>232</v>
      </c>
      <c r="CP14" s="6">
        <v>11</v>
      </c>
      <c r="CQ14" s="7" t="s">
        <v>239</v>
      </c>
      <c r="CR14" s="9" t="s">
        <v>238</v>
      </c>
      <c r="CU14" s="18"/>
      <c r="CV14" s="19"/>
      <c r="CW14" s="19"/>
      <c r="CX14" s="19"/>
      <c r="CY14" s="61" t="s">
        <v>261</v>
      </c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  <c r="EA14" s="4"/>
      <c r="ED14" s="6">
        <v>11</v>
      </c>
      <c r="EE14" s="7" t="str">
        <v>Tampa Bay</v>
      </c>
      <c r="EF14" s="9" t="str">
        <v>Minnesota</v>
      </c>
      <c r="EI14" s="51"/>
      <c r="EJ14" s="52">
        <v>0.48</v>
      </c>
      <c r="EK14" s="52">
        <v>0.22</v>
      </c>
      <c r="EL14" s="52">
        <v>7.0000000000000007E-2</v>
      </c>
      <c r="EM14" s="52">
        <v>0.06</v>
      </c>
      <c r="EN14" s="52">
        <f>AQ4</f>
        <v>7</v>
      </c>
      <c r="EO14" s="51"/>
      <c r="EP14" s="52">
        <v>0.52</v>
      </c>
      <c r="EQ14" s="52">
        <v>0.27</v>
      </c>
      <c r="ER14" s="52">
        <v>0.21</v>
      </c>
      <c r="ES14" s="52">
        <v>0.09</v>
      </c>
      <c r="ET14" s="53">
        <v>26</v>
      </c>
      <c r="EV14" s="6" t="s">
        <v>0</v>
      </c>
      <c r="EW14" s="31">
        <v>85.530082434087518</v>
      </c>
      <c r="EX14" s="6">
        <v>3</v>
      </c>
      <c r="EY14" s="7">
        <v>7</v>
      </c>
      <c r="EZ14" s="7">
        <v>24</v>
      </c>
      <c r="FA14" s="7">
        <v>6</v>
      </c>
      <c r="FB14" s="7">
        <v>6</v>
      </c>
      <c r="FC14" s="7">
        <v>6</v>
      </c>
      <c r="FD14" s="7">
        <v>6</v>
      </c>
      <c r="FE14" s="7">
        <v>7</v>
      </c>
      <c r="FF14" s="7">
        <v>7</v>
      </c>
      <c r="FG14" s="7">
        <v>26</v>
      </c>
      <c r="FH14" s="7">
        <v>16</v>
      </c>
      <c r="FI14" s="7">
        <v>7</v>
      </c>
      <c r="FJ14" s="7">
        <v>12</v>
      </c>
      <c r="FK14" s="7">
        <v>6</v>
      </c>
      <c r="FL14" s="7">
        <v>12</v>
      </c>
      <c r="FM14" s="7">
        <v>4</v>
      </c>
      <c r="FN14" s="9">
        <v>6</v>
      </c>
      <c r="FQ14" s="6">
        <v>4</v>
      </c>
      <c r="FR14" s="9">
        <v>7</v>
      </c>
      <c r="FU14" s="7">
        <v>12</v>
      </c>
      <c r="FV14" s="7" t="str">
        <v>Tampa Bay</v>
      </c>
    </row>
    <row r="15" spans="1:178" ht="15.75" thickBot="1" x14ac:dyDescent="0.3">
      <c r="F15" s="13"/>
      <c r="M15" s="63" t="s">
        <v>252</v>
      </c>
      <c r="N15" s="62"/>
      <c r="O15" s="62"/>
      <c r="P15" s="62"/>
      <c r="Q15" s="62" t="s">
        <v>253</v>
      </c>
      <c r="R15" s="62"/>
      <c r="S15" s="62"/>
      <c r="T15" s="62"/>
      <c r="U15" s="62" t="s">
        <v>254</v>
      </c>
      <c r="V15" s="62"/>
      <c r="W15" s="62"/>
      <c r="X15" s="62"/>
      <c r="Y15" s="62" t="s">
        <v>255</v>
      </c>
      <c r="Z15" s="62"/>
      <c r="AA15" s="62"/>
      <c r="AB15" s="62"/>
      <c r="AC15" s="62" t="s">
        <v>256</v>
      </c>
      <c r="AD15" s="62"/>
      <c r="AE15" s="62"/>
      <c r="AF15" s="62"/>
      <c r="AG15" s="62" t="s">
        <v>257</v>
      </c>
      <c r="AH15" s="62"/>
      <c r="AI15" s="62"/>
      <c r="AJ15" s="62"/>
      <c r="AK15" s="62" t="s">
        <v>258</v>
      </c>
      <c r="AL15" s="62"/>
      <c r="AM15" s="62"/>
      <c r="AN15" s="62"/>
      <c r="AO15" s="9" t="s">
        <v>251</v>
      </c>
      <c r="AR15" s="6">
        <v>12</v>
      </c>
      <c r="AS15" s="7" t="s">
        <v>229</v>
      </c>
      <c r="AT15" s="7" t="s">
        <v>230</v>
      </c>
      <c r="AU15" s="7" t="s">
        <v>232</v>
      </c>
      <c r="AV15" s="9" t="s">
        <v>242</v>
      </c>
      <c r="AW15" s="6">
        <v>12</v>
      </c>
      <c r="AX15" s="7" t="s">
        <v>235</v>
      </c>
      <c r="AY15" s="7" t="s">
        <v>233</v>
      </c>
      <c r="AZ15" s="7" t="s">
        <v>237</v>
      </c>
      <c r="BA15" s="9" t="s">
        <v>234</v>
      </c>
      <c r="BH15" s="62" t="s">
        <v>252</v>
      </c>
      <c r="BI15" s="62"/>
      <c r="BJ15" s="62"/>
      <c r="BK15" s="62"/>
      <c r="BL15" s="62" t="s">
        <v>253</v>
      </c>
      <c r="BM15" s="62"/>
      <c r="BN15" s="62"/>
      <c r="BO15" s="62"/>
      <c r="BP15" s="62" t="s">
        <v>254</v>
      </c>
      <c r="BQ15" s="62"/>
      <c r="BR15" s="62"/>
      <c r="BS15" s="62"/>
      <c r="BT15" s="62" t="s">
        <v>255</v>
      </c>
      <c r="BU15" s="62"/>
      <c r="BV15" s="62"/>
      <c r="BW15" s="62"/>
      <c r="BX15" s="62" t="s">
        <v>256</v>
      </c>
      <c r="BY15" s="62"/>
      <c r="BZ15" s="62"/>
      <c r="CA15" s="62"/>
      <c r="CB15" s="62" t="s">
        <v>257</v>
      </c>
      <c r="CC15" s="62"/>
      <c r="CD15" s="62"/>
      <c r="CE15" s="62"/>
      <c r="CF15" s="62" t="s">
        <v>258</v>
      </c>
      <c r="CG15" s="62"/>
      <c r="CH15" s="62"/>
      <c r="CI15" s="62"/>
      <c r="CJ15" s="9" t="s">
        <v>251</v>
      </c>
      <c r="CM15" s="6">
        <v>12</v>
      </c>
      <c r="CN15" s="7" t="s">
        <v>230</v>
      </c>
      <c r="CO15" s="9" t="s">
        <v>242</v>
      </c>
      <c r="CP15" s="6">
        <v>12</v>
      </c>
      <c r="CQ15" s="7" t="s">
        <v>241</v>
      </c>
      <c r="CR15" s="9" t="s">
        <v>234</v>
      </c>
      <c r="CU15" s="6"/>
      <c r="CY15" s="62" t="s">
        <v>252</v>
      </c>
      <c r="CZ15" s="62"/>
      <c r="DA15" s="62"/>
      <c r="DB15" s="62"/>
      <c r="DC15" s="62" t="s">
        <v>253</v>
      </c>
      <c r="DD15" s="62"/>
      <c r="DE15" s="62"/>
      <c r="DF15" s="62"/>
      <c r="DG15" s="62" t="s">
        <v>254</v>
      </c>
      <c r="DH15" s="62"/>
      <c r="DI15" s="62"/>
      <c r="DJ15" s="62"/>
      <c r="DK15" s="62" t="s">
        <v>255</v>
      </c>
      <c r="DL15" s="62"/>
      <c r="DM15" s="62"/>
      <c r="DN15" s="62"/>
      <c r="DO15" s="62" t="s">
        <v>256</v>
      </c>
      <c r="DP15" s="62"/>
      <c r="DQ15" s="62"/>
      <c r="DR15" s="62"/>
      <c r="DS15" s="62" t="s">
        <v>257</v>
      </c>
      <c r="DT15" s="62"/>
      <c r="DU15" s="62"/>
      <c r="DV15" s="62"/>
      <c r="DW15" s="62" t="s">
        <v>258</v>
      </c>
      <c r="DX15" s="62"/>
      <c r="DY15" s="62"/>
      <c r="DZ15" s="62"/>
      <c r="EA15" s="9" t="s">
        <v>251</v>
      </c>
      <c r="ED15" s="6">
        <v>12</v>
      </c>
      <c r="EE15" s="7" t="str">
        <v>Tampa Bay</v>
      </c>
      <c r="EF15" s="9" t="str">
        <v>Minnesota</v>
      </c>
      <c r="EI15" s="51">
        <v>2</v>
      </c>
      <c r="EJ15" s="52" t="s">
        <v>242</v>
      </c>
      <c r="EK15" s="52"/>
      <c r="EL15" s="52"/>
      <c r="EM15" s="52"/>
      <c r="EN15" s="52"/>
      <c r="EO15" s="51">
        <v>2</v>
      </c>
      <c r="EP15" s="52" t="s">
        <v>234</v>
      </c>
      <c r="EQ15" s="52"/>
      <c r="ER15" s="52"/>
      <c r="ES15" s="52"/>
      <c r="ET15" s="53"/>
      <c r="EV15" s="6" t="s">
        <v>10</v>
      </c>
      <c r="EW15" s="31">
        <v>85.502478257351129</v>
      </c>
      <c r="EX15" s="6">
        <v>4</v>
      </c>
      <c r="EY15" s="7">
        <v>7</v>
      </c>
      <c r="EZ15" s="7">
        <v>25</v>
      </c>
      <c r="FA15" s="7">
        <v>6</v>
      </c>
      <c r="FB15" s="7">
        <v>6</v>
      </c>
      <c r="FC15" s="7">
        <v>6</v>
      </c>
      <c r="FD15" s="7">
        <v>6</v>
      </c>
      <c r="FE15" s="7">
        <v>7</v>
      </c>
      <c r="FF15" s="7">
        <v>7</v>
      </c>
      <c r="FG15" s="7">
        <v>26</v>
      </c>
      <c r="FH15" s="7">
        <v>16</v>
      </c>
      <c r="FI15" s="7">
        <v>7</v>
      </c>
      <c r="FJ15" s="7">
        <v>12</v>
      </c>
      <c r="FK15" s="7">
        <v>6</v>
      </c>
      <c r="FL15" s="7">
        <v>12</v>
      </c>
      <c r="FM15" s="7">
        <v>4</v>
      </c>
      <c r="FN15" s="9">
        <v>6</v>
      </c>
      <c r="FQ15" s="6">
        <v>5</v>
      </c>
      <c r="FR15" s="9">
        <v>7</v>
      </c>
      <c r="FU15" s="7">
        <v>13</v>
      </c>
      <c r="FV15" s="7" t="str">
        <v>Tampa Bay</v>
      </c>
    </row>
    <row r="16" spans="1:178" x14ac:dyDescent="0.25">
      <c r="A16" s="12" t="s">
        <v>228</v>
      </c>
      <c r="B16" s="12" t="s">
        <v>192</v>
      </c>
      <c r="C16" s="12" t="s">
        <v>175</v>
      </c>
      <c r="D16" s="12" t="s">
        <v>225</v>
      </c>
      <c r="E16" s="12" t="s">
        <v>226</v>
      </c>
      <c r="F16" s="8"/>
      <c r="G16" s="12" t="s">
        <v>244</v>
      </c>
      <c r="H16" s="12" t="s">
        <v>245</v>
      </c>
      <c r="I16" s="12" t="s">
        <v>246</v>
      </c>
      <c r="J16" s="12" t="s">
        <v>249</v>
      </c>
      <c r="K16" s="12" t="s">
        <v>264</v>
      </c>
      <c r="L16" s="12" t="s">
        <v>266</v>
      </c>
      <c r="M16" s="21" t="s">
        <v>268</v>
      </c>
      <c r="N16" s="12" t="s">
        <v>248</v>
      </c>
      <c r="O16" s="12" t="s">
        <v>267</v>
      </c>
      <c r="P16" s="25" t="s">
        <v>251</v>
      </c>
      <c r="Q16" s="12" t="s">
        <v>247</v>
      </c>
      <c r="R16" s="12" t="s">
        <v>248</v>
      </c>
      <c r="S16" s="12" t="s">
        <v>267</v>
      </c>
      <c r="T16" s="25" t="s">
        <v>251</v>
      </c>
      <c r="U16" s="12" t="s">
        <v>247</v>
      </c>
      <c r="V16" s="12" t="s">
        <v>248</v>
      </c>
      <c r="W16" s="12" t="s">
        <v>267</v>
      </c>
      <c r="X16" s="25" t="s">
        <v>251</v>
      </c>
      <c r="Y16" s="12" t="s">
        <v>247</v>
      </c>
      <c r="Z16" s="12" t="s">
        <v>248</v>
      </c>
      <c r="AA16" s="12" t="s">
        <v>267</v>
      </c>
      <c r="AB16" s="25" t="s">
        <v>251</v>
      </c>
      <c r="AC16" s="12" t="s">
        <v>247</v>
      </c>
      <c r="AD16" s="12" t="s">
        <v>248</v>
      </c>
      <c r="AE16" s="12" t="s">
        <v>267</v>
      </c>
      <c r="AF16" s="25" t="s">
        <v>251</v>
      </c>
      <c r="AG16" s="12" t="s">
        <v>247</v>
      </c>
      <c r="AH16" s="12" t="s">
        <v>248</v>
      </c>
      <c r="AI16" s="12" t="s">
        <v>267</v>
      </c>
      <c r="AJ16" s="25" t="s">
        <v>251</v>
      </c>
      <c r="AK16" s="12" t="s">
        <v>247</v>
      </c>
      <c r="AL16" s="12" t="s">
        <v>248</v>
      </c>
      <c r="AM16" s="12" t="s">
        <v>267</v>
      </c>
      <c r="AN16" s="25" t="s">
        <v>251</v>
      </c>
      <c r="AO16" s="9"/>
      <c r="AR16" s="6">
        <v>13</v>
      </c>
      <c r="AS16" s="7" t="s">
        <v>229</v>
      </c>
      <c r="AT16" s="7" t="s">
        <v>230</v>
      </c>
      <c r="AU16" s="7" t="s">
        <v>232</v>
      </c>
      <c r="AV16" s="9" t="s">
        <v>242</v>
      </c>
      <c r="AW16" s="6">
        <v>13</v>
      </c>
      <c r="AX16" s="7" t="s">
        <v>241</v>
      </c>
      <c r="AY16" s="7" t="s">
        <v>233</v>
      </c>
      <c r="AZ16" s="7" t="s">
        <v>237</v>
      </c>
      <c r="BA16" s="9" t="s">
        <v>234</v>
      </c>
      <c r="BD16" s="12" t="s">
        <v>269</v>
      </c>
      <c r="BE16" s="12" t="s">
        <v>225</v>
      </c>
      <c r="BF16" s="12" t="s">
        <v>226</v>
      </c>
      <c r="BG16" s="12" t="s">
        <v>266</v>
      </c>
      <c r="BH16" s="12" t="s">
        <v>247</v>
      </c>
      <c r="BI16" s="12" t="s">
        <v>248</v>
      </c>
      <c r="BJ16" s="12" t="s">
        <v>267</v>
      </c>
      <c r="BK16" s="25" t="s">
        <v>251</v>
      </c>
      <c r="BL16" s="12" t="s">
        <v>247</v>
      </c>
      <c r="BM16" s="12" t="s">
        <v>248</v>
      </c>
      <c r="BN16" s="12" t="s">
        <v>267</v>
      </c>
      <c r="BO16" s="25" t="s">
        <v>251</v>
      </c>
      <c r="BP16" s="12" t="s">
        <v>247</v>
      </c>
      <c r="BQ16" s="12" t="s">
        <v>248</v>
      </c>
      <c r="BR16" s="12" t="s">
        <v>267</v>
      </c>
      <c r="BS16" s="25" t="s">
        <v>251</v>
      </c>
      <c r="BT16" s="12" t="s">
        <v>247</v>
      </c>
      <c r="BU16" s="12" t="s">
        <v>248</v>
      </c>
      <c r="BV16" s="12" t="s">
        <v>267</v>
      </c>
      <c r="BW16" s="25" t="s">
        <v>251</v>
      </c>
      <c r="BX16" s="12" t="s">
        <v>247</v>
      </c>
      <c r="BY16" s="12" t="s">
        <v>248</v>
      </c>
      <c r="BZ16" s="12" t="s">
        <v>267</v>
      </c>
      <c r="CA16" s="25" t="s">
        <v>251</v>
      </c>
      <c r="CB16" s="12" t="s">
        <v>247</v>
      </c>
      <c r="CC16" s="12" t="s">
        <v>248</v>
      </c>
      <c r="CD16" s="12" t="s">
        <v>267</v>
      </c>
      <c r="CE16" s="25" t="s">
        <v>251</v>
      </c>
      <c r="CF16" s="12" t="s">
        <v>247</v>
      </c>
      <c r="CG16" s="12" t="s">
        <v>248</v>
      </c>
      <c r="CH16" s="12" t="s">
        <v>267</v>
      </c>
      <c r="CI16" s="25" t="s">
        <v>251</v>
      </c>
      <c r="CJ16" s="9"/>
      <c r="CM16" s="6">
        <v>13</v>
      </c>
      <c r="CN16" s="7" t="s">
        <v>230</v>
      </c>
      <c r="CO16" s="9" t="s">
        <v>243</v>
      </c>
      <c r="CP16" s="6">
        <v>13</v>
      </c>
      <c r="CQ16" s="7" t="s">
        <v>233</v>
      </c>
      <c r="CR16" s="9" t="s">
        <v>240</v>
      </c>
      <c r="CU16" s="21" t="s">
        <v>269</v>
      </c>
      <c r="CV16" s="12" t="s">
        <v>225</v>
      </c>
      <c r="CW16" s="12" t="s">
        <v>226</v>
      </c>
      <c r="CX16" s="12" t="s">
        <v>266</v>
      </c>
      <c r="CY16" s="12" t="s">
        <v>247</v>
      </c>
      <c r="CZ16" s="12" t="s">
        <v>248</v>
      </c>
      <c r="DA16" s="12" t="s">
        <v>267</v>
      </c>
      <c r="DB16" s="25" t="s">
        <v>251</v>
      </c>
      <c r="DC16" s="12" t="s">
        <v>247</v>
      </c>
      <c r="DD16" s="12" t="s">
        <v>248</v>
      </c>
      <c r="DE16" s="12" t="s">
        <v>267</v>
      </c>
      <c r="DF16" s="25" t="s">
        <v>251</v>
      </c>
      <c r="DG16" s="12" t="s">
        <v>247</v>
      </c>
      <c r="DH16" s="12" t="s">
        <v>248</v>
      </c>
      <c r="DI16" s="12" t="s">
        <v>267</v>
      </c>
      <c r="DJ16" s="25" t="s">
        <v>251</v>
      </c>
      <c r="DK16" s="12" t="s">
        <v>247</v>
      </c>
      <c r="DL16" s="12" t="s">
        <v>248</v>
      </c>
      <c r="DM16" s="12" t="s">
        <v>267</v>
      </c>
      <c r="DN16" s="25" t="s">
        <v>251</v>
      </c>
      <c r="DO16" s="12" t="s">
        <v>247</v>
      </c>
      <c r="DP16" s="12" t="s">
        <v>248</v>
      </c>
      <c r="DQ16" s="12" t="s">
        <v>267</v>
      </c>
      <c r="DR16" s="25" t="s">
        <v>251</v>
      </c>
      <c r="DS16" s="12" t="s">
        <v>247</v>
      </c>
      <c r="DT16" s="12" t="s">
        <v>248</v>
      </c>
      <c r="DU16" s="12" t="s">
        <v>267</v>
      </c>
      <c r="DV16" s="25" t="s">
        <v>251</v>
      </c>
      <c r="DW16" s="12" t="s">
        <v>247</v>
      </c>
      <c r="DX16" s="12" t="s">
        <v>248</v>
      </c>
      <c r="DY16" s="12" t="s">
        <v>267</v>
      </c>
      <c r="DZ16" s="25" t="s">
        <v>251</v>
      </c>
      <c r="EA16" s="9"/>
      <c r="ED16" s="6">
        <v>13</v>
      </c>
      <c r="EE16" s="7" t="str">
        <v>Tampa Bay</v>
      </c>
      <c r="EF16" s="9" t="str">
        <v>Minnesota</v>
      </c>
      <c r="EI16" s="51"/>
      <c r="EJ16" s="52" t="s">
        <v>307</v>
      </c>
      <c r="EK16" s="52" t="s">
        <v>308</v>
      </c>
      <c r="EL16" s="52" t="s">
        <v>309</v>
      </c>
      <c r="EM16" s="52" t="s">
        <v>306</v>
      </c>
      <c r="EN16" s="52" t="s">
        <v>310</v>
      </c>
      <c r="EO16" s="51"/>
      <c r="EP16" s="52" t="s">
        <v>307</v>
      </c>
      <c r="EQ16" s="52" t="s">
        <v>308</v>
      </c>
      <c r="ER16" s="52" t="s">
        <v>309</v>
      </c>
      <c r="ES16" s="52" t="s">
        <v>306</v>
      </c>
      <c r="ET16" s="53" t="s">
        <v>310</v>
      </c>
      <c r="EV16" s="6" t="s">
        <v>26</v>
      </c>
      <c r="EW16" s="31">
        <v>85.372907708176413</v>
      </c>
      <c r="EX16" s="6">
        <v>5</v>
      </c>
      <c r="EY16" s="7">
        <v>7</v>
      </c>
      <c r="EZ16" s="7">
        <v>25</v>
      </c>
      <c r="FA16" s="7">
        <v>6</v>
      </c>
      <c r="FB16" s="7">
        <v>6</v>
      </c>
      <c r="FC16" s="7">
        <v>6</v>
      </c>
      <c r="FD16" s="7">
        <v>6</v>
      </c>
      <c r="FE16" s="7">
        <v>7</v>
      </c>
      <c r="FF16" s="7">
        <v>7</v>
      </c>
      <c r="FG16" s="7">
        <v>26</v>
      </c>
      <c r="FH16" s="7">
        <v>16</v>
      </c>
      <c r="FI16" s="7">
        <v>7</v>
      </c>
      <c r="FJ16" s="7">
        <v>12</v>
      </c>
      <c r="FK16" s="7">
        <v>6</v>
      </c>
      <c r="FL16" s="7">
        <v>12</v>
      </c>
      <c r="FM16" s="7">
        <v>4</v>
      </c>
      <c r="FN16" s="9">
        <v>6</v>
      </c>
      <c r="FQ16" s="6">
        <v>6</v>
      </c>
      <c r="FR16" s="9">
        <v>6</v>
      </c>
      <c r="FU16" s="7">
        <v>14</v>
      </c>
      <c r="FV16" s="7" t="str">
        <v>Minnesota</v>
      </c>
    </row>
    <row r="17" spans="1:178" x14ac:dyDescent="0.25">
      <c r="A17" s="7">
        <v>1</v>
      </c>
      <c r="B17" s="7" t="s">
        <v>235</v>
      </c>
      <c r="C17" s="7">
        <v>0.85591059508876954</v>
      </c>
      <c r="D17" s="7">
        <v>2.87</v>
      </c>
      <c r="E17" s="7">
        <v>2.36</v>
      </c>
      <c r="F17" s="8"/>
      <c r="G17" s="7">
        <v>1</v>
      </c>
      <c r="H17" s="7">
        <v>1</v>
      </c>
      <c r="I17" s="7">
        <v>0.85591059508876954</v>
      </c>
      <c r="J17" s="7">
        <v>2.87</v>
      </c>
      <c r="K17" s="7">
        <v>2.36</v>
      </c>
      <c r="L17" s="7">
        <v>2.5943333333333336</v>
      </c>
      <c r="M17" s="22">
        <v>0.93733914797836793</v>
      </c>
      <c r="N17" s="7">
        <v>4</v>
      </c>
      <c r="O17" s="7">
        <v>4.2448004906279326</v>
      </c>
      <c r="P17" s="26">
        <v>8</v>
      </c>
      <c r="Q17" s="7">
        <v>0.84984070249890054</v>
      </c>
      <c r="R17" s="7">
        <v>3</v>
      </c>
      <c r="S17" s="7">
        <v>3.2448004906279326</v>
      </c>
      <c r="T17" s="26">
        <v>8</v>
      </c>
      <c r="U17" s="7">
        <v>0.91049154669877863</v>
      </c>
      <c r="V17" s="7">
        <v>7</v>
      </c>
      <c r="W17" s="7">
        <v>6</v>
      </c>
      <c r="X17" s="26">
        <v>1</v>
      </c>
      <c r="Y17" s="7">
        <v>0.89921439121527658</v>
      </c>
      <c r="Z17" s="7">
        <v>4</v>
      </c>
      <c r="AA17" s="7">
        <v>4</v>
      </c>
      <c r="AB17" s="26">
        <v>8</v>
      </c>
      <c r="AC17" s="7">
        <v>0.83315280032735173</v>
      </c>
      <c r="AD17" s="7">
        <v>1</v>
      </c>
      <c r="AE17" s="7">
        <v>1.2448004906279326</v>
      </c>
      <c r="AF17" s="26">
        <v>8</v>
      </c>
      <c r="AG17" s="7">
        <v>0.84321397968926315</v>
      </c>
      <c r="AH17" s="7">
        <v>2</v>
      </c>
      <c r="AI17" s="7">
        <v>2</v>
      </c>
      <c r="AJ17" s="26" t="s">
        <v>1227</v>
      </c>
      <c r="AK17" s="7">
        <v>0.78353987345614984</v>
      </c>
      <c r="AL17" s="7">
        <v>6</v>
      </c>
      <c r="AM17" s="7">
        <v>6.2448004906279326</v>
      </c>
      <c r="AN17" s="26" t="s">
        <v>1227</v>
      </c>
      <c r="AO17" s="9">
        <v>8</v>
      </c>
      <c r="AP17" s="7" t="s">
        <v>241</v>
      </c>
      <c r="AQ17" s="7">
        <v>5</v>
      </c>
      <c r="AR17" s="6">
        <v>14</v>
      </c>
      <c r="AS17" s="7" t="s">
        <v>229</v>
      </c>
      <c r="AT17" s="7" t="s">
        <v>230</v>
      </c>
      <c r="AU17" s="7" t="s">
        <v>232</v>
      </c>
      <c r="AV17" s="9" t="s">
        <v>242</v>
      </c>
      <c r="AW17" s="6">
        <v>14</v>
      </c>
      <c r="AX17" s="7" t="s">
        <v>235</v>
      </c>
      <c r="AY17" s="7" t="s">
        <v>239</v>
      </c>
      <c r="AZ17" s="7" t="s">
        <v>238</v>
      </c>
      <c r="BA17" s="9" t="s">
        <v>234</v>
      </c>
      <c r="BB17" s="7">
        <v>8</v>
      </c>
      <c r="BC17" s="7" t="s">
        <v>241</v>
      </c>
      <c r="BD17" s="7">
        <v>0.8539339014846371</v>
      </c>
      <c r="BE17" s="7">
        <v>2.74</v>
      </c>
      <c r="BF17" s="7">
        <v>2.39</v>
      </c>
      <c r="BG17" s="7">
        <v>2.3043333333333336</v>
      </c>
      <c r="BH17" s="7">
        <v>0.87190152192564152</v>
      </c>
      <c r="BI17" s="7">
        <v>2</v>
      </c>
      <c r="BJ17" s="7">
        <v>2</v>
      </c>
      <c r="BK17" s="26">
        <v>8</v>
      </c>
      <c r="BL17" s="7">
        <v>0.88265329668371906</v>
      </c>
      <c r="BM17" s="7">
        <v>5</v>
      </c>
      <c r="BN17" s="7">
        <v>5</v>
      </c>
      <c r="BO17" s="26">
        <v>8</v>
      </c>
      <c r="BP17" s="7">
        <v>0.81959906176343977</v>
      </c>
      <c r="BQ17" s="7">
        <v>9</v>
      </c>
      <c r="BR17" s="7">
        <v>6</v>
      </c>
      <c r="BS17" s="26">
        <v>5</v>
      </c>
      <c r="BT17" s="7">
        <v>0.87569794286904046</v>
      </c>
      <c r="BU17" s="7">
        <v>8</v>
      </c>
      <c r="BV17" s="7">
        <v>6</v>
      </c>
      <c r="BW17" s="26">
        <v>8</v>
      </c>
      <c r="BX17" s="7">
        <v>0.81798792006004184</v>
      </c>
      <c r="BY17" s="7">
        <v>2</v>
      </c>
      <c r="BZ17" s="7">
        <v>2</v>
      </c>
      <c r="CA17" s="26">
        <v>5</v>
      </c>
      <c r="CB17" s="7">
        <v>0.80194464442386026</v>
      </c>
      <c r="CC17" s="7">
        <v>0</v>
      </c>
      <c r="CD17" s="7">
        <v>0.24480049062793263</v>
      </c>
      <c r="CE17" s="26">
        <v>5</v>
      </c>
      <c r="CF17" s="7">
        <v>0.8590785563898955</v>
      </c>
      <c r="CG17" s="7">
        <v>4</v>
      </c>
      <c r="CH17" s="7">
        <v>4</v>
      </c>
      <c r="CI17" s="26">
        <v>8</v>
      </c>
      <c r="CJ17" s="9">
        <v>8</v>
      </c>
      <c r="CK17" s="7" t="s">
        <v>241</v>
      </c>
      <c r="CL17" s="7">
        <v>7</v>
      </c>
      <c r="CM17" s="6">
        <v>14</v>
      </c>
      <c r="CN17" s="7" t="s">
        <v>229</v>
      </c>
      <c r="CO17" s="9" t="s">
        <v>232</v>
      </c>
      <c r="CP17" s="6">
        <v>14</v>
      </c>
      <c r="CQ17" s="7" t="s">
        <v>239</v>
      </c>
      <c r="CR17" s="9" t="s">
        <v>240</v>
      </c>
      <c r="CS17" s="7">
        <v>8</v>
      </c>
      <c r="CT17" s="7" t="s">
        <v>241</v>
      </c>
      <c r="CU17" s="6">
        <v>0.8539339014846371</v>
      </c>
      <c r="CV17" s="7">
        <v>2.74</v>
      </c>
      <c r="CW17" s="7">
        <v>2.39</v>
      </c>
      <c r="CX17" s="7">
        <v>2.5143333333333335</v>
      </c>
      <c r="CY17" s="7">
        <v>0.86623000195560007</v>
      </c>
      <c r="CZ17" s="7">
        <v>0</v>
      </c>
      <c r="DA17" s="7">
        <v>0</v>
      </c>
      <c r="DB17" s="26">
        <v>7</v>
      </c>
      <c r="DC17" s="7">
        <v>0.88778380789856315</v>
      </c>
      <c r="DD17" s="7">
        <v>2</v>
      </c>
      <c r="DE17" s="7">
        <v>2</v>
      </c>
      <c r="DF17" s="26">
        <v>8</v>
      </c>
      <c r="DG17" s="7">
        <v>0.8585267299792857</v>
      </c>
      <c r="DH17" s="7">
        <v>0</v>
      </c>
      <c r="DI17" s="7">
        <v>0.24480049062793263</v>
      </c>
      <c r="DJ17" s="26">
        <v>7</v>
      </c>
      <c r="DK17" s="7">
        <v>0.85867269511737554</v>
      </c>
      <c r="DL17" s="7">
        <v>3</v>
      </c>
      <c r="DM17" s="7">
        <v>3.2448004906279326</v>
      </c>
      <c r="DN17" s="26">
        <v>8</v>
      </c>
      <c r="DO17" s="7">
        <v>0.86868096154240881</v>
      </c>
      <c r="DP17" s="7">
        <v>5</v>
      </c>
      <c r="DQ17" s="7">
        <v>5</v>
      </c>
      <c r="DR17" s="26">
        <v>8</v>
      </c>
      <c r="DS17" s="7">
        <v>0.84245979585971797</v>
      </c>
      <c r="DT17" s="7">
        <v>3</v>
      </c>
      <c r="DU17" s="7">
        <v>3.2448004906279326</v>
      </c>
      <c r="DV17" s="26">
        <v>8</v>
      </c>
      <c r="DW17" s="7">
        <v>0.84627155294592527</v>
      </c>
      <c r="DX17" s="7">
        <v>4</v>
      </c>
      <c r="DY17" s="7">
        <v>4.2448004906279326</v>
      </c>
      <c r="DZ17" s="26" t="s">
        <v>1227</v>
      </c>
      <c r="EA17" s="9">
        <v>8</v>
      </c>
      <c r="EB17" s="7">
        <v>6</v>
      </c>
      <c r="ED17" s="6">
        <v>14</v>
      </c>
      <c r="EE17" s="7" t="str">
        <v>Tampa Bay</v>
      </c>
      <c r="EF17" s="9" t="str">
        <v>Minnesota</v>
      </c>
      <c r="EI17" s="51"/>
      <c r="EJ17" s="52">
        <v>0.65</v>
      </c>
      <c r="EK17" s="52">
        <v>0.44</v>
      </c>
      <c r="EL17" s="52">
        <v>0.24</v>
      </c>
      <c r="EM17" s="52">
        <v>0.12</v>
      </c>
      <c r="EN17" s="52">
        <f ca="1">AQ10+CL8+EB4+FT3</f>
        <v>27</v>
      </c>
      <c r="EO17" s="51"/>
      <c r="EP17" s="52">
        <v>0.57999999999999996</v>
      </c>
      <c r="EQ17" s="52">
        <v>0.26</v>
      </c>
      <c r="ER17" s="52">
        <v>0.06</v>
      </c>
      <c r="ES17" s="52">
        <v>0.06</v>
      </c>
      <c r="ET17" s="53">
        <v>16</v>
      </c>
      <c r="EV17" s="6" t="s">
        <v>176</v>
      </c>
      <c r="EW17" s="31">
        <v>85.347807451801742</v>
      </c>
      <c r="EX17" s="6">
        <v>6</v>
      </c>
      <c r="EY17" s="7">
        <v>7</v>
      </c>
      <c r="EZ17" s="7">
        <v>27</v>
      </c>
      <c r="FA17" s="7">
        <v>6</v>
      </c>
      <c r="FB17" s="7">
        <v>6</v>
      </c>
      <c r="FC17" s="7">
        <v>6</v>
      </c>
      <c r="FD17" s="7">
        <v>6</v>
      </c>
      <c r="FE17" s="7">
        <v>7</v>
      </c>
      <c r="FF17" s="7">
        <v>7</v>
      </c>
      <c r="FG17" s="7">
        <v>26</v>
      </c>
      <c r="FH17" s="7">
        <v>16</v>
      </c>
      <c r="FI17" s="7">
        <v>7</v>
      </c>
      <c r="FJ17" s="7">
        <v>12</v>
      </c>
      <c r="FK17" s="7">
        <v>6</v>
      </c>
      <c r="FL17" s="7">
        <v>12</v>
      </c>
      <c r="FM17" s="7">
        <v>4</v>
      </c>
      <c r="FN17" s="9">
        <v>6</v>
      </c>
      <c r="FQ17" s="6">
        <v>7</v>
      </c>
      <c r="FR17" s="9">
        <v>7</v>
      </c>
      <c r="FU17" s="7">
        <v>15</v>
      </c>
      <c r="FV17" s="7" t="str">
        <v>Tampa Bay</v>
      </c>
    </row>
    <row r="18" spans="1:178" x14ac:dyDescent="0.25">
      <c r="A18" s="7">
        <v>2</v>
      </c>
      <c r="B18" s="7" t="s">
        <v>234</v>
      </c>
      <c r="C18" s="7">
        <v>0.85096370698468571</v>
      </c>
      <c r="D18" s="7">
        <v>2.73</v>
      </c>
      <c r="E18" s="7">
        <v>2.65</v>
      </c>
      <c r="F18" s="8"/>
      <c r="H18" s="7">
        <v>8</v>
      </c>
      <c r="I18" s="7">
        <v>0.8539339014846371</v>
      </c>
      <c r="J18" s="7">
        <v>2.74</v>
      </c>
      <c r="K18" s="7">
        <v>2.39</v>
      </c>
      <c r="L18" s="7">
        <v>2.4343333333333335</v>
      </c>
      <c r="M18" s="22">
        <v>0.8808149925343296</v>
      </c>
      <c r="N18" s="7">
        <v>7</v>
      </c>
      <c r="O18" s="7">
        <v>6</v>
      </c>
      <c r="P18" s="26"/>
      <c r="Q18" s="7">
        <v>0.8868462605285512</v>
      </c>
      <c r="R18" s="7">
        <v>9</v>
      </c>
      <c r="S18" s="7">
        <v>6</v>
      </c>
      <c r="T18" s="26"/>
      <c r="U18" s="7">
        <v>0.82640050233510465</v>
      </c>
      <c r="V18" s="7">
        <v>3</v>
      </c>
      <c r="W18" s="7">
        <v>3.2448004906279326</v>
      </c>
      <c r="X18" s="26"/>
      <c r="Y18" s="7">
        <v>0.85229617423746606</v>
      </c>
      <c r="Z18" s="7">
        <v>4</v>
      </c>
      <c r="AA18" s="7">
        <v>4.2448004906279326</v>
      </c>
      <c r="AB18" s="26"/>
      <c r="AC18" s="7">
        <v>0.86241497074704987</v>
      </c>
      <c r="AD18" s="7">
        <v>4</v>
      </c>
      <c r="AE18" s="7">
        <v>4</v>
      </c>
      <c r="AF18" s="26"/>
      <c r="AG18" s="7">
        <v>0.82425853727585252</v>
      </c>
      <c r="AH18" s="7">
        <v>2</v>
      </c>
      <c r="AI18" s="7">
        <v>2.2448004906279326</v>
      </c>
      <c r="AJ18" s="26"/>
      <c r="AK18" s="7">
        <v>0.8658386274418135</v>
      </c>
      <c r="AL18" s="7">
        <v>3</v>
      </c>
      <c r="AM18" s="7">
        <v>3</v>
      </c>
      <c r="AN18" s="26"/>
      <c r="AO18" s="9"/>
      <c r="AR18" s="6">
        <v>15</v>
      </c>
      <c r="AS18" s="7" t="s">
        <v>317</v>
      </c>
      <c r="AT18" s="7" t="s">
        <v>230</v>
      </c>
      <c r="AU18" s="7" t="s">
        <v>243</v>
      </c>
      <c r="AV18" s="9" t="s">
        <v>231</v>
      </c>
      <c r="AW18" s="6">
        <v>15</v>
      </c>
      <c r="AX18" s="7" t="s">
        <v>235</v>
      </c>
      <c r="AY18" s="7" t="s">
        <v>233</v>
      </c>
      <c r="AZ18" s="7" t="s">
        <v>238</v>
      </c>
      <c r="BA18" s="9" t="s">
        <v>234</v>
      </c>
      <c r="BK18" s="26"/>
      <c r="BO18" s="26"/>
      <c r="BS18" s="26"/>
      <c r="BW18" s="26"/>
      <c r="CA18" s="26"/>
      <c r="CE18" s="26"/>
      <c r="CI18" s="26"/>
      <c r="CJ18" s="9"/>
      <c r="CM18" s="6">
        <v>15</v>
      </c>
      <c r="CN18" s="7" t="s">
        <v>230</v>
      </c>
      <c r="CO18" s="9" t="s">
        <v>242</v>
      </c>
      <c r="CP18" s="6">
        <v>15</v>
      </c>
      <c r="CQ18" s="7" t="s">
        <v>233</v>
      </c>
      <c r="CR18" s="9" t="s">
        <v>234</v>
      </c>
      <c r="CU18" s="6"/>
      <c r="DB18" s="26"/>
      <c r="DF18" s="26"/>
      <c r="DJ18" s="26"/>
      <c r="DN18" s="26"/>
      <c r="DR18" s="26"/>
      <c r="DV18" s="26"/>
      <c r="DZ18" s="26"/>
      <c r="EA18" s="9"/>
      <c r="ED18" s="6">
        <v>15</v>
      </c>
      <c r="EE18" s="7" t="str">
        <v>Tampa Bay</v>
      </c>
      <c r="EF18" s="9" t="str">
        <v>Minnesota</v>
      </c>
      <c r="EI18" s="51">
        <v>3</v>
      </c>
      <c r="EJ18" s="52" t="s">
        <v>232</v>
      </c>
      <c r="EK18" s="52"/>
      <c r="EL18" s="52"/>
      <c r="EM18" s="52"/>
      <c r="EN18" s="52"/>
      <c r="EO18" s="51">
        <v>3</v>
      </c>
      <c r="EP18" s="52" t="s">
        <v>237</v>
      </c>
      <c r="EQ18" s="52"/>
      <c r="ER18" s="52"/>
      <c r="ES18" s="52"/>
      <c r="ET18" s="53"/>
      <c r="EV18" s="6" t="s">
        <v>27</v>
      </c>
      <c r="EW18" s="31">
        <v>85.347134487157248</v>
      </c>
      <c r="EX18" s="6">
        <v>7</v>
      </c>
      <c r="EY18" s="7">
        <v>7</v>
      </c>
      <c r="EZ18" s="7">
        <v>24</v>
      </c>
      <c r="FA18" s="7">
        <v>6</v>
      </c>
      <c r="FB18" s="7">
        <v>6</v>
      </c>
      <c r="FC18" s="7">
        <v>6</v>
      </c>
      <c r="FD18" s="7">
        <v>6</v>
      </c>
      <c r="FE18" s="7">
        <v>7</v>
      </c>
      <c r="FF18" s="7">
        <v>7</v>
      </c>
      <c r="FG18" s="7">
        <v>26</v>
      </c>
      <c r="FH18" s="7">
        <v>16</v>
      </c>
      <c r="FI18" s="7">
        <v>7</v>
      </c>
      <c r="FJ18" s="7">
        <v>12</v>
      </c>
      <c r="FK18" s="7">
        <v>6</v>
      </c>
      <c r="FL18" s="7">
        <v>12</v>
      </c>
      <c r="FM18" s="7">
        <v>4</v>
      </c>
      <c r="FN18" s="9">
        <v>6</v>
      </c>
      <c r="FQ18" s="6">
        <v>8</v>
      </c>
      <c r="FR18" s="9">
        <v>7</v>
      </c>
      <c r="FU18" s="7">
        <v>16</v>
      </c>
      <c r="FV18" s="7" t="str">
        <v>Tampa Bay</v>
      </c>
    </row>
    <row r="19" spans="1:178" x14ac:dyDescent="0.25">
      <c r="A19" s="7">
        <v>3</v>
      </c>
      <c r="B19" s="7" t="s">
        <v>237</v>
      </c>
      <c r="C19" s="7">
        <v>0.85196927437995518</v>
      </c>
      <c r="D19" s="7">
        <v>2.84</v>
      </c>
      <c r="E19" s="7">
        <v>2.65</v>
      </c>
      <c r="F19" s="8"/>
      <c r="G19" s="7">
        <v>2</v>
      </c>
      <c r="H19" s="7">
        <v>4</v>
      </c>
      <c r="I19" s="7">
        <v>0.85325331323693165</v>
      </c>
      <c r="J19" s="7">
        <v>2.71</v>
      </c>
      <c r="K19" s="7">
        <v>2.42</v>
      </c>
      <c r="L19" s="7">
        <v>2.2743333333333333</v>
      </c>
      <c r="M19" s="22">
        <v>0.90087035995622156</v>
      </c>
      <c r="N19" s="7">
        <v>3</v>
      </c>
      <c r="O19" s="7">
        <v>3.2448004906279326</v>
      </c>
      <c r="P19" s="26">
        <v>4</v>
      </c>
      <c r="Q19" s="7">
        <v>0.87498725255787202</v>
      </c>
      <c r="R19" s="7">
        <v>12</v>
      </c>
      <c r="S19" s="7">
        <v>6</v>
      </c>
      <c r="T19" s="26">
        <v>4</v>
      </c>
      <c r="U19" s="7">
        <v>0.85645651186790561</v>
      </c>
      <c r="V19" s="7">
        <v>4</v>
      </c>
      <c r="W19" s="7">
        <v>4</v>
      </c>
      <c r="X19" s="26">
        <v>5</v>
      </c>
      <c r="Y19" s="7">
        <v>0.87309798052869392</v>
      </c>
      <c r="Z19" s="7">
        <v>8</v>
      </c>
      <c r="AA19" s="7">
        <v>6</v>
      </c>
      <c r="AB19" s="26">
        <v>4</v>
      </c>
      <c r="AC19" s="7">
        <v>0.9005472984145374</v>
      </c>
      <c r="AD19" s="7">
        <v>0</v>
      </c>
      <c r="AE19" s="7">
        <v>0.24480049062793263</v>
      </c>
      <c r="AF19" s="26">
        <v>5</v>
      </c>
      <c r="AG19" s="7">
        <v>0.82867012164272236</v>
      </c>
      <c r="AH19" s="7">
        <v>5</v>
      </c>
      <c r="AI19" s="7">
        <v>5</v>
      </c>
      <c r="AJ19" s="26" t="s">
        <v>1227</v>
      </c>
      <c r="AK19" s="7">
        <v>0.91817791899359269</v>
      </c>
      <c r="AL19" s="7">
        <v>24</v>
      </c>
      <c r="AM19" s="7">
        <v>6</v>
      </c>
      <c r="AN19" s="26">
        <v>5</v>
      </c>
      <c r="AO19" s="9">
        <v>5</v>
      </c>
      <c r="AP19" s="7" t="s">
        <v>239</v>
      </c>
      <c r="AQ19" s="7">
        <v>6</v>
      </c>
      <c r="AR19" s="6">
        <v>16</v>
      </c>
      <c r="AS19" s="7" t="s">
        <v>317</v>
      </c>
      <c r="AT19" s="7" t="s">
        <v>230</v>
      </c>
      <c r="AU19" s="7" t="s">
        <v>232</v>
      </c>
      <c r="AV19" s="9" t="s">
        <v>242</v>
      </c>
      <c r="AW19" s="6">
        <v>16</v>
      </c>
      <c r="AX19" s="7" t="s">
        <v>235</v>
      </c>
      <c r="AY19" s="7" t="s">
        <v>233</v>
      </c>
      <c r="AZ19" s="7" t="s">
        <v>237</v>
      </c>
      <c r="BA19" s="9" t="s">
        <v>234</v>
      </c>
      <c r="BB19" s="7">
        <v>5</v>
      </c>
      <c r="BC19" s="7" t="s">
        <v>239</v>
      </c>
      <c r="BD19" s="7">
        <v>0.85511373496341359</v>
      </c>
      <c r="BE19" s="7">
        <v>2.64</v>
      </c>
      <c r="BF19" s="7">
        <v>2.23</v>
      </c>
      <c r="BG19" s="7">
        <v>2.3643333333333336</v>
      </c>
      <c r="BH19" s="7">
        <v>0.84144790385884694</v>
      </c>
      <c r="BI19" s="7">
        <v>1</v>
      </c>
      <c r="BJ19" s="7">
        <v>1.2448004906279326</v>
      </c>
      <c r="BK19" s="26"/>
      <c r="BL19" s="7">
        <v>0.77848050237904654</v>
      </c>
      <c r="BM19" s="7">
        <v>0</v>
      </c>
      <c r="BN19" s="7">
        <v>0.24480049062793263</v>
      </c>
      <c r="BO19" s="26"/>
      <c r="BP19" s="7">
        <v>0.83109109239216883</v>
      </c>
      <c r="BQ19" s="7">
        <v>6</v>
      </c>
      <c r="BR19" s="7">
        <v>6</v>
      </c>
      <c r="BS19" s="26"/>
      <c r="BT19" s="7">
        <v>0.86777518496766592</v>
      </c>
      <c r="BU19" s="7">
        <v>4</v>
      </c>
      <c r="BV19" s="7">
        <v>4</v>
      </c>
      <c r="BW19" s="26"/>
      <c r="BX19" s="7">
        <v>0.90923215673560098</v>
      </c>
      <c r="BY19" s="7">
        <v>7</v>
      </c>
      <c r="BZ19" s="7">
        <v>6</v>
      </c>
      <c r="CA19" s="26"/>
      <c r="CB19" s="7">
        <v>0.8253637507227739</v>
      </c>
      <c r="CC19" s="7">
        <v>1</v>
      </c>
      <c r="CD19" s="7">
        <v>1</v>
      </c>
      <c r="CE19" s="26"/>
      <c r="CF19" s="7">
        <v>0.84154890891859035</v>
      </c>
      <c r="CG19" s="7">
        <v>2</v>
      </c>
      <c r="CH19" s="7">
        <v>2.2448004906279326</v>
      </c>
      <c r="CI19" s="26"/>
      <c r="CJ19" s="9"/>
      <c r="CM19" s="6">
        <v>16</v>
      </c>
      <c r="CN19" s="7" t="s">
        <v>317</v>
      </c>
      <c r="CO19" s="9" t="s">
        <v>243</v>
      </c>
      <c r="CP19" s="6">
        <v>16</v>
      </c>
      <c r="CQ19" s="7" t="s">
        <v>235</v>
      </c>
      <c r="CR19" s="9" t="s">
        <v>234</v>
      </c>
      <c r="CU19" s="6"/>
      <c r="DB19" s="26"/>
      <c r="DF19" s="26"/>
      <c r="DJ19" s="26"/>
      <c r="DN19" s="26"/>
      <c r="DR19" s="26"/>
      <c r="DV19" s="26"/>
      <c r="DZ19" s="26"/>
      <c r="EA19" s="9"/>
      <c r="ED19" s="6">
        <v>16</v>
      </c>
      <c r="EE19" s="7" t="str">
        <v>Tampa Bay</v>
      </c>
      <c r="EF19" s="9" t="str">
        <v>Minnesota</v>
      </c>
      <c r="EI19" s="51"/>
      <c r="EJ19" s="52" t="s">
        <v>307</v>
      </c>
      <c r="EK19" s="52" t="s">
        <v>308</v>
      </c>
      <c r="EL19" s="52" t="s">
        <v>309</v>
      </c>
      <c r="EM19" s="52" t="s">
        <v>306</v>
      </c>
      <c r="EN19" s="52" t="s">
        <v>310</v>
      </c>
      <c r="EO19" s="51"/>
      <c r="EP19" s="52" t="s">
        <v>307</v>
      </c>
      <c r="EQ19" s="52" t="s">
        <v>308</v>
      </c>
      <c r="ER19" s="52" t="s">
        <v>309</v>
      </c>
      <c r="ES19" s="52" t="s">
        <v>306</v>
      </c>
      <c r="ET19" s="53" t="s">
        <v>310</v>
      </c>
      <c r="EV19" s="6" t="s">
        <v>9</v>
      </c>
      <c r="EW19" s="31">
        <v>85.33141419767675</v>
      </c>
      <c r="EX19" s="6">
        <v>8</v>
      </c>
      <c r="EY19" s="7">
        <v>7</v>
      </c>
      <c r="EZ19" s="7">
        <v>26</v>
      </c>
      <c r="FA19" s="7">
        <v>6</v>
      </c>
      <c r="FB19" s="7">
        <v>6</v>
      </c>
      <c r="FC19" s="7">
        <v>6</v>
      </c>
      <c r="FD19" s="7">
        <v>6</v>
      </c>
      <c r="FE19" s="7">
        <v>7</v>
      </c>
      <c r="FF19" s="7">
        <v>7</v>
      </c>
      <c r="FG19" s="7">
        <v>26</v>
      </c>
      <c r="FH19" s="7">
        <v>16</v>
      </c>
      <c r="FI19" s="7">
        <v>7</v>
      </c>
      <c r="FJ19" s="7">
        <v>12</v>
      </c>
      <c r="FK19" s="7">
        <v>6</v>
      </c>
      <c r="FL19" s="7">
        <v>12</v>
      </c>
      <c r="FM19" s="7">
        <v>4</v>
      </c>
      <c r="FN19" s="9">
        <v>6</v>
      </c>
      <c r="FQ19" s="6">
        <v>9</v>
      </c>
      <c r="FR19" s="9">
        <v>7</v>
      </c>
      <c r="FU19" s="7">
        <v>17</v>
      </c>
      <c r="FV19" s="7" t="str">
        <v>Minnesota</v>
      </c>
    </row>
    <row r="20" spans="1:178" x14ac:dyDescent="0.25">
      <c r="A20" s="7">
        <v>4</v>
      </c>
      <c r="B20" s="7" t="s">
        <v>233</v>
      </c>
      <c r="C20" s="7">
        <v>0.85325331323693165</v>
      </c>
      <c r="D20" s="7">
        <v>2.71</v>
      </c>
      <c r="E20" s="7">
        <v>2.42</v>
      </c>
      <c r="F20" s="8"/>
      <c r="H20" s="7">
        <v>5</v>
      </c>
      <c r="I20" s="7">
        <v>0.85511373496341359</v>
      </c>
      <c r="J20" s="7">
        <v>2.64</v>
      </c>
      <c r="K20" s="7">
        <v>2.23</v>
      </c>
      <c r="L20" s="7">
        <v>2.3943333333333334</v>
      </c>
      <c r="M20" s="22">
        <v>0.90834310680542729</v>
      </c>
      <c r="N20" s="7">
        <v>3</v>
      </c>
      <c r="O20" s="7">
        <v>3</v>
      </c>
      <c r="P20" s="26"/>
      <c r="Q20" s="7">
        <v>0.80783042799377336</v>
      </c>
      <c r="R20" s="7">
        <v>3</v>
      </c>
      <c r="S20" s="7">
        <v>3</v>
      </c>
      <c r="T20" s="26"/>
      <c r="U20" s="7">
        <v>0.80132772937022068</v>
      </c>
      <c r="V20" s="7">
        <v>7</v>
      </c>
      <c r="W20" s="7">
        <v>6</v>
      </c>
      <c r="X20" s="26"/>
      <c r="Y20" s="7">
        <v>0.77990959824557304</v>
      </c>
      <c r="Z20" s="7">
        <v>4</v>
      </c>
      <c r="AA20" s="7">
        <v>4.2448004906279326</v>
      </c>
      <c r="AB20" s="26"/>
      <c r="AC20" s="7">
        <v>0.85726588657985592</v>
      </c>
      <c r="AD20" s="7">
        <v>1</v>
      </c>
      <c r="AE20" s="7">
        <v>1</v>
      </c>
      <c r="AF20" s="26"/>
      <c r="AG20" s="7">
        <v>0.88096635232919285</v>
      </c>
      <c r="AH20" s="7">
        <v>2</v>
      </c>
      <c r="AI20" s="7">
        <v>2.2448004906279326</v>
      </c>
      <c r="AJ20" s="26"/>
      <c r="AK20" s="7">
        <v>0.85527925768612723</v>
      </c>
      <c r="AL20" s="7">
        <v>9</v>
      </c>
      <c r="AM20" s="7">
        <v>6</v>
      </c>
      <c r="AN20" s="26"/>
      <c r="AO20" s="9"/>
      <c r="AR20" s="6">
        <v>17</v>
      </c>
      <c r="AS20" s="7" t="s">
        <v>229</v>
      </c>
      <c r="AT20" s="7" t="s">
        <v>230</v>
      </c>
      <c r="AU20" s="7" t="s">
        <v>232</v>
      </c>
      <c r="AV20" s="9" t="s">
        <v>242</v>
      </c>
      <c r="AW20" s="6">
        <v>17</v>
      </c>
      <c r="AX20" s="7" t="s">
        <v>241</v>
      </c>
      <c r="AY20" s="7" t="s">
        <v>239</v>
      </c>
      <c r="AZ20" s="7" t="s">
        <v>238</v>
      </c>
      <c r="BA20" s="9" t="s">
        <v>240</v>
      </c>
      <c r="BK20" s="26"/>
      <c r="BO20" s="26"/>
      <c r="BS20" s="26"/>
      <c r="BW20" s="26"/>
      <c r="CA20" s="26"/>
      <c r="CE20" s="26"/>
      <c r="CI20" s="26"/>
      <c r="CJ20" s="9"/>
      <c r="CM20" s="6">
        <v>17</v>
      </c>
      <c r="CN20" s="7" t="s">
        <v>236</v>
      </c>
      <c r="CO20" s="9" t="s">
        <v>243</v>
      </c>
      <c r="CP20" s="6">
        <v>17</v>
      </c>
      <c r="CQ20" s="7" t="s">
        <v>239</v>
      </c>
      <c r="CR20" s="9" t="s">
        <v>237</v>
      </c>
      <c r="CU20" s="6"/>
      <c r="DB20" s="26"/>
      <c r="DF20" s="26"/>
      <c r="DJ20" s="26"/>
      <c r="DN20" s="26"/>
      <c r="DR20" s="26"/>
      <c r="DV20" s="26"/>
      <c r="DZ20" s="26"/>
      <c r="EA20" s="9"/>
      <c r="ED20" s="6">
        <v>17</v>
      </c>
      <c r="EE20" s="7" t="str">
        <v>Tampa Bay</v>
      </c>
      <c r="EF20" s="9" t="str">
        <v>Minnesota</v>
      </c>
      <c r="EI20" s="51"/>
      <c r="EJ20" s="52">
        <v>0.47</v>
      </c>
      <c r="EK20" s="52">
        <v>0.19</v>
      </c>
      <c r="EL20" s="52">
        <v>0.11</v>
      </c>
      <c r="EM20" s="52">
        <v>0.06</v>
      </c>
      <c r="EN20" s="52">
        <f>AQ8</f>
        <v>6</v>
      </c>
      <c r="EO20" s="51"/>
      <c r="EP20" s="52">
        <v>0.52</v>
      </c>
      <c r="EQ20" s="52">
        <v>0.26</v>
      </c>
      <c r="ER20" s="52">
        <v>0.13</v>
      </c>
      <c r="ES20" s="52">
        <v>0.05</v>
      </c>
      <c r="ET20" s="53">
        <v>7</v>
      </c>
      <c r="EV20" s="6" t="s">
        <v>7</v>
      </c>
      <c r="EW20" s="31">
        <v>85.272156649318319</v>
      </c>
      <c r="EX20" s="6">
        <v>9</v>
      </c>
      <c r="EY20" s="7">
        <v>7</v>
      </c>
      <c r="EZ20" s="7">
        <v>26</v>
      </c>
      <c r="FA20" s="7">
        <v>6</v>
      </c>
      <c r="FB20" s="7">
        <v>6</v>
      </c>
      <c r="FC20" s="7">
        <v>6</v>
      </c>
      <c r="FD20" s="7">
        <v>6</v>
      </c>
      <c r="FE20" s="7">
        <v>7</v>
      </c>
      <c r="FF20" s="7">
        <v>7</v>
      </c>
      <c r="FG20" s="7">
        <v>26</v>
      </c>
      <c r="FH20" s="7">
        <v>16</v>
      </c>
      <c r="FI20" s="7">
        <v>7</v>
      </c>
      <c r="FJ20" s="7">
        <v>12</v>
      </c>
      <c r="FK20" s="7">
        <v>6</v>
      </c>
      <c r="FL20" s="7">
        <v>12</v>
      </c>
      <c r="FM20" s="7">
        <v>4</v>
      </c>
      <c r="FN20" s="9">
        <v>6</v>
      </c>
      <c r="FQ20" s="6">
        <v>10</v>
      </c>
      <c r="FR20" s="9">
        <v>7</v>
      </c>
      <c r="FU20" s="7">
        <v>18</v>
      </c>
      <c r="FV20" s="7" t="str">
        <v>Tampa Bay</v>
      </c>
    </row>
    <row r="21" spans="1:178" x14ac:dyDescent="0.25">
      <c r="A21" s="7">
        <v>5</v>
      </c>
      <c r="B21" s="7" t="s">
        <v>239</v>
      </c>
      <c r="C21" s="7">
        <v>0.85511373496341359</v>
      </c>
      <c r="D21" s="7">
        <v>2.64</v>
      </c>
      <c r="E21" s="7">
        <v>2.23</v>
      </c>
      <c r="F21" s="8"/>
      <c r="G21" s="7">
        <v>3</v>
      </c>
      <c r="H21" s="7">
        <v>3</v>
      </c>
      <c r="I21" s="7">
        <v>0.85196927437995518</v>
      </c>
      <c r="J21" s="7">
        <v>2.84</v>
      </c>
      <c r="K21" s="7">
        <v>2.65</v>
      </c>
      <c r="L21" s="7">
        <v>2.7343333333333333</v>
      </c>
      <c r="M21" s="22">
        <v>0.76011868635722624</v>
      </c>
      <c r="N21" s="7">
        <v>1</v>
      </c>
      <c r="O21" s="7">
        <v>1.2448004906279326</v>
      </c>
      <c r="P21" s="26">
        <v>6</v>
      </c>
      <c r="Q21" s="7">
        <v>0.86379201255606242</v>
      </c>
      <c r="R21" s="7">
        <v>10</v>
      </c>
      <c r="S21" s="7">
        <v>6</v>
      </c>
      <c r="T21" s="26">
        <v>3</v>
      </c>
      <c r="U21" s="7">
        <v>0.90149396366064904</v>
      </c>
      <c r="V21" s="7">
        <v>3</v>
      </c>
      <c r="W21" s="7">
        <v>3</v>
      </c>
      <c r="X21" s="26">
        <v>3</v>
      </c>
      <c r="Y21" s="7">
        <v>0.84962009272230121</v>
      </c>
      <c r="Z21" s="7">
        <v>10</v>
      </c>
      <c r="AA21" s="7">
        <v>6</v>
      </c>
      <c r="AB21" s="26">
        <v>3</v>
      </c>
      <c r="AC21" s="7">
        <v>0.82337079349303322</v>
      </c>
      <c r="AD21" s="7">
        <v>3</v>
      </c>
      <c r="AE21" s="7">
        <v>3.2448004906279326</v>
      </c>
      <c r="AF21" s="26">
        <v>6</v>
      </c>
      <c r="AG21" s="7">
        <v>0.76415456551784455</v>
      </c>
      <c r="AH21" s="7">
        <v>0</v>
      </c>
      <c r="AI21" s="7">
        <v>0</v>
      </c>
      <c r="AJ21" s="26">
        <v>6</v>
      </c>
      <c r="AK21" s="7">
        <v>0.87133087479970095</v>
      </c>
      <c r="AL21" s="7">
        <v>10</v>
      </c>
      <c r="AM21" s="7">
        <v>6</v>
      </c>
      <c r="AN21" s="26">
        <v>3</v>
      </c>
      <c r="AO21" s="9">
        <v>6</v>
      </c>
      <c r="AP21" s="7" t="s">
        <v>238</v>
      </c>
      <c r="AQ21" s="7">
        <v>7</v>
      </c>
      <c r="AR21" s="6">
        <v>18</v>
      </c>
      <c r="AS21" s="7" t="s">
        <v>317</v>
      </c>
      <c r="AT21" s="7" t="s">
        <v>236</v>
      </c>
      <c r="AU21" s="7" t="s">
        <v>243</v>
      </c>
      <c r="AV21" s="9" t="s">
        <v>242</v>
      </c>
      <c r="AW21" s="6">
        <v>18</v>
      </c>
      <c r="AX21" s="7" t="s">
        <v>241</v>
      </c>
      <c r="AY21" s="7" t="s">
        <v>239</v>
      </c>
      <c r="AZ21" s="7" t="s">
        <v>237</v>
      </c>
      <c r="BA21" s="9" t="s">
        <v>234</v>
      </c>
      <c r="BB21" s="7">
        <v>6</v>
      </c>
      <c r="BC21" s="7" t="s">
        <v>238</v>
      </c>
      <c r="BD21" s="7">
        <v>0.85255075950527826</v>
      </c>
      <c r="BE21" s="7">
        <v>2.85</v>
      </c>
      <c r="BF21" s="7">
        <v>2.56</v>
      </c>
      <c r="BG21" s="7">
        <v>2.6243333333333334</v>
      </c>
      <c r="BH21" s="7">
        <v>0.83872516920243256</v>
      </c>
      <c r="BI21" s="7">
        <v>4</v>
      </c>
      <c r="BJ21" s="7">
        <v>4.2448004906279326</v>
      </c>
      <c r="BK21" s="26">
        <v>7</v>
      </c>
      <c r="BL21" s="7">
        <v>0.86761207826730868</v>
      </c>
      <c r="BM21" s="7">
        <v>0</v>
      </c>
      <c r="BN21" s="7">
        <v>0.24480049062793263</v>
      </c>
      <c r="BO21" s="26">
        <v>7</v>
      </c>
      <c r="BP21" s="7">
        <v>0.82674050675477107</v>
      </c>
      <c r="BQ21" s="7">
        <v>2</v>
      </c>
      <c r="BR21" s="7">
        <v>2</v>
      </c>
      <c r="BS21" s="26">
        <v>6</v>
      </c>
      <c r="BT21" s="7">
        <v>0.87935108652029692</v>
      </c>
      <c r="BU21" s="7">
        <v>1</v>
      </c>
      <c r="BV21" s="7">
        <v>1</v>
      </c>
      <c r="BW21" s="26">
        <v>7</v>
      </c>
      <c r="BX21" s="7">
        <v>0.88461355044244683</v>
      </c>
      <c r="BY21" s="7">
        <v>2</v>
      </c>
      <c r="BZ21" s="7">
        <v>2.2448004906279326</v>
      </c>
      <c r="CA21" s="26">
        <v>6</v>
      </c>
      <c r="CB21" s="7">
        <v>0.82928105431268528</v>
      </c>
      <c r="CC21" s="7">
        <v>4</v>
      </c>
      <c r="CD21" s="7">
        <v>4</v>
      </c>
      <c r="CE21" s="26">
        <v>7</v>
      </c>
      <c r="CF21" s="7">
        <v>0.85730551911844166</v>
      </c>
      <c r="CG21" s="7">
        <v>0</v>
      </c>
      <c r="CH21" s="7">
        <v>0.24480049062793263</v>
      </c>
      <c r="CI21" s="26" t="s">
        <v>1227</v>
      </c>
      <c r="CJ21" s="9">
        <v>7</v>
      </c>
      <c r="CK21" s="7" t="s">
        <v>240</v>
      </c>
      <c r="CL21" s="7">
        <v>6</v>
      </c>
      <c r="CM21" s="6">
        <v>18</v>
      </c>
      <c r="CN21" s="7" t="s">
        <v>230</v>
      </c>
      <c r="CO21" s="9" t="s">
        <v>231</v>
      </c>
      <c r="CP21" s="6">
        <v>18</v>
      </c>
      <c r="CQ21" s="7" t="s">
        <v>239</v>
      </c>
      <c r="CR21" s="9" t="s">
        <v>238</v>
      </c>
      <c r="CS21" s="7">
        <v>7</v>
      </c>
      <c r="CT21" s="7" t="s">
        <v>240</v>
      </c>
      <c r="CU21" s="6">
        <v>0.85284500943294883</v>
      </c>
      <c r="CV21" s="7">
        <v>2.67</v>
      </c>
      <c r="CW21" s="7">
        <v>2.44</v>
      </c>
      <c r="CX21" s="7">
        <v>2.3943333333333334</v>
      </c>
      <c r="CY21" s="7">
        <v>0.81809033837259892</v>
      </c>
      <c r="CZ21" s="7">
        <v>3</v>
      </c>
      <c r="DA21" s="7">
        <v>3.2448004906279326</v>
      </c>
      <c r="DB21" s="26"/>
      <c r="DC21" s="7">
        <v>0.94315069430815868</v>
      </c>
      <c r="DD21" s="7">
        <v>0</v>
      </c>
      <c r="DE21" s="7">
        <v>0.24480049062793263</v>
      </c>
      <c r="DF21" s="26"/>
      <c r="DG21" s="7">
        <v>0.81759112980313886</v>
      </c>
      <c r="DH21" s="7">
        <v>1</v>
      </c>
      <c r="DI21" s="7">
        <v>1</v>
      </c>
      <c r="DJ21" s="26"/>
      <c r="DK21" s="7">
        <v>0.83976138133866141</v>
      </c>
      <c r="DL21" s="7">
        <v>1</v>
      </c>
      <c r="DM21" s="7">
        <v>1</v>
      </c>
      <c r="DN21" s="26"/>
      <c r="DO21" s="7">
        <v>0.88479096292414694</v>
      </c>
      <c r="DP21" s="7">
        <v>0</v>
      </c>
      <c r="DQ21" s="7">
        <v>0.24480049062793263</v>
      </c>
      <c r="DR21" s="26"/>
      <c r="DS21" s="7">
        <v>0.87149319378249535</v>
      </c>
      <c r="DT21" s="7">
        <v>0</v>
      </c>
      <c r="DU21" s="7">
        <v>0</v>
      </c>
      <c r="DV21" s="26"/>
      <c r="DW21" s="7">
        <v>0.83099383261305815</v>
      </c>
      <c r="DX21" s="7">
        <v>2</v>
      </c>
      <c r="DY21" s="7">
        <v>2</v>
      </c>
      <c r="DZ21" s="26"/>
      <c r="EA21" s="9"/>
      <c r="ED21" s="6">
        <v>18</v>
      </c>
      <c r="EE21" s="7" t="str">
        <v>Tampa Bay</v>
      </c>
      <c r="EF21" s="9" t="str">
        <v>Minnesota</v>
      </c>
      <c r="EI21" s="51">
        <v>4</v>
      </c>
      <c r="EJ21" s="52" t="s">
        <v>230</v>
      </c>
      <c r="EK21" s="52"/>
      <c r="EL21" s="52"/>
      <c r="EM21" s="52"/>
      <c r="EN21" s="52"/>
      <c r="EO21" s="51">
        <v>4</v>
      </c>
      <c r="EP21" s="52" t="s">
        <v>233</v>
      </c>
      <c r="EQ21" s="52"/>
      <c r="ER21" s="52"/>
      <c r="ES21" s="52"/>
      <c r="ET21" s="53"/>
      <c r="EV21" s="6" t="s">
        <v>1</v>
      </c>
      <c r="EW21" s="31">
        <v>85.251463526047402</v>
      </c>
      <c r="EX21" s="6">
        <v>10</v>
      </c>
      <c r="EY21" s="7">
        <v>7</v>
      </c>
      <c r="EZ21" s="7">
        <v>25</v>
      </c>
      <c r="FA21" s="7">
        <v>6</v>
      </c>
      <c r="FB21" s="7">
        <v>6</v>
      </c>
      <c r="FC21" s="7">
        <v>6</v>
      </c>
      <c r="FD21" s="7">
        <v>6</v>
      </c>
      <c r="FE21" s="7">
        <v>7</v>
      </c>
      <c r="FF21" s="7">
        <v>7</v>
      </c>
      <c r="FG21" s="7">
        <v>26</v>
      </c>
      <c r="FH21" s="7">
        <v>16</v>
      </c>
      <c r="FI21" s="7">
        <v>7</v>
      </c>
      <c r="FJ21" s="7">
        <v>12</v>
      </c>
      <c r="FK21" s="7">
        <v>6</v>
      </c>
      <c r="FL21" s="7">
        <v>12</v>
      </c>
      <c r="FM21" s="7">
        <v>4</v>
      </c>
      <c r="FN21" s="9">
        <v>6</v>
      </c>
      <c r="FQ21" s="6">
        <v>11</v>
      </c>
      <c r="FR21" s="9">
        <v>5</v>
      </c>
      <c r="FU21" s="7">
        <v>19</v>
      </c>
      <c r="FV21" s="7" t="str">
        <v>Tampa Bay</v>
      </c>
    </row>
    <row r="22" spans="1:178" x14ac:dyDescent="0.25">
      <c r="A22" s="7">
        <v>6</v>
      </c>
      <c r="B22" s="7" t="s">
        <v>238</v>
      </c>
      <c r="C22" s="7">
        <v>0.85255075950527826</v>
      </c>
      <c r="D22" s="7">
        <v>2.85</v>
      </c>
      <c r="E22" s="7">
        <v>2.56</v>
      </c>
      <c r="F22" s="8"/>
      <c r="H22" s="7">
        <v>6</v>
      </c>
      <c r="I22" s="7">
        <v>0.85255075950527826</v>
      </c>
      <c r="J22" s="7">
        <v>2.85</v>
      </c>
      <c r="K22" s="7">
        <v>2.56</v>
      </c>
      <c r="L22" s="7">
        <v>2.8343333333333334</v>
      </c>
      <c r="M22" s="22">
        <v>0.81020923893498697</v>
      </c>
      <c r="N22" s="7">
        <v>4</v>
      </c>
      <c r="O22" s="7">
        <v>4</v>
      </c>
      <c r="P22" s="26"/>
      <c r="Q22" s="7">
        <v>0.87785351608932738</v>
      </c>
      <c r="R22" s="7">
        <v>2</v>
      </c>
      <c r="S22" s="7">
        <v>2</v>
      </c>
      <c r="T22" s="26"/>
      <c r="U22" s="7">
        <v>0.87320490998481215</v>
      </c>
      <c r="V22" s="7">
        <v>2</v>
      </c>
      <c r="W22" s="7">
        <v>2.2448004906279326</v>
      </c>
      <c r="X22" s="26"/>
      <c r="Y22" s="7">
        <v>0.80930765722764286</v>
      </c>
      <c r="Z22" s="7">
        <v>4</v>
      </c>
      <c r="AA22" s="7">
        <v>4.2448004906279326</v>
      </c>
      <c r="AB22" s="26"/>
      <c r="AC22" s="7">
        <v>0.85953335527290819</v>
      </c>
      <c r="AD22" s="7">
        <v>8</v>
      </c>
      <c r="AE22" s="7">
        <v>6</v>
      </c>
      <c r="AF22" s="26"/>
      <c r="AG22" s="7">
        <v>0.91639303956463669</v>
      </c>
      <c r="AH22" s="7">
        <v>6</v>
      </c>
      <c r="AI22" s="7">
        <v>6.2448004906279326</v>
      </c>
      <c r="AJ22" s="26"/>
      <c r="AK22" s="7">
        <v>0.80613964687634221</v>
      </c>
      <c r="AL22" s="7">
        <v>2</v>
      </c>
      <c r="AM22" s="7">
        <v>2</v>
      </c>
      <c r="AN22" s="26"/>
      <c r="AO22" s="9"/>
      <c r="AR22" s="6">
        <v>19</v>
      </c>
      <c r="AS22" s="7" t="s">
        <v>229</v>
      </c>
      <c r="AT22" s="7" t="s">
        <v>230</v>
      </c>
      <c r="AU22" s="7" t="s">
        <v>232</v>
      </c>
      <c r="AV22" s="9" t="s">
        <v>242</v>
      </c>
      <c r="AW22" s="6">
        <v>19</v>
      </c>
      <c r="AX22" s="7" t="s">
        <v>235</v>
      </c>
      <c r="AY22" s="7" t="s">
        <v>239</v>
      </c>
      <c r="AZ22" s="7" t="s">
        <v>237</v>
      </c>
      <c r="BA22" s="9" t="s">
        <v>240</v>
      </c>
      <c r="BK22" s="26"/>
      <c r="BO22" s="26"/>
      <c r="BS22" s="26"/>
      <c r="BW22" s="26"/>
      <c r="CA22" s="26"/>
      <c r="CE22" s="26"/>
      <c r="CI22" s="26"/>
      <c r="CJ22" s="9"/>
      <c r="CM22" s="6">
        <v>19</v>
      </c>
      <c r="CN22" s="7" t="s">
        <v>230</v>
      </c>
      <c r="CO22" s="9" t="s">
        <v>243</v>
      </c>
      <c r="CP22" s="6">
        <v>19</v>
      </c>
      <c r="CQ22" s="7" t="s">
        <v>239</v>
      </c>
      <c r="CR22" s="9" t="s">
        <v>238</v>
      </c>
      <c r="CU22" s="6"/>
      <c r="DB22" s="26"/>
      <c r="DF22" s="26"/>
      <c r="DJ22" s="26"/>
      <c r="DN22" s="26"/>
      <c r="DR22" s="26"/>
      <c r="DV22" s="26"/>
      <c r="DZ22" s="26"/>
      <c r="EA22" s="9"/>
      <c r="ED22" s="6">
        <v>19</v>
      </c>
      <c r="EE22" s="7" t="str">
        <v>Tampa Bay</v>
      </c>
      <c r="EF22" s="9" t="str">
        <v>Minnesota</v>
      </c>
      <c r="EI22" s="51"/>
      <c r="EJ22" s="52" t="s">
        <v>307</v>
      </c>
      <c r="EK22" s="52" t="s">
        <v>308</v>
      </c>
      <c r="EL22" s="52" t="s">
        <v>309</v>
      </c>
      <c r="EM22" s="52" t="s">
        <v>306</v>
      </c>
      <c r="EN22" s="52" t="s">
        <v>310</v>
      </c>
      <c r="EO22" s="51"/>
      <c r="EP22" s="52" t="s">
        <v>307</v>
      </c>
      <c r="EQ22" s="52" t="s">
        <v>308</v>
      </c>
      <c r="ER22" s="52" t="s">
        <v>309</v>
      </c>
      <c r="ES22" s="52" t="s">
        <v>306</v>
      </c>
      <c r="ET22" s="53" t="s">
        <v>310</v>
      </c>
      <c r="EV22" s="6" t="s">
        <v>14</v>
      </c>
      <c r="EW22" s="31">
        <v>85.241095544191879</v>
      </c>
      <c r="EX22" s="6">
        <v>11</v>
      </c>
      <c r="EY22" s="7">
        <v>7</v>
      </c>
      <c r="EZ22" s="7">
        <v>27</v>
      </c>
      <c r="FA22" s="7">
        <v>6</v>
      </c>
      <c r="FB22" s="7">
        <v>6</v>
      </c>
      <c r="FC22" s="7">
        <v>6</v>
      </c>
      <c r="FD22" s="7">
        <v>6</v>
      </c>
      <c r="FE22" s="7">
        <v>7</v>
      </c>
      <c r="FF22" s="7">
        <v>7</v>
      </c>
      <c r="FG22" s="7">
        <v>26</v>
      </c>
      <c r="FH22" s="7">
        <v>16</v>
      </c>
      <c r="FI22" s="7">
        <v>7</v>
      </c>
      <c r="FJ22" s="7">
        <v>12</v>
      </c>
      <c r="FK22" s="7">
        <v>6</v>
      </c>
      <c r="FL22" s="7">
        <v>12</v>
      </c>
      <c r="FM22" s="7">
        <v>4</v>
      </c>
      <c r="FN22" s="9">
        <v>6</v>
      </c>
      <c r="FQ22" s="6">
        <v>12</v>
      </c>
      <c r="FR22" s="9">
        <v>6</v>
      </c>
      <c r="FU22" s="7">
        <v>20</v>
      </c>
      <c r="FV22" s="7" t="str">
        <v>Tampa Bay</v>
      </c>
    </row>
    <row r="23" spans="1:178" x14ac:dyDescent="0.25">
      <c r="A23" s="7">
        <v>7</v>
      </c>
      <c r="B23" s="7" t="s">
        <v>240</v>
      </c>
      <c r="C23" s="7">
        <v>0.85284500943294883</v>
      </c>
      <c r="D23" s="7">
        <v>2.67</v>
      </c>
      <c r="E23" s="7">
        <v>2.44</v>
      </c>
      <c r="F23" s="8"/>
      <c r="G23" s="7">
        <v>4</v>
      </c>
      <c r="H23" s="7">
        <v>2</v>
      </c>
      <c r="I23" s="7">
        <v>0.85096370698468571</v>
      </c>
      <c r="J23" s="7">
        <v>2.73</v>
      </c>
      <c r="K23" s="7">
        <v>2.65</v>
      </c>
      <c r="L23" s="7">
        <v>2.5043333333333333</v>
      </c>
      <c r="M23" s="22">
        <v>0.76641377224667373</v>
      </c>
      <c r="N23" s="7">
        <v>1</v>
      </c>
      <c r="O23" s="7">
        <v>1.2448004906279326</v>
      </c>
      <c r="P23" s="26">
        <v>2</v>
      </c>
      <c r="Q23" s="7">
        <v>0.89863080050356769</v>
      </c>
      <c r="R23" s="7">
        <v>15</v>
      </c>
      <c r="S23" s="7">
        <v>6</v>
      </c>
      <c r="T23" s="26">
        <v>2</v>
      </c>
      <c r="U23" s="7">
        <v>0.89998299751719901</v>
      </c>
      <c r="V23" s="7">
        <v>5</v>
      </c>
      <c r="W23" s="7">
        <v>5</v>
      </c>
      <c r="X23" s="26">
        <v>2</v>
      </c>
      <c r="Y23" s="7">
        <v>0.83710668836540769</v>
      </c>
      <c r="Z23" s="7">
        <v>2</v>
      </c>
      <c r="AA23" s="7">
        <v>2</v>
      </c>
      <c r="AB23" s="26">
        <v>7</v>
      </c>
      <c r="AC23" s="7">
        <v>0.8086073423792981</v>
      </c>
      <c r="AD23" s="7">
        <v>3</v>
      </c>
      <c r="AE23" s="7">
        <v>3.2448004906279326</v>
      </c>
      <c r="AF23" s="26">
        <v>2</v>
      </c>
      <c r="AG23" s="7">
        <v>0.78259587920031315</v>
      </c>
      <c r="AH23" s="7">
        <v>0</v>
      </c>
      <c r="AI23" s="7">
        <v>0</v>
      </c>
      <c r="AJ23" s="26" t="s">
        <v>1227</v>
      </c>
      <c r="AK23" s="7">
        <v>0.84682474115685158</v>
      </c>
      <c r="AL23" s="7">
        <v>4</v>
      </c>
      <c r="AM23" s="7">
        <v>4.2448004906279326</v>
      </c>
      <c r="AN23" s="26" t="s">
        <v>1227</v>
      </c>
      <c r="AO23" s="9">
        <v>7</v>
      </c>
      <c r="AP23" s="7" t="s">
        <v>240</v>
      </c>
      <c r="AQ23" s="7">
        <v>5</v>
      </c>
      <c r="AR23" s="6">
        <v>20</v>
      </c>
      <c r="AS23" s="7" t="s">
        <v>317</v>
      </c>
      <c r="AT23" s="7" t="s">
        <v>230</v>
      </c>
      <c r="AU23" s="7" t="s">
        <v>232</v>
      </c>
      <c r="AV23" s="9" t="s">
        <v>231</v>
      </c>
      <c r="AW23" s="6">
        <v>20</v>
      </c>
      <c r="AX23" s="7" t="s">
        <v>235</v>
      </c>
      <c r="AY23" s="7" t="s">
        <v>233</v>
      </c>
      <c r="AZ23" s="7" t="s">
        <v>238</v>
      </c>
      <c r="BA23" s="9" t="s">
        <v>234</v>
      </c>
      <c r="BB23" s="7">
        <v>7</v>
      </c>
      <c r="BC23" s="7" t="s">
        <v>240</v>
      </c>
      <c r="BD23" s="7">
        <v>0.85284500943294883</v>
      </c>
      <c r="BE23" s="7">
        <v>2.67</v>
      </c>
      <c r="BF23" s="7">
        <v>2.44</v>
      </c>
      <c r="BG23" s="7">
        <v>2.5643333333333334</v>
      </c>
      <c r="BH23" s="7">
        <v>0.81208012281604958</v>
      </c>
      <c r="BI23" s="7">
        <v>6</v>
      </c>
      <c r="BJ23" s="7">
        <v>6</v>
      </c>
      <c r="BK23" s="26"/>
      <c r="BL23" s="7">
        <v>0.84897006174271905</v>
      </c>
      <c r="BM23" s="7">
        <v>3</v>
      </c>
      <c r="BN23" s="7">
        <v>3</v>
      </c>
      <c r="BO23" s="26"/>
      <c r="BP23" s="7">
        <v>0.85696262895106223</v>
      </c>
      <c r="BQ23" s="7">
        <v>1</v>
      </c>
      <c r="BR23" s="7">
        <v>1.2448004906279326</v>
      </c>
      <c r="BS23" s="26"/>
      <c r="BT23" s="7">
        <v>0.86602683190987029</v>
      </c>
      <c r="BU23" s="7">
        <v>12</v>
      </c>
      <c r="BV23" s="7">
        <v>6</v>
      </c>
      <c r="BW23" s="26"/>
      <c r="BX23" s="7">
        <v>0.84991233743436745</v>
      </c>
      <c r="BY23" s="7">
        <v>2</v>
      </c>
      <c r="BZ23" s="7">
        <v>2</v>
      </c>
      <c r="CA23" s="26"/>
      <c r="CB23" s="7">
        <v>0.84995899711593348</v>
      </c>
      <c r="CC23" s="7">
        <v>7</v>
      </c>
      <c r="CD23" s="7">
        <v>6</v>
      </c>
      <c r="CE23" s="26"/>
      <c r="CF23" s="7">
        <v>0.84077341676025275</v>
      </c>
      <c r="CG23" s="7">
        <v>2</v>
      </c>
      <c r="CH23" s="7">
        <v>2</v>
      </c>
      <c r="CI23" s="26"/>
      <c r="CJ23" s="9"/>
      <c r="CM23" s="6">
        <v>20</v>
      </c>
      <c r="CN23" s="7" t="s">
        <v>317</v>
      </c>
      <c r="CO23" s="9" t="s">
        <v>242</v>
      </c>
      <c r="CP23" s="6">
        <v>20</v>
      </c>
      <c r="CQ23" s="7" t="s">
        <v>235</v>
      </c>
      <c r="CR23" s="9" t="s">
        <v>234</v>
      </c>
      <c r="CU23" s="6"/>
      <c r="DB23" s="26"/>
      <c r="DF23" s="26"/>
      <c r="DJ23" s="26"/>
      <c r="DN23" s="26"/>
      <c r="DR23" s="26"/>
      <c r="DV23" s="26"/>
      <c r="DZ23" s="26"/>
      <c r="EA23" s="9"/>
      <c r="ED23" s="6">
        <v>20</v>
      </c>
      <c r="EE23" s="7" t="str">
        <v>Tampa Bay</v>
      </c>
      <c r="EF23" s="9" t="str">
        <v>Minnesota</v>
      </c>
      <c r="EI23" s="51"/>
      <c r="EJ23" s="52">
        <v>0.56000000000000005</v>
      </c>
      <c r="EK23" s="52">
        <v>0.33</v>
      </c>
      <c r="EL23" s="52">
        <v>0.19</v>
      </c>
      <c r="EM23" s="52">
        <v>0.11</v>
      </c>
      <c r="EN23" s="52">
        <f>AQ6</f>
        <v>6</v>
      </c>
      <c r="EO23" s="51"/>
      <c r="EP23" s="52">
        <v>0.53</v>
      </c>
      <c r="EQ23" s="52">
        <v>0.22</v>
      </c>
      <c r="ER23" s="52">
        <v>0.08</v>
      </c>
      <c r="ES23" s="52">
        <v>0.09</v>
      </c>
      <c r="ET23" s="53">
        <v>12</v>
      </c>
      <c r="EV23" s="6" t="s">
        <v>21</v>
      </c>
      <c r="EW23" s="31">
        <v>85.053003348606694</v>
      </c>
      <c r="EX23" s="6">
        <v>12</v>
      </c>
      <c r="EY23" s="7">
        <v>7</v>
      </c>
      <c r="EZ23" s="7">
        <v>25</v>
      </c>
      <c r="FA23" s="7">
        <v>6</v>
      </c>
      <c r="FB23" s="7">
        <v>6</v>
      </c>
      <c r="FC23" s="7">
        <v>6</v>
      </c>
      <c r="FD23" s="7">
        <v>6</v>
      </c>
      <c r="FE23" s="7">
        <v>7</v>
      </c>
      <c r="FF23" s="7">
        <v>7</v>
      </c>
      <c r="FG23" s="7">
        <v>26</v>
      </c>
      <c r="FH23" s="7">
        <v>16</v>
      </c>
      <c r="FI23" s="7">
        <v>7</v>
      </c>
      <c r="FJ23" s="7">
        <v>12</v>
      </c>
      <c r="FK23" s="7">
        <v>6</v>
      </c>
      <c r="FL23" s="7">
        <v>12</v>
      </c>
      <c r="FM23" s="7">
        <v>4</v>
      </c>
      <c r="FN23" s="9">
        <v>6</v>
      </c>
      <c r="FQ23" s="6">
        <v>13</v>
      </c>
      <c r="FR23" s="9">
        <v>4</v>
      </c>
      <c r="FU23" s="7">
        <v>21</v>
      </c>
      <c r="FV23" s="7" t="str">
        <v>Tampa Bay</v>
      </c>
    </row>
    <row r="24" spans="1:178" ht="15.75" thickBot="1" x14ac:dyDescent="0.3">
      <c r="A24" s="7">
        <v>8</v>
      </c>
      <c r="B24" s="7" t="s">
        <v>241</v>
      </c>
      <c r="C24" s="7">
        <v>0.8539339014846371</v>
      </c>
      <c r="D24" s="7">
        <v>2.74</v>
      </c>
      <c r="E24" s="7">
        <v>2.39</v>
      </c>
      <c r="F24" s="8"/>
      <c r="H24" s="7">
        <v>7</v>
      </c>
      <c r="I24" s="7">
        <v>0.85284500943294883</v>
      </c>
      <c r="J24" s="7">
        <v>2.67</v>
      </c>
      <c r="K24" s="7">
        <v>2.44</v>
      </c>
      <c r="L24" s="7">
        <v>2.6543333333333332</v>
      </c>
      <c r="M24" s="23">
        <v>0.9052473889317546</v>
      </c>
      <c r="N24" s="10">
        <v>0</v>
      </c>
      <c r="O24" s="7">
        <v>0</v>
      </c>
      <c r="P24" s="27"/>
      <c r="Q24" s="10">
        <v>0.87771723019359904</v>
      </c>
      <c r="R24" s="10">
        <v>0</v>
      </c>
      <c r="S24" s="7">
        <v>0</v>
      </c>
      <c r="T24" s="27"/>
      <c r="U24" s="10">
        <v>0.86820106013801268</v>
      </c>
      <c r="V24" s="10">
        <v>1</v>
      </c>
      <c r="W24" s="7">
        <v>1.2448004906279326</v>
      </c>
      <c r="X24" s="27"/>
      <c r="Y24" s="10">
        <v>0.828346766887888</v>
      </c>
      <c r="Z24" s="10">
        <v>3</v>
      </c>
      <c r="AA24" s="7">
        <v>3.2448004906279326</v>
      </c>
      <c r="AB24" s="27"/>
      <c r="AC24" s="10">
        <v>0.88905394681329752</v>
      </c>
      <c r="AD24" s="10">
        <v>3</v>
      </c>
      <c r="AE24" s="7">
        <v>3</v>
      </c>
      <c r="AF24" s="27"/>
      <c r="AG24" s="10">
        <v>0.855199648093938</v>
      </c>
      <c r="AH24" s="10">
        <v>2</v>
      </c>
      <c r="AI24" s="7">
        <v>2.2448004906279326</v>
      </c>
      <c r="AJ24" s="27"/>
      <c r="AK24" s="10">
        <v>0.8368722400859776</v>
      </c>
      <c r="AL24" s="10">
        <v>3</v>
      </c>
      <c r="AM24" s="7">
        <v>3</v>
      </c>
      <c r="AN24" s="27"/>
      <c r="AO24" s="11"/>
      <c r="AR24" s="6">
        <v>21</v>
      </c>
      <c r="AS24" s="7" t="s">
        <v>229</v>
      </c>
      <c r="AT24" s="7" t="s">
        <v>236</v>
      </c>
      <c r="AU24" s="7" t="s">
        <v>243</v>
      </c>
      <c r="AV24" s="9" t="s">
        <v>242</v>
      </c>
      <c r="AW24" s="6">
        <v>21</v>
      </c>
      <c r="AX24" s="7" t="s">
        <v>241</v>
      </c>
      <c r="AY24" s="7" t="s">
        <v>239</v>
      </c>
      <c r="AZ24" s="7" t="s">
        <v>238</v>
      </c>
      <c r="BA24" s="9" t="s">
        <v>234</v>
      </c>
      <c r="BD24" s="10"/>
      <c r="BE24" s="10"/>
      <c r="BF24" s="10"/>
      <c r="BG24" s="10"/>
      <c r="BH24" s="10"/>
      <c r="BI24" s="10"/>
      <c r="BJ24" s="10"/>
      <c r="BK24" s="27"/>
      <c r="BL24" s="10"/>
      <c r="BM24" s="10"/>
      <c r="BN24" s="10"/>
      <c r="BO24" s="27"/>
      <c r="BP24" s="10"/>
      <c r="BQ24" s="10"/>
      <c r="BR24" s="10"/>
      <c r="BS24" s="27"/>
      <c r="BT24" s="10"/>
      <c r="BU24" s="10"/>
      <c r="BV24" s="10"/>
      <c r="BW24" s="27"/>
      <c r="BX24" s="10"/>
      <c r="BY24" s="10"/>
      <c r="BZ24" s="10"/>
      <c r="CA24" s="27"/>
      <c r="CB24" s="10"/>
      <c r="CC24" s="10"/>
      <c r="CD24" s="10"/>
      <c r="CE24" s="27"/>
      <c r="CF24" s="10"/>
      <c r="CG24" s="10"/>
      <c r="CH24" s="10"/>
      <c r="CI24" s="27"/>
      <c r="CJ24" s="11"/>
      <c r="CM24" s="6">
        <v>21</v>
      </c>
      <c r="CN24" s="7" t="s">
        <v>229</v>
      </c>
      <c r="CO24" s="9" t="s">
        <v>232</v>
      </c>
      <c r="CP24" s="6">
        <v>21</v>
      </c>
      <c r="CQ24" s="7" t="s">
        <v>239</v>
      </c>
      <c r="CR24" s="9" t="s">
        <v>240</v>
      </c>
      <c r="CU24" s="5"/>
      <c r="CV24" s="10"/>
      <c r="CW24" s="10"/>
      <c r="CX24" s="10"/>
      <c r="CY24" s="10"/>
      <c r="CZ24" s="10"/>
      <c r="DA24" s="10"/>
      <c r="DB24" s="27"/>
      <c r="DC24" s="10"/>
      <c r="DD24" s="10"/>
      <c r="DE24" s="10"/>
      <c r="DF24" s="27"/>
      <c r="DG24" s="10"/>
      <c r="DH24" s="10"/>
      <c r="DI24" s="10"/>
      <c r="DJ24" s="27"/>
      <c r="DK24" s="10"/>
      <c r="DL24" s="10"/>
      <c r="DM24" s="10"/>
      <c r="DN24" s="27"/>
      <c r="DO24" s="10"/>
      <c r="DP24" s="10"/>
      <c r="DQ24" s="10"/>
      <c r="DR24" s="27"/>
      <c r="DS24" s="10"/>
      <c r="DT24" s="10"/>
      <c r="DU24" s="10"/>
      <c r="DV24" s="27"/>
      <c r="DW24" s="10"/>
      <c r="DX24" s="10"/>
      <c r="DY24" s="10"/>
      <c r="DZ24" s="27"/>
      <c r="EA24" s="11"/>
      <c r="ED24" s="6">
        <v>21</v>
      </c>
      <c r="EE24" s="7" t="str">
        <v>Tampa Bay</v>
      </c>
      <c r="EF24" s="9" t="str">
        <v>Minnesota</v>
      </c>
      <c r="EI24" s="51">
        <v>5</v>
      </c>
      <c r="EJ24" s="52" t="s">
        <v>236</v>
      </c>
      <c r="EK24" s="52"/>
      <c r="EL24" s="52"/>
      <c r="EM24" s="52"/>
      <c r="EN24" s="52"/>
      <c r="EO24" s="51">
        <v>5</v>
      </c>
      <c r="EP24" s="52" t="s">
        <v>239</v>
      </c>
      <c r="EQ24" s="52"/>
      <c r="ER24" s="52"/>
      <c r="ES24" s="52"/>
      <c r="ET24" s="53"/>
      <c r="EV24" s="6" t="s">
        <v>5</v>
      </c>
      <c r="EW24" s="31">
        <v>85.015583481596806</v>
      </c>
      <c r="EX24" s="6">
        <v>13</v>
      </c>
      <c r="EY24" s="7">
        <v>7</v>
      </c>
      <c r="EZ24" s="7">
        <v>24</v>
      </c>
      <c r="FA24" s="7">
        <v>6</v>
      </c>
      <c r="FB24" s="7">
        <v>6</v>
      </c>
      <c r="FC24" s="7">
        <v>6</v>
      </c>
      <c r="FD24" s="7">
        <v>6</v>
      </c>
      <c r="FE24" s="7">
        <v>7</v>
      </c>
      <c r="FF24" s="7">
        <v>7</v>
      </c>
      <c r="FG24" s="7">
        <v>26</v>
      </c>
      <c r="FH24" s="7">
        <v>16</v>
      </c>
      <c r="FI24" s="7">
        <v>7</v>
      </c>
      <c r="FJ24" s="7">
        <v>12</v>
      </c>
      <c r="FK24" s="7">
        <v>6</v>
      </c>
      <c r="FL24" s="7">
        <v>12</v>
      </c>
      <c r="FM24" s="7">
        <v>4</v>
      </c>
      <c r="FN24" s="9">
        <v>6</v>
      </c>
      <c r="FQ24" s="6">
        <v>14</v>
      </c>
      <c r="FR24" s="9">
        <v>7</v>
      </c>
      <c r="FU24" s="7">
        <v>22</v>
      </c>
      <c r="FV24" s="7" t="str">
        <v>Tampa Bay</v>
      </c>
    </row>
    <row r="25" spans="1:178" ht="15.75" thickBot="1" x14ac:dyDescent="0.3">
      <c r="AR25" s="6">
        <v>22</v>
      </c>
      <c r="AS25" s="7" t="s">
        <v>229</v>
      </c>
      <c r="AT25" s="7" t="s">
        <v>236</v>
      </c>
      <c r="AU25" s="7" t="s">
        <v>232</v>
      </c>
      <c r="AV25" s="9" t="s">
        <v>242</v>
      </c>
      <c r="AW25" s="6">
        <v>22</v>
      </c>
      <c r="AX25" s="7" t="s">
        <v>241</v>
      </c>
      <c r="AY25" s="7" t="s">
        <v>239</v>
      </c>
      <c r="AZ25" s="7" t="s">
        <v>237</v>
      </c>
      <c r="BA25" s="9" t="s">
        <v>240</v>
      </c>
      <c r="CM25" s="6">
        <v>22</v>
      </c>
      <c r="CN25" s="7" t="s">
        <v>236</v>
      </c>
      <c r="CO25" s="9" t="s">
        <v>242</v>
      </c>
      <c r="CP25" s="6">
        <v>22</v>
      </c>
      <c r="CQ25" s="7" t="s">
        <v>235</v>
      </c>
      <c r="CR25" s="9" t="s">
        <v>234</v>
      </c>
      <c r="ED25" s="6">
        <v>22</v>
      </c>
      <c r="EE25" s="7" t="str">
        <v>Tampa Bay</v>
      </c>
      <c r="EF25" s="9" t="str">
        <v>Minnesota</v>
      </c>
      <c r="EI25" s="51"/>
      <c r="EJ25" s="52" t="s">
        <v>307</v>
      </c>
      <c r="EK25" s="52" t="s">
        <v>308</v>
      </c>
      <c r="EL25" s="52" t="s">
        <v>309</v>
      </c>
      <c r="EM25" s="52" t="s">
        <v>306</v>
      </c>
      <c r="EN25" s="52" t="s">
        <v>310</v>
      </c>
      <c r="EO25" s="51"/>
      <c r="EP25" s="52" t="s">
        <v>307</v>
      </c>
      <c r="EQ25" s="52" t="s">
        <v>308</v>
      </c>
      <c r="ER25" s="52" t="s">
        <v>309</v>
      </c>
      <c r="ES25" s="52" t="s">
        <v>306</v>
      </c>
      <c r="ET25" s="53" t="s">
        <v>310</v>
      </c>
      <c r="EV25" s="6" t="s">
        <v>22</v>
      </c>
      <c r="EW25" s="31">
        <v>85.013821779926928</v>
      </c>
      <c r="EX25" s="6">
        <v>14</v>
      </c>
      <c r="EY25" s="7">
        <v>7</v>
      </c>
      <c r="EZ25" s="7">
        <v>24</v>
      </c>
      <c r="FA25" s="7">
        <v>6</v>
      </c>
      <c r="FB25" s="7">
        <v>6</v>
      </c>
      <c r="FC25" s="7">
        <v>6</v>
      </c>
      <c r="FD25" s="7">
        <v>6</v>
      </c>
      <c r="FE25" s="7">
        <v>7</v>
      </c>
      <c r="FF25" s="7">
        <v>7</v>
      </c>
      <c r="FG25" s="7">
        <v>26</v>
      </c>
      <c r="FH25" s="7">
        <v>16</v>
      </c>
      <c r="FI25" s="7">
        <v>7</v>
      </c>
      <c r="FJ25" s="7">
        <v>12</v>
      </c>
      <c r="FK25" s="7">
        <v>6</v>
      </c>
      <c r="FL25" s="7">
        <v>12</v>
      </c>
      <c r="FM25" s="7">
        <v>4</v>
      </c>
      <c r="FN25" s="9">
        <v>6</v>
      </c>
      <c r="FQ25" s="6">
        <v>15</v>
      </c>
      <c r="FR25" s="9">
        <v>5</v>
      </c>
      <c r="FU25" s="7">
        <v>23</v>
      </c>
      <c r="FV25" s="7" t="str">
        <v>Minnesota</v>
      </c>
    </row>
    <row r="26" spans="1:178" ht="15.75" thickBot="1" x14ac:dyDescent="0.3">
      <c r="L26" s="59" t="s">
        <v>227</v>
      </c>
      <c r="M26" s="61"/>
      <c r="N26" s="61"/>
      <c r="O26" s="61"/>
      <c r="P26" s="60"/>
      <c r="Q26" s="59" t="s">
        <v>228</v>
      </c>
      <c r="R26" s="61"/>
      <c r="S26" s="61"/>
      <c r="T26" s="61"/>
      <c r="U26" s="60"/>
      <c r="AR26" s="6">
        <v>23</v>
      </c>
      <c r="AS26" s="7" t="s">
        <v>317</v>
      </c>
      <c r="AT26" s="7" t="s">
        <v>236</v>
      </c>
      <c r="AU26" s="7" t="s">
        <v>232</v>
      </c>
      <c r="AV26" s="9" t="s">
        <v>242</v>
      </c>
      <c r="AW26" s="6">
        <v>23</v>
      </c>
      <c r="AX26" s="7" t="s">
        <v>241</v>
      </c>
      <c r="AY26" s="7" t="s">
        <v>233</v>
      </c>
      <c r="AZ26" s="7" t="s">
        <v>237</v>
      </c>
      <c r="BA26" s="9" t="s">
        <v>240</v>
      </c>
      <c r="BD26" s="59" t="s">
        <v>227</v>
      </c>
      <c r="BE26" s="61"/>
      <c r="BF26" s="60"/>
      <c r="BG26" s="59" t="s">
        <v>228</v>
      </c>
      <c r="BH26" s="61"/>
      <c r="BI26" s="60"/>
      <c r="CM26" s="6">
        <v>23</v>
      </c>
      <c r="CN26" s="7" t="s">
        <v>236</v>
      </c>
      <c r="CO26" s="9" t="s">
        <v>242</v>
      </c>
      <c r="CP26" s="6">
        <v>23</v>
      </c>
      <c r="CQ26" s="7" t="s">
        <v>233</v>
      </c>
      <c r="CR26" s="9" t="s">
        <v>237</v>
      </c>
      <c r="ED26" s="6">
        <v>23</v>
      </c>
      <c r="EE26" s="7" t="str">
        <v>Tampa Bay</v>
      </c>
      <c r="EF26" s="9" t="str">
        <v>Minnesota</v>
      </c>
      <c r="EI26" s="51"/>
      <c r="EJ26" s="52">
        <v>0.44</v>
      </c>
      <c r="EK26" s="52">
        <v>0.23</v>
      </c>
      <c r="EL26" s="52">
        <v>0.14000000000000001</v>
      </c>
      <c r="EM26" s="52">
        <v>0.05</v>
      </c>
      <c r="EN26" s="52">
        <f>AQ6</f>
        <v>6</v>
      </c>
      <c r="EO26" s="51"/>
      <c r="EP26" s="52">
        <v>0.47</v>
      </c>
      <c r="EQ26" s="52">
        <v>0.28000000000000003</v>
      </c>
      <c r="ER26" s="52">
        <v>0.18</v>
      </c>
      <c r="ES26" s="52">
        <v>0.09</v>
      </c>
      <c r="ET26" s="53">
        <v>6</v>
      </c>
      <c r="EV26" s="6" t="s">
        <v>2</v>
      </c>
      <c r="EW26" s="31">
        <v>84.918202417441918</v>
      </c>
      <c r="EX26" s="6">
        <v>15</v>
      </c>
      <c r="EY26" s="7">
        <v>7</v>
      </c>
      <c r="EZ26" s="7">
        <v>27</v>
      </c>
      <c r="FA26" s="7">
        <v>6</v>
      </c>
      <c r="FB26" s="7">
        <v>6</v>
      </c>
      <c r="FC26" s="7">
        <v>6</v>
      </c>
      <c r="FD26" s="7">
        <v>6</v>
      </c>
      <c r="FE26" s="7">
        <v>7</v>
      </c>
      <c r="FF26" s="7">
        <v>7</v>
      </c>
      <c r="FG26" s="7">
        <v>26</v>
      </c>
      <c r="FH26" s="7">
        <v>16</v>
      </c>
      <c r="FI26" s="7">
        <v>7</v>
      </c>
      <c r="FJ26" s="7">
        <v>12</v>
      </c>
      <c r="FK26" s="7">
        <v>6</v>
      </c>
      <c r="FL26" s="7">
        <v>12</v>
      </c>
      <c r="FM26" s="7">
        <v>4</v>
      </c>
      <c r="FN26" s="9">
        <v>6</v>
      </c>
      <c r="FQ26" s="6">
        <v>16</v>
      </c>
      <c r="FR26" s="9">
        <v>6</v>
      </c>
      <c r="FU26" s="7">
        <v>24</v>
      </c>
      <c r="FV26" s="7" t="str">
        <v>Tampa Bay</v>
      </c>
    </row>
    <row r="27" spans="1:178" x14ac:dyDescent="0.25">
      <c r="B27" s="7" t="s">
        <v>187</v>
      </c>
      <c r="C27" s="7">
        <v>0.24480049062793263</v>
      </c>
      <c r="L27" s="6"/>
      <c r="M27" s="7" t="s">
        <v>252</v>
      </c>
      <c r="N27" s="7" t="s">
        <v>253</v>
      </c>
      <c r="O27" s="7" t="s">
        <v>254</v>
      </c>
      <c r="P27" s="24" t="s">
        <v>255</v>
      </c>
      <c r="Q27" s="6"/>
      <c r="R27" s="13" t="s">
        <v>252</v>
      </c>
      <c r="S27" s="13" t="s">
        <v>253</v>
      </c>
      <c r="T27" s="13" t="s">
        <v>254</v>
      </c>
      <c r="U27" s="24" t="s">
        <v>255</v>
      </c>
      <c r="AR27" s="6">
        <v>24</v>
      </c>
      <c r="AS27" s="7" t="s">
        <v>229</v>
      </c>
      <c r="AT27" s="7" t="s">
        <v>236</v>
      </c>
      <c r="AU27" s="7" t="s">
        <v>232</v>
      </c>
      <c r="AV27" s="9" t="s">
        <v>242</v>
      </c>
      <c r="AW27" s="6">
        <v>24</v>
      </c>
      <c r="AX27" s="7" t="s">
        <v>235</v>
      </c>
      <c r="AY27" s="7" t="s">
        <v>239</v>
      </c>
      <c r="AZ27" s="7" t="s">
        <v>238</v>
      </c>
      <c r="BA27" s="9" t="s">
        <v>234</v>
      </c>
      <c r="BD27" s="6"/>
      <c r="BE27" s="7" t="s">
        <v>252</v>
      </c>
      <c r="BF27" s="9" t="s">
        <v>253</v>
      </c>
      <c r="BG27" s="6"/>
      <c r="BH27" s="7" t="s">
        <v>252</v>
      </c>
      <c r="BI27" s="24" t="s">
        <v>253</v>
      </c>
      <c r="CM27" s="6">
        <v>24</v>
      </c>
      <c r="CN27" s="7" t="s">
        <v>230</v>
      </c>
      <c r="CO27" s="9" t="s">
        <v>242</v>
      </c>
      <c r="CP27" s="6">
        <v>24</v>
      </c>
      <c r="CQ27" s="7" t="s">
        <v>239</v>
      </c>
      <c r="CR27" s="9" t="s">
        <v>238</v>
      </c>
      <c r="DT27" s="59" t="s">
        <v>227</v>
      </c>
      <c r="DU27" s="60"/>
      <c r="DV27" s="59" t="s">
        <v>228</v>
      </c>
      <c r="DW27" s="60"/>
      <c r="ED27" s="6">
        <v>24</v>
      </c>
      <c r="EE27" s="7" t="str">
        <v>Tampa Bay</v>
      </c>
      <c r="EF27" s="9" t="str">
        <v>Minnesota</v>
      </c>
      <c r="EI27" s="51">
        <v>6</v>
      </c>
      <c r="EJ27" s="52" t="s">
        <v>243</v>
      </c>
      <c r="EK27" s="52"/>
      <c r="EL27" s="52"/>
      <c r="EM27" s="52"/>
      <c r="EN27" s="52"/>
      <c r="EO27" s="51">
        <v>6</v>
      </c>
      <c r="EP27" s="52" t="s">
        <v>238</v>
      </c>
      <c r="EQ27" s="52"/>
      <c r="ER27" s="52"/>
      <c r="ES27" s="52"/>
      <c r="ET27" s="53"/>
      <c r="EV27" s="6" t="s">
        <v>6</v>
      </c>
      <c r="EW27" s="31">
        <v>84.879881947033894</v>
      </c>
      <c r="EX27" s="6">
        <v>16</v>
      </c>
      <c r="EY27" s="7">
        <v>7</v>
      </c>
      <c r="EZ27" s="7">
        <v>26</v>
      </c>
      <c r="FA27" s="7">
        <v>6</v>
      </c>
      <c r="FB27" s="7">
        <v>6</v>
      </c>
      <c r="FC27" s="7">
        <v>6</v>
      </c>
      <c r="FD27" s="7">
        <v>6</v>
      </c>
      <c r="FE27" s="7">
        <v>7</v>
      </c>
      <c r="FF27" s="7">
        <v>7</v>
      </c>
      <c r="FG27" s="7">
        <v>26</v>
      </c>
      <c r="FH27" s="7">
        <v>16</v>
      </c>
      <c r="FI27" s="7">
        <v>7</v>
      </c>
      <c r="FJ27" s="7">
        <v>12</v>
      </c>
      <c r="FK27" s="7">
        <v>6</v>
      </c>
      <c r="FL27" s="7">
        <v>12</v>
      </c>
      <c r="FM27" s="7">
        <v>4</v>
      </c>
      <c r="FN27" s="9">
        <v>6</v>
      </c>
      <c r="FQ27" s="6">
        <v>17</v>
      </c>
      <c r="FR27" s="9">
        <v>7</v>
      </c>
      <c r="FU27" s="7">
        <v>25</v>
      </c>
      <c r="FV27" s="7" t="str">
        <v>Minnesota</v>
      </c>
    </row>
    <row r="28" spans="1:178" x14ac:dyDescent="0.25">
      <c r="L28" s="6">
        <v>1</v>
      </c>
      <c r="M28" s="7">
        <v>7</v>
      </c>
      <c r="N28" s="7">
        <v>6</v>
      </c>
      <c r="O28" s="7">
        <v>6</v>
      </c>
      <c r="P28" s="9">
        <v>7</v>
      </c>
      <c r="Q28" s="6">
        <v>1</v>
      </c>
      <c r="R28" s="7">
        <v>5</v>
      </c>
      <c r="S28" s="7">
        <v>6</v>
      </c>
      <c r="T28" s="7">
        <v>7</v>
      </c>
      <c r="U28" s="9">
        <v>5</v>
      </c>
      <c r="AR28" s="6">
        <v>25</v>
      </c>
      <c r="AS28" s="7" t="s">
        <v>317</v>
      </c>
      <c r="AT28" s="7" t="s">
        <v>230</v>
      </c>
      <c r="AU28" s="7" t="s">
        <v>243</v>
      </c>
      <c r="AV28" s="9" t="s">
        <v>231</v>
      </c>
      <c r="AW28" s="6">
        <v>25</v>
      </c>
      <c r="AX28" s="7" t="s">
        <v>235</v>
      </c>
      <c r="AY28" s="7" t="s">
        <v>233</v>
      </c>
      <c r="AZ28" s="7" t="s">
        <v>237</v>
      </c>
      <c r="BA28" s="9" t="s">
        <v>240</v>
      </c>
      <c r="BD28" s="6">
        <v>1</v>
      </c>
      <c r="BE28" s="7">
        <v>5</v>
      </c>
      <c r="BF28" s="9">
        <v>7</v>
      </c>
      <c r="BG28" s="6">
        <v>1</v>
      </c>
      <c r="BH28" s="7">
        <v>7</v>
      </c>
      <c r="BI28" s="9">
        <v>6</v>
      </c>
      <c r="CM28" s="6">
        <v>25</v>
      </c>
      <c r="CN28" s="7" t="s">
        <v>236</v>
      </c>
      <c r="CO28" s="9" t="s">
        <v>243</v>
      </c>
      <c r="CP28" s="6">
        <v>25</v>
      </c>
      <c r="CQ28" s="7" t="s">
        <v>235</v>
      </c>
      <c r="CR28" s="9" t="s">
        <v>240</v>
      </c>
      <c r="DT28" s="6">
        <v>1</v>
      </c>
      <c r="DU28" s="9">
        <v>6</v>
      </c>
      <c r="DV28" s="6">
        <v>1</v>
      </c>
      <c r="DW28" s="9">
        <v>6</v>
      </c>
      <c r="ED28" s="6">
        <v>25</v>
      </c>
      <c r="EE28" s="7" t="str">
        <v>Tampa Bay</v>
      </c>
      <c r="EF28" s="9" t="str">
        <v>Minnesota</v>
      </c>
      <c r="EI28" s="51"/>
      <c r="EJ28" s="52" t="s">
        <v>307</v>
      </c>
      <c r="EK28" s="52" t="s">
        <v>308</v>
      </c>
      <c r="EL28" s="52" t="s">
        <v>309</v>
      </c>
      <c r="EM28" s="52" t="s">
        <v>306</v>
      </c>
      <c r="EN28" s="52" t="s">
        <v>310</v>
      </c>
      <c r="EO28" s="51"/>
      <c r="EP28" s="52" t="s">
        <v>307</v>
      </c>
      <c r="EQ28" s="52" t="s">
        <v>308</v>
      </c>
      <c r="ER28" s="52" t="s">
        <v>309</v>
      </c>
      <c r="ES28" s="52" t="s">
        <v>306</v>
      </c>
      <c r="ET28" s="53" t="s">
        <v>310</v>
      </c>
      <c r="EV28" s="6" t="s">
        <v>13</v>
      </c>
      <c r="EW28" s="31">
        <v>84.854221314066166</v>
      </c>
      <c r="EX28" s="6">
        <v>17</v>
      </c>
      <c r="EY28" s="7">
        <v>7</v>
      </c>
      <c r="EZ28" s="7">
        <v>27</v>
      </c>
      <c r="FA28" s="7">
        <v>6</v>
      </c>
      <c r="FB28" s="7">
        <v>6</v>
      </c>
      <c r="FC28" s="7">
        <v>6</v>
      </c>
      <c r="FD28" s="7">
        <v>6</v>
      </c>
      <c r="FE28" s="7">
        <v>7</v>
      </c>
      <c r="FF28" s="7">
        <v>7</v>
      </c>
      <c r="FG28" s="7">
        <v>26</v>
      </c>
      <c r="FH28" s="7">
        <v>16</v>
      </c>
      <c r="FI28" s="7">
        <v>7</v>
      </c>
      <c r="FJ28" s="7">
        <v>12</v>
      </c>
      <c r="FK28" s="7">
        <v>6</v>
      </c>
      <c r="FL28" s="7">
        <v>12</v>
      </c>
      <c r="FM28" s="7">
        <v>4</v>
      </c>
      <c r="FN28" s="9">
        <v>6</v>
      </c>
      <c r="FQ28" s="6">
        <v>18</v>
      </c>
      <c r="FR28" s="9">
        <v>6</v>
      </c>
      <c r="FU28" s="7">
        <v>26</v>
      </c>
      <c r="FV28" s="7" t="str">
        <v>Tampa Bay</v>
      </c>
    </row>
    <row r="29" spans="1:178" x14ac:dyDescent="0.25">
      <c r="L29" s="6">
        <v>2</v>
      </c>
      <c r="M29" s="7">
        <v>5</v>
      </c>
      <c r="N29" s="7">
        <v>6</v>
      </c>
      <c r="O29" s="7">
        <v>4</v>
      </c>
      <c r="P29" s="9">
        <v>4</v>
      </c>
      <c r="Q29" s="6">
        <v>2</v>
      </c>
      <c r="R29" s="7">
        <v>4</v>
      </c>
      <c r="S29" s="7">
        <v>6</v>
      </c>
      <c r="T29" s="7">
        <v>7</v>
      </c>
      <c r="U29" s="9">
        <v>4</v>
      </c>
      <c r="AR29" s="6">
        <v>26</v>
      </c>
      <c r="AS29" s="7" t="s">
        <v>317</v>
      </c>
      <c r="AT29" s="7" t="s">
        <v>230</v>
      </c>
      <c r="AU29" s="7" t="s">
        <v>232</v>
      </c>
      <c r="AV29" s="9" t="s">
        <v>242</v>
      </c>
      <c r="AW29" s="6">
        <v>26</v>
      </c>
      <c r="AX29" s="7" t="s">
        <v>235</v>
      </c>
      <c r="AY29" s="7" t="s">
        <v>239</v>
      </c>
      <c r="AZ29" s="7" t="s">
        <v>238</v>
      </c>
      <c r="BA29" s="9" t="s">
        <v>240</v>
      </c>
      <c r="BD29" s="6">
        <v>2</v>
      </c>
      <c r="BE29" s="7">
        <v>6</v>
      </c>
      <c r="BF29" s="9">
        <v>6</v>
      </c>
      <c r="BG29" s="6">
        <v>2</v>
      </c>
      <c r="BH29" s="7">
        <v>4</v>
      </c>
      <c r="BI29" s="9">
        <v>7</v>
      </c>
      <c r="CM29" s="6">
        <v>26</v>
      </c>
      <c r="CN29" s="7" t="s">
        <v>317</v>
      </c>
      <c r="CO29" s="9" t="s">
        <v>242</v>
      </c>
      <c r="CP29" s="6">
        <v>26</v>
      </c>
      <c r="CQ29" s="7" t="s">
        <v>239</v>
      </c>
      <c r="CR29" s="9" t="s">
        <v>234</v>
      </c>
      <c r="DT29" s="6">
        <v>2</v>
      </c>
      <c r="DU29" s="9">
        <v>4</v>
      </c>
      <c r="DV29" s="6">
        <v>2</v>
      </c>
      <c r="DW29" s="9">
        <v>7</v>
      </c>
      <c r="ED29" s="6">
        <v>26</v>
      </c>
      <c r="EE29" s="7" t="str">
        <v>Tampa Bay</v>
      </c>
      <c r="EF29" s="9" t="str">
        <v>Minnesota</v>
      </c>
      <c r="EI29" s="51"/>
      <c r="EJ29" s="52">
        <v>0.53</v>
      </c>
      <c r="EK29" s="52">
        <v>0.2</v>
      </c>
      <c r="EL29" s="52">
        <v>0.08</v>
      </c>
      <c r="EM29" s="52">
        <v>0.05</v>
      </c>
      <c r="EN29" s="52">
        <f>AQ8</f>
        <v>6</v>
      </c>
      <c r="EO29" s="51"/>
      <c r="EP29" s="52">
        <v>0.48</v>
      </c>
      <c r="EQ29" s="52">
        <v>0.18</v>
      </c>
      <c r="ER29" s="52">
        <v>0.11</v>
      </c>
      <c r="ES29" s="52">
        <v>0.06</v>
      </c>
      <c r="ET29" s="53">
        <v>12</v>
      </c>
      <c r="EV29" s="6" t="s">
        <v>18</v>
      </c>
      <c r="EW29" s="31">
        <v>84.822257830980675</v>
      </c>
      <c r="EX29" s="6">
        <v>18</v>
      </c>
      <c r="EY29" s="7">
        <v>7</v>
      </c>
      <c r="EZ29" s="7">
        <v>27</v>
      </c>
      <c r="FA29" s="7">
        <v>6</v>
      </c>
      <c r="FB29" s="7">
        <v>6</v>
      </c>
      <c r="FC29" s="7">
        <v>6</v>
      </c>
      <c r="FD29" s="7">
        <v>6</v>
      </c>
      <c r="FE29" s="7">
        <v>7</v>
      </c>
      <c r="FF29" s="7">
        <v>7</v>
      </c>
      <c r="FG29" s="7">
        <v>26</v>
      </c>
      <c r="FH29" s="7">
        <v>16</v>
      </c>
      <c r="FI29" s="7">
        <v>7</v>
      </c>
      <c r="FJ29" s="7">
        <v>12</v>
      </c>
      <c r="FK29" s="7">
        <v>6</v>
      </c>
      <c r="FL29" s="7">
        <v>12</v>
      </c>
      <c r="FM29" s="7">
        <v>4</v>
      </c>
      <c r="FN29" s="9">
        <v>6</v>
      </c>
      <c r="FQ29" s="6">
        <v>19</v>
      </c>
      <c r="FR29" s="9">
        <v>4</v>
      </c>
      <c r="FU29" s="7">
        <v>27</v>
      </c>
      <c r="FV29" s="7" t="str">
        <v>Tampa Bay</v>
      </c>
    </row>
    <row r="30" spans="1:178" x14ac:dyDescent="0.25">
      <c r="L30" s="6">
        <v>3</v>
      </c>
      <c r="M30" s="7">
        <v>6</v>
      </c>
      <c r="N30" s="7">
        <v>6</v>
      </c>
      <c r="O30" s="7">
        <v>5</v>
      </c>
      <c r="P30" s="9">
        <v>4</v>
      </c>
      <c r="Q30" s="6">
        <v>3</v>
      </c>
      <c r="R30" s="7">
        <v>7</v>
      </c>
      <c r="S30" s="7">
        <v>7</v>
      </c>
      <c r="T30" s="7">
        <v>6</v>
      </c>
      <c r="U30" s="9">
        <v>5</v>
      </c>
      <c r="AR30" s="6">
        <v>27</v>
      </c>
      <c r="AS30" s="7" t="s">
        <v>229</v>
      </c>
      <c r="AT30" s="7" t="s">
        <v>230</v>
      </c>
      <c r="AU30" s="7" t="s">
        <v>243</v>
      </c>
      <c r="AV30" s="9" t="s">
        <v>242</v>
      </c>
      <c r="AW30" s="6">
        <v>27</v>
      </c>
      <c r="AX30" s="7" t="s">
        <v>235</v>
      </c>
      <c r="AY30" s="7" t="s">
        <v>233</v>
      </c>
      <c r="AZ30" s="7" t="s">
        <v>237</v>
      </c>
      <c r="BA30" s="9" t="s">
        <v>240</v>
      </c>
      <c r="BD30" s="6">
        <v>3</v>
      </c>
      <c r="BE30" s="7">
        <v>4</v>
      </c>
      <c r="BF30" s="9">
        <v>7</v>
      </c>
      <c r="BG30" s="6">
        <v>3</v>
      </c>
      <c r="BH30" s="7">
        <v>7</v>
      </c>
      <c r="BI30" s="9">
        <v>6</v>
      </c>
      <c r="CM30" s="6">
        <v>27</v>
      </c>
      <c r="CN30" s="7" t="s">
        <v>230</v>
      </c>
      <c r="CO30" s="9" t="s">
        <v>242</v>
      </c>
      <c r="CP30" s="6">
        <v>27</v>
      </c>
      <c r="CQ30" s="7" t="s">
        <v>235</v>
      </c>
      <c r="CR30" s="9" t="s">
        <v>234</v>
      </c>
      <c r="DT30" s="6">
        <v>3</v>
      </c>
      <c r="DU30" s="9">
        <v>6</v>
      </c>
      <c r="DV30" s="6">
        <v>3</v>
      </c>
      <c r="DW30" s="9">
        <v>6</v>
      </c>
      <c r="ED30" s="6">
        <v>27</v>
      </c>
      <c r="EE30" s="7" t="str">
        <v>Tampa Bay</v>
      </c>
      <c r="EF30" s="9" t="str">
        <v>Minnesota</v>
      </c>
      <c r="EI30" s="51">
        <v>7</v>
      </c>
      <c r="EJ30" s="52" t="s">
        <v>231</v>
      </c>
      <c r="EK30" s="52"/>
      <c r="EL30" s="52"/>
      <c r="EM30" s="52"/>
      <c r="EN30" s="52"/>
      <c r="EO30" s="51">
        <v>7</v>
      </c>
      <c r="EP30" s="52" t="s">
        <v>240</v>
      </c>
      <c r="EQ30" s="52"/>
      <c r="ER30" s="52"/>
      <c r="ES30" s="52"/>
      <c r="ET30" s="53"/>
      <c r="EV30" s="6" t="s">
        <v>3</v>
      </c>
      <c r="EW30" s="31">
        <v>84.804182291797119</v>
      </c>
      <c r="EX30" s="6">
        <v>19</v>
      </c>
      <c r="EY30" s="7">
        <v>7</v>
      </c>
      <c r="EZ30" s="7">
        <v>27</v>
      </c>
      <c r="FA30" s="7">
        <v>6</v>
      </c>
      <c r="FB30" s="7">
        <v>6</v>
      </c>
      <c r="FC30" s="7">
        <v>6</v>
      </c>
      <c r="FD30" s="7">
        <v>6</v>
      </c>
      <c r="FE30" s="7">
        <v>7</v>
      </c>
      <c r="FF30" s="7">
        <v>7</v>
      </c>
      <c r="FG30" s="7">
        <v>26</v>
      </c>
      <c r="FH30" s="7">
        <v>16</v>
      </c>
      <c r="FI30" s="7">
        <v>7</v>
      </c>
      <c r="FJ30" s="7">
        <v>12</v>
      </c>
      <c r="FK30" s="7">
        <v>6</v>
      </c>
      <c r="FL30" s="7">
        <v>12</v>
      </c>
      <c r="FM30" s="7">
        <v>4</v>
      </c>
      <c r="FN30" s="9">
        <v>6</v>
      </c>
      <c r="FQ30" s="6">
        <v>20</v>
      </c>
      <c r="FR30" s="9">
        <v>5</v>
      </c>
      <c r="FU30" s="7">
        <v>28</v>
      </c>
      <c r="FV30" s="7" t="str">
        <v>Minnesota</v>
      </c>
    </row>
    <row r="31" spans="1:178" x14ac:dyDescent="0.25">
      <c r="L31" s="6">
        <v>4</v>
      </c>
      <c r="M31" s="7">
        <v>7</v>
      </c>
      <c r="N31" s="7">
        <v>7</v>
      </c>
      <c r="O31" s="7">
        <v>4</v>
      </c>
      <c r="P31" s="9">
        <v>5</v>
      </c>
      <c r="Q31" s="6">
        <v>4</v>
      </c>
      <c r="R31" s="7">
        <v>4</v>
      </c>
      <c r="S31" s="7">
        <v>7</v>
      </c>
      <c r="T31" s="7">
        <v>6</v>
      </c>
      <c r="U31" s="9">
        <v>6</v>
      </c>
      <c r="AR31" s="6">
        <v>28</v>
      </c>
      <c r="AS31" s="7" t="s">
        <v>317</v>
      </c>
      <c r="AT31" s="7" t="s">
        <v>236</v>
      </c>
      <c r="AU31" s="7" t="s">
        <v>243</v>
      </c>
      <c r="AV31" s="9" t="s">
        <v>231</v>
      </c>
      <c r="AW31" s="6">
        <v>28</v>
      </c>
      <c r="AX31" s="7" t="s">
        <v>241</v>
      </c>
      <c r="AY31" s="7" t="s">
        <v>239</v>
      </c>
      <c r="AZ31" s="7" t="s">
        <v>237</v>
      </c>
      <c r="BA31" s="9" t="s">
        <v>240</v>
      </c>
      <c r="BD31" s="6">
        <v>4</v>
      </c>
      <c r="BE31" s="7">
        <v>6</v>
      </c>
      <c r="BF31" s="9">
        <v>5</v>
      </c>
      <c r="BG31" s="6">
        <v>4</v>
      </c>
      <c r="BH31" s="7">
        <v>7</v>
      </c>
      <c r="BI31" s="9">
        <v>4</v>
      </c>
      <c r="CM31" s="6">
        <v>28</v>
      </c>
      <c r="CN31" s="7" t="s">
        <v>230</v>
      </c>
      <c r="CO31" s="9" t="s">
        <v>243</v>
      </c>
      <c r="CP31" s="6">
        <v>28</v>
      </c>
      <c r="CQ31" s="7" t="s">
        <v>235</v>
      </c>
      <c r="CR31" s="9" t="s">
        <v>238</v>
      </c>
      <c r="DT31" s="6">
        <v>4</v>
      </c>
      <c r="DU31" s="9">
        <v>5</v>
      </c>
      <c r="DV31" s="6">
        <v>4</v>
      </c>
      <c r="DW31" s="9">
        <v>5</v>
      </c>
      <c r="ED31" s="6">
        <v>28</v>
      </c>
      <c r="EE31" s="7" t="str">
        <v>Tampa Bay</v>
      </c>
      <c r="EF31" s="9" t="str">
        <v>Minnesota</v>
      </c>
      <c r="EI31" s="51"/>
      <c r="EJ31" s="52" t="s">
        <v>307</v>
      </c>
      <c r="EK31" s="52" t="s">
        <v>308</v>
      </c>
      <c r="EL31" s="52" t="s">
        <v>309</v>
      </c>
      <c r="EM31" s="52" t="s">
        <v>306</v>
      </c>
      <c r="EN31" s="52" t="s">
        <v>310</v>
      </c>
      <c r="EO31" s="51"/>
      <c r="EP31" s="52" t="s">
        <v>307</v>
      </c>
      <c r="EQ31" s="52" t="s">
        <v>308</v>
      </c>
      <c r="ER31" s="52" t="s">
        <v>309</v>
      </c>
      <c r="ES31" s="52" t="s">
        <v>306</v>
      </c>
      <c r="ET31" s="53" t="s">
        <v>310</v>
      </c>
      <c r="EV31" s="6" t="s">
        <v>25</v>
      </c>
      <c r="EW31" s="31">
        <v>84.777092564648797</v>
      </c>
      <c r="EX31" s="6">
        <v>20</v>
      </c>
      <c r="EY31" s="7">
        <v>7</v>
      </c>
      <c r="EZ31" s="7">
        <v>25</v>
      </c>
      <c r="FA31" s="7">
        <v>6</v>
      </c>
      <c r="FB31" s="7">
        <v>6</v>
      </c>
      <c r="FC31" s="7">
        <v>6</v>
      </c>
      <c r="FD31" s="7">
        <v>6</v>
      </c>
      <c r="FE31" s="7">
        <v>7</v>
      </c>
      <c r="FF31" s="7">
        <v>7</v>
      </c>
      <c r="FG31" s="7">
        <v>26</v>
      </c>
      <c r="FH31" s="7">
        <v>16</v>
      </c>
      <c r="FI31" s="7">
        <v>7</v>
      </c>
      <c r="FJ31" s="7">
        <v>12</v>
      </c>
      <c r="FK31" s="7">
        <v>6</v>
      </c>
      <c r="FL31" s="7">
        <v>12</v>
      </c>
      <c r="FM31" s="7">
        <v>4</v>
      </c>
      <c r="FN31" s="9">
        <v>6</v>
      </c>
      <c r="FQ31" s="6">
        <v>21</v>
      </c>
      <c r="FR31" s="9">
        <v>6</v>
      </c>
      <c r="FU31" s="7">
        <v>29</v>
      </c>
      <c r="FV31" s="7" t="str">
        <v>Minnesota</v>
      </c>
    </row>
    <row r="32" spans="1:178" x14ac:dyDescent="0.25">
      <c r="L32" s="6">
        <v>5</v>
      </c>
      <c r="M32" s="7">
        <v>7</v>
      </c>
      <c r="N32" s="7">
        <v>7</v>
      </c>
      <c r="O32" s="7">
        <v>5</v>
      </c>
      <c r="P32" s="9">
        <v>6</v>
      </c>
      <c r="Q32" s="6">
        <v>5</v>
      </c>
      <c r="R32" s="7">
        <v>7</v>
      </c>
      <c r="S32" s="7">
        <v>4</v>
      </c>
      <c r="T32" s="7">
        <v>6</v>
      </c>
      <c r="U32" s="9">
        <v>7</v>
      </c>
      <c r="AR32" s="6">
        <v>29</v>
      </c>
      <c r="AS32" s="7" t="s">
        <v>317</v>
      </c>
      <c r="AT32" s="7" t="s">
        <v>236</v>
      </c>
      <c r="AU32" s="7" t="s">
        <v>243</v>
      </c>
      <c r="AV32" s="9" t="s">
        <v>242</v>
      </c>
      <c r="AW32" s="6">
        <v>29</v>
      </c>
      <c r="AX32" s="7" t="s">
        <v>241</v>
      </c>
      <c r="AY32" s="7" t="s">
        <v>233</v>
      </c>
      <c r="AZ32" s="7" t="s">
        <v>237</v>
      </c>
      <c r="BA32" s="9" t="s">
        <v>240</v>
      </c>
      <c r="BD32" s="6">
        <v>5</v>
      </c>
      <c r="BE32" s="7">
        <v>6</v>
      </c>
      <c r="BF32" s="9">
        <v>7</v>
      </c>
      <c r="BG32" s="6">
        <v>5</v>
      </c>
      <c r="BH32" s="7">
        <v>6</v>
      </c>
      <c r="BI32" s="9">
        <v>5</v>
      </c>
      <c r="CM32" s="6">
        <v>29</v>
      </c>
      <c r="CN32" s="7" t="s">
        <v>317</v>
      </c>
      <c r="CO32" s="9" t="s">
        <v>242</v>
      </c>
      <c r="CP32" s="6">
        <v>29</v>
      </c>
      <c r="CQ32" s="7" t="s">
        <v>233</v>
      </c>
      <c r="CR32" s="9" t="s">
        <v>238</v>
      </c>
      <c r="DT32" s="6">
        <v>5</v>
      </c>
      <c r="DU32" s="9">
        <v>5</v>
      </c>
      <c r="DV32" s="6">
        <v>5</v>
      </c>
      <c r="DW32" s="9">
        <v>4</v>
      </c>
      <c r="ED32" s="6">
        <v>29</v>
      </c>
      <c r="EE32" s="7" t="str">
        <v>Tampa Bay</v>
      </c>
      <c r="EF32" s="9" t="str">
        <v>Minnesota</v>
      </c>
      <c r="EI32" s="51"/>
      <c r="EJ32" s="52">
        <v>0.35</v>
      </c>
      <c r="EK32" s="52">
        <v>0.17</v>
      </c>
      <c r="EL32" s="52">
        <v>0.08</v>
      </c>
      <c r="EM32" s="52">
        <v>0.04</v>
      </c>
      <c r="EN32" s="52">
        <f>AQ10</f>
        <v>7</v>
      </c>
      <c r="EO32" s="51"/>
      <c r="EP32" s="52">
        <v>0.42</v>
      </c>
      <c r="EQ32" s="52">
        <v>0.3</v>
      </c>
      <c r="ER32" s="52">
        <v>0.11</v>
      </c>
      <c r="ES32" s="52">
        <v>0.03</v>
      </c>
      <c r="ET32" s="53">
        <v>4</v>
      </c>
      <c r="EV32" s="6" t="s">
        <v>11</v>
      </c>
      <c r="EW32" s="31">
        <v>84.703329894020342</v>
      </c>
      <c r="EX32" s="6">
        <v>21</v>
      </c>
      <c r="EY32" s="7">
        <v>7</v>
      </c>
      <c r="EZ32" s="7">
        <v>24</v>
      </c>
      <c r="FA32" s="7">
        <v>6</v>
      </c>
      <c r="FB32" s="7">
        <v>6</v>
      </c>
      <c r="FC32" s="7">
        <v>6</v>
      </c>
      <c r="FD32" s="7">
        <v>6</v>
      </c>
      <c r="FE32" s="7">
        <v>7</v>
      </c>
      <c r="FF32" s="7">
        <v>7</v>
      </c>
      <c r="FG32" s="7">
        <v>26</v>
      </c>
      <c r="FH32" s="7">
        <v>16</v>
      </c>
      <c r="FI32" s="7">
        <v>7</v>
      </c>
      <c r="FJ32" s="7">
        <v>12</v>
      </c>
      <c r="FK32" s="7">
        <v>6</v>
      </c>
      <c r="FL32" s="7">
        <v>12</v>
      </c>
      <c r="FM32" s="7">
        <v>4</v>
      </c>
      <c r="FN32" s="9">
        <v>6</v>
      </c>
      <c r="FQ32" s="6">
        <v>22</v>
      </c>
      <c r="FR32" s="9">
        <v>5</v>
      </c>
      <c r="FU32" s="7">
        <v>30</v>
      </c>
      <c r="FV32" s="7" t="str">
        <v>Tampa Bay</v>
      </c>
    </row>
    <row r="33" spans="12:178" x14ac:dyDescent="0.25">
      <c r="L33" s="6">
        <v>6</v>
      </c>
      <c r="M33" s="7">
        <v>7</v>
      </c>
      <c r="N33" s="7">
        <v>7</v>
      </c>
      <c r="O33" s="7">
        <v>6</v>
      </c>
      <c r="P33" s="9">
        <v>5</v>
      </c>
      <c r="Q33" s="6">
        <v>6</v>
      </c>
      <c r="R33" s="7">
        <v>6</v>
      </c>
      <c r="S33" s="7">
        <v>6</v>
      </c>
      <c r="T33" s="7">
        <v>6</v>
      </c>
      <c r="U33" s="9">
        <v>6</v>
      </c>
      <c r="AR33" s="6">
        <v>30</v>
      </c>
      <c r="AS33" s="7" t="s">
        <v>229</v>
      </c>
      <c r="AT33" s="7" t="s">
        <v>230</v>
      </c>
      <c r="AU33" s="7" t="s">
        <v>243</v>
      </c>
      <c r="AV33" s="9" t="s">
        <v>231</v>
      </c>
      <c r="AW33" s="6">
        <v>30</v>
      </c>
      <c r="AX33" s="7" t="s">
        <v>241</v>
      </c>
      <c r="AY33" s="7" t="s">
        <v>239</v>
      </c>
      <c r="AZ33" s="7" t="s">
        <v>238</v>
      </c>
      <c r="BA33" s="9" t="s">
        <v>240</v>
      </c>
      <c r="BD33" s="6">
        <v>6</v>
      </c>
      <c r="BE33" s="7">
        <v>5</v>
      </c>
      <c r="BF33" s="9">
        <v>4</v>
      </c>
      <c r="BG33" s="6">
        <v>6</v>
      </c>
      <c r="BH33" s="7">
        <v>5</v>
      </c>
      <c r="BI33" s="9">
        <v>6</v>
      </c>
      <c r="CM33" s="6">
        <v>30</v>
      </c>
      <c r="CN33" s="7" t="s">
        <v>236</v>
      </c>
      <c r="CO33" s="9" t="s">
        <v>242</v>
      </c>
      <c r="CP33" s="6">
        <v>30</v>
      </c>
      <c r="CQ33" s="7" t="s">
        <v>239</v>
      </c>
      <c r="CR33" s="9" t="s">
        <v>234</v>
      </c>
      <c r="DT33" s="6">
        <v>6</v>
      </c>
      <c r="DU33" s="9">
        <v>7</v>
      </c>
      <c r="DV33" s="6">
        <v>6</v>
      </c>
      <c r="DW33" s="9">
        <v>7</v>
      </c>
      <c r="ED33" s="6">
        <v>30</v>
      </c>
      <c r="EE33" s="7" t="str">
        <v>Tampa Bay</v>
      </c>
      <c r="EF33" s="9" t="str">
        <v>Minnesota</v>
      </c>
      <c r="EI33" s="51">
        <v>8</v>
      </c>
      <c r="EJ33" s="52" t="s">
        <v>317</v>
      </c>
      <c r="EK33" s="52"/>
      <c r="EL33" s="52"/>
      <c r="EM33" s="52"/>
      <c r="EN33" s="52"/>
      <c r="EO33" s="51">
        <v>8</v>
      </c>
      <c r="EP33" s="52" t="s">
        <v>241</v>
      </c>
      <c r="EQ33" s="52"/>
      <c r="ER33" s="52"/>
      <c r="ES33" s="52"/>
      <c r="ET33" s="53"/>
      <c r="EV33" s="6" t="s">
        <v>4</v>
      </c>
      <c r="EW33" s="31">
        <v>84.692649343862158</v>
      </c>
      <c r="EX33" s="6">
        <v>22</v>
      </c>
      <c r="EY33" s="7">
        <v>7</v>
      </c>
      <c r="EZ33" s="7">
        <v>25</v>
      </c>
      <c r="FA33" s="7">
        <v>6</v>
      </c>
      <c r="FB33" s="7">
        <v>6</v>
      </c>
      <c r="FC33" s="7">
        <v>6</v>
      </c>
      <c r="FD33" s="7">
        <v>6</v>
      </c>
      <c r="FE33" s="7">
        <v>7</v>
      </c>
      <c r="FF33" s="7">
        <v>7</v>
      </c>
      <c r="FG33" s="7">
        <v>26</v>
      </c>
      <c r="FH33" s="7">
        <v>16</v>
      </c>
      <c r="FI33" s="7">
        <v>7</v>
      </c>
      <c r="FJ33" s="7">
        <v>12</v>
      </c>
      <c r="FK33" s="7">
        <v>6</v>
      </c>
      <c r="FL33" s="7">
        <v>12</v>
      </c>
      <c r="FM33" s="7">
        <v>4</v>
      </c>
      <c r="FN33" s="9">
        <v>6</v>
      </c>
      <c r="FQ33" s="6">
        <v>23</v>
      </c>
      <c r="FR33" s="9">
        <v>6</v>
      </c>
      <c r="FU33" s="7">
        <v>31</v>
      </c>
      <c r="FV33" s="7" t="str">
        <v>Minnesota</v>
      </c>
    </row>
    <row r="34" spans="12:178" x14ac:dyDescent="0.25">
      <c r="L34" s="6">
        <v>7</v>
      </c>
      <c r="M34" s="7">
        <v>6</v>
      </c>
      <c r="N34" s="7">
        <v>5</v>
      </c>
      <c r="O34" s="7">
        <v>4</v>
      </c>
      <c r="P34" s="9">
        <v>7</v>
      </c>
      <c r="Q34" s="6">
        <v>7</v>
      </c>
      <c r="R34" s="7">
        <v>5</v>
      </c>
      <c r="S34" s="7">
        <v>6</v>
      </c>
      <c r="T34" s="7">
        <v>6</v>
      </c>
      <c r="U34" s="9">
        <v>6</v>
      </c>
      <c r="AR34" s="6">
        <v>31</v>
      </c>
      <c r="AS34" s="7" t="s">
        <v>229</v>
      </c>
      <c r="AT34" s="7" t="s">
        <v>230</v>
      </c>
      <c r="AU34" s="7" t="s">
        <v>232</v>
      </c>
      <c r="AV34" s="9" t="s">
        <v>242</v>
      </c>
      <c r="AW34" s="6">
        <v>31</v>
      </c>
      <c r="AX34" s="7" t="s">
        <v>241</v>
      </c>
      <c r="AY34" s="7" t="s">
        <v>239</v>
      </c>
      <c r="AZ34" s="7" t="s">
        <v>237</v>
      </c>
      <c r="BA34" s="9" t="s">
        <v>240</v>
      </c>
      <c r="BD34" s="6">
        <v>7</v>
      </c>
      <c r="BE34" s="7">
        <v>7</v>
      </c>
      <c r="BF34" s="9">
        <v>7</v>
      </c>
      <c r="BG34" s="6">
        <v>7</v>
      </c>
      <c r="BH34" s="7">
        <v>7</v>
      </c>
      <c r="BI34" s="9">
        <v>5</v>
      </c>
      <c r="CM34" s="6">
        <v>31</v>
      </c>
      <c r="CN34" s="7" t="s">
        <v>230</v>
      </c>
      <c r="CO34" s="9" t="s">
        <v>232</v>
      </c>
      <c r="CP34" s="6">
        <v>31</v>
      </c>
      <c r="CQ34" s="7" t="s">
        <v>233</v>
      </c>
      <c r="CR34" s="9" t="s">
        <v>237</v>
      </c>
      <c r="DT34" s="6">
        <v>7</v>
      </c>
      <c r="DU34" s="9">
        <v>5</v>
      </c>
      <c r="DV34" s="6">
        <v>7</v>
      </c>
      <c r="DW34" s="9">
        <v>7</v>
      </c>
      <c r="ED34" s="6">
        <v>31</v>
      </c>
      <c r="EE34" s="7" t="str">
        <v>Tampa Bay</v>
      </c>
      <c r="EF34" s="9" t="str">
        <v>Minnesota</v>
      </c>
      <c r="EI34" s="51"/>
      <c r="EJ34" s="52" t="s">
        <v>307</v>
      </c>
      <c r="EK34" s="52" t="s">
        <v>308</v>
      </c>
      <c r="EL34" s="52" t="s">
        <v>309</v>
      </c>
      <c r="EM34" s="52" t="s">
        <v>306</v>
      </c>
      <c r="EN34" s="52" t="s">
        <v>310</v>
      </c>
      <c r="EO34" s="51"/>
      <c r="EP34" s="52" t="s">
        <v>307</v>
      </c>
      <c r="EQ34" s="52" t="s">
        <v>308</v>
      </c>
      <c r="ER34" s="52" t="s">
        <v>309</v>
      </c>
      <c r="ES34" s="52" t="s">
        <v>306</v>
      </c>
      <c r="ET34" s="53" t="s">
        <v>310</v>
      </c>
      <c r="EV34" s="6" t="s">
        <v>224</v>
      </c>
      <c r="EW34" s="31">
        <v>84.634788831985787</v>
      </c>
      <c r="EX34" s="6">
        <v>23</v>
      </c>
      <c r="EY34" s="7">
        <v>7</v>
      </c>
      <c r="EZ34" s="7">
        <v>27</v>
      </c>
      <c r="FA34" s="7">
        <v>6</v>
      </c>
      <c r="FB34" s="7">
        <v>6</v>
      </c>
      <c r="FC34" s="7">
        <v>6</v>
      </c>
      <c r="FD34" s="7">
        <v>6</v>
      </c>
      <c r="FE34" s="7">
        <v>7</v>
      </c>
      <c r="FF34" s="7">
        <v>7</v>
      </c>
      <c r="FG34" s="7">
        <v>26</v>
      </c>
      <c r="FH34" s="7">
        <v>16</v>
      </c>
      <c r="FI34" s="7">
        <v>7</v>
      </c>
      <c r="FJ34" s="7">
        <v>12</v>
      </c>
      <c r="FK34" s="7">
        <v>6</v>
      </c>
      <c r="FL34" s="7">
        <v>12</v>
      </c>
      <c r="FM34" s="7">
        <v>4</v>
      </c>
      <c r="FN34" s="9">
        <v>6</v>
      </c>
      <c r="FQ34" s="6">
        <v>24</v>
      </c>
      <c r="FR34" s="9">
        <v>6</v>
      </c>
      <c r="FU34" s="7">
        <v>32</v>
      </c>
      <c r="FV34" s="7" t="str">
        <v>Tampa Bay</v>
      </c>
    </row>
    <row r="35" spans="12:178" ht="15.75" thickBot="1" x14ac:dyDescent="0.3">
      <c r="L35" s="6">
        <v>8</v>
      </c>
      <c r="M35" s="7">
        <v>5</v>
      </c>
      <c r="N35" s="7">
        <v>7</v>
      </c>
      <c r="O35" s="7">
        <v>6</v>
      </c>
      <c r="P35" s="9">
        <v>5</v>
      </c>
      <c r="Q35" s="6">
        <v>8</v>
      </c>
      <c r="R35" s="7">
        <v>6</v>
      </c>
      <c r="S35" s="7">
        <v>6</v>
      </c>
      <c r="T35" s="7">
        <v>7</v>
      </c>
      <c r="U35" s="9">
        <v>5</v>
      </c>
      <c r="AR35" s="6">
        <v>32</v>
      </c>
      <c r="AS35" s="7" t="s">
        <v>229</v>
      </c>
      <c r="AT35" s="7" t="s">
        <v>230</v>
      </c>
      <c r="AU35" s="7" t="s">
        <v>243</v>
      </c>
      <c r="AV35" s="9" t="s">
        <v>231</v>
      </c>
      <c r="AW35" s="6">
        <v>32</v>
      </c>
      <c r="AX35" s="7" t="s">
        <v>241</v>
      </c>
      <c r="AY35" s="7" t="s">
        <v>239</v>
      </c>
      <c r="AZ35" s="7" t="s">
        <v>237</v>
      </c>
      <c r="BA35" s="9" t="s">
        <v>240</v>
      </c>
      <c r="BD35" s="6">
        <v>8</v>
      </c>
      <c r="BE35" s="7">
        <v>7</v>
      </c>
      <c r="BF35" s="9">
        <v>5</v>
      </c>
      <c r="BG35" s="6">
        <v>8</v>
      </c>
      <c r="BH35" s="7">
        <v>7</v>
      </c>
      <c r="BI35" s="9">
        <v>7</v>
      </c>
      <c r="CM35" s="6">
        <v>32</v>
      </c>
      <c r="CN35" s="7" t="s">
        <v>317</v>
      </c>
      <c r="CO35" s="9" t="s">
        <v>231</v>
      </c>
      <c r="CP35" s="6">
        <v>32</v>
      </c>
      <c r="CQ35" s="7" t="s">
        <v>239</v>
      </c>
      <c r="CR35" s="9" t="s">
        <v>234</v>
      </c>
      <c r="DT35" s="6">
        <v>8</v>
      </c>
      <c r="DU35" s="9">
        <v>7</v>
      </c>
      <c r="DV35" s="6">
        <v>8</v>
      </c>
      <c r="DW35" s="9">
        <v>7</v>
      </c>
      <c r="ED35" s="6">
        <v>32</v>
      </c>
      <c r="EE35" s="7" t="str">
        <v>Tampa Bay</v>
      </c>
      <c r="EF35" s="9" t="str">
        <v>Minnesota</v>
      </c>
      <c r="EI35" s="48"/>
      <c r="EJ35" s="49">
        <v>0.52</v>
      </c>
      <c r="EK35" s="49">
        <v>0.22</v>
      </c>
      <c r="EL35" s="49">
        <v>0.09</v>
      </c>
      <c r="EM35" s="49">
        <v>0.02</v>
      </c>
      <c r="EN35" s="49">
        <f>AQ4</f>
        <v>7</v>
      </c>
      <c r="EO35" s="48"/>
      <c r="EP35" s="49">
        <v>0.48</v>
      </c>
      <c r="EQ35" s="49">
        <v>0.23</v>
      </c>
      <c r="ER35" s="49">
        <v>0.12</v>
      </c>
      <c r="ES35" s="49">
        <v>0.02</v>
      </c>
      <c r="ET35" s="50">
        <v>6</v>
      </c>
      <c r="EV35" s="6" t="s">
        <v>19</v>
      </c>
      <c r="EW35" s="31">
        <v>84.56786728740262</v>
      </c>
      <c r="EX35" s="6">
        <v>24</v>
      </c>
      <c r="EY35" s="7">
        <v>7</v>
      </c>
      <c r="EZ35" s="7">
        <v>24</v>
      </c>
      <c r="FA35" s="7">
        <v>6</v>
      </c>
      <c r="FB35" s="7">
        <v>6</v>
      </c>
      <c r="FC35" s="7">
        <v>6</v>
      </c>
      <c r="FD35" s="7">
        <v>6</v>
      </c>
      <c r="FE35" s="7">
        <v>7</v>
      </c>
      <c r="FF35" s="7">
        <v>7</v>
      </c>
      <c r="FG35" s="7">
        <v>26</v>
      </c>
      <c r="FH35" s="7">
        <v>16</v>
      </c>
      <c r="FI35" s="7">
        <v>7</v>
      </c>
      <c r="FJ35" s="7">
        <v>12</v>
      </c>
      <c r="FK35" s="7">
        <v>6</v>
      </c>
      <c r="FL35" s="7">
        <v>12</v>
      </c>
      <c r="FM35" s="7">
        <v>4</v>
      </c>
      <c r="FN35" s="9">
        <v>6</v>
      </c>
      <c r="FQ35" s="6">
        <v>25</v>
      </c>
      <c r="FR35" s="9">
        <v>4</v>
      </c>
      <c r="FU35" s="7">
        <v>33</v>
      </c>
      <c r="FV35" s="7" t="str">
        <v>Minnesota</v>
      </c>
    </row>
    <row r="36" spans="12:178" x14ac:dyDescent="0.25">
      <c r="L36" s="6">
        <v>9</v>
      </c>
      <c r="M36" s="7">
        <v>5</v>
      </c>
      <c r="N36" s="7">
        <v>4</v>
      </c>
      <c r="O36" s="7">
        <v>6</v>
      </c>
      <c r="P36" s="9">
        <v>7</v>
      </c>
      <c r="Q36" s="6">
        <v>9</v>
      </c>
      <c r="R36" s="7">
        <v>5</v>
      </c>
      <c r="S36" s="7">
        <v>7</v>
      </c>
      <c r="T36" s="7">
        <v>7</v>
      </c>
      <c r="U36" s="9">
        <v>7</v>
      </c>
      <c r="AR36" s="6">
        <v>33</v>
      </c>
      <c r="AS36" s="7" t="s">
        <v>229</v>
      </c>
      <c r="AT36" s="7" t="s">
        <v>236</v>
      </c>
      <c r="AU36" s="7" t="s">
        <v>232</v>
      </c>
      <c r="AV36" s="9" t="s">
        <v>242</v>
      </c>
      <c r="AW36" s="6">
        <v>33</v>
      </c>
      <c r="AX36" s="7" t="s">
        <v>235</v>
      </c>
      <c r="AY36" s="7" t="s">
        <v>233</v>
      </c>
      <c r="AZ36" s="7" t="s">
        <v>237</v>
      </c>
      <c r="BA36" s="9" t="s">
        <v>234</v>
      </c>
      <c r="BD36" s="6">
        <v>9</v>
      </c>
      <c r="BE36" s="7">
        <v>5</v>
      </c>
      <c r="BF36" s="9">
        <v>7</v>
      </c>
      <c r="BG36" s="6">
        <v>9</v>
      </c>
      <c r="BH36" s="7">
        <v>6</v>
      </c>
      <c r="BI36" s="9">
        <v>7</v>
      </c>
      <c r="CM36" s="6">
        <v>33</v>
      </c>
      <c r="CN36" s="7" t="s">
        <v>317</v>
      </c>
      <c r="CO36" s="9" t="s">
        <v>232</v>
      </c>
      <c r="CP36" s="6">
        <v>33</v>
      </c>
      <c r="CQ36" s="7" t="s">
        <v>239</v>
      </c>
      <c r="CR36" s="9" t="s">
        <v>234</v>
      </c>
      <c r="DT36" s="6">
        <v>9</v>
      </c>
      <c r="DU36" s="9">
        <v>7</v>
      </c>
      <c r="DV36" s="6">
        <v>9</v>
      </c>
      <c r="DW36" s="9">
        <v>7</v>
      </c>
      <c r="ED36" s="6">
        <v>33</v>
      </c>
      <c r="EE36" s="7" t="str">
        <v>Tampa Bay</v>
      </c>
      <c r="EF36" s="9" t="str">
        <v>Minnesota</v>
      </c>
      <c r="EV36" s="6" t="s">
        <v>23</v>
      </c>
      <c r="EW36" s="31">
        <v>84.558509389146565</v>
      </c>
      <c r="EX36" s="6">
        <v>25</v>
      </c>
      <c r="EY36" s="7">
        <v>7</v>
      </c>
      <c r="EZ36" s="7">
        <v>27</v>
      </c>
      <c r="FA36" s="7">
        <v>6</v>
      </c>
      <c r="FB36" s="7">
        <v>6</v>
      </c>
      <c r="FC36" s="7">
        <v>6</v>
      </c>
      <c r="FD36" s="7">
        <v>6</v>
      </c>
      <c r="FE36" s="7">
        <v>7</v>
      </c>
      <c r="FF36" s="7">
        <v>7</v>
      </c>
      <c r="FG36" s="7">
        <v>26</v>
      </c>
      <c r="FH36" s="7">
        <v>16</v>
      </c>
      <c r="FI36" s="7">
        <v>7</v>
      </c>
      <c r="FJ36" s="7">
        <v>12</v>
      </c>
      <c r="FK36" s="7">
        <v>6</v>
      </c>
      <c r="FL36" s="7">
        <v>12</v>
      </c>
      <c r="FM36" s="7">
        <v>4</v>
      </c>
      <c r="FN36" s="9">
        <v>6</v>
      </c>
      <c r="FQ36" s="6">
        <v>26</v>
      </c>
      <c r="FR36" s="9">
        <v>4</v>
      </c>
      <c r="FU36" s="7">
        <v>34</v>
      </c>
      <c r="FV36" s="7" t="str">
        <v>Tampa Bay</v>
      </c>
    </row>
    <row r="37" spans="12:178" x14ac:dyDescent="0.25">
      <c r="L37" s="6">
        <v>10</v>
      </c>
      <c r="M37" s="7">
        <v>7</v>
      </c>
      <c r="N37" s="7">
        <v>6</v>
      </c>
      <c r="O37" s="7">
        <v>6</v>
      </c>
      <c r="P37" s="9">
        <v>6</v>
      </c>
      <c r="Q37" s="6">
        <v>10</v>
      </c>
      <c r="R37" s="7">
        <v>6</v>
      </c>
      <c r="S37" s="7">
        <v>5</v>
      </c>
      <c r="T37" s="7">
        <v>4</v>
      </c>
      <c r="U37" s="9">
        <v>7</v>
      </c>
      <c r="AR37" s="6">
        <v>34</v>
      </c>
      <c r="AS37" s="7" t="s">
        <v>317</v>
      </c>
      <c r="AT37" s="7" t="s">
        <v>230</v>
      </c>
      <c r="AU37" s="7" t="s">
        <v>243</v>
      </c>
      <c r="AV37" s="9" t="s">
        <v>242</v>
      </c>
      <c r="AW37" s="6">
        <v>34</v>
      </c>
      <c r="AX37" s="7" t="s">
        <v>235</v>
      </c>
      <c r="AY37" s="7" t="s">
        <v>239</v>
      </c>
      <c r="AZ37" s="7" t="s">
        <v>237</v>
      </c>
      <c r="BA37" s="9" t="s">
        <v>234</v>
      </c>
      <c r="BD37" s="6">
        <v>10</v>
      </c>
      <c r="BE37" s="7">
        <v>4</v>
      </c>
      <c r="BF37" s="9">
        <v>4</v>
      </c>
      <c r="BG37" s="6">
        <v>10</v>
      </c>
      <c r="BH37" s="7">
        <v>7</v>
      </c>
      <c r="BI37" s="9">
        <v>7</v>
      </c>
      <c r="CM37" s="6">
        <v>34</v>
      </c>
      <c r="CN37" s="7" t="s">
        <v>229</v>
      </c>
      <c r="CO37" s="9" t="s">
        <v>242</v>
      </c>
      <c r="CP37" s="6">
        <v>34</v>
      </c>
      <c r="CQ37" s="7" t="s">
        <v>241</v>
      </c>
      <c r="CR37" s="9" t="s">
        <v>237</v>
      </c>
      <c r="DT37" s="6">
        <v>10</v>
      </c>
      <c r="DU37" s="9">
        <v>7</v>
      </c>
      <c r="DV37" s="6">
        <v>10</v>
      </c>
      <c r="DW37" s="9">
        <v>6</v>
      </c>
      <c r="ED37" s="6">
        <v>34</v>
      </c>
      <c r="EE37" s="7" t="str">
        <v>Tampa Bay</v>
      </c>
      <c r="EF37" s="9" t="str">
        <v>Minnesota</v>
      </c>
      <c r="EV37" s="6" t="s">
        <v>12</v>
      </c>
      <c r="EW37" s="31">
        <v>84.540679915027866</v>
      </c>
      <c r="EX37" s="6">
        <v>26</v>
      </c>
      <c r="EY37" s="7">
        <v>7</v>
      </c>
      <c r="EZ37" s="7">
        <v>24</v>
      </c>
      <c r="FA37" s="7">
        <v>6</v>
      </c>
      <c r="FB37" s="7">
        <v>6</v>
      </c>
      <c r="FC37" s="7">
        <v>6</v>
      </c>
      <c r="FD37" s="7">
        <v>6</v>
      </c>
      <c r="FE37" s="7">
        <v>7</v>
      </c>
      <c r="FF37" s="7">
        <v>7</v>
      </c>
      <c r="FG37" s="7">
        <v>26</v>
      </c>
      <c r="FH37" s="7">
        <v>16</v>
      </c>
      <c r="FI37" s="7">
        <v>7</v>
      </c>
      <c r="FJ37" s="7">
        <v>12</v>
      </c>
      <c r="FK37" s="7">
        <v>6</v>
      </c>
      <c r="FL37" s="7">
        <v>12</v>
      </c>
      <c r="FM37" s="7">
        <v>4</v>
      </c>
      <c r="FN37" s="9">
        <v>6</v>
      </c>
      <c r="FQ37" s="6">
        <v>27</v>
      </c>
      <c r="FR37" s="9">
        <v>5</v>
      </c>
      <c r="FU37" s="7">
        <v>35</v>
      </c>
      <c r="FV37" s="7" t="str">
        <v>Tampa Bay</v>
      </c>
    </row>
    <row r="38" spans="12:178" x14ac:dyDescent="0.25">
      <c r="L38" s="6">
        <v>11</v>
      </c>
      <c r="M38" s="7">
        <v>7</v>
      </c>
      <c r="N38" s="7">
        <v>7</v>
      </c>
      <c r="O38" s="7">
        <v>5</v>
      </c>
      <c r="P38" s="9">
        <v>4</v>
      </c>
      <c r="Q38" s="6">
        <v>11</v>
      </c>
      <c r="R38" s="7">
        <v>6</v>
      </c>
      <c r="S38" s="7">
        <v>7</v>
      </c>
      <c r="T38" s="7">
        <v>6</v>
      </c>
      <c r="U38" s="9">
        <v>7</v>
      </c>
      <c r="AR38" s="6">
        <v>35</v>
      </c>
      <c r="AS38" s="7" t="s">
        <v>229</v>
      </c>
      <c r="AT38" s="7" t="s">
        <v>230</v>
      </c>
      <c r="AU38" s="7" t="s">
        <v>232</v>
      </c>
      <c r="AV38" s="9" t="s">
        <v>242</v>
      </c>
      <c r="AW38" s="6">
        <v>35</v>
      </c>
      <c r="AX38" s="7" t="s">
        <v>241</v>
      </c>
      <c r="AY38" s="7" t="s">
        <v>239</v>
      </c>
      <c r="AZ38" s="7" t="s">
        <v>238</v>
      </c>
      <c r="BA38" s="9" t="s">
        <v>234</v>
      </c>
      <c r="BD38" s="6">
        <v>11</v>
      </c>
      <c r="BE38" s="7">
        <v>5</v>
      </c>
      <c r="BF38" s="9">
        <v>6</v>
      </c>
      <c r="BG38" s="6">
        <v>11</v>
      </c>
      <c r="BH38" s="7">
        <v>7</v>
      </c>
      <c r="BI38" s="9">
        <v>7</v>
      </c>
      <c r="CM38" s="6">
        <v>35</v>
      </c>
      <c r="CN38" s="7" t="s">
        <v>229</v>
      </c>
      <c r="CO38" s="9" t="s">
        <v>232</v>
      </c>
      <c r="CP38" s="6">
        <v>35</v>
      </c>
      <c r="CQ38" s="7" t="s">
        <v>233</v>
      </c>
      <c r="CR38" s="9" t="s">
        <v>237</v>
      </c>
      <c r="DT38" s="6">
        <v>11</v>
      </c>
      <c r="DU38" s="9">
        <v>6</v>
      </c>
      <c r="DV38" s="6">
        <v>11</v>
      </c>
      <c r="DW38" s="9">
        <v>7</v>
      </c>
      <c r="ED38" s="6">
        <v>35</v>
      </c>
      <c r="EE38" s="7" t="str">
        <v>Tampa Bay</v>
      </c>
      <c r="EF38" s="9" t="str">
        <v>Minnesota</v>
      </c>
      <c r="EV38" s="6" t="s">
        <v>17</v>
      </c>
      <c r="EW38" s="31">
        <v>84.466737907719647</v>
      </c>
      <c r="EX38" s="6">
        <v>27</v>
      </c>
      <c r="EY38" s="7">
        <v>7</v>
      </c>
      <c r="EZ38" s="7">
        <v>26</v>
      </c>
      <c r="FA38" s="7">
        <v>6</v>
      </c>
      <c r="FB38" s="7">
        <v>6</v>
      </c>
      <c r="FC38" s="7">
        <v>6</v>
      </c>
      <c r="FD38" s="7">
        <v>6</v>
      </c>
      <c r="FE38" s="7">
        <v>7</v>
      </c>
      <c r="FF38" s="7">
        <v>7</v>
      </c>
      <c r="FG38" s="7">
        <v>26</v>
      </c>
      <c r="FH38" s="7">
        <v>16</v>
      </c>
      <c r="FI38" s="7">
        <v>7</v>
      </c>
      <c r="FJ38" s="7">
        <v>12</v>
      </c>
      <c r="FK38" s="7">
        <v>6</v>
      </c>
      <c r="FL38" s="7">
        <v>12</v>
      </c>
      <c r="FM38" s="7">
        <v>4</v>
      </c>
      <c r="FN38" s="9">
        <v>6</v>
      </c>
      <c r="FQ38" s="6">
        <v>28</v>
      </c>
      <c r="FR38" s="9">
        <v>5</v>
      </c>
      <c r="FU38" s="7">
        <v>36</v>
      </c>
      <c r="FV38" s="7" t="str">
        <v>Tampa Bay</v>
      </c>
    </row>
    <row r="39" spans="12:178" x14ac:dyDescent="0.25">
      <c r="L39" s="6">
        <v>12</v>
      </c>
      <c r="M39" s="7">
        <v>7</v>
      </c>
      <c r="N39" s="7">
        <v>5</v>
      </c>
      <c r="O39" s="7">
        <v>7</v>
      </c>
      <c r="P39" s="9">
        <v>7</v>
      </c>
      <c r="Q39" s="6">
        <v>12</v>
      </c>
      <c r="R39" s="7">
        <v>6</v>
      </c>
      <c r="S39" s="7">
        <v>6</v>
      </c>
      <c r="T39" s="7">
        <v>6</v>
      </c>
      <c r="U39" s="9">
        <v>7</v>
      </c>
      <c r="AR39" s="6">
        <v>36</v>
      </c>
      <c r="AS39" s="7" t="s">
        <v>317</v>
      </c>
      <c r="AT39" s="7" t="s">
        <v>230</v>
      </c>
      <c r="AU39" s="7" t="s">
        <v>232</v>
      </c>
      <c r="AV39" s="9" t="s">
        <v>242</v>
      </c>
      <c r="AW39" s="6">
        <v>36</v>
      </c>
      <c r="AX39" s="7" t="s">
        <v>241</v>
      </c>
      <c r="AY39" s="7" t="s">
        <v>239</v>
      </c>
      <c r="AZ39" s="7" t="s">
        <v>238</v>
      </c>
      <c r="BA39" s="9" t="s">
        <v>234</v>
      </c>
      <c r="BD39" s="6">
        <v>12</v>
      </c>
      <c r="BE39" s="7">
        <v>5</v>
      </c>
      <c r="BF39" s="9">
        <v>6</v>
      </c>
      <c r="BG39" s="6">
        <v>12</v>
      </c>
      <c r="BH39" s="7">
        <v>7</v>
      </c>
      <c r="BI39" s="9">
        <v>7</v>
      </c>
      <c r="CM39" s="6">
        <v>36</v>
      </c>
      <c r="CN39" s="7" t="s">
        <v>230</v>
      </c>
      <c r="CO39" s="9" t="s">
        <v>243</v>
      </c>
      <c r="CP39" s="6">
        <v>36</v>
      </c>
      <c r="CQ39" s="7" t="s">
        <v>235</v>
      </c>
      <c r="CR39" s="9" t="s">
        <v>237</v>
      </c>
      <c r="DT39" s="6">
        <v>12</v>
      </c>
      <c r="DU39" s="9">
        <v>7</v>
      </c>
      <c r="DV39" s="6">
        <v>12</v>
      </c>
      <c r="DW39" s="9">
        <v>6</v>
      </c>
      <c r="ED39" s="6">
        <v>36</v>
      </c>
      <c r="EE39" s="7" t="str">
        <v>Tampa Bay</v>
      </c>
      <c r="EF39" s="9" t="str">
        <v>Minnesota</v>
      </c>
      <c r="EV39" s="6" t="s">
        <v>16</v>
      </c>
      <c r="EW39" s="31">
        <v>84.439541672686488</v>
      </c>
      <c r="EX39" s="6">
        <v>28</v>
      </c>
      <c r="EY39" s="7">
        <v>7</v>
      </c>
      <c r="EZ39" s="7">
        <v>27</v>
      </c>
      <c r="FA39" s="7">
        <v>6</v>
      </c>
      <c r="FB39" s="7">
        <v>6</v>
      </c>
      <c r="FC39" s="7">
        <v>6</v>
      </c>
      <c r="FD39" s="7">
        <v>6</v>
      </c>
      <c r="FE39" s="7">
        <v>7</v>
      </c>
      <c r="FF39" s="7">
        <v>7</v>
      </c>
      <c r="FG39" s="7">
        <v>26</v>
      </c>
      <c r="FH39" s="7">
        <v>16</v>
      </c>
      <c r="FI39" s="7">
        <v>7</v>
      </c>
      <c r="FJ39" s="7">
        <v>12</v>
      </c>
      <c r="FK39" s="7">
        <v>6</v>
      </c>
      <c r="FL39" s="7">
        <v>12</v>
      </c>
      <c r="FM39" s="7">
        <v>4</v>
      </c>
      <c r="FN39" s="9">
        <v>6</v>
      </c>
      <c r="FQ39" s="6">
        <v>29</v>
      </c>
      <c r="FR39" s="9">
        <v>7</v>
      </c>
      <c r="FU39" s="7">
        <v>37</v>
      </c>
      <c r="FV39" s="7" t="str">
        <v>Minnesota</v>
      </c>
    </row>
    <row r="40" spans="12:178" x14ac:dyDescent="0.25">
      <c r="L40" s="6">
        <v>13</v>
      </c>
      <c r="M40" s="7">
        <v>6</v>
      </c>
      <c r="N40" s="7">
        <v>7</v>
      </c>
      <c r="O40" s="7">
        <v>4</v>
      </c>
      <c r="P40" s="9">
        <v>4</v>
      </c>
      <c r="Q40" s="6">
        <v>13</v>
      </c>
      <c r="R40" s="7">
        <v>6</v>
      </c>
      <c r="S40" s="7">
        <v>6</v>
      </c>
      <c r="T40" s="7">
        <v>6</v>
      </c>
      <c r="U40" s="9">
        <v>4</v>
      </c>
      <c r="AR40" s="6">
        <v>37</v>
      </c>
      <c r="AS40" s="7" t="s">
        <v>317</v>
      </c>
      <c r="AT40" s="7" t="s">
        <v>230</v>
      </c>
      <c r="AU40" s="7" t="s">
        <v>243</v>
      </c>
      <c r="AV40" s="9" t="s">
        <v>231</v>
      </c>
      <c r="AW40" s="6">
        <v>37</v>
      </c>
      <c r="AX40" s="7" t="s">
        <v>241</v>
      </c>
      <c r="AY40" s="7" t="s">
        <v>239</v>
      </c>
      <c r="AZ40" s="7" t="s">
        <v>237</v>
      </c>
      <c r="BA40" s="9" t="s">
        <v>240</v>
      </c>
      <c r="BD40" s="6">
        <v>13</v>
      </c>
      <c r="BE40" s="7">
        <v>6</v>
      </c>
      <c r="BF40" s="9">
        <v>6</v>
      </c>
      <c r="BG40" s="6">
        <v>13</v>
      </c>
      <c r="BH40" s="7">
        <v>6</v>
      </c>
      <c r="BI40" s="9">
        <v>6</v>
      </c>
      <c r="CM40" s="6">
        <v>37</v>
      </c>
      <c r="CN40" s="7" t="s">
        <v>230</v>
      </c>
      <c r="CO40" s="9" t="s">
        <v>232</v>
      </c>
      <c r="CP40" s="6">
        <v>37</v>
      </c>
      <c r="CQ40" s="7" t="s">
        <v>233</v>
      </c>
      <c r="CR40" s="9" t="s">
        <v>237</v>
      </c>
      <c r="DT40" s="6">
        <v>13</v>
      </c>
      <c r="DU40" s="9">
        <v>7</v>
      </c>
      <c r="DV40" s="6">
        <v>13</v>
      </c>
      <c r="DW40" s="9">
        <v>5</v>
      </c>
      <c r="ED40" s="6">
        <v>37</v>
      </c>
      <c r="EE40" s="7" t="str">
        <v>Tampa Bay</v>
      </c>
      <c r="EF40" s="9" t="str">
        <v>Minnesota</v>
      </c>
      <c r="EV40" s="6" t="s">
        <v>15</v>
      </c>
      <c r="EW40" s="31">
        <v>84.438445187368572</v>
      </c>
      <c r="EX40" s="6">
        <v>29</v>
      </c>
      <c r="EY40" s="7">
        <v>7</v>
      </c>
      <c r="EZ40" s="7">
        <v>27</v>
      </c>
      <c r="FA40" s="7">
        <v>6</v>
      </c>
      <c r="FB40" s="7">
        <v>6</v>
      </c>
      <c r="FC40" s="7">
        <v>6</v>
      </c>
      <c r="FD40" s="7">
        <v>6</v>
      </c>
      <c r="FE40" s="7">
        <v>7</v>
      </c>
      <c r="FF40" s="7">
        <v>7</v>
      </c>
      <c r="FG40" s="7">
        <v>26</v>
      </c>
      <c r="FH40" s="7">
        <v>16</v>
      </c>
      <c r="FI40" s="7">
        <v>7</v>
      </c>
      <c r="FJ40" s="7">
        <v>12</v>
      </c>
      <c r="FK40" s="7">
        <v>6</v>
      </c>
      <c r="FL40" s="7">
        <v>12</v>
      </c>
      <c r="FM40" s="7">
        <v>4</v>
      </c>
      <c r="FN40" s="9">
        <v>6</v>
      </c>
      <c r="FQ40" s="6">
        <v>30</v>
      </c>
      <c r="FR40" s="9">
        <v>7</v>
      </c>
      <c r="FU40" s="7">
        <v>38</v>
      </c>
      <c r="FV40" s="7" t="str">
        <v>Minnesota</v>
      </c>
    </row>
    <row r="41" spans="12:178" ht="15.75" thickBot="1" x14ac:dyDescent="0.3">
      <c r="L41" s="6">
        <v>14</v>
      </c>
      <c r="M41" s="7">
        <v>5</v>
      </c>
      <c r="N41" s="7">
        <v>7</v>
      </c>
      <c r="O41" s="7">
        <v>4</v>
      </c>
      <c r="P41" s="9">
        <v>6</v>
      </c>
      <c r="Q41" s="6">
        <v>14</v>
      </c>
      <c r="R41" s="7">
        <v>6</v>
      </c>
      <c r="S41" s="7">
        <v>7</v>
      </c>
      <c r="T41" s="7">
        <v>7</v>
      </c>
      <c r="U41" s="9">
        <v>5</v>
      </c>
      <c r="AR41" s="6">
        <v>38</v>
      </c>
      <c r="AS41" s="7" t="s">
        <v>317</v>
      </c>
      <c r="AT41" s="7" t="s">
        <v>236</v>
      </c>
      <c r="AU41" s="7" t="s">
        <v>232</v>
      </c>
      <c r="AV41" s="9" t="s">
        <v>242</v>
      </c>
      <c r="AW41" s="6">
        <v>38</v>
      </c>
      <c r="AX41" s="7" t="s">
        <v>241</v>
      </c>
      <c r="AY41" s="7" t="s">
        <v>233</v>
      </c>
      <c r="AZ41" s="7" t="s">
        <v>237</v>
      </c>
      <c r="BA41" s="9" t="s">
        <v>234</v>
      </c>
      <c r="BD41" s="6">
        <v>14</v>
      </c>
      <c r="BE41" s="7">
        <v>5</v>
      </c>
      <c r="BF41" s="9">
        <v>7</v>
      </c>
      <c r="BG41" s="6">
        <v>14</v>
      </c>
      <c r="BH41" s="7">
        <v>5</v>
      </c>
      <c r="BI41" s="9">
        <v>6</v>
      </c>
      <c r="CM41" s="6">
        <v>38</v>
      </c>
      <c r="CN41" s="7" t="s">
        <v>229</v>
      </c>
      <c r="CO41" s="9" t="s">
        <v>231</v>
      </c>
      <c r="CP41" s="6">
        <v>38</v>
      </c>
      <c r="CQ41" s="7" t="s">
        <v>235</v>
      </c>
      <c r="CR41" s="9" t="s">
        <v>237</v>
      </c>
      <c r="DT41" s="6">
        <v>14</v>
      </c>
      <c r="DU41" s="9">
        <v>4</v>
      </c>
      <c r="DV41" s="6">
        <v>14</v>
      </c>
      <c r="DW41" s="9">
        <v>7</v>
      </c>
      <c r="ED41" s="6">
        <v>38</v>
      </c>
      <c r="EE41" s="7" t="str">
        <v>Tampa Bay</v>
      </c>
      <c r="EF41" s="9" t="str">
        <v>Minnesota</v>
      </c>
      <c r="EV41" s="5" t="s">
        <v>20</v>
      </c>
      <c r="EW41" s="32">
        <v>84.432567381361238</v>
      </c>
      <c r="EX41" s="6">
        <v>30</v>
      </c>
      <c r="EY41" s="7">
        <v>7</v>
      </c>
      <c r="EZ41" s="7">
        <v>26</v>
      </c>
      <c r="FA41" s="7">
        <v>6</v>
      </c>
      <c r="FB41" s="7">
        <v>6</v>
      </c>
      <c r="FC41" s="7">
        <v>6</v>
      </c>
      <c r="FD41" s="7">
        <v>6</v>
      </c>
      <c r="FE41" s="7">
        <v>7</v>
      </c>
      <c r="FF41" s="7">
        <v>7</v>
      </c>
      <c r="FG41" s="7">
        <v>26</v>
      </c>
      <c r="FH41" s="7">
        <v>16</v>
      </c>
      <c r="FI41" s="7">
        <v>7</v>
      </c>
      <c r="FJ41" s="7">
        <v>12</v>
      </c>
      <c r="FK41" s="7">
        <v>6</v>
      </c>
      <c r="FL41" s="7">
        <v>12</v>
      </c>
      <c r="FM41" s="7">
        <v>4</v>
      </c>
      <c r="FN41" s="9">
        <v>6</v>
      </c>
      <c r="FQ41" s="6">
        <v>31</v>
      </c>
      <c r="FR41" s="9">
        <v>6</v>
      </c>
      <c r="FU41" s="7">
        <v>39</v>
      </c>
      <c r="FV41" s="7" t="str">
        <v>Tampa Bay</v>
      </c>
    </row>
    <row r="42" spans="12:178" ht="15.75" thickBot="1" x14ac:dyDescent="0.3">
      <c r="L42" s="6">
        <v>15</v>
      </c>
      <c r="M42" s="7">
        <v>7</v>
      </c>
      <c r="N42" s="7">
        <v>6</v>
      </c>
      <c r="O42" s="7">
        <v>5</v>
      </c>
      <c r="P42" s="9">
        <v>7</v>
      </c>
      <c r="Q42" s="6">
        <v>15</v>
      </c>
      <c r="R42" s="7">
        <v>7</v>
      </c>
      <c r="S42" s="7">
        <v>7</v>
      </c>
      <c r="T42" s="7">
        <v>4</v>
      </c>
      <c r="U42" s="9">
        <v>7</v>
      </c>
      <c r="AR42" s="6">
        <v>39</v>
      </c>
      <c r="AS42" s="7" t="s">
        <v>229</v>
      </c>
      <c r="AT42" s="7" t="s">
        <v>230</v>
      </c>
      <c r="AU42" s="7" t="s">
        <v>232</v>
      </c>
      <c r="AV42" s="9" t="s">
        <v>231</v>
      </c>
      <c r="AW42" s="6">
        <v>39</v>
      </c>
      <c r="AX42" s="7" t="s">
        <v>241</v>
      </c>
      <c r="AY42" s="7" t="s">
        <v>239</v>
      </c>
      <c r="AZ42" s="7" t="s">
        <v>237</v>
      </c>
      <c r="BA42" s="9" t="s">
        <v>234</v>
      </c>
      <c r="BD42" s="6">
        <v>15</v>
      </c>
      <c r="BE42" s="7">
        <v>5</v>
      </c>
      <c r="BF42" s="9">
        <v>5</v>
      </c>
      <c r="BG42" s="6">
        <v>15</v>
      </c>
      <c r="BH42" s="7">
        <v>7</v>
      </c>
      <c r="BI42" s="9">
        <v>5</v>
      </c>
      <c r="CM42" s="6">
        <v>39</v>
      </c>
      <c r="CN42" s="7" t="s">
        <v>229</v>
      </c>
      <c r="CO42" s="9" t="s">
        <v>231</v>
      </c>
      <c r="CP42" s="6">
        <v>39</v>
      </c>
      <c r="CQ42" s="7" t="s">
        <v>239</v>
      </c>
      <c r="CR42" s="9" t="s">
        <v>234</v>
      </c>
      <c r="DT42" s="6">
        <v>15</v>
      </c>
      <c r="DU42" s="9">
        <v>5</v>
      </c>
      <c r="DV42" s="6">
        <v>15</v>
      </c>
      <c r="DW42" s="9">
        <v>7</v>
      </c>
      <c r="ED42" s="6">
        <v>39</v>
      </c>
      <c r="EE42" s="7" t="str">
        <v>Tampa Bay</v>
      </c>
      <c r="EF42" s="9" t="str">
        <v>Minnesota</v>
      </c>
      <c r="EX42" s="6">
        <v>31</v>
      </c>
      <c r="EY42" s="7">
        <v>7</v>
      </c>
      <c r="EZ42" s="7">
        <v>26</v>
      </c>
      <c r="FA42" s="7">
        <v>6</v>
      </c>
      <c r="FB42" s="7">
        <v>6</v>
      </c>
      <c r="FC42" s="7">
        <v>6</v>
      </c>
      <c r="FD42" s="7">
        <v>6</v>
      </c>
      <c r="FE42" s="7">
        <v>7</v>
      </c>
      <c r="FF42" s="7">
        <v>7</v>
      </c>
      <c r="FG42" s="7">
        <v>26</v>
      </c>
      <c r="FH42" s="7">
        <v>16</v>
      </c>
      <c r="FI42" s="7">
        <v>7</v>
      </c>
      <c r="FJ42" s="7">
        <v>12</v>
      </c>
      <c r="FK42" s="7">
        <v>6</v>
      </c>
      <c r="FL42" s="7">
        <v>12</v>
      </c>
      <c r="FM42" s="7">
        <v>4</v>
      </c>
      <c r="FN42" s="9">
        <v>6</v>
      </c>
      <c r="FQ42" s="6">
        <v>32</v>
      </c>
      <c r="FR42" s="9">
        <v>5</v>
      </c>
      <c r="FU42" s="7">
        <v>40</v>
      </c>
      <c r="FV42" s="7" t="str">
        <v>Tampa Bay</v>
      </c>
    </row>
    <row r="43" spans="12:178" x14ac:dyDescent="0.25">
      <c r="L43" s="6">
        <v>16</v>
      </c>
      <c r="M43" s="7">
        <v>5</v>
      </c>
      <c r="N43" s="7">
        <v>7</v>
      </c>
      <c r="O43" s="7">
        <v>4</v>
      </c>
      <c r="P43" s="9">
        <v>6</v>
      </c>
      <c r="Q43" s="6">
        <v>16</v>
      </c>
      <c r="R43" s="7">
        <v>7</v>
      </c>
      <c r="S43" s="7">
        <v>6</v>
      </c>
      <c r="T43" s="7">
        <v>5</v>
      </c>
      <c r="U43" s="9">
        <v>5</v>
      </c>
      <c r="AR43" s="6">
        <v>40</v>
      </c>
      <c r="AS43" s="7" t="s">
        <v>229</v>
      </c>
      <c r="AT43" s="7" t="s">
        <v>236</v>
      </c>
      <c r="AU43" s="7" t="s">
        <v>243</v>
      </c>
      <c r="AV43" s="9" t="s">
        <v>242</v>
      </c>
      <c r="AW43" s="6">
        <v>40</v>
      </c>
      <c r="AX43" s="7" t="s">
        <v>241</v>
      </c>
      <c r="AY43" s="7" t="s">
        <v>233</v>
      </c>
      <c r="AZ43" s="7" t="s">
        <v>237</v>
      </c>
      <c r="BA43" s="9" t="s">
        <v>240</v>
      </c>
      <c r="BD43" s="6">
        <v>16</v>
      </c>
      <c r="BE43" s="7">
        <v>6</v>
      </c>
      <c r="BF43" s="9">
        <v>7</v>
      </c>
      <c r="BG43" s="6">
        <v>16</v>
      </c>
      <c r="BH43" s="7">
        <v>4</v>
      </c>
      <c r="BI43" s="9">
        <v>5</v>
      </c>
      <c r="CM43" s="6">
        <v>40</v>
      </c>
      <c r="CN43" s="7" t="s">
        <v>230</v>
      </c>
      <c r="CO43" s="9" t="s">
        <v>242</v>
      </c>
      <c r="CP43" s="6">
        <v>40</v>
      </c>
      <c r="CQ43" s="7" t="s">
        <v>239</v>
      </c>
      <c r="CR43" s="9" t="s">
        <v>240</v>
      </c>
      <c r="DT43" s="6">
        <v>16</v>
      </c>
      <c r="DU43" s="9">
        <v>5</v>
      </c>
      <c r="DV43" s="6">
        <v>16</v>
      </c>
      <c r="DW43" s="9">
        <v>7</v>
      </c>
      <c r="ED43" s="6">
        <v>40</v>
      </c>
      <c r="EE43" s="7" t="str">
        <v>Tampa Bay</v>
      </c>
      <c r="EF43" s="9" t="str">
        <v>Minnesota</v>
      </c>
      <c r="EG43" s="46"/>
      <c r="EH43" s="46" t="s">
        <v>229</v>
      </c>
      <c r="EI43" s="46" t="s">
        <v>242</v>
      </c>
      <c r="EJ43" s="46" t="s">
        <v>230</v>
      </c>
      <c r="EK43" s="46" t="s">
        <v>231</v>
      </c>
      <c r="EL43" s="46" t="s">
        <v>243</v>
      </c>
      <c r="EM43" s="46" t="s">
        <v>236</v>
      </c>
      <c r="EN43" s="46" t="s">
        <v>232</v>
      </c>
      <c r="EO43" s="46" t="s">
        <v>317</v>
      </c>
      <c r="EP43" s="46" t="str">
        <f>EP12</f>
        <v>St. Louis</v>
      </c>
      <c r="EQ43" s="46" t="s">
        <v>234</v>
      </c>
      <c r="ER43" s="46" t="str">
        <f>EP18</f>
        <v>Vancouver</v>
      </c>
      <c r="ES43" s="46" t="str">
        <f>EP21</f>
        <v>Nashville</v>
      </c>
      <c r="ET43" s="46" t="str">
        <f>EP24</f>
        <v>Chicago</v>
      </c>
      <c r="EU43" s="46" t="str">
        <f>EP27</f>
        <v>Calgary</v>
      </c>
      <c r="EV43" s="46" t="s">
        <v>240</v>
      </c>
      <c r="EW43" s="47" t="s">
        <v>241</v>
      </c>
      <c r="EX43" s="6">
        <v>32</v>
      </c>
      <c r="EY43" s="7">
        <v>7</v>
      </c>
      <c r="EZ43" s="7">
        <v>27</v>
      </c>
      <c r="FA43" s="7">
        <v>6</v>
      </c>
      <c r="FB43" s="7">
        <v>6</v>
      </c>
      <c r="FC43" s="7">
        <v>6</v>
      </c>
      <c r="FD43" s="7">
        <v>6</v>
      </c>
      <c r="FE43" s="7">
        <v>7</v>
      </c>
      <c r="FF43" s="7">
        <v>7</v>
      </c>
      <c r="FG43" s="7">
        <v>26</v>
      </c>
      <c r="FH43" s="7">
        <v>16</v>
      </c>
      <c r="FI43" s="7">
        <v>7</v>
      </c>
      <c r="FJ43" s="7">
        <v>12</v>
      </c>
      <c r="FK43" s="7">
        <v>6</v>
      </c>
      <c r="FL43" s="7">
        <v>12</v>
      </c>
      <c r="FM43" s="7">
        <v>4</v>
      </c>
      <c r="FN43" s="9">
        <v>6</v>
      </c>
      <c r="FQ43" s="6">
        <v>33</v>
      </c>
      <c r="FR43" s="9">
        <v>7</v>
      </c>
      <c r="FU43" s="7">
        <v>41</v>
      </c>
      <c r="FV43" s="7" t="str">
        <v>Tampa Bay</v>
      </c>
    </row>
    <row r="44" spans="12:178" ht="15.75" thickBot="1" x14ac:dyDescent="0.3">
      <c r="L44" s="6">
        <v>17</v>
      </c>
      <c r="M44" s="7">
        <v>7</v>
      </c>
      <c r="N44" s="7">
        <v>7</v>
      </c>
      <c r="O44" s="7">
        <v>6</v>
      </c>
      <c r="P44" s="9">
        <v>4</v>
      </c>
      <c r="Q44" s="6">
        <v>17</v>
      </c>
      <c r="R44" s="7">
        <v>6</v>
      </c>
      <c r="S44" s="7">
        <v>6</v>
      </c>
      <c r="T44" s="7">
        <v>7</v>
      </c>
      <c r="U44" s="9">
        <v>5</v>
      </c>
      <c r="AR44" s="6">
        <v>41</v>
      </c>
      <c r="AS44" s="7" t="s">
        <v>229</v>
      </c>
      <c r="AT44" s="7" t="s">
        <v>230</v>
      </c>
      <c r="AU44" s="7" t="s">
        <v>243</v>
      </c>
      <c r="AV44" s="9" t="s">
        <v>242</v>
      </c>
      <c r="AW44" s="6">
        <v>41</v>
      </c>
      <c r="AX44" s="7" t="s">
        <v>235</v>
      </c>
      <c r="AY44" s="7" t="s">
        <v>239</v>
      </c>
      <c r="AZ44" s="7" t="s">
        <v>238</v>
      </c>
      <c r="BA44" s="9" t="s">
        <v>234</v>
      </c>
      <c r="BD44" s="6">
        <v>17</v>
      </c>
      <c r="BE44" s="7">
        <v>6</v>
      </c>
      <c r="BF44" s="9">
        <v>5</v>
      </c>
      <c r="BG44" s="6">
        <v>17</v>
      </c>
      <c r="BH44" s="7">
        <v>6</v>
      </c>
      <c r="BI44" s="9">
        <v>6</v>
      </c>
      <c r="CM44" s="6">
        <v>41</v>
      </c>
      <c r="CN44" s="7" t="s">
        <v>229</v>
      </c>
      <c r="CO44" s="9" t="s">
        <v>243</v>
      </c>
      <c r="CP44" s="6">
        <v>41</v>
      </c>
      <c r="CQ44" s="7" t="s">
        <v>241</v>
      </c>
      <c r="CR44" s="9" t="s">
        <v>238</v>
      </c>
      <c r="DT44" s="6">
        <v>17</v>
      </c>
      <c r="DU44" s="9">
        <v>7</v>
      </c>
      <c r="DV44" s="6">
        <v>17</v>
      </c>
      <c r="DW44" s="9">
        <v>6</v>
      </c>
      <c r="ED44" s="6">
        <v>41</v>
      </c>
      <c r="EE44" s="7" t="str">
        <v>Tampa Bay</v>
      </c>
      <c r="EF44" s="9" t="str">
        <v>Minnesota</v>
      </c>
      <c r="EG44" s="49" t="s">
        <v>310</v>
      </c>
      <c r="EH44" s="49">
        <f>EY112</f>
        <v>7</v>
      </c>
      <c r="EI44" s="49">
        <f t="shared" ref="EI44:EW44" ca="1" si="8">EZ112</f>
        <v>25.85</v>
      </c>
      <c r="EJ44" s="49">
        <f t="shared" si="8"/>
        <v>6</v>
      </c>
      <c r="EK44" s="49">
        <f t="shared" si="8"/>
        <v>6</v>
      </c>
      <c r="EL44" s="49">
        <f t="shared" si="8"/>
        <v>6</v>
      </c>
      <c r="EM44" s="49">
        <f t="shared" si="8"/>
        <v>6</v>
      </c>
      <c r="EN44" s="49">
        <f t="shared" si="8"/>
        <v>7</v>
      </c>
      <c r="EO44" s="49">
        <f t="shared" si="8"/>
        <v>7</v>
      </c>
      <c r="EP44" s="49">
        <f t="shared" si="8"/>
        <v>26</v>
      </c>
      <c r="EQ44" s="49">
        <f t="shared" si="8"/>
        <v>16</v>
      </c>
      <c r="ER44" s="49">
        <f t="shared" si="8"/>
        <v>7</v>
      </c>
      <c r="ES44" s="49">
        <f t="shared" si="8"/>
        <v>12</v>
      </c>
      <c r="ET44" s="49">
        <f t="shared" si="8"/>
        <v>6</v>
      </c>
      <c r="EU44" s="49">
        <f t="shared" si="8"/>
        <v>12</v>
      </c>
      <c r="EV44" s="49">
        <f t="shared" si="8"/>
        <v>4</v>
      </c>
      <c r="EW44" s="50">
        <f t="shared" si="8"/>
        <v>6</v>
      </c>
      <c r="EX44" s="6">
        <v>33</v>
      </c>
      <c r="EY44" s="7">
        <v>7</v>
      </c>
      <c r="EZ44" s="7">
        <v>25</v>
      </c>
      <c r="FA44" s="7">
        <v>6</v>
      </c>
      <c r="FB44" s="7">
        <v>6</v>
      </c>
      <c r="FC44" s="7">
        <v>6</v>
      </c>
      <c r="FD44" s="7">
        <v>6</v>
      </c>
      <c r="FE44" s="7">
        <v>7</v>
      </c>
      <c r="FF44" s="7">
        <v>7</v>
      </c>
      <c r="FG44" s="7">
        <v>26</v>
      </c>
      <c r="FH44" s="7">
        <v>16</v>
      </c>
      <c r="FI44" s="7">
        <v>7</v>
      </c>
      <c r="FJ44" s="7">
        <v>12</v>
      </c>
      <c r="FK44" s="7">
        <v>6</v>
      </c>
      <c r="FL44" s="7">
        <v>12</v>
      </c>
      <c r="FM44" s="7">
        <v>4</v>
      </c>
      <c r="FN44" s="9">
        <v>6</v>
      </c>
      <c r="FQ44" s="6">
        <v>34</v>
      </c>
      <c r="FR44" s="9">
        <v>5</v>
      </c>
      <c r="FU44" s="7">
        <v>42</v>
      </c>
      <c r="FV44" s="7" t="str">
        <v>Tampa Bay</v>
      </c>
    </row>
    <row r="45" spans="12:178" x14ac:dyDescent="0.25">
      <c r="L45" s="6">
        <v>18</v>
      </c>
      <c r="M45" s="7">
        <v>6</v>
      </c>
      <c r="N45" s="7">
        <v>6</v>
      </c>
      <c r="O45" s="7">
        <v>7</v>
      </c>
      <c r="P45" s="9">
        <v>6</v>
      </c>
      <c r="Q45" s="6">
        <v>18</v>
      </c>
      <c r="R45" s="7">
        <v>7</v>
      </c>
      <c r="S45" s="7">
        <v>6</v>
      </c>
      <c r="T45" s="7">
        <v>5</v>
      </c>
      <c r="U45" s="9">
        <v>4</v>
      </c>
      <c r="AR45" s="6">
        <v>42</v>
      </c>
      <c r="AS45" s="7" t="s">
        <v>229</v>
      </c>
      <c r="AT45" s="7" t="s">
        <v>236</v>
      </c>
      <c r="AU45" s="7" t="s">
        <v>243</v>
      </c>
      <c r="AV45" s="9" t="s">
        <v>242</v>
      </c>
      <c r="AW45" s="6">
        <v>42</v>
      </c>
      <c r="AX45" s="7" t="s">
        <v>235</v>
      </c>
      <c r="AY45" s="7" t="s">
        <v>233</v>
      </c>
      <c r="AZ45" s="7" t="s">
        <v>237</v>
      </c>
      <c r="BA45" s="9" t="s">
        <v>240</v>
      </c>
      <c r="BD45" s="6">
        <v>18</v>
      </c>
      <c r="BE45" s="7">
        <v>5</v>
      </c>
      <c r="BF45" s="9">
        <v>7</v>
      </c>
      <c r="BG45" s="6">
        <v>18</v>
      </c>
      <c r="BH45" s="7">
        <v>4</v>
      </c>
      <c r="BI45" s="9">
        <v>5</v>
      </c>
      <c r="CM45" s="6">
        <v>42</v>
      </c>
      <c r="CN45" s="7" t="s">
        <v>230</v>
      </c>
      <c r="CO45" s="9" t="s">
        <v>243</v>
      </c>
      <c r="CP45" s="6">
        <v>42</v>
      </c>
      <c r="CQ45" s="7" t="s">
        <v>235</v>
      </c>
      <c r="CR45" s="9" t="s">
        <v>234</v>
      </c>
      <c r="DT45" s="6">
        <v>18</v>
      </c>
      <c r="DU45" s="9">
        <v>5</v>
      </c>
      <c r="DV45" s="6">
        <v>18</v>
      </c>
      <c r="DW45" s="9">
        <v>4</v>
      </c>
      <c r="ED45" s="6">
        <v>42</v>
      </c>
      <c r="EE45" s="7" t="str">
        <v>Tampa Bay</v>
      </c>
      <c r="EF45" s="9" t="str">
        <v>Minnesota</v>
      </c>
      <c r="EX45" s="6">
        <v>34</v>
      </c>
      <c r="EY45" s="7">
        <v>7</v>
      </c>
      <c r="EZ45" s="7">
        <v>27</v>
      </c>
      <c r="FA45" s="7">
        <v>6</v>
      </c>
      <c r="FB45" s="7">
        <v>6</v>
      </c>
      <c r="FC45" s="7">
        <v>6</v>
      </c>
      <c r="FD45" s="7">
        <v>6</v>
      </c>
      <c r="FE45" s="7">
        <v>7</v>
      </c>
      <c r="FF45" s="7">
        <v>7</v>
      </c>
      <c r="FG45" s="7">
        <v>26</v>
      </c>
      <c r="FH45" s="7">
        <v>16</v>
      </c>
      <c r="FI45" s="7">
        <v>7</v>
      </c>
      <c r="FJ45" s="7">
        <v>12</v>
      </c>
      <c r="FK45" s="7">
        <v>6</v>
      </c>
      <c r="FL45" s="7">
        <v>12</v>
      </c>
      <c r="FM45" s="7">
        <v>4</v>
      </c>
      <c r="FN45" s="9">
        <v>6</v>
      </c>
      <c r="FQ45" s="6">
        <v>35</v>
      </c>
      <c r="FR45" s="9">
        <v>4</v>
      </c>
      <c r="FU45" s="7">
        <v>43</v>
      </c>
      <c r="FV45" s="7" t="str">
        <v>Minnesota</v>
      </c>
    </row>
    <row r="46" spans="12:178" x14ac:dyDescent="0.25">
      <c r="L46" s="6">
        <v>19</v>
      </c>
      <c r="M46" s="7">
        <v>4</v>
      </c>
      <c r="N46" s="7">
        <v>6</v>
      </c>
      <c r="O46" s="7">
        <v>7</v>
      </c>
      <c r="P46" s="9">
        <v>5</v>
      </c>
      <c r="Q46" s="6">
        <v>19</v>
      </c>
      <c r="R46" s="7">
        <v>6</v>
      </c>
      <c r="S46" s="7">
        <v>6</v>
      </c>
      <c r="T46" s="7">
        <v>6</v>
      </c>
      <c r="U46" s="9">
        <v>6</v>
      </c>
      <c r="AR46" s="6">
        <v>43</v>
      </c>
      <c r="AS46" s="7" t="s">
        <v>317</v>
      </c>
      <c r="AT46" s="7" t="s">
        <v>230</v>
      </c>
      <c r="AU46" s="7" t="s">
        <v>243</v>
      </c>
      <c r="AV46" s="9" t="s">
        <v>242</v>
      </c>
      <c r="AW46" s="6">
        <v>43</v>
      </c>
      <c r="AX46" s="7" t="s">
        <v>235</v>
      </c>
      <c r="AY46" s="7" t="s">
        <v>233</v>
      </c>
      <c r="AZ46" s="7" t="s">
        <v>238</v>
      </c>
      <c r="BA46" s="9" t="s">
        <v>234</v>
      </c>
      <c r="BD46" s="6">
        <v>19</v>
      </c>
      <c r="BE46" s="7">
        <v>6</v>
      </c>
      <c r="BF46" s="9">
        <v>7</v>
      </c>
      <c r="BG46" s="6">
        <v>19</v>
      </c>
      <c r="BH46" s="7">
        <v>5</v>
      </c>
      <c r="BI46" s="9">
        <v>6</v>
      </c>
      <c r="CM46" s="6">
        <v>43</v>
      </c>
      <c r="CN46" s="7" t="s">
        <v>230</v>
      </c>
      <c r="CO46" s="9" t="s">
        <v>243</v>
      </c>
      <c r="CP46" s="6">
        <v>43</v>
      </c>
      <c r="CQ46" s="7" t="s">
        <v>239</v>
      </c>
      <c r="CR46" s="9" t="s">
        <v>238</v>
      </c>
      <c r="DT46" s="6">
        <v>19</v>
      </c>
      <c r="DU46" s="9">
        <v>5</v>
      </c>
      <c r="DV46" s="6">
        <v>19</v>
      </c>
      <c r="DW46" s="9">
        <v>7</v>
      </c>
      <c r="ED46" s="6">
        <v>43</v>
      </c>
      <c r="EE46" s="7" t="str">
        <v>Tampa Bay</v>
      </c>
      <c r="EF46" s="9" t="str">
        <v>Minnesota</v>
      </c>
      <c r="EH46" s="7" t="s">
        <v>206</v>
      </c>
      <c r="EI46" s="7">
        <f>EH44</f>
        <v>7</v>
      </c>
      <c r="EX46" s="6">
        <v>35</v>
      </c>
      <c r="EY46" s="7">
        <v>7</v>
      </c>
      <c r="EZ46" s="7">
        <v>27</v>
      </c>
      <c r="FA46" s="7">
        <v>6</v>
      </c>
      <c r="FB46" s="7">
        <v>6</v>
      </c>
      <c r="FC46" s="7">
        <v>6</v>
      </c>
      <c r="FD46" s="7">
        <v>6</v>
      </c>
      <c r="FE46" s="7">
        <v>7</v>
      </c>
      <c r="FF46" s="7">
        <v>7</v>
      </c>
      <c r="FG46" s="7">
        <v>26</v>
      </c>
      <c r="FH46" s="7">
        <v>16</v>
      </c>
      <c r="FI46" s="7">
        <v>7</v>
      </c>
      <c r="FJ46" s="7">
        <v>12</v>
      </c>
      <c r="FK46" s="7">
        <v>6</v>
      </c>
      <c r="FL46" s="7">
        <v>12</v>
      </c>
      <c r="FM46" s="7">
        <v>4</v>
      </c>
      <c r="FN46" s="9">
        <v>6</v>
      </c>
      <c r="FQ46" s="6">
        <v>36</v>
      </c>
      <c r="FR46" s="9">
        <v>7</v>
      </c>
      <c r="FU46" s="7">
        <v>44</v>
      </c>
      <c r="FV46" s="7" t="str">
        <v>Tampa Bay</v>
      </c>
    </row>
    <row r="47" spans="12:178" x14ac:dyDescent="0.25">
      <c r="L47" s="6">
        <v>20</v>
      </c>
      <c r="M47" s="7">
        <v>7</v>
      </c>
      <c r="N47" s="7">
        <v>6</v>
      </c>
      <c r="O47" s="7">
        <v>4</v>
      </c>
      <c r="P47" s="9">
        <v>4</v>
      </c>
      <c r="Q47" s="6">
        <v>20</v>
      </c>
      <c r="R47" s="7">
        <v>6</v>
      </c>
      <c r="S47" s="7">
        <v>6</v>
      </c>
      <c r="T47" s="7">
        <v>7</v>
      </c>
      <c r="U47" s="9">
        <v>4</v>
      </c>
      <c r="AR47" s="6">
        <v>44</v>
      </c>
      <c r="AS47" s="7" t="s">
        <v>317</v>
      </c>
      <c r="AT47" s="7" t="s">
        <v>236</v>
      </c>
      <c r="AU47" s="7" t="s">
        <v>232</v>
      </c>
      <c r="AV47" s="9" t="s">
        <v>231</v>
      </c>
      <c r="AW47" s="6">
        <v>44</v>
      </c>
      <c r="AX47" s="7" t="s">
        <v>235</v>
      </c>
      <c r="AY47" s="7" t="s">
        <v>239</v>
      </c>
      <c r="AZ47" s="7" t="s">
        <v>238</v>
      </c>
      <c r="BA47" s="9" t="s">
        <v>234</v>
      </c>
      <c r="BD47" s="6">
        <v>20</v>
      </c>
      <c r="BE47" s="7">
        <v>6</v>
      </c>
      <c r="BF47" s="9">
        <v>7</v>
      </c>
      <c r="BG47" s="6">
        <v>20</v>
      </c>
      <c r="BH47" s="7">
        <v>6</v>
      </c>
      <c r="BI47" s="9">
        <v>6</v>
      </c>
      <c r="CM47" s="6">
        <v>44</v>
      </c>
      <c r="CN47" s="7" t="s">
        <v>236</v>
      </c>
      <c r="CO47" s="9" t="s">
        <v>243</v>
      </c>
      <c r="CP47" s="6">
        <v>44</v>
      </c>
      <c r="CQ47" s="7" t="s">
        <v>239</v>
      </c>
      <c r="CR47" s="9" t="s">
        <v>234</v>
      </c>
      <c r="DT47" s="6">
        <v>20</v>
      </c>
      <c r="DU47" s="9">
        <v>5</v>
      </c>
      <c r="DV47" s="6">
        <v>20</v>
      </c>
      <c r="DW47" s="9">
        <v>5</v>
      </c>
      <c r="ED47" s="6">
        <v>44</v>
      </c>
      <c r="EE47" s="7" t="str">
        <v>Tampa Bay</v>
      </c>
      <c r="EF47" s="9" t="str">
        <v>Minnesota</v>
      </c>
      <c r="EH47" s="7" t="s">
        <v>202</v>
      </c>
      <c r="EI47" s="7">
        <f ca="1">EI44</f>
        <v>25.85</v>
      </c>
      <c r="EX47" s="6">
        <v>36</v>
      </c>
      <c r="EY47" s="7">
        <v>7</v>
      </c>
      <c r="EZ47" s="7">
        <v>27</v>
      </c>
      <c r="FA47" s="7">
        <v>6</v>
      </c>
      <c r="FB47" s="7">
        <v>6</v>
      </c>
      <c r="FC47" s="7">
        <v>6</v>
      </c>
      <c r="FD47" s="7">
        <v>6</v>
      </c>
      <c r="FE47" s="7">
        <v>7</v>
      </c>
      <c r="FF47" s="7">
        <v>7</v>
      </c>
      <c r="FG47" s="7">
        <v>26</v>
      </c>
      <c r="FH47" s="7">
        <v>16</v>
      </c>
      <c r="FI47" s="7">
        <v>7</v>
      </c>
      <c r="FJ47" s="7">
        <v>12</v>
      </c>
      <c r="FK47" s="7">
        <v>6</v>
      </c>
      <c r="FL47" s="7">
        <v>12</v>
      </c>
      <c r="FM47" s="7">
        <v>4</v>
      </c>
      <c r="FN47" s="9">
        <v>6</v>
      </c>
      <c r="FQ47" s="6">
        <v>37</v>
      </c>
      <c r="FR47" s="9">
        <v>6</v>
      </c>
      <c r="FU47" s="7">
        <v>45</v>
      </c>
      <c r="FV47" s="7" t="str">
        <v>Minnesota</v>
      </c>
    </row>
    <row r="48" spans="12:178" x14ac:dyDescent="0.25">
      <c r="L48" s="6">
        <v>21</v>
      </c>
      <c r="M48" s="7">
        <v>7</v>
      </c>
      <c r="N48" s="7">
        <v>5</v>
      </c>
      <c r="O48" s="7">
        <v>6</v>
      </c>
      <c r="P48" s="9">
        <v>7</v>
      </c>
      <c r="Q48" s="6">
        <v>21</v>
      </c>
      <c r="R48" s="7">
        <v>7</v>
      </c>
      <c r="S48" s="7">
        <v>7</v>
      </c>
      <c r="T48" s="7">
        <v>7</v>
      </c>
      <c r="U48" s="9">
        <v>5</v>
      </c>
      <c r="AR48" s="6">
        <v>45</v>
      </c>
      <c r="AS48" s="7" t="s">
        <v>229</v>
      </c>
      <c r="AT48" s="7" t="s">
        <v>230</v>
      </c>
      <c r="AU48" s="7" t="s">
        <v>232</v>
      </c>
      <c r="AV48" s="9" t="s">
        <v>231</v>
      </c>
      <c r="AW48" s="6">
        <v>45</v>
      </c>
      <c r="AX48" s="7" t="s">
        <v>241</v>
      </c>
      <c r="AY48" s="7" t="s">
        <v>239</v>
      </c>
      <c r="AZ48" s="7" t="s">
        <v>238</v>
      </c>
      <c r="BA48" s="9" t="s">
        <v>234</v>
      </c>
      <c r="BD48" s="6">
        <v>21</v>
      </c>
      <c r="BE48" s="7">
        <v>4</v>
      </c>
      <c r="BF48" s="9">
        <v>7</v>
      </c>
      <c r="BG48" s="6">
        <v>21</v>
      </c>
      <c r="BH48" s="7">
        <v>7</v>
      </c>
      <c r="BI48" s="9">
        <v>7</v>
      </c>
      <c r="CM48" s="6">
        <v>45</v>
      </c>
      <c r="CN48" s="7" t="s">
        <v>229</v>
      </c>
      <c r="CO48" s="9" t="s">
        <v>232</v>
      </c>
      <c r="CP48" s="6">
        <v>45</v>
      </c>
      <c r="CQ48" s="7" t="s">
        <v>239</v>
      </c>
      <c r="CR48" s="9" t="s">
        <v>240</v>
      </c>
      <c r="DT48" s="6">
        <v>21</v>
      </c>
      <c r="DU48" s="9">
        <v>7</v>
      </c>
      <c r="DV48" s="6">
        <v>21</v>
      </c>
      <c r="DW48" s="9">
        <v>5</v>
      </c>
      <c r="ED48" s="6">
        <v>45</v>
      </c>
      <c r="EE48" s="7" t="str">
        <v>Tampa Bay</v>
      </c>
      <c r="EF48" s="9" t="str">
        <v>Minnesota</v>
      </c>
      <c r="EH48" s="7" t="s">
        <v>200</v>
      </c>
      <c r="EI48" s="7">
        <f>EJ44</f>
        <v>6</v>
      </c>
      <c r="EX48" s="6">
        <v>37</v>
      </c>
      <c r="EY48" s="7">
        <v>7</v>
      </c>
      <c r="EZ48" s="7">
        <v>26</v>
      </c>
      <c r="FA48" s="7">
        <v>6</v>
      </c>
      <c r="FB48" s="7">
        <v>6</v>
      </c>
      <c r="FC48" s="7">
        <v>6</v>
      </c>
      <c r="FD48" s="7">
        <v>6</v>
      </c>
      <c r="FE48" s="7">
        <v>7</v>
      </c>
      <c r="FF48" s="7">
        <v>7</v>
      </c>
      <c r="FG48" s="7">
        <v>26</v>
      </c>
      <c r="FH48" s="7">
        <v>16</v>
      </c>
      <c r="FI48" s="7">
        <v>7</v>
      </c>
      <c r="FJ48" s="7">
        <v>12</v>
      </c>
      <c r="FK48" s="7">
        <v>6</v>
      </c>
      <c r="FL48" s="7">
        <v>12</v>
      </c>
      <c r="FM48" s="7">
        <v>4</v>
      </c>
      <c r="FN48" s="9">
        <v>6</v>
      </c>
      <c r="FQ48" s="6">
        <v>38</v>
      </c>
      <c r="FR48" s="9">
        <v>4</v>
      </c>
      <c r="FU48" s="7">
        <v>46</v>
      </c>
      <c r="FV48" s="7" t="str">
        <v>Minnesota</v>
      </c>
    </row>
    <row r="49" spans="12:178" x14ac:dyDescent="0.25">
      <c r="L49" s="6">
        <v>22</v>
      </c>
      <c r="M49" s="7">
        <v>7</v>
      </c>
      <c r="N49" s="7">
        <v>7</v>
      </c>
      <c r="O49" s="7">
        <v>7</v>
      </c>
      <c r="P49" s="9">
        <v>7</v>
      </c>
      <c r="Q49" s="6">
        <v>22</v>
      </c>
      <c r="R49" s="7">
        <v>7</v>
      </c>
      <c r="S49" s="7">
        <v>7</v>
      </c>
      <c r="T49" s="7">
        <v>6</v>
      </c>
      <c r="U49" s="9">
        <v>6</v>
      </c>
      <c r="AR49" s="6">
        <v>46</v>
      </c>
      <c r="AS49" s="7" t="s">
        <v>317</v>
      </c>
      <c r="AT49" s="7" t="s">
        <v>236</v>
      </c>
      <c r="AU49" s="7" t="s">
        <v>243</v>
      </c>
      <c r="AV49" s="9" t="s">
        <v>242</v>
      </c>
      <c r="AW49" s="6">
        <v>46</v>
      </c>
      <c r="AX49" s="7" t="s">
        <v>235</v>
      </c>
      <c r="AY49" s="7" t="s">
        <v>233</v>
      </c>
      <c r="AZ49" s="7" t="s">
        <v>237</v>
      </c>
      <c r="BA49" s="9" t="s">
        <v>240</v>
      </c>
      <c r="BD49" s="6">
        <v>22</v>
      </c>
      <c r="BE49" s="7">
        <v>6</v>
      </c>
      <c r="BF49" s="9">
        <v>7</v>
      </c>
      <c r="BG49" s="6">
        <v>22</v>
      </c>
      <c r="BH49" s="7">
        <v>7</v>
      </c>
      <c r="BI49" s="9">
        <v>7</v>
      </c>
      <c r="CM49" s="6">
        <v>46</v>
      </c>
      <c r="CN49" s="7" t="s">
        <v>229</v>
      </c>
      <c r="CO49" s="9" t="s">
        <v>243</v>
      </c>
      <c r="CP49" s="6">
        <v>46</v>
      </c>
      <c r="CQ49" s="7" t="s">
        <v>239</v>
      </c>
      <c r="CR49" s="9" t="s">
        <v>234</v>
      </c>
      <c r="DT49" s="6">
        <v>22</v>
      </c>
      <c r="DU49" s="9">
        <v>7</v>
      </c>
      <c r="DV49" s="6">
        <v>22</v>
      </c>
      <c r="DW49" s="9">
        <v>7</v>
      </c>
      <c r="ED49" s="6">
        <v>46</v>
      </c>
      <c r="EE49" s="7" t="str">
        <v>Tampa Bay</v>
      </c>
      <c r="EF49" s="9" t="str">
        <v>Minnesota</v>
      </c>
      <c r="EH49" s="7" t="s">
        <v>197</v>
      </c>
      <c r="EI49" s="7">
        <f>EK44</f>
        <v>6</v>
      </c>
      <c r="EX49" s="6">
        <v>38</v>
      </c>
      <c r="EY49" s="7">
        <v>7</v>
      </c>
      <c r="EZ49" s="7">
        <v>27</v>
      </c>
      <c r="FA49" s="7">
        <v>6</v>
      </c>
      <c r="FB49" s="7">
        <v>6</v>
      </c>
      <c r="FC49" s="7">
        <v>6</v>
      </c>
      <c r="FD49" s="7">
        <v>6</v>
      </c>
      <c r="FE49" s="7">
        <v>7</v>
      </c>
      <c r="FF49" s="7">
        <v>7</v>
      </c>
      <c r="FG49" s="7">
        <v>26</v>
      </c>
      <c r="FH49" s="7">
        <v>16</v>
      </c>
      <c r="FI49" s="7">
        <v>7</v>
      </c>
      <c r="FJ49" s="7">
        <v>12</v>
      </c>
      <c r="FK49" s="7">
        <v>6</v>
      </c>
      <c r="FL49" s="7">
        <v>12</v>
      </c>
      <c r="FM49" s="7">
        <v>4</v>
      </c>
      <c r="FN49" s="9">
        <v>6</v>
      </c>
      <c r="FQ49" s="6">
        <v>39</v>
      </c>
      <c r="FR49" s="9">
        <v>7</v>
      </c>
      <c r="FU49" s="7">
        <v>47</v>
      </c>
      <c r="FV49" s="7" t="str">
        <v>Minnesota</v>
      </c>
    </row>
    <row r="50" spans="12:178" x14ac:dyDescent="0.25">
      <c r="L50" s="6">
        <v>23</v>
      </c>
      <c r="M50" s="7">
        <v>4</v>
      </c>
      <c r="N50" s="7">
        <v>6</v>
      </c>
      <c r="O50" s="7">
        <v>7</v>
      </c>
      <c r="P50" s="9">
        <v>4</v>
      </c>
      <c r="Q50" s="6">
        <v>23</v>
      </c>
      <c r="R50" s="7">
        <v>7</v>
      </c>
      <c r="S50" s="7">
        <v>7</v>
      </c>
      <c r="T50" s="7">
        <v>4</v>
      </c>
      <c r="U50" s="9">
        <v>6</v>
      </c>
      <c r="AR50" s="6">
        <v>47</v>
      </c>
      <c r="AS50" s="7" t="s">
        <v>317</v>
      </c>
      <c r="AT50" s="7" t="s">
        <v>236</v>
      </c>
      <c r="AU50" s="7" t="s">
        <v>243</v>
      </c>
      <c r="AV50" s="9" t="s">
        <v>242</v>
      </c>
      <c r="AW50" s="6">
        <v>47</v>
      </c>
      <c r="AX50" s="7" t="s">
        <v>241</v>
      </c>
      <c r="AY50" s="7" t="s">
        <v>239</v>
      </c>
      <c r="AZ50" s="7" t="s">
        <v>238</v>
      </c>
      <c r="BA50" s="9" t="s">
        <v>240</v>
      </c>
      <c r="BD50" s="6">
        <v>23</v>
      </c>
      <c r="BE50" s="7">
        <v>7</v>
      </c>
      <c r="BF50" s="9">
        <v>5</v>
      </c>
      <c r="BG50" s="6">
        <v>23</v>
      </c>
      <c r="BH50" s="7">
        <v>6</v>
      </c>
      <c r="BI50" s="9">
        <v>7</v>
      </c>
      <c r="CM50" s="6">
        <v>47</v>
      </c>
      <c r="CN50" s="7" t="s">
        <v>317</v>
      </c>
      <c r="CO50" s="9" t="s">
        <v>242</v>
      </c>
      <c r="CP50" s="6">
        <v>47</v>
      </c>
      <c r="CQ50" s="7" t="s">
        <v>235</v>
      </c>
      <c r="CR50" s="9" t="s">
        <v>238</v>
      </c>
      <c r="DT50" s="6">
        <v>23</v>
      </c>
      <c r="DU50" s="9">
        <v>7</v>
      </c>
      <c r="DV50" s="6">
        <v>23</v>
      </c>
      <c r="DW50" s="9">
        <v>6</v>
      </c>
      <c r="ED50" s="6">
        <v>47</v>
      </c>
      <c r="EE50" s="7" t="str">
        <v>Tampa Bay</v>
      </c>
      <c r="EF50" s="9" t="str">
        <v>Minnesota</v>
      </c>
      <c r="EH50" s="7" t="s">
        <v>195</v>
      </c>
      <c r="EI50" s="7">
        <f>EL44</f>
        <v>6</v>
      </c>
      <c r="EX50" s="6">
        <v>39</v>
      </c>
      <c r="EY50" s="7">
        <v>7</v>
      </c>
      <c r="EZ50" s="7">
        <v>27</v>
      </c>
      <c r="FA50" s="7">
        <v>6</v>
      </c>
      <c r="FB50" s="7">
        <v>6</v>
      </c>
      <c r="FC50" s="7">
        <v>6</v>
      </c>
      <c r="FD50" s="7">
        <v>6</v>
      </c>
      <c r="FE50" s="7">
        <v>7</v>
      </c>
      <c r="FF50" s="7">
        <v>7</v>
      </c>
      <c r="FG50" s="7">
        <v>26</v>
      </c>
      <c r="FH50" s="7">
        <v>16</v>
      </c>
      <c r="FI50" s="7">
        <v>7</v>
      </c>
      <c r="FJ50" s="7">
        <v>12</v>
      </c>
      <c r="FK50" s="7">
        <v>6</v>
      </c>
      <c r="FL50" s="7">
        <v>12</v>
      </c>
      <c r="FM50" s="7">
        <v>4</v>
      </c>
      <c r="FN50" s="9">
        <v>6</v>
      </c>
      <c r="FQ50" s="6">
        <v>40</v>
      </c>
      <c r="FR50" s="9">
        <v>6</v>
      </c>
      <c r="FU50" s="7">
        <v>48</v>
      </c>
      <c r="FV50" s="7" t="str">
        <v>Tampa Bay</v>
      </c>
    </row>
    <row r="51" spans="12:178" x14ac:dyDescent="0.25">
      <c r="L51" s="6">
        <v>24</v>
      </c>
      <c r="M51" s="7">
        <v>7</v>
      </c>
      <c r="N51" s="7">
        <v>6</v>
      </c>
      <c r="O51" s="7">
        <v>5</v>
      </c>
      <c r="P51" s="9">
        <v>7</v>
      </c>
      <c r="Q51" s="6">
        <v>24</v>
      </c>
      <c r="R51" s="7">
        <v>5</v>
      </c>
      <c r="S51" s="7">
        <v>7</v>
      </c>
      <c r="T51" s="7">
        <v>7</v>
      </c>
      <c r="U51" s="9">
        <v>6</v>
      </c>
      <c r="AR51" s="6">
        <v>48</v>
      </c>
      <c r="AS51" s="7" t="s">
        <v>317</v>
      </c>
      <c r="AT51" s="7" t="s">
        <v>230</v>
      </c>
      <c r="AU51" s="7" t="s">
        <v>243</v>
      </c>
      <c r="AV51" s="9" t="s">
        <v>242</v>
      </c>
      <c r="AW51" s="6">
        <v>48</v>
      </c>
      <c r="AX51" s="7" t="s">
        <v>241</v>
      </c>
      <c r="AY51" s="7" t="s">
        <v>239</v>
      </c>
      <c r="AZ51" s="7" t="s">
        <v>238</v>
      </c>
      <c r="BA51" s="9" t="s">
        <v>234</v>
      </c>
      <c r="BD51" s="6">
        <v>24</v>
      </c>
      <c r="BE51" s="7">
        <v>7</v>
      </c>
      <c r="BF51" s="9">
        <v>6</v>
      </c>
      <c r="BG51" s="6">
        <v>24</v>
      </c>
      <c r="BH51" s="7">
        <v>6</v>
      </c>
      <c r="BI51" s="9">
        <v>4</v>
      </c>
      <c r="CM51" s="6">
        <v>48</v>
      </c>
      <c r="CN51" s="7" t="s">
        <v>317</v>
      </c>
      <c r="CO51" s="9" t="s">
        <v>242</v>
      </c>
      <c r="CP51" s="6">
        <v>48</v>
      </c>
      <c r="CQ51" s="7" t="s">
        <v>239</v>
      </c>
      <c r="CR51" s="9" t="s">
        <v>234</v>
      </c>
      <c r="DT51" s="6">
        <v>24</v>
      </c>
      <c r="DU51" s="9">
        <v>6</v>
      </c>
      <c r="DV51" s="6">
        <v>24</v>
      </c>
      <c r="DW51" s="9">
        <v>7</v>
      </c>
      <c r="ED51" s="6">
        <v>48</v>
      </c>
      <c r="EE51" s="7" t="str">
        <v>Tampa Bay</v>
      </c>
      <c r="EF51" s="9" t="str">
        <v>Minnesota</v>
      </c>
      <c r="EH51" s="7" t="s">
        <v>208</v>
      </c>
      <c r="EI51" s="7">
        <f>EM44</f>
        <v>6</v>
      </c>
      <c r="EX51" s="6">
        <v>40</v>
      </c>
      <c r="EY51" s="7">
        <v>7</v>
      </c>
      <c r="EZ51" s="7">
        <v>25</v>
      </c>
      <c r="FA51" s="7">
        <v>6</v>
      </c>
      <c r="FB51" s="7">
        <v>6</v>
      </c>
      <c r="FC51" s="7">
        <v>6</v>
      </c>
      <c r="FD51" s="7">
        <v>6</v>
      </c>
      <c r="FE51" s="7">
        <v>7</v>
      </c>
      <c r="FF51" s="7">
        <v>7</v>
      </c>
      <c r="FG51" s="7">
        <v>26</v>
      </c>
      <c r="FH51" s="7">
        <v>16</v>
      </c>
      <c r="FI51" s="7">
        <v>7</v>
      </c>
      <c r="FJ51" s="7">
        <v>12</v>
      </c>
      <c r="FK51" s="7">
        <v>6</v>
      </c>
      <c r="FL51" s="7">
        <v>12</v>
      </c>
      <c r="FM51" s="7">
        <v>4</v>
      </c>
      <c r="FN51" s="9">
        <v>6</v>
      </c>
      <c r="FQ51" s="6">
        <v>41</v>
      </c>
      <c r="FR51" s="9">
        <v>7</v>
      </c>
      <c r="FU51" s="7">
        <v>49</v>
      </c>
      <c r="FV51" s="7" t="str">
        <v>Minnesota</v>
      </c>
    </row>
    <row r="52" spans="12:178" x14ac:dyDescent="0.25">
      <c r="L52" s="6">
        <v>25</v>
      </c>
      <c r="M52" s="7">
        <v>6</v>
      </c>
      <c r="N52" s="7">
        <v>7</v>
      </c>
      <c r="O52" s="7">
        <v>7</v>
      </c>
      <c r="P52" s="9">
        <v>5</v>
      </c>
      <c r="Q52" s="6">
        <v>25</v>
      </c>
      <c r="R52" s="7">
        <v>7</v>
      </c>
      <c r="S52" s="7">
        <v>6</v>
      </c>
      <c r="T52" s="7">
        <v>7</v>
      </c>
      <c r="U52" s="9">
        <v>5</v>
      </c>
      <c r="AR52" s="6">
        <v>49</v>
      </c>
      <c r="AS52" s="7" t="s">
        <v>317</v>
      </c>
      <c r="AT52" s="7" t="s">
        <v>230</v>
      </c>
      <c r="AU52" s="7" t="s">
        <v>232</v>
      </c>
      <c r="AV52" s="9" t="s">
        <v>242</v>
      </c>
      <c r="AW52" s="6">
        <v>49</v>
      </c>
      <c r="AX52" s="7" t="s">
        <v>235</v>
      </c>
      <c r="AY52" s="7" t="s">
        <v>239</v>
      </c>
      <c r="AZ52" s="7" t="s">
        <v>238</v>
      </c>
      <c r="BA52" s="9" t="s">
        <v>234</v>
      </c>
      <c r="BD52" s="6">
        <v>25</v>
      </c>
      <c r="BE52" s="7">
        <v>7</v>
      </c>
      <c r="BF52" s="9">
        <v>7</v>
      </c>
      <c r="BG52" s="6">
        <v>25</v>
      </c>
      <c r="BH52" s="7">
        <v>5</v>
      </c>
      <c r="BI52" s="9">
        <v>5</v>
      </c>
      <c r="CM52" s="6">
        <v>49</v>
      </c>
      <c r="CN52" s="7" t="s">
        <v>229</v>
      </c>
      <c r="CO52" s="9" t="s">
        <v>232</v>
      </c>
      <c r="CP52" s="6">
        <v>49</v>
      </c>
      <c r="CQ52" s="7" t="s">
        <v>235</v>
      </c>
      <c r="CR52" s="9" t="s">
        <v>238</v>
      </c>
      <c r="DT52" s="6">
        <v>25</v>
      </c>
      <c r="DU52" s="9">
        <v>4</v>
      </c>
      <c r="DV52" s="6">
        <v>25</v>
      </c>
      <c r="DW52" s="9">
        <v>5</v>
      </c>
      <c r="ED52" s="6">
        <v>49</v>
      </c>
      <c r="EE52" s="7" t="str">
        <v>Tampa Bay</v>
      </c>
      <c r="EF52" s="9" t="str">
        <v>Minnesota</v>
      </c>
      <c r="EH52" s="7" t="s">
        <v>196</v>
      </c>
      <c r="EI52" s="7">
        <f>EN44</f>
        <v>7</v>
      </c>
      <c r="EX52" s="6">
        <v>41</v>
      </c>
      <c r="EY52" s="7">
        <v>7</v>
      </c>
      <c r="EZ52" s="7">
        <v>27</v>
      </c>
      <c r="FA52" s="7">
        <v>6</v>
      </c>
      <c r="FB52" s="7">
        <v>6</v>
      </c>
      <c r="FC52" s="7">
        <v>6</v>
      </c>
      <c r="FD52" s="7">
        <v>6</v>
      </c>
      <c r="FE52" s="7">
        <v>7</v>
      </c>
      <c r="FF52" s="7">
        <v>7</v>
      </c>
      <c r="FG52" s="7">
        <v>26</v>
      </c>
      <c r="FH52" s="7">
        <v>16</v>
      </c>
      <c r="FI52" s="7">
        <v>7</v>
      </c>
      <c r="FJ52" s="7">
        <v>12</v>
      </c>
      <c r="FK52" s="7">
        <v>6</v>
      </c>
      <c r="FL52" s="7">
        <v>12</v>
      </c>
      <c r="FM52" s="7">
        <v>4</v>
      </c>
      <c r="FN52" s="9">
        <v>6</v>
      </c>
      <c r="FQ52" s="6">
        <v>42</v>
      </c>
      <c r="FR52" s="9">
        <v>4</v>
      </c>
      <c r="FU52" s="7">
        <v>50</v>
      </c>
      <c r="FV52" s="7" t="str">
        <v>Tampa Bay</v>
      </c>
    </row>
    <row r="53" spans="12:178" x14ac:dyDescent="0.25">
      <c r="L53" s="6">
        <v>26</v>
      </c>
      <c r="M53" s="7">
        <v>6</v>
      </c>
      <c r="N53" s="7">
        <v>6</v>
      </c>
      <c r="O53" s="7">
        <v>6</v>
      </c>
      <c r="P53" s="9">
        <v>4</v>
      </c>
      <c r="Q53" s="6">
        <v>26</v>
      </c>
      <c r="R53" s="7">
        <v>5</v>
      </c>
      <c r="S53" s="7">
        <v>6</v>
      </c>
      <c r="T53" s="7">
        <v>4</v>
      </c>
      <c r="U53" s="9">
        <v>5</v>
      </c>
      <c r="AR53" s="6">
        <v>50</v>
      </c>
      <c r="AS53" s="7" t="s">
        <v>229</v>
      </c>
      <c r="AT53" s="7" t="s">
        <v>230</v>
      </c>
      <c r="AU53" s="7" t="s">
        <v>243</v>
      </c>
      <c r="AV53" s="9" t="s">
        <v>242</v>
      </c>
      <c r="AW53" s="6">
        <v>50</v>
      </c>
      <c r="AX53" s="7" t="s">
        <v>235</v>
      </c>
      <c r="AY53" s="7" t="s">
        <v>233</v>
      </c>
      <c r="AZ53" s="7" t="s">
        <v>237</v>
      </c>
      <c r="BA53" s="9" t="s">
        <v>234</v>
      </c>
      <c r="BD53" s="6">
        <v>26</v>
      </c>
      <c r="BE53" s="7">
        <v>7</v>
      </c>
      <c r="BF53" s="9">
        <v>7</v>
      </c>
      <c r="BG53" s="6">
        <v>26</v>
      </c>
      <c r="BH53" s="7">
        <v>7</v>
      </c>
      <c r="BI53" s="9">
        <v>6</v>
      </c>
      <c r="CM53" s="6">
        <v>50</v>
      </c>
      <c r="CN53" s="7" t="s">
        <v>229</v>
      </c>
      <c r="CO53" s="9" t="s">
        <v>231</v>
      </c>
      <c r="CP53" s="6">
        <v>50</v>
      </c>
      <c r="CQ53" s="7" t="s">
        <v>235</v>
      </c>
      <c r="CR53" s="9" t="s">
        <v>240</v>
      </c>
      <c r="DT53" s="6">
        <v>26</v>
      </c>
      <c r="DU53" s="9">
        <v>7</v>
      </c>
      <c r="DV53" s="6">
        <v>26</v>
      </c>
      <c r="DW53" s="9">
        <v>6</v>
      </c>
      <c r="ED53" s="6">
        <v>50</v>
      </c>
      <c r="EE53" s="7" t="str">
        <v>Tampa Bay</v>
      </c>
      <c r="EF53" s="9" t="str">
        <v>Minnesota</v>
      </c>
      <c r="EH53" s="7" t="s">
        <v>213</v>
      </c>
      <c r="EI53" s="7">
        <f>EO44</f>
        <v>7</v>
      </c>
      <c r="EX53" s="6">
        <v>42</v>
      </c>
      <c r="EY53" s="7">
        <v>7</v>
      </c>
      <c r="EZ53" s="7">
        <v>27</v>
      </c>
      <c r="FA53" s="7">
        <v>6</v>
      </c>
      <c r="FB53" s="7">
        <v>6</v>
      </c>
      <c r="FC53" s="7">
        <v>6</v>
      </c>
      <c r="FD53" s="7">
        <v>6</v>
      </c>
      <c r="FE53" s="7">
        <v>7</v>
      </c>
      <c r="FF53" s="7">
        <v>7</v>
      </c>
      <c r="FG53" s="7">
        <v>26</v>
      </c>
      <c r="FH53" s="7">
        <v>16</v>
      </c>
      <c r="FI53" s="7">
        <v>7</v>
      </c>
      <c r="FJ53" s="7">
        <v>12</v>
      </c>
      <c r="FK53" s="7">
        <v>6</v>
      </c>
      <c r="FL53" s="7">
        <v>12</v>
      </c>
      <c r="FM53" s="7">
        <v>4</v>
      </c>
      <c r="FN53" s="9">
        <v>6</v>
      </c>
      <c r="FQ53" s="6">
        <v>43</v>
      </c>
      <c r="FR53" s="9">
        <v>6</v>
      </c>
      <c r="FU53" s="7">
        <v>51</v>
      </c>
      <c r="FV53" s="7" t="str">
        <v>Tampa Bay</v>
      </c>
    </row>
    <row r="54" spans="12:178" x14ac:dyDescent="0.25">
      <c r="L54" s="6">
        <v>27</v>
      </c>
      <c r="M54" s="7">
        <v>7</v>
      </c>
      <c r="N54" s="7">
        <v>6</v>
      </c>
      <c r="O54" s="7">
        <v>5</v>
      </c>
      <c r="P54" s="9">
        <v>7</v>
      </c>
      <c r="Q54" s="6">
        <v>27</v>
      </c>
      <c r="R54" s="7">
        <v>4</v>
      </c>
      <c r="S54" s="7">
        <v>7</v>
      </c>
      <c r="T54" s="7">
        <v>6</v>
      </c>
      <c r="U54" s="9">
        <v>7</v>
      </c>
      <c r="AR54" s="6">
        <v>51</v>
      </c>
      <c r="AS54" s="7" t="s">
        <v>229</v>
      </c>
      <c r="AT54" s="7" t="s">
        <v>230</v>
      </c>
      <c r="AU54" s="7" t="s">
        <v>232</v>
      </c>
      <c r="AV54" s="9" t="s">
        <v>242</v>
      </c>
      <c r="AW54" s="6">
        <v>51</v>
      </c>
      <c r="AX54" s="7" t="s">
        <v>235</v>
      </c>
      <c r="AY54" s="7" t="s">
        <v>239</v>
      </c>
      <c r="AZ54" s="7" t="s">
        <v>237</v>
      </c>
      <c r="BA54" s="9" t="s">
        <v>234</v>
      </c>
      <c r="BD54" s="6">
        <v>27</v>
      </c>
      <c r="BE54" s="7">
        <v>6</v>
      </c>
      <c r="BF54" s="9">
        <v>6</v>
      </c>
      <c r="BG54" s="6">
        <v>27</v>
      </c>
      <c r="BH54" s="7">
        <v>7</v>
      </c>
      <c r="BI54" s="9">
        <v>6</v>
      </c>
      <c r="CM54" s="6">
        <v>51</v>
      </c>
      <c r="CN54" s="7" t="s">
        <v>230</v>
      </c>
      <c r="CO54" s="9" t="s">
        <v>231</v>
      </c>
      <c r="CP54" s="6">
        <v>51</v>
      </c>
      <c r="CQ54" s="7" t="s">
        <v>233</v>
      </c>
      <c r="CR54" s="9" t="s">
        <v>238</v>
      </c>
      <c r="DT54" s="6">
        <v>27</v>
      </c>
      <c r="DU54" s="9">
        <v>7</v>
      </c>
      <c r="DV54" s="6">
        <v>27</v>
      </c>
      <c r="DW54" s="9">
        <v>7</v>
      </c>
      <c r="ED54" s="6">
        <v>51</v>
      </c>
      <c r="EE54" s="7" t="str">
        <v>Tampa Bay</v>
      </c>
      <c r="EF54" s="9" t="str">
        <v>Minnesota</v>
      </c>
      <c r="EH54" s="7" t="s">
        <v>210</v>
      </c>
      <c r="EI54" s="7">
        <f>EP44</f>
        <v>26</v>
      </c>
      <c r="EX54" s="6">
        <v>43</v>
      </c>
      <c r="EY54" s="7">
        <v>7</v>
      </c>
      <c r="EZ54" s="7">
        <v>27</v>
      </c>
      <c r="FA54" s="7">
        <v>6</v>
      </c>
      <c r="FB54" s="7">
        <v>6</v>
      </c>
      <c r="FC54" s="7">
        <v>6</v>
      </c>
      <c r="FD54" s="7">
        <v>6</v>
      </c>
      <c r="FE54" s="7">
        <v>7</v>
      </c>
      <c r="FF54" s="7">
        <v>7</v>
      </c>
      <c r="FG54" s="7">
        <v>26</v>
      </c>
      <c r="FH54" s="7">
        <v>16</v>
      </c>
      <c r="FI54" s="7">
        <v>7</v>
      </c>
      <c r="FJ54" s="7">
        <v>12</v>
      </c>
      <c r="FK54" s="7">
        <v>6</v>
      </c>
      <c r="FL54" s="7">
        <v>12</v>
      </c>
      <c r="FM54" s="7">
        <v>4</v>
      </c>
      <c r="FN54" s="9">
        <v>6</v>
      </c>
      <c r="FQ54" s="6">
        <v>44</v>
      </c>
      <c r="FR54" s="9">
        <v>4</v>
      </c>
      <c r="FU54" s="7">
        <v>52</v>
      </c>
      <c r="FV54" s="7" t="str">
        <v>Minnesota</v>
      </c>
    </row>
    <row r="55" spans="12:178" x14ac:dyDescent="0.25">
      <c r="L55" s="6">
        <v>28</v>
      </c>
      <c r="M55" s="7">
        <v>6</v>
      </c>
      <c r="N55" s="7">
        <v>4</v>
      </c>
      <c r="O55" s="7">
        <v>5</v>
      </c>
      <c r="P55" s="9">
        <v>5</v>
      </c>
      <c r="Q55" s="6">
        <v>28</v>
      </c>
      <c r="R55" s="7">
        <v>5</v>
      </c>
      <c r="S55" s="7">
        <v>7</v>
      </c>
      <c r="T55" s="7">
        <v>6</v>
      </c>
      <c r="U55" s="9">
        <v>5</v>
      </c>
      <c r="AR55" s="6">
        <v>52</v>
      </c>
      <c r="AS55" s="7" t="s">
        <v>317</v>
      </c>
      <c r="AT55" s="7" t="s">
        <v>230</v>
      </c>
      <c r="AU55" s="7" t="s">
        <v>243</v>
      </c>
      <c r="AV55" s="9" t="s">
        <v>242</v>
      </c>
      <c r="AW55" s="6">
        <v>52</v>
      </c>
      <c r="AX55" s="7" t="s">
        <v>241</v>
      </c>
      <c r="AY55" s="7" t="s">
        <v>233</v>
      </c>
      <c r="AZ55" s="7" t="s">
        <v>238</v>
      </c>
      <c r="BA55" s="9" t="s">
        <v>240</v>
      </c>
      <c r="BD55" s="6">
        <v>28</v>
      </c>
      <c r="BE55" s="7">
        <v>7</v>
      </c>
      <c r="BF55" s="9">
        <v>6</v>
      </c>
      <c r="BG55" s="6">
        <v>28</v>
      </c>
      <c r="BH55" s="7">
        <v>7</v>
      </c>
      <c r="BI55" s="9">
        <v>7</v>
      </c>
      <c r="CM55" s="6">
        <v>52</v>
      </c>
      <c r="CN55" s="7" t="s">
        <v>236</v>
      </c>
      <c r="CO55" s="9" t="s">
        <v>231</v>
      </c>
      <c r="CP55" s="6">
        <v>52</v>
      </c>
      <c r="CQ55" s="7" t="s">
        <v>239</v>
      </c>
      <c r="CR55" s="9" t="s">
        <v>234</v>
      </c>
      <c r="DT55" s="6">
        <v>28</v>
      </c>
      <c r="DU55" s="9">
        <v>7</v>
      </c>
      <c r="DV55" s="6">
        <v>28</v>
      </c>
      <c r="DW55" s="9">
        <v>5</v>
      </c>
      <c r="ED55" s="6">
        <v>52</v>
      </c>
      <c r="EE55" s="7" t="str">
        <v>Tampa Bay</v>
      </c>
      <c r="EF55" s="9" t="str">
        <v>Minnesota</v>
      </c>
      <c r="EH55" s="7" t="s">
        <v>204</v>
      </c>
      <c r="EI55" s="7">
        <f>EQ44</f>
        <v>16</v>
      </c>
      <c r="EX55" s="6">
        <v>44</v>
      </c>
      <c r="EY55" s="7">
        <v>7</v>
      </c>
      <c r="EZ55" s="7">
        <v>25</v>
      </c>
      <c r="FA55" s="7">
        <v>6</v>
      </c>
      <c r="FB55" s="7">
        <v>6</v>
      </c>
      <c r="FC55" s="7">
        <v>6</v>
      </c>
      <c r="FD55" s="7">
        <v>6</v>
      </c>
      <c r="FE55" s="7">
        <v>7</v>
      </c>
      <c r="FF55" s="7">
        <v>7</v>
      </c>
      <c r="FG55" s="7">
        <v>26</v>
      </c>
      <c r="FH55" s="7">
        <v>16</v>
      </c>
      <c r="FI55" s="7">
        <v>7</v>
      </c>
      <c r="FJ55" s="7">
        <v>12</v>
      </c>
      <c r="FK55" s="7">
        <v>6</v>
      </c>
      <c r="FL55" s="7">
        <v>12</v>
      </c>
      <c r="FM55" s="7">
        <v>4</v>
      </c>
      <c r="FN55" s="9">
        <v>6</v>
      </c>
      <c r="FQ55" s="6">
        <v>45</v>
      </c>
      <c r="FR55" s="9">
        <v>6</v>
      </c>
      <c r="FU55" s="7">
        <v>53</v>
      </c>
      <c r="FV55" s="7" t="str">
        <v>Tampa Bay</v>
      </c>
    </row>
    <row r="56" spans="12:178" x14ac:dyDescent="0.25">
      <c r="L56" s="6">
        <v>29</v>
      </c>
      <c r="M56" s="7">
        <v>4</v>
      </c>
      <c r="N56" s="7">
        <v>5</v>
      </c>
      <c r="O56" s="7">
        <v>7</v>
      </c>
      <c r="P56" s="9">
        <v>5</v>
      </c>
      <c r="Q56" s="6">
        <v>29</v>
      </c>
      <c r="R56" s="7">
        <v>7</v>
      </c>
      <c r="S56" s="7">
        <v>6</v>
      </c>
      <c r="T56" s="7">
        <v>6</v>
      </c>
      <c r="U56" s="9">
        <v>7</v>
      </c>
      <c r="AR56" s="6">
        <v>53</v>
      </c>
      <c r="AS56" s="7" t="s">
        <v>229</v>
      </c>
      <c r="AT56" s="7" t="s">
        <v>230</v>
      </c>
      <c r="AU56" s="7" t="s">
        <v>243</v>
      </c>
      <c r="AV56" s="9" t="s">
        <v>231</v>
      </c>
      <c r="AW56" s="6">
        <v>53</v>
      </c>
      <c r="AX56" s="7" t="s">
        <v>235</v>
      </c>
      <c r="AY56" s="7" t="s">
        <v>239</v>
      </c>
      <c r="AZ56" s="7" t="s">
        <v>238</v>
      </c>
      <c r="BA56" s="9" t="s">
        <v>234</v>
      </c>
      <c r="BD56" s="6">
        <v>29</v>
      </c>
      <c r="BE56" s="7">
        <v>7</v>
      </c>
      <c r="BF56" s="9">
        <v>7</v>
      </c>
      <c r="BG56" s="6">
        <v>29</v>
      </c>
      <c r="BH56" s="7">
        <v>4</v>
      </c>
      <c r="BI56" s="9">
        <v>5</v>
      </c>
      <c r="CM56" s="6">
        <v>53</v>
      </c>
      <c r="CN56" s="7" t="s">
        <v>236</v>
      </c>
      <c r="CO56" s="9" t="s">
        <v>242</v>
      </c>
      <c r="CP56" s="6">
        <v>53</v>
      </c>
      <c r="CQ56" s="7" t="s">
        <v>235</v>
      </c>
      <c r="CR56" s="9" t="s">
        <v>240</v>
      </c>
      <c r="DT56" s="6">
        <v>29</v>
      </c>
      <c r="DU56" s="9">
        <v>6</v>
      </c>
      <c r="DV56" s="6">
        <v>29</v>
      </c>
      <c r="DW56" s="9">
        <v>7</v>
      </c>
      <c r="ED56" s="6">
        <v>53</v>
      </c>
      <c r="EE56" s="7" t="str">
        <v>Tampa Bay</v>
      </c>
      <c r="EF56" s="9" t="str">
        <v>Minnesota</v>
      </c>
      <c r="EH56" s="7" t="s">
        <v>199</v>
      </c>
      <c r="EI56" s="7">
        <f>ER44</f>
        <v>7</v>
      </c>
      <c r="EX56" s="6">
        <v>45</v>
      </c>
      <c r="EY56" s="7">
        <v>7</v>
      </c>
      <c r="EZ56" s="7">
        <v>26</v>
      </c>
      <c r="FA56" s="7">
        <v>6</v>
      </c>
      <c r="FB56" s="7">
        <v>6</v>
      </c>
      <c r="FC56" s="7">
        <v>6</v>
      </c>
      <c r="FD56" s="7">
        <v>6</v>
      </c>
      <c r="FE56" s="7">
        <v>7</v>
      </c>
      <c r="FF56" s="7">
        <v>7</v>
      </c>
      <c r="FG56" s="7">
        <v>26</v>
      </c>
      <c r="FH56" s="7">
        <v>16</v>
      </c>
      <c r="FI56" s="7">
        <v>7</v>
      </c>
      <c r="FJ56" s="7">
        <v>12</v>
      </c>
      <c r="FK56" s="7">
        <v>6</v>
      </c>
      <c r="FL56" s="7">
        <v>12</v>
      </c>
      <c r="FM56" s="7">
        <v>4</v>
      </c>
      <c r="FN56" s="9">
        <v>6</v>
      </c>
      <c r="FQ56" s="6">
        <v>46</v>
      </c>
      <c r="FR56" s="9">
        <v>5</v>
      </c>
      <c r="FU56" s="7">
        <v>54</v>
      </c>
      <c r="FV56" s="7" t="str">
        <v>Minnesota</v>
      </c>
    </row>
    <row r="57" spans="12:178" x14ac:dyDescent="0.25">
      <c r="L57" s="6">
        <v>30</v>
      </c>
      <c r="M57" s="7">
        <v>6</v>
      </c>
      <c r="N57" s="7">
        <v>7</v>
      </c>
      <c r="O57" s="7">
        <v>7</v>
      </c>
      <c r="P57" s="9">
        <v>6</v>
      </c>
      <c r="Q57" s="6">
        <v>30</v>
      </c>
      <c r="R57" s="7">
        <v>5</v>
      </c>
      <c r="S57" s="7">
        <v>7</v>
      </c>
      <c r="T57" s="7">
        <v>5</v>
      </c>
      <c r="U57" s="9">
        <v>6</v>
      </c>
      <c r="AR57" s="6">
        <v>54</v>
      </c>
      <c r="AS57" s="7" t="s">
        <v>229</v>
      </c>
      <c r="AT57" s="7" t="s">
        <v>236</v>
      </c>
      <c r="AU57" s="7" t="s">
        <v>232</v>
      </c>
      <c r="AV57" s="9" t="s">
        <v>231</v>
      </c>
      <c r="AW57" s="6">
        <v>54</v>
      </c>
      <c r="AX57" s="7" t="s">
        <v>235</v>
      </c>
      <c r="AY57" s="7" t="s">
        <v>239</v>
      </c>
      <c r="AZ57" s="7" t="s">
        <v>237</v>
      </c>
      <c r="BA57" s="9" t="s">
        <v>240</v>
      </c>
      <c r="BD57" s="6">
        <v>30</v>
      </c>
      <c r="BE57" s="7">
        <v>7</v>
      </c>
      <c r="BF57" s="9">
        <v>5</v>
      </c>
      <c r="BG57" s="6">
        <v>30</v>
      </c>
      <c r="BH57" s="7">
        <v>6</v>
      </c>
      <c r="BI57" s="9">
        <v>6</v>
      </c>
      <c r="CM57" s="6">
        <v>54</v>
      </c>
      <c r="CN57" s="7" t="s">
        <v>236</v>
      </c>
      <c r="CO57" s="9" t="s">
        <v>242</v>
      </c>
      <c r="CP57" s="6">
        <v>54</v>
      </c>
      <c r="CQ57" s="7" t="s">
        <v>239</v>
      </c>
      <c r="CR57" s="9" t="s">
        <v>237</v>
      </c>
      <c r="DT57" s="6">
        <v>30</v>
      </c>
      <c r="DU57" s="9">
        <v>7</v>
      </c>
      <c r="DV57" s="6">
        <v>30</v>
      </c>
      <c r="DW57" s="9">
        <v>7</v>
      </c>
      <c r="ED57" s="6">
        <v>54</v>
      </c>
      <c r="EE57" s="7" t="str">
        <v>Tampa Bay</v>
      </c>
      <c r="EF57" s="9" t="str">
        <v>Minnesota</v>
      </c>
      <c r="EH57" s="7" t="s">
        <v>205</v>
      </c>
      <c r="EI57" s="7">
        <f>ES44</f>
        <v>12</v>
      </c>
      <c r="EX57" s="6">
        <v>46</v>
      </c>
      <c r="EY57" s="7">
        <v>7</v>
      </c>
      <c r="EZ57" s="7">
        <v>27</v>
      </c>
      <c r="FA57" s="7">
        <v>6</v>
      </c>
      <c r="FB57" s="7">
        <v>6</v>
      </c>
      <c r="FC57" s="7">
        <v>6</v>
      </c>
      <c r="FD57" s="7">
        <v>6</v>
      </c>
      <c r="FE57" s="7">
        <v>7</v>
      </c>
      <c r="FF57" s="7">
        <v>7</v>
      </c>
      <c r="FG57" s="7">
        <v>26</v>
      </c>
      <c r="FH57" s="7">
        <v>16</v>
      </c>
      <c r="FI57" s="7">
        <v>7</v>
      </c>
      <c r="FJ57" s="7">
        <v>12</v>
      </c>
      <c r="FK57" s="7">
        <v>6</v>
      </c>
      <c r="FL57" s="7">
        <v>12</v>
      </c>
      <c r="FM57" s="7">
        <v>4</v>
      </c>
      <c r="FN57" s="9">
        <v>6</v>
      </c>
      <c r="FQ57" s="6">
        <v>47</v>
      </c>
      <c r="FR57" s="9">
        <v>5</v>
      </c>
      <c r="FU57" s="7">
        <v>55</v>
      </c>
      <c r="FV57" s="7" t="str">
        <v>Tampa Bay</v>
      </c>
    </row>
    <row r="58" spans="12:178" x14ac:dyDescent="0.25">
      <c r="L58" s="6">
        <v>31</v>
      </c>
      <c r="M58" s="7">
        <v>4</v>
      </c>
      <c r="N58" s="7">
        <v>4</v>
      </c>
      <c r="O58" s="7">
        <v>6</v>
      </c>
      <c r="P58" s="9">
        <v>4</v>
      </c>
      <c r="Q58" s="6">
        <v>31</v>
      </c>
      <c r="R58" s="7">
        <v>7</v>
      </c>
      <c r="S58" s="7">
        <v>7</v>
      </c>
      <c r="T58" s="7">
        <v>6</v>
      </c>
      <c r="U58" s="9">
        <v>5</v>
      </c>
      <c r="AR58" s="6">
        <v>55</v>
      </c>
      <c r="AS58" s="7" t="s">
        <v>229</v>
      </c>
      <c r="AT58" s="7" t="s">
        <v>236</v>
      </c>
      <c r="AU58" s="7" t="s">
        <v>243</v>
      </c>
      <c r="AV58" s="9" t="s">
        <v>231</v>
      </c>
      <c r="AW58" s="6">
        <v>55</v>
      </c>
      <c r="AX58" s="7" t="s">
        <v>235</v>
      </c>
      <c r="AY58" s="7" t="s">
        <v>233</v>
      </c>
      <c r="AZ58" s="7" t="s">
        <v>237</v>
      </c>
      <c r="BA58" s="9" t="s">
        <v>234</v>
      </c>
      <c r="BD58" s="6">
        <v>31</v>
      </c>
      <c r="BE58" s="7">
        <v>5</v>
      </c>
      <c r="BF58" s="9">
        <v>6</v>
      </c>
      <c r="BG58" s="6">
        <v>31</v>
      </c>
      <c r="BH58" s="7">
        <v>6</v>
      </c>
      <c r="BI58" s="9">
        <v>6</v>
      </c>
      <c r="CM58" s="6">
        <v>55</v>
      </c>
      <c r="CN58" s="7" t="s">
        <v>230</v>
      </c>
      <c r="CO58" s="9" t="s">
        <v>232</v>
      </c>
      <c r="CP58" s="6">
        <v>55</v>
      </c>
      <c r="CQ58" s="7" t="s">
        <v>235</v>
      </c>
      <c r="CR58" s="9" t="s">
        <v>238</v>
      </c>
      <c r="DT58" s="6">
        <v>31</v>
      </c>
      <c r="DU58" s="9">
        <v>7</v>
      </c>
      <c r="DV58" s="6">
        <v>31</v>
      </c>
      <c r="DW58" s="9">
        <v>7</v>
      </c>
      <c r="ED58" s="6">
        <v>55</v>
      </c>
      <c r="EE58" s="7" t="str">
        <v>Tampa Bay</v>
      </c>
      <c r="EF58" s="9" t="str">
        <v>Minnesota</v>
      </c>
      <c r="EH58" s="7" t="s">
        <v>207</v>
      </c>
      <c r="EI58" s="7">
        <f>ET44</f>
        <v>6</v>
      </c>
      <c r="EX58" s="6">
        <v>47</v>
      </c>
      <c r="EY58" s="7">
        <v>7</v>
      </c>
      <c r="EZ58" s="7">
        <v>26</v>
      </c>
      <c r="FA58" s="7">
        <v>6</v>
      </c>
      <c r="FB58" s="7">
        <v>6</v>
      </c>
      <c r="FC58" s="7">
        <v>6</v>
      </c>
      <c r="FD58" s="7">
        <v>6</v>
      </c>
      <c r="FE58" s="7">
        <v>7</v>
      </c>
      <c r="FF58" s="7">
        <v>7</v>
      </c>
      <c r="FG58" s="7">
        <v>26</v>
      </c>
      <c r="FH58" s="7">
        <v>16</v>
      </c>
      <c r="FI58" s="7">
        <v>7</v>
      </c>
      <c r="FJ58" s="7">
        <v>12</v>
      </c>
      <c r="FK58" s="7">
        <v>6</v>
      </c>
      <c r="FL58" s="7">
        <v>12</v>
      </c>
      <c r="FM58" s="7">
        <v>4</v>
      </c>
      <c r="FN58" s="9">
        <v>6</v>
      </c>
      <c r="FQ58" s="6">
        <v>48</v>
      </c>
      <c r="FR58" s="9">
        <v>6</v>
      </c>
      <c r="FU58" s="7">
        <v>56</v>
      </c>
      <c r="FV58" s="7" t="str">
        <v>Tampa Bay</v>
      </c>
    </row>
    <row r="59" spans="12:178" x14ac:dyDescent="0.25">
      <c r="L59" s="6">
        <v>32</v>
      </c>
      <c r="M59" s="7">
        <v>4</v>
      </c>
      <c r="N59" s="7">
        <v>6</v>
      </c>
      <c r="O59" s="7">
        <v>6</v>
      </c>
      <c r="P59" s="9">
        <v>5</v>
      </c>
      <c r="Q59" s="6">
        <v>32</v>
      </c>
      <c r="R59" s="7">
        <v>7</v>
      </c>
      <c r="S59" s="7">
        <v>4</v>
      </c>
      <c r="T59" s="7">
        <v>5</v>
      </c>
      <c r="U59" s="9">
        <v>6</v>
      </c>
      <c r="AR59" s="6">
        <v>56</v>
      </c>
      <c r="AS59" s="7" t="s">
        <v>317</v>
      </c>
      <c r="AT59" s="7" t="s">
        <v>236</v>
      </c>
      <c r="AU59" s="7" t="s">
        <v>243</v>
      </c>
      <c r="AV59" s="9" t="s">
        <v>242</v>
      </c>
      <c r="AW59" s="6">
        <v>56</v>
      </c>
      <c r="AX59" s="7" t="s">
        <v>235</v>
      </c>
      <c r="AY59" s="7" t="s">
        <v>233</v>
      </c>
      <c r="AZ59" s="7" t="s">
        <v>237</v>
      </c>
      <c r="BA59" s="9" t="s">
        <v>234</v>
      </c>
      <c r="BD59" s="6">
        <v>32</v>
      </c>
      <c r="BE59" s="7">
        <v>7</v>
      </c>
      <c r="BF59" s="9">
        <v>7</v>
      </c>
      <c r="BG59" s="6">
        <v>32</v>
      </c>
      <c r="BH59" s="7">
        <v>5</v>
      </c>
      <c r="BI59" s="9">
        <v>5</v>
      </c>
      <c r="CM59" s="6">
        <v>56</v>
      </c>
      <c r="CN59" s="7" t="s">
        <v>230</v>
      </c>
      <c r="CO59" s="9" t="s">
        <v>232</v>
      </c>
      <c r="CP59" s="6">
        <v>56</v>
      </c>
      <c r="CQ59" s="7" t="s">
        <v>239</v>
      </c>
      <c r="CR59" s="9" t="s">
        <v>238</v>
      </c>
      <c r="DT59" s="6">
        <v>32</v>
      </c>
      <c r="DU59" s="9">
        <v>7</v>
      </c>
      <c r="DV59" s="6">
        <v>32</v>
      </c>
      <c r="DW59" s="9">
        <v>7</v>
      </c>
      <c r="ED59" s="6">
        <v>56</v>
      </c>
      <c r="EE59" s="7" t="str">
        <v>Tampa Bay</v>
      </c>
      <c r="EF59" s="9" t="str">
        <v>Minnesota</v>
      </c>
      <c r="EH59" s="7" t="s">
        <v>201</v>
      </c>
      <c r="EI59" s="7">
        <f>EU44</f>
        <v>12</v>
      </c>
      <c r="EX59" s="6">
        <v>48</v>
      </c>
      <c r="EY59" s="7">
        <v>7</v>
      </c>
      <c r="EZ59" s="7">
        <v>26</v>
      </c>
      <c r="FA59" s="7">
        <v>6</v>
      </c>
      <c r="FB59" s="7">
        <v>6</v>
      </c>
      <c r="FC59" s="7">
        <v>6</v>
      </c>
      <c r="FD59" s="7">
        <v>6</v>
      </c>
      <c r="FE59" s="7">
        <v>7</v>
      </c>
      <c r="FF59" s="7">
        <v>7</v>
      </c>
      <c r="FG59" s="7">
        <v>26</v>
      </c>
      <c r="FH59" s="7">
        <v>16</v>
      </c>
      <c r="FI59" s="7">
        <v>7</v>
      </c>
      <c r="FJ59" s="7">
        <v>12</v>
      </c>
      <c r="FK59" s="7">
        <v>6</v>
      </c>
      <c r="FL59" s="7">
        <v>12</v>
      </c>
      <c r="FM59" s="7">
        <v>4</v>
      </c>
      <c r="FN59" s="9">
        <v>6</v>
      </c>
      <c r="FQ59" s="6">
        <v>49</v>
      </c>
      <c r="FR59" s="9">
        <v>6</v>
      </c>
      <c r="FU59" s="7">
        <v>57</v>
      </c>
      <c r="FV59" s="7" t="str">
        <v>Tampa Bay</v>
      </c>
    </row>
    <row r="60" spans="12:178" x14ac:dyDescent="0.25">
      <c r="L60" s="6">
        <v>33</v>
      </c>
      <c r="M60" s="7">
        <v>7</v>
      </c>
      <c r="N60" s="7">
        <v>5</v>
      </c>
      <c r="O60" s="7">
        <v>4</v>
      </c>
      <c r="P60" s="9">
        <v>7</v>
      </c>
      <c r="Q60" s="6">
        <v>33</v>
      </c>
      <c r="R60" s="7">
        <v>6</v>
      </c>
      <c r="S60" s="7">
        <v>6</v>
      </c>
      <c r="T60" s="7">
        <v>7</v>
      </c>
      <c r="U60" s="9">
        <v>4</v>
      </c>
      <c r="AR60" s="6">
        <v>57</v>
      </c>
      <c r="AS60" s="7" t="s">
        <v>317</v>
      </c>
      <c r="AT60" s="7" t="s">
        <v>230</v>
      </c>
      <c r="AU60" s="7" t="s">
        <v>232</v>
      </c>
      <c r="AV60" s="9" t="s">
        <v>231</v>
      </c>
      <c r="AW60" s="6">
        <v>57</v>
      </c>
      <c r="AX60" s="7" t="s">
        <v>241</v>
      </c>
      <c r="AY60" s="7" t="s">
        <v>239</v>
      </c>
      <c r="AZ60" s="7" t="s">
        <v>238</v>
      </c>
      <c r="BA60" s="9" t="s">
        <v>234</v>
      </c>
      <c r="BD60" s="6">
        <v>33</v>
      </c>
      <c r="BE60" s="7">
        <v>4</v>
      </c>
      <c r="BF60" s="9">
        <v>6</v>
      </c>
      <c r="BG60" s="6">
        <v>33</v>
      </c>
      <c r="BH60" s="7">
        <v>7</v>
      </c>
      <c r="BI60" s="9">
        <v>6</v>
      </c>
      <c r="CM60" s="6">
        <v>57</v>
      </c>
      <c r="CN60" s="7" t="s">
        <v>229</v>
      </c>
      <c r="CO60" s="9" t="s">
        <v>231</v>
      </c>
      <c r="CP60" s="6">
        <v>57</v>
      </c>
      <c r="CQ60" s="7" t="s">
        <v>233</v>
      </c>
      <c r="CR60" s="9" t="s">
        <v>237</v>
      </c>
      <c r="DT60" s="6">
        <v>33</v>
      </c>
      <c r="DU60" s="9">
        <v>7</v>
      </c>
      <c r="DV60" s="6">
        <v>33</v>
      </c>
      <c r="DW60" s="9">
        <v>5</v>
      </c>
      <c r="ED60" s="6">
        <v>57</v>
      </c>
      <c r="EE60" s="7" t="str">
        <v>Tampa Bay</v>
      </c>
      <c r="EF60" s="9" t="str">
        <v>Minnesota</v>
      </c>
      <c r="EH60" s="7" t="s">
        <v>209</v>
      </c>
      <c r="EI60" s="7">
        <f>EV44</f>
        <v>4</v>
      </c>
      <c r="EX60" s="6">
        <v>49</v>
      </c>
      <c r="EY60" s="7">
        <v>7</v>
      </c>
      <c r="EZ60" s="7">
        <v>25</v>
      </c>
      <c r="FA60" s="7">
        <v>6</v>
      </c>
      <c r="FB60" s="7">
        <v>6</v>
      </c>
      <c r="FC60" s="7">
        <v>6</v>
      </c>
      <c r="FD60" s="7">
        <v>6</v>
      </c>
      <c r="FE60" s="7">
        <v>7</v>
      </c>
      <c r="FF60" s="7">
        <v>7</v>
      </c>
      <c r="FG60" s="7">
        <v>26</v>
      </c>
      <c r="FH60" s="7">
        <v>16</v>
      </c>
      <c r="FI60" s="7">
        <v>7</v>
      </c>
      <c r="FJ60" s="7">
        <v>12</v>
      </c>
      <c r="FK60" s="7">
        <v>6</v>
      </c>
      <c r="FL60" s="7">
        <v>12</v>
      </c>
      <c r="FM60" s="7">
        <v>4</v>
      </c>
      <c r="FN60" s="9">
        <v>6</v>
      </c>
      <c r="FQ60" s="6">
        <v>50</v>
      </c>
      <c r="FR60" s="9">
        <v>6</v>
      </c>
      <c r="FU60" s="7">
        <v>58</v>
      </c>
      <c r="FV60" s="7" t="str">
        <v>Tampa Bay</v>
      </c>
    </row>
    <row r="61" spans="12:178" x14ac:dyDescent="0.25">
      <c r="L61" s="6">
        <v>34</v>
      </c>
      <c r="M61" s="7">
        <v>5</v>
      </c>
      <c r="N61" s="7">
        <v>4</v>
      </c>
      <c r="O61" s="7">
        <v>5</v>
      </c>
      <c r="P61" s="9">
        <v>7</v>
      </c>
      <c r="Q61" s="6">
        <v>34</v>
      </c>
      <c r="R61" s="7">
        <v>5</v>
      </c>
      <c r="S61" s="7">
        <v>7</v>
      </c>
      <c r="T61" s="7">
        <v>4</v>
      </c>
      <c r="U61" s="9">
        <v>6</v>
      </c>
      <c r="AR61" s="6">
        <v>58</v>
      </c>
      <c r="AS61" s="7" t="s">
        <v>317</v>
      </c>
      <c r="AT61" s="7" t="s">
        <v>230</v>
      </c>
      <c r="AU61" s="7" t="s">
        <v>243</v>
      </c>
      <c r="AV61" s="9" t="s">
        <v>231</v>
      </c>
      <c r="AW61" s="6">
        <v>58</v>
      </c>
      <c r="AX61" s="7" t="s">
        <v>241</v>
      </c>
      <c r="AY61" s="7" t="s">
        <v>239</v>
      </c>
      <c r="AZ61" s="7" t="s">
        <v>238</v>
      </c>
      <c r="BA61" s="9" t="s">
        <v>234</v>
      </c>
      <c r="BD61" s="6">
        <v>34</v>
      </c>
      <c r="BE61" s="7">
        <v>4</v>
      </c>
      <c r="BF61" s="9">
        <v>6</v>
      </c>
      <c r="BG61" s="6">
        <v>34</v>
      </c>
      <c r="BH61" s="7">
        <v>7</v>
      </c>
      <c r="BI61" s="9">
        <v>4</v>
      </c>
      <c r="CM61" s="6">
        <v>58</v>
      </c>
      <c r="CN61" s="7" t="s">
        <v>236</v>
      </c>
      <c r="CO61" s="9" t="s">
        <v>231</v>
      </c>
      <c r="CP61" s="6">
        <v>58</v>
      </c>
      <c r="CQ61" s="7" t="s">
        <v>239</v>
      </c>
      <c r="CR61" s="9" t="s">
        <v>234</v>
      </c>
      <c r="DT61" s="6">
        <v>34</v>
      </c>
      <c r="DU61" s="9">
        <v>7</v>
      </c>
      <c r="DV61" s="6">
        <v>34</v>
      </c>
      <c r="DW61" s="9">
        <v>7</v>
      </c>
      <c r="ED61" s="6">
        <v>58</v>
      </c>
      <c r="EE61" s="7" t="str">
        <v>Tampa Bay</v>
      </c>
      <c r="EF61" s="9" t="str">
        <v>Minnesota</v>
      </c>
      <c r="EH61" s="7" t="s">
        <v>211</v>
      </c>
      <c r="EI61" s="7">
        <f>EW44</f>
        <v>6</v>
      </c>
      <c r="EX61" s="6">
        <v>50</v>
      </c>
      <c r="EY61" s="7">
        <v>7</v>
      </c>
      <c r="EZ61" s="7">
        <v>27</v>
      </c>
      <c r="FA61" s="7">
        <v>6</v>
      </c>
      <c r="FB61" s="7">
        <v>6</v>
      </c>
      <c r="FC61" s="7">
        <v>6</v>
      </c>
      <c r="FD61" s="7">
        <v>6</v>
      </c>
      <c r="FE61" s="7">
        <v>7</v>
      </c>
      <c r="FF61" s="7">
        <v>7</v>
      </c>
      <c r="FG61" s="7">
        <v>26</v>
      </c>
      <c r="FH61" s="7">
        <v>16</v>
      </c>
      <c r="FI61" s="7">
        <v>7</v>
      </c>
      <c r="FJ61" s="7">
        <v>12</v>
      </c>
      <c r="FK61" s="7">
        <v>6</v>
      </c>
      <c r="FL61" s="7">
        <v>12</v>
      </c>
      <c r="FM61" s="7">
        <v>4</v>
      </c>
      <c r="FN61" s="9">
        <v>6</v>
      </c>
      <c r="FQ61" s="6">
        <v>51</v>
      </c>
      <c r="FR61" s="9">
        <v>5</v>
      </c>
      <c r="FU61" s="7">
        <v>59</v>
      </c>
      <c r="FV61" s="7" t="str">
        <v>Minnesota</v>
      </c>
    </row>
    <row r="62" spans="12:178" x14ac:dyDescent="0.25">
      <c r="L62" s="6">
        <v>35</v>
      </c>
      <c r="M62" s="7">
        <v>5</v>
      </c>
      <c r="N62" s="7">
        <v>4</v>
      </c>
      <c r="O62" s="7">
        <v>6</v>
      </c>
      <c r="P62" s="9">
        <v>6</v>
      </c>
      <c r="Q62" s="6">
        <v>35</v>
      </c>
      <c r="R62" s="7">
        <v>7</v>
      </c>
      <c r="S62" s="7">
        <v>6</v>
      </c>
      <c r="T62" s="7">
        <v>5</v>
      </c>
      <c r="U62" s="9">
        <v>5</v>
      </c>
      <c r="AR62" s="6">
        <v>59</v>
      </c>
      <c r="AS62" s="7" t="s">
        <v>317</v>
      </c>
      <c r="AT62" s="7" t="s">
        <v>236</v>
      </c>
      <c r="AU62" s="7" t="s">
        <v>232</v>
      </c>
      <c r="AV62" s="9" t="s">
        <v>231</v>
      </c>
      <c r="AW62" s="6">
        <v>59</v>
      </c>
      <c r="AX62" s="7" t="s">
        <v>241</v>
      </c>
      <c r="AY62" s="7" t="s">
        <v>233</v>
      </c>
      <c r="AZ62" s="7" t="s">
        <v>237</v>
      </c>
      <c r="BA62" s="9" t="s">
        <v>234</v>
      </c>
      <c r="BD62" s="6">
        <v>35</v>
      </c>
      <c r="BE62" s="7">
        <v>5</v>
      </c>
      <c r="BF62" s="9">
        <v>6</v>
      </c>
      <c r="BG62" s="6">
        <v>35</v>
      </c>
      <c r="BH62" s="7">
        <v>6</v>
      </c>
      <c r="BI62" s="9">
        <v>7</v>
      </c>
      <c r="CM62" s="6">
        <v>59</v>
      </c>
      <c r="CN62" s="7" t="s">
        <v>230</v>
      </c>
      <c r="CO62" s="9" t="s">
        <v>243</v>
      </c>
      <c r="CP62" s="6">
        <v>59</v>
      </c>
      <c r="CQ62" s="7" t="s">
        <v>239</v>
      </c>
      <c r="CR62" s="9" t="s">
        <v>240</v>
      </c>
      <c r="DT62" s="6">
        <v>35</v>
      </c>
      <c r="DU62" s="9">
        <v>7</v>
      </c>
      <c r="DV62" s="6">
        <v>35</v>
      </c>
      <c r="DW62" s="9">
        <v>5</v>
      </c>
      <c r="ED62" s="6">
        <v>59</v>
      </c>
      <c r="EE62" s="7" t="str">
        <v>Tampa Bay</v>
      </c>
      <c r="EF62" s="9" t="str">
        <v>Minnesota</v>
      </c>
      <c r="EX62" s="6">
        <v>51</v>
      </c>
      <c r="EY62" s="7">
        <v>7</v>
      </c>
      <c r="EZ62" s="7">
        <v>24</v>
      </c>
      <c r="FA62" s="7">
        <v>6</v>
      </c>
      <c r="FB62" s="7">
        <v>6</v>
      </c>
      <c r="FC62" s="7">
        <v>6</v>
      </c>
      <c r="FD62" s="7">
        <v>6</v>
      </c>
      <c r="FE62" s="7">
        <v>7</v>
      </c>
      <c r="FF62" s="7">
        <v>7</v>
      </c>
      <c r="FG62" s="7">
        <v>26</v>
      </c>
      <c r="FH62" s="7">
        <v>16</v>
      </c>
      <c r="FI62" s="7">
        <v>7</v>
      </c>
      <c r="FJ62" s="7">
        <v>12</v>
      </c>
      <c r="FK62" s="7">
        <v>6</v>
      </c>
      <c r="FL62" s="7">
        <v>12</v>
      </c>
      <c r="FM62" s="7">
        <v>4</v>
      </c>
      <c r="FN62" s="9">
        <v>6</v>
      </c>
      <c r="FQ62" s="6">
        <v>52</v>
      </c>
      <c r="FR62" s="9">
        <v>5</v>
      </c>
      <c r="FU62" s="7">
        <v>60</v>
      </c>
      <c r="FV62" s="7" t="str">
        <v>Tampa Bay</v>
      </c>
    </row>
    <row r="63" spans="12:178" x14ac:dyDescent="0.25">
      <c r="L63" s="6">
        <v>36</v>
      </c>
      <c r="M63" s="7">
        <v>6</v>
      </c>
      <c r="N63" s="7">
        <v>6</v>
      </c>
      <c r="O63" s="7">
        <v>6</v>
      </c>
      <c r="P63" s="9">
        <v>6</v>
      </c>
      <c r="Q63" s="6">
        <v>36</v>
      </c>
      <c r="R63" s="7">
        <v>6</v>
      </c>
      <c r="S63" s="7">
        <v>6</v>
      </c>
      <c r="T63" s="7">
        <v>5</v>
      </c>
      <c r="U63" s="9">
        <v>6</v>
      </c>
      <c r="AR63" s="6">
        <v>60</v>
      </c>
      <c r="AS63" s="7" t="s">
        <v>317</v>
      </c>
      <c r="AT63" s="7" t="s">
        <v>230</v>
      </c>
      <c r="AU63" s="7" t="s">
        <v>232</v>
      </c>
      <c r="AV63" s="9" t="s">
        <v>231</v>
      </c>
      <c r="AW63" s="6">
        <v>60</v>
      </c>
      <c r="AX63" s="7" t="s">
        <v>241</v>
      </c>
      <c r="AY63" s="7" t="s">
        <v>233</v>
      </c>
      <c r="AZ63" s="7" t="s">
        <v>238</v>
      </c>
      <c r="BA63" s="9" t="s">
        <v>234</v>
      </c>
      <c r="BD63" s="6">
        <v>36</v>
      </c>
      <c r="BE63" s="7">
        <v>7</v>
      </c>
      <c r="BF63" s="9">
        <v>5</v>
      </c>
      <c r="BG63" s="6">
        <v>36</v>
      </c>
      <c r="BH63" s="7">
        <v>6</v>
      </c>
      <c r="BI63" s="9">
        <v>4</v>
      </c>
      <c r="CM63" s="6">
        <v>60</v>
      </c>
      <c r="CN63" s="7" t="s">
        <v>230</v>
      </c>
      <c r="CO63" s="9" t="s">
        <v>242</v>
      </c>
      <c r="CP63" s="6">
        <v>60</v>
      </c>
      <c r="CQ63" s="7" t="s">
        <v>241</v>
      </c>
      <c r="CR63" s="9" t="s">
        <v>234</v>
      </c>
      <c r="DT63" s="6">
        <v>36</v>
      </c>
      <c r="DU63" s="9">
        <v>4</v>
      </c>
      <c r="DV63" s="6">
        <v>36</v>
      </c>
      <c r="DW63" s="9">
        <v>5</v>
      </c>
      <c r="ED63" s="6">
        <v>60</v>
      </c>
      <c r="EE63" s="7" t="str">
        <v>Tampa Bay</v>
      </c>
      <c r="EF63" s="9" t="str">
        <v>Minnesota</v>
      </c>
      <c r="EX63" s="6">
        <v>52</v>
      </c>
      <c r="EY63" s="7">
        <v>7</v>
      </c>
      <c r="EZ63" s="7">
        <v>26</v>
      </c>
      <c r="FA63" s="7">
        <v>6</v>
      </c>
      <c r="FB63" s="7">
        <v>6</v>
      </c>
      <c r="FC63" s="7">
        <v>6</v>
      </c>
      <c r="FD63" s="7">
        <v>6</v>
      </c>
      <c r="FE63" s="7">
        <v>7</v>
      </c>
      <c r="FF63" s="7">
        <v>7</v>
      </c>
      <c r="FG63" s="7">
        <v>26</v>
      </c>
      <c r="FH63" s="7">
        <v>16</v>
      </c>
      <c r="FI63" s="7">
        <v>7</v>
      </c>
      <c r="FJ63" s="7">
        <v>12</v>
      </c>
      <c r="FK63" s="7">
        <v>6</v>
      </c>
      <c r="FL63" s="7">
        <v>12</v>
      </c>
      <c r="FM63" s="7">
        <v>4</v>
      </c>
      <c r="FN63" s="9">
        <v>6</v>
      </c>
      <c r="FQ63" s="6">
        <v>53</v>
      </c>
      <c r="FR63" s="9">
        <v>5</v>
      </c>
      <c r="FU63" s="7">
        <v>61</v>
      </c>
      <c r="FV63" s="7" t="str">
        <v>Tampa Bay</v>
      </c>
    </row>
    <row r="64" spans="12:178" x14ac:dyDescent="0.25">
      <c r="L64" s="6">
        <v>37</v>
      </c>
      <c r="M64" s="7">
        <v>7</v>
      </c>
      <c r="N64" s="7">
        <v>5</v>
      </c>
      <c r="O64" s="7">
        <v>7</v>
      </c>
      <c r="P64" s="9">
        <v>6</v>
      </c>
      <c r="Q64" s="6">
        <v>37</v>
      </c>
      <c r="R64" s="7">
        <v>7</v>
      </c>
      <c r="S64" s="7">
        <v>5</v>
      </c>
      <c r="T64" s="7">
        <v>5</v>
      </c>
      <c r="U64" s="9">
        <v>7</v>
      </c>
      <c r="AR64" s="6">
        <v>61</v>
      </c>
      <c r="AS64" s="7" t="s">
        <v>317</v>
      </c>
      <c r="AT64" s="7" t="s">
        <v>230</v>
      </c>
      <c r="AU64" s="7" t="s">
        <v>232</v>
      </c>
      <c r="AV64" s="9" t="s">
        <v>242</v>
      </c>
      <c r="AW64" s="6">
        <v>61</v>
      </c>
      <c r="AX64" s="7" t="s">
        <v>235</v>
      </c>
      <c r="AY64" s="7" t="s">
        <v>239</v>
      </c>
      <c r="AZ64" s="7" t="s">
        <v>237</v>
      </c>
      <c r="BA64" s="9" t="s">
        <v>234</v>
      </c>
      <c r="BD64" s="6">
        <v>37</v>
      </c>
      <c r="BE64" s="7">
        <v>5</v>
      </c>
      <c r="BF64" s="9">
        <v>4</v>
      </c>
      <c r="BG64" s="6">
        <v>37</v>
      </c>
      <c r="BH64" s="7">
        <v>6</v>
      </c>
      <c r="BI64" s="9">
        <v>6</v>
      </c>
      <c r="CM64" s="6">
        <v>61</v>
      </c>
      <c r="CN64" s="7" t="s">
        <v>230</v>
      </c>
      <c r="CO64" s="9" t="s">
        <v>232</v>
      </c>
      <c r="CP64" s="6">
        <v>61</v>
      </c>
      <c r="CQ64" s="7" t="s">
        <v>241</v>
      </c>
      <c r="CR64" s="9" t="s">
        <v>240</v>
      </c>
      <c r="DT64" s="6">
        <v>37</v>
      </c>
      <c r="DU64" s="9">
        <v>5</v>
      </c>
      <c r="DV64" s="6">
        <v>37</v>
      </c>
      <c r="DW64" s="9">
        <v>7</v>
      </c>
      <c r="ED64" s="6">
        <v>61</v>
      </c>
      <c r="EE64" s="7" t="str">
        <v>Tampa Bay</v>
      </c>
      <c r="EF64" s="9" t="str">
        <v>Minnesota</v>
      </c>
      <c r="EX64" s="6">
        <v>53</v>
      </c>
      <c r="EY64" s="7">
        <v>7</v>
      </c>
      <c r="EZ64" s="7">
        <v>25</v>
      </c>
      <c r="FA64" s="7">
        <v>6</v>
      </c>
      <c r="FB64" s="7">
        <v>6</v>
      </c>
      <c r="FC64" s="7">
        <v>6</v>
      </c>
      <c r="FD64" s="7">
        <v>6</v>
      </c>
      <c r="FE64" s="7">
        <v>7</v>
      </c>
      <c r="FF64" s="7">
        <v>7</v>
      </c>
      <c r="FG64" s="7">
        <v>26</v>
      </c>
      <c r="FH64" s="7">
        <v>16</v>
      </c>
      <c r="FI64" s="7">
        <v>7</v>
      </c>
      <c r="FJ64" s="7">
        <v>12</v>
      </c>
      <c r="FK64" s="7">
        <v>6</v>
      </c>
      <c r="FL64" s="7">
        <v>12</v>
      </c>
      <c r="FM64" s="7">
        <v>4</v>
      </c>
      <c r="FN64" s="9">
        <v>6</v>
      </c>
      <c r="FQ64" s="6">
        <v>54</v>
      </c>
      <c r="FR64" s="9">
        <v>7</v>
      </c>
      <c r="FU64" s="7">
        <v>62</v>
      </c>
      <c r="FV64" s="7" t="str">
        <v>Tampa Bay</v>
      </c>
    </row>
    <row r="65" spans="12:178" x14ac:dyDescent="0.25">
      <c r="L65" s="6">
        <v>38</v>
      </c>
      <c r="M65" s="7">
        <v>5</v>
      </c>
      <c r="N65" s="7">
        <v>7</v>
      </c>
      <c r="O65" s="7">
        <v>4</v>
      </c>
      <c r="P65" s="9">
        <v>5</v>
      </c>
      <c r="Q65" s="6">
        <v>38</v>
      </c>
      <c r="R65" s="7">
        <v>5</v>
      </c>
      <c r="S65" s="7">
        <v>6</v>
      </c>
      <c r="T65" s="7">
        <v>7</v>
      </c>
      <c r="U65" s="9">
        <v>5</v>
      </c>
      <c r="AR65" s="6">
        <v>62</v>
      </c>
      <c r="AS65" s="7" t="s">
        <v>317</v>
      </c>
      <c r="AT65" s="7" t="s">
        <v>230</v>
      </c>
      <c r="AU65" s="7" t="s">
        <v>243</v>
      </c>
      <c r="AV65" s="9" t="s">
        <v>242</v>
      </c>
      <c r="AW65" s="6">
        <v>62</v>
      </c>
      <c r="AX65" s="7" t="s">
        <v>241</v>
      </c>
      <c r="AY65" s="7" t="s">
        <v>233</v>
      </c>
      <c r="AZ65" s="7" t="s">
        <v>238</v>
      </c>
      <c r="BA65" s="9" t="s">
        <v>234</v>
      </c>
      <c r="BD65" s="6">
        <v>38</v>
      </c>
      <c r="BE65" s="7">
        <v>7</v>
      </c>
      <c r="BF65" s="9">
        <v>7</v>
      </c>
      <c r="BG65" s="6">
        <v>38</v>
      </c>
      <c r="BH65" s="7">
        <v>5</v>
      </c>
      <c r="BI65" s="9">
        <v>6</v>
      </c>
      <c r="CM65" s="6">
        <v>62</v>
      </c>
      <c r="CN65" s="7" t="s">
        <v>230</v>
      </c>
      <c r="CO65" s="9" t="s">
        <v>232</v>
      </c>
      <c r="CP65" s="6">
        <v>62</v>
      </c>
      <c r="CQ65" s="7" t="s">
        <v>235</v>
      </c>
      <c r="CR65" s="9" t="s">
        <v>237</v>
      </c>
      <c r="DT65" s="6">
        <v>38</v>
      </c>
      <c r="DU65" s="9">
        <v>6</v>
      </c>
      <c r="DV65" s="6">
        <v>38</v>
      </c>
      <c r="DW65" s="9">
        <v>7</v>
      </c>
      <c r="ED65" s="6">
        <v>62</v>
      </c>
      <c r="EE65" s="7" t="str">
        <v>Tampa Bay</v>
      </c>
      <c r="EF65" s="9" t="str">
        <v>Minnesota</v>
      </c>
      <c r="EX65" s="6">
        <v>54</v>
      </c>
      <c r="EY65" s="7">
        <v>7</v>
      </c>
      <c r="EZ65" s="7">
        <v>27</v>
      </c>
      <c r="FA65" s="7">
        <v>6</v>
      </c>
      <c r="FB65" s="7">
        <v>6</v>
      </c>
      <c r="FC65" s="7">
        <v>6</v>
      </c>
      <c r="FD65" s="7">
        <v>6</v>
      </c>
      <c r="FE65" s="7">
        <v>7</v>
      </c>
      <c r="FF65" s="7">
        <v>7</v>
      </c>
      <c r="FG65" s="7">
        <v>26</v>
      </c>
      <c r="FH65" s="7">
        <v>16</v>
      </c>
      <c r="FI65" s="7">
        <v>7</v>
      </c>
      <c r="FJ65" s="7">
        <v>12</v>
      </c>
      <c r="FK65" s="7">
        <v>6</v>
      </c>
      <c r="FL65" s="7">
        <v>12</v>
      </c>
      <c r="FM65" s="7">
        <v>4</v>
      </c>
      <c r="FN65" s="9">
        <v>6</v>
      </c>
      <c r="FQ65" s="6">
        <v>55</v>
      </c>
      <c r="FR65" s="9">
        <v>5</v>
      </c>
      <c r="FU65" s="7">
        <v>63</v>
      </c>
      <c r="FV65" s="7" t="str">
        <v>Tampa Bay</v>
      </c>
    </row>
    <row r="66" spans="12:178" x14ac:dyDescent="0.25">
      <c r="L66" s="6">
        <v>39</v>
      </c>
      <c r="M66" s="7">
        <v>7</v>
      </c>
      <c r="N66" s="7">
        <v>6</v>
      </c>
      <c r="O66" s="7">
        <v>5</v>
      </c>
      <c r="P66" s="9">
        <v>5</v>
      </c>
      <c r="Q66" s="6">
        <v>39</v>
      </c>
      <c r="R66" s="7">
        <v>7</v>
      </c>
      <c r="S66" s="7">
        <v>6</v>
      </c>
      <c r="T66" s="7">
        <v>5</v>
      </c>
      <c r="U66" s="9">
        <v>7</v>
      </c>
      <c r="AR66" s="6">
        <v>63</v>
      </c>
      <c r="AS66" s="7" t="s">
        <v>317</v>
      </c>
      <c r="AT66" s="7" t="s">
        <v>230</v>
      </c>
      <c r="AU66" s="7" t="s">
        <v>232</v>
      </c>
      <c r="AV66" s="9" t="s">
        <v>231</v>
      </c>
      <c r="AW66" s="6">
        <v>63</v>
      </c>
      <c r="AX66" s="7" t="s">
        <v>235</v>
      </c>
      <c r="AY66" s="7" t="s">
        <v>239</v>
      </c>
      <c r="AZ66" s="7" t="s">
        <v>238</v>
      </c>
      <c r="BA66" s="9" t="s">
        <v>234</v>
      </c>
      <c r="BD66" s="6">
        <v>39</v>
      </c>
      <c r="BE66" s="7">
        <v>5</v>
      </c>
      <c r="BF66" s="9">
        <v>6</v>
      </c>
      <c r="BG66" s="6">
        <v>39</v>
      </c>
      <c r="BH66" s="7">
        <v>7</v>
      </c>
      <c r="BI66" s="9">
        <v>5</v>
      </c>
      <c r="CM66" s="6">
        <v>63</v>
      </c>
      <c r="CN66" s="7" t="s">
        <v>317</v>
      </c>
      <c r="CO66" s="9" t="s">
        <v>243</v>
      </c>
      <c r="CP66" s="6">
        <v>63</v>
      </c>
      <c r="CQ66" s="7" t="s">
        <v>233</v>
      </c>
      <c r="CR66" s="9" t="s">
        <v>238</v>
      </c>
      <c r="DT66" s="6">
        <v>39</v>
      </c>
      <c r="DU66" s="9">
        <v>7</v>
      </c>
      <c r="DV66" s="6">
        <v>39</v>
      </c>
      <c r="DW66" s="9">
        <v>7</v>
      </c>
      <c r="ED66" s="6">
        <v>63</v>
      </c>
      <c r="EE66" s="7" t="str">
        <v>Tampa Bay</v>
      </c>
      <c r="EF66" s="9" t="str">
        <v>Minnesota</v>
      </c>
      <c r="EX66" s="6">
        <v>55</v>
      </c>
      <c r="EY66" s="7">
        <v>7</v>
      </c>
      <c r="EZ66" s="7">
        <v>26</v>
      </c>
      <c r="FA66" s="7">
        <v>6</v>
      </c>
      <c r="FB66" s="7">
        <v>6</v>
      </c>
      <c r="FC66" s="7">
        <v>6</v>
      </c>
      <c r="FD66" s="7">
        <v>6</v>
      </c>
      <c r="FE66" s="7">
        <v>7</v>
      </c>
      <c r="FF66" s="7">
        <v>7</v>
      </c>
      <c r="FG66" s="7">
        <v>26</v>
      </c>
      <c r="FH66" s="7">
        <v>16</v>
      </c>
      <c r="FI66" s="7">
        <v>7</v>
      </c>
      <c r="FJ66" s="7">
        <v>12</v>
      </c>
      <c r="FK66" s="7">
        <v>6</v>
      </c>
      <c r="FL66" s="7">
        <v>12</v>
      </c>
      <c r="FM66" s="7">
        <v>4</v>
      </c>
      <c r="FN66" s="9">
        <v>6</v>
      </c>
      <c r="FQ66" s="6">
        <v>56</v>
      </c>
      <c r="FR66" s="9">
        <v>6</v>
      </c>
      <c r="FU66" s="7">
        <v>64</v>
      </c>
      <c r="FV66" s="7" t="str">
        <v>Tampa Bay</v>
      </c>
    </row>
    <row r="67" spans="12:178" x14ac:dyDescent="0.25">
      <c r="L67" s="6">
        <v>40</v>
      </c>
      <c r="M67" s="7">
        <v>6</v>
      </c>
      <c r="N67" s="7">
        <v>6</v>
      </c>
      <c r="O67" s="7">
        <v>6</v>
      </c>
      <c r="P67" s="9">
        <v>7</v>
      </c>
      <c r="Q67" s="6">
        <v>40</v>
      </c>
      <c r="R67" s="7">
        <v>5</v>
      </c>
      <c r="S67" s="7">
        <v>6</v>
      </c>
      <c r="T67" s="7">
        <v>5</v>
      </c>
      <c r="U67" s="9">
        <v>5</v>
      </c>
      <c r="AR67" s="6">
        <v>64</v>
      </c>
      <c r="AS67" s="7" t="s">
        <v>317</v>
      </c>
      <c r="AT67" s="7" t="s">
        <v>236</v>
      </c>
      <c r="AU67" s="7" t="s">
        <v>232</v>
      </c>
      <c r="AV67" s="9" t="s">
        <v>231</v>
      </c>
      <c r="AW67" s="6">
        <v>64</v>
      </c>
      <c r="AX67" s="7" t="s">
        <v>241</v>
      </c>
      <c r="AY67" s="7" t="s">
        <v>239</v>
      </c>
      <c r="AZ67" s="7" t="s">
        <v>238</v>
      </c>
      <c r="BA67" s="9" t="s">
        <v>234</v>
      </c>
      <c r="BD67" s="6">
        <v>40</v>
      </c>
      <c r="BE67" s="7">
        <v>7</v>
      </c>
      <c r="BF67" s="9">
        <v>6</v>
      </c>
      <c r="BG67" s="6">
        <v>40</v>
      </c>
      <c r="BH67" s="7">
        <v>7</v>
      </c>
      <c r="BI67" s="9">
        <v>5</v>
      </c>
      <c r="CM67" s="6">
        <v>64</v>
      </c>
      <c r="CN67" s="7" t="s">
        <v>229</v>
      </c>
      <c r="CO67" s="9" t="s">
        <v>243</v>
      </c>
      <c r="CP67" s="6">
        <v>64</v>
      </c>
      <c r="CQ67" s="7" t="s">
        <v>235</v>
      </c>
      <c r="CR67" s="9" t="s">
        <v>237</v>
      </c>
      <c r="DT67" s="6">
        <v>40</v>
      </c>
      <c r="DU67" s="9">
        <v>5</v>
      </c>
      <c r="DV67" s="6">
        <v>40</v>
      </c>
      <c r="DW67" s="9">
        <v>7</v>
      </c>
      <c r="ED67" s="6">
        <v>64</v>
      </c>
      <c r="EE67" s="7" t="str">
        <v>Tampa Bay</v>
      </c>
      <c r="EF67" s="9" t="str">
        <v>Minnesota</v>
      </c>
      <c r="EX67" s="6">
        <v>56</v>
      </c>
      <c r="EY67" s="7">
        <v>7</v>
      </c>
      <c r="EZ67" s="7">
        <v>25</v>
      </c>
      <c r="FA67" s="7">
        <v>6</v>
      </c>
      <c r="FB67" s="7">
        <v>6</v>
      </c>
      <c r="FC67" s="7">
        <v>6</v>
      </c>
      <c r="FD67" s="7">
        <v>6</v>
      </c>
      <c r="FE67" s="7">
        <v>7</v>
      </c>
      <c r="FF67" s="7">
        <v>7</v>
      </c>
      <c r="FG67" s="7">
        <v>26</v>
      </c>
      <c r="FH67" s="7">
        <v>16</v>
      </c>
      <c r="FI67" s="7">
        <v>7</v>
      </c>
      <c r="FJ67" s="7">
        <v>12</v>
      </c>
      <c r="FK67" s="7">
        <v>6</v>
      </c>
      <c r="FL67" s="7">
        <v>12</v>
      </c>
      <c r="FM67" s="7">
        <v>4</v>
      </c>
      <c r="FN67" s="9">
        <v>6</v>
      </c>
      <c r="FQ67" s="6">
        <v>57</v>
      </c>
      <c r="FR67" s="9">
        <v>5</v>
      </c>
      <c r="FU67" s="7">
        <v>65</v>
      </c>
      <c r="FV67" s="7" t="str">
        <v>Tampa Bay</v>
      </c>
    </row>
    <row r="68" spans="12:178" x14ac:dyDescent="0.25">
      <c r="L68" s="6">
        <v>41</v>
      </c>
      <c r="M68" s="7">
        <v>6</v>
      </c>
      <c r="N68" s="7">
        <v>6</v>
      </c>
      <c r="O68" s="7">
        <v>5</v>
      </c>
      <c r="P68" s="9">
        <v>6</v>
      </c>
      <c r="Q68" s="6">
        <v>41</v>
      </c>
      <c r="R68" s="7">
        <v>5</v>
      </c>
      <c r="S68" s="7">
        <v>7</v>
      </c>
      <c r="T68" s="7">
        <v>6</v>
      </c>
      <c r="U68" s="9">
        <v>5</v>
      </c>
      <c r="AR68" s="6">
        <v>65</v>
      </c>
      <c r="AS68" s="7" t="s">
        <v>229</v>
      </c>
      <c r="AT68" s="7" t="s">
        <v>236</v>
      </c>
      <c r="AU68" s="7" t="s">
        <v>232</v>
      </c>
      <c r="AV68" s="9" t="s">
        <v>231</v>
      </c>
      <c r="AW68" s="6">
        <v>65</v>
      </c>
      <c r="AX68" s="7" t="s">
        <v>235</v>
      </c>
      <c r="AY68" s="7" t="s">
        <v>233</v>
      </c>
      <c r="AZ68" s="7" t="s">
        <v>238</v>
      </c>
      <c r="BA68" s="9" t="s">
        <v>240</v>
      </c>
      <c r="BD68" s="6">
        <v>41</v>
      </c>
      <c r="BE68" s="7">
        <v>6</v>
      </c>
      <c r="BF68" s="9">
        <v>5</v>
      </c>
      <c r="BG68" s="6">
        <v>41</v>
      </c>
      <c r="BH68" s="7">
        <v>6</v>
      </c>
      <c r="BI68" s="9">
        <v>6</v>
      </c>
      <c r="CM68" s="6">
        <v>65</v>
      </c>
      <c r="CN68" s="7" t="s">
        <v>230</v>
      </c>
      <c r="CO68" s="9" t="s">
        <v>231</v>
      </c>
      <c r="CP68" s="6">
        <v>65</v>
      </c>
      <c r="CQ68" s="7" t="s">
        <v>239</v>
      </c>
      <c r="CR68" s="9" t="s">
        <v>234</v>
      </c>
      <c r="DT68" s="6">
        <v>41</v>
      </c>
      <c r="DU68" s="9">
        <v>7</v>
      </c>
      <c r="DV68" s="6">
        <v>41</v>
      </c>
      <c r="DW68" s="9">
        <v>4</v>
      </c>
      <c r="ED68" s="6">
        <v>65</v>
      </c>
      <c r="EE68" s="7" t="str">
        <v>Tampa Bay</v>
      </c>
      <c r="EF68" s="9" t="str">
        <v>Minnesota</v>
      </c>
      <c r="EX68" s="6">
        <v>57</v>
      </c>
      <c r="EY68" s="7">
        <v>7</v>
      </c>
      <c r="EZ68" s="7">
        <v>27</v>
      </c>
      <c r="FA68" s="7">
        <v>6</v>
      </c>
      <c r="FB68" s="7">
        <v>6</v>
      </c>
      <c r="FC68" s="7">
        <v>6</v>
      </c>
      <c r="FD68" s="7">
        <v>6</v>
      </c>
      <c r="FE68" s="7">
        <v>7</v>
      </c>
      <c r="FF68" s="7">
        <v>7</v>
      </c>
      <c r="FG68" s="7">
        <v>26</v>
      </c>
      <c r="FH68" s="7">
        <v>16</v>
      </c>
      <c r="FI68" s="7">
        <v>7</v>
      </c>
      <c r="FJ68" s="7">
        <v>12</v>
      </c>
      <c r="FK68" s="7">
        <v>6</v>
      </c>
      <c r="FL68" s="7">
        <v>12</v>
      </c>
      <c r="FM68" s="7">
        <v>4</v>
      </c>
      <c r="FN68" s="9">
        <v>6</v>
      </c>
      <c r="FQ68" s="6">
        <v>58</v>
      </c>
      <c r="FR68" s="9">
        <v>6</v>
      </c>
      <c r="FU68" s="7">
        <v>66</v>
      </c>
      <c r="FV68" s="7" t="str">
        <v>Tampa Bay</v>
      </c>
    </row>
    <row r="69" spans="12:178" x14ac:dyDescent="0.25">
      <c r="L69" s="6">
        <v>42</v>
      </c>
      <c r="M69" s="7">
        <v>5</v>
      </c>
      <c r="N69" s="7">
        <v>6</v>
      </c>
      <c r="O69" s="7">
        <v>7</v>
      </c>
      <c r="P69" s="9">
        <v>5</v>
      </c>
      <c r="Q69" s="6">
        <v>42</v>
      </c>
      <c r="R69" s="7">
        <v>7</v>
      </c>
      <c r="S69" s="7">
        <v>7</v>
      </c>
      <c r="T69" s="7">
        <v>7</v>
      </c>
      <c r="U69" s="9">
        <v>5</v>
      </c>
      <c r="AR69" s="6">
        <v>66</v>
      </c>
      <c r="AS69" s="7" t="s">
        <v>229</v>
      </c>
      <c r="AT69" s="7" t="s">
        <v>236</v>
      </c>
      <c r="AU69" s="7" t="s">
        <v>243</v>
      </c>
      <c r="AV69" s="9" t="s">
        <v>242</v>
      </c>
      <c r="AW69" s="6">
        <v>66</v>
      </c>
      <c r="AX69" s="7" t="s">
        <v>241</v>
      </c>
      <c r="AY69" s="7" t="s">
        <v>233</v>
      </c>
      <c r="AZ69" s="7" t="s">
        <v>238</v>
      </c>
      <c r="BA69" s="9" t="s">
        <v>234</v>
      </c>
      <c r="BD69" s="6">
        <v>42</v>
      </c>
      <c r="BE69" s="7">
        <v>7</v>
      </c>
      <c r="BF69" s="9">
        <v>7</v>
      </c>
      <c r="BG69" s="6">
        <v>42</v>
      </c>
      <c r="BH69" s="7">
        <v>4</v>
      </c>
      <c r="BI69" s="9">
        <v>6</v>
      </c>
      <c r="CM69" s="6">
        <v>66</v>
      </c>
      <c r="CN69" s="7" t="s">
        <v>317</v>
      </c>
      <c r="CO69" s="9" t="s">
        <v>243</v>
      </c>
      <c r="CP69" s="6">
        <v>66</v>
      </c>
      <c r="CQ69" s="7" t="s">
        <v>235</v>
      </c>
      <c r="CR69" s="9" t="s">
        <v>238</v>
      </c>
      <c r="DT69" s="6">
        <v>42</v>
      </c>
      <c r="DU69" s="9">
        <v>4</v>
      </c>
      <c r="DV69" s="6">
        <v>42</v>
      </c>
      <c r="DW69" s="9">
        <v>7</v>
      </c>
      <c r="ED69" s="6">
        <v>66</v>
      </c>
      <c r="EE69" s="7" t="str">
        <v>Tampa Bay</v>
      </c>
      <c r="EF69" s="9" t="str">
        <v>Minnesota</v>
      </c>
      <c r="EX69" s="6">
        <v>58</v>
      </c>
      <c r="EY69" s="7">
        <v>7</v>
      </c>
      <c r="EZ69" s="7">
        <v>27</v>
      </c>
      <c r="FA69" s="7">
        <v>6</v>
      </c>
      <c r="FB69" s="7">
        <v>6</v>
      </c>
      <c r="FC69" s="7">
        <v>6</v>
      </c>
      <c r="FD69" s="7">
        <v>6</v>
      </c>
      <c r="FE69" s="7">
        <v>7</v>
      </c>
      <c r="FF69" s="7">
        <v>7</v>
      </c>
      <c r="FG69" s="7">
        <v>26</v>
      </c>
      <c r="FH69" s="7">
        <v>16</v>
      </c>
      <c r="FI69" s="7">
        <v>7</v>
      </c>
      <c r="FJ69" s="7">
        <v>12</v>
      </c>
      <c r="FK69" s="7">
        <v>6</v>
      </c>
      <c r="FL69" s="7">
        <v>12</v>
      </c>
      <c r="FM69" s="7">
        <v>4</v>
      </c>
      <c r="FN69" s="9">
        <v>6</v>
      </c>
      <c r="FQ69" s="6">
        <v>59</v>
      </c>
      <c r="FR69" s="9">
        <v>6</v>
      </c>
      <c r="FU69" s="7">
        <v>67</v>
      </c>
      <c r="FV69" s="7" t="str">
        <v>Minnesota</v>
      </c>
    </row>
    <row r="70" spans="12:178" x14ac:dyDescent="0.25">
      <c r="L70" s="6">
        <v>43</v>
      </c>
      <c r="M70" s="7">
        <v>7</v>
      </c>
      <c r="N70" s="7">
        <v>7</v>
      </c>
      <c r="O70" s="7">
        <v>7</v>
      </c>
      <c r="P70" s="9">
        <v>7</v>
      </c>
      <c r="Q70" s="6">
        <v>43</v>
      </c>
      <c r="R70" s="7">
        <v>7</v>
      </c>
      <c r="S70" s="7">
        <v>6</v>
      </c>
      <c r="T70" s="7">
        <v>5</v>
      </c>
      <c r="U70" s="9">
        <v>6</v>
      </c>
      <c r="AR70" s="6">
        <v>67</v>
      </c>
      <c r="AS70" s="7" t="s">
        <v>317</v>
      </c>
      <c r="AT70" s="7" t="s">
        <v>236</v>
      </c>
      <c r="AU70" s="7" t="s">
        <v>232</v>
      </c>
      <c r="AV70" s="9" t="s">
        <v>231</v>
      </c>
      <c r="AW70" s="6">
        <v>67</v>
      </c>
      <c r="AX70" s="7" t="s">
        <v>235</v>
      </c>
      <c r="AY70" s="7" t="s">
        <v>239</v>
      </c>
      <c r="AZ70" s="7" t="s">
        <v>238</v>
      </c>
      <c r="BA70" s="9" t="s">
        <v>240</v>
      </c>
      <c r="BD70" s="6">
        <v>43</v>
      </c>
      <c r="BE70" s="7">
        <v>6</v>
      </c>
      <c r="BF70" s="9">
        <v>6</v>
      </c>
      <c r="BG70" s="6">
        <v>43</v>
      </c>
      <c r="BH70" s="7">
        <v>5</v>
      </c>
      <c r="BI70" s="9">
        <v>7</v>
      </c>
      <c r="CM70" s="6">
        <v>67</v>
      </c>
      <c r="CN70" s="7" t="s">
        <v>236</v>
      </c>
      <c r="CO70" s="9" t="s">
        <v>232</v>
      </c>
      <c r="CP70" s="6">
        <v>67</v>
      </c>
      <c r="CQ70" s="7" t="s">
        <v>235</v>
      </c>
      <c r="CR70" s="9" t="s">
        <v>238</v>
      </c>
      <c r="DT70" s="6">
        <v>43</v>
      </c>
      <c r="DU70" s="9">
        <v>6</v>
      </c>
      <c r="DV70" s="6">
        <v>43</v>
      </c>
      <c r="DW70" s="9">
        <v>7</v>
      </c>
      <c r="ED70" s="6">
        <v>67</v>
      </c>
      <c r="EE70" s="7" t="str">
        <v>Tampa Bay</v>
      </c>
      <c r="EF70" s="9" t="str">
        <v>Minnesota</v>
      </c>
      <c r="EX70" s="6">
        <v>59</v>
      </c>
      <c r="EY70" s="7">
        <v>7</v>
      </c>
      <c r="EZ70" s="7">
        <v>26</v>
      </c>
      <c r="FA70" s="7">
        <v>6</v>
      </c>
      <c r="FB70" s="7">
        <v>6</v>
      </c>
      <c r="FC70" s="7">
        <v>6</v>
      </c>
      <c r="FD70" s="7">
        <v>6</v>
      </c>
      <c r="FE70" s="7">
        <v>7</v>
      </c>
      <c r="FF70" s="7">
        <v>7</v>
      </c>
      <c r="FG70" s="7">
        <v>26</v>
      </c>
      <c r="FH70" s="7">
        <v>16</v>
      </c>
      <c r="FI70" s="7">
        <v>7</v>
      </c>
      <c r="FJ70" s="7">
        <v>12</v>
      </c>
      <c r="FK70" s="7">
        <v>6</v>
      </c>
      <c r="FL70" s="7">
        <v>12</v>
      </c>
      <c r="FM70" s="7">
        <v>4</v>
      </c>
      <c r="FN70" s="9">
        <v>6</v>
      </c>
      <c r="FQ70" s="6">
        <v>60</v>
      </c>
      <c r="FR70" s="9">
        <v>7</v>
      </c>
      <c r="FU70" s="7">
        <v>68</v>
      </c>
      <c r="FV70" s="7" t="str">
        <v>Minnesota</v>
      </c>
    </row>
    <row r="71" spans="12:178" x14ac:dyDescent="0.25">
      <c r="L71" s="6">
        <v>44</v>
      </c>
      <c r="M71" s="7">
        <v>5</v>
      </c>
      <c r="N71" s="7">
        <v>6</v>
      </c>
      <c r="O71" s="7">
        <v>5</v>
      </c>
      <c r="P71" s="9">
        <v>4</v>
      </c>
      <c r="Q71" s="6">
        <v>44</v>
      </c>
      <c r="R71" s="7">
        <v>7</v>
      </c>
      <c r="S71" s="7">
        <v>6</v>
      </c>
      <c r="T71" s="7">
        <v>5</v>
      </c>
      <c r="U71" s="9">
        <v>5</v>
      </c>
      <c r="AR71" s="6">
        <v>68</v>
      </c>
      <c r="AS71" s="7" t="s">
        <v>317</v>
      </c>
      <c r="AT71" s="7" t="s">
        <v>230</v>
      </c>
      <c r="AU71" s="7" t="s">
        <v>243</v>
      </c>
      <c r="AV71" s="9" t="s">
        <v>242</v>
      </c>
      <c r="AW71" s="6">
        <v>68</v>
      </c>
      <c r="AX71" s="7" t="s">
        <v>235</v>
      </c>
      <c r="AY71" s="7" t="s">
        <v>239</v>
      </c>
      <c r="AZ71" s="7" t="s">
        <v>237</v>
      </c>
      <c r="BA71" s="9" t="s">
        <v>234</v>
      </c>
      <c r="BD71" s="6">
        <v>44</v>
      </c>
      <c r="BE71" s="7">
        <v>4</v>
      </c>
      <c r="BF71" s="9">
        <v>6</v>
      </c>
      <c r="BG71" s="6">
        <v>44</v>
      </c>
      <c r="BH71" s="7">
        <v>5</v>
      </c>
      <c r="BI71" s="9">
        <v>7</v>
      </c>
      <c r="CM71" s="6">
        <v>68</v>
      </c>
      <c r="CN71" s="7" t="s">
        <v>317</v>
      </c>
      <c r="CO71" s="9" t="s">
        <v>231</v>
      </c>
      <c r="CP71" s="6">
        <v>68</v>
      </c>
      <c r="CQ71" s="7" t="s">
        <v>239</v>
      </c>
      <c r="CR71" s="9" t="s">
        <v>238</v>
      </c>
      <c r="DT71" s="6">
        <v>44</v>
      </c>
      <c r="DU71" s="9">
        <v>7</v>
      </c>
      <c r="DV71" s="6">
        <v>44</v>
      </c>
      <c r="DW71" s="9">
        <v>7</v>
      </c>
      <c r="ED71" s="6">
        <v>68</v>
      </c>
      <c r="EE71" s="7" t="str">
        <v>Tampa Bay</v>
      </c>
      <c r="EF71" s="9" t="str">
        <v>Minnesota</v>
      </c>
      <c r="EX71" s="6">
        <v>60</v>
      </c>
      <c r="EY71" s="7">
        <v>7</v>
      </c>
      <c r="EZ71" s="7">
        <v>24</v>
      </c>
      <c r="FA71" s="7">
        <v>6</v>
      </c>
      <c r="FB71" s="7">
        <v>6</v>
      </c>
      <c r="FC71" s="7">
        <v>6</v>
      </c>
      <c r="FD71" s="7">
        <v>6</v>
      </c>
      <c r="FE71" s="7">
        <v>7</v>
      </c>
      <c r="FF71" s="7">
        <v>7</v>
      </c>
      <c r="FG71" s="7">
        <v>26</v>
      </c>
      <c r="FH71" s="7">
        <v>16</v>
      </c>
      <c r="FI71" s="7">
        <v>7</v>
      </c>
      <c r="FJ71" s="7">
        <v>12</v>
      </c>
      <c r="FK71" s="7">
        <v>6</v>
      </c>
      <c r="FL71" s="7">
        <v>12</v>
      </c>
      <c r="FM71" s="7">
        <v>4</v>
      </c>
      <c r="FN71" s="9">
        <v>6</v>
      </c>
      <c r="FQ71" s="6">
        <v>61</v>
      </c>
      <c r="FR71" s="9">
        <v>5</v>
      </c>
      <c r="FU71" s="7">
        <v>69</v>
      </c>
      <c r="FV71" s="7" t="str">
        <v>Tampa Bay</v>
      </c>
    </row>
    <row r="72" spans="12:178" x14ac:dyDescent="0.25">
      <c r="L72" s="6">
        <v>45</v>
      </c>
      <c r="M72" s="7">
        <v>7</v>
      </c>
      <c r="N72" s="7">
        <v>4</v>
      </c>
      <c r="O72" s="7">
        <v>7</v>
      </c>
      <c r="P72" s="9">
        <v>6</v>
      </c>
      <c r="Q72" s="6">
        <v>45</v>
      </c>
      <c r="R72" s="7">
        <v>7</v>
      </c>
      <c r="S72" s="7">
        <v>5</v>
      </c>
      <c r="T72" s="7">
        <v>5</v>
      </c>
      <c r="U72" s="9">
        <v>7</v>
      </c>
      <c r="AR72" s="6">
        <v>69</v>
      </c>
      <c r="AS72" s="7" t="s">
        <v>317</v>
      </c>
      <c r="AT72" s="7" t="s">
        <v>236</v>
      </c>
      <c r="AU72" s="7" t="s">
        <v>243</v>
      </c>
      <c r="AV72" s="9" t="s">
        <v>242</v>
      </c>
      <c r="AW72" s="6">
        <v>69</v>
      </c>
      <c r="AX72" s="7" t="s">
        <v>241</v>
      </c>
      <c r="AY72" s="7" t="s">
        <v>239</v>
      </c>
      <c r="AZ72" s="7" t="s">
        <v>237</v>
      </c>
      <c r="BA72" s="9" t="s">
        <v>234</v>
      </c>
      <c r="BD72" s="6">
        <v>45</v>
      </c>
      <c r="BE72" s="7">
        <v>6</v>
      </c>
      <c r="BF72" s="9">
        <v>6</v>
      </c>
      <c r="BG72" s="6">
        <v>45</v>
      </c>
      <c r="BH72" s="7">
        <v>4</v>
      </c>
      <c r="BI72" s="9">
        <v>5</v>
      </c>
      <c r="CM72" s="6">
        <v>69</v>
      </c>
      <c r="CN72" s="7" t="s">
        <v>236</v>
      </c>
      <c r="CO72" s="9" t="s">
        <v>231</v>
      </c>
      <c r="CP72" s="6">
        <v>69</v>
      </c>
      <c r="CQ72" s="7" t="s">
        <v>235</v>
      </c>
      <c r="CR72" s="9" t="s">
        <v>234</v>
      </c>
      <c r="DT72" s="6">
        <v>45</v>
      </c>
      <c r="DU72" s="9">
        <v>4</v>
      </c>
      <c r="DV72" s="6">
        <v>45</v>
      </c>
      <c r="DW72" s="9">
        <v>7</v>
      </c>
      <c r="ED72" s="6">
        <v>69</v>
      </c>
      <c r="EE72" s="7" t="str">
        <v>Tampa Bay</v>
      </c>
      <c r="EF72" s="9" t="str">
        <v>Minnesota</v>
      </c>
      <c r="EX72" s="6">
        <v>61</v>
      </c>
      <c r="EY72" s="7">
        <v>7</v>
      </c>
      <c r="EZ72" s="7">
        <v>26</v>
      </c>
      <c r="FA72" s="7">
        <v>6</v>
      </c>
      <c r="FB72" s="7">
        <v>6</v>
      </c>
      <c r="FC72" s="7">
        <v>6</v>
      </c>
      <c r="FD72" s="7">
        <v>6</v>
      </c>
      <c r="FE72" s="7">
        <v>7</v>
      </c>
      <c r="FF72" s="7">
        <v>7</v>
      </c>
      <c r="FG72" s="7">
        <v>26</v>
      </c>
      <c r="FH72" s="7">
        <v>16</v>
      </c>
      <c r="FI72" s="7">
        <v>7</v>
      </c>
      <c r="FJ72" s="7">
        <v>12</v>
      </c>
      <c r="FK72" s="7">
        <v>6</v>
      </c>
      <c r="FL72" s="7">
        <v>12</v>
      </c>
      <c r="FM72" s="7">
        <v>4</v>
      </c>
      <c r="FN72" s="9">
        <v>6</v>
      </c>
      <c r="FQ72" s="6">
        <v>62</v>
      </c>
      <c r="FR72" s="9">
        <v>6</v>
      </c>
      <c r="FU72" s="7">
        <v>70</v>
      </c>
      <c r="FV72" s="7" t="str">
        <v>Tampa Bay</v>
      </c>
    </row>
    <row r="73" spans="12:178" x14ac:dyDescent="0.25">
      <c r="L73" s="6">
        <v>46</v>
      </c>
      <c r="M73" s="7">
        <v>6</v>
      </c>
      <c r="N73" s="7">
        <v>7</v>
      </c>
      <c r="O73" s="7">
        <v>6</v>
      </c>
      <c r="P73" s="9">
        <v>5</v>
      </c>
      <c r="Q73" s="6">
        <v>46</v>
      </c>
      <c r="R73" s="7">
        <v>6</v>
      </c>
      <c r="S73" s="7">
        <v>6</v>
      </c>
      <c r="T73" s="7">
        <v>7</v>
      </c>
      <c r="U73" s="9">
        <v>6</v>
      </c>
      <c r="AR73" s="6">
        <v>70</v>
      </c>
      <c r="AS73" s="7" t="s">
        <v>229</v>
      </c>
      <c r="AT73" s="7" t="s">
        <v>230</v>
      </c>
      <c r="AU73" s="7" t="s">
        <v>232</v>
      </c>
      <c r="AV73" s="9" t="s">
        <v>242</v>
      </c>
      <c r="AW73" s="6">
        <v>70</v>
      </c>
      <c r="AX73" s="7" t="s">
        <v>241</v>
      </c>
      <c r="AY73" s="7" t="s">
        <v>239</v>
      </c>
      <c r="AZ73" s="7" t="s">
        <v>238</v>
      </c>
      <c r="BA73" s="9" t="s">
        <v>240</v>
      </c>
      <c r="BD73" s="6">
        <v>46</v>
      </c>
      <c r="BE73" s="7">
        <v>7</v>
      </c>
      <c r="BF73" s="9">
        <v>6</v>
      </c>
      <c r="BG73" s="6">
        <v>46</v>
      </c>
      <c r="BH73" s="7">
        <v>6</v>
      </c>
      <c r="BI73" s="9">
        <v>6</v>
      </c>
      <c r="CM73" s="6">
        <v>70</v>
      </c>
      <c r="CN73" s="7" t="s">
        <v>229</v>
      </c>
      <c r="CO73" s="9" t="s">
        <v>242</v>
      </c>
      <c r="CP73" s="6">
        <v>70</v>
      </c>
      <c r="CQ73" s="7" t="s">
        <v>235</v>
      </c>
      <c r="CR73" s="9" t="s">
        <v>240</v>
      </c>
      <c r="DT73" s="6">
        <v>46</v>
      </c>
      <c r="DU73" s="9">
        <v>5</v>
      </c>
      <c r="DV73" s="6">
        <v>46</v>
      </c>
      <c r="DW73" s="9">
        <v>7</v>
      </c>
      <c r="ED73" s="6">
        <v>70</v>
      </c>
      <c r="EE73" s="7" t="str">
        <v>Tampa Bay</v>
      </c>
      <c r="EF73" s="9" t="str">
        <v>Minnesota</v>
      </c>
      <c r="EX73" s="6">
        <v>62</v>
      </c>
      <c r="EY73" s="7">
        <v>7</v>
      </c>
      <c r="EZ73" s="7">
        <v>26</v>
      </c>
      <c r="FA73" s="7">
        <v>6</v>
      </c>
      <c r="FB73" s="7">
        <v>6</v>
      </c>
      <c r="FC73" s="7">
        <v>6</v>
      </c>
      <c r="FD73" s="7">
        <v>6</v>
      </c>
      <c r="FE73" s="7">
        <v>7</v>
      </c>
      <c r="FF73" s="7">
        <v>7</v>
      </c>
      <c r="FG73" s="7">
        <v>26</v>
      </c>
      <c r="FH73" s="7">
        <v>16</v>
      </c>
      <c r="FI73" s="7">
        <v>7</v>
      </c>
      <c r="FJ73" s="7">
        <v>12</v>
      </c>
      <c r="FK73" s="7">
        <v>6</v>
      </c>
      <c r="FL73" s="7">
        <v>12</v>
      </c>
      <c r="FM73" s="7">
        <v>4</v>
      </c>
      <c r="FN73" s="9">
        <v>6</v>
      </c>
      <c r="FQ73" s="6">
        <v>63</v>
      </c>
      <c r="FR73" s="9">
        <v>7</v>
      </c>
      <c r="FU73" s="7">
        <v>71</v>
      </c>
      <c r="FV73" s="7" t="str">
        <v>Tampa Bay</v>
      </c>
    </row>
    <row r="74" spans="12:178" x14ac:dyDescent="0.25">
      <c r="L74" s="6">
        <v>47</v>
      </c>
      <c r="M74" s="7">
        <v>5</v>
      </c>
      <c r="N74" s="7">
        <v>7</v>
      </c>
      <c r="O74" s="7">
        <v>7</v>
      </c>
      <c r="P74" s="9">
        <v>5</v>
      </c>
      <c r="Q74" s="6">
        <v>47</v>
      </c>
      <c r="R74" s="7">
        <v>7</v>
      </c>
      <c r="S74" s="7">
        <v>4</v>
      </c>
      <c r="T74" s="7">
        <v>7</v>
      </c>
      <c r="U74" s="9">
        <v>5</v>
      </c>
      <c r="AR74" s="6">
        <v>71</v>
      </c>
      <c r="AS74" s="7" t="s">
        <v>317</v>
      </c>
      <c r="AT74" s="7" t="s">
        <v>230</v>
      </c>
      <c r="AU74" s="7" t="s">
        <v>243</v>
      </c>
      <c r="AV74" s="9" t="s">
        <v>242</v>
      </c>
      <c r="AW74" s="6">
        <v>71</v>
      </c>
      <c r="AX74" s="7" t="s">
        <v>235</v>
      </c>
      <c r="AY74" s="7" t="s">
        <v>233</v>
      </c>
      <c r="AZ74" s="7" t="s">
        <v>238</v>
      </c>
      <c r="BA74" s="9" t="s">
        <v>240</v>
      </c>
      <c r="BD74" s="6">
        <v>47</v>
      </c>
      <c r="BE74" s="7">
        <v>7</v>
      </c>
      <c r="BF74" s="9">
        <v>6</v>
      </c>
      <c r="BG74" s="6">
        <v>47</v>
      </c>
      <c r="BH74" s="7">
        <v>7</v>
      </c>
      <c r="BI74" s="9">
        <v>6</v>
      </c>
      <c r="CM74" s="6">
        <v>71</v>
      </c>
      <c r="CN74" s="7" t="s">
        <v>236</v>
      </c>
      <c r="CO74" s="9" t="s">
        <v>242</v>
      </c>
      <c r="CP74" s="6">
        <v>71</v>
      </c>
      <c r="CQ74" s="7" t="s">
        <v>235</v>
      </c>
      <c r="CR74" s="9" t="s">
        <v>237</v>
      </c>
      <c r="DT74" s="6">
        <v>47</v>
      </c>
      <c r="DU74" s="9">
        <v>6</v>
      </c>
      <c r="DV74" s="6">
        <v>47</v>
      </c>
      <c r="DW74" s="9">
        <v>6</v>
      </c>
      <c r="ED74" s="6">
        <v>71</v>
      </c>
      <c r="EE74" s="7" t="str">
        <v>Tampa Bay</v>
      </c>
      <c r="EF74" s="9" t="str">
        <v>Minnesota</v>
      </c>
      <c r="EX74" s="6">
        <v>63</v>
      </c>
      <c r="EY74" s="7">
        <v>7</v>
      </c>
      <c r="EZ74" s="7">
        <v>25</v>
      </c>
      <c r="FA74" s="7">
        <v>6</v>
      </c>
      <c r="FB74" s="7">
        <v>6</v>
      </c>
      <c r="FC74" s="7">
        <v>6</v>
      </c>
      <c r="FD74" s="7">
        <v>6</v>
      </c>
      <c r="FE74" s="7">
        <v>7</v>
      </c>
      <c r="FF74" s="7">
        <v>7</v>
      </c>
      <c r="FG74" s="7">
        <v>26</v>
      </c>
      <c r="FH74" s="7">
        <v>16</v>
      </c>
      <c r="FI74" s="7">
        <v>7</v>
      </c>
      <c r="FJ74" s="7">
        <v>12</v>
      </c>
      <c r="FK74" s="7">
        <v>6</v>
      </c>
      <c r="FL74" s="7">
        <v>12</v>
      </c>
      <c r="FM74" s="7">
        <v>4</v>
      </c>
      <c r="FN74" s="9">
        <v>6</v>
      </c>
      <c r="FQ74" s="6">
        <v>64</v>
      </c>
      <c r="FR74" s="9">
        <v>6</v>
      </c>
      <c r="FU74" s="7">
        <v>72</v>
      </c>
      <c r="FV74" s="7" t="str">
        <v>Tampa Bay</v>
      </c>
    </row>
    <row r="75" spans="12:178" x14ac:dyDescent="0.25">
      <c r="L75" s="6">
        <v>48</v>
      </c>
      <c r="M75" s="7">
        <v>5</v>
      </c>
      <c r="N75" s="7">
        <v>7</v>
      </c>
      <c r="O75" s="7">
        <v>5</v>
      </c>
      <c r="P75" s="9">
        <v>5</v>
      </c>
      <c r="Q75" s="6">
        <v>48</v>
      </c>
      <c r="R75" s="7">
        <v>7</v>
      </c>
      <c r="S75" s="7">
        <v>7</v>
      </c>
      <c r="T75" s="7">
        <v>7</v>
      </c>
      <c r="U75" s="9">
        <v>6</v>
      </c>
      <c r="AR75" s="6">
        <v>72</v>
      </c>
      <c r="AS75" s="7" t="s">
        <v>229</v>
      </c>
      <c r="AT75" s="7" t="s">
        <v>230</v>
      </c>
      <c r="AU75" s="7" t="s">
        <v>243</v>
      </c>
      <c r="AV75" s="9" t="s">
        <v>231</v>
      </c>
      <c r="AW75" s="6">
        <v>72</v>
      </c>
      <c r="AX75" s="7" t="s">
        <v>235</v>
      </c>
      <c r="AY75" s="7" t="s">
        <v>233</v>
      </c>
      <c r="AZ75" s="7" t="s">
        <v>237</v>
      </c>
      <c r="BA75" s="9" t="s">
        <v>234</v>
      </c>
      <c r="BD75" s="6">
        <v>48</v>
      </c>
      <c r="BE75" s="7">
        <v>6</v>
      </c>
      <c r="BF75" s="9">
        <v>7</v>
      </c>
      <c r="BG75" s="6">
        <v>48</v>
      </c>
      <c r="BH75" s="7">
        <v>6</v>
      </c>
      <c r="BI75" s="9">
        <v>6</v>
      </c>
      <c r="CM75" s="6">
        <v>72</v>
      </c>
      <c r="CN75" s="7" t="s">
        <v>230</v>
      </c>
      <c r="CO75" s="9" t="s">
        <v>231</v>
      </c>
      <c r="CP75" s="6">
        <v>72</v>
      </c>
      <c r="CQ75" s="7" t="s">
        <v>239</v>
      </c>
      <c r="CR75" s="9" t="s">
        <v>238</v>
      </c>
      <c r="DT75" s="6">
        <v>48</v>
      </c>
      <c r="DU75" s="9">
        <v>6</v>
      </c>
      <c r="DV75" s="6">
        <v>48</v>
      </c>
      <c r="DW75" s="9">
        <v>5</v>
      </c>
      <c r="ED75" s="6">
        <v>72</v>
      </c>
      <c r="EE75" s="7" t="str">
        <v>Tampa Bay</v>
      </c>
      <c r="EF75" s="9" t="str">
        <v>Minnesota</v>
      </c>
      <c r="EX75" s="6">
        <v>64</v>
      </c>
      <c r="EY75" s="7">
        <v>7</v>
      </c>
      <c r="EZ75" s="7">
        <v>26</v>
      </c>
      <c r="FA75" s="7">
        <v>6</v>
      </c>
      <c r="FB75" s="7">
        <v>6</v>
      </c>
      <c r="FC75" s="7">
        <v>6</v>
      </c>
      <c r="FD75" s="7">
        <v>6</v>
      </c>
      <c r="FE75" s="7">
        <v>7</v>
      </c>
      <c r="FF75" s="7">
        <v>7</v>
      </c>
      <c r="FG75" s="7">
        <v>26</v>
      </c>
      <c r="FH75" s="7">
        <v>16</v>
      </c>
      <c r="FI75" s="7">
        <v>7</v>
      </c>
      <c r="FJ75" s="7">
        <v>12</v>
      </c>
      <c r="FK75" s="7">
        <v>6</v>
      </c>
      <c r="FL75" s="7">
        <v>12</v>
      </c>
      <c r="FM75" s="7">
        <v>4</v>
      </c>
      <c r="FN75" s="9">
        <v>6</v>
      </c>
      <c r="FQ75" s="6">
        <v>65</v>
      </c>
      <c r="FR75" s="9">
        <v>6</v>
      </c>
      <c r="FU75" s="7">
        <v>73</v>
      </c>
      <c r="FV75" s="7" t="str">
        <v>Minnesota</v>
      </c>
    </row>
    <row r="76" spans="12:178" x14ac:dyDescent="0.25">
      <c r="L76" s="6">
        <v>49</v>
      </c>
      <c r="M76" s="7">
        <v>4</v>
      </c>
      <c r="N76" s="7">
        <v>5</v>
      </c>
      <c r="O76" s="7">
        <v>4</v>
      </c>
      <c r="P76" s="9">
        <v>4</v>
      </c>
      <c r="Q76" s="6">
        <v>49</v>
      </c>
      <c r="R76" s="7">
        <v>7</v>
      </c>
      <c r="S76" s="7">
        <v>4</v>
      </c>
      <c r="T76" s="7">
        <v>6</v>
      </c>
      <c r="U76" s="9">
        <v>7</v>
      </c>
      <c r="AR76" s="6">
        <v>73</v>
      </c>
      <c r="AS76" s="7" t="s">
        <v>229</v>
      </c>
      <c r="AT76" s="7" t="s">
        <v>230</v>
      </c>
      <c r="AU76" s="7" t="s">
        <v>232</v>
      </c>
      <c r="AV76" s="9" t="s">
        <v>242</v>
      </c>
      <c r="AW76" s="6">
        <v>73</v>
      </c>
      <c r="AX76" s="7" t="s">
        <v>235</v>
      </c>
      <c r="AY76" s="7" t="s">
        <v>239</v>
      </c>
      <c r="AZ76" s="7" t="s">
        <v>238</v>
      </c>
      <c r="BA76" s="9" t="s">
        <v>234</v>
      </c>
      <c r="BD76" s="6">
        <v>49</v>
      </c>
      <c r="BE76" s="7">
        <v>7</v>
      </c>
      <c r="BF76" s="9">
        <v>5</v>
      </c>
      <c r="BG76" s="6">
        <v>49</v>
      </c>
      <c r="BH76" s="7">
        <v>6</v>
      </c>
      <c r="BI76" s="9">
        <v>7</v>
      </c>
      <c r="CM76" s="6">
        <v>73</v>
      </c>
      <c r="CN76" s="7" t="s">
        <v>236</v>
      </c>
      <c r="CO76" s="9" t="s">
        <v>231</v>
      </c>
      <c r="CP76" s="6">
        <v>73</v>
      </c>
      <c r="CQ76" s="7" t="s">
        <v>239</v>
      </c>
      <c r="CR76" s="9" t="s">
        <v>240</v>
      </c>
      <c r="DT76" s="6">
        <v>49</v>
      </c>
      <c r="DU76" s="9">
        <v>7</v>
      </c>
      <c r="DV76" s="6">
        <v>49</v>
      </c>
      <c r="DW76" s="9">
        <v>7</v>
      </c>
      <c r="ED76" s="6">
        <v>73</v>
      </c>
      <c r="EE76" s="7" t="str">
        <v>Tampa Bay</v>
      </c>
      <c r="EF76" s="9" t="str">
        <v>Minnesota</v>
      </c>
      <c r="EX76" s="6">
        <v>65</v>
      </c>
      <c r="EY76" s="7">
        <v>7</v>
      </c>
      <c r="EZ76" s="7">
        <v>27</v>
      </c>
      <c r="FA76" s="7">
        <v>6</v>
      </c>
      <c r="FB76" s="7">
        <v>6</v>
      </c>
      <c r="FC76" s="7">
        <v>6</v>
      </c>
      <c r="FD76" s="7">
        <v>6</v>
      </c>
      <c r="FE76" s="7">
        <v>7</v>
      </c>
      <c r="FF76" s="7">
        <v>7</v>
      </c>
      <c r="FG76" s="7">
        <v>26</v>
      </c>
      <c r="FH76" s="7">
        <v>16</v>
      </c>
      <c r="FI76" s="7">
        <v>7</v>
      </c>
      <c r="FJ76" s="7">
        <v>12</v>
      </c>
      <c r="FK76" s="7">
        <v>6</v>
      </c>
      <c r="FL76" s="7">
        <v>12</v>
      </c>
      <c r="FM76" s="7">
        <v>4</v>
      </c>
      <c r="FN76" s="9">
        <v>6</v>
      </c>
      <c r="FQ76" s="6">
        <v>66</v>
      </c>
      <c r="FR76" s="9">
        <v>5</v>
      </c>
      <c r="FU76" s="7">
        <v>74</v>
      </c>
      <c r="FV76" s="7" t="str">
        <v>Tampa Bay</v>
      </c>
    </row>
    <row r="77" spans="12:178" x14ac:dyDescent="0.25">
      <c r="L77" s="6">
        <v>50</v>
      </c>
      <c r="M77" s="7">
        <v>7</v>
      </c>
      <c r="N77" s="7">
        <v>6</v>
      </c>
      <c r="O77" s="7">
        <v>6</v>
      </c>
      <c r="P77" s="9">
        <v>6</v>
      </c>
      <c r="Q77" s="6">
        <v>50</v>
      </c>
      <c r="R77" s="7">
        <v>5</v>
      </c>
      <c r="S77" s="7">
        <v>6</v>
      </c>
      <c r="T77" s="7">
        <v>4</v>
      </c>
      <c r="U77" s="9">
        <v>7</v>
      </c>
      <c r="AR77" s="6">
        <v>74</v>
      </c>
      <c r="AS77" s="7" t="s">
        <v>229</v>
      </c>
      <c r="AT77" s="7" t="s">
        <v>230</v>
      </c>
      <c r="AU77" s="7" t="s">
        <v>232</v>
      </c>
      <c r="AV77" s="9" t="s">
        <v>242</v>
      </c>
      <c r="AW77" s="6">
        <v>74</v>
      </c>
      <c r="AX77" s="7" t="s">
        <v>235</v>
      </c>
      <c r="AY77" s="7" t="s">
        <v>233</v>
      </c>
      <c r="AZ77" s="7" t="s">
        <v>237</v>
      </c>
      <c r="BA77" s="9" t="s">
        <v>240</v>
      </c>
      <c r="BD77" s="6">
        <v>50</v>
      </c>
      <c r="BE77" s="7">
        <v>7</v>
      </c>
      <c r="BF77" s="9">
        <v>6</v>
      </c>
      <c r="BG77" s="6">
        <v>50</v>
      </c>
      <c r="BH77" s="7">
        <v>5</v>
      </c>
      <c r="BI77" s="9">
        <v>6</v>
      </c>
      <c r="CM77" s="6">
        <v>74</v>
      </c>
      <c r="CN77" s="7" t="s">
        <v>229</v>
      </c>
      <c r="CO77" s="9" t="s">
        <v>243</v>
      </c>
      <c r="CP77" s="6">
        <v>74</v>
      </c>
      <c r="CQ77" s="7" t="s">
        <v>239</v>
      </c>
      <c r="CR77" s="9" t="s">
        <v>238</v>
      </c>
      <c r="DT77" s="6">
        <v>50</v>
      </c>
      <c r="DU77" s="9">
        <v>4</v>
      </c>
      <c r="DV77" s="6">
        <v>50</v>
      </c>
      <c r="DW77" s="9">
        <v>5</v>
      </c>
      <c r="ED77" s="6">
        <v>74</v>
      </c>
      <c r="EE77" s="7" t="str">
        <v>Tampa Bay</v>
      </c>
      <c r="EF77" s="9" t="str">
        <v>Minnesota</v>
      </c>
      <c r="EX77" s="6">
        <v>66</v>
      </c>
      <c r="EY77" s="7">
        <v>7</v>
      </c>
      <c r="EZ77" s="7">
        <v>27</v>
      </c>
      <c r="FA77" s="7">
        <v>6</v>
      </c>
      <c r="FB77" s="7">
        <v>6</v>
      </c>
      <c r="FC77" s="7">
        <v>6</v>
      </c>
      <c r="FD77" s="7">
        <v>6</v>
      </c>
      <c r="FE77" s="7">
        <v>7</v>
      </c>
      <c r="FF77" s="7">
        <v>7</v>
      </c>
      <c r="FG77" s="7">
        <v>26</v>
      </c>
      <c r="FH77" s="7">
        <v>16</v>
      </c>
      <c r="FI77" s="7">
        <v>7</v>
      </c>
      <c r="FJ77" s="7">
        <v>12</v>
      </c>
      <c r="FK77" s="7">
        <v>6</v>
      </c>
      <c r="FL77" s="7">
        <v>12</v>
      </c>
      <c r="FM77" s="7">
        <v>4</v>
      </c>
      <c r="FN77" s="9">
        <v>6</v>
      </c>
      <c r="FQ77" s="6">
        <v>67</v>
      </c>
      <c r="FR77" s="9">
        <v>5</v>
      </c>
      <c r="FU77" s="7">
        <v>75</v>
      </c>
      <c r="FV77" s="7" t="str">
        <v>Minnesota</v>
      </c>
    </row>
    <row r="78" spans="12:178" x14ac:dyDescent="0.25">
      <c r="L78" s="6">
        <v>51</v>
      </c>
      <c r="M78" s="7">
        <v>6</v>
      </c>
      <c r="N78" s="7">
        <v>6</v>
      </c>
      <c r="O78" s="7">
        <v>7</v>
      </c>
      <c r="P78" s="9">
        <v>7</v>
      </c>
      <c r="Q78" s="6">
        <v>51</v>
      </c>
      <c r="R78" s="7">
        <v>5</v>
      </c>
      <c r="S78" s="7">
        <v>6</v>
      </c>
      <c r="T78" s="7">
        <v>7</v>
      </c>
      <c r="U78" s="9">
        <v>7</v>
      </c>
      <c r="AR78" s="6">
        <v>75</v>
      </c>
      <c r="AS78" s="7" t="s">
        <v>317</v>
      </c>
      <c r="AT78" s="7" t="s">
        <v>230</v>
      </c>
      <c r="AU78" s="7" t="s">
        <v>232</v>
      </c>
      <c r="AV78" s="9" t="s">
        <v>231</v>
      </c>
      <c r="AW78" s="6">
        <v>75</v>
      </c>
      <c r="AX78" s="7" t="s">
        <v>241</v>
      </c>
      <c r="AY78" s="7" t="s">
        <v>239</v>
      </c>
      <c r="AZ78" s="7" t="s">
        <v>237</v>
      </c>
      <c r="BA78" s="9" t="s">
        <v>240</v>
      </c>
      <c r="BD78" s="6">
        <v>51</v>
      </c>
      <c r="BE78" s="7">
        <v>7</v>
      </c>
      <c r="BF78" s="9">
        <v>6</v>
      </c>
      <c r="BG78" s="6">
        <v>51</v>
      </c>
      <c r="BH78" s="7">
        <v>7</v>
      </c>
      <c r="BI78" s="9">
        <v>6</v>
      </c>
      <c r="CM78" s="6">
        <v>75</v>
      </c>
      <c r="CN78" s="7" t="s">
        <v>230</v>
      </c>
      <c r="CO78" s="9" t="s">
        <v>232</v>
      </c>
      <c r="CP78" s="6">
        <v>75</v>
      </c>
      <c r="CQ78" s="7" t="s">
        <v>241</v>
      </c>
      <c r="CR78" s="9" t="s">
        <v>237</v>
      </c>
      <c r="DT78" s="6">
        <v>51</v>
      </c>
      <c r="DU78" s="9">
        <v>7</v>
      </c>
      <c r="DV78" s="6">
        <v>51</v>
      </c>
      <c r="DW78" s="9">
        <v>7</v>
      </c>
      <c r="ED78" s="6">
        <v>75</v>
      </c>
      <c r="EE78" s="7" t="str">
        <v>Tampa Bay</v>
      </c>
      <c r="EF78" s="9" t="str">
        <v>Minnesota</v>
      </c>
      <c r="EX78" s="6">
        <v>67</v>
      </c>
      <c r="EY78" s="7">
        <v>7</v>
      </c>
      <c r="EZ78" s="7">
        <v>26</v>
      </c>
      <c r="FA78" s="7">
        <v>6</v>
      </c>
      <c r="FB78" s="7">
        <v>6</v>
      </c>
      <c r="FC78" s="7">
        <v>6</v>
      </c>
      <c r="FD78" s="7">
        <v>6</v>
      </c>
      <c r="FE78" s="7">
        <v>7</v>
      </c>
      <c r="FF78" s="7">
        <v>7</v>
      </c>
      <c r="FG78" s="7">
        <v>26</v>
      </c>
      <c r="FH78" s="7">
        <v>16</v>
      </c>
      <c r="FI78" s="7">
        <v>7</v>
      </c>
      <c r="FJ78" s="7">
        <v>12</v>
      </c>
      <c r="FK78" s="7">
        <v>6</v>
      </c>
      <c r="FL78" s="7">
        <v>12</v>
      </c>
      <c r="FM78" s="7">
        <v>4</v>
      </c>
      <c r="FN78" s="9">
        <v>6</v>
      </c>
      <c r="FQ78" s="6">
        <v>68</v>
      </c>
      <c r="FR78" s="9">
        <v>4</v>
      </c>
      <c r="FU78" s="7">
        <v>76</v>
      </c>
      <c r="FV78" s="7" t="str">
        <v>Minnesota</v>
      </c>
    </row>
    <row r="79" spans="12:178" x14ac:dyDescent="0.25">
      <c r="L79" s="6">
        <v>52</v>
      </c>
      <c r="M79" s="7">
        <v>7</v>
      </c>
      <c r="N79" s="7">
        <v>6</v>
      </c>
      <c r="O79" s="7">
        <v>5</v>
      </c>
      <c r="P79" s="9">
        <v>7</v>
      </c>
      <c r="Q79" s="6">
        <v>52</v>
      </c>
      <c r="R79" s="7">
        <v>6</v>
      </c>
      <c r="S79" s="7">
        <v>7</v>
      </c>
      <c r="T79" s="7">
        <v>5</v>
      </c>
      <c r="U79" s="9">
        <v>4</v>
      </c>
      <c r="AR79" s="6">
        <v>76</v>
      </c>
      <c r="AS79" s="7" t="s">
        <v>317</v>
      </c>
      <c r="AT79" s="7" t="s">
        <v>230</v>
      </c>
      <c r="AU79" s="7" t="s">
        <v>232</v>
      </c>
      <c r="AV79" s="9" t="s">
        <v>242</v>
      </c>
      <c r="AW79" s="6">
        <v>76</v>
      </c>
      <c r="AX79" s="7" t="s">
        <v>235</v>
      </c>
      <c r="AY79" s="7" t="s">
        <v>233</v>
      </c>
      <c r="AZ79" s="7" t="s">
        <v>237</v>
      </c>
      <c r="BA79" s="9" t="s">
        <v>240</v>
      </c>
      <c r="BD79" s="6">
        <v>52</v>
      </c>
      <c r="BE79" s="7">
        <v>6</v>
      </c>
      <c r="BF79" s="9">
        <v>7</v>
      </c>
      <c r="BG79" s="6">
        <v>52</v>
      </c>
      <c r="BH79" s="7">
        <v>7</v>
      </c>
      <c r="BI79" s="9">
        <v>4</v>
      </c>
      <c r="CM79" s="6">
        <v>76</v>
      </c>
      <c r="CN79" s="7" t="s">
        <v>230</v>
      </c>
      <c r="CO79" s="9" t="s">
        <v>243</v>
      </c>
      <c r="CP79" s="6">
        <v>76</v>
      </c>
      <c r="CQ79" s="7" t="s">
        <v>241</v>
      </c>
      <c r="CR79" s="9" t="s">
        <v>238</v>
      </c>
      <c r="DT79" s="6">
        <v>52</v>
      </c>
      <c r="DU79" s="9">
        <v>5</v>
      </c>
      <c r="DV79" s="6">
        <v>52</v>
      </c>
      <c r="DW79" s="9">
        <v>7</v>
      </c>
      <c r="ED79" s="6">
        <v>76</v>
      </c>
      <c r="EE79" s="7" t="str">
        <v>Tampa Bay</v>
      </c>
      <c r="EF79" s="9" t="str">
        <v>Minnesota</v>
      </c>
      <c r="EX79" s="6">
        <v>68</v>
      </c>
      <c r="EY79" s="7">
        <v>7</v>
      </c>
      <c r="EZ79" s="7">
        <v>24</v>
      </c>
      <c r="FA79" s="7">
        <v>6</v>
      </c>
      <c r="FB79" s="7">
        <v>6</v>
      </c>
      <c r="FC79" s="7">
        <v>6</v>
      </c>
      <c r="FD79" s="7">
        <v>6</v>
      </c>
      <c r="FE79" s="7">
        <v>7</v>
      </c>
      <c r="FF79" s="7">
        <v>7</v>
      </c>
      <c r="FG79" s="7">
        <v>26</v>
      </c>
      <c r="FH79" s="7">
        <v>16</v>
      </c>
      <c r="FI79" s="7">
        <v>7</v>
      </c>
      <c r="FJ79" s="7">
        <v>12</v>
      </c>
      <c r="FK79" s="7">
        <v>6</v>
      </c>
      <c r="FL79" s="7">
        <v>12</v>
      </c>
      <c r="FM79" s="7">
        <v>4</v>
      </c>
      <c r="FN79" s="9">
        <v>6</v>
      </c>
      <c r="FQ79" s="6">
        <v>69</v>
      </c>
      <c r="FR79" s="9">
        <v>6</v>
      </c>
      <c r="FU79" s="7">
        <v>77</v>
      </c>
      <c r="FV79" s="7" t="str">
        <v>Tampa Bay</v>
      </c>
    </row>
    <row r="80" spans="12:178" x14ac:dyDescent="0.25">
      <c r="L80" s="6">
        <v>53</v>
      </c>
      <c r="M80" s="7">
        <v>5</v>
      </c>
      <c r="N80" s="7">
        <v>6</v>
      </c>
      <c r="O80" s="7">
        <v>4</v>
      </c>
      <c r="P80" s="9">
        <v>7</v>
      </c>
      <c r="Q80" s="6">
        <v>53</v>
      </c>
      <c r="R80" s="7">
        <v>7</v>
      </c>
      <c r="S80" s="7">
        <v>6</v>
      </c>
      <c r="T80" s="7">
        <v>6</v>
      </c>
      <c r="U80" s="9">
        <v>7</v>
      </c>
      <c r="AR80" s="6">
        <v>77</v>
      </c>
      <c r="AS80" s="7" t="s">
        <v>229</v>
      </c>
      <c r="AT80" s="7" t="s">
        <v>230</v>
      </c>
      <c r="AU80" s="7" t="s">
        <v>232</v>
      </c>
      <c r="AV80" s="9" t="s">
        <v>242</v>
      </c>
      <c r="AW80" s="6">
        <v>77</v>
      </c>
      <c r="AX80" s="7" t="s">
        <v>241</v>
      </c>
      <c r="AY80" s="7" t="s">
        <v>239</v>
      </c>
      <c r="AZ80" s="7" t="s">
        <v>238</v>
      </c>
      <c r="BA80" s="9" t="s">
        <v>234</v>
      </c>
      <c r="BD80" s="6">
        <v>53</v>
      </c>
      <c r="BE80" s="7">
        <v>6</v>
      </c>
      <c r="BF80" s="9">
        <v>7</v>
      </c>
      <c r="BG80" s="6">
        <v>53</v>
      </c>
      <c r="BH80" s="7">
        <v>6</v>
      </c>
      <c r="BI80" s="9">
        <v>7</v>
      </c>
      <c r="CM80" s="6">
        <v>77</v>
      </c>
      <c r="CN80" s="7" t="s">
        <v>317</v>
      </c>
      <c r="CO80" s="9" t="s">
        <v>231</v>
      </c>
      <c r="CP80" s="6">
        <v>77</v>
      </c>
      <c r="CQ80" s="7" t="s">
        <v>239</v>
      </c>
      <c r="CR80" s="9" t="s">
        <v>240</v>
      </c>
      <c r="DT80" s="6">
        <v>53</v>
      </c>
      <c r="DU80" s="9">
        <v>4</v>
      </c>
      <c r="DV80" s="6">
        <v>53</v>
      </c>
      <c r="DW80" s="9">
        <v>7</v>
      </c>
      <c r="ED80" s="6">
        <v>77</v>
      </c>
      <c r="EE80" s="7" t="str">
        <v>Tampa Bay</v>
      </c>
      <c r="EF80" s="9" t="str">
        <v>Minnesota</v>
      </c>
      <c r="EX80" s="6">
        <v>69</v>
      </c>
      <c r="EY80" s="7">
        <v>7</v>
      </c>
      <c r="EZ80" s="7">
        <v>25</v>
      </c>
      <c r="FA80" s="7">
        <v>6</v>
      </c>
      <c r="FB80" s="7">
        <v>6</v>
      </c>
      <c r="FC80" s="7">
        <v>6</v>
      </c>
      <c r="FD80" s="7">
        <v>6</v>
      </c>
      <c r="FE80" s="7">
        <v>7</v>
      </c>
      <c r="FF80" s="7">
        <v>7</v>
      </c>
      <c r="FG80" s="7">
        <v>26</v>
      </c>
      <c r="FH80" s="7">
        <v>16</v>
      </c>
      <c r="FI80" s="7">
        <v>7</v>
      </c>
      <c r="FJ80" s="7">
        <v>12</v>
      </c>
      <c r="FK80" s="7">
        <v>6</v>
      </c>
      <c r="FL80" s="7">
        <v>12</v>
      </c>
      <c r="FM80" s="7">
        <v>4</v>
      </c>
      <c r="FN80" s="9">
        <v>6</v>
      </c>
      <c r="FQ80" s="6">
        <v>70</v>
      </c>
      <c r="FR80" s="9">
        <v>5</v>
      </c>
      <c r="FU80" s="7">
        <v>78</v>
      </c>
      <c r="FV80" s="7" t="str">
        <v>Tampa Bay</v>
      </c>
    </row>
    <row r="81" spans="12:178" x14ac:dyDescent="0.25">
      <c r="L81" s="6">
        <v>54</v>
      </c>
      <c r="M81" s="7">
        <v>4</v>
      </c>
      <c r="N81" s="7">
        <v>6</v>
      </c>
      <c r="O81" s="7">
        <v>7</v>
      </c>
      <c r="P81" s="9">
        <v>7</v>
      </c>
      <c r="Q81" s="6">
        <v>54</v>
      </c>
      <c r="R81" s="7">
        <v>6</v>
      </c>
      <c r="S81" s="7">
        <v>5</v>
      </c>
      <c r="T81" s="7">
        <v>5</v>
      </c>
      <c r="U81" s="9">
        <v>5</v>
      </c>
      <c r="AR81" s="6">
        <v>78</v>
      </c>
      <c r="AS81" s="7" t="s">
        <v>317</v>
      </c>
      <c r="AT81" s="7" t="s">
        <v>236</v>
      </c>
      <c r="AU81" s="7" t="s">
        <v>243</v>
      </c>
      <c r="AV81" s="9" t="s">
        <v>242</v>
      </c>
      <c r="AW81" s="6">
        <v>78</v>
      </c>
      <c r="AX81" s="7" t="s">
        <v>241</v>
      </c>
      <c r="AY81" s="7" t="s">
        <v>239</v>
      </c>
      <c r="AZ81" s="7" t="s">
        <v>237</v>
      </c>
      <c r="BA81" s="9" t="s">
        <v>240</v>
      </c>
      <c r="BD81" s="6">
        <v>54</v>
      </c>
      <c r="BE81" s="7">
        <v>6</v>
      </c>
      <c r="BF81" s="9">
        <v>5</v>
      </c>
      <c r="BG81" s="6">
        <v>54</v>
      </c>
      <c r="BH81" s="7">
        <v>5</v>
      </c>
      <c r="BI81" s="9">
        <v>6</v>
      </c>
      <c r="CM81" s="6">
        <v>78</v>
      </c>
      <c r="CN81" s="7" t="s">
        <v>229</v>
      </c>
      <c r="CO81" s="9" t="s">
        <v>243</v>
      </c>
      <c r="CP81" s="6">
        <v>78</v>
      </c>
      <c r="CQ81" s="7" t="s">
        <v>239</v>
      </c>
      <c r="CR81" s="9" t="s">
        <v>238</v>
      </c>
      <c r="DT81" s="6">
        <v>54</v>
      </c>
      <c r="DU81" s="9">
        <v>6</v>
      </c>
      <c r="DV81" s="6">
        <v>54</v>
      </c>
      <c r="DW81" s="9">
        <v>6</v>
      </c>
      <c r="ED81" s="6">
        <v>78</v>
      </c>
      <c r="EE81" s="7" t="str">
        <v>Tampa Bay</v>
      </c>
      <c r="EF81" s="9" t="str">
        <v>Minnesota</v>
      </c>
      <c r="EX81" s="6">
        <v>70</v>
      </c>
      <c r="EY81" s="7">
        <v>7</v>
      </c>
      <c r="EZ81" s="7">
        <v>27</v>
      </c>
      <c r="FA81" s="7">
        <v>6</v>
      </c>
      <c r="FB81" s="7">
        <v>6</v>
      </c>
      <c r="FC81" s="7">
        <v>6</v>
      </c>
      <c r="FD81" s="7">
        <v>6</v>
      </c>
      <c r="FE81" s="7">
        <v>7</v>
      </c>
      <c r="FF81" s="7">
        <v>7</v>
      </c>
      <c r="FG81" s="7">
        <v>26</v>
      </c>
      <c r="FH81" s="7">
        <v>16</v>
      </c>
      <c r="FI81" s="7">
        <v>7</v>
      </c>
      <c r="FJ81" s="7">
        <v>12</v>
      </c>
      <c r="FK81" s="7">
        <v>6</v>
      </c>
      <c r="FL81" s="7">
        <v>12</v>
      </c>
      <c r="FM81" s="7">
        <v>4</v>
      </c>
      <c r="FN81" s="9">
        <v>6</v>
      </c>
      <c r="FQ81" s="6">
        <v>71</v>
      </c>
      <c r="FR81" s="9">
        <v>5</v>
      </c>
      <c r="FU81" s="7">
        <v>79</v>
      </c>
      <c r="FV81" s="7" t="str">
        <v>Tampa Bay</v>
      </c>
    </row>
    <row r="82" spans="12:178" x14ac:dyDescent="0.25">
      <c r="L82" s="6">
        <v>55</v>
      </c>
      <c r="M82" s="7">
        <v>5</v>
      </c>
      <c r="N82" s="7">
        <v>6</v>
      </c>
      <c r="O82" s="7">
        <v>7</v>
      </c>
      <c r="P82" s="9">
        <v>5</v>
      </c>
      <c r="Q82" s="6">
        <v>55</v>
      </c>
      <c r="R82" s="7">
        <v>6</v>
      </c>
      <c r="S82" s="7">
        <v>6</v>
      </c>
      <c r="T82" s="7">
        <v>5</v>
      </c>
      <c r="U82" s="9">
        <v>4</v>
      </c>
      <c r="AR82" s="6">
        <v>79</v>
      </c>
      <c r="AS82" s="7" t="s">
        <v>317</v>
      </c>
      <c r="AT82" s="7" t="s">
        <v>230</v>
      </c>
      <c r="AU82" s="7" t="s">
        <v>232</v>
      </c>
      <c r="AV82" s="9" t="s">
        <v>231</v>
      </c>
      <c r="AW82" s="6">
        <v>79</v>
      </c>
      <c r="AX82" s="7" t="s">
        <v>241</v>
      </c>
      <c r="AY82" s="7" t="s">
        <v>239</v>
      </c>
      <c r="AZ82" s="7" t="s">
        <v>237</v>
      </c>
      <c r="BA82" s="9" t="s">
        <v>234</v>
      </c>
      <c r="BD82" s="6">
        <v>55</v>
      </c>
      <c r="BE82" s="7">
        <v>4</v>
      </c>
      <c r="BF82" s="9">
        <v>6</v>
      </c>
      <c r="BG82" s="6">
        <v>55</v>
      </c>
      <c r="BH82" s="7">
        <v>6</v>
      </c>
      <c r="BI82" s="9">
        <v>7</v>
      </c>
      <c r="CM82" s="6">
        <v>79</v>
      </c>
      <c r="CN82" s="7" t="s">
        <v>230</v>
      </c>
      <c r="CO82" s="9" t="s">
        <v>242</v>
      </c>
      <c r="CP82" s="6">
        <v>79</v>
      </c>
      <c r="CQ82" s="7" t="s">
        <v>233</v>
      </c>
      <c r="CR82" s="9" t="s">
        <v>238</v>
      </c>
      <c r="DT82" s="6">
        <v>55</v>
      </c>
      <c r="DU82" s="9">
        <v>7</v>
      </c>
      <c r="DV82" s="6">
        <v>55</v>
      </c>
      <c r="DW82" s="9">
        <v>6</v>
      </c>
      <c r="ED82" s="6">
        <v>79</v>
      </c>
      <c r="EE82" s="7" t="str">
        <v>Tampa Bay</v>
      </c>
      <c r="EF82" s="9" t="str">
        <v>Minnesota</v>
      </c>
      <c r="EX82" s="6">
        <v>71</v>
      </c>
      <c r="EY82" s="7">
        <v>7</v>
      </c>
      <c r="EZ82" s="7">
        <v>25</v>
      </c>
      <c r="FA82" s="7">
        <v>6</v>
      </c>
      <c r="FB82" s="7">
        <v>6</v>
      </c>
      <c r="FC82" s="7">
        <v>6</v>
      </c>
      <c r="FD82" s="7">
        <v>6</v>
      </c>
      <c r="FE82" s="7">
        <v>7</v>
      </c>
      <c r="FF82" s="7">
        <v>7</v>
      </c>
      <c r="FG82" s="7">
        <v>26</v>
      </c>
      <c r="FH82" s="7">
        <v>16</v>
      </c>
      <c r="FI82" s="7">
        <v>7</v>
      </c>
      <c r="FJ82" s="7">
        <v>12</v>
      </c>
      <c r="FK82" s="7">
        <v>6</v>
      </c>
      <c r="FL82" s="7">
        <v>12</v>
      </c>
      <c r="FM82" s="7">
        <v>4</v>
      </c>
      <c r="FN82" s="9">
        <v>6</v>
      </c>
      <c r="FQ82" s="6">
        <v>72</v>
      </c>
      <c r="FR82" s="9">
        <v>7</v>
      </c>
      <c r="FU82" s="7">
        <v>80</v>
      </c>
      <c r="FV82" s="7" t="str">
        <v>Tampa Bay</v>
      </c>
    </row>
    <row r="83" spans="12:178" x14ac:dyDescent="0.25">
      <c r="L83" s="6">
        <v>56</v>
      </c>
      <c r="M83" s="7">
        <v>5</v>
      </c>
      <c r="N83" s="7">
        <v>7</v>
      </c>
      <c r="O83" s="7">
        <v>6</v>
      </c>
      <c r="P83" s="9">
        <v>4</v>
      </c>
      <c r="Q83" s="6">
        <v>56</v>
      </c>
      <c r="R83" s="7">
        <v>6</v>
      </c>
      <c r="S83" s="7">
        <v>6</v>
      </c>
      <c r="T83" s="7">
        <v>4</v>
      </c>
      <c r="U83" s="9">
        <v>4</v>
      </c>
      <c r="AR83" s="6">
        <v>80</v>
      </c>
      <c r="AS83" s="7" t="s">
        <v>229</v>
      </c>
      <c r="AT83" s="7" t="s">
        <v>236</v>
      </c>
      <c r="AU83" s="7" t="s">
        <v>232</v>
      </c>
      <c r="AV83" s="9" t="s">
        <v>231</v>
      </c>
      <c r="AW83" s="6">
        <v>80</v>
      </c>
      <c r="AX83" s="7" t="s">
        <v>241</v>
      </c>
      <c r="AY83" s="7" t="s">
        <v>233</v>
      </c>
      <c r="AZ83" s="7" t="s">
        <v>237</v>
      </c>
      <c r="BA83" s="9" t="s">
        <v>234</v>
      </c>
      <c r="BD83" s="6">
        <v>56</v>
      </c>
      <c r="BE83" s="7">
        <v>5</v>
      </c>
      <c r="BF83" s="9">
        <v>6</v>
      </c>
      <c r="BG83" s="6">
        <v>56</v>
      </c>
      <c r="BH83" s="7">
        <v>6</v>
      </c>
      <c r="BI83" s="9">
        <v>6</v>
      </c>
      <c r="CM83" s="6">
        <v>80</v>
      </c>
      <c r="CN83" s="7" t="s">
        <v>230</v>
      </c>
      <c r="CO83" s="9" t="s">
        <v>242</v>
      </c>
      <c r="CP83" s="6">
        <v>80</v>
      </c>
      <c r="CQ83" s="7" t="s">
        <v>233</v>
      </c>
      <c r="CR83" s="9" t="s">
        <v>237</v>
      </c>
      <c r="DT83" s="6">
        <v>56</v>
      </c>
      <c r="DU83" s="9">
        <v>6</v>
      </c>
      <c r="DV83" s="6">
        <v>56</v>
      </c>
      <c r="DW83" s="9">
        <v>4</v>
      </c>
      <c r="ED83" s="6">
        <v>80</v>
      </c>
      <c r="EE83" s="7" t="str">
        <v>Tampa Bay</v>
      </c>
      <c r="EF83" s="9" t="str">
        <v>Minnesota</v>
      </c>
      <c r="EX83" s="6">
        <v>72</v>
      </c>
      <c r="EY83" s="7">
        <v>7</v>
      </c>
      <c r="EZ83" s="7">
        <v>27</v>
      </c>
      <c r="FA83" s="7">
        <v>6</v>
      </c>
      <c r="FB83" s="7">
        <v>6</v>
      </c>
      <c r="FC83" s="7">
        <v>6</v>
      </c>
      <c r="FD83" s="7">
        <v>6</v>
      </c>
      <c r="FE83" s="7">
        <v>7</v>
      </c>
      <c r="FF83" s="7">
        <v>7</v>
      </c>
      <c r="FG83" s="7">
        <v>26</v>
      </c>
      <c r="FH83" s="7">
        <v>16</v>
      </c>
      <c r="FI83" s="7">
        <v>7</v>
      </c>
      <c r="FJ83" s="7">
        <v>12</v>
      </c>
      <c r="FK83" s="7">
        <v>6</v>
      </c>
      <c r="FL83" s="7">
        <v>12</v>
      </c>
      <c r="FM83" s="7">
        <v>4</v>
      </c>
      <c r="FN83" s="9">
        <v>6</v>
      </c>
      <c r="FQ83" s="6">
        <v>73</v>
      </c>
      <c r="FR83" s="9">
        <v>4</v>
      </c>
      <c r="FU83" s="7">
        <v>81</v>
      </c>
      <c r="FV83" s="7" t="str">
        <v>Minnesota</v>
      </c>
    </row>
    <row r="84" spans="12:178" x14ac:dyDescent="0.25">
      <c r="L84" s="6">
        <v>57</v>
      </c>
      <c r="M84" s="7">
        <v>7</v>
      </c>
      <c r="N84" s="7">
        <v>7</v>
      </c>
      <c r="O84" s="7">
        <v>6</v>
      </c>
      <c r="P84" s="9">
        <v>5</v>
      </c>
      <c r="Q84" s="6">
        <v>57</v>
      </c>
      <c r="R84" s="7">
        <v>7</v>
      </c>
      <c r="S84" s="7">
        <v>6</v>
      </c>
      <c r="T84" s="7">
        <v>7</v>
      </c>
      <c r="U84" s="9">
        <v>5</v>
      </c>
      <c r="AR84" s="6">
        <v>81</v>
      </c>
      <c r="AS84" s="7" t="s">
        <v>317</v>
      </c>
      <c r="AT84" s="7" t="s">
        <v>236</v>
      </c>
      <c r="AU84" s="7" t="s">
        <v>232</v>
      </c>
      <c r="AV84" s="9" t="s">
        <v>242</v>
      </c>
      <c r="AW84" s="6">
        <v>81</v>
      </c>
      <c r="AX84" s="7" t="s">
        <v>241</v>
      </c>
      <c r="AY84" s="7" t="s">
        <v>239</v>
      </c>
      <c r="AZ84" s="7" t="s">
        <v>238</v>
      </c>
      <c r="BA84" s="9" t="s">
        <v>234</v>
      </c>
      <c r="BD84" s="6">
        <v>57</v>
      </c>
      <c r="BE84" s="7">
        <v>6</v>
      </c>
      <c r="BF84" s="9">
        <v>7</v>
      </c>
      <c r="BG84" s="6">
        <v>57</v>
      </c>
      <c r="BH84" s="7">
        <v>6</v>
      </c>
      <c r="BI84" s="9">
        <v>7</v>
      </c>
      <c r="CM84" s="6">
        <v>81</v>
      </c>
      <c r="CN84" s="7" t="s">
        <v>236</v>
      </c>
      <c r="CO84" s="9" t="s">
        <v>243</v>
      </c>
      <c r="CP84" s="6">
        <v>81</v>
      </c>
      <c r="CQ84" s="7" t="s">
        <v>241</v>
      </c>
      <c r="CR84" s="9" t="s">
        <v>234</v>
      </c>
      <c r="DT84" s="6">
        <v>57</v>
      </c>
      <c r="DU84" s="9">
        <v>6</v>
      </c>
      <c r="DV84" s="6">
        <v>57</v>
      </c>
      <c r="DW84" s="9">
        <v>7</v>
      </c>
      <c r="ED84" s="6">
        <v>81</v>
      </c>
      <c r="EE84" s="7" t="str">
        <v>Tampa Bay</v>
      </c>
      <c r="EF84" s="9" t="str">
        <v>Minnesota</v>
      </c>
      <c r="EX84" s="6">
        <v>73</v>
      </c>
      <c r="EY84" s="7">
        <v>7</v>
      </c>
      <c r="EZ84" s="7">
        <v>27</v>
      </c>
      <c r="FA84" s="7">
        <v>6</v>
      </c>
      <c r="FB84" s="7">
        <v>6</v>
      </c>
      <c r="FC84" s="7">
        <v>6</v>
      </c>
      <c r="FD84" s="7">
        <v>6</v>
      </c>
      <c r="FE84" s="7">
        <v>7</v>
      </c>
      <c r="FF84" s="7">
        <v>7</v>
      </c>
      <c r="FG84" s="7">
        <v>26</v>
      </c>
      <c r="FH84" s="7">
        <v>16</v>
      </c>
      <c r="FI84" s="7">
        <v>7</v>
      </c>
      <c r="FJ84" s="7">
        <v>12</v>
      </c>
      <c r="FK84" s="7">
        <v>6</v>
      </c>
      <c r="FL84" s="7">
        <v>12</v>
      </c>
      <c r="FM84" s="7">
        <v>4</v>
      </c>
      <c r="FN84" s="9">
        <v>6</v>
      </c>
      <c r="FQ84" s="6">
        <v>74</v>
      </c>
      <c r="FR84" s="9">
        <v>5</v>
      </c>
      <c r="FU84" s="7">
        <v>82</v>
      </c>
      <c r="FV84" s="7" t="str">
        <v>Minnesota</v>
      </c>
    </row>
    <row r="85" spans="12:178" x14ac:dyDescent="0.25">
      <c r="L85" s="6">
        <v>58</v>
      </c>
      <c r="M85" s="7">
        <v>6</v>
      </c>
      <c r="N85" s="7">
        <v>4</v>
      </c>
      <c r="O85" s="7">
        <v>7</v>
      </c>
      <c r="P85" s="9">
        <v>6</v>
      </c>
      <c r="Q85" s="6">
        <v>58</v>
      </c>
      <c r="R85" s="7">
        <v>5</v>
      </c>
      <c r="S85" s="7">
        <v>6</v>
      </c>
      <c r="T85" s="7">
        <v>7</v>
      </c>
      <c r="U85" s="9">
        <v>7</v>
      </c>
      <c r="AR85" s="6">
        <v>82</v>
      </c>
      <c r="AS85" s="7" t="s">
        <v>229</v>
      </c>
      <c r="AT85" s="7" t="s">
        <v>236</v>
      </c>
      <c r="AU85" s="7" t="s">
        <v>243</v>
      </c>
      <c r="AV85" s="9" t="s">
        <v>231</v>
      </c>
      <c r="AW85" s="6">
        <v>82</v>
      </c>
      <c r="AX85" s="7" t="s">
        <v>241</v>
      </c>
      <c r="AY85" s="7" t="s">
        <v>239</v>
      </c>
      <c r="AZ85" s="7" t="s">
        <v>238</v>
      </c>
      <c r="BA85" s="9" t="s">
        <v>234</v>
      </c>
      <c r="BD85" s="6">
        <v>58</v>
      </c>
      <c r="BE85" s="7">
        <v>7</v>
      </c>
      <c r="BF85" s="9">
        <v>6</v>
      </c>
      <c r="BG85" s="6">
        <v>58</v>
      </c>
      <c r="BH85" s="7">
        <v>5</v>
      </c>
      <c r="BI85" s="9">
        <v>7</v>
      </c>
      <c r="CM85" s="6">
        <v>82</v>
      </c>
      <c r="CN85" s="7" t="s">
        <v>230</v>
      </c>
      <c r="CO85" s="9" t="s">
        <v>242</v>
      </c>
      <c r="CP85" s="6">
        <v>82</v>
      </c>
      <c r="CQ85" s="7" t="s">
        <v>235</v>
      </c>
      <c r="CR85" s="9" t="s">
        <v>237</v>
      </c>
      <c r="DT85" s="6">
        <v>58</v>
      </c>
      <c r="DU85" s="9">
        <v>4</v>
      </c>
      <c r="DV85" s="6">
        <v>58</v>
      </c>
      <c r="DW85" s="9">
        <v>7</v>
      </c>
      <c r="ED85" s="6">
        <v>82</v>
      </c>
      <c r="EE85" s="7" t="str">
        <v>Tampa Bay</v>
      </c>
      <c r="EF85" s="9" t="str">
        <v>Minnesota</v>
      </c>
      <c r="EX85" s="6">
        <v>74</v>
      </c>
      <c r="EY85" s="7">
        <v>7</v>
      </c>
      <c r="EZ85" s="7">
        <v>25</v>
      </c>
      <c r="FA85" s="7">
        <v>6</v>
      </c>
      <c r="FB85" s="7">
        <v>6</v>
      </c>
      <c r="FC85" s="7">
        <v>6</v>
      </c>
      <c r="FD85" s="7">
        <v>6</v>
      </c>
      <c r="FE85" s="7">
        <v>7</v>
      </c>
      <c r="FF85" s="7">
        <v>7</v>
      </c>
      <c r="FG85" s="7">
        <v>26</v>
      </c>
      <c r="FH85" s="7">
        <v>16</v>
      </c>
      <c r="FI85" s="7">
        <v>7</v>
      </c>
      <c r="FJ85" s="7">
        <v>12</v>
      </c>
      <c r="FK85" s="7">
        <v>6</v>
      </c>
      <c r="FL85" s="7">
        <v>12</v>
      </c>
      <c r="FM85" s="7">
        <v>4</v>
      </c>
      <c r="FN85" s="9">
        <v>6</v>
      </c>
      <c r="FQ85" s="6">
        <v>75</v>
      </c>
      <c r="FR85" s="9">
        <v>6</v>
      </c>
      <c r="FU85" s="7">
        <v>83</v>
      </c>
      <c r="FV85" s="7" t="str">
        <v>Tampa Bay</v>
      </c>
    </row>
    <row r="86" spans="12:178" x14ac:dyDescent="0.25">
      <c r="L86" s="6">
        <v>59</v>
      </c>
      <c r="M86" s="7">
        <v>5</v>
      </c>
      <c r="N86" s="7">
        <v>7</v>
      </c>
      <c r="O86" s="7">
        <v>6</v>
      </c>
      <c r="P86" s="9">
        <v>5</v>
      </c>
      <c r="Q86" s="6">
        <v>59</v>
      </c>
      <c r="R86" s="7">
        <v>7</v>
      </c>
      <c r="S86" s="7">
        <v>6</v>
      </c>
      <c r="T86" s="7">
        <v>7</v>
      </c>
      <c r="U86" s="9">
        <v>5</v>
      </c>
      <c r="AR86" s="6">
        <v>83</v>
      </c>
      <c r="AS86" s="7" t="s">
        <v>317</v>
      </c>
      <c r="AT86" s="7" t="s">
        <v>230</v>
      </c>
      <c r="AU86" s="7" t="s">
        <v>243</v>
      </c>
      <c r="AV86" s="9" t="s">
        <v>231</v>
      </c>
      <c r="AW86" s="6">
        <v>83</v>
      </c>
      <c r="AX86" s="7" t="s">
        <v>241</v>
      </c>
      <c r="AY86" s="7" t="s">
        <v>239</v>
      </c>
      <c r="AZ86" s="7" t="s">
        <v>237</v>
      </c>
      <c r="BA86" s="9" t="s">
        <v>240</v>
      </c>
      <c r="BD86" s="6">
        <v>59</v>
      </c>
      <c r="BE86" s="7">
        <v>6</v>
      </c>
      <c r="BF86" s="9">
        <v>6</v>
      </c>
      <c r="BG86" s="6">
        <v>59</v>
      </c>
      <c r="BH86" s="7">
        <v>7</v>
      </c>
      <c r="BI86" s="9">
        <v>5</v>
      </c>
      <c r="CM86" s="6">
        <v>83</v>
      </c>
      <c r="CN86" s="7" t="s">
        <v>317</v>
      </c>
      <c r="CO86" s="9" t="s">
        <v>232</v>
      </c>
      <c r="CP86" s="6">
        <v>83</v>
      </c>
      <c r="CQ86" s="7" t="s">
        <v>235</v>
      </c>
      <c r="CR86" s="9" t="s">
        <v>237</v>
      </c>
      <c r="DT86" s="6">
        <v>59</v>
      </c>
      <c r="DU86" s="9">
        <v>6</v>
      </c>
      <c r="DV86" s="6">
        <v>59</v>
      </c>
      <c r="DW86" s="9">
        <v>7</v>
      </c>
      <c r="ED86" s="6">
        <v>83</v>
      </c>
      <c r="EE86" s="7" t="str">
        <v>Tampa Bay</v>
      </c>
      <c r="EF86" s="9" t="str">
        <v>Minnesota</v>
      </c>
      <c r="EX86" s="6">
        <v>75</v>
      </c>
      <c r="EY86" s="7">
        <v>7</v>
      </c>
      <c r="EZ86" s="7">
        <v>25</v>
      </c>
      <c r="FA86" s="7">
        <v>6</v>
      </c>
      <c r="FB86" s="7">
        <v>6</v>
      </c>
      <c r="FC86" s="7">
        <v>6</v>
      </c>
      <c r="FD86" s="7">
        <v>6</v>
      </c>
      <c r="FE86" s="7">
        <v>7</v>
      </c>
      <c r="FF86" s="7">
        <v>7</v>
      </c>
      <c r="FG86" s="7">
        <v>26</v>
      </c>
      <c r="FH86" s="7">
        <v>16</v>
      </c>
      <c r="FI86" s="7">
        <v>7</v>
      </c>
      <c r="FJ86" s="7">
        <v>12</v>
      </c>
      <c r="FK86" s="7">
        <v>6</v>
      </c>
      <c r="FL86" s="7">
        <v>12</v>
      </c>
      <c r="FM86" s="7">
        <v>4</v>
      </c>
      <c r="FN86" s="9">
        <v>6</v>
      </c>
      <c r="FQ86" s="6">
        <v>76</v>
      </c>
      <c r="FR86" s="9">
        <v>4</v>
      </c>
      <c r="FU86" s="7">
        <v>84</v>
      </c>
      <c r="FV86" s="7" t="str">
        <v>Minnesota</v>
      </c>
    </row>
    <row r="87" spans="12:178" x14ac:dyDescent="0.25">
      <c r="L87" s="6">
        <v>60</v>
      </c>
      <c r="M87" s="7">
        <v>6</v>
      </c>
      <c r="N87" s="7">
        <v>6</v>
      </c>
      <c r="O87" s="7">
        <v>7</v>
      </c>
      <c r="P87" s="9">
        <v>5</v>
      </c>
      <c r="Q87" s="6">
        <v>60</v>
      </c>
      <c r="R87" s="7">
        <v>6</v>
      </c>
      <c r="S87" s="7">
        <v>7</v>
      </c>
      <c r="T87" s="7">
        <v>6</v>
      </c>
      <c r="U87" s="9">
        <v>7</v>
      </c>
      <c r="AR87" s="6">
        <v>84</v>
      </c>
      <c r="AS87" s="7" t="s">
        <v>317</v>
      </c>
      <c r="AT87" s="7" t="s">
        <v>230</v>
      </c>
      <c r="AU87" s="7" t="s">
        <v>232</v>
      </c>
      <c r="AV87" s="9" t="s">
        <v>231</v>
      </c>
      <c r="AW87" s="6">
        <v>84</v>
      </c>
      <c r="AX87" s="7" t="s">
        <v>235</v>
      </c>
      <c r="AY87" s="7" t="s">
        <v>239</v>
      </c>
      <c r="AZ87" s="7" t="s">
        <v>238</v>
      </c>
      <c r="BA87" s="9" t="s">
        <v>234</v>
      </c>
      <c r="BD87" s="6">
        <v>60</v>
      </c>
      <c r="BE87" s="7">
        <v>7</v>
      </c>
      <c r="BF87" s="9">
        <v>5</v>
      </c>
      <c r="BG87" s="6">
        <v>60</v>
      </c>
      <c r="BH87" s="7">
        <v>7</v>
      </c>
      <c r="BI87" s="9">
        <v>5</v>
      </c>
      <c r="CM87" s="6">
        <v>84</v>
      </c>
      <c r="CN87" s="7" t="s">
        <v>317</v>
      </c>
      <c r="CO87" s="9" t="s">
        <v>232</v>
      </c>
      <c r="CP87" s="6">
        <v>84</v>
      </c>
      <c r="CQ87" s="7" t="s">
        <v>233</v>
      </c>
      <c r="CR87" s="9" t="s">
        <v>238</v>
      </c>
      <c r="DT87" s="6">
        <v>60</v>
      </c>
      <c r="DU87" s="9">
        <v>7</v>
      </c>
      <c r="DV87" s="6">
        <v>60</v>
      </c>
      <c r="DW87" s="9">
        <v>7</v>
      </c>
      <c r="ED87" s="6">
        <v>84</v>
      </c>
      <c r="EE87" s="7" t="str">
        <v>Tampa Bay</v>
      </c>
      <c r="EF87" s="9" t="str">
        <v>Minnesota</v>
      </c>
      <c r="EX87" s="6">
        <v>76</v>
      </c>
      <c r="EY87" s="7">
        <v>7</v>
      </c>
      <c r="EZ87" s="7">
        <v>24</v>
      </c>
      <c r="FA87" s="7">
        <v>6</v>
      </c>
      <c r="FB87" s="7">
        <v>6</v>
      </c>
      <c r="FC87" s="7">
        <v>6</v>
      </c>
      <c r="FD87" s="7">
        <v>6</v>
      </c>
      <c r="FE87" s="7">
        <v>7</v>
      </c>
      <c r="FF87" s="7">
        <v>7</v>
      </c>
      <c r="FG87" s="7">
        <v>26</v>
      </c>
      <c r="FH87" s="7">
        <v>16</v>
      </c>
      <c r="FI87" s="7">
        <v>7</v>
      </c>
      <c r="FJ87" s="7">
        <v>12</v>
      </c>
      <c r="FK87" s="7">
        <v>6</v>
      </c>
      <c r="FL87" s="7">
        <v>12</v>
      </c>
      <c r="FM87" s="7">
        <v>4</v>
      </c>
      <c r="FN87" s="9">
        <v>6</v>
      </c>
      <c r="FQ87" s="6">
        <v>77</v>
      </c>
      <c r="FR87" s="9">
        <v>5</v>
      </c>
      <c r="FU87" s="7">
        <v>85</v>
      </c>
      <c r="FV87" s="7" t="str">
        <v>Tampa Bay</v>
      </c>
    </row>
    <row r="88" spans="12:178" x14ac:dyDescent="0.25">
      <c r="L88" s="6">
        <v>61</v>
      </c>
      <c r="M88" s="7">
        <v>6</v>
      </c>
      <c r="N88" s="7">
        <v>6</v>
      </c>
      <c r="O88" s="7">
        <v>4</v>
      </c>
      <c r="P88" s="9">
        <v>4</v>
      </c>
      <c r="Q88" s="6">
        <v>61</v>
      </c>
      <c r="R88" s="7">
        <v>6</v>
      </c>
      <c r="S88" s="7">
        <v>6</v>
      </c>
      <c r="T88" s="7">
        <v>7</v>
      </c>
      <c r="U88" s="9">
        <v>5</v>
      </c>
      <c r="AR88" s="6">
        <v>85</v>
      </c>
      <c r="AS88" s="7" t="s">
        <v>317</v>
      </c>
      <c r="AT88" s="7" t="s">
        <v>230</v>
      </c>
      <c r="AU88" s="7" t="s">
        <v>232</v>
      </c>
      <c r="AV88" s="9" t="s">
        <v>242</v>
      </c>
      <c r="AW88" s="6">
        <v>85</v>
      </c>
      <c r="AX88" s="7" t="s">
        <v>241</v>
      </c>
      <c r="AY88" s="7" t="s">
        <v>233</v>
      </c>
      <c r="AZ88" s="7" t="s">
        <v>237</v>
      </c>
      <c r="BA88" s="9" t="s">
        <v>240</v>
      </c>
      <c r="BD88" s="6">
        <v>61</v>
      </c>
      <c r="BE88" s="7">
        <v>5</v>
      </c>
      <c r="BF88" s="9">
        <v>7</v>
      </c>
      <c r="BG88" s="6">
        <v>61</v>
      </c>
      <c r="BH88" s="7">
        <v>6</v>
      </c>
      <c r="BI88" s="9">
        <v>4</v>
      </c>
      <c r="CM88" s="6">
        <v>85</v>
      </c>
      <c r="CN88" s="7" t="s">
        <v>230</v>
      </c>
      <c r="CO88" s="9" t="s">
        <v>231</v>
      </c>
      <c r="CP88" s="6">
        <v>85</v>
      </c>
      <c r="CQ88" s="7" t="s">
        <v>239</v>
      </c>
      <c r="CR88" s="9" t="s">
        <v>240</v>
      </c>
      <c r="DT88" s="6">
        <v>61</v>
      </c>
      <c r="DU88" s="9">
        <v>7</v>
      </c>
      <c r="DV88" s="6">
        <v>61</v>
      </c>
      <c r="DW88" s="9">
        <v>7</v>
      </c>
      <c r="ED88" s="6">
        <v>85</v>
      </c>
      <c r="EE88" s="7" t="str">
        <v>Tampa Bay</v>
      </c>
      <c r="EF88" s="9" t="str">
        <v>Minnesota</v>
      </c>
      <c r="EX88" s="6">
        <v>77</v>
      </c>
      <c r="EY88" s="7">
        <v>7</v>
      </c>
      <c r="EZ88" s="7">
        <v>25</v>
      </c>
      <c r="FA88" s="7">
        <v>6</v>
      </c>
      <c r="FB88" s="7">
        <v>6</v>
      </c>
      <c r="FC88" s="7">
        <v>6</v>
      </c>
      <c r="FD88" s="7">
        <v>6</v>
      </c>
      <c r="FE88" s="7">
        <v>7</v>
      </c>
      <c r="FF88" s="7">
        <v>7</v>
      </c>
      <c r="FG88" s="7">
        <v>26</v>
      </c>
      <c r="FH88" s="7">
        <v>16</v>
      </c>
      <c r="FI88" s="7">
        <v>7</v>
      </c>
      <c r="FJ88" s="7">
        <v>12</v>
      </c>
      <c r="FK88" s="7">
        <v>6</v>
      </c>
      <c r="FL88" s="7">
        <v>12</v>
      </c>
      <c r="FM88" s="7">
        <v>4</v>
      </c>
      <c r="FN88" s="9">
        <v>6</v>
      </c>
      <c r="FQ88" s="6">
        <v>78</v>
      </c>
      <c r="FR88" s="9">
        <v>4</v>
      </c>
      <c r="FU88" s="7">
        <v>86</v>
      </c>
      <c r="FV88" s="7" t="str">
        <v>Tampa Bay</v>
      </c>
    </row>
    <row r="89" spans="12:178" x14ac:dyDescent="0.25">
      <c r="L89" s="6">
        <v>62</v>
      </c>
      <c r="M89" s="7">
        <v>7</v>
      </c>
      <c r="N89" s="7">
        <v>6</v>
      </c>
      <c r="O89" s="7">
        <v>5</v>
      </c>
      <c r="P89" s="9">
        <v>4</v>
      </c>
      <c r="Q89" s="6">
        <v>62</v>
      </c>
      <c r="R89" s="7">
        <v>6</v>
      </c>
      <c r="S89" s="7">
        <v>7</v>
      </c>
      <c r="T89" s="7">
        <v>6</v>
      </c>
      <c r="U89" s="9">
        <v>4</v>
      </c>
      <c r="AR89" s="6">
        <v>86</v>
      </c>
      <c r="AS89" s="7" t="s">
        <v>229</v>
      </c>
      <c r="AT89" s="7" t="s">
        <v>236</v>
      </c>
      <c r="AU89" s="7" t="s">
        <v>243</v>
      </c>
      <c r="AV89" s="9" t="s">
        <v>242</v>
      </c>
      <c r="AW89" s="6">
        <v>86</v>
      </c>
      <c r="AX89" s="7" t="s">
        <v>241</v>
      </c>
      <c r="AY89" s="7" t="s">
        <v>239</v>
      </c>
      <c r="AZ89" s="7" t="s">
        <v>238</v>
      </c>
      <c r="BA89" s="9" t="s">
        <v>240</v>
      </c>
      <c r="BD89" s="6">
        <v>62</v>
      </c>
      <c r="BE89" s="7">
        <v>5</v>
      </c>
      <c r="BF89" s="9">
        <v>7</v>
      </c>
      <c r="BG89" s="6">
        <v>62</v>
      </c>
      <c r="BH89" s="7">
        <v>5</v>
      </c>
      <c r="BI89" s="9">
        <v>6</v>
      </c>
      <c r="CM89" s="6">
        <v>86</v>
      </c>
      <c r="CN89" s="7" t="s">
        <v>229</v>
      </c>
      <c r="CO89" s="9" t="s">
        <v>242</v>
      </c>
      <c r="CP89" s="6">
        <v>86</v>
      </c>
      <c r="CQ89" s="7" t="s">
        <v>239</v>
      </c>
      <c r="CR89" s="9" t="s">
        <v>238</v>
      </c>
      <c r="DT89" s="6">
        <v>62</v>
      </c>
      <c r="DU89" s="9">
        <v>5</v>
      </c>
      <c r="DV89" s="6">
        <v>62</v>
      </c>
      <c r="DW89" s="9">
        <v>7</v>
      </c>
      <c r="ED89" s="6">
        <v>86</v>
      </c>
      <c r="EE89" s="7" t="str">
        <v>Tampa Bay</v>
      </c>
      <c r="EF89" s="9" t="str">
        <v>Minnesota</v>
      </c>
      <c r="EX89" s="6">
        <v>78</v>
      </c>
      <c r="EY89" s="7">
        <v>7</v>
      </c>
      <c r="EZ89" s="7">
        <v>25</v>
      </c>
      <c r="FA89" s="7">
        <v>6</v>
      </c>
      <c r="FB89" s="7">
        <v>6</v>
      </c>
      <c r="FC89" s="7">
        <v>6</v>
      </c>
      <c r="FD89" s="7">
        <v>6</v>
      </c>
      <c r="FE89" s="7">
        <v>7</v>
      </c>
      <c r="FF89" s="7">
        <v>7</v>
      </c>
      <c r="FG89" s="7">
        <v>26</v>
      </c>
      <c r="FH89" s="7">
        <v>16</v>
      </c>
      <c r="FI89" s="7">
        <v>7</v>
      </c>
      <c r="FJ89" s="7">
        <v>12</v>
      </c>
      <c r="FK89" s="7">
        <v>6</v>
      </c>
      <c r="FL89" s="7">
        <v>12</v>
      </c>
      <c r="FM89" s="7">
        <v>4</v>
      </c>
      <c r="FN89" s="9">
        <v>6</v>
      </c>
      <c r="FQ89" s="6">
        <v>79</v>
      </c>
      <c r="FR89" s="9">
        <v>4</v>
      </c>
      <c r="FU89" s="7">
        <v>87</v>
      </c>
      <c r="FV89" s="7" t="str">
        <v>Tampa Bay</v>
      </c>
    </row>
    <row r="90" spans="12:178" x14ac:dyDescent="0.25">
      <c r="L90" s="6">
        <v>63</v>
      </c>
      <c r="M90" s="7">
        <v>7</v>
      </c>
      <c r="N90" s="7">
        <v>7</v>
      </c>
      <c r="O90" s="7">
        <v>4</v>
      </c>
      <c r="P90" s="9">
        <v>7</v>
      </c>
      <c r="Q90" s="6">
        <v>63</v>
      </c>
      <c r="R90" s="7">
        <v>5</v>
      </c>
      <c r="S90" s="7">
        <v>4</v>
      </c>
      <c r="T90" s="7">
        <v>5</v>
      </c>
      <c r="U90" s="9">
        <v>6</v>
      </c>
      <c r="AR90" s="6">
        <v>87</v>
      </c>
      <c r="AS90" s="7" t="s">
        <v>229</v>
      </c>
      <c r="AT90" s="7" t="s">
        <v>236</v>
      </c>
      <c r="AU90" s="7" t="s">
        <v>232</v>
      </c>
      <c r="AV90" s="9" t="s">
        <v>242</v>
      </c>
      <c r="AW90" s="6">
        <v>87</v>
      </c>
      <c r="AX90" s="7" t="s">
        <v>235</v>
      </c>
      <c r="AY90" s="7" t="s">
        <v>233</v>
      </c>
      <c r="AZ90" s="7" t="s">
        <v>237</v>
      </c>
      <c r="BA90" s="9" t="s">
        <v>234</v>
      </c>
      <c r="BD90" s="6">
        <v>63</v>
      </c>
      <c r="BE90" s="7">
        <v>4</v>
      </c>
      <c r="BF90" s="9">
        <v>6</v>
      </c>
      <c r="BG90" s="6">
        <v>63</v>
      </c>
      <c r="BH90" s="7">
        <v>6</v>
      </c>
      <c r="BI90" s="9">
        <v>5</v>
      </c>
      <c r="CM90" s="6">
        <v>87</v>
      </c>
      <c r="CN90" s="7" t="s">
        <v>317</v>
      </c>
      <c r="CO90" s="9" t="s">
        <v>231</v>
      </c>
      <c r="CP90" s="6">
        <v>87</v>
      </c>
      <c r="CQ90" s="7" t="s">
        <v>233</v>
      </c>
      <c r="CR90" s="9" t="s">
        <v>240</v>
      </c>
      <c r="DT90" s="6">
        <v>63</v>
      </c>
      <c r="DU90" s="9">
        <v>6</v>
      </c>
      <c r="DV90" s="6">
        <v>63</v>
      </c>
      <c r="DW90" s="9">
        <v>7</v>
      </c>
      <c r="ED90" s="6">
        <v>87</v>
      </c>
      <c r="EE90" s="7" t="str">
        <v>Tampa Bay</v>
      </c>
      <c r="EF90" s="9" t="str">
        <v>Minnesota</v>
      </c>
      <c r="EX90" s="6">
        <v>79</v>
      </c>
      <c r="EY90" s="7">
        <v>7</v>
      </c>
      <c r="EZ90" s="7">
        <v>27</v>
      </c>
      <c r="FA90" s="7">
        <v>6</v>
      </c>
      <c r="FB90" s="7">
        <v>6</v>
      </c>
      <c r="FC90" s="7">
        <v>6</v>
      </c>
      <c r="FD90" s="7">
        <v>6</v>
      </c>
      <c r="FE90" s="7">
        <v>7</v>
      </c>
      <c r="FF90" s="7">
        <v>7</v>
      </c>
      <c r="FG90" s="7">
        <v>26</v>
      </c>
      <c r="FH90" s="7">
        <v>16</v>
      </c>
      <c r="FI90" s="7">
        <v>7</v>
      </c>
      <c r="FJ90" s="7">
        <v>12</v>
      </c>
      <c r="FK90" s="7">
        <v>6</v>
      </c>
      <c r="FL90" s="7">
        <v>12</v>
      </c>
      <c r="FM90" s="7">
        <v>4</v>
      </c>
      <c r="FN90" s="9">
        <v>6</v>
      </c>
      <c r="FQ90" s="6">
        <v>80</v>
      </c>
      <c r="FR90" s="9">
        <v>5</v>
      </c>
      <c r="FU90" s="7">
        <v>88</v>
      </c>
      <c r="FV90" s="7" t="str">
        <v>Tampa Bay</v>
      </c>
    </row>
    <row r="91" spans="12:178" x14ac:dyDescent="0.25">
      <c r="L91" s="6">
        <v>64</v>
      </c>
      <c r="M91" s="7">
        <v>6</v>
      </c>
      <c r="N91" s="7">
        <v>6</v>
      </c>
      <c r="O91" s="7">
        <v>7</v>
      </c>
      <c r="P91" s="9">
        <v>4</v>
      </c>
      <c r="Q91" s="6">
        <v>64</v>
      </c>
      <c r="R91" s="7">
        <v>6</v>
      </c>
      <c r="S91" s="7">
        <v>7</v>
      </c>
      <c r="T91" s="7">
        <v>6</v>
      </c>
      <c r="U91" s="9">
        <v>7</v>
      </c>
      <c r="AR91" s="6">
        <v>88</v>
      </c>
      <c r="AS91" s="7" t="s">
        <v>317</v>
      </c>
      <c r="AT91" s="7" t="s">
        <v>230</v>
      </c>
      <c r="AU91" s="7" t="s">
        <v>232</v>
      </c>
      <c r="AV91" s="9" t="s">
        <v>242</v>
      </c>
      <c r="AW91" s="6">
        <v>88</v>
      </c>
      <c r="AX91" s="7" t="s">
        <v>235</v>
      </c>
      <c r="AY91" s="7" t="s">
        <v>233</v>
      </c>
      <c r="AZ91" s="7" t="s">
        <v>237</v>
      </c>
      <c r="BA91" s="9" t="s">
        <v>234</v>
      </c>
      <c r="BD91" s="6">
        <v>64</v>
      </c>
      <c r="BE91" s="7">
        <v>7</v>
      </c>
      <c r="BF91" s="9">
        <v>6</v>
      </c>
      <c r="BG91" s="6">
        <v>64</v>
      </c>
      <c r="BH91" s="7">
        <v>4</v>
      </c>
      <c r="BI91" s="9">
        <v>7</v>
      </c>
      <c r="CM91" s="6">
        <v>88</v>
      </c>
      <c r="CN91" s="7" t="s">
        <v>236</v>
      </c>
      <c r="CO91" s="9" t="s">
        <v>242</v>
      </c>
      <c r="CP91" s="6">
        <v>88</v>
      </c>
      <c r="CQ91" s="7" t="s">
        <v>235</v>
      </c>
      <c r="CR91" s="9" t="s">
        <v>238</v>
      </c>
      <c r="DT91" s="6">
        <v>64</v>
      </c>
      <c r="DU91" s="9">
        <v>7</v>
      </c>
      <c r="DV91" s="6">
        <v>64</v>
      </c>
      <c r="DW91" s="9">
        <v>7</v>
      </c>
      <c r="ED91" s="6">
        <v>88</v>
      </c>
      <c r="EE91" s="7" t="str">
        <v>Tampa Bay</v>
      </c>
      <c r="EF91" s="9" t="str">
        <v>Minnesota</v>
      </c>
      <c r="EX91" s="6">
        <v>80</v>
      </c>
      <c r="EY91" s="7">
        <v>7</v>
      </c>
      <c r="EZ91" s="7">
        <v>26</v>
      </c>
      <c r="FA91" s="7">
        <v>6</v>
      </c>
      <c r="FB91" s="7">
        <v>6</v>
      </c>
      <c r="FC91" s="7">
        <v>6</v>
      </c>
      <c r="FD91" s="7">
        <v>6</v>
      </c>
      <c r="FE91" s="7">
        <v>7</v>
      </c>
      <c r="FF91" s="7">
        <v>7</v>
      </c>
      <c r="FG91" s="7">
        <v>26</v>
      </c>
      <c r="FH91" s="7">
        <v>16</v>
      </c>
      <c r="FI91" s="7">
        <v>7</v>
      </c>
      <c r="FJ91" s="7">
        <v>12</v>
      </c>
      <c r="FK91" s="7">
        <v>6</v>
      </c>
      <c r="FL91" s="7">
        <v>12</v>
      </c>
      <c r="FM91" s="7">
        <v>4</v>
      </c>
      <c r="FN91" s="9">
        <v>6</v>
      </c>
      <c r="FQ91" s="6">
        <v>81</v>
      </c>
      <c r="FR91" s="9">
        <v>7</v>
      </c>
      <c r="FU91" s="7">
        <v>89</v>
      </c>
      <c r="FV91" s="7" t="str">
        <v>Minnesota</v>
      </c>
    </row>
    <row r="92" spans="12:178" x14ac:dyDescent="0.25">
      <c r="L92" s="6">
        <v>65</v>
      </c>
      <c r="M92" s="7">
        <v>6</v>
      </c>
      <c r="N92" s="7">
        <v>6</v>
      </c>
      <c r="O92" s="7">
        <v>4</v>
      </c>
      <c r="P92" s="9">
        <v>5</v>
      </c>
      <c r="Q92" s="6">
        <v>65</v>
      </c>
      <c r="R92" s="7">
        <v>7</v>
      </c>
      <c r="S92" s="7">
        <v>7</v>
      </c>
      <c r="T92" s="7">
        <v>7</v>
      </c>
      <c r="U92" s="9">
        <v>5</v>
      </c>
      <c r="AR92" s="6">
        <v>89</v>
      </c>
      <c r="AS92" s="7" t="s">
        <v>229</v>
      </c>
      <c r="AT92" s="7" t="s">
        <v>230</v>
      </c>
      <c r="AU92" s="7" t="s">
        <v>232</v>
      </c>
      <c r="AV92" s="9" t="s">
        <v>242</v>
      </c>
      <c r="AW92" s="6">
        <v>89</v>
      </c>
      <c r="AX92" s="7" t="s">
        <v>241</v>
      </c>
      <c r="AY92" s="7" t="s">
        <v>239</v>
      </c>
      <c r="AZ92" s="7" t="s">
        <v>237</v>
      </c>
      <c r="BA92" s="9" t="s">
        <v>234</v>
      </c>
      <c r="BD92" s="6">
        <v>65</v>
      </c>
      <c r="BE92" s="7">
        <v>6</v>
      </c>
      <c r="BF92" s="9">
        <v>6</v>
      </c>
      <c r="BG92" s="6">
        <v>65</v>
      </c>
      <c r="BH92" s="7">
        <v>5</v>
      </c>
      <c r="BI92" s="9">
        <v>4</v>
      </c>
      <c r="CM92" s="6">
        <v>89</v>
      </c>
      <c r="CN92" s="7" t="s">
        <v>230</v>
      </c>
      <c r="CO92" s="9" t="s">
        <v>242</v>
      </c>
      <c r="CP92" s="6">
        <v>89</v>
      </c>
      <c r="CQ92" s="7" t="s">
        <v>235</v>
      </c>
      <c r="CR92" s="9" t="s">
        <v>240</v>
      </c>
      <c r="DT92" s="6">
        <v>65</v>
      </c>
      <c r="DU92" s="9">
        <v>7</v>
      </c>
      <c r="DV92" s="6">
        <v>65</v>
      </c>
      <c r="DW92" s="9">
        <v>5</v>
      </c>
      <c r="ED92" s="6">
        <v>89</v>
      </c>
      <c r="EE92" s="7" t="str">
        <v>Tampa Bay</v>
      </c>
      <c r="EF92" s="9" t="str">
        <v>Minnesota</v>
      </c>
      <c r="EX92" s="6">
        <v>81</v>
      </c>
      <c r="EY92" s="7">
        <v>7</v>
      </c>
      <c r="EZ92" s="7">
        <v>26</v>
      </c>
      <c r="FA92" s="7">
        <v>6</v>
      </c>
      <c r="FB92" s="7">
        <v>6</v>
      </c>
      <c r="FC92" s="7">
        <v>6</v>
      </c>
      <c r="FD92" s="7">
        <v>6</v>
      </c>
      <c r="FE92" s="7">
        <v>7</v>
      </c>
      <c r="FF92" s="7">
        <v>7</v>
      </c>
      <c r="FG92" s="7">
        <v>26</v>
      </c>
      <c r="FH92" s="7">
        <v>16</v>
      </c>
      <c r="FI92" s="7">
        <v>7</v>
      </c>
      <c r="FJ92" s="7">
        <v>12</v>
      </c>
      <c r="FK92" s="7">
        <v>6</v>
      </c>
      <c r="FL92" s="7">
        <v>12</v>
      </c>
      <c r="FM92" s="7">
        <v>4</v>
      </c>
      <c r="FN92" s="9">
        <v>6</v>
      </c>
      <c r="FQ92" s="6">
        <v>82</v>
      </c>
      <c r="FR92" s="9">
        <v>5</v>
      </c>
      <c r="FU92" s="7">
        <v>90</v>
      </c>
      <c r="FV92" s="7" t="str">
        <v>Minnesota</v>
      </c>
    </row>
    <row r="93" spans="12:178" x14ac:dyDescent="0.25">
      <c r="L93" s="6">
        <v>66</v>
      </c>
      <c r="M93" s="7">
        <v>7</v>
      </c>
      <c r="N93" s="7">
        <v>7</v>
      </c>
      <c r="O93" s="7">
        <v>4</v>
      </c>
      <c r="P93" s="9">
        <v>7</v>
      </c>
      <c r="Q93" s="6">
        <v>66</v>
      </c>
      <c r="R93" s="7">
        <v>7</v>
      </c>
      <c r="S93" s="7">
        <v>7</v>
      </c>
      <c r="T93" s="7">
        <v>5</v>
      </c>
      <c r="U93" s="9">
        <v>6</v>
      </c>
      <c r="AR93" s="6">
        <v>90</v>
      </c>
      <c r="AS93" s="7" t="s">
        <v>229</v>
      </c>
      <c r="AT93" s="7" t="s">
        <v>230</v>
      </c>
      <c r="AU93" s="7" t="s">
        <v>243</v>
      </c>
      <c r="AV93" s="9" t="s">
        <v>231</v>
      </c>
      <c r="AW93" s="6">
        <v>90</v>
      </c>
      <c r="AX93" s="7" t="s">
        <v>235</v>
      </c>
      <c r="AY93" s="7" t="s">
        <v>239</v>
      </c>
      <c r="AZ93" s="7" t="s">
        <v>238</v>
      </c>
      <c r="BA93" s="9" t="s">
        <v>234</v>
      </c>
      <c r="BD93" s="6">
        <v>66</v>
      </c>
      <c r="BE93" s="7">
        <v>6</v>
      </c>
      <c r="BF93" s="9">
        <v>6</v>
      </c>
      <c r="BG93" s="6">
        <v>66</v>
      </c>
      <c r="BH93" s="7">
        <v>4</v>
      </c>
      <c r="BI93" s="9">
        <v>6</v>
      </c>
      <c r="CM93" s="6">
        <v>90</v>
      </c>
      <c r="CN93" s="7" t="s">
        <v>236</v>
      </c>
      <c r="CO93" s="9" t="s">
        <v>231</v>
      </c>
      <c r="CP93" s="6">
        <v>90</v>
      </c>
      <c r="CQ93" s="7" t="s">
        <v>235</v>
      </c>
      <c r="CR93" s="9" t="s">
        <v>234</v>
      </c>
      <c r="DT93" s="6">
        <v>66</v>
      </c>
      <c r="DU93" s="9">
        <v>7</v>
      </c>
      <c r="DV93" s="6">
        <v>66</v>
      </c>
      <c r="DW93" s="9">
        <v>4</v>
      </c>
      <c r="ED93" s="6">
        <v>90</v>
      </c>
      <c r="EE93" s="7" t="str">
        <v>Tampa Bay</v>
      </c>
      <c r="EF93" s="9" t="str">
        <v>Minnesota</v>
      </c>
      <c r="EX93" s="6">
        <v>82</v>
      </c>
      <c r="EY93" s="7">
        <v>7</v>
      </c>
      <c r="EZ93" s="7">
        <v>25</v>
      </c>
      <c r="FA93" s="7">
        <v>6</v>
      </c>
      <c r="FB93" s="7">
        <v>6</v>
      </c>
      <c r="FC93" s="7">
        <v>6</v>
      </c>
      <c r="FD93" s="7">
        <v>6</v>
      </c>
      <c r="FE93" s="7">
        <v>7</v>
      </c>
      <c r="FF93" s="7">
        <v>7</v>
      </c>
      <c r="FG93" s="7">
        <v>26</v>
      </c>
      <c r="FH93" s="7">
        <v>16</v>
      </c>
      <c r="FI93" s="7">
        <v>7</v>
      </c>
      <c r="FJ93" s="7">
        <v>12</v>
      </c>
      <c r="FK93" s="7">
        <v>6</v>
      </c>
      <c r="FL93" s="7">
        <v>12</v>
      </c>
      <c r="FM93" s="7">
        <v>4</v>
      </c>
      <c r="FN93" s="9">
        <v>6</v>
      </c>
      <c r="FQ93" s="6">
        <v>83</v>
      </c>
      <c r="FR93" s="9">
        <v>6</v>
      </c>
      <c r="FU93" s="7">
        <v>91</v>
      </c>
      <c r="FV93" s="7" t="str">
        <v>Tampa Bay</v>
      </c>
    </row>
    <row r="94" spans="12:178" x14ac:dyDescent="0.25">
      <c r="L94" s="6">
        <v>67</v>
      </c>
      <c r="M94" s="7">
        <v>5</v>
      </c>
      <c r="N94" s="7">
        <v>7</v>
      </c>
      <c r="O94" s="7">
        <v>5</v>
      </c>
      <c r="P94" s="9">
        <v>6</v>
      </c>
      <c r="Q94" s="6">
        <v>67</v>
      </c>
      <c r="R94" s="7">
        <v>5</v>
      </c>
      <c r="S94" s="7">
        <v>7</v>
      </c>
      <c r="T94" s="7">
        <v>6</v>
      </c>
      <c r="U94" s="9">
        <v>6</v>
      </c>
      <c r="AR94" s="6">
        <v>91</v>
      </c>
      <c r="AS94" s="7" t="s">
        <v>229</v>
      </c>
      <c r="AT94" s="7" t="s">
        <v>236</v>
      </c>
      <c r="AU94" s="7" t="s">
        <v>232</v>
      </c>
      <c r="AV94" s="9" t="s">
        <v>242</v>
      </c>
      <c r="AW94" s="6">
        <v>91</v>
      </c>
      <c r="AX94" s="7" t="s">
        <v>241</v>
      </c>
      <c r="AY94" s="7" t="s">
        <v>233</v>
      </c>
      <c r="AZ94" s="7" t="s">
        <v>238</v>
      </c>
      <c r="BA94" s="9" t="s">
        <v>234</v>
      </c>
      <c r="BD94" s="6">
        <v>67</v>
      </c>
      <c r="BE94" s="7">
        <v>5</v>
      </c>
      <c r="BF94" s="9">
        <v>7</v>
      </c>
      <c r="BG94" s="6">
        <v>67</v>
      </c>
      <c r="BH94" s="7">
        <v>5</v>
      </c>
      <c r="BI94" s="9">
        <v>7</v>
      </c>
      <c r="CM94" s="6">
        <v>91</v>
      </c>
      <c r="CN94" s="7" t="s">
        <v>230</v>
      </c>
      <c r="CO94" s="9" t="s">
        <v>243</v>
      </c>
      <c r="CP94" s="6">
        <v>91</v>
      </c>
      <c r="CQ94" s="7" t="s">
        <v>235</v>
      </c>
      <c r="CR94" s="9" t="s">
        <v>238</v>
      </c>
      <c r="DT94" s="6">
        <v>67</v>
      </c>
      <c r="DU94" s="9">
        <v>4</v>
      </c>
      <c r="DV94" s="6">
        <v>67</v>
      </c>
      <c r="DW94" s="9">
        <v>6</v>
      </c>
      <c r="ED94" s="6">
        <v>91</v>
      </c>
      <c r="EE94" s="7" t="str">
        <v>Tampa Bay</v>
      </c>
      <c r="EF94" s="9" t="str">
        <v>Minnesota</v>
      </c>
      <c r="EX94" s="6">
        <v>83</v>
      </c>
      <c r="EY94" s="7">
        <v>7</v>
      </c>
      <c r="EZ94" s="7">
        <v>27</v>
      </c>
      <c r="FA94" s="7">
        <v>6</v>
      </c>
      <c r="FB94" s="7">
        <v>6</v>
      </c>
      <c r="FC94" s="7">
        <v>6</v>
      </c>
      <c r="FD94" s="7">
        <v>6</v>
      </c>
      <c r="FE94" s="7">
        <v>7</v>
      </c>
      <c r="FF94" s="7">
        <v>7</v>
      </c>
      <c r="FG94" s="7">
        <v>26</v>
      </c>
      <c r="FH94" s="7">
        <v>16</v>
      </c>
      <c r="FI94" s="7">
        <v>7</v>
      </c>
      <c r="FJ94" s="7">
        <v>12</v>
      </c>
      <c r="FK94" s="7">
        <v>6</v>
      </c>
      <c r="FL94" s="7">
        <v>12</v>
      </c>
      <c r="FM94" s="7">
        <v>4</v>
      </c>
      <c r="FN94" s="9">
        <v>6</v>
      </c>
      <c r="FQ94" s="6">
        <v>84</v>
      </c>
      <c r="FR94" s="9">
        <v>5</v>
      </c>
      <c r="FU94" s="7">
        <v>92</v>
      </c>
      <c r="FV94" s="7" t="str">
        <v>Tampa Bay</v>
      </c>
    </row>
    <row r="95" spans="12:178" x14ac:dyDescent="0.25">
      <c r="L95" s="6">
        <v>68</v>
      </c>
      <c r="M95" s="7">
        <v>7</v>
      </c>
      <c r="N95" s="7">
        <v>6</v>
      </c>
      <c r="O95" s="7">
        <v>7</v>
      </c>
      <c r="P95" s="9">
        <v>7</v>
      </c>
      <c r="Q95" s="6">
        <v>68</v>
      </c>
      <c r="R95" s="7">
        <v>5</v>
      </c>
      <c r="S95" s="7">
        <v>6</v>
      </c>
      <c r="T95" s="7">
        <v>5</v>
      </c>
      <c r="U95" s="9">
        <v>4</v>
      </c>
      <c r="AR95" s="6">
        <v>92</v>
      </c>
      <c r="AS95" s="7" t="s">
        <v>317</v>
      </c>
      <c r="AT95" s="7" t="s">
        <v>236</v>
      </c>
      <c r="AU95" s="7" t="s">
        <v>243</v>
      </c>
      <c r="AV95" s="9" t="s">
        <v>242</v>
      </c>
      <c r="AW95" s="6">
        <v>92</v>
      </c>
      <c r="AX95" s="7" t="s">
        <v>235</v>
      </c>
      <c r="AY95" s="7" t="s">
        <v>233</v>
      </c>
      <c r="AZ95" s="7" t="s">
        <v>238</v>
      </c>
      <c r="BA95" s="9" t="s">
        <v>234</v>
      </c>
      <c r="BD95" s="6">
        <v>68</v>
      </c>
      <c r="BE95" s="7">
        <v>7</v>
      </c>
      <c r="BF95" s="9">
        <v>5</v>
      </c>
      <c r="BG95" s="6">
        <v>68</v>
      </c>
      <c r="BH95" s="7">
        <v>5</v>
      </c>
      <c r="BI95" s="9">
        <v>6</v>
      </c>
      <c r="CM95" s="6">
        <v>92</v>
      </c>
      <c r="CN95" s="7" t="s">
        <v>236</v>
      </c>
      <c r="CO95" s="9" t="s">
        <v>231</v>
      </c>
      <c r="CP95" s="6">
        <v>92</v>
      </c>
      <c r="CQ95" s="7" t="s">
        <v>233</v>
      </c>
      <c r="CR95" s="9" t="s">
        <v>234</v>
      </c>
      <c r="DT95" s="6">
        <v>68</v>
      </c>
      <c r="DU95" s="9">
        <v>5</v>
      </c>
      <c r="DV95" s="6">
        <v>68</v>
      </c>
      <c r="DW95" s="9">
        <v>5</v>
      </c>
      <c r="ED95" s="6">
        <v>92</v>
      </c>
      <c r="EE95" s="7" t="str">
        <v>Tampa Bay</v>
      </c>
      <c r="EF95" s="9" t="str">
        <v>Minnesota</v>
      </c>
      <c r="EX95" s="6">
        <v>84</v>
      </c>
      <c r="EY95" s="7">
        <v>7</v>
      </c>
      <c r="EZ95" s="7">
        <v>26</v>
      </c>
      <c r="FA95" s="7">
        <v>6</v>
      </c>
      <c r="FB95" s="7">
        <v>6</v>
      </c>
      <c r="FC95" s="7">
        <v>6</v>
      </c>
      <c r="FD95" s="7">
        <v>6</v>
      </c>
      <c r="FE95" s="7">
        <v>7</v>
      </c>
      <c r="FF95" s="7">
        <v>7</v>
      </c>
      <c r="FG95" s="7">
        <v>26</v>
      </c>
      <c r="FH95" s="7">
        <v>16</v>
      </c>
      <c r="FI95" s="7">
        <v>7</v>
      </c>
      <c r="FJ95" s="7">
        <v>12</v>
      </c>
      <c r="FK95" s="7">
        <v>6</v>
      </c>
      <c r="FL95" s="7">
        <v>12</v>
      </c>
      <c r="FM95" s="7">
        <v>4</v>
      </c>
      <c r="FN95" s="9">
        <v>6</v>
      </c>
      <c r="FQ95" s="6">
        <v>85</v>
      </c>
      <c r="FR95" s="9">
        <v>7</v>
      </c>
      <c r="FU95" s="7">
        <v>93</v>
      </c>
      <c r="FV95" s="7" t="str">
        <v>Minnesota</v>
      </c>
    </row>
    <row r="96" spans="12:178" x14ac:dyDescent="0.25">
      <c r="L96" s="6">
        <v>69</v>
      </c>
      <c r="M96" s="7">
        <v>4</v>
      </c>
      <c r="N96" s="7">
        <v>7</v>
      </c>
      <c r="O96" s="7">
        <v>7</v>
      </c>
      <c r="P96" s="9">
        <v>7</v>
      </c>
      <c r="Q96" s="6">
        <v>69</v>
      </c>
      <c r="R96" s="7">
        <v>4</v>
      </c>
      <c r="S96" s="7">
        <v>5</v>
      </c>
      <c r="T96" s="7">
        <v>7</v>
      </c>
      <c r="U96" s="9">
        <v>6</v>
      </c>
      <c r="AR96" s="6">
        <v>93</v>
      </c>
      <c r="AS96" s="7" t="s">
        <v>229</v>
      </c>
      <c r="AT96" s="7" t="s">
        <v>230</v>
      </c>
      <c r="AU96" s="7" t="s">
        <v>243</v>
      </c>
      <c r="AV96" s="9" t="s">
        <v>242</v>
      </c>
      <c r="AW96" s="6">
        <v>93</v>
      </c>
      <c r="AX96" s="7" t="s">
        <v>235</v>
      </c>
      <c r="AY96" s="7" t="s">
        <v>239</v>
      </c>
      <c r="AZ96" s="7" t="s">
        <v>237</v>
      </c>
      <c r="BA96" s="9" t="s">
        <v>240</v>
      </c>
      <c r="BD96" s="6">
        <v>69</v>
      </c>
      <c r="BE96" s="7">
        <v>6</v>
      </c>
      <c r="BF96" s="9">
        <v>5</v>
      </c>
      <c r="BG96" s="6">
        <v>69</v>
      </c>
      <c r="BH96" s="7">
        <v>5</v>
      </c>
      <c r="BI96" s="9">
        <v>7</v>
      </c>
      <c r="CM96" s="6">
        <v>93</v>
      </c>
      <c r="CN96" s="7" t="s">
        <v>236</v>
      </c>
      <c r="CO96" s="9" t="s">
        <v>242</v>
      </c>
      <c r="CP96" s="6">
        <v>93</v>
      </c>
      <c r="CQ96" s="7" t="s">
        <v>233</v>
      </c>
      <c r="CR96" s="9" t="s">
        <v>238</v>
      </c>
      <c r="DT96" s="6">
        <v>69</v>
      </c>
      <c r="DU96" s="9">
        <v>7</v>
      </c>
      <c r="DV96" s="6">
        <v>69</v>
      </c>
      <c r="DW96" s="9">
        <v>6</v>
      </c>
      <c r="ED96" s="6">
        <v>93</v>
      </c>
      <c r="EE96" s="7" t="str">
        <v>Tampa Bay</v>
      </c>
      <c r="EF96" s="9" t="str">
        <v>Minnesota</v>
      </c>
      <c r="EX96" s="6">
        <v>85</v>
      </c>
      <c r="EY96" s="7">
        <v>7</v>
      </c>
      <c r="EZ96" s="7">
        <v>25</v>
      </c>
      <c r="FA96" s="7">
        <v>6</v>
      </c>
      <c r="FB96" s="7">
        <v>6</v>
      </c>
      <c r="FC96" s="7">
        <v>6</v>
      </c>
      <c r="FD96" s="7">
        <v>6</v>
      </c>
      <c r="FE96" s="7">
        <v>7</v>
      </c>
      <c r="FF96" s="7">
        <v>7</v>
      </c>
      <c r="FG96" s="7">
        <v>26</v>
      </c>
      <c r="FH96" s="7">
        <v>16</v>
      </c>
      <c r="FI96" s="7">
        <v>7</v>
      </c>
      <c r="FJ96" s="7">
        <v>12</v>
      </c>
      <c r="FK96" s="7">
        <v>6</v>
      </c>
      <c r="FL96" s="7">
        <v>12</v>
      </c>
      <c r="FM96" s="7">
        <v>4</v>
      </c>
      <c r="FN96" s="9">
        <v>6</v>
      </c>
      <c r="FQ96" s="6">
        <v>86</v>
      </c>
      <c r="FR96" s="9">
        <v>7</v>
      </c>
      <c r="FU96" s="7">
        <v>94</v>
      </c>
      <c r="FV96" s="7" t="str">
        <v>Tampa Bay</v>
      </c>
    </row>
    <row r="97" spans="12:178" x14ac:dyDescent="0.25">
      <c r="L97" s="6">
        <v>70</v>
      </c>
      <c r="M97" s="7">
        <v>5</v>
      </c>
      <c r="N97" s="7">
        <v>5</v>
      </c>
      <c r="O97" s="7">
        <v>7</v>
      </c>
      <c r="P97" s="9">
        <v>5</v>
      </c>
      <c r="Q97" s="6">
        <v>70</v>
      </c>
      <c r="R97" s="7">
        <v>6</v>
      </c>
      <c r="S97" s="7">
        <v>7</v>
      </c>
      <c r="T97" s="7">
        <v>6</v>
      </c>
      <c r="U97" s="9">
        <v>4</v>
      </c>
      <c r="AR97" s="6">
        <v>94</v>
      </c>
      <c r="AS97" s="7" t="s">
        <v>317</v>
      </c>
      <c r="AT97" s="7" t="s">
        <v>236</v>
      </c>
      <c r="AU97" s="7" t="s">
        <v>243</v>
      </c>
      <c r="AV97" s="9" t="s">
        <v>231</v>
      </c>
      <c r="AW97" s="6">
        <v>94</v>
      </c>
      <c r="AX97" s="7" t="s">
        <v>241</v>
      </c>
      <c r="AY97" s="7" t="s">
        <v>233</v>
      </c>
      <c r="AZ97" s="7" t="s">
        <v>238</v>
      </c>
      <c r="BA97" s="9" t="s">
        <v>240</v>
      </c>
      <c r="BD97" s="6">
        <v>70</v>
      </c>
      <c r="BE97" s="7">
        <v>7</v>
      </c>
      <c r="BF97" s="9">
        <v>4</v>
      </c>
      <c r="BG97" s="6">
        <v>70</v>
      </c>
      <c r="BH97" s="7">
        <v>6</v>
      </c>
      <c r="BI97" s="9">
        <v>6</v>
      </c>
      <c r="CM97" s="6">
        <v>94</v>
      </c>
      <c r="CN97" s="7" t="s">
        <v>229</v>
      </c>
      <c r="CO97" s="9" t="s">
        <v>232</v>
      </c>
      <c r="CP97" s="6">
        <v>94</v>
      </c>
      <c r="CQ97" s="7" t="s">
        <v>235</v>
      </c>
      <c r="CR97" s="9" t="s">
        <v>234</v>
      </c>
      <c r="DT97" s="6">
        <v>70</v>
      </c>
      <c r="DU97" s="9">
        <v>5</v>
      </c>
      <c r="DV97" s="6">
        <v>70</v>
      </c>
      <c r="DW97" s="9">
        <v>7</v>
      </c>
      <c r="ED97" s="6">
        <v>94</v>
      </c>
      <c r="EE97" s="7" t="str">
        <v>Tampa Bay</v>
      </c>
      <c r="EF97" s="9" t="str">
        <v>Minnesota</v>
      </c>
      <c r="EX97" s="6">
        <v>86</v>
      </c>
      <c r="EY97" s="7">
        <v>7</v>
      </c>
      <c r="EZ97" s="7">
        <v>25</v>
      </c>
      <c r="FA97" s="7">
        <v>6</v>
      </c>
      <c r="FB97" s="7">
        <v>6</v>
      </c>
      <c r="FC97" s="7">
        <v>6</v>
      </c>
      <c r="FD97" s="7">
        <v>6</v>
      </c>
      <c r="FE97" s="7">
        <v>7</v>
      </c>
      <c r="FF97" s="7">
        <v>7</v>
      </c>
      <c r="FG97" s="7">
        <v>26</v>
      </c>
      <c r="FH97" s="7">
        <v>16</v>
      </c>
      <c r="FI97" s="7">
        <v>7</v>
      </c>
      <c r="FJ97" s="7">
        <v>12</v>
      </c>
      <c r="FK97" s="7">
        <v>6</v>
      </c>
      <c r="FL97" s="7">
        <v>12</v>
      </c>
      <c r="FM97" s="7">
        <v>4</v>
      </c>
      <c r="FN97" s="9">
        <v>6</v>
      </c>
      <c r="FQ97" s="6">
        <v>87</v>
      </c>
      <c r="FR97" s="9">
        <v>5</v>
      </c>
      <c r="FU97" s="7">
        <v>95</v>
      </c>
      <c r="FV97" s="7" t="str">
        <v>Tampa Bay</v>
      </c>
    </row>
    <row r="98" spans="12:178" x14ac:dyDescent="0.25">
      <c r="L98" s="6">
        <v>71</v>
      </c>
      <c r="M98" s="7">
        <v>6</v>
      </c>
      <c r="N98" s="7">
        <v>5</v>
      </c>
      <c r="O98" s="7">
        <v>5</v>
      </c>
      <c r="P98" s="9">
        <v>6</v>
      </c>
      <c r="Q98" s="6">
        <v>71</v>
      </c>
      <c r="R98" s="7">
        <v>4</v>
      </c>
      <c r="S98" s="7">
        <v>7</v>
      </c>
      <c r="T98" s="7">
        <v>6</v>
      </c>
      <c r="U98" s="9">
        <v>7</v>
      </c>
      <c r="AR98" s="6">
        <v>95</v>
      </c>
      <c r="AS98" s="7" t="s">
        <v>229</v>
      </c>
      <c r="AT98" s="7" t="s">
        <v>236</v>
      </c>
      <c r="AU98" s="7" t="s">
        <v>243</v>
      </c>
      <c r="AV98" s="9" t="s">
        <v>242</v>
      </c>
      <c r="AW98" s="6">
        <v>95</v>
      </c>
      <c r="AX98" s="7" t="s">
        <v>235</v>
      </c>
      <c r="AY98" s="7" t="s">
        <v>233</v>
      </c>
      <c r="AZ98" s="7" t="s">
        <v>237</v>
      </c>
      <c r="BA98" s="9" t="s">
        <v>240</v>
      </c>
      <c r="BD98" s="6">
        <v>71</v>
      </c>
      <c r="BE98" s="7">
        <v>5</v>
      </c>
      <c r="BF98" s="9">
        <v>7</v>
      </c>
      <c r="BG98" s="6">
        <v>71</v>
      </c>
      <c r="BH98" s="7">
        <v>6</v>
      </c>
      <c r="BI98" s="9">
        <v>7</v>
      </c>
      <c r="CM98" s="6">
        <v>95</v>
      </c>
      <c r="CN98" s="7" t="s">
        <v>230</v>
      </c>
      <c r="CO98" s="9" t="s">
        <v>243</v>
      </c>
      <c r="CP98" s="6">
        <v>95</v>
      </c>
      <c r="CQ98" s="7" t="s">
        <v>241</v>
      </c>
      <c r="CR98" s="9" t="s">
        <v>237</v>
      </c>
      <c r="DT98" s="6">
        <v>71</v>
      </c>
      <c r="DU98" s="9">
        <v>4</v>
      </c>
      <c r="DV98" s="6">
        <v>71</v>
      </c>
      <c r="DW98" s="9">
        <v>5</v>
      </c>
      <c r="ED98" s="6">
        <v>95</v>
      </c>
      <c r="EE98" s="7" t="str">
        <v>Tampa Bay</v>
      </c>
      <c r="EF98" s="9" t="str">
        <v>Minnesota</v>
      </c>
      <c r="EX98" s="6">
        <v>87</v>
      </c>
      <c r="EY98" s="7">
        <v>7</v>
      </c>
      <c r="EZ98" s="7">
        <v>25</v>
      </c>
      <c r="FA98" s="7">
        <v>6</v>
      </c>
      <c r="FB98" s="7">
        <v>6</v>
      </c>
      <c r="FC98" s="7">
        <v>6</v>
      </c>
      <c r="FD98" s="7">
        <v>6</v>
      </c>
      <c r="FE98" s="7">
        <v>7</v>
      </c>
      <c r="FF98" s="7">
        <v>7</v>
      </c>
      <c r="FG98" s="7">
        <v>26</v>
      </c>
      <c r="FH98" s="7">
        <v>16</v>
      </c>
      <c r="FI98" s="7">
        <v>7</v>
      </c>
      <c r="FJ98" s="7">
        <v>12</v>
      </c>
      <c r="FK98" s="7">
        <v>6</v>
      </c>
      <c r="FL98" s="7">
        <v>12</v>
      </c>
      <c r="FM98" s="7">
        <v>4</v>
      </c>
      <c r="FN98" s="9">
        <v>6</v>
      </c>
      <c r="FQ98" s="6">
        <v>88</v>
      </c>
      <c r="FR98" s="9">
        <v>4</v>
      </c>
      <c r="FU98" s="7">
        <v>96</v>
      </c>
      <c r="FV98" s="7" t="str">
        <v>Minnesota</v>
      </c>
    </row>
    <row r="99" spans="12:178" x14ac:dyDescent="0.25">
      <c r="L99" s="6">
        <v>72</v>
      </c>
      <c r="M99" s="7">
        <v>6</v>
      </c>
      <c r="N99" s="7">
        <v>7</v>
      </c>
      <c r="O99" s="7">
        <v>7</v>
      </c>
      <c r="P99" s="9">
        <v>5</v>
      </c>
      <c r="Q99" s="6">
        <v>72</v>
      </c>
      <c r="R99" s="7">
        <v>5</v>
      </c>
      <c r="S99" s="7">
        <v>5</v>
      </c>
      <c r="T99" s="7">
        <v>6</v>
      </c>
      <c r="U99" s="9">
        <v>6</v>
      </c>
      <c r="AR99" s="6">
        <v>96</v>
      </c>
      <c r="AS99" s="7" t="s">
        <v>229</v>
      </c>
      <c r="AT99" s="7" t="s">
        <v>230</v>
      </c>
      <c r="AU99" s="7" t="s">
        <v>232</v>
      </c>
      <c r="AV99" s="9" t="s">
        <v>242</v>
      </c>
      <c r="AW99" s="6">
        <v>96</v>
      </c>
      <c r="AX99" s="7" t="s">
        <v>241</v>
      </c>
      <c r="AY99" s="7" t="s">
        <v>239</v>
      </c>
      <c r="AZ99" s="7" t="s">
        <v>238</v>
      </c>
      <c r="BA99" s="9" t="s">
        <v>234</v>
      </c>
      <c r="BD99" s="6">
        <v>72</v>
      </c>
      <c r="BE99" s="7">
        <v>7</v>
      </c>
      <c r="BF99" s="9">
        <v>5</v>
      </c>
      <c r="BG99" s="6">
        <v>72</v>
      </c>
      <c r="BH99" s="7">
        <v>7</v>
      </c>
      <c r="BI99" s="9">
        <v>6</v>
      </c>
      <c r="CM99" s="6">
        <v>96</v>
      </c>
      <c r="CN99" s="7" t="s">
        <v>236</v>
      </c>
      <c r="CO99" s="9" t="s">
        <v>232</v>
      </c>
      <c r="CP99" s="6">
        <v>96</v>
      </c>
      <c r="CQ99" s="7" t="s">
        <v>233</v>
      </c>
      <c r="CR99" s="9" t="s">
        <v>238</v>
      </c>
      <c r="DT99" s="6">
        <v>72</v>
      </c>
      <c r="DU99" s="9">
        <v>6</v>
      </c>
      <c r="DV99" s="6">
        <v>72</v>
      </c>
      <c r="DW99" s="9">
        <v>4</v>
      </c>
      <c r="ED99" s="6">
        <v>96</v>
      </c>
      <c r="EE99" s="7" t="str">
        <v>Tampa Bay</v>
      </c>
      <c r="EF99" s="9" t="str">
        <v>Minnesota</v>
      </c>
      <c r="EX99" s="6">
        <v>88</v>
      </c>
      <c r="EY99" s="7">
        <v>7</v>
      </c>
      <c r="EZ99" s="7">
        <v>26</v>
      </c>
      <c r="FA99" s="7">
        <v>6</v>
      </c>
      <c r="FB99" s="7">
        <v>6</v>
      </c>
      <c r="FC99" s="7">
        <v>6</v>
      </c>
      <c r="FD99" s="7">
        <v>6</v>
      </c>
      <c r="FE99" s="7">
        <v>7</v>
      </c>
      <c r="FF99" s="7">
        <v>7</v>
      </c>
      <c r="FG99" s="7">
        <v>26</v>
      </c>
      <c r="FH99" s="7">
        <v>16</v>
      </c>
      <c r="FI99" s="7">
        <v>7</v>
      </c>
      <c r="FJ99" s="7">
        <v>12</v>
      </c>
      <c r="FK99" s="7">
        <v>6</v>
      </c>
      <c r="FL99" s="7">
        <v>12</v>
      </c>
      <c r="FM99" s="7">
        <v>4</v>
      </c>
      <c r="FN99" s="9">
        <v>6</v>
      </c>
      <c r="FQ99" s="6">
        <v>89</v>
      </c>
      <c r="FR99" s="9">
        <v>6</v>
      </c>
      <c r="FU99" s="7">
        <v>97</v>
      </c>
      <c r="FV99" s="7" t="str">
        <v>Tampa Bay</v>
      </c>
    </row>
    <row r="100" spans="12:178" x14ac:dyDescent="0.25">
      <c r="L100" s="6">
        <v>73</v>
      </c>
      <c r="M100" s="7">
        <v>5</v>
      </c>
      <c r="N100" s="7">
        <v>7</v>
      </c>
      <c r="O100" s="7">
        <v>4</v>
      </c>
      <c r="P100" s="9">
        <v>7</v>
      </c>
      <c r="Q100" s="6">
        <v>73</v>
      </c>
      <c r="R100" s="7">
        <v>6</v>
      </c>
      <c r="S100" s="7">
        <v>6</v>
      </c>
      <c r="T100" s="7">
        <v>5</v>
      </c>
      <c r="U100" s="9">
        <v>6</v>
      </c>
      <c r="AR100" s="6">
        <v>97</v>
      </c>
      <c r="AS100" s="7" t="s">
        <v>317</v>
      </c>
      <c r="AT100" s="7" t="s">
        <v>236</v>
      </c>
      <c r="AU100" s="7" t="s">
        <v>232</v>
      </c>
      <c r="AV100" s="9" t="s">
        <v>242</v>
      </c>
      <c r="AW100" s="6">
        <v>97</v>
      </c>
      <c r="AX100" s="7" t="s">
        <v>235</v>
      </c>
      <c r="AY100" s="7" t="s">
        <v>233</v>
      </c>
      <c r="AZ100" s="7" t="s">
        <v>238</v>
      </c>
      <c r="BA100" s="9" t="s">
        <v>234</v>
      </c>
      <c r="BD100" s="6">
        <v>73</v>
      </c>
      <c r="BE100" s="7">
        <v>6</v>
      </c>
      <c r="BF100" s="9">
        <v>7</v>
      </c>
      <c r="BG100" s="6">
        <v>73</v>
      </c>
      <c r="BH100" s="7">
        <v>6</v>
      </c>
      <c r="BI100" s="9">
        <v>4</v>
      </c>
      <c r="CM100" s="6">
        <v>97</v>
      </c>
      <c r="CN100" s="7" t="s">
        <v>230</v>
      </c>
      <c r="CO100" s="9" t="s">
        <v>243</v>
      </c>
      <c r="CP100" s="6">
        <v>97</v>
      </c>
      <c r="CQ100" s="7" t="s">
        <v>241</v>
      </c>
      <c r="CR100" s="9" t="s">
        <v>234</v>
      </c>
      <c r="DT100" s="6">
        <v>73</v>
      </c>
      <c r="DU100" s="9">
        <v>7</v>
      </c>
      <c r="DV100" s="6">
        <v>73</v>
      </c>
      <c r="DW100" s="9">
        <v>7</v>
      </c>
      <c r="ED100" s="6">
        <v>97</v>
      </c>
      <c r="EE100" s="7" t="str">
        <v>Tampa Bay</v>
      </c>
      <c r="EF100" s="9" t="str">
        <v>Minnesota</v>
      </c>
      <c r="EX100" s="6">
        <v>89</v>
      </c>
      <c r="EY100" s="7">
        <v>7</v>
      </c>
      <c r="EZ100" s="7">
        <v>27</v>
      </c>
      <c r="FA100" s="7">
        <v>6</v>
      </c>
      <c r="FB100" s="7">
        <v>6</v>
      </c>
      <c r="FC100" s="7">
        <v>6</v>
      </c>
      <c r="FD100" s="7">
        <v>6</v>
      </c>
      <c r="FE100" s="7">
        <v>7</v>
      </c>
      <c r="FF100" s="7">
        <v>7</v>
      </c>
      <c r="FG100" s="7">
        <v>26</v>
      </c>
      <c r="FH100" s="7">
        <v>16</v>
      </c>
      <c r="FI100" s="7">
        <v>7</v>
      </c>
      <c r="FJ100" s="7">
        <v>12</v>
      </c>
      <c r="FK100" s="7">
        <v>6</v>
      </c>
      <c r="FL100" s="7">
        <v>12</v>
      </c>
      <c r="FM100" s="7">
        <v>4</v>
      </c>
      <c r="FN100" s="9">
        <v>6</v>
      </c>
      <c r="FQ100" s="6">
        <v>90</v>
      </c>
      <c r="FR100" s="9">
        <v>6</v>
      </c>
      <c r="FU100" s="7">
        <v>98</v>
      </c>
      <c r="FV100" s="7" t="str">
        <v>Tampa Bay</v>
      </c>
    </row>
    <row r="101" spans="12:178" x14ac:dyDescent="0.25">
      <c r="L101" s="6">
        <v>74</v>
      </c>
      <c r="M101" s="7">
        <v>4</v>
      </c>
      <c r="N101" s="7">
        <v>4</v>
      </c>
      <c r="O101" s="7">
        <v>5</v>
      </c>
      <c r="P101" s="9">
        <v>6</v>
      </c>
      <c r="Q101" s="6">
        <v>74</v>
      </c>
      <c r="R101" s="7">
        <v>7</v>
      </c>
      <c r="S101" s="7">
        <v>6</v>
      </c>
      <c r="T101" s="7">
        <v>7</v>
      </c>
      <c r="U101" s="9">
        <v>7</v>
      </c>
      <c r="AR101" s="6">
        <v>98</v>
      </c>
      <c r="AS101" s="7" t="s">
        <v>229</v>
      </c>
      <c r="AT101" s="7" t="s">
        <v>236</v>
      </c>
      <c r="AU101" s="7" t="s">
        <v>232</v>
      </c>
      <c r="AV101" s="9" t="s">
        <v>231</v>
      </c>
      <c r="AW101" s="6">
        <v>98</v>
      </c>
      <c r="AX101" s="7" t="s">
        <v>241</v>
      </c>
      <c r="AY101" s="7" t="s">
        <v>233</v>
      </c>
      <c r="AZ101" s="7" t="s">
        <v>238</v>
      </c>
      <c r="BA101" s="9" t="s">
        <v>234</v>
      </c>
      <c r="BD101" s="6">
        <v>74</v>
      </c>
      <c r="BE101" s="7">
        <v>4</v>
      </c>
      <c r="BF101" s="9">
        <v>6</v>
      </c>
      <c r="BG101" s="6">
        <v>74</v>
      </c>
      <c r="BH101" s="7">
        <v>5</v>
      </c>
      <c r="BI101" s="9">
        <v>5</v>
      </c>
      <c r="CM101" s="6">
        <v>98</v>
      </c>
      <c r="CN101" s="7" t="s">
        <v>230</v>
      </c>
      <c r="CO101" s="9" t="s">
        <v>243</v>
      </c>
      <c r="CP101" s="6">
        <v>98</v>
      </c>
      <c r="CQ101" s="7" t="s">
        <v>233</v>
      </c>
      <c r="CR101" s="9" t="s">
        <v>234</v>
      </c>
      <c r="DT101" s="6">
        <v>74</v>
      </c>
      <c r="DU101" s="9">
        <v>4</v>
      </c>
      <c r="DV101" s="6">
        <v>74</v>
      </c>
      <c r="DW101" s="9">
        <v>5</v>
      </c>
      <c r="ED101" s="6">
        <v>98</v>
      </c>
      <c r="EE101" s="7" t="str">
        <v>Tampa Bay</v>
      </c>
      <c r="EF101" s="9" t="str">
        <v>Minnesota</v>
      </c>
      <c r="EX101" s="6">
        <v>90</v>
      </c>
      <c r="EY101" s="7">
        <v>7</v>
      </c>
      <c r="EZ101" s="7">
        <v>26</v>
      </c>
      <c r="FA101" s="7">
        <v>6</v>
      </c>
      <c r="FB101" s="7">
        <v>6</v>
      </c>
      <c r="FC101" s="7">
        <v>6</v>
      </c>
      <c r="FD101" s="7">
        <v>6</v>
      </c>
      <c r="FE101" s="7">
        <v>7</v>
      </c>
      <c r="FF101" s="7">
        <v>7</v>
      </c>
      <c r="FG101" s="7">
        <v>26</v>
      </c>
      <c r="FH101" s="7">
        <v>16</v>
      </c>
      <c r="FI101" s="7">
        <v>7</v>
      </c>
      <c r="FJ101" s="7">
        <v>12</v>
      </c>
      <c r="FK101" s="7">
        <v>6</v>
      </c>
      <c r="FL101" s="7">
        <v>12</v>
      </c>
      <c r="FM101" s="7">
        <v>4</v>
      </c>
      <c r="FN101" s="9">
        <v>6</v>
      </c>
      <c r="FQ101" s="6">
        <v>91</v>
      </c>
      <c r="FR101" s="9">
        <v>4</v>
      </c>
      <c r="FU101" s="7">
        <v>99</v>
      </c>
      <c r="FV101" s="7" t="str">
        <v>Tampa Bay</v>
      </c>
    </row>
    <row r="102" spans="12:178" x14ac:dyDescent="0.25">
      <c r="L102" s="6">
        <v>75</v>
      </c>
      <c r="M102" s="7">
        <v>5</v>
      </c>
      <c r="N102" s="7">
        <v>6</v>
      </c>
      <c r="O102" s="7">
        <v>7</v>
      </c>
      <c r="P102" s="9">
        <v>5</v>
      </c>
      <c r="Q102" s="6">
        <v>75</v>
      </c>
      <c r="R102" s="7">
        <v>6</v>
      </c>
      <c r="S102" s="7">
        <v>7</v>
      </c>
      <c r="T102" s="7">
        <v>5</v>
      </c>
      <c r="U102" s="9">
        <v>6</v>
      </c>
      <c r="AR102" s="6">
        <v>99</v>
      </c>
      <c r="AS102" s="7" t="s">
        <v>317</v>
      </c>
      <c r="AT102" s="7" t="s">
        <v>230</v>
      </c>
      <c r="AU102" s="7" t="s">
        <v>232</v>
      </c>
      <c r="AV102" s="9" t="s">
        <v>231</v>
      </c>
      <c r="AW102" s="6">
        <v>99</v>
      </c>
      <c r="AX102" s="7" t="s">
        <v>241</v>
      </c>
      <c r="AY102" s="7" t="s">
        <v>239</v>
      </c>
      <c r="AZ102" s="7" t="s">
        <v>237</v>
      </c>
      <c r="BA102" s="9" t="s">
        <v>240</v>
      </c>
      <c r="BD102" s="6">
        <v>75</v>
      </c>
      <c r="BE102" s="7">
        <v>7</v>
      </c>
      <c r="BF102" s="9">
        <v>7</v>
      </c>
      <c r="BG102" s="6">
        <v>75</v>
      </c>
      <c r="BH102" s="7">
        <v>4</v>
      </c>
      <c r="BI102" s="9">
        <v>5</v>
      </c>
      <c r="CM102" s="6">
        <v>99</v>
      </c>
      <c r="CN102" s="7" t="s">
        <v>236</v>
      </c>
      <c r="CO102" s="9" t="s">
        <v>242</v>
      </c>
      <c r="CP102" s="6">
        <v>99</v>
      </c>
      <c r="CQ102" s="7" t="s">
        <v>235</v>
      </c>
      <c r="CR102" s="9" t="s">
        <v>237</v>
      </c>
      <c r="DT102" s="6">
        <v>75</v>
      </c>
      <c r="DU102" s="9">
        <v>4</v>
      </c>
      <c r="DV102" s="6">
        <v>75</v>
      </c>
      <c r="DW102" s="9">
        <v>5</v>
      </c>
      <c r="ED102" s="6">
        <v>99</v>
      </c>
      <c r="EE102" s="7" t="str">
        <v>Tampa Bay</v>
      </c>
      <c r="EF102" s="9" t="str">
        <v>Minnesota</v>
      </c>
      <c r="EX102" s="6">
        <v>91</v>
      </c>
      <c r="EY102" s="7">
        <v>7</v>
      </c>
      <c r="EZ102" s="7">
        <v>25</v>
      </c>
      <c r="FA102" s="7">
        <v>6</v>
      </c>
      <c r="FB102" s="7">
        <v>6</v>
      </c>
      <c r="FC102" s="7">
        <v>6</v>
      </c>
      <c r="FD102" s="7">
        <v>6</v>
      </c>
      <c r="FE102" s="7">
        <v>7</v>
      </c>
      <c r="FF102" s="7">
        <v>7</v>
      </c>
      <c r="FG102" s="7">
        <v>26</v>
      </c>
      <c r="FH102" s="7">
        <v>16</v>
      </c>
      <c r="FI102" s="7">
        <v>7</v>
      </c>
      <c r="FJ102" s="7">
        <v>12</v>
      </c>
      <c r="FK102" s="7">
        <v>6</v>
      </c>
      <c r="FL102" s="7">
        <v>12</v>
      </c>
      <c r="FM102" s="7">
        <v>4</v>
      </c>
      <c r="FN102" s="9">
        <v>6</v>
      </c>
      <c r="FQ102" s="6">
        <v>92</v>
      </c>
      <c r="FR102" s="9">
        <v>6</v>
      </c>
      <c r="FU102" s="7">
        <v>100</v>
      </c>
      <c r="FV102" s="7" t="str">
        <v>Tampa Bay</v>
      </c>
    </row>
    <row r="103" spans="12:178" ht="15.75" thickBot="1" x14ac:dyDescent="0.3">
      <c r="L103" s="6">
        <v>76</v>
      </c>
      <c r="M103" s="7">
        <v>6</v>
      </c>
      <c r="N103" s="7">
        <v>7</v>
      </c>
      <c r="O103" s="7">
        <v>5</v>
      </c>
      <c r="P103" s="9">
        <v>5</v>
      </c>
      <c r="Q103" s="6">
        <v>76</v>
      </c>
      <c r="R103" s="7">
        <v>4</v>
      </c>
      <c r="S103" s="7">
        <v>6</v>
      </c>
      <c r="T103" s="7">
        <v>5</v>
      </c>
      <c r="U103" s="9">
        <v>5</v>
      </c>
      <c r="AR103" s="5">
        <v>100</v>
      </c>
      <c r="AS103" s="10" t="s">
        <v>317</v>
      </c>
      <c r="AT103" s="10" t="s">
        <v>230</v>
      </c>
      <c r="AU103" s="10" t="s">
        <v>243</v>
      </c>
      <c r="AV103" s="11" t="s">
        <v>242</v>
      </c>
      <c r="AW103" s="5">
        <v>100</v>
      </c>
      <c r="AX103" s="10" t="s">
        <v>235</v>
      </c>
      <c r="AY103" s="10" t="s">
        <v>233</v>
      </c>
      <c r="AZ103" s="10" t="s">
        <v>238</v>
      </c>
      <c r="BA103" s="11" t="s">
        <v>240</v>
      </c>
      <c r="BD103" s="6">
        <v>76</v>
      </c>
      <c r="BE103" s="7">
        <v>6</v>
      </c>
      <c r="BF103" s="9">
        <v>6</v>
      </c>
      <c r="BG103" s="6">
        <v>76</v>
      </c>
      <c r="BH103" s="7">
        <v>7</v>
      </c>
      <c r="BI103" s="9">
        <v>7</v>
      </c>
      <c r="CM103" s="5">
        <v>100</v>
      </c>
      <c r="CN103" s="10" t="s">
        <v>317</v>
      </c>
      <c r="CO103" s="11" t="s">
        <v>232</v>
      </c>
      <c r="CP103" s="5">
        <v>100</v>
      </c>
      <c r="CQ103" s="10" t="s">
        <v>239</v>
      </c>
      <c r="CR103" s="11" t="s">
        <v>234</v>
      </c>
      <c r="DT103" s="6">
        <v>76</v>
      </c>
      <c r="DU103" s="9">
        <v>6</v>
      </c>
      <c r="DV103" s="6">
        <v>76</v>
      </c>
      <c r="DW103" s="9">
        <v>5</v>
      </c>
      <c r="ED103" s="5">
        <v>100</v>
      </c>
      <c r="EE103" s="10" t="str">
        <v>Tampa Bay</v>
      </c>
      <c r="EF103" s="11" t="str">
        <v>Minnesota</v>
      </c>
      <c r="EX103" s="6">
        <v>92</v>
      </c>
      <c r="EY103" s="7">
        <v>7</v>
      </c>
      <c r="EZ103" s="7">
        <v>24</v>
      </c>
      <c r="FA103" s="7">
        <v>6</v>
      </c>
      <c r="FB103" s="7">
        <v>6</v>
      </c>
      <c r="FC103" s="7">
        <v>6</v>
      </c>
      <c r="FD103" s="7">
        <v>6</v>
      </c>
      <c r="FE103" s="7">
        <v>7</v>
      </c>
      <c r="FF103" s="7">
        <v>7</v>
      </c>
      <c r="FG103" s="7">
        <v>26</v>
      </c>
      <c r="FH103" s="7">
        <v>16</v>
      </c>
      <c r="FI103" s="7">
        <v>7</v>
      </c>
      <c r="FJ103" s="7">
        <v>12</v>
      </c>
      <c r="FK103" s="7">
        <v>6</v>
      </c>
      <c r="FL103" s="7">
        <v>12</v>
      </c>
      <c r="FM103" s="7">
        <v>4</v>
      </c>
      <c r="FN103" s="9">
        <v>6</v>
      </c>
      <c r="FQ103" s="6">
        <v>93</v>
      </c>
      <c r="FR103" s="9">
        <v>7</v>
      </c>
    </row>
    <row r="104" spans="12:178" x14ac:dyDescent="0.25">
      <c r="L104" s="6">
        <v>77</v>
      </c>
      <c r="M104" s="7">
        <v>5</v>
      </c>
      <c r="N104" s="7">
        <v>5</v>
      </c>
      <c r="O104" s="7">
        <v>5</v>
      </c>
      <c r="P104" s="9">
        <v>7</v>
      </c>
      <c r="Q104" s="6">
        <v>77</v>
      </c>
      <c r="R104" s="7">
        <v>7</v>
      </c>
      <c r="S104" s="7">
        <v>7</v>
      </c>
      <c r="T104" s="7">
        <v>5</v>
      </c>
      <c r="U104" s="9">
        <v>4</v>
      </c>
      <c r="BD104" s="6">
        <v>77</v>
      </c>
      <c r="BE104" s="7">
        <v>6</v>
      </c>
      <c r="BF104" s="9">
        <v>7</v>
      </c>
      <c r="BG104" s="6">
        <v>77</v>
      </c>
      <c r="BH104" s="7">
        <v>6</v>
      </c>
      <c r="BI104" s="9">
        <v>7</v>
      </c>
      <c r="DT104" s="6">
        <v>77</v>
      </c>
      <c r="DU104" s="9">
        <v>7</v>
      </c>
      <c r="DV104" s="6">
        <v>77</v>
      </c>
      <c r="DW104" s="9">
        <v>4</v>
      </c>
      <c r="EX104" s="6">
        <v>93</v>
      </c>
      <c r="EY104" s="7">
        <v>7</v>
      </c>
      <c r="EZ104" s="7">
        <v>27</v>
      </c>
      <c r="FA104" s="7">
        <v>6</v>
      </c>
      <c r="FB104" s="7">
        <v>6</v>
      </c>
      <c r="FC104" s="7">
        <v>6</v>
      </c>
      <c r="FD104" s="7">
        <v>6</v>
      </c>
      <c r="FE104" s="7">
        <v>7</v>
      </c>
      <c r="FF104" s="7">
        <v>7</v>
      </c>
      <c r="FG104" s="7">
        <v>26</v>
      </c>
      <c r="FH104" s="7">
        <v>16</v>
      </c>
      <c r="FI104" s="7">
        <v>7</v>
      </c>
      <c r="FJ104" s="7">
        <v>12</v>
      </c>
      <c r="FK104" s="7">
        <v>6</v>
      </c>
      <c r="FL104" s="7">
        <v>12</v>
      </c>
      <c r="FM104" s="7">
        <v>4</v>
      </c>
      <c r="FN104" s="9">
        <v>6</v>
      </c>
      <c r="FQ104" s="6">
        <v>94</v>
      </c>
      <c r="FR104" s="9">
        <v>7</v>
      </c>
    </row>
    <row r="105" spans="12:178" x14ac:dyDescent="0.25">
      <c r="L105" s="6">
        <v>78</v>
      </c>
      <c r="M105" s="7">
        <v>5</v>
      </c>
      <c r="N105" s="7">
        <v>5</v>
      </c>
      <c r="O105" s="7">
        <v>7</v>
      </c>
      <c r="P105" s="9">
        <v>6</v>
      </c>
      <c r="Q105" s="6">
        <v>78</v>
      </c>
      <c r="R105" s="7">
        <v>5</v>
      </c>
      <c r="S105" s="7">
        <v>4</v>
      </c>
      <c r="T105" s="7">
        <v>6</v>
      </c>
      <c r="U105" s="9">
        <v>5</v>
      </c>
      <c r="BD105" s="6">
        <v>78</v>
      </c>
      <c r="BE105" s="7">
        <v>5</v>
      </c>
      <c r="BF105" s="9">
        <v>7</v>
      </c>
      <c r="BG105" s="6">
        <v>78</v>
      </c>
      <c r="BH105" s="7">
        <v>5</v>
      </c>
      <c r="BI105" s="9">
        <v>4</v>
      </c>
      <c r="DT105" s="6">
        <v>78</v>
      </c>
      <c r="DU105" s="9">
        <v>7</v>
      </c>
      <c r="DV105" s="6">
        <v>78</v>
      </c>
      <c r="DW105" s="9">
        <v>5</v>
      </c>
      <c r="EX105" s="6">
        <v>94</v>
      </c>
      <c r="EY105" s="7">
        <v>7</v>
      </c>
      <c r="EZ105" s="7">
        <v>26</v>
      </c>
      <c r="FA105" s="7">
        <v>6</v>
      </c>
      <c r="FB105" s="7">
        <v>6</v>
      </c>
      <c r="FC105" s="7">
        <v>6</v>
      </c>
      <c r="FD105" s="7">
        <v>6</v>
      </c>
      <c r="FE105" s="7">
        <v>7</v>
      </c>
      <c r="FF105" s="7">
        <v>7</v>
      </c>
      <c r="FG105" s="7">
        <v>26</v>
      </c>
      <c r="FH105" s="7">
        <v>16</v>
      </c>
      <c r="FI105" s="7">
        <v>7</v>
      </c>
      <c r="FJ105" s="7">
        <v>12</v>
      </c>
      <c r="FK105" s="7">
        <v>6</v>
      </c>
      <c r="FL105" s="7">
        <v>12</v>
      </c>
      <c r="FM105" s="7">
        <v>4</v>
      </c>
      <c r="FN105" s="9">
        <v>6</v>
      </c>
      <c r="FQ105" s="6">
        <v>95</v>
      </c>
      <c r="FR105" s="9">
        <v>4</v>
      </c>
    </row>
    <row r="106" spans="12:178" x14ac:dyDescent="0.25">
      <c r="L106" s="6">
        <v>79</v>
      </c>
      <c r="M106" s="7">
        <v>5</v>
      </c>
      <c r="N106" s="7">
        <v>6</v>
      </c>
      <c r="O106" s="7">
        <v>4</v>
      </c>
      <c r="P106" s="9">
        <v>7</v>
      </c>
      <c r="Q106" s="6">
        <v>79</v>
      </c>
      <c r="R106" s="7">
        <v>6</v>
      </c>
      <c r="S106" s="7">
        <v>5</v>
      </c>
      <c r="T106" s="7">
        <v>6</v>
      </c>
      <c r="U106" s="9">
        <v>4</v>
      </c>
      <c r="BD106" s="6">
        <v>79</v>
      </c>
      <c r="BE106" s="7">
        <v>6</v>
      </c>
      <c r="BF106" s="9">
        <v>4</v>
      </c>
      <c r="BG106" s="6">
        <v>79</v>
      </c>
      <c r="BH106" s="7">
        <v>5</v>
      </c>
      <c r="BI106" s="9">
        <v>6</v>
      </c>
      <c r="DT106" s="6">
        <v>79</v>
      </c>
      <c r="DU106" s="9">
        <v>7</v>
      </c>
      <c r="DV106" s="6">
        <v>79</v>
      </c>
      <c r="DW106" s="9">
        <v>5</v>
      </c>
      <c r="EX106" s="6">
        <v>95</v>
      </c>
      <c r="EY106" s="7">
        <v>7</v>
      </c>
      <c r="EZ106" s="7">
        <v>24</v>
      </c>
      <c r="FA106" s="7">
        <v>6</v>
      </c>
      <c r="FB106" s="7">
        <v>6</v>
      </c>
      <c r="FC106" s="7">
        <v>6</v>
      </c>
      <c r="FD106" s="7">
        <v>6</v>
      </c>
      <c r="FE106" s="7">
        <v>7</v>
      </c>
      <c r="FF106" s="7">
        <v>7</v>
      </c>
      <c r="FG106" s="7">
        <v>26</v>
      </c>
      <c r="FH106" s="7">
        <v>16</v>
      </c>
      <c r="FI106" s="7">
        <v>7</v>
      </c>
      <c r="FJ106" s="7">
        <v>12</v>
      </c>
      <c r="FK106" s="7">
        <v>6</v>
      </c>
      <c r="FL106" s="7">
        <v>12</v>
      </c>
      <c r="FM106" s="7">
        <v>4</v>
      </c>
      <c r="FN106" s="9">
        <v>6</v>
      </c>
      <c r="FQ106" s="6">
        <v>96</v>
      </c>
      <c r="FR106" s="9">
        <v>4</v>
      </c>
    </row>
    <row r="107" spans="12:178" x14ac:dyDescent="0.25">
      <c r="L107" s="6">
        <v>80</v>
      </c>
      <c r="M107" s="7">
        <v>5</v>
      </c>
      <c r="N107" s="7">
        <v>6</v>
      </c>
      <c r="O107" s="7">
        <v>7</v>
      </c>
      <c r="P107" s="9">
        <v>5</v>
      </c>
      <c r="Q107" s="6">
        <v>80</v>
      </c>
      <c r="R107" s="7">
        <v>7</v>
      </c>
      <c r="S107" s="7">
        <v>4</v>
      </c>
      <c r="T107" s="7">
        <v>5</v>
      </c>
      <c r="U107" s="9">
        <v>7</v>
      </c>
      <c r="BD107" s="6">
        <v>80</v>
      </c>
      <c r="BE107" s="7">
        <v>7</v>
      </c>
      <c r="BF107" s="9">
        <v>5</v>
      </c>
      <c r="BG107" s="6">
        <v>80</v>
      </c>
      <c r="BH107" s="7">
        <v>7</v>
      </c>
      <c r="BI107" s="9">
        <v>4</v>
      </c>
      <c r="DT107" s="6">
        <v>80</v>
      </c>
      <c r="DU107" s="9">
        <v>6</v>
      </c>
      <c r="DV107" s="6">
        <v>80</v>
      </c>
      <c r="DW107" s="9">
        <v>7</v>
      </c>
      <c r="EX107" s="6">
        <v>96</v>
      </c>
      <c r="EY107" s="7">
        <v>7</v>
      </c>
      <c r="EZ107" s="7">
        <v>26</v>
      </c>
      <c r="FA107" s="7">
        <v>6</v>
      </c>
      <c r="FB107" s="7">
        <v>6</v>
      </c>
      <c r="FC107" s="7">
        <v>6</v>
      </c>
      <c r="FD107" s="7">
        <v>6</v>
      </c>
      <c r="FE107" s="7">
        <v>7</v>
      </c>
      <c r="FF107" s="7">
        <v>7</v>
      </c>
      <c r="FG107" s="7">
        <v>26</v>
      </c>
      <c r="FH107" s="7">
        <v>16</v>
      </c>
      <c r="FI107" s="7">
        <v>7</v>
      </c>
      <c r="FJ107" s="7">
        <v>12</v>
      </c>
      <c r="FK107" s="7">
        <v>6</v>
      </c>
      <c r="FL107" s="7">
        <v>12</v>
      </c>
      <c r="FM107" s="7">
        <v>4</v>
      </c>
      <c r="FN107" s="9">
        <v>6</v>
      </c>
      <c r="FQ107" s="6">
        <v>97</v>
      </c>
      <c r="FR107" s="9">
        <v>6</v>
      </c>
    </row>
    <row r="108" spans="12:178" x14ac:dyDescent="0.25">
      <c r="L108" s="6">
        <v>81</v>
      </c>
      <c r="M108" s="7">
        <v>7</v>
      </c>
      <c r="N108" s="7">
        <v>6</v>
      </c>
      <c r="O108" s="7">
        <v>4</v>
      </c>
      <c r="P108" s="9">
        <v>6</v>
      </c>
      <c r="Q108" s="6">
        <v>81</v>
      </c>
      <c r="R108" s="7">
        <v>7</v>
      </c>
      <c r="S108" s="7">
        <v>4</v>
      </c>
      <c r="T108" s="7">
        <v>6</v>
      </c>
      <c r="U108" s="9">
        <v>6</v>
      </c>
      <c r="BD108" s="6">
        <v>81</v>
      </c>
      <c r="BE108" s="7">
        <v>5</v>
      </c>
      <c r="BF108" s="9">
        <v>6</v>
      </c>
      <c r="BG108" s="6">
        <v>81</v>
      </c>
      <c r="BH108" s="7">
        <v>6</v>
      </c>
      <c r="BI108" s="9">
        <v>5</v>
      </c>
      <c r="DT108" s="6">
        <v>81</v>
      </c>
      <c r="DU108" s="9">
        <v>6</v>
      </c>
      <c r="DV108" s="6">
        <v>81</v>
      </c>
      <c r="DW108" s="9">
        <v>7</v>
      </c>
      <c r="EX108" s="6">
        <v>97</v>
      </c>
      <c r="EY108" s="7">
        <v>7</v>
      </c>
      <c r="EZ108" s="7">
        <v>27</v>
      </c>
      <c r="FA108" s="7">
        <v>6</v>
      </c>
      <c r="FB108" s="7">
        <v>6</v>
      </c>
      <c r="FC108" s="7">
        <v>6</v>
      </c>
      <c r="FD108" s="7">
        <v>6</v>
      </c>
      <c r="FE108" s="7">
        <v>7</v>
      </c>
      <c r="FF108" s="7">
        <v>7</v>
      </c>
      <c r="FG108" s="7">
        <v>26</v>
      </c>
      <c r="FH108" s="7">
        <v>16</v>
      </c>
      <c r="FI108" s="7">
        <v>7</v>
      </c>
      <c r="FJ108" s="7">
        <v>12</v>
      </c>
      <c r="FK108" s="7">
        <v>6</v>
      </c>
      <c r="FL108" s="7">
        <v>12</v>
      </c>
      <c r="FM108" s="7">
        <v>4</v>
      </c>
      <c r="FN108" s="9">
        <v>6</v>
      </c>
      <c r="FQ108" s="6">
        <v>98</v>
      </c>
      <c r="FR108" s="9">
        <v>6</v>
      </c>
    </row>
    <row r="109" spans="12:178" x14ac:dyDescent="0.25">
      <c r="L109" s="6">
        <v>82</v>
      </c>
      <c r="M109" s="7">
        <v>5</v>
      </c>
      <c r="N109" s="7">
        <v>6</v>
      </c>
      <c r="O109" s="7">
        <v>6</v>
      </c>
      <c r="P109" s="9">
        <v>6</v>
      </c>
      <c r="Q109" s="6">
        <v>82</v>
      </c>
      <c r="R109" s="7">
        <v>6</v>
      </c>
      <c r="S109" s="7">
        <v>6</v>
      </c>
      <c r="T109" s="7">
        <v>5</v>
      </c>
      <c r="U109" s="9">
        <v>7</v>
      </c>
      <c r="BD109" s="6">
        <v>82</v>
      </c>
      <c r="BE109" s="7">
        <v>4</v>
      </c>
      <c r="BF109" s="9">
        <v>7</v>
      </c>
      <c r="BG109" s="6">
        <v>82</v>
      </c>
      <c r="BH109" s="7">
        <v>6</v>
      </c>
      <c r="BI109" s="9">
        <v>6</v>
      </c>
      <c r="DT109" s="6">
        <v>82</v>
      </c>
      <c r="DU109" s="9">
        <v>7</v>
      </c>
      <c r="DV109" s="6">
        <v>82</v>
      </c>
      <c r="DW109" s="9">
        <v>7</v>
      </c>
      <c r="EX109" s="6">
        <v>98</v>
      </c>
      <c r="EY109" s="7">
        <v>7</v>
      </c>
      <c r="EZ109" s="7">
        <v>25</v>
      </c>
      <c r="FA109" s="7">
        <v>6</v>
      </c>
      <c r="FB109" s="7">
        <v>6</v>
      </c>
      <c r="FC109" s="7">
        <v>6</v>
      </c>
      <c r="FD109" s="7">
        <v>6</v>
      </c>
      <c r="FE109" s="7">
        <v>7</v>
      </c>
      <c r="FF109" s="7">
        <v>7</v>
      </c>
      <c r="FG109" s="7">
        <v>26</v>
      </c>
      <c r="FH109" s="7">
        <v>16</v>
      </c>
      <c r="FI109" s="7">
        <v>7</v>
      </c>
      <c r="FJ109" s="7">
        <v>12</v>
      </c>
      <c r="FK109" s="7">
        <v>6</v>
      </c>
      <c r="FL109" s="7">
        <v>12</v>
      </c>
      <c r="FM109" s="7">
        <v>4</v>
      </c>
      <c r="FN109" s="9">
        <v>6</v>
      </c>
      <c r="FQ109" s="6">
        <v>99</v>
      </c>
      <c r="FR109" s="9">
        <v>7</v>
      </c>
    </row>
    <row r="110" spans="12:178" ht="15.75" thickBot="1" x14ac:dyDescent="0.3">
      <c r="L110" s="6">
        <v>83</v>
      </c>
      <c r="M110" s="7">
        <v>4</v>
      </c>
      <c r="N110" s="7">
        <v>6</v>
      </c>
      <c r="O110" s="7">
        <v>6</v>
      </c>
      <c r="P110" s="9">
        <v>6</v>
      </c>
      <c r="Q110" s="6">
        <v>83</v>
      </c>
      <c r="R110" s="7">
        <v>5</v>
      </c>
      <c r="S110" s="7">
        <v>6</v>
      </c>
      <c r="T110" s="7">
        <v>7</v>
      </c>
      <c r="U110" s="9">
        <v>7</v>
      </c>
      <c r="BD110" s="6">
        <v>83</v>
      </c>
      <c r="BE110" s="7">
        <v>5</v>
      </c>
      <c r="BF110" s="9">
        <v>5</v>
      </c>
      <c r="BG110" s="6">
        <v>83</v>
      </c>
      <c r="BH110" s="7">
        <v>6</v>
      </c>
      <c r="BI110" s="9">
        <v>6</v>
      </c>
      <c r="DT110" s="6">
        <v>83</v>
      </c>
      <c r="DU110" s="9">
        <v>7</v>
      </c>
      <c r="DV110" s="6">
        <v>83</v>
      </c>
      <c r="DW110" s="9">
        <v>7</v>
      </c>
      <c r="EX110" s="6">
        <v>99</v>
      </c>
      <c r="EY110" s="7">
        <v>7</v>
      </c>
      <c r="EZ110" s="7">
        <v>26</v>
      </c>
      <c r="FA110" s="7">
        <v>6</v>
      </c>
      <c r="FB110" s="7">
        <v>6</v>
      </c>
      <c r="FC110" s="7">
        <v>6</v>
      </c>
      <c r="FD110" s="7">
        <v>6</v>
      </c>
      <c r="FE110" s="7">
        <v>7</v>
      </c>
      <c r="FF110" s="7">
        <v>7</v>
      </c>
      <c r="FG110" s="7">
        <v>26</v>
      </c>
      <c r="FH110" s="7">
        <v>16</v>
      </c>
      <c r="FI110" s="7">
        <v>7</v>
      </c>
      <c r="FJ110" s="7">
        <v>12</v>
      </c>
      <c r="FK110" s="7">
        <v>6</v>
      </c>
      <c r="FL110" s="7">
        <v>12</v>
      </c>
      <c r="FM110" s="7">
        <v>4</v>
      </c>
      <c r="FN110" s="9">
        <v>6</v>
      </c>
      <c r="FQ110" s="5">
        <v>100</v>
      </c>
      <c r="FR110" s="11">
        <v>6</v>
      </c>
    </row>
    <row r="111" spans="12:178" x14ac:dyDescent="0.25">
      <c r="L111" s="6">
        <v>84</v>
      </c>
      <c r="M111" s="7">
        <v>7</v>
      </c>
      <c r="N111" s="7">
        <v>6</v>
      </c>
      <c r="O111" s="7">
        <v>7</v>
      </c>
      <c r="P111" s="9">
        <v>6</v>
      </c>
      <c r="Q111" s="6">
        <v>84</v>
      </c>
      <c r="R111" s="7">
        <v>7</v>
      </c>
      <c r="S111" s="7">
        <v>7</v>
      </c>
      <c r="T111" s="7">
        <v>6</v>
      </c>
      <c r="U111" s="9">
        <v>6</v>
      </c>
      <c r="BD111" s="6">
        <v>84</v>
      </c>
      <c r="BE111" s="7">
        <v>5</v>
      </c>
      <c r="BF111" s="9">
        <v>5</v>
      </c>
      <c r="BG111" s="6">
        <v>84</v>
      </c>
      <c r="BH111" s="7">
        <v>5</v>
      </c>
      <c r="BI111" s="9">
        <v>7</v>
      </c>
      <c r="DT111" s="6">
        <v>84</v>
      </c>
      <c r="DU111" s="9">
        <v>7</v>
      </c>
      <c r="DV111" s="6">
        <v>84</v>
      </c>
      <c r="DW111" s="9">
        <v>7</v>
      </c>
      <c r="EX111" s="6">
        <v>100</v>
      </c>
      <c r="EY111" s="7">
        <v>7</v>
      </c>
      <c r="EZ111" s="7">
        <v>27</v>
      </c>
      <c r="FA111" s="7">
        <v>6</v>
      </c>
      <c r="FB111" s="7">
        <v>6</v>
      </c>
      <c r="FC111" s="7">
        <v>6</v>
      </c>
      <c r="FD111" s="7">
        <v>6</v>
      </c>
      <c r="FE111" s="7">
        <v>7</v>
      </c>
      <c r="FF111" s="7">
        <v>7</v>
      </c>
      <c r="FG111" s="7">
        <v>26</v>
      </c>
      <c r="FH111" s="7">
        <v>16</v>
      </c>
      <c r="FI111" s="7">
        <v>7</v>
      </c>
      <c r="FJ111" s="7">
        <v>12</v>
      </c>
      <c r="FK111" s="7">
        <v>6</v>
      </c>
      <c r="FL111" s="7">
        <v>12</v>
      </c>
      <c r="FM111" s="7">
        <v>4</v>
      </c>
      <c r="FN111" s="9">
        <v>6</v>
      </c>
      <c r="FR111" s="7">
        <f ca="1">AVERAGE(FR11:FR110)</f>
        <v>5.63</v>
      </c>
    </row>
    <row r="112" spans="12:178" ht="15.75" thickBot="1" x14ac:dyDescent="0.3">
      <c r="L112" s="6">
        <v>85</v>
      </c>
      <c r="M112" s="7">
        <v>6</v>
      </c>
      <c r="N112" s="7">
        <v>6</v>
      </c>
      <c r="O112" s="7">
        <v>7</v>
      </c>
      <c r="P112" s="9">
        <v>7</v>
      </c>
      <c r="Q112" s="6">
        <v>85</v>
      </c>
      <c r="R112" s="7">
        <v>5</v>
      </c>
      <c r="S112" s="7">
        <v>4</v>
      </c>
      <c r="T112" s="7">
        <v>7</v>
      </c>
      <c r="U112" s="9">
        <v>7</v>
      </c>
      <c r="BD112" s="6">
        <v>85</v>
      </c>
      <c r="BE112" s="7">
        <v>7</v>
      </c>
      <c r="BF112" s="9">
        <v>5</v>
      </c>
      <c r="BG112" s="6">
        <v>85</v>
      </c>
      <c r="BH112" s="7">
        <v>6</v>
      </c>
      <c r="BI112" s="9">
        <v>6</v>
      </c>
      <c r="DT112" s="6">
        <v>85</v>
      </c>
      <c r="DU112" s="9">
        <v>5</v>
      </c>
      <c r="DV112" s="6">
        <v>85</v>
      </c>
      <c r="DW112" s="9">
        <v>7</v>
      </c>
      <c r="EX112" s="5" t="s">
        <v>191</v>
      </c>
      <c r="EY112" s="10">
        <f>AVERAGE(EY12:EY111)</f>
        <v>7</v>
      </c>
      <c r="EZ112" s="10">
        <f t="shared" ref="EZ112:FN112" ca="1" si="9">AVERAGE(EZ12:EZ111)</f>
        <v>25.85</v>
      </c>
      <c r="FA112" s="10">
        <f t="shared" si="9"/>
        <v>6</v>
      </c>
      <c r="FB112" s="10">
        <f t="shared" si="9"/>
        <v>6</v>
      </c>
      <c r="FC112" s="10">
        <f t="shared" si="9"/>
        <v>6</v>
      </c>
      <c r="FD112" s="10">
        <f t="shared" si="9"/>
        <v>6</v>
      </c>
      <c r="FE112" s="10">
        <f t="shared" si="9"/>
        <v>7</v>
      </c>
      <c r="FF112" s="10">
        <f t="shared" si="9"/>
        <v>7</v>
      </c>
      <c r="FG112" s="10">
        <f t="shared" si="9"/>
        <v>26</v>
      </c>
      <c r="FH112" s="10">
        <f t="shared" si="9"/>
        <v>16</v>
      </c>
      <c r="FI112" s="10">
        <f t="shared" si="9"/>
        <v>7</v>
      </c>
      <c r="FJ112" s="10">
        <f t="shared" si="9"/>
        <v>12</v>
      </c>
      <c r="FK112" s="10">
        <f t="shared" si="9"/>
        <v>6</v>
      </c>
      <c r="FL112" s="10">
        <f t="shared" si="9"/>
        <v>12</v>
      </c>
      <c r="FM112" s="10">
        <f t="shared" si="9"/>
        <v>4</v>
      </c>
      <c r="FN112" s="10">
        <f t="shared" si="9"/>
        <v>6</v>
      </c>
    </row>
    <row r="113" spans="12:127" x14ac:dyDescent="0.25">
      <c r="L113" s="6">
        <v>86</v>
      </c>
      <c r="M113" s="7">
        <v>5</v>
      </c>
      <c r="N113" s="7">
        <v>7</v>
      </c>
      <c r="O113" s="7">
        <v>7</v>
      </c>
      <c r="P113" s="9">
        <v>7</v>
      </c>
      <c r="Q113" s="6">
        <v>86</v>
      </c>
      <c r="R113" s="7">
        <v>7</v>
      </c>
      <c r="S113" s="7">
        <v>5</v>
      </c>
      <c r="T113" s="7">
        <v>5</v>
      </c>
      <c r="U113" s="9">
        <v>6</v>
      </c>
      <c r="BD113" s="6">
        <v>86</v>
      </c>
      <c r="BE113" s="7">
        <v>7</v>
      </c>
      <c r="BF113" s="9">
        <v>4</v>
      </c>
      <c r="BG113" s="6">
        <v>86</v>
      </c>
      <c r="BH113" s="7">
        <v>6</v>
      </c>
      <c r="BI113" s="9">
        <v>6</v>
      </c>
      <c r="DT113" s="6">
        <v>86</v>
      </c>
      <c r="DU113" s="9">
        <v>5</v>
      </c>
      <c r="DV113" s="6">
        <v>86</v>
      </c>
      <c r="DW113" s="9">
        <v>4</v>
      </c>
    </row>
    <row r="114" spans="12:127" x14ac:dyDescent="0.25">
      <c r="L114" s="6">
        <v>87</v>
      </c>
      <c r="M114" s="7">
        <v>4</v>
      </c>
      <c r="N114" s="7">
        <v>4</v>
      </c>
      <c r="O114" s="7">
        <v>5</v>
      </c>
      <c r="P114" s="9">
        <v>7</v>
      </c>
      <c r="Q114" s="6">
        <v>87</v>
      </c>
      <c r="R114" s="7">
        <v>7</v>
      </c>
      <c r="S114" s="7">
        <v>7</v>
      </c>
      <c r="T114" s="7">
        <v>5</v>
      </c>
      <c r="U114" s="9">
        <v>5</v>
      </c>
      <c r="BD114" s="6">
        <v>87</v>
      </c>
      <c r="BE114" s="7">
        <v>6</v>
      </c>
      <c r="BF114" s="9">
        <v>7</v>
      </c>
      <c r="BG114" s="6">
        <v>87</v>
      </c>
      <c r="BH114" s="7">
        <v>5</v>
      </c>
      <c r="BI114" s="9">
        <v>4</v>
      </c>
      <c r="DT114" s="6">
        <v>87</v>
      </c>
      <c r="DU114" s="9">
        <v>7</v>
      </c>
      <c r="DV114" s="6">
        <v>87</v>
      </c>
      <c r="DW114" s="9">
        <v>4</v>
      </c>
    </row>
    <row r="115" spans="12:127" x14ac:dyDescent="0.25">
      <c r="L115" s="6">
        <v>88</v>
      </c>
      <c r="M115" s="7">
        <v>5</v>
      </c>
      <c r="N115" s="7">
        <v>6</v>
      </c>
      <c r="O115" s="7">
        <v>5</v>
      </c>
      <c r="P115" s="9">
        <v>6</v>
      </c>
      <c r="Q115" s="6">
        <v>88</v>
      </c>
      <c r="R115" s="7">
        <v>4</v>
      </c>
      <c r="S115" s="7">
        <v>6</v>
      </c>
      <c r="T115" s="7">
        <v>6</v>
      </c>
      <c r="U115" s="9">
        <v>6</v>
      </c>
      <c r="BD115" s="6">
        <v>88</v>
      </c>
      <c r="BE115" s="7">
        <v>7</v>
      </c>
      <c r="BF115" s="9">
        <v>7</v>
      </c>
      <c r="BG115" s="6">
        <v>88</v>
      </c>
      <c r="BH115" s="7">
        <v>7</v>
      </c>
      <c r="BI115" s="9">
        <v>7</v>
      </c>
      <c r="DT115" s="6">
        <v>88</v>
      </c>
      <c r="DU115" s="9">
        <v>7</v>
      </c>
      <c r="DV115" s="6">
        <v>88</v>
      </c>
      <c r="DW115" s="9">
        <v>7</v>
      </c>
    </row>
    <row r="116" spans="12:127" x14ac:dyDescent="0.25">
      <c r="L116" s="6">
        <v>89</v>
      </c>
      <c r="M116" s="7">
        <v>6</v>
      </c>
      <c r="N116" s="7">
        <v>7</v>
      </c>
      <c r="O116" s="7">
        <v>5</v>
      </c>
      <c r="P116" s="9">
        <v>7</v>
      </c>
      <c r="Q116" s="6">
        <v>89</v>
      </c>
      <c r="R116" s="7">
        <v>7</v>
      </c>
      <c r="S116" s="7">
        <v>4</v>
      </c>
      <c r="T116" s="7">
        <v>6</v>
      </c>
      <c r="U116" s="9">
        <v>7</v>
      </c>
      <c r="BD116" s="6">
        <v>89</v>
      </c>
      <c r="BE116" s="7">
        <v>5</v>
      </c>
      <c r="BF116" s="9">
        <v>4</v>
      </c>
      <c r="BG116" s="6">
        <v>89</v>
      </c>
      <c r="BH116" s="7">
        <v>4</v>
      </c>
      <c r="BI116" s="9">
        <v>4</v>
      </c>
      <c r="DT116" s="6">
        <v>89</v>
      </c>
      <c r="DU116" s="9">
        <v>4</v>
      </c>
      <c r="DV116" s="6">
        <v>89</v>
      </c>
      <c r="DW116" s="9">
        <v>6</v>
      </c>
    </row>
    <row r="117" spans="12:127" x14ac:dyDescent="0.25">
      <c r="L117" s="6">
        <v>90</v>
      </c>
      <c r="M117" s="7">
        <v>7</v>
      </c>
      <c r="N117" s="7">
        <v>5</v>
      </c>
      <c r="O117" s="7">
        <v>4</v>
      </c>
      <c r="P117" s="9">
        <v>6</v>
      </c>
      <c r="Q117" s="6">
        <v>90</v>
      </c>
      <c r="R117" s="7">
        <v>6</v>
      </c>
      <c r="S117" s="7">
        <v>6</v>
      </c>
      <c r="T117" s="7">
        <v>6</v>
      </c>
      <c r="U117" s="9">
        <v>6</v>
      </c>
      <c r="BD117" s="6">
        <v>90</v>
      </c>
      <c r="BE117" s="7">
        <v>4</v>
      </c>
      <c r="BF117" s="9">
        <v>5</v>
      </c>
      <c r="BG117" s="6">
        <v>90</v>
      </c>
      <c r="BH117" s="7">
        <v>7</v>
      </c>
      <c r="BI117" s="9">
        <v>7</v>
      </c>
      <c r="DT117" s="6">
        <v>90</v>
      </c>
      <c r="DU117" s="9">
        <v>7</v>
      </c>
      <c r="DV117" s="6">
        <v>90</v>
      </c>
      <c r="DW117" s="9">
        <v>7</v>
      </c>
    </row>
    <row r="118" spans="12:127" x14ac:dyDescent="0.25">
      <c r="L118" s="6">
        <v>91</v>
      </c>
      <c r="M118" s="7">
        <v>4</v>
      </c>
      <c r="N118" s="7">
        <v>6</v>
      </c>
      <c r="O118" s="7">
        <v>5</v>
      </c>
      <c r="P118" s="9">
        <v>5</v>
      </c>
      <c r="Q118" s="6">
        <v>91</v>
      </c>
      <c r="R118" s="7">
        <v>5</v>
      </c>
      <c r="S118" s="7">
        <v>7</v>
      </c>
      <c r="T118" s="7">
        <v>7</v>
      </c>
      <c r="U118" s="9">
        <v>5</v>
      </c>
      <c r="BD118" s="6">
        <v>91</v>
      </c>
      <c r="BE118" s="7">
        <v>7</v>
      </c>
      <c r="BF118" s="9">
        <v>5</v>
      </c>
      <c r="BG118" s="6">
        <v>91</v>
      </c>
      <c r="BH118" s="7">
        <v>6</v>
      </c>
      <c r="BI118" s="9">
        <v>5</v>
      </c>
      <c r="DT118" s="6">
        <v>91</v>
      </c>
      <c r="DU118" s="9">
        <v>6</v>
      </c>
      <c r="DV118" s="6">
        <v>91</v>
      </c>
      <c r="DW118" s="9">
        <v>6</v>
      </c>
    </row>
    <row r="119" spans="12:127" x14ac:dyDescent="0.25">
      <c r="L119" s="6">
        <v>92</v>
      </c>
      <c r="M119" s="7">
        <v>6</v>
      </c>
      <c r="N119" s="7">
        <v>5</v>
      </c>
      <c r="O119" s="7">
        <v>5</v>
      </c>
      <c r="P119" s="9">
        <v>7</v>
      </c>
      <c r="Q119" s="6">
        <v>92</v>
      </c>
      <c r="R119" s="7">
        <v>5</v>
      </c>
      <c r="S119" s="7">
        <v>7</v>
      </c>
      <c r="T119" s="7">
        <v>5</v>
      </c>
      <c r="U119" s="9">
        <v>4</v>
      </c>
      <c r="BD119" s="6">
        <v>92</v>
      </c>
      <c r="BE119" s="7">
        <v>5</v>
      </c>
      <c r="BF119" s="9">
        <v>5</v>
      </c>
      <c r="BG119" s="6">
        <v>92</v>
      </c>
      <c r="BH119" s="7">
        <v>5</v>
      </c>
      <c r="BI119" s="9">
        <v>6</v>
      </c>
      <c r="DT119" s="6">
        <v>92</v>
      </c>
      <c r="DU119" s="9">
        <v>4</v>
      </c>
      <c r="DV119" s="6">
        <v>92</v>
      </c>
      <c r="DW119" s="9">
        <v>7</v>
      </c>
    </row>
    <row r="120" spans="12:127" x14ac:dyDescent="0.25">
      <c r="L120" s="6">
        <v>93</v>
      </c>
      <c r="M120" s="7">
        <v>5</v>
      </c>
      <c r="N120" s="7">
        <v>7</v>
      </c>
      <c r="O120" s="7">
        <v>6</v>
      </c>
      <c r="P120" s="9">
        <v>5</v>
      </c>
      <c r="Q120" s="6">
        <v>93</v>
      </c>
      <c r="R120" s="7">
        <v>7</v>
      </c>
      <c r="S120" s="7">
        <v>7</v>
      </c>
      <c r="T120" s="7">
        <v>6</v>
      </c>
      <c r="U120" s="9">
        <v>6</v>
      </c>
      <c r="BD120" s="6">
        <v>93</v>
      </c>
      <c r="BE120" s="7">
        <v>5</v>
      </c>
      <c r="BF120" s="9">
        <v>7</v>
      </c>
      <c r="BG120" s="6">
        <v>93</v>
      </c>
      <c r="BH120" s="7">
        <v>6</v>
      </c>
      <c r="BI120" s="9">
        <v>4</v>
      </c>
      <c r="DT120" s="6">
        <v>93</v>
      </c>
      <c r="DU120" s="9">
        <v>5</v>
      </c>
      <c r="DV120" s="6">
        <v>93</v>
      </c>
      <c r="DW120" s="9">
        <v>5</v>
      </c>
    </row>
    <row r="121" spans="12:127" x14ac:dyDescent="0.25">
      <c r="L121" s="6">
        <v>94</v>
      </c>
      <c r="M121" s="7">
        <v>4</v>
      </c>
      <c r="N121" s="7">
        <v>7</v>
      </c>
      <c r="O121" s="7">
        <v>5</v>
      </c>
      <c r="P121" s="9">
        <v>5</v>
      </c>
      <c r="Q121" s="6">
        <v>94</v>
      </c>
      <c r="R121" s="7">
        <v>5</v>
      </c>
      <c r="S121" s="7">
        <v>7</v>
      </c>
      <c r="T121" s="7">
        <v>4</v>
      </c>
      <c r="U121" s="9">
        <v>5</v>
      </c>
      <c r="BD121" s="6">
        <v>94</v>
      </c>
      <c r="BE121" s="7">
        <v>5</v>
      </c>
      <c r="BF121" s="9">
        <v>6</v>
      </c>
      <c r="BG121" s="6">
        <v>94</v>
      </c>
      <c r="BH121" s="7">
        <v>6</v>
      </c>
      <c r="BI121" s="9">
        <v>4</v>
      </c>
      <c r="DT121" s="6">
        <v>94</v>
      </c>
      <c r="DU121" s="9">
        <v>6</v>
      </c>
      <c r="DV121" s="6">
        <v>94</v>
      </c>
      <c r="DW121" s="9">
        <v>7</v>
      </c>
    </row>
    <row r="122" spans="12:127" x14ac:dyDescent="0.25">
      <c r="L122" s="6">
        <v>95</v>
      </c>
      <c r="M122" s="7">
        <v>6</v>
      </c>
      <c r="N122" s="7">
        <v>7</v>
      </c>
      <c r="O122" s="7">
        <v>7</v>
      </c>
      <c r="P122" s="9">
        <v>6</v>
      </c>
      <c r="Q122" s="6">
        <v>95</v>
      </c>
      <c r="R122" s="7">
        <v>7</v>
      </c>
      <c r="S122" s="7">
        <v>4</v>
      </c>
      <c r="T122" s="7">
        <v>5</v>
      </c>
      <c r="U122" s="9">
        <v>7</v>
      </c>
      <c r="BD122" s="6">
        <v>95</v>
      </c>
      <c r="BE122" s="7">
        <v>7</v>
      </c>
      <c r="BF122" s="9">
        <v>6</v>
      </c>
      <c r="BG122" s="6">
        <v>95</v>
      </c>
      <c r="BH122" s="7">
        <v>6</v>
      </c>
      <c r="BI122" s="9">
        <v>6</v>
      </c>
      <c r="DT122" s="6">
        <v>95</v>
      </c>
      <c r="DU122" s="9">
        <v>7</v>
      </c>
      <c r="DV122" s="6">
        <v>95</v>
      </c>
      <c r="DW122" s="9">
        <v>6</v>
      </c>
    </row>
    <row r="123" spans="12:127" x14ac:dyDescent="0.25">
      <c r="L123" s="6">
        <v>96</v>
      </c>
      <c r="M123" s="7">
        <v>7</v>
      </c>
      <c r="N123" s="7">
        <v>6</v>
      </c>
      <c r="O123" s="7">
        <v>7</v>
      </c>
      <c r="P123" s="9">
        <v>4</v>
      </c>
      <c r="Q123" s="6">
        <v>96</v>
      </c>
      <c r="R123" s="7">
        <v>5</v>
      </c>
      <c r="S123" s="7">
        <v>6</v>
      </c>
      <c r="T123" s="7">
        <v>7</v>
      </c>
      <c r="U123" s="9">
        <v>7</v>
      </c>
      <c r="BD123" s="6">
        <v>96</v>
      </c>
      <c r="BE123" s="7">
        <v>7</v>
      </c>
      <c r="BF123" s="9">
        <v>7</v>
      </c>
      <c r="BG123" s="6">
        <v>96</v>
      </c>
      <c r="BH123" s="7">
        <v>4</v>
      </c>
      <c r="BI123" s="9">
        <v>6</v>
      </c>
      <c r="DT123" s="6">
        <v>96</v>
      </c>
      <c r="DU123" s="9">
        <v>7</v>
      </c>
      <c r="DV123" s="6">
        <v>96</v>
      </c>
      <c r="DW123" s="9">
        <v>5</v>
      </c>
    </row>
    <row r="124" spans="12:127" x14ac:dyDescent="0.25">
      <c r="L124" s="6">
        <v>97</v>
      </c>
      <c r="M124" s="7">
        <v>4</v>
      </c>
      <c r="N124" s="7">
        <v>6</v>
      </c>
      <c r="O124" s="7">
        <v>6</v>
      </c>
      <c r="P124" s="9">
        <v>7</v>
      </c>
      <c r="Q124" s="6">
        <v>97</v>
      </c>
      <c r="R124" s="7">
        <v>6</v>
      </c>
      <c r="S124" s="7">
        <v>7</v>
      </c>
      <c r="T124" s="7">
        <v>5</v>
      </c>
      <c r="U124" s="9">
        <v>7</v>
      </c>
      <c r="BD124" s="6">
        <v>97</v>
      </c>
      <c r="BE124" s="7">
        <v>5</v>
      </c>
      <c r="BF124" s="9">
        <v>7</v>
      </c>
      <c r="BG124" s="6">
        <v>97</v>
      </c>
      <c r="BH124" s="7">
        <v>6</v>
      </c>
      <c r="BI124" s="9">
        <v>7</v>
      </c>
      <c r="DT124" s="6">
        <v>97</v>
      </c>
      <c r="DU124" s="9">
        <v>7</v>
      </c>
      <c r="DV124" s="6">
        <v>97</v>
      </c>
      <c r="DW124" s="9">
        <v>4</v>
      </c>
    </row>
    <row r="125" spans="12:127" x14ac:dyDescent="0.25">
      <c r="L125" s="6">
        <v>98</v>
      </c>
      <c r="M125" s="7">
        <v>7</v>
      </c>
      <c r="N125" s="7">
        <v>6</v>
      </c>
      <c r="O125" s="7">
        <v>6</v>
      </c>
      <c r="P125" s="9">
        <v>6</v>
      </c>
      <c r="Q125" s="6">
        <v>98</v>
      </c>
      <c r="R125" s="7">
        <v>6</v>
      </c>
      <c r="S125" s="7">
        <v>7</v>
      </c>
      <c r="T125" s="7">
        <v>7</v>
      </c>
      <c r="U125" s="9">
        <v>4</v>
      </c>
      <c r="BD125" s="6">
        <v>98</v>
      </c>
      <c r="BE125" s="7">
        <v>5</v>
      </c>
      <c r="BF125" s="9">
        <v>7</v>
      </c>
      <c r="BG125" s="6">
        <v>98</v>
      </c>
      <c r="BH125" s="7">
        <v>5</v>
      </c>
      <c r="BI125" s="9">
        <v>5</v>
      </c>
      <c r="DT125" s="6">
        <v>98</v>
      </c>
      <c r="DU125" s="9">
        <v>7</v>
      </c>
      <c r="DV125" s="6">
        <v>98</v>
      </c>
      <c r="DW125" s="9">
        <v>7</v>
      </c>
    </row>
    <row r="126" spans="12:127" x14ac:dyDescent="0.25">
      <c r="L126" s="6">
        <v>99</v>
      </c>
      <c r="M126" s="7">
        <v>5</v>
      </c>
      <c r="N126" s="7">
        <v>4</v>
      </c>
      <c r="O126" s="7">
        <v>6</v>
      </c>
      <c r="P126" s="9">
        <v>6</v>
      </c>
      <c r="Q126" s="6">
        <v>99</v>
      </c>
      <c r="R126" s="7">
        <v>4</v>
      </c>
      <c r="S126" s="7">
        <v>7</v>
      </c>
      <c r="T126" s="7">
        <v>7</v>
      </c>
      <c r="U126" s="9">
        <v>5</v>
      </c>
      <c r="BD126" s="6">
        <v>99</v>
      </c>
      <c r="BE126" s="7">
        <v>7</v>
      </c>
      <c r="BF126" s="9">
        <v>7</v>
      </c>
      <c r="BG126" s="6">
        <v>99</v>
      </c>
      <c r="BH126" s="7">
        <v>7</v>
      </c>
      <c r="BI126" s="9">
        <v>5</v>
      </c>
      <c r="DT126" s="6">
        <v>99</v>
      </c>
      <c r="DU126" s="9">
        <v>6</v>
      </c>
      <c r="DV126" s="6">
        <v>99</v>
      </c>
      <c r="DW126" s="9">
        <v>6</v>
      </c>
    </row>
    <row r="127" spans="12:127" ht="15.75" thickBot="1" x14ac:dyDescent="0.3">
      <c r="L127" s="5">
        <v>100</v>
      </c>
      <c r="M127" s="10">
        <v>6</v>
      </c>
      <c r="N127" s="10">
        <v>6</v>
      </c>
      <c r="O127" s="10">
        <v>5</v>
      </c>
      <c r="P127" s="11">
        <v>7</v>
      </c>
      <c r="Q127" s="5">
        <v>100</v>
      </c>
      <c r="R127" s="10">
        <v>5</v>
      </c>
      <c r="S127" s="10">
        <v>5</v>
      </c>
      <c r="T127" s="10">
        <v>6</v>
      </c>
      <c r="U127" s="11">
        <v>5</v>
      </c>
      <c r="BD127" s="5">
        <v>100</v>
      </c>
      <c r="BE127" s="10">
        <v>7</v>
      </c>
      <c r="BF127" s="11">
        <v>7</v>
      </c>
      <c r="BG127" s="5">
        <v>100</v>
      </c>
      <c r="BH127" s="10">
        <v>5</v>
      </c>
      <c r="BI127" s="11">
        <v>6</v>
      </c>
      <c r="DT127" s="5">
        <v>100</v>
      </c>
      <c r="DU127" s="11">
        <v>6</v>
      </c>
      <c r="DV127" s="5">
        <v>100</v>
      </c>
      <c r="DW127" s="11">
        <v>7</v>
      </c>
    </row>
    <row r="128" spans="12:127" x14ac:dyDescent="0.25">
      <c r="M128" s="7">
        <v>5.74</v>
      </c>
      <c r="N128" s="7">
        <v>5.99</v>
      </c>
      <c r="O128" s="7">
        <v>5.67</v>
      </c>
      <c r="P128" s="7">
        <v>5.72</v>
      </c>
      <c r="R128" s="13">
        <v>5.95</v>
      </c>
      <c r="S128" s="13">
        <v>6.07</v>
      </c>
      <c r="T128" s="13">
        <v>5.85</v>
      </c>
      <c r="U128" s="13">
        <v>5.68</v>
      </c>
      <c r="BE128" s="7">
        <v>5.86</v>
      </c>
      <c r="BF128" s="7">
        <v>6.04</v>
      </c>
      <c r="BH128" s="7">
        <v>5.83</v>
      </c>
      <c r="BI128" s="7">
        <v>5.8</v>
      </c>
      <c r="DU128" s="7">
        <v>5.97</v>
      </c>
      <c r="DW128" s="7">
        <v>6.12</v>
      </c>
    </row>
  </sheetData>
  <sortState ref="EV12:EW41">
    <sortCondition descending="1" ref="EW12:EW41"/>
  </sortState>
  <dataConsolidate/>
  <mergeCells count="69">
    <mergeCell ref="EI11:EM11"/>
    <mergeCell ref="EO11:ES11"/>
    <mergeCell ref="AR2:AV2"/>
    <mergeCell ref="AW2:BA2"/>
    <mergeCell ref="CM2:CO2"/>
    <mergeCell ref="CP2:CR2"/>
    <mergeCell ref="CF2:CI2"/>
    <mergeCell ref="EE2:EF2"/>
    <mergeCell ref="Y15:AB15"/>
    <mergeCell ref="AC15:AF15"/>
    <mergeCell ref="AG15:AJ15"/>
    <mergeCell ref="M2:P2"/>
    <mergeCell ref="Q2:T2"/>
    <mergeCell ref="U2:X2"/>
    <mergeCell ref="Y2:AB2"/>
    <mergeCell ref="AK15:AN15"/>
    <mergeCell ref="M1:AN1"/>
    <mergeCell ref="M14:AN14"/>
    <mergeCell ref="BH1:CI1"/>
    <mergeCell ref="BH2:BK2"/>
    <mergeCell ref="BL2:BO2"/>
    <mergeCell ref="BP2:BS2"/>
    <mergeCell ref="BT2:BW2"/>
    <mergeCell ref="BX2:CA2"/>
    <mergeCell ref="CB2:CE2"/>
    <mergeCell ref="AC2:AF2"/>
    <mergeCell ref="AG2:AJ2"/>
    <mergeCell ref="AK2:AN2"/>
    <mergeCell ref="M15:P15"/>
    <mergeCell ref="Q15:T15"/>
    <mergeCell ref="U15:X15"/>
    <mergeCell ref="BH14:CI14"/>
    <mergeCell ref="BH15:BK15"/>
    <mergeCell ref="BL15:BO15"/>
    <mergeCell ref="BP15:BS15"/>
    <mergeCell ref="BT15:BW15"/>
    <mergeCell ref="BX15:CA15"/>
    <mergeCell ref="CB15:CE15"/>
    <mergeCell ref="CF15:CI15"/>
    <mergeCell ref="CY1:DZ1"/>
    <mergeCell ref="CY2:DB2"/>
    <mergeCell ref="DC2:DF2"/>
    <mergeCell ref="DG2:DJ2"/>
    <mergeCell ref="DK2:DN2"/>
    <mergeCell ref="DO2:DR2"/>
    <mergeCell ref="DS2:DV2"/>
    <mergeCell ref="DW2:DZ2"/>
    <mergeCell ref="CY14:DZ14"/>
    <mergeCell ref="CY15:DB15"/>
    <mergeCell ref="DC15:DF15"/>
    <mergeCell ref="DG15:DJ15"/>
    <mergeCell ref="DK15:DN15"/>
    <mergeCell ref="DO15:DR15"/>
    <mergeCell ref="DS15:DV15"/>
    <mergeCell ref="DW15:DZ15"/>
    <mergeCell ref="EO1:FQ1"/>
    <mergeCell ref="EO2:ER2"/>
    <mergeCell ref="ES2:EW2"/>
    <mergeCell ref="EX2:FA2"/>
    <mergeCell ref="FB2:FE2"/>
    <mergeCell ref="FF2:FI2"/>
    <mergeCell ref="FJ2:FM2"/>
    <mergeCell ref="FN2:FQ2"/>
    <mergeCell ref="DV27:DW27"/>
    <mergeCell ref="L26:P26"/>
    <mergeCell ref="Q26:U26"/>
    <mergeCell ref="BD26:BF26"/>
    <mergeCell ref="BG26:BI26"/>
    <mergeCell ref="DT27:DU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17"/>
  <sheetViews>
    <sheetView topLeftCell="A293" workbookViewId="0">
      <selection activeCell="D303" sqref="D303"/>
    </sheetView>
  </sheetViews>
  <sheetFormatPr defaultRowHeight="15" x14ac:dyDescent="0.25"/>
  <cols>
    <col min="1" max="1" width="20.42578125" bestFit="1" customWidth="1"/>
    <col min="2" max="2" width="5.85546875" bestFit="1" customWidth="1"/>
  </cols>
  <sheetData>
    <row r="1" spans="1:3" x14ac:dyDescent="0.25">
      <c r="A1" t="s">
        <v>1210</v>
      </c>
      <c r="B1" t="s">
        <v>174</v>
      </c>
      <c r="C1" t="s">
        <v>269</v>
      </c>
    </row>
    <row r="2" spans="1:3" x14ac:dyDescent="0.25">
      <c r="A2" t="s">
        <v>321</v>
      </c>
      <c r="B2" t="s">
        <v>197</v>
      </c>
      <c r="C2">
        <v>1</v>
      </c>
    </row>
    <row r="3" spans="1:3" x14ac:dyDescent="0.25">
      <c r="A3" t="s">
        <v>320</v>
      </c>
      <c r="B3" t="s">
        <v>195</v>
      </c>
      <c r="C3">
        <v>2</v>
      </c>
    </row>
    <row r="4" spans="1:3" x14ac:dyDescent="0.25">
      <c r="A4" t="s">
        <v>342</v>
      </c>
      <c r="B4" t="s">
        <v>202</v>
      </c>
      <c r="C4">
        <v>3</v>
      </c>
    </row>
    <row r="5" spans="1:3" x14ac:dyDescent="0.25">
      <c r="A5" t="s">
        <v>340</v>
      </c>
      <c r="B5" t="s">
        <v>197</v>
      </c>
      <c r="C5">
        <v>4</v>
      </c>
    </row>
    <row r="6" spans="1:3" x14ac:dyDescent="0.25">
      <c r="A6" t="s">
        <v>341</v>
      </c>
      <c r="B6" t="s">
        <v>204</v>
      </c>
      <c r="C6">
        <v>5</v>
      </c>
    </row>
    <row r="7" spans="1:3" x14ac:dyDescent="0.25">
      <c r="A7" t="s">
        <v>328</v>
      </c>
      <c r="B7" t="s">
        <v>205</v>
      </c>
      <c r="C7">
        <v>6</v>
      </c>
    </row>
    <row r="8" spans="1:3" x14ac:dyDescent="0.25">
      <c r="A8" t="s">
        <v>374</v>
      </c>
      <c r="B8" t="s">
        <v>202</v>
      </c>
      <c r="C8">
        <v>7</v>
      </c>
    </row>
    <row r="9" spans="1:3" x14ac:dyDescent="0.25">
      <c r="A9" t="s">
        <v>332</v>
      </c>
      <c r="B9" t="s">
        <v>199</v>
      </c>
      <c r="C9">
        <v>8</v>
      </c>
    </row>
    <row r="10" spans="1:3" x14ac:dyDescent="0.25">
      <c r="A10" t="s">
        <v>333</v>
      </c>
      <c r="B10" t="s">
        <v>205</v>
      </c>
      <c r="C10">
        <v>9</v>
      </c>
    </row>
    <row r="11" spans="1:3" x14ac:dyDescent="0.25">
      <c r="A11" t="s">
        <v>395</v>
      </c>
      <c r="B11" t="s">
        <v>202</v>
      </c>
      <c r="C11">
        <v>10</v>
      </c>
    </row>
    <row r="12" spans="1:3" x14ac:dyDescent="0.25">
      <c r="A12" t="s">
        <v>346</v>
      </c>
      <c r="B12" t="s">
        <v>208</v>
      </c>
      <c r="C12">
        <v>11</v>
      </c>
    </row>
    <row r="13" spans="1:3" x14ac:dyDescent="0.25">
      <c r="A13" t="s">
        <v>347</v>
      </c>
      <c r="B13" t="s">
        <v>201</v>
      </c>
      <c r="C13">
        <v>12</v>
      </c>
    </row>
    <row r="14" spans="1:3" x14ac:dyDescent="0.25">
      <c r="A14" t="s">
        <v>354</v>
      </c>
      <c r="B14" t="s">
        <v>199</v>
      </c>
      <c r="C14">
        <v>13</v>
      </c>
    </row>
    <row r="15" spans="1:3" x14ac:dyDescent="0.25">
      <c r="A15" t="s">
        <v>402</v>
      </c>
      <c r="B15" t="s">
        <v>197</v>
      </c>
      <c r="C15">
        <v>14</v>
      </c>
    </row>
    <row r="16" spans="1:3" x14ac:dyDescent="0.25">
      <c r="A16" t="s">
        <v>350</v>
      </c>
      <c r="B16" t="s">
        <v>208</v>
      </c>
      <c r="C16">
        <v>15</v>
      </c>
    </row>
    <row r="17" spans="1:3" x14ac:dyDescent="0.25">
      <c r="A17" t="s">
        <v>409</v>
      </c>
      <c r="B17" t="s">
        <v>202</v>
      </c>
      <c r="C17">
        <v>16</v>
      </c>
    </row>
    <row r="18" spans="1:3" x14ac:dyDescent="0.25">
      <c r="A18" t="s">
        <v>406</v>
      </c>
      <c r="B18" t="s">
        <v>202</v>
      </c>
      <c r="C18">
        <v>16</v>
      </c>
    </row>
    <row r="19" spans="1:3" x14ac:dyDescent="0.25">
      <c r="A19" t="s">
        <v>360</v>
      </c>
      <c r="B19" t="s">
        <v>199</v>
      </c>
      <c r="C19">
        <v>18</v>
      </c>
    </row>
    <row r="20" spans="1:3" x14ac:dyDescent="0.25">
      <c r="A20" t="s">
        <v>357</v>
      </c>
      <c r="B20" t="s">
        <v>201</v>
      </c>
      <c r="C20">
        <v>19</v>
      </c>
    </row>
    <row r="21" spans="1:3" x14ac:dyDescent="0.25">
      <c r="A21" t="s">
        <v>365</v>
      </c>
      <c r="B21" t="s">
        <v>209</v>
      </c>
      <c r="C21">
        <v>20</v>
      </c>
    </row>
    <row r="22" spans="1:3" x14ac:dyDescent="0.25">
      <c r="A22" t="s">
        <v>368</v>
      </c>
      <c r="B22" t="s">
        <v>211</v>
      </c>
      <c r="C22">
        <v>21</v>
      </c>
    </row>
    <row r="23" spans="1:3" x14ac:dyDescent="0.25">
      <c r="A23" t="s">
        <v>372</v>
      </c>
      <c r="B23" t="s">
        <v>209</v>
      </c>
      <c r="C23">
        <v>22</v>
      </c>
    </row>
    <row r="24" spans="1:3" x14ac:dyDescent="0.25">
      <c r="A24" t="s">
        <v>362</v>
      </c>
      <c r="B24" t="s">
        <v>205</v>
      </c>
      <c r="C24">
        <v>23</v>
      </c>
    </row>
    <row r="25" spans="1:3" x14ac:dyDescent="0.25">
      <c r="A25" t="s">
        <v>411</v>
      </c>
      <c r="B25" t="s">
        <v>197</v>
      </c>
      <c r="C25">
        <v>24</v>
      </c>
    </row>
    <row r="26" spans="1:3" x14ac:dyDescent="0.25">
      <c r="A26" t="s">
        <v>348</v>
      </c>
      <c r="B26" t="s">
        <v>213</v>
      </c>
      <c r="C26">
        <v>25</v>
      </c>
    </row>
    <row r="27" spans="1:3" x14ac:dyDescent="0.25">
      <c r="A27" t="s">
        <v>391</v>
      </c>
      <c r="B27" t="s">
        <v>204</v>
      </c>
      <c r="C27">
        <v>26</v>
      </c>
    </row>
    <row r="28" spans="1:3" x14ac:dyDescent="0.25">
      <c r="A28" t="s">
        <v>371</v>
      </c>
      <c r="B28" t="s">
        <v>201</v>
      </c>
      <c r="C28">
        <v>27</v>
      </c>
    </row>
    <row r="29" spans="1:3" x14ac:dyDescent="0.25">
      <c r="A29" t="s">
        <v>416</v>
      </c>
      <c r="B29" t="s">
        <v>202</v>
      </c>
      <c r="C29">
        <v>28</v>
      </c>
    </row>
    <row r="30" spans="1:3" x14ac:dyDescent="0.25">
      <c r="A30" t="s">
        <v>353</v>
      </c>
      <c r="B30" t="s">
        <v>213</v>
      </c>
      <c r="C30">
        <v>29</v>
      </c>
    </row>
    <row r="31" spans="1:3" x14ac:dyDescent="0.25">
      <c r="A31" t="s">
        <v>358</v>
      </c>
      <c r="B31" t="s">
        <v>213</v>
      </c>
      <c r="C31">
        <v>29</v>
      </c>
    </row>
    <row r="32" spans="1:3" x14ac:dyDescent="0.25">
      <c r="A32" t="s">
        <v>381</v>
      </c>
      <c r="B32" t="s">
        <v>199</v>
      </c>
      <c r="C32">
        <v>31</v>
      </c>
    </row>
    <row r="33" spans="1:3" x14ac:dyDescent="0.25">
      <c r="A33" t="s">
        <v>437</v>
      </c>
      <c r="B33" t="s">
        <v>202</v>
      </c>
      <c r="C33">
        <v>32</v>
      </c>
    </row>
    <row r="34" spans="1:3" x14ac:dyDescent="0.25">
      <c r="A34" t="s">
        <v>386</v>
      </c>
      <c r="B34" t="s">
        <v>208</v>
      </c>
      <c r="C34">
        <v>33</v>
      </c>
    </row>
    <row r="35" spans="1:3" x14ac:dyDescent="0.25">
      <c r="A35" t="s">
        <v>392</v>
      </c>
      <c r="B35" t="s">
        <v>199</v>
      </c>
      <c r="C35">
        <v>34</v>
      </c>
    </row>
    <row r="36" spans="1:3" x14ac:dyDescent="0.25">
      <c r="A36" t="s">
        <v>439</v>
      </c>
      <c r="B36" t="s">
        <v>202</v>
      </c>
      <c r="C36">
        <v>35</v>
      </c>
    </row>
    <row r="37" spans="1:3" x14ac:dyDescent="0.25">
      <c r="A37" t="s">
        <v>398</v>
      </c>
      <c r="B37" t="s">
        <v>211</v>
      </c>
      <c r="C37">
        <v>36</v>
      </c>
    </row>
    <row r="38" spans="1:3" x14ac:dyDescent="0.25">
      <c r="A38" t="s">
        <v>401</v>
      </c>
      <c r="B38" t="s">
        <v>208</v>
      </c>
      <c r="C38">
        <v>37</v>
      </c>
    </row>
    <row r="39" spans="1:3" x14ac:dyDescent="0.25">
      <c r="A39" t="s">
        <v>407</v>
      </c>
      <c r="B39" t="s">
        <v>209</v>
      </c>
      <c r="C39">
        <v>38</v>
      </c>
    </row>
    <row r="40" spans="1:3" x14ac:dyDescent="0.25">
      <c r="A40" t="s">
        <v>408</v>
      </c>
      <c r="B40" t="s">
        <v>211</v>
      </c>
      <c r="C40">
        <v>39</v>
      </c>
    </row>
    <row r="41" spans="1:3" x14ac:dyDescent="0.25">
      <c r="A41" t="s">
        <v>427</v>
      </c>
      <c r="B41" t="s">
        <v>204</v>
      </c>
      <c r="C41">
        <v>40</v>
      </c>
    </row>
    <row r="42" spans="1:3" x14ac:dyDescent="0.25">
      <c r="A42" t="s">
        <v>405</v>
      </c>
      <c r="B42" t="s">
        <v>201</v>
      </c>
      <c r="C42">
        <v>41</v>
      </c>
    </row>
    <row r="43" spans="1:3" x14ac:dyDescent="0.25">
      <c r="A43" t="s">
        <v>410</v>
      </c>
      <c r="B43" t="s">
        <v>195</v>
      </c>
      <c r="C43">
        <v>42</v>
      </c>
    </row>
    <row r="44" spans="1:3" x14ac:dyDescent="0.25">
      <c r="A44" t="s">
        <v>397</v>
      </c>
      <c r="B44" t="s">
        <v>213</v>
      </c>
      <c r="C44">
        <v>43</v>
      </c>
    </row>
    <row r="45" spans="1:3" x14ac:dyDescent="0.25">
      <c r="A45" t="s">
        <v>417</v>
      </c>
      <c r="B45" t="s">
        <v>209</v>
      </c>
      <c r="C45">
        <v>44</v>
      </c>
    </row>
    <row r="46" spans="1:3" x14ac:dyDescent="0.25">
      <c r="A46" t="s">
        <v>413</v>
      </c>
      <c r="B46" t="s">
        <v>195</v>
      </c>
      <c r="C46">
        <v>45</v>
      </c>
    </row>
    <row r="47" spans="1:3" x14ac:dyDescent="0.25">
      <c r="A47" t="s">
        <v>473</v>
      </c>
      <c r="B47" t="s">
        <v>197</v>
      </c>
      <c r="C47">
        <v>46</v>
      </c>
    </row>
    <row r="48" spans="1:3" x14ac:dyDescent="0.25">
      <c r="A48" t="s">
        <v>420</v>
      </c>
      <c r="B48" t="s">
        <v>211</v>
      </c>
      <c r="C48">
        <v>47</v>
      </c>
    </row>
    <row r="49" spans="1:3" x14ac:dyDescent="0.25">
      <c r="A49" t="s">
        <v>477</v>
      </c>
      <c r="B49" t="s">
        <v>197</v>
      </c>
      <c r="C49">
        <v>48</v>
      </c>
    </row>
    <row r="50" spans="1:3" x14ac:dyDescent="0.25">
      <c r="A50" t="s">
        <v>438</v>
      </c>
      <c r="B50" t="s">
        <v>199</v>
      </c>
      <c r="C50">
        <v>49</v>
      </c>
    </row>
    <row r="51" spans="1:3" x14ac:dyDescent="0.25">
      <c r="A51" t="s">
        <v>432</v>
      </c>
      <c r="B51" t="s">
        <v>199</v>
      </c>
      <c r="C51">
        <v>49</v>
      </c>
    </row>
    <row r="52" spans="1:3" x14ac:dyDescent="0.25">
      <c r="A52" t="s">
        <v>443</v>
      </c>
      <c r="B52" t="s">
        <v>209</v>
      </c>
      <c r="C52">
        <v>51</v>
      </c>
    </row>
    <row r="53" spans="1:3" x14ac:dyDescent="0.25">
      <c r="A53" t="s">
        <v>441</v>
      </c>
      <c r="B53" t="s">
        <v>201</v>
      </c>
      <c r="C53">
        <v>52</v>
      </c>
    </row>
    <row r="54" spans="1:3" x14ac:dyDescent="0.25">
      <c r="A54" t="s">
        <v>448</v>
      </c>
      <c r="B54" t="s">
        <v>199</v>
      </c>
      <c r="C54">
        <v>53</v>
      </c>
    </row>
    <row r="55" spans="1:3" x14ac:dyDescent="0.25">
      <c r="A55" t="s">
        <v>445</v>
      </c>
      <c r="B55" t="s">
        <v>199</v>
      </c>
      <c r="C55">
        <v>53</v>
      </c>
    </row>
    <row r="56" spans="1:3" x14ac:dyDescent="0.25">
      <c r="A56" t="s">
        <v>421</v>
      </c>
      <c r="B56" t="s">
        <v>213</v>
      </c>
      <c r="C56">
        <v>55</v>
      </c>
    </row>
    <row r="57" spans="1:3" x14ac:dyDescent="0.25">
      <c r="A57" t="s">
        <v>446</v>
      </c>
      <c r="B57" t="s">
        <v>208</v>
      </c>
      <c r="C57">
        <v>56</v>
      </c>
    </row>
    <row r="58" spans="1:3" x14ac:dyDescent="0.25">
      <c r="A58" t="s">
        <v>444</v>
      </c>
      <c r="B58" t="s">
        <v>208</v>
      </c>
      <c r="C58">
        <v>56</v>
      </c>
    </row>
    <row r="59" spans="1:3" x14ac:dyDescent="0.25">
      <c r="A59" t="s">
        <v>455</v>
      </c>
      <c r="B59" t="s">
        <v>209</v>
      </c>
      <c r="C59">
        <v>58</v>
      </c>
    </row>
    <row r="60" spans="1:3" x14ac:dyDescent="0.25">
      <c r="A60" t="s">
        <v>521</v>
      </c>
      <c r="B60" t="s">
        <v>202</v>
      </c>
      <c r="C60">
        <v>59</v>
      </c>
    </row>
    <row r="61" spans="1:3" x14ac:dyDescent="0.25">
      <c r="A61" t="s">
        <v>488</v>
      </c>
      <c r="B61" t="s">
        <v>204</v>
      </c>
      <c r="C61">
        <v>60</v>
      </c>
    </row>
    <row r="62" spans="1:3" x14ac:dyDescent="0.25">
      <c r="A62" t="s">
        <v>453</v>
      </c>
      <c r="B62" t="s">
        <v>195</v>
      </c>
      <c r="C62">
        <v>61</v>
      </c>
    </row>
    <row r="63" spans="1:3" x14ac:dyDescent="0.25">
      <c r="A63" t="s">
        <v>456</v>
      </c>
      <c r="B63" t="s">
        <v>201</v>
      </c>
      <c r="C63">
        <v>62</v>
      </c>
    </row>
    <row r="64" spans="1:3" x14ac:dyDescent="0.25">
      <c r="A64" t="s">
        <v>464</v>
      </c>
      <c r="B64" t="s">
        <v>209</v>
      </c>
      <c r="C64">
        <v>63</v>
      </c>
    </row>
    <row r="65" spans="1:3" x14ac:dyDescent="0.25">
      <c r="A65" t="s">
        <v>435</v>
      </c>
      <c r="B65" t="s">
        <v>213</v>
      </c>
      <c r="C65">
        <v>64</v>
      </c>
    </row>
    <row r="66" spans="1:3" x14ac:dyDescent="0.25">
      <c r="A66" t="s">
        <v>463</v>
      </c>
      <c r="B66" t="s">
        <v>195</v>
      </c>
      <c r="C66">
        <v>65</v>
      </c>
    </row>
    <row r="67" spans="1:3" x14ac:dyDescent="0.25">
      <c r="A67" t="s">
        <v>467</v>
      </c>
      <c r="B67" t="s">
        <v>209</v>
      </c>
      <c r="C67">
        <v>66</v>
      </c>
    </row>
    <row r="68" spans="1:3" x14ac:dyDescent="0.25">
      <c r="A68" t="s">
        <v>471</v>
      </c>
      <c r="B68" t="s">
        <v>195</v>
      </c>
      <c r="C68">
        <v>67</v>
      </c>
    </row>
    <row r="69" spans="1:3" x14ac:dyDescent="0.25">
      <c r="A69" t="s">
        <v>468</v>
      </c>
      <c r="B69" t="s">
        <v>195</v>
      </c>
      <c r="C69">
        <v>67</v>
      </c>
    </row>
    <row r="70" spans="1:3" x14ac:dyDescent="0.25">
      <c r="A70" t="s">
        <v>532</v>
      </c>
      <c r="B70" t="s">
        <v>197</v>
      </c>
      <c r="C70">
        <v>69</v>
      </c>
    </row>
    <row r="71" spans="1:3" x14ac:dyDescent="0.25">
      <c r="A71" t="s">
        <v>502</v>
      </c>
      <c r="B71" t="s">
        <v>204</v>
      </c>
      <c r="C71">
        <v>70</v>
      </c>
    </row>
    <row r="72" spans="1:3" x14ac:dyDescent="0.25">
      <c r="A72" t="s">
        <v>545</v>
      </c>
      <c r="B72" t="s">
        <v>202</v>
      </c>
      <c r="C72">
        <v>71</v>
      </c>
    </row>
    <row r="73" spans="1:3" x14ac:dyDescent="0.25">
      <c r="A73" t="s">
        <v>484</v>
      </c>
      <c r="B73" t="s">
        <v>211</v>
      </c>
      <c r="C73">
        <v>72</v>
      </c>
    </row>
    <row r="74" spans="1:3" x14ac:dyDescent="0.25">
      <c r="A74" t="s">
        <v>538</v>
      </c>
      <c r="B74" t="s">
        <v>197</v>
      </c>
      <c r="C74">
        <v>73</v>
      </c>
    </row>
    <row r="75" spans="1:3" x14ac:dyDescent="0.25">
      <c r="A75" t="s">
        <v>487</v>
      </c>
      <c r="B75" t="s">
        <v>208</v>
      </c>
      <c r="C75">
        <v>74</v>
      </c>
    </row>
    <row r="76" spans="1:3" x14ac:dyDescent="0.25">
      <c r="A76" t="s">
        <v>495</v>
      </c>
      <c r="B76" t="s">
        <v>211</v>
      </c>
      <c r="C76">
        <v>75</v>
      </c>
    </row>
    <row r="77" spans="1:3" x14ac:dyDescent="0.25">
      <c r="A77" t="s">
        <v>485</v>
      </c>
      <c r="B77" t="s">
        <v>205</v>
      </c>
      <c r="C77">
        <v>76</v>
      </c>
    </row>
    <row r="78" spans="1:3" x14ac:dyDescent="0.25">
      <c r="A78" t="s">
        <v>491</v>
      </c>
      <c r="B78" t="s">
        <v>201</v>
      </c>
      <c r="C78">
        <v>77</v>
      </c>
    </row>
    <row r="79" spans="1:3" x14ac:dyDescent="0.25">
      <c r="A79" t="s">
        <v>504</v>
      </c>
      <c r="B79" t="s">
        <v>211</v>
      </c>
      <c r="C79">
        <v>78</v>
      </c>
    </row>
    <row r="80" spans="1:3" x14ac:dyDescent="0.25">
      <c r="A80" t="s">
        <v>534</v>
      </c>
      <c r="B80" t="s">
        <v>204</v>
      </c>
      <c r="C80">
        <v>79</v>
      </c>
    </row>
    <row r="81" spans="1:3" x14ac:dyDescent="0.25">
      <c r="A81" t="s">
        <v>531</v>
      </c>
      <c r="B81" t="s">
        <v>204</v>
      </c>
      <c r="C81">
        <v>79</v>
      </c>
    </row>
    <row r="82" spans="1:3" x14ac:dyDescent="0.25">
      <c r="A82" t="s">
        <v>529</v>
      </c>
      <c r="B82" t="s">
        <v>204</v>
      </c>
      <c r="C82">
        <v>79</v>
      </c>
    </row>
    <row r="83" spans="1:3" x14ac:dyDescent="0.25">
      <c r="A83" t="s">
        <v>530</v>
      </c>
      <c r="B83" t="s">
        <v>204</v>
      </c>
      <c r="C83">
        <v>79</v>
      </c>
    </row>
    <row r="84" spans="1:3" x14ac:dyDescent="0.25">
      <c r="A84" t="s">
        <v>567</v>
      </c>
      <c r="B84" t="s">
        <v>197</v>
      </c>
      <c r="C84">
        <v>83</v>
      </c>
    </row>
    <row r="85" spans="1:3" x14ac:dyDescent="0.25">
      <c r="A85" t="s">
        <v>500</v>
      </c>
      <c r="B85" t="s">
        <v>195</v>
      </c>
      <c r="C85">
        <v>84</v>
      </c>
    </row>
    <row r="86" spans="1:3" x14ac:dyDescent="0.25">
      <c r="A86" t="s">
        <v>499</v>
      </c>
      <c r="B86" t="s">
        <v>201</v>
      </c>
      <c r="C86">
        <v>85</v>
      </c>
    </row>
    <row r="87" spans="1:3" x14ac:dyDescent="0.25">
      <c r="A87" t="s">
        <v>511</v>
      </c>
      <c r="B87" t="s">
        <v>211</v>
      </c>
      <c r="C87">
        <v>86</v>
      </c>
    </row>
    <row r="88" spans="1:3" x14ac:dyDescent="0.25">
      <c r="A88" t="s">
        <v>509</v>
      </c>
      <c r="B88" t="s">
        <v>208</v>
      </c>
      <c r="C88">
        <v>87</v>
      </c>
    </row>
    <row r="89" spans="1:3" x14ac:dyDescent="0.25">
      <c r="A89" t="s">
        <v>520</v>
      </c>
      <c r="B89" t="s">
        <v>211</v>
      </c>
      <c r="C89">
        <v>88</v>
      </c>
    </row>
    <row r="90" spans="1:3" x14ac:dyDescent="0.25">
      <c r="A90" t="s">
        <v>508</v>
      </c>
      <c r="B90" t="s">
        <v>205</v>
      </c>
      <c r="C90">
        <v>89</v>
      </c>
    </row>
    <row r="91" spans="1:3" x14ac:dyDescent="0.25">
      <c r="A91" t="s">
        <v>553</v>
      </c>
      <c r="B91" t="s">
        <v>204</v>
      </c>
      <c r="C91">
        <v>90</v>
      </c>
    </row>
    <row r="92" spans="1:3" x14ac:dyDescent="0.25">
      <c r="A92" t="s">
        <v>519</v>
      </c>
      <c r="B92" t="s">
        <v>195</v>
      </c>
      <c r="C92">
        <v>91</v>
      </c>
    </row>
    <row r="93" spans="1:3" x14ac:dyDescent="0.25">
      <c r="A93" t="s">
        <v>561</v>
      </c>
      <c r="B93" t="s">
        <v>204</v>
      </c>
      <c r="C93">
        <v>92</v>
      </c>
    </row>
    <row r="94" spans="1:3" x14ac:dyDescent="0.25">
      <c r="A94" t="s">
        <v>525</v>
      </c>
      <c r="B94" t="s">
        <v>208</v>
      </c>
      <c r="C94">
        <v>93</v>
      </c>
    </row>
    <row r="95" spans="1:3" x14ac:dyDescent="0.25">
      <c r="A95" t="s">
        <v>524</v>
      </c>
      <c r="B95" t="s">
        <v>201</v>
      </c>
      <c r="C95">
        <v>94</v>
      </c>
    </row>
    <row r="96" spans="1:3" x14ac:dyDescent="0.25">
      <c r="A96" t="s">
        <v>586</v>
      </c>
      <c r="B96" t="s">
        <v>197</v>
      </c>
      <c r="C96">
        <v>95</v>
      </c>
    </row>
    <row r="97" spans="1:3" x14ac:dyDescent="0.25">
      <c r="A97" t="s">
        <v>592</v>
      </c>
      <c r="B97" t="s">
        <v>202</v>
      </c>
      <c r="C97">
        <v>96</v>
      </c>
    </row>
    <row r="98" spans="1:3" x14ac:dyDescent="0.25">
      <c r="A98" t="s">
        <v>514</v>
      </c>
      <c r="B98" t="s">
        <v>213</v>
      </c>
      <c r="C98">
        <v>97</v>
      </c>
    </row>
    <row r="99" spans="1:3" x14ac:dyDescent="0.25">
      <c r="A99" t="s">
        <v>539</v>
      </c>
      <c r="B99" t="s">
        <v>195</v>
      </c>
      <c r="C99">
        <v>98</v>
      </c>
    </row>
    <row r="100" spans="1:3" x14ac:dyDescent="0.25">
      <c r="A100" t="s">
        <v>537</v>
      </c>
      <c r="B100" t="s">
        <v>208</v>
      </c>
      <c r="C100">
        <v>99</v>
      </c>
    </row>
    <row r="101" spans="1:3" x14ac:dyDescent="0.25">
      <c r="A101" t="s">
        <v>546</v>
      </c>
      <c r="B101" t="s">
        <v>205</v>
      </c>
      <c r="C101">
        <v>100</v>
      </c>
    </row>
    <row r="102" spans="1:3" x14ac:dyDescent="0.25">
      <c r="A102" t="s">
        <v>541</v>
      </c>
      <c r="B102" t="s">
        <v>205</v>
      </c>
      <c r="C102">
        <v>100</v>
      </c>
    </row>
    <row r="103" spans="1:3" x14ac:dyDescent="0.25">
      <c r="A103" t="s">
        <v>596</v>
      </c>
      <c r="B103" t="s">
        <v>197</v>
      </c>
      <c r="C103">
        <v>102</v>
      </c>
    </row>
    <row r="104" spans="1:3" x14ac:dyDescent="0.25">
      <c r="A104" t="s">
        <v>609</v>
      </c>
      <c r="B104" t="s">
        <v>202</v>
      </c>
      <c r="C104">
        <v>103</v>
      </c>
    </row>
    <row r="105" spans="1:3" x14ac:dyDescent="0.25">
      <c r="A105" t="s">
        <v>572</v>
      </c>
      <c r="B105" t="s">
        <v>204</v>
      </c>
      <c r="C105">
        <v>104</v>
      </c>
    </row>
    <row r="106" spans="1:3" x14ac:dyDescent="0.25">
      <c r="A106" t="s">
        <v>577</v>
      </c>
      <c r="B106" t="s">
        <v>204</v>
      </c>
      <c r="C106">
        <v>104</v>
      </c>
    </row>
    <row r="107" spans="1:3" x14ac:dyDescent="0.25">
      <c r="A107" t="s">
        <v>562</v>
      </c>
      <c r="B107" t="s">
        <v>209</v>
      </c>
      <c r="C107">
        <v>106</v>
      </c>
    </row>
    <row r="108" spans="1:3" x14ac:dyDescent="0.25">
      <c r="A108" t="s">
        <v>528</v>
      </c>
      <c r="B108" t="s">
        <v>213</v>
      </c>
      <c r="C108">
        <v>107</v>
      </c>
    </row>
    <row r="109" spans="1:3" x14ac:dyDescent="0.25">
      <c r="A109" t="s">
        <v>559</v>
      </c>
      <c r="B109" t="s">
        <v>211</v>
      </c>
      <c r="C109">
        <v>108</v>
      </c>
    </row>
    <row r="110" spans="1:3" x14ac:dyDescent="0.25">
      <c r="A110" t="s">
        <v>557</v>
      </c>
      <c r="B110" t="s">
        <v>195</v>
      </c>
      <c r="C110">
        <v>109</v>
      </c>
    </row>
    <row r="111" spans="1:3" x14ac:dyDescent="0.25">
      <c r="A111" t="s">
        <v>555</v>
      </c>
      <c r="B111" t="s">
        <v>208</v>
      </c>
      <c r="C111">
        <v>110</v>
      </c>
    </row>
    <row r="112" spans="1:3" x14ac:dyDescent="0.25">
      <c r="A112" t="s">
        <v>565</v>
      </c>
      <c r="B112" t="s">
        <v>201</v>
      </c>
      <c r="C112">
        <v>111</v>
      </c>
    </row>
    <row r="113" spans="1:3" x14ac:dyDescent="0.25">
      <c r="A113" t="s">
        <v>564</v>
      </c>
      <c r="B113" t="s">
        <v>205</v>
      </c>
      <c r="C113">
        <v>112</v>
      </c>
    </row>
    <row r="114" spans="1:3" x14ac:dyDescent="0.25">
      <c r="A114" t="s">
        <v>591</v>
      </c>
      <c r="B114" t="s">
        <v>204</v>
      </c>
      <c r="C114">
        <v>113</v>
      </c>
    </row>
    <row r="115" spans="1:3" x14ac:dyDescent="0.25">
      <c r="A115" t="s">
        <v>584</v>
      </c>
      <c r="B115" t="s">
        <v>209</v>
      </c>
      <c r="C115">
        <v>114</v>
      </c>
    </row>
    <row r="116" spans="1:3" x14ac:dyDescent="0.25">
      <c r="A116" t="s">
        <v>582</v>
      </c>
      <c r="B116" t="s">
        <v>209</v>
      </c>
      <c r="C116">
        <v>114</v>
      </c>
    </row>
    <row r="117" spans="1:3" x14ac:dyDescent="0.25">
      <c r="A117" t="s">
        <v>642</v>
      </c>
      <c r="B117" t="s">
        <v>202</v>
      </c>
      <c r="C117">
        <v>116</v>
      </c>
    </row>
    <row r="118" spans="1:3" x14ac:dyDescent="0.25">
      <c r="A118" t="s">
        <v>579</v>
      </c>
      <c r="B118" t="s">
        <v>201</v>
      </c>
      <c r="C118">
        <v>117</v>
      </c>
    </row>
    <row r="119" spans="1:3" x14ac:dyDescent="0.25">
      <c r="A119" t="s">
        <v>593</v>
      </c>
      <c r="B119" t="s">
        <v>199</v>
      </c>
      <c r="C119">
        <v>118</v>
      </c>
    </row>
    <row r="120" spans="1:3" x14ac:dyDescent="0.25">
      <c r="A120" t="s">
        <v>588</v>
      </c>
      <c r="B120" t="s">
        <v>205</v>
      </c>
      <c r="C120">
        <v>119</v>
      </c>
    </row>
    <row r="121" spans="1:3" x14ac:dyDescent="0.25">
      <c r="A121" t="s">
        <v>606</v>
      </c>
      <c r="B121" t="s">
        <v>211</v>
      </c>
      <c r="C121">
        <v>120</v>
      </c>
    </row>
    <row r="122" spans="1:3" x14ac:dyDescent="0.25">
      <c r="A122" t="s">
        <v>608</v>
      </c>
      <c r="B122" t="s">
        <v>201</v>
      </c>
      <c r="C122">
        <v>121</v>
      </c>
    </row>
    <row r="123" spans="1:3" x14ac:dyDescent="0.25">
      <c r="A123" t="s">
        <v>613</v>
      </c>
      <c r="B123" t="s">
        <v>211</v>
      </c>
      <c r="C123">
        <v>122</v>
      </c>
    </row>
    <row r="124" spans="1:3" x14ac:dyDescent="0.25">
      <c r="A124" t="s">
        <v>643</v>
      </c>
      <c r="B124" t="s">
        <v>204</v>
      </c>
      <c r="C124">
        <v>123</v>
      </c>
    </row>
    <row r="125" spans="1:3" x14ac:dyDescent="0.25">
      <c r="A125" t="s">
        <v>647</v>
      </c>
      <c r="B125" t="s">
        <v>204</v>
      </c>
      <c r="C125">
        <v>123</v>
      </c>
    </row>
    <row r="126" spans="1:3" x14ac:dyDescent="0.25">
      <c r="A126" t="s">
        <v>640</v>
      </c>
      <c r="B126" t="s">
        <v>204</v>
      </c>
      <c r="C126">
        <v>123</v>
      </c>
    </row>
    <row r="127" spans="1:3" x14ac:dyDescent="0.25">
      <c r="A127" t="s">
        <v>597</v>
      </c>
      <c r="B127" t="s">
        <v>213</v>
      </c>
      <c r="C127">
        <v>126</v>
      </c>
    </row>
    <row r="128" spans="1:3" x14ac:dyDescent="0.25">
      <c r="A128" t="s">
        <v>620</v>
      </c>
      <c r="B128" t="s">
        <v>208</v>
      </c>
      <c r="C128">
        <v>127</v>
      </c>
    </row>
    <row r="129" spans="1:3" x14ac:dyDescent="0.25">
      <c r="A129" t="s">
        <v>678</v>
      </c>
      <c r="B129" t="s">
        <v>202</v>
      </c>
      <c r="C129">
        <v>128</v>
      </c>
    </row>
    <row r="130" spans="1:3" x14ac:dyDescent="0.25">
      <c r="A130" t="s">
        <v>674</v>
      </c>
      <c r="B130" t="s">
        <v>202</v>
      </c>
      <c r="C130">
        <v>128</v>
      </c>
    </row>
    <row r="131" spans="1:3" x14ac:dyDescent="0.25">
      <c r="A131" t="s">
        <v>690</v>
      </c>
      <c r="B131" t="s">
        <v>202</v>
      </c>
      <c r="C131">
        <v>128</v>
      </c>
    </row>
    <row r="132" spans="1:3" x14ac:dyDescent="0.25">
      <c r="A132" t="s">
        <v>615</v>
      </c>
      <c r="B132" t="s">
        <v>205</v>
      </c>
      <c r="C132">
        <v>131</v>
      </c>
    </row>
    <row r="133" spans="1:3" x14ac:dyDescent="0.25">
      <c r="A133" t="s">
        <v>616</v>
      </c>
      <c r="B133" t="s">
        <v>205</v>
      </c>
      <c r="C133">
        <v>131</v>
      </c>
    </row>
    <row r="134" spans="1:3" x14ac:dyDescent="0.25">
      <c r="A134" t="s">
        <v>605</v>
      </c>
      <c r="B134" t="s">
        <v>213</v>
      </c>
      <c r="C134">
        <v>133</v>
      </c>
    </row>
    <row r="135" spans="1:3" x14ac:dyDescent="0.25">
      <c r="A135" t="s">
        <v>689</v>
      </c>
      <c r="B135" t="s">
        <v>197</v>
      </c>
      <c r="C135">
        <v>134</v>
      </c>
    </row>
    <row r="136" spans="1:3" x14ac:dyDescent="0.25">
      <c r="A136" t="s">
        <v>632</v>
      </c>
      <c r="B136" t="s">
        <v>205</v>
      </c>
      <c r="C136">
        <v>135</v>
      </c>
    </row>
    <row r="137" spans="1:3" x14ac:dyDescent="0.25">
      <c r="A137" t="s">
        <v>636</v>
      </c>
      <c r="B137" t="s">
        <v>209</v>
      </c>
      <c r="C137">
        <v>136</v>
      </c>
    </row>
    <row r="138" spans="1:3" x14ac:dyDescent="0.25">
      <c r="A138" t="s">
        <v>648</v>
      </c>
      <c r="B138" t="s">
        <v>209</v>
      </c>
      <c r="C138">
        <v>136</v>
      </c>
    </row>
    <row r="139" spans="1:3" x14ac:dyDescent="0.25">
      <c r="A139" t="s">
        <v>635</v>
      </c>
      <c r="B139" t="s">
        <v>211</v>
      </c>
      <c r="C139">
        <v>138</v>
      </c>
    </row>
    <row r="140" spans="1:3" x14ac:dyDescent="0.25">
      <c r="A140" t="s">
        <v>637</v>
      </c>
      <c r="B140" t="s">
        <v>205</v>
      </c>
      <c r="C140">
        <v>139</v>
      </c>
    </row>
    <row r="141" spans="1:3" x14ac:dyDescent="0.25">
      <c r="A141" t="s">
        <v>656</v>
      </c>
      <c r="B141" t="s">
        <v>209</v>
      </c>
      <c r="C141">
        <v>140</v>
      </c>
    </row>
    <row r="142" spans="1:3" x14ac:dyDescent="0.25">
      <c r="A142" t="s">
        <v>706</v>
      </c>
      <c r="B142" t="s">
        <v>202</v>
      </c>
      <c r="C142">
        <v>141</v>
      </c>
    </row>
    <row r="143" spans="1:3" x14ac:dyDescent="0.25">
      <c r="A143" t="s">
        <v>652</v>
      </c>
      <c r="B143" t="s">
        <v>195</v>
      </c>
      <c r="C143">
        <v>142</v>
      </c>
    </row>
    <row r="144" spans="1:3" x14ac:dyDescent="0.25">
      <c r="A144" t="s">
        <v>661</v>
      </c>
      <c r="B144" t="s">
        <v>208</v>
      </c>
      <c r="C144">
        <v>143</v>
      </c>
    </row>
    <row r="145" spans="1:3" x14ac:dyDescent="0.25">
      <c r="A145" t="s">
        <v>646</v>
      </c>
      <c r="B145" t="s">
        <v>213</v>
      </c>
      <c r="C145">
        <v>144</v>
      </c>
    </row>
    <row r="146" spans="1:3" x14ac:dyDescent="0.25">
      <c r="A146" t="s">
        <v>663</v>
      </c>
      <c r="B146" t="s">
        <v>205</v>
      </c>
      <c r="C146">
        <v>145</v>
      </c>
    </row>
    <row r="147" spans="1:3" x14ac:dyDescent="0.25">
      <c r="A147" t="s">
        <v>669</v>
      </c>
      <c r="B147" t="s">
        <v>205</v>
      </c>
      <c r="C147">
        <v>145</v>
      </c>
    </row>
    <row r="148" spans="1:3" x14ac:dyDescent="0.25">
      <c r="A148" t="s">
        <v>722</v>
      </c>
      <c r="B148" t="s">
        <v>197</v>
      </c>
      <c r="C148">
        <v>147</v>
      </c>
    </row>
    <row r="149" spans="1:3" x14ac:dyDescent="0.25">
      <c r="A149" t="s">
        <v>688</v>
      </c>
      <c r="B149" t="s">
        <v>211</v>
      </c>
      <c r="C149">
        <v>148</v>
      </c>
    </row>
    <row r="150" spans="1:3" x14ac:dyDescent="0.25">
      <c r="A150" t="s">
        <v>687</v>
      </c>
      <c r="B150" t="s">
        <v>195</v>
      </c>
      <c r="C150">
        <v>149</v>
      </c>
    </row>
    <row r="151" spans="1:3" x14ac:dyDescent="0.25">
      <c r="A151" t="s">
        <v>709</v>
      </c>
      <c r="B151" t="s">
        <v>204</v>
      </c>
      <c r="C151">
        <v>150</v>
      </c>
    </row>
    <row r="152" spans="1:3" x14ac:dyDescent="0.25">
      <c r="A152" t="s">
        <v>681</v>
      </c>
      <c r="B152" t="s">
        <v>205</v>
      </c>
      <c r="C152">
        <v>151</v>
      </c>
    </row>
    <row r="153" spans="1:3" x14ac:dyDescent="0.25">
      <c r="A153" t="s">
        <v>665</v>
      </c>
      <c r="B153" t="s">
        <v>213</v>
      </c>
      <c r="C153">
        <v>152</v>
      </c>
    </row>
    <row r="154" spans="1:3" x14ac:dyDescent="0.25">
      <c r="A154" t="s">
        <v>699</v>
      </c>
      <c r="B154" t="s">
        <v>211</v>
      </c>
      <c r="C154">
        <v>153</v>
      </c>
    </row>
    <row r="155" spans="1:3" x14ac:dyDescent="0.25">
      <c r="A155" t="s">
        <v>698</v>
      </c>
      <c r="B155" t="s">
        <v>195</v>
      </c>
      <c r="C155">
        <v>154</v>
      </c>
    </row>
    <row r="156" spans="1:3" x14ac:dyDescent="0.25">
      <c r="A156" t="s">
        <v>702</v>
      </c>
      <c r="B156" t="s">
        <v>201</v>
      </c>
      <c r="C156">
        <v>155</v>
      </c>
    </row>
    <row r="157" spans="1:3" x14ac:dyDescent="0.25">
      <c r="A157" t="s">
        <v>719</v>
      </c>
      <c r="B157" t="s">
        <v>199</v>
      </c>
      <c r="C157">
        <v>156</v>
      </c>
    </row>
    <row r="158" spans="1:3" x14ac:dyDescent="0.25">
      <c r="A158" t="s">
        <v>714</v>
      </c>
      <c r="B158" t="s">
        <v>195</v>
      </c>
      <c r="C158">
        <v>157</v>
      </c>
    </row>
    <row r="159" spans="1:3" x14ac:dyDescent="0.25">
      <c r="A159" t="s">
        <v>716</v>
      </c>
      <c r="B159" t="s">
        <v>208</v>
      </c>
      <c r="C159">
        <v>158</v>
      </c>
    </row>
    <row r="160" spans="1:3" x14ac:dyDescent="0.25">
      <c r="A160" t="s">
        <v>713</v>
      </c>
      <c r="B160" t="s">
        <v>208</v>
      </c>
      <c r="C160">
        <v>158</v>
      </c>
    </row>
    <row r="161" spans="1:3" x14ac:dyDescent="0.25">
      <c r="A161" t="s">
        <v>717</v>
      </c>
      <c r="B161" t="s">
        <v>208</v>
      </c>
      <c r="C161">
        <v>158</v>
      </c>
    </row>
    <row r="162" spans="1:3" x14ac:dyDescent="0.25">
      <c r="A162" t="s">
        <v>700</v>
      </c>
      <c r="B162" t="s">
        <v>213</v>
      </c>
      <c r="C162">
        <v>161</v>
      </c>
    </row>
    <row r="163" spans="1:3" x14ac:dyDescent="0.25">
      <c r="A163" t="s">
        <v>775</v>
      </c>
      <c r="B163" t="s">
        <v>202</v>
      </c>
      <c r="C163">
        <v>162</v>
      </c>
    </row>
    <row r="164" spans="1:3" x14ac:dyDescent="0.25">
      <c r="A164" t="s">
        <v>731</v>
      </c>
      <c r="B164" t="s">
        <v>211</v>
      </c>
      <c r="C164">
        <v>163</v>
      </c>
    </row>
    <row r="165" spans="1:3" x14ac:dyDescent="0.25">
      <c r="A165" t="s">
        <v>730</v>
      </c>
      <c r="B165" t="s">
        <v>201</v>
      </c>
      <c r="C165">
        <v>164</v>
      </c>
    </row>
    <row r="166" spans="1:3" x14ac:dyDescent="0.25">
      <c r="A166" t="s">
        <v>776</v>
      </c>
      <c r="B166" t="s">
        <v>197</v>
      </c>
      <c r="C166">
        <v>165</v>
      </c>
    </row>
    <row r="167" spans="1:3" x14ac:dyDescent="0.25">
      <c r="A167" t="s">
        <v>781</v>
      </c>
      <c r="B167" t="s">
        <v>197</v>
      </c>
      <c r="C167">
        <v>165</v>
      </c>
    </row>
    <row r="168" spans="1:3" x14ac:dyDescent="0.25">
      <c r="A168" t="s">
        <v>741</v>
      </c>
      <c r="B168" t="s">
        <v>211</v>
      </c>
      <c r="C168">
        <v>167</v>
      </c>
    </row>
    <row r="169" spans="1:3" x14ac:dyDescent="0.25">
      <c r="A169" t="s">
        <v>732</v>
      </c>
      <c r="B169" t="s">
        <v>195</v>
      </c>
      <c r="C169">
        <v>168</v>
      </c>
    </row>
    <row r="170" spans="1:3" x14ac:dyDescent="0.25">
      <c r="A170" t="s">
        <v>737</v>
      </c>
      <c r="B170" t="s">
        <v>205</v>
      </c>
      <c r="C170">
        <v>169</v>
      </c>
    </row>
    <row r="171" spans="1:3" x14ac:dyDescent="0.25">
      <c r="A171" t="s">
        <v>752</v>
      </c>
      <c r="B171" t="s">
        <v>199</v>
      </c>
      <c r="C171">
        <v>170</v>
      </c>
    </row>
    <row r="172" spans="1:3" x14ac:dyDescent="0.25">
      <c r="A172" t="s">
        <v>753</v>
      </c>
      <c r="B172" t="s">
        <v>208</v>
      </c>
      <c r="C172">
        <v>171</v>
      </c>
    </row>
    <row r="173" spans="1:3" x14ac:dyDescent="0.25">
      <c r="A173" t="s">
        <v>816</v>
      </c>
      <c r="B173" t="s">
        <v>197</v>
      </c>
      <c r="C173">
        <v>172</v>
      </c>
    </row>
    <row r="174" spans="1:3" x14ac:dyDescent="0.25">
      <c r="A174" t="s">
        <v>769</v>
      </c>
      <c r="B174" t="s">
        <v>209</v>
      </c>
      <c r="C174">
        <v>173</v>
      </c>
    </row>
    <row r="175" spans="1:3" x14ac:dyDescent="0.25">
      <c r="A175" t="s">
        <v>762</v>
      </c>
      <c r="B175" t="s">
        <v>209</v>
      </c>
      <c r="C175">
        <v>173</v>
      </c>
    </row>
    <row r="176" spans="1:3" x14ac:dyDescent="0.25">
      <c r="A176" t="s">
        <v>757</v>
      </c>
      <c r="B176" t="s">
        <v>211</v>
      </c>
      <c r="C176">
        <v>175</v>
      </c>
    </row>
    <row r="177" spans="1:3" x14ac:dyDescent="0.25">
      <c r="A177" t="s">
        <v>779</v>
      </c>
      <c r="B177" t="s">
        <v>195</v>
      </c>
      <c r="C177">
        <v>176</v>
      </c>
    </row>
    <row r="178" spans="1:3" x14ac:dyDescent="0.25">
      <c r="A178" t="s">
        <v>766</v>
      </c>
      <c r="B178" t="s">
        <v>195</v>
      </c>
      <c r="C178">
        <v>176</v>
      </c>
    </row>
    <row r="179" spans="1:3" x14ac:dyDescent="0.25">
      <c r="A179" t="s">
        <v>760</v>
      </c>
      <c r="B179" t="s">
        <v>201</v>
      </c>
      <c r="C179">
        <v>178</v>
      </c>
    </row>
    <row r="180" spans="1:3" x14ac:dyDescent="0.25">
      <c r="A180" t="s">
        <v>754</v>
      </c>
      <c r="B180" t="s">
        <v>213</v>
      </c>
      <c r="C180">
        <v>179</v>
      </c>
    </row>
    <row r="181" spans="1:3" x14ac:dyDescent="0.25">
      <c r="A181" t="s">
        <v>767</v>
      </c>
      <c r="B181" t="s">
        <v>205</v>
      </c>
      <c r="C181">
        <v>180</v>
      </c>
    </row>
    <row r="182" spans="1:3" x14ac:dyDescent="0.25">
      <c r="A182" t="s">
        <v>828</v>
      </c>
      <c r="B182" t="s">
        <v>202</v>
      </c>
      <c r="C182">
        <v>181</v>
      </c>
    </row>
    <row r="183" spans="1:3" x14ac:dyDescent="0.25">
      <c r="A183" t="s">
        <v>800</v>
      </c>
      <c r="B183" t="s">
        <v>209</v>
      </c>
      <c r="C183">
        <v>182</v>
      </c>
    </row>
    <row r="184" spans="1:3" x14ac:dyDescent="0.25">
      <c r="A184" t="s">
        <v>798</v>
      </c>
      <c r="B184" t="s">
        <v>211</v>
      </c>
      <c r="C184">
        <v>183</v>
      </c>
    </row>
    <row r="185" spans="1:3" x14ac:dyDescent="0.25">
      <c r="A185" t="s">
        <v>835</v>
      </c>
      <c r="B185" t="s">
        <v>197</v>
      </c>
      <c r="C185">
        <v>184</v>
      </c>
    </row>
    <row r="186" spans="1:3" x14ac:dyDescent="0.25">
      <c r="A186" t="s">
        <v>829</v>
      </c>
      <c r="B186" t="s">
        <v>197</v>
      </c>
      <c r="C186">
        <v>184</v>
      </c>
    </row>
    <row r="187" spans="1:3" x14ac:dyDescent="0.25">
      <c r="A187" t="s">
        <v>803</v>
      </c>
      <c r="B187" t="s">
        <v>199</v>
      </c>
      <c r="C187">
        <v>186</v>
      </c>
    </row>
    <row r="188" spans="1:3" x14ac:dyDescent="0.25">
      <c r="A188" t="s">
        <v>799</v>
      </c>
      <c r="B188" t="s">
        <v>195</v>
      </c>
      <c r="C188">
        <v>187</v>
      </c>
    </row>
    <row r="189" spans="1:3" x14ac:dyDescent="0.25">
      <c r="A189" t="s">
        <v>790</v>
      </c>
      <c r="B189" t="s">
        <v>208</v>
      </c>
      <c r="C189">
        <v>188</v>
      </c>
    </row>
    <row r="190" spans="1:3" x14ac:dyDescent="0.25">
      <c r="A190" t="s">
        <v>793</v>
      </c>
      <c r="B190" t="s">
        <v>208</v>
      </c>
      <c r="C190">
        <v>188</v>
      </c>
    </row>
    <row r="191" spans="1:3" x14ac:dyDescent="0.25">
      <c r="A191" t="s">
        <v>804</v>
      </c>
      <c r="B191" t="s">
        <v>208</v>
      </c>
      <c r="C191">
        <v>188</v>
      </c>
    </row>
    <row r="192" spans="1:3" x14ac:dyDescent="0.25">
      <c r="A192" t="s">
        <v>797</v>
      </c>
      <c r="B192" t="s">
        <v>201</v>
      </c>
      <c r="C192">
        <v>191</v>
      </c>
    </row>
    <row r="193" spans="1:3" x14ac:dyDescent="0.25">
      <c r="A193" t="s">
        <v>813</v>
      </c>
      <c r="B193" t="s">
        <v>199</v>
      </c>
      <c r="C193">
        <v>192</v>
      </c>
    </row>
    <row r="194" spans="1:3" x14ac:dyDescent="0.25">
      <c r="A194" t="s">
        <v>824</v>
      </c>
      <c r="B194" t="s">
        <v>199</v>
      </c>
      <c r="C194">
        <v>192</v>
      </c>
    </row>
    <row r="195" spans="1:3" x14ac:dyDescent="0.25">
      <c r="A195" t="s">
        <v>822</v>
      </c>
      <c r="B195" t="s">
        <v>199</v>
      </c>
      <c r="C195">
        <v>192</v>
      </c>
    </row>
    <row r="196" spans="1:3" x14ac:dyDescent="0.25">
      <c r="A196" t="s">
        <v>825</v>
      </c>
      <c r="B196" t="s">
        <v>199</v>
      </c>
      <c r="C196">
        <v>192</v>
      </c>
    </row>
    <row r="197" spans="1:3" x14ac:dyDescent="0.25">
      <c r="A197" t="s">
        <v>782</v>
      </c>
      <c r="B197" t="s">
        <v>213</v>
      </c>
      <c r="C197">
        <v>196</v>
      </c>
    </row>
    <row r="198" spans="1:3" x14ac:dyDescent="0.25">
      <c r="A198" t="s">
        <v>848</v>
      </c>
      <c r="B198" t="s">
        <v>197</v>
      </c>
      <c r="C198">
        <v>197</v>
      </c>
    </row>
    <row r="199" spans="1:3" x14ac:dyDescent="0.25">
      <c r="A199" t="s">
        <v>821</v>
      </c>
      <c r="B199" t="s">
        <v>195</v>
      </c>
      <c r="C199">
        <v>198</v>
      </c>
    </row>
    <row r="200" spans="1:3" x14ac:dyDescent="0.25">
      <c r="A200" t="s">
        <v>810</v>
      </c>
      <c r="B200" t="s">
        <v>205</v>
      </c>
      <c r="C200">
        <v>199</v>
      </c>
    </row>
    <row r="201" spans="1:3" x14ac:dyDescent="0.25">
      <c r="A201" t="s">
        <v>806</v>
      </c>
      <c r="B201" t="s">
        <v>213</v>
      </c>
      <c r="C201">
        <v>200</v>
      </c>
    </row>
    <row r="202" spans="1:3" x14ac:dyDescent="0.25">
      <c r="A202" t="s">
        <v>850</v>
      </c>
      <c r="B202" t="s">
        <v>204</v>
      </c>
      <c r="C202">
        <v>201</v>
      </c>
    </row>
    <row r="203" spans="1:3" x14ac:dyDescent="0.25">
      <c r="A203" t="s">
        <v>838</v>
      </c>
      <c r="B203" t="s">
        <v>205</v>
      </c>
      <c r="C203">
        <v>202</v>
      </c>
    </row>
    <row r="204" spans="1:3" x14ac:dyDescent="0.25">
      <c r="A204" t="s">
        <v>834</v>
      </c>
      <c r="B204" t="s">
        <v>205</v>
      </c>
      <c r="C204">
        <v>202</v>
      </c>
    </row>
    <row r="205" spans="1:3" x14ac:dyDescent="0.25">
      <c r="A205" t="s">
        <v>866</v>
      </c>
      <c r="B205" t="s">
        <v>197</v>
      </c>
      <c r="C205">
        <v>204</v>
      </c>
    </row>
    <row r="206" spans="1:3" x14ac:dyDescent="0.25">
      <c r="A206" t="s">
        <v>826</v>
      </c>
      <c r="B206" t="s">
        <v>213</v>
      </c>
      <c r="C206">
        <v>205</v>
      </c>
    </row>
    <row r="207" spans="1:3" x14ac:dyDescent="0.25">
      <c r="A207" t="s">
        <v>836</v>
      </c>
      <c r="B207" t="s">
        <v>213</v>
      </c>
      <c r="C207">
        <v>205</v>
      </c>
    </row>
    <row r="208" spans="1:3" x14ac:dyDescent="0.25">
      <c r="A208" t="s">
        <v>845</v>
      </c>
      <c r="B208" t="s">
        <v>211</v>
      </c>
      <c r="C208">
        <v>207</v>
      </c>
    </row>
    <row r="209" spans="1:3" x14ac:dyDescent="0.25">
      <c r="A209" t="s">
        <v>852</v>
      </c>
      <c r="B209" t="s">
        <v>211</v>
      </c>
      <c r="C209">
        <v>207</v>
      </c>
    </row>
    <row r="210" spans="1:3" x14ac:dyDescent="0.25">
      <c r="A210" t="s">
        <v>842</v>
      </c>
      <c r="B210" t="s">
        <v>199</v>
      </c>
      <c r="C210">
        <v>209</v>
      </c>
    </row>
    <row r="211" spans="1:3" x14ac:dyDescent="0.25">
      <c r="A211" t="s">
        <v>846</v>
      </c>
      <c r="B211" t="s">
        <v>201</v>
      </c>
      <c r="C211">
        <v>210</v>
      </c>
    </row>
    <row r="212" spans="1:3" x14ac:dyDescent="0.25">
      <c r="A212" t="s">
        <v>855</v>
      </c>
      <c r="B212" t="s">
        <v>201</v>
      </c>
      <c r="C212">
        <v>210</v>
      </c>
    </row>
    <row r="213" spans="1:3" x14ac:dyDescent="0.25">
      <c r="A213" t="s">
        <v>872</v>
      </c>
      <c r="B213" t="s">
        <v>209</v>
      </c>
      <c r="C213">
        <v>212</v>
      </c>
    </row>
    <row r="214" spans="1:3" x14ac:dyDescent="0.25">
      <c r="A214" t="s">
        <v>864</v>
      </c>
      <c r="B214" t="s">
        <v>209</v>
      </c>
      <c r="C214">
        <v>212</v>
      </c>
    </row>
    <row r="215" spans="1:3" x14ac:dyDescent="0.25">
      <c r="A215" t="s">
        <v>856</v>
      </c>
      <c r="B215" t="s">
        <v>199</v>
      </c>
      <c r="C215">
        <v>214</v>
      </c>
    </row>
    <row r="216" spans="1:3" x14ac:dyDescent="0.25">
      <c r="A216" t="s">
        <v>865</v>
      </c>
      <c r="B216" t="s">
        <v>199</v>
      </c>
      <c r="C216">
        <v>214</v>
      </c>
    </row>
    <row r="217" spans="1:3" x14ac:dyDescent="0.25">
      <c r="A217" t="s">
        <v>863</v>
      </c>
      <c r="B217" t="s">
        <v>201</v>
      </c>
      <c r="C217">
        <v>216</v>
      </c>
    </row>
    <row r="218" spans="1:3" x14ac:dyDescent="0.25">
      <c r="A218" t="s">
        <v>877</v>
      </c>
      <c r="B218" t="s">
        <v>204</v>
      </c>
      <c r="C218">
        <v>217</v>
      </c>
    </row>
    <row r="219" spans="1:3" x14ac:dyDescent="0.25">
      <c r="A219" t="s">
        <v>900</v>
      </c>
      <c r="B219" t="s">
        <v>197</v>
      </c>
      <c r="C219">
        <v>218</v>
      </c>
    </row>
    <row r="220" spans="1:3" x14ac:dyDescent="0.25">
      <c r="A220" t="s">
        <v>904</v>
      </c>
      <c r="B220" t="s">
        <v>197</v>
      </c>
      <c r="C220">
        <v>218</v>
      </c>
    </row>
    <row r="221" spans="1:3" x14ac:dyDescent="0.25">
      <c r="A221" t="s">
        <v>876</v>
      </c>
      <c r="B221" t="s">
        <v>213</v>
      </c>
      <c r="C221">
        <v>220</v>
      </c>
    </row>
    <row r="222" spans="1:3" x14ac:dyDescent="0.25">
      <c r="A222" t="s">
        <v>885</v>
      </c>
      <c r="B222" t="s">
        <v>209</v>
      </c>
      <c r="C222">
        <v>221</v>
      </c>
    </row>
    <row r="223" spans="1:3" x14ac:dyDescent="0.25">
      <c r="A223" t="s">
        <v>882</v>
      </c>
      <c r="B223" t="s">
        <v>209</v>
      </c>
      <c r="C223">
        <v>221</v>
      </c>
    </row>
    <row r="224" spans="1:3" x14ac:dyDescent="0.25">
      <c r="A224" t="s">
        <v>886</v>
      </c>
      <c r="B224" t="s">
        <v>211</v>
      </c>
      <c r="C224">
        <v>223</v>
      </c>
    </row>
    <row r="225" spans="1:3" x14ac:dyDescent="0.25">
      <c r="A225" t="s">
        <v>883</v>
      </c>
      <c r="B225" t="s">
        <v>199</v>
      </c>
      <c r="C225">
        <v>224</v>
      </c>
    </row>
    <row r="226" spans="1:3" x14ac:dyDescent="0.25">
      <c r="A226" t="s">
        <v>891</v>
      </c>
      <c r="B226" t="s">
        <v>195</v>
      </c>
      <c r="C226">
        <v>225</v>
      </c>
    </row>
    <row r="227" spans="1:3" x14ac:dyDescent="0.25">
      <c r="A227" t="s">
        <v>890</v>
      </c>
      <c r="B227" t="s">
        <v>208</v>
      </c>
      <c r="C227">
        <v>226</v>
      </c>
    </row>
    <row r="228" spans="1:3" x14ac:dyDescent="0.25">
      <c r="A228" t="s">
        <v>893</v>
      </c>
      <c r="B228" t="s">
        <v>208</v>
      </c>
      <c r="C228">
        <v>226</v>
      </c>
    </row>
    <row r="229" spans="1:3" x14ac:dyDescent="0.25">
      <c r="A229" t="s">
        <v>895</v>
      </c>
      <c r="B229" t="s">
        <v>201</v>
      </c>
      <c r="C229">
        <v>228</v>
      </c>
    </row>
    <row r="230" spans="1:3" x14ac:dyDescent="0.25">
      <c r="A230" t="s">
        <v>899</v>
      </c>
      <c r="B230" t="s">
        <v>204</v>
      </c>
      <c r="C230">
        <v>229</v>
      </c>
    </row>
    <row r="231" spans="1:3" x14ac:dyDescent="0.25">
      <c r="A231" t="s">
        <v>926</v>
      </c>
      <c r="B231" t="s">
        <v>202</v>
      </c>
      <c r="C231">
        <v>230</v>
      </c>
    </row>
    <row r="232" spans="1:3" x14ac:dyDescent="0.25">
      <c r="A232" t="s">
        <v>925</v>
      </c>
      <c r="B232" t="s">
        <v>197</v>
      </c>
      <c r="C232">
        <v>231</v>
      </c>
    </row>
    <row r="233" spans="1:3" x14ac:dyDescent="0.25">
      <c r="A233" t="s">
        <v>907</v>
      </c>
      <c r="B233" t="s">
        <v>211</v>
      </c>
      <c r="C233">
        <v>232</v>
      </c>
    </row>
    <row r="234" spans="1:3" x14ac:dyDescent="0.25">
      <c r="A234" t="s">
        <v>909</v>
      </c>
      <c r="B234" t="s">
        <v>195</v>
      </c>
      <c r="C234">
        <v>233</v>
      </c>
    </row>
    <row r="235" spans="1:3" x14ac:dyDescent="0.25">
      <c r="A235" t="s">
        <v>933</v>
      </c>
      <c r="B235" t="s">
        <v>204</v>
      </c>
      <c r="C235">
        <v>234</v>
      </c>
    </row>
    <row r="236" spans="1:3" x14ac:dyDescent="0.25">
      <c r="A236" t="s">
        <v>901</v>
      </c>
      <c r="B236" t="s">
        <v>213</v>
      </c>
      <c r="C236">
        <v>235</v>
      </c>
    </row>
    <row r="237" spans="1:3" x14ac:dyDescent="0.25">
      <c r="A237" t="s">
        <v>924</v>
      </c>
      <c r="B237" t="s">
        <v>209</v>
      </c>
      <c r="C237">
        <v>236</v>
      </c>
    </row>
    <row r="238" spans="1:3" x14ac:dyDescent="0.25">
      <c r="A238" t="s">
        <v>919</v>
      </c>
      <c r="B238" t="s">
        <v>205</v>
      </c>
      <c r="C238">
        <v>237</v>
      </c>
    </row>
    <row r="239" spans="1:3" x14ac:dyDescent="0.25">
      <c r="A239" t="s">
        <v>975</v>
      </c>
      <c r="B239" t="s">
        <v>209</v>
      </c>
      <c r="C239">
        <v>238</v>
      </c>
    </row>
    <row r="240" spans="1:3" x14ac:dyDescent="0.25">
      <c r="A240" t="s">
        <v>957</v>
      </c>
      <c r="B240" t="s">
        <v>211</v>
      </c>
      <c r="C240">
        <v>239</v>
      </c>
    </row>
    <row r="241" spans="1:3" x14ac:dyDescent="0.25">
      <c r="A241" t="s">
        <v>962</v>
      </c>
      <c r="B241" t="s">
        <v>205</v>
      </c>
      <c r="C241">
        <v>240</v>
      </c>
    </row>
    <row r="242" spans="1:3" x14ac:dyDescent="0.25">
      <c r="A242" t="s">
        <v>972</v>
      </c>
      <c r="B242" t="s">
        <v>205</v>
      </c>
      <c r="C242">
        <v>240</v>
      </c>
    </row>
    <row r="243" spans="1:3" x14ac:dyDescent="0.25">
      <c r="A243" t="s">
        <v>982</v>
      </c>
      <c r="B243" t="s">
        <v>202</v>
      </c>
      <c r="C243">
        <v>242</v>
      </c>
    </row>
    <row r="244" spans="1:3" x14ac:dyDescent="0.25">
      <c r="A244" t="s">
        <v>992</v>
      </c>
      <c r="B244" t="s">
        <v>204</v>
      </c>
      <c r="C244">
        <v>243</v>
      </c>
    </row>
    <row r="245" spans="1:3" x14ac:dyDescent="0.25">
      <c r="A245" t="s">
        <v>978</v>
      </c>
      <c r="B245" t="s">
        <v>211</v>
      </c>
      <c r="C245">
        <v>244</v>
      </c>
    </row>
    <row r="246" spans="1:3" x14ac:dyDescent="0.25">
      <c r="A246" t="s">
        <v>997</v>
      </c>
      <c r="B246" t="s">
        <v>199</v>
      </c>
      <c r="C246">
        <v>245</v>
      </c>
    </row>
    <row r="247" spans="1:3" x14ac:dyDescent="0.25">
      <c r="A247" t="s">
        <v>1000</v>
      </c>
      <c r="B247" t="s">
        <v>195</v>
      </c>
      <c r="C247">
        <v>246</v>
      </c>
    </row>
    <row r="248" spans="1:3" x14ac:dyDescent="0.25">
      <c r="A248" t="s">
        <v>990</v>
      </c>
      <c r="B248" t="s">
        <v>208</v>
      </c>
      <c r="C248">
        <v>247</v>
      </c>
    </row>
    <row r="249" spans="1:3" x14ac:dyDescent="0.25">
      <c r="A249" t="s">
        <v>998</v>
      </c>
      <c r="B249" t="s">
        <v>201</v>
      </c>
      <c r="C249">
        <v>248</v>
      </c>
    </row>
    <row r="250" spans="1:3" x14ac:dyDescent="0.25">
      <c r="A250" t="s">
        <v>994</v>
      </c>
      <c r="B250" t="s">
        <v>205</v>
      </c>
      <c r="C250">
        <v>249</v>
      </c>
    </row>
    <row r="251" spans="1:3" x14ac:dyDescent="0.25">
      <c r="A251" t="s">
        <v>989</v>
      </c>
      <c r="B251" t="s">
        <v>213</v>
      </c>
      <c r="C251">
        <v>250</v>
      </c>
    </row>
    <row r="252" spans="1:3" x14ac:dyDescent="0.25">
      <c r="A252" t="s">
        <v>979</v>
      </c>
      <c r="B252" t="s">
        <v>213</v>
      </c>
      <c r="C252">
        <v>250</v>
      </c>
    </row>
    <row r="253" spans="1:3" x14ac:dyDescent="0.25">
      <c r="A253" t="s">
        <v>1001</v>
      </c>
      <c r="B253" t="s">
        <v>213</v>
      </c>
      <c r="C253">
        <v>250</v>
      </c>
    </row>
    <row r="254" spans="1:3" x14ac:dyDescent="0.25">
      <c r="A254" t="s">
        <v>1027</v>
      </c>
      <c r="B254" t="s">
        <v>202</v>
      </c>
      <c r="C254">
        <v>253</v>
      </c>
    </row>
    <row r="255" spans="1:3" x14ac:dyDescent="0.25">
      <c r="A255" t="s">
        <v>1018</v>
      </c>
      <c r="B255" t="s">
        <v>197</v>
      </c>
      <c r="C255">
        <v>254</v>
      </c>
    </row>
    <row r="256" spans="1:3" x14ac:dyDescent="0.25">
      <c r="A256" t="s">
        <v>1031</v>
      </c>
      <c r="B256" t="s">
        <v>209</v>
      </c>
      <c r="C256">
        <v>255</v>
      </c>
    </row>
    <row r="257" spans="1:3" x14ac:dyDescent="0.25">
      <c r="A257" t="s">
        <v>1014</v>
      </c>
      <c r="B257" t="s">
        <v>211</v>
      </c>
      <c r="C257">
        <v>256</v>
      </c>
    </row>
    <row r="258" spans="1:3" x14ac:dyDescent="0.25">
      <c r="A258" t="s">
        <v>1032</v>
      </c>
      <c r="B258" t="s">
        <v>199</v>
      </c>
      <c r="C258">
        <v>257</v>
      </c>
    </row>
    <row r="259" spans="1:3" x14ac:dyDescent="0.25">
      <c r="A259" t="s">
        <v>1023</v>
      </c>
      <c r="B259" t="s">
        <v>199</v>
      </c>
      <c r="C259">
        <v>257</v>
      </c>
    </row>
    <row r="260" spans="1:3" x14ac:dyDescent="0.25">
      <c r="A260" t="s">
        <v>1005</v>
      </c>
      <c r="B260" t="s">
        <v>195</v>
      </c>
      <c r="C260">
        <v>259</v>
      </c>
    </row>
    <row r="261" spans="1:3" x14ac:dyDescent="0.25">
      <c r="A261" t="s">
        <v>1015</v>
      </c>
      <c r="B261" t="s">
        <v>195</v>
      </c>
      <c r="C261">
        <v>259</v>
      </c>
    </row>
    <row r="262" spans="1:3" x14ac:dyDescent="0.25">
      <c r="A262" t="s">
        <v>1012</v>
      </c>
      <c r="B262" t="s">
        <v>208</v>
      </c>
      <c r="C262">
        <v>261</v>
      </c>
    </row>
    <row r="263" spans="1:3" x14ac:dyDescent="0.25">
      <c r="A263" t="s">
        <v>1034</v>
      </c>
      <c r="B263" t="s">
        <v>208</v>
      </c>
      <c r="C263">
        <v>261</v>
      </c>
    </row>
    <row r="264" spans="1:3" x14ac:dyDescent="0.25">
      <c r="A264" t="s">
        <v>1007</v>
      </c>
      <c r="B264" t="s">
        <v>208</v>
      </c>
      <c r="C264">
        <v>261</v>
      </c>
    </row>
    <row r="265" spans="1:3" x14ac:dyDescent="0.25">
      <c r="A265" t="s">
        <v>1098</v>
      </c>
      <c r="B265" t="s">
        <v>202</v>
      </c>
      <c r="C265">
        <v>264</v>
      </c>
    </row>
    <row r="266" spans="1:3" x14ac:dyDescent="0.25">
      <c r="A266" t="s">
        <v>1058</v>
      </c>
      <c r="B266" t="s">
        <v>197</v>
      </c>
      <c r="C266">
        <v>265</v>
      </c>
    </row>
    <row r="267" spans="1:3" x14ac:dyDescent="0.25">
      <c r="A267" t="s">
        <v>1038</v>
      </c>
      <c r="B267" t="s">
        <v>197</v>
      </c>
      <c r="C267">
        <v>265</v>
      </c>
    </row>
    <row r="268" spans="1:3" x14ac:dyDescent="0.25">
      <c r="A268" t="s">
        <v>1057</v>
      </c>
      <c r="B268" t="s">
        <v>204</v>
      </c>
      <c r="C268">
        <v>267</v>
      </c>
    </row>
    <row r="269" spans="1:3" x14ac:dyDescent="0.25">
      <c r="A269" t="s">
        <v>1060</v>
      </c>
      <c r="B269" t="s">
        <v>204</v>
      </c>
      <c r="C269">
        <v>267</v>
      </c>
    </row>
    <row r="270" spans="1:3" x14ac:dyDescent="0.25">
      <c r="A270" t="s">
        <v>1095</v>
      </c>
      <c r="B270" t="s">
        <v>209</v>
      </c>
      <c r="C270">
        <v>269</v>
      </c>
    </row>
    <row r="271" spans="1:3" x14ac:dyDescent="0.25">
      <c r="A271" t="s">
        <v>1040</v>
      </c>
      <c r="B271" t="s">
        <v>209</v>
      </c>
      <c r="C271">
        <v>269</v>
      </c>
    </row>
    <row r="272" spans="1:3" x14ac:dyDescent="0.25">
      <c r="A272" t="s">
        <v>1088</v>
      </c>
      <c r="B272" t="s">
        <v>209</v>
      </c>
      <c r="C272">
        <v>269</v>
      </c>
    </row>
    <row r="273" spans="1:3" x14ac:dyDescent="0.25">
      <c r="A273" t="s">
        <v>1041</v>
      </c>
      <c r="B273" t="s">
        <v>209</v>
      </c>
      <c r="C273">
        <v>269</v>
      </c>
    </row>
    <row r="274" spans="1:3" x14ac:dyDescent="0.25">
      <c r="A274" t="s">
        <v>1081</v>
      </c>
      <c r="B274" t="s">
        <v>211</v>
      </c>
      <c r="C274">
        <v>273</v>
      </c>
    </row>
    <row r="275" spans="1:3" x14ac:dyDescent="0.25">
      <c r="A275" t="s">
        <v>1066</v>
      </c>
      <c r="B275" t="s">
        <v>211</v>
      </c>
      <c r="C275">
        <v>273</v>
      </c>
    </row>
    <row r="276" spans="1:3" x14ac:dyDescent="0.25">
      <c r="A276" t="s">
        <v>1045</v>
      </c>
      <c r="B276" t="s">
        <v>211</v>
      </c>
      <c r="C276">
        <v>273</v>
      </c>
    </row>
    <row r="277" spans="1:3" x14ac:dyDescent="0.25">
      <c r="A277" t="s">
        <v>1049</v>
      </c>
      <c r="B277" t="s">
        <v>199</v>
      </c>
      <c r="C277">
        <v>276</v>
      </c>
    </row>
    <row r="278" spans="1:3" x14ac:dyDescent="0.25">
      <c r="A278" t="s">
        <v>1067</v>
      </c>
      <c r="B278" t="s">
        <v>199</v>
      </c>
      <c r="C278">
        <v>276</v>
      </c>
    </row>
    <row r="279" spans="1:3" x14ac:dyDescent="0.25">
      <c r="A279" t="s">
        <v>1043</v>
      </c>
      <c r="B279" t="s">
        <v>195</v>
      </c>
      <c r="C279">
        <v>278</v>
      </c>
    </row>
    <row r="280" spans="1:3" x14ac:dyDescent="0.25">
      <c r="A280" t="s">
        <v>1053</v>
      </c>
      <c r="B280" t="s">
        <v>208</v>
      </c>
      <c r="C280">
        <v>279</v>
      </c>
    </row>
    <row r="281" spans="1:3" x14ac:dyDescent="0.25">
      <c r="A281" t="s">
        <v>1094</v>
      </c>
      <c r="B281" t="s">
        <v>201</v>
      </c>
      <c r="C281">
        <v>280</v>
      </c>
    </row>
    <row r="282" spans="1:3" x14ac:dyDescent="0.25">
      <c r="A282" t="s">
        <v>1093</v>
      </c>
      <c r="B282" t="s">
        <v>201</v>
      </c>
      <c r="C282">
        <v>280</v>
      </c>
    </row>
    <row r="283" spans="1:3" x14ac:dyDescent="0.25">
      <c r="A283" t="s">
        <v>1082</v>
      </c>
      <c r="B283" t="s">
        <v>201</v>
      </c>
      <c r="C283">
        <v>280</v>
      </c>
    </row>
    <row r="284" spans="1:3" x14ac:dyDescent="0.25">
      <c r="A284" t="s">
        <v>1042</v>
      </c>
      <c r="B284" t="s">
        <v>205</v>
      </c>
      <c r="C284">
        <v>283</v>
      </c>
    </row>
    <row r="285" spans="1:3" x14ac:dyDescent="0.25">
      <c r="A285" t="s">
        <v>1091</v>
      </c>
      <c r="B285" t="s">
        <v>205</v>
      </c>
      <c r="C285">
        <v>283</v>
      </c>
    </row>
    <row r="286" spans="1:3" x14ac:dyDescent="0.25">
      <c r="A286" t="s">
        <v>1099</v>
      </c>
      <c r="B286" t="s">
        <v>205</v>
      </c>
      <c r="C286">
        <v>283</v>
      </c>
    </row>
    <row r="287" spans="1:3" x14ac:dyDescent="0.25">
      <c r="A287" t="s">
        <v>1089</v>
      </c>
      <c r="B287" t="s">
        <v>213</v>
      </c>
      <c r="C287">
        <v>286</v>
      </c>
    </row>
    <row r="288" spans="1:3" x14ac:dyDescent="0.25">
      <c r="A288" t="s">
        <v>1046</v>
      </c>
      <c r="B288" t="s">
        <v>213</v>
      </c>
      <c r="C288">
        <v>286</v>
      </c>
    </row>
    <row r="289" spans="1:3" x14ac:dyDescent="0.25">
      <c r="A289" t="s">
        <v>1102</v>
      </c>
      <c r="B289" t="s">
        <v>205</v>
      </c>
      <c r="C289">
        <v>288</v>
      </c>
    </row>
    <row r="290" spans="1:3" x14ac:dyDescent="0.25">
      <c r="A290" t="s">
        <v>1157</v>
      </c>
      <c r="B290" t="s">
        <v>211</v>
      </c>
      <c r="C290">
        <v>288</v>
      </c>
    </row>
    <row r="291" spans="1:3" x14ac:dyDescent="0.25">
      <c r="A291" t="s">
        <v>1172</v>
      </c>
      <c r="B291" t="s">
        <v>197</v>
      </c>
      <c r="C291">
        <v>288</v>
      </c>
    </row>
    <row r="292" spans="1:3" x14ac:dyDescent="0.25">
      <c r="A292" t="s">
        <v>1150</v>
      </c>
      <c r="B292" t="s">
        <v>204</v>
      </c>
      <c r="C292">
        <v>288</v>
      </c>
    </row>
    <row r="293" spans="1:3" x14ac:dyDescent="0.25">
      <c r="A293" t="s">
        <v>1146</v>
      </c>
      <c r="B293" t="s">
        <v>197</v>
      </c>
      <c r="C293">
        <v>288</v>
      </c>
    </row>
    <row r="294" spans="1:3" x14ac:dyDescent="0.25">
      <c r="A294" t="s">
        <v>1144</v>
      </c>
      <c r="B294" t="s">
        <v>197</v>
      </c>
      <c r="C294">
        <v>288</v>
      </c>
    </row>
    <row r="295" spans="1:3" x14ac:dyDescent="0.25">
      <c r="A295" t="s">
        <v>1128</v>
      </c>
      <c r="B295" t="s">
        <v>202</v>
      </c>
      <c r="C295">
        <v>288</v>
      </c>
    </row>
    <row r="296" spans="1:3" x14ac:dyDescent="0.25">
      <c r="A296" t="s">
        <v>1124</v>
      </c>
      <c r="B296" t="s">
        <v>201</v>
      </c>
      <c r="C296">
        <v>288</v>
      </c>
    </row>
    <row r="297" spans="1:3" x14ac:dyDescent="0.25">
      <c r="A297" t="s">
        <v>1203</v>
      </c>
      <c r="B297" t="s">
        <v>202</v>
      </c>
      <c r="C297">
        <v>288</v>
      </c>
    </row>
    <row r="298" spans="1:3" x14ac:dyDescent="0.25">
      <c r="A298" t="s">
        <v>1153</v>
      </c>
      <c r="B298" t="s">
        <v>201</v>
      </c>
      <c r="C298">
        <v>288</v>
      </c>
    </row>
    <row r="299" spans="1:3" x14ac:dyDescent="0.25">
      <c r="A299" t="s">
        <v>1178</v>
      </c>
      <c r="B299" t="s">
        <v>209</v>
      </c>
      <c r="C299">
        <v>288</v>
      </c>
    </row>
    <row r="300" spans="1:3" x14ac:dyDescent="0.25">
      <c r="A300" t="s">
        <v>1174</v>
      </c>
      <c r="B300" t="s">
        <v>202</v>
      </c>
      <c r="C300">
        <v>288</v>
      </c>
    </row>
    <row r="301" spans="1:3" x14ac:dyDescent="0.25">
      <c r="A301" t="s">
        <v>1142</v>
      </c>
      <c r="B301" t="s">
        <v>205</v>
      </c>
      <c r="C301">
        <v>288</v>
      </c>
    </row>
    <row r="302" spans="1:3" x14ac:dyDescent="0.25">
      <c r="A302" t="s">
        <v>1169</v>
      </c>
      <c r="B302" t="s">
        <v>204</v>
      </c>
      <c r="C302">
        <v>288</v>
      </c>
    </row>
    <row r="303" spans="1:3" x14ac:dyDescent="0.25">
      <c r="A303" t="s">
        <v>1116</v>
      </c>
      <c r="B303" t="s">
        <v>204</v>
      </c>
      <c r="C303">
        <v>288</v>
      </c>
    </row>
    <row r="304" spans="1:3" x14ac:dyDescent="0.25">
      <c r="A304" t="s">
        <v>1199</v>
      </c>
      <c r="B304" t="s">
        <v>201</v>
      </c>
      <c r="C304">
        <v>288</v>
      </c>
    </row>
    <row r="305" spans="1:3" x14ac:dyDescent="0.25">
      <c r="A305" t="s">
        <v>1105</v>
      </c>
      <c r="B305" t="s">
        <v>201</v>
      </c>
      <c r="C305">
        <v>288</v>
      </c>
    </row>
    <row r="306" spans="1:3" x14ac:dyDescent="0.25">
      <c r="A306" t="s">
        <v>1127</v>
      </c>
      <c r="B306" t="s">
        <v>201</v>
      </c>
      <c r="C306">
        <v>288</v>
      </c>
    </row>
    <row r="307" spans="1:3" x14ac:dyDescent="0.25">
      <c r="A307" t="s">
        <v>1145</v>
      </c>
      <c r="B307" t="s">
        <v>209</v>
      </c>
      <c r="C307">
        <v>288</v>
      </c>
    </row>
    <row r="308" spans="1:3" x14ac:dyDescent="0.25">
      <c r="A308" t="s">
        <v>1190</v>
      </c>
      <c r="B308" t="s">
        <v>209</v>
      </c>
      <c r="C308">
        <v>288</v>
      </c>
    </row>
    <row r="309" spans="1:3" x14ac:dyDescent="0.25">
      <c r="A309" t="s">
        <v>1162</v>
      </c>
      <c r="B309" t="s">
        <v>195</v>
      </c>
      <c r="C309">
        <v>288</v>
      </c>
    </row>
    <row r="310" spans="1:3" x14ac:dyDescent="0.25">
      <c r="A310" t="s">
        <v>1151</v>
      </c>
      <c r="B310" t="s">
        <v>202</v>
      </c>
      <c r="C310">
        <v>288</v>
      </c>
    </row>
    <row r="311" spans="1:3" x14ac:dyDescent="0.25">
      <c r="A311" t="s">
        <v>1167</v>
      </c>
      <c r="B311" t="s">
        <v>197</v>
      </c>
      <c r="C311">
        <v>288</v>
      </c>
    </row>
    <row r="312" spans="1:3" x14ac:dyDescent="0.25">
      <c r="A312" t="s">
        <v>1186</v>
      </c>
      <c r="B312" t="s">
        <v>202</v>
      </c>
      <c r="C312">
        <v>288</v>
      </c>
    </row>
    <row r="313" spans="1:3" x14ac:dyDescent="0.25">
      <c r="A313" t="s">
        <v>1133</v>
      </c>
      <c r="B313" t="s">
        <v>199</v>
      </c>
      <c r="C313">
        <v>288</v>
      </c>
    </row>
    <row r="314" spans="1:3" x14ac:dyDescent="0.25">
      <c r="A314" t="s">
        <v>1131</v>
      </c>
      <c r="B314" t="s">
        <v>204</v>
      </c>
      <c r="C314">
        <v>288</v>
      </c>
    </row>
    <row r="315" spans="1:3" x14ac:dyDescent="0.25">
      <c r="A315" t="s">
        <v>1120</v>
      </c>
      <c r="B315" t="s">
        <v>202</v>
      </c>
      <c r="C315">
        <v>288</v>
      </c>
    </row>
    <row r="316" spans="1:3" x14ac:dyDescent="0.25">
      <c r="A316" t="s">
        <v>1181</v>
      </c>
      <c r="B316" t="s">
        <v>205</v>
      </c>
      <c r="C316">
        <v>288</v>
      </c>
    </row>
    <row r="317" spans="1:3" x14ac:dyDescent="0.25">
      <c r="A317" t="s">
        <v>1103</v>
      </c>
      <c r="B317" t="s">
        <v>197</v>
      </c>
      <c r="C317">
        <v>288</v>
      </c>
    </row>
  </sheetData>
  <sortState ref="A2:I317">
    <sortCondition ref="C2:C3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Schedule</vt:lpstr>
      <vt:lpstr>Team Stats</vt:lpstr>
      <vt:lpstr>Player Stats</vt:lpstr>
      <vt:lpstr>Sim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2015-03-11T14:31:18Z</dcterms:created>
  <dcterms:modified xsi:type="dcterms:W3CDTF">2015-05-05T04:15:17Z</dcterms:modified>
</cp:coreProperties>
</file>